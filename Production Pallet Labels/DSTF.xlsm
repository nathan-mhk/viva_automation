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120" windowWidth="15600" windowHeight="8010" tabRatio="700" firstSheet="1" activeTab="4"/>
  </bookViews>
  <sheets>
    <sheet name="DSTF_18B_Barrel" sheetId="9" r:id="rId1"/>
    <sheet name="DSTF_09A_Platform" sheetId="10" r:id="rId2"/>
    <sheet name="DSTF_19A_Cartridge" sheetId="12" r:id="rId3"/>
    <sheet name="DSTF_11A_Screw" sheetId="11" r:id="rId4"/>
    <sheet name="DSTF_23A_Wheel" sheetId="13" r:id="rId5"/>
    <sheet name="DSTF_19B_Cap" sheetId="6" r:id="rId6"/>
    <sheet name="DSTF_35U1F_InnerCap" sheetId="7" r:id="rId7"/>
    <sheet name="DSTF_23B_CreamScreen" sheetId="8" r:id="rId8"/>
  </sheets>
  <functionGroups builtInGroupCount="17"/>
  <definedNames>
    <definedName name="_xlnm.Print_Area" localSheetId="1">DSTF_09A_Platform!$A$1:$I$91</definedName>
    <definedName name="_xlnm.Print_Area" localSheetId="3">DSTF_11A_Screw!$A$1:$I$70</definedName>
    <definedName name="_xlnm.Print_Area" localSheetId="0">DSTF_18B_Barrel!$A$1:$I$119</definedName>
    <definedName name="_xlnm.Print_Area" localSheetId="2">DSTF_19A_Cartridge!$A$1:$I$175</definedName>
    <definedName name="_xlnm.Print_Area" localSheetId="5">DSTF_19B_Cap!$A$1:$I$42</definedName>
    <definedName name="_xlnm.Print_Area" localSheetId="4">DSTF_23A_Wheel!$A$1:$I$21</definedName>
    <definedName name="_xlnm.Print_Area" localSheetId="7">DSTF_23B_CreamScreen!$A$1:$I$35</definedName>
    <definedName name="_xlnm.Print_Area" localSheetId="6">DSTF_35U1F_InnerCap!$A$1:$I$7</definedName>
  </definedNames>
  <calcPr calcId="145621" iterate="1" iterateCount="5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" i="13" l="1"/>
  <c r="H20" i="13"/>
  <c r="F20" i="13"/>
  <c r="I18" i="13"/>
  <c r="I17" i="13"/>
  <c r="F15" i="13"/>
  <c r="G14" i="13"/>
  <c r="H13" i="13"/>
  <c r="F13" i="13"/>
  <c r="I11" i="13"/>
  <c r="I10" i="13"/>
  <c r="F8" i="13"/>
  <c r="G175" i="12" l="1"/>
  <c r="H174" i="12"/>
  <c r="F174" i="12"/>
  <c r="I172" i="12"/>
  <c r="I171" i="12"/>
  <c r="F169" i="12"/>
  <c r="G168" i="12"/>
  <c r="H167" i="12"/>
  <c r="F167" i="12"/>
  <c r="I165" i="12"/>
  <c r="I164" i="12"/>
  <c r="F162" i="12"/>
  <c r="G161" i="12"/>
  <c r="H160" i="12"/>
  <c r="F160" i="12"/>
  <c r="I158" i="12"/>
  <c r="I157" i="12"/>
  <c r="F155" i="12"/>
  <c r="G154" i="12"/>
  <c r="H153" i="12"/>
  <c r="F153" i="12"/>
  <c r="I151" i="12"/>
  <c r="I150" i="12"/>
  <c r="F148" i="12"/>
  <c r="G147" i="12"/>
  <c r="H146" i="12"/>
  <c r="F146" i="12"/>
  <c r="I144" i="12"/>
  <c r="I143" i="12"/>
  <c r="F141" i="12"/>
  <c r="G140" i="12"/>
  <c r="H139" i="12"/>
  <c r="F139" i="12"/>
  <c r="I137" i="12"/>
  <c r="I136" i="12"/>
  <c r="F134" i="12"/>
  <c r="G133" i="12"/>
  <c r="H132" i="12"/>
  <c r="F132" i="12"/>
  <c r="I130" i="12"/>
  <c r="I129" i="12"/>
  <c r="F127" i="12"/>
  <c r="G126" i="12"/>
  <c r="H125" i="12"/>
  <c r="F125" i="12"/>
  <c r="I123" i="12"/>
  <c r="I122" i="12"/>
  <c r="F120" i="12"/>
  <c r="G119" i="12"/>
  <c r="H118" i="12"/>
  <c r="F118" i="12"/>
  <c r="I116" i="12"/>
  <c r="I115" i="12"/>
  <c r="F113" i="12"/>
  <c r="G112" i="12"/>
  <c r="H111" i="12"/>
  <c r="F111" i="12"/>
  <c r="I109" i="12"/>
  <c r="I108" i="12"/>
  <c r="F106" i="12"/>
  <c r="G105" i="12"/>
  <c r="H104" i="12"/>
  <c r="F104" i="12"/>
  <c r="I102" i="12"/>
  <c r="I101" i="12"/>
  <c r="F99" i="12"/>
  <c r="G98" i="12"/>
  <c r="H97" i="12"/>
  <c r="F97" i="12"/>
  <c r="I95" i="12"/>
  <c r="I94" i="12"/>
  <c r="F92" i="12"/>
  <c r="G91" i="12"/>
  <c r="H90" i="12"/>
  <c r="F90" i="12"/>
  <c r="I88" i="12"/>
  <c r="I87" i="12"/>
  <c r="F85" i="12"/>
  <c r="G84" i="12"/>
  <c r="H83" i="12"/>
  <c r="F83" i="12"/>
  <c r="I81" i="12"/>
  <c r="I80" i="12"/>
  <c r="F78" i="12"/>
  <c r="G77" i="12"/>
  <c r="H76" i="12"/>
  <c r="F76" i="12"/>
  <c r="I74" i="12"/>
  <c r="I73" i="12"/>
  <c r="F71" i="12"/>
  <c r="G70" i="12"/>
  <c r="H69" i="12"/>
  <c r="F69" i="12"/>
  <c r="I67" i="12"/>
  <c r="I66" i="12"/>
  <c r="F64" i="12"/>
  <c r="G63" i="12"/>
  <c r="H62" i="12"/>
  <c r="F62" i="12"/>
  <c r="I60" i="12"/>
  <c r="I59" i="12"/>
  <c r="F57" i="12"/>
  <c r="G56" i="12"/>
  <c r="H55" i="12"/>
  <c r="F55" i="12"/>
  <c r="I53" i="12"/>
  <c r="I52" i="12"/>
  <c r="F50" i="12"/>
  <c r="G49" i="12"/>
  <c r="H48" i="12"/>
  <c r="F48" i="12"/>
  <c r="I46" i="12"/>
  <c r="I45" i="12"/>
  <c r="F43" i="12"/>
  <c r="G42" i="12"/>
  <c r="H41" i="12"/>
  <c r="F41" i="12"/>
  <c r="I39" i="12"/>
  <c r="I38" i="12"/>
  <c r="F36" i="12"/>
  <c r="G35" i="12"/>
  <c r="H34" i="12"/>
  <c r="F34" i="12"/>
  <c r="I32" i="12"/>
  <c r="I31" i="12"/>
  <c r="F29" i="12"/>
  <c r="G28" i="12"/>
  <c r="H27" i="12"/>
  <c r="F27" i="12"/>
  <c r="I25" i="12"/>
  <c r="I24" i="12"/>
  <c r="F22" i="12"/>
  <c r="G21" i="12"/>
  <c r="H20" i="12"/>
  <c r="F20" i="12"/>
  <c r="I18" i="12"/>
  <c r="I17" i="12"/>
  <c r="F15" i="12"/>
  <c r="G14" i="12"/>
  <c r="H13" i="12"/>
  <c r="F13" i="12"/>
  <c r="I11" i="12"/>
  <c r="I10" i="12"/>
  <c r="F8" i="12"/>
  <c r="G91" i="10" l="1"/>
  <c r="H90" i="10"/>
  <c r="F90" i="10"/>
  <c r="I88" i="10"/>
  <c r="I87" i="10"/>
  <c r="F85" i="10"/>
  <c r="G84" i="10"/>
  <c r="H83" i="10"/>
  <c r="F83" i="10"/>
  <c r="I81" i="10"/>
  <c r="I80" i="10"/>
  <c r="F78" i="10"/>
  <c r="G77" i="10"/>
  <c r="H76" i="10"/>
  <c r="F76" i="10"/>
  <c r="I74" i="10"/>
  <c r="I73" i="10"/>
  <c r="F71" i="10"/>
  <c r="G70" i="10"/>
  <c r="H69" i="10"/>
  <c r="F69" i="10"/>
  <c r="I67" i="10"/>
  <c r="I66" i="10"/>
  <c r="F64" i="10"/>
  <c r="G63" i="10"/>
  <c r="H62" i="10"/>
  <c r="F62" i="10"/>
  <c r="I60" i="10"/>
  <c r="I59" i="10"/>
  <c r="F57" i="10"/>
  <c r="G56" i="10"/>
  <c r="H55" i="10"/>
  <c r="F55" i="10"/>
  <c r="I53" i="10"/>
  <c r="I52" i="10"/>
  <c r="F50" i="10"/>
  <c r="G49" i="10"/>
  <c r="H48" i="10"/>
  <c r="F48" i="10"/>
  <c r="I46" i="10"/>
  <c r="I45" i="10"/>
  <c r="F43" i="10"/>
  <c r="G42" i="10"/>
  <c r="H41" i="10"/>
  <c r="F41" i="10"/>
  <c r="I39" i="10"/>
  <c r="I38" i="10"/>
  <c r="F36" i="10"/>
  <c r="G35" i="10"/>
  <c r="H34" i="10"/>
  <c r="F34" i="10"/>
  <c r="I32" i="10"/>
  <c r="I31" i="10"/>
  <c r="F29" i="10"/>
  <c r="G28" i="10"/>
  <c r="H27" i="10"/>
  <c r="F27" i="10"/>
  <c r="I25" i="10"/>
  <c r="I24" i="10"/>
  <c r="F22" i="10"/>
  <c r="G21" i="10"/>
  <c r="H20" i="10"/>
  <c r="F20" i="10"/>
  <c r="I18" i="10"/>
  <c r="I17" i="10"/>
  <c r="F15" i="10"/>
  <c r="G14" i="10"/>
  <c r="H13" i="10"/>
  <c r="F13" i="10"/>
  <c r="I11" i="10"/>
  <c r="I10" i="10"/>
  <c r="F8" i="10"/>
  <c r="G119" i="9" l="1"/>
  <c r="H118" i="9"/>
  <c r="F118" i="9"/>
  <c r="I116" i="9"/>
  <c r="I115" i="9"/>
  <c r="F113" i="9"/>
  <c r="G112" i="9"/>
  <c r="H111" i="9"/>
  <c r="F111" i="9"/>
  <c r="I109" i="9"/>
  <c r="I108" i="9"/>
  <c r="F106" i="9"/>
  <c r="G105" i="9"/>
  <c r="H104" i="9"/>
  <c r="F104" i="9"/>
  <c r="I102" i="9"/>
  <c r="I101" i="9"/>
  <c r="F99" i="9"/>
  <c r="G98" i="9"/>
  <c r="H97" i="9"/>
  <c r="F97" i="9"/>
  <c r="I95" i="9"/>
  <c r="I94" i="9"/>
  <c r="F92" i="9"/>
  <c r="G91" i="9"/>
  <c r="H90" i="9"/>
  <c r="F90" i="9"/>
  <c r="I88" i="9"/>
  <c r="I87" i="9"/>
  <c r="F85" i="9"/>
  <c r="G84" i="9"/>
  <c r="H83" i="9"/>
  <c r="F83" i="9"/>
  <c r="I81" i="9"/>
  <c r="I80" i="9"/>
  <c r="F78" i="9"/>
  <c r="G77" i="9"/>
  <c r="H76" i="9"/>
  <c r="F76" i="9"/>
  <c r="I74" i="9"/>
  <c r="I73" i="9"/>
  <c r="F71" i="9"/>
  <c r="G70" i="9"/>
  <c r="H69" i="9"/>
  <c r="F69" i="9"/>
  <c r="I67" i="9"/>
  <c r="I66" i="9"/>
  <c r="F64" i="9"/>
  <c r="G63" i="9"/>
  <c r="H62" i="9"/>
  <c r="F62" i="9"/>
  <c r="I60" i="9"/>
  <c r="I59" i="9"/>
  <c r="F57" i="9"/>
  <c r="G56" i="9"/>
  <c r="H55" i="9"/>
  <c r="F55" i="9"/>
  <c r="I53" i="9"/>
  <c r="I52" i="9"/>
  <c r="F50" i="9"/>
  <c r="G49" i="9"/>
  <c r="H48" i="9"/>
  <c r="F48" i="9"/>
  <c r="I46" i="9"/>
  <c r="I45" i="9"/>
  <c r="F43" i="9"/>
  <c r="G42" i="9"/>
  <c r="H41" i="9"/>
  <c r="F41" i="9"/>
  <c r="I39" i="9"/>
  <c r="I38" i="9"/>
  <c r="F36" i="9"/>
  <c r="G35" i="9"/>
  <c r="H34" i="9"/>
  <c r="F34" i="9"/>
  <c r="I32" i="9"/>
  <c r="I31" i="9"/>
  <c r="F29" i="9"/>
  <c r="G28" i="9"/>
  <c r="H27" i="9"/>
  <c r="F27" i="9"/>
  <c r="I25" i="9"/>
  <c r="I24" i="9"/>
  <c r="F22" i="9"/>
  <c r="G21" i="9"/>
  <c r="H20" i="9"/>
  <c r="F20" i="9"/>
  <c r="I18" i="9"/>
  <c r="I17" i="9"/>
  <c r="F15" i="9"/>
  <c r="G14" i="9"/>
  <c r="H13" i="9"/>
  <c r="F13" i="9"/>
  <c r="I11" i="9"/>
  <c r="I10" i="9"/>
  <c r="F8" i="9"/>
  <c r="G42" i="6" l="1"/>
  <c r="H41" i="6"/>
  <c r="F41" i="6"/>
  <c r="I39" i="6"/>
  <c r="I38" i="6"/>
  <c r="F36" i="6"/>
  <c r="G35" i="6"/>
  <c r="H34" i="6"/>
  <c r="F34" i="6"/>
  <c r="I32" i="6"/>
  <c r="I31" i="6"/>
  <c r="F29" i="6"/>
  <c r="G28" i="6"/>
  <c r="H27" i="6"/>
  <c r="F27" i="6"/>
  <c r="I25" i="6"/>
  <c r="I24" i="6"/>
  <c r="F22" i="6"/>
  <c r="G21" i="6"/>
  <c r="H20" i="6"/>
  <c r="F20" i="6"/>
  <c r="I18" i="6"/>
  <c r="I17" i="6"/>
  <c r="F15" i="6"/>
  <c r="G14" i="6"/>
  <c r="H13" i="6"/>
  <c r="F13" i="6"/>
  <c r="I11" i="6"/>
  <c r="I10" i="6"/>
  <c r="F8" i="6"/>
  <c r="G70" i="11" l="1"/>
  <c r="H69" i="11"/>
  <c r="F69" i="11"/>
  <c r="I67" i="11"/>
  <c r="I66" i="11"/>
  <c r="F64" i="11"/>
  <c r="G63" i="11"/>
  <c r="H62" i="11"/>
  <c r="F62" i="11"/>
  <c r="I60" i="11"/>
  <c r="I59" i="11"/>
  <c r="F57" i="11"/>
  <c r="G56" i="11"/>
  <c r="H55" i="11"/>
  <c r="F55" i="11"/>
  <c r="I53" i="11"/>
  <c r="I52" i="11"/>
  <c r="F50" i="11"/>
  <c r="G49" i="11"/>
  <c r="H48" i="11"/>
  <c r="F48" i="11"/>
  <c r="I46" i="11"/>
  <c r="I45" i="11"/>
  <c r="F43" i="11"/>
  <c r="G42" i="11"/>
  <c r="H41" i="11"/>
  <c r="F41" i="11"/>
  <c r="I39" i="11"/>
  <c r="I38" i="11"/>
  <c r="F36" i="11"/>
  <c r="G35" i="11"/>
  <c r="H34" i="11"/>
  <c r="F34" i="11"/>
  <c r="I32" i="11"/>
  <c r="I31" i="11"/>
  <c r="F29" i="11"/>
  <c r="G28" i="11"/>
  <c r="H27" i="11"/>
  <c r="F27" i="11"/>
  <c r="I25" i="11"/>
  <c r="I24" i="11"/>
  <c r="F22" i="11"/>
  <c r="G21" i="11"/>
  <c r="H20" i="11"/>
  <c r="F20" i="11"/>
  <c r="I18" i="11"/>
  <c r="I17" i="11"/>
  <c r="F15" i="11"/>
  <c r="G14" i="11"/>
  <c r="H13" i="11"/>
  <c r="F13" i="11"/>
  <c r="I11" i="11"/>
  <c r="I10" i="11"/>
  <c r="F8" i="11"/>
  <c r="G35" i="8" l="1"/>
  <c r="H34" i="8"/>
  <c r="F34" i="8"/>
  <c r="I32" i="8"/>
  <c r="I31" i="8"/>
  <c r="F29" i="8"/>
  <c r="G28" i="8"/>
  <c r="H27" i="8"/>
  <c r="F27" i="8"/>
  <c r="I25" i="8"/>
  <c r="I24" i="8"/>
  <c r="F22" i="8"/>
  <c r="G21" i="8"/>
  <c r="H20" i="8"/>
  <c r="F20" i="8"/>
  <c r="I18" i="8"/>
  <c r="I17" i="8"/>
  <c r="F15" i="8"/>
  <c r="G14" i="8"/>
  <c r="H13" i="8"/>
  <c r="F13" i="8"/>
  <c r="I11" i="8"/>
  <c r="I10" i="8"/>
  <c r="F8" i="8"/>
  <c r="G7" i="6" l="1"/>
  <c r="C6" i="7" l="1"/>
  <c r="G7" i="13" l="1"/>
  <c r="H6" i="13"/>
  <c r="F6" i="13"/>
  <c r="I4" i="13"/>
  <c r="I3" i="13"/>
  <c r="F1" i="13"/>
  <c r="G7" i="12"/>
  <c r="H6" i="12"/>
  <c r="F6" i="12"/>
  <c r="I4" i="12"/>
  <c r="I3" i="12"/>
  <c r="F1" i="12"/>
  <c r="G7" i="11"/>
  <c r="H6" i="11"/>
  <c r="F6" i="11"/>
  <c r="I4" i="11"/>
  <c r="I3" i="11"/>
  <c r="F1" i="11"/>
  <c r="G7" i="10"/>
  <c r="H6" i="10"/>
  <c r="F6" i="10"/>
  <c r="I4" i="10"/>
  <c r="I3" i="10"/>
  <c r="F1" i="10"/>
  <c r="G7" i="9"/>
  <c r="H6" i="9"/>
  <c r="F6" i="9"/>
  <c r="I4" i="9"/>
  <c r="I3" i="9"/>
  <c r="F1" i="9"/>
  <c r="G7" i="8"/>
  <c r="H6" i="8"/>
  <c r="F6" i="8"/>
  <c r="I4" i="8"/>
  <c r="I3" i="8"/>
  <c r="F1" i="8"/>
  <c r="G7" i="7"/>
  <c r="H6" i="7"/>
  <c r="F6" i="7"/>
  <c r="I4" i="7"/>
  <c r="I3" i="7"/>
  <c r="F1" i="7"/>
  <c r="H6" i="6"/>
  <c r="F6" i="6"/>
  <c r="I4" i="6"/>
  <c r="I3" i="6"/>
  <c r="F1" i="6"/>
</calcChain>
</file>

<file path=xl/sharedStrings.xml><?xml version="1.0" encoding="utf-8"?>
<sst xmlns="http://schemas.openxmlformats.org/spreadsheetml/2006/main" count="1858" uniqueCount="52">
  <si>
    <t>Date:</t>
  </si>
  <si>
    <t>MO:</t>
  </si>
  <si>
    <t>Shift:</t>
  </si>
  <si>
    <t>Plt. No:</t>
  </si>
  <si>
    <t>Index:</t>
  </si>
  <si>
    <t>Machine:</t>
  </si>
  <si>
    <t>Mold:</t>
  </si>
  <si>
    <t>Trays Per Pallet</t>
  </si>
  <si>
    <t>Pcs Per Tray</t>
  </si>
  <si>
    <t>Oval DS Top-Fill - Cap</t>
  </si>
  <si>
    <t>DEO-C03</t>
  </si>
  <si>
    <t>White</t>
  </si>
  <si>
    <t>Oval DS Top-Fill - Inner Cap</t>
  </si>
  <si>
    <t>1,250 pcs x 80 trays = 100,000 pcs</t>
  </si>
  <si>
    <t>DS-D03</t>
  </si>
  <si>
    <t>Oval DS Top-Fill - Cream Screen</t>
  </si>
  <si>
    <t>DS-D02</t>
  </si>
  <si>
    <t>Oval DS Top-Fill - Barrel</t>
  </si>
  <si>
    <t>DS-B01</t>
  </si>
  <si>
    <t>Oval DS Top-Fill - Platform</t>
  </si>
  <si>
    <t>DS-P02</t>
  </si>
  <si>
    <t>Oval DS Top-Fill - Screw</t>
  </si>
  <si>
    <t>DS-S01</t>
  </si>
  <si>
    <t>Oval DS Top-Fill - Cartridge</t>
  </si>
  <si>
    <t>DS-R01</t>
  </si>
  <si>
    <t>Oval DS Top-Fill - Wheel</t>
  </si>
  <si>
    <t>23A</t>
  </si>
  <si>
    <t>DS-W02</t>
  </si>
  <si>
    <t>TPE RG-10190</t>
  </si>
  <si>
    <t>500 pcs x 80 trays = 40,000 pcs</t>
  </si>
  <si>
    <t>250 pcs x 20 trays = 5,000 pcs</t>
  </si>
  <si>
    <t>400 pcs x 80 trays = 32,000 pcs</t>
  </si>
  <si>
    <t>FC2304E</t>
  </si>
  <si>
    <t>230 pcs x 20 trays = 4,600 pcs</t>
  </si>
  <si>
    <t/>
  </si>
  <si>
    <t>P814</t>
  </si>
  <si>
    <t>25969, 25971, 25973</t>
  </si>
  <si>
    <t>700 pcs x 20 trays = 14,000 pcs</t>
  </si>
  <si>
    <t>35U1-F</t>
  </si>
  <si>
    <t>27020, 27071</t>
  </si>
  <si>
    <t>510 pcs x 80 trays = 40,800 pcs</t>
  </si>
  <si>
    <t>26A</t>
  </si>
  <si>
    <t>02B</t>
  </si>
  <si>
    <t>26618, 27018, 27016, 27073, 27072, 27074</t>
  </si>
  <si>
    <t>16B</t>
  </si>
  <si>
    <t>700 pcs x 16 trays = 11,200 pcs</t>
  </si>
  <si>
    <t>17B</t>
  </si>
  <si>
    <t>230 pcs x 10 trays = 2,300 pcs</t>
  </si>
  <si>
    <t>14A</t>
  </si>
  <si>
    <t>500 pcs x 42 trays = 21,000 pcs</t>
  </si>
  <si>
    <t>35U1</t>
  </si>
  <si>
    <t>27076, 27724, 27600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</si>
</sst>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Source Code Pro Semibold"/>
      <family val="2"/>
    </font>
    <font>
      <sz val="20"/>
      <color theme="1"/>
      <name val="Microsoft JhengHei"/>
      <family val="2"/>
    </font>
    <font>
      <sz val="18"/>
      <color theme="1"/>
      <name val="Microsoft JhengHei"/>
      <family val="2"/>
    </font>
    <font>
      <sz val="16"/>
      <color theme="1"/>
      <name val="Microsoft JhengHei"/>
      <family val="2"/>
    </font>
    <font>
      <sz val="18"/>
      <name val="Microsoft JhengHei"/>
      <family val="2"/>
    </font>
    <font>
      <b/>
      <sz val="36"/>
      <name val="Microsoft JhengHei"/>
      <family val="2"/>
    </font>
    <font>
      <sz val="14"/>
      <name val="Microsoft JhengHei"/>
      <family val="2"/>
    </font>
    <font>
      <sz val="20"/>
      <color rgb="FFFFFFFF"/>
      <name val="Microsoft JhengHei"/>
      <family val="2"/>
    </font>
    <font>
      <sz val="18"/>
      <color rgb="FFFFFFFF"/>
      <name val="Microsoft JhengHei"/>
      <family val="2"/>
    </font>
    <font>
      <b/>
      <sz val="36"/>
      <color rgb="FFFFFFFF"/>
      <name val="Microsoft JhengHei"/>
      <family val="2"/>
    </font>
    <font>
      <sz val="14"/>
      <color rgb="FFFFFFFF"/>
      <name val="Microsoft JhengHei"/>
      <family val="2"/>
    </font>
    <font>
      <sz val="17"/>
      <color theme="1"/>
      <name val="Microsoft JhengHei"/>
      <family val="2"/>
    </font>
    <font>
      <sz val="16"/>
      <color rgb="FFFFFFFF"/>
      <name val="Microsoft JhengHe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11" fillId="0" borderId="3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3" xfId="0" quotePrefix="1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119"/>
  <sheetViews>
    <sheetView view="pageBreakPreview" topLeftCell="A31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17</v>
      </c>
      <c r="B1" s="21"/>
      <c r="C1" s="21"/>
      <c r="D1" s="21"/>
      <c r="E1" s="2"/>
      <c r="F1" s="21" t="str">
        <f>A1</f>
        <v>Oval DS Top-Fill - Barrel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46</v>
      </c>
      <c r="E3" s="4"/>
      <c r="F3" s="11" t="s">
        <v>2</v>
      </c>
      <c r="G3" s="10"/>
      <c r="H3" s="11" t="s">
        <v>5</v>
      </c>
      <c r="I3" s="7" t="str">
        <f>D3</f>
        <v>17B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18</v>
      </c>
      <c r="E4" s="4"/>
      <c r="F4" s="8" t="s">
        <v>3</v>
      </c>
      <c r="G4" s="9">
        <v>18</v>
      </c>
      <c r="H4" s="11" t="s">
        <v>6</v>
      </c>
      <c r="I4" s="7" t="str">
        <f>D4</f>
        <v>DS-B01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33</v>
      </c>
      <c r="B5" s="23"/>
      <c r="C5" s="23"/>
      <c r="D5" s="24"/>
      <c r="E5" s="5"/>
      <c r="F5" s="22" t="s">
        <v>33</v>
      </c>
      <c r="G5" s="23"/>
      <c r="H5" s="23"/>
      <c r="I5" s="24"/>
      <c r="K5" s="1">
        <v>230</v>
      </c>
      <c r="L5" s="1">
        <v>20</v>
      </c>
    </row>
    <row r="6" spans="1:12" s="1" customFormat="1" ht="30" customHeight="1" x14ac:dyDescent="0.25">
      <c r="A6" s="25" t="s">
        <v>35</v>
      </c>
      <c r="B6" s="26"/>
      <c r="C6" s="26" t="s">
        <v>11</v>
      </c>
      <c r="D6" s="27"/>
      <c r="E6" s="4"/>
      <c r="F6" s="25" t="str">
        <f>A6</f>
        <v>P814</v>
      </c>
      <c r="G6" s="26"/>
      <c r="H6" s="26" t="str">
        <f>C6</f>
        <v>White</v>
      </c>
      <c r="I6" s="27"/>
    </row>
    <row r="7" spans="1:12" s="1" customFormat="1" ht="30" customHeight="1" x14ac:dyDescent="0.25">
      <c r="A7" s="12" t="s">
        <v>4</v>
      </c>
      <c r="B7" s="19">
        <v>27016</v>
      </c>
      <c r="C7" s="19"/>
      <c r="D7" s="20"/>
      <c r="E7" s="4"/>
      <c r="F7" s="12" t="s">
        <v>4</v>
      </c>
      <c r="G7" s="19">
        <f>B7</f>
        <v>27016</v>
      </c>
      <c r="H7" s="19"/>
      <c r="I7" s="20"/>
    </row>
    <row r="8" spans="1:12" ht="63.75" customHeight="1" x14ac:dyDescent="0.25">
      <c r="A8" s="21" t="s">
        <v>17</v>
      </c>
      <c r="B8" s="21"/>
      <c r="C8" s="21"/>
      <c r="D8" s="21"/>
      <c r="E8" s="2"/>
      <c r="F8" s="21" t="str">
        <f>A8</f>
        <v>Oval DS Top-Fill - Barrel</v>
      </c>
      <c r="G8" s="21"/>
      <c r="H8" s="21"/>
      <c r="I8" s="21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46</v>
      </c>
      <c r="E10" s="4"/>
      <c r="F10" s="11" t="s">
        <v>2</v>
      </c>
      <c r="G10" s="10"/>
      <c r="H10" s="11" t="s">
        <v>5</v>
      </c>
      <c r="I10" s="7" t="str">
        <f>D10</f>
        <v>17B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18</v>
      </c>
      <c r="E11" s="4"/>
      <c r="F11" s="8" t="s">
        <v>3</v>
      </c>
      <c r="G11" s="9">
        <v>19</v>
      </c>
      <c r="H11" s="11" t="s">
        <v>6</v>
      </c>
      <c r="I11" s="7" t="str">
        <f>D11</f>
        <v>DS-B01</v>
      </c>
      <c r="K11" s="6" t="s">
        <v>8</v>
      </c>
      <c r="L11" s="6" t="s">
        <v>7</v>
      </c>
    </row>
    <row r="12" spans="1:12" s="1" customFormat="1" ht="30" customHeight="1" x14ac:dyDescent="0.25">
      <c r="A12" s="22" t="s">
        <v>33</v>
      </c>
      <c r="B12" s="23"/>
      <c r="C12" s="23"/>
      <c r="D12" s="24"/>
      <c r="E12" s="5"/>
      <c r="F12" s="22" t="s">
        <v>33</v>
      </c>
      <c r="G12" s="23"/>
      <c r="H12" s="23"/>
      <c r="I12" s="24"/>
      <c r="K12" s="1">
        <v>230</v>
      </c>
      <c r="L12" s="1">
        <v>20</v>
      </c>
    </row>
    <row r="13" spans="1:12" s="1" customFormat="1" ht="30" customHeight="1" x14ac:dyDescent="0.25">
      <c r="A13" s="25" t="s">
        <v>35</v>
      </c>
      <c r="B13" s="26"/>
      <c r="C13" s="26" t="s">
        <v>11</v>
      </c>
      <c r="D13" s="27"/>
      <c r="E13" s="4"/>
      <c r="F13" s="25" t="str">
        <f>A13</f>
        <v>P814</v>
      </c>
      <c r="G13" s="26"/>
      <c r="H13" s="26" t="str">
        <f>C13</f>
        <v>White</v>
      </c>
      <c r="I13" s="27"/>
    </row>
    <row r="14" spans="1:12" s="1" customFormat="1" ht="30" customHeight="1" x14ac:dyDescent="0.25">
      <c r="A14" s="12" t="s">
        <v>4</v>
      </c>
      <c r="B14" s="19">
        <v>27016</v>
      </c>
      <c r="C14" s="19"/>
      <c r="D14" s="20"/>
      <c r="E14" s="4"/>
      <c r="F14" s="12" t="s">
        <v>4</v>
      </c>
      <c r="G14" s="19">
        <f>B14</f>
        <v>27016</v>
      </c>
      <c r="H14" s="19"/>
      <c r="I14" s="20"/>
    </row>
    <row r="15" spans="1:12" ht="63.75" customHeight="1" x14ac:dyDescent="0.25">
      <c r="A15" s="21" t="s">
        <v>17</v>
      </c>
      <c r="B15" s="21"/>
      <c r="C15" s="21"/>
      <c r="D15" s="21"/>
      <c r="E15" s="2"/>
      <c r="F15" s="21" t="str">
        <f>A15</f>
        <v>Oval DS Top-Fill - Barrel</v>
      </c>
      <c r="G15" s="21"/>
      <c r="H15" s="21"/>
      <c r="I15" s="21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46</v>
      </c>
      <c r="E17" s="4"/>
      <c r="F17" s="11" t="s">
        <v>2</v>
      </c>
      <c r="G17" s="10"/>
      <c r="H17" s="11" t="s">
        <v>5</v>
      </c>
      <c r="I17" s="7" t="str">
        <f>D17</f>
        <v>17B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18</v>
      </c>
      <c r="E18" s="4"/>
      <c r="F18" s="8" t="s">
        <v>3</v>
      </c>
      <c r="G18" s="9">
        <v>20</v>
      </c>
      <c r="H18" s="11" t="s">
        <v>6</v>
      </c>
      <c r="I18" s="7" t="str">
        <f>D18</f>
        <v>DS-B01</v>
      </c>
      <c r="K18" s="6" t="s">
        <v>8</v>
      </c>
      <c r="L18" s="6" t="s">
        <v>7</v>
      </c>
    </row>
    <row r="19" spans="1:12" s="1" customFormat="1" ht="30" customHeight="1" x14ac:dyDescent="0.25">
      <c r="A19" s="22" t="s">
        <v>33</v>
      </c>
      <c r="B19" s="23"/>
      <c r="C19" s="23"/>
      <c r="D19" s="24"/>
      <c r="E19" s="5"/>
      <c r="F19" s="22" t="s">
        <v>33</v>
      </c>
      <c r="G19" s="23"/>
      <c r="H19" s="23"/>
      <c r="I19" s="24"/>
      <c r="K19" s="1">
        <v>230</v>
      </c>
      <c r="L19" s="1">
        <v>20</v>
      </c>
    </row>
    <row r="20" spans="1:12" s="1" customFormat="1" ht="30" customHeight="1" x14ac:dyDescent="0.25">
      <c r="A20" s="25" t="s">
        <v>35</v>
      </c>
      <c r="B20" s="26"/>
      <c r="C20" s="26" t="s">
        <v>11</v>
      </c>
      <c r="D20" s="27"/>
      <c r="E20" s="4"/>
      <c r="F20" s="25" t="str">
        <f>A20</f>
        <v>P814</v>
      </c>
      <c r="G20" s="26"/>
      <c r="H20" s="26" t="str">
        <f>C20</f>
        <v>White</v>
      </c>
      <c r="I20" s="27"/>
    </row>
    <row r="21" spans="1:12" s="1" customFormat="1" ht="30" customHeight="1" x14ac:dyDescent="0.25">
      <c r="A21" s="12" t="s">
        <v>4</v>
      </c>
      <c r="B21" s="19">
        <v>27016</v>
      </c>
      <c r="C21" s="19"/>
      <c r="D21" s="20"/>
      <c r="E21" s="4"/>
      <c r="F21" s="12" t="s">
        <v>4</v>
      </c>
      <c r="G21" s="19">
        <f>B21</f>
        <v>27016</v>
      </c>
      <c r="H21" s="19"/>
      <c r="I21" s="20"/>
    </row>
    <row r="22" spans="1:12" ht="63.75" customHeight="1" x14ac:dyDescent="0.25">
      <c r="A22" s="21" t="s">
        <v>17</v>
      </c>
      <c r="B22" s="21"/>
      <c r="C22" s="21"/>
      <c r="D22" s="21"/>
      <c r="E22" s="2"/>
      <c r="F22" s="21" t="str">
        <f>A22</f>
        <v>Oval DS Top-Fill - Barrel</v>
      </c>
      <c r="G22" s="21"/>
      <c r="H22" s="21"/>
      <c r="I22" s="21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46</v>
      </c>
      <c r="E24" s="4"/>
      <c r="F24" s="11" t="s">
        <v>2</v>
      </c>
      <c r="G24" s="10"/>
      <c r="H24" s="11" t="s">
        <v>5</v>
      </c>
      <c r="I24" s="7" t="str">
        <f>D24</f>
        <v>17B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18</v>
      </c>
      <c r="E25" s="4"/>
      <c r="F25" s="8" t="s">
        <v>3</v>
      </c>
      <c r="G25" s="9">
        <v>21</v>
      </c>
      <c r="H25" s="11" t="s">
        <v>6</v>
      </c>
      <c r="I25" s="7" t="str">
        <f>D25</f>
        <v>DS-B01</v>
      </c>
      <c r="K25" s="6" t="s">
        <v>8</v>
      </c>
      <c r="L25" s="6" t="s">
        <v>7</v>
      </c>
    </row>
    <row r="26" spans="1:12" s="1" customFormat="1" ht="30" customHeight="1" x14ac:dyDescent="0.25">
      <c r="A26" s="22" t="s">
        <v>33</v>
      </c>
      <c r="B26" s="23"/>
      <c r="C26" s="23"/>
      <c r="D26" s="24"/>
      <c r="E26" s="5"/>
      <c r="F26" s="22" t="s">
        <v>33</v>
      </c>
      <c r="G26" s="23"/>
      <c r="H26" s="23"/>
      <c r="I26" s="24"/>
      <c r="K26" s="1">
        <v>230</v>
      </c>
      <c r="L26" s="1">
        <v>20</v>
      </c>
    </row>
    <row r="27" spans="1:12" s="1" customFormat="1" ht="30" customHeight="1" x14ac:dyDescent="0.25">
      <c r="A27" s="25" t="s">
        <v>35</v>
      </c>
      <c r="B27" s="26"/>
      <c r="C27" s="26" t="s">
        <v>11</v>
      </c>
      <c r="D27" s="27"/>
      <c r="E27" s="4"/>
      <c r="F27" s="25" t="str">
        <f>A27</f>
        <v>P814</v>
      </c>
      <c r="G27" s="26"/>
      <c r="H27" s="26" t="str">
        <f>C27</f>
        <v>White</v>
      </c>
      <c r="I27" s="27"/>
    </row>
    <row r="28" spans="1:12" s="1" customFormat="1" ht="30" customHeight="1" x14ac:dyDescent="0.25">
      <c r="A28" s="12" t="s">
        <v>4</v>
      </c>
      <c r="B28" s="19">
        <v>27016</v>
      </c>
      <c r="C28" s="19"/>
      <c r="D28" s="20"/>
      <c r="E28" s="4"/>
      <c r="F28" s="12" t="s">
        <v>4</v>
      </c>
      <c r="G28" s="19">
        <f>B28</f>
        <v>27016</v>
      </c>
      <c r="H28" s="19"/>
      <c r="I28" s="20"/>
    </row>
    <row r="29" spans="1:12" ht="63.75" customHeight="1" x14ac:dyDescent="0.25">
      <c r="A29" s="21" t="s">
        <v>17</v>
      </c>
      <c r="B29" s="21"/>
      <c r="C29" s="21"/>
      <c r="D29" s="21"/>
      <c r="E29" s="2"/>
      <c r="F29" s="21" t="str">
        <f>A29</f>
        <v>Oval DS Top-Fill - Barrel</v>
      </c>
      <c r="G29" s="21"/>
      <c r="H29" s="21"/>
      <c r="I29" s="21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46</v>
      </c>
      <c r="E31" s="4"/>
      <c r="F31" s="11" t="s">
        <v>2</v>
      </c>
      <c r="G31" s="10"/>
      <c r="H31" s="11" t="s">
        <v>5</v>
      </c>
      <c r="I31" s="7" t="str">
        <f>D31</f>
        <v>17B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18</v>
      </c>
      <c r="E32" s="4"/>
      <c r="F32" s="8" t="s">
        <v>3</v>
      </c>
      <c r="G32" s="9">
        <v>22</v>
      </c>
      <c r="H32" s="11" t="s">
        <v>6</v>
      </c>
      <c r="I32" s="7" t="str">
        <f>D32</f>
        <v>DS-B01</v>
      </c>
      <c r="K32" s="6" t="s">
        <v>8</v>
      </c>
      <c r="L32" s="6" t="s">
        <v>7</v>
      </c>
    </row>
    <row r="33" spans="1:12" s="1" customFormat="1" ht="30" customHeight="1" x14ac:dyDescent="0.25">
      <c r="A33" s="22" t="s">
        <v>33</v>
      </c>
      <c r="B33" s="23"/>
      <c r="C33" s="23"/>
      <c r="D33" s="24"/>
      <c r="E33" s="5"/>
      <c r="F33" s="22" t="s">
        <v>33</v>
      </c>
      <c r="G33" s="23"/>
      <c r="H33" s="23"/>
      <c r="I33" s="24"/>
      <c r="K33" s="1">
        <v>230</v>
      </c>
      <c r="L33" s="1">
        <v>20</v>
      </c>
    </row>
    <row r="34" spans="1:12" s="1" customFormat="1" ht="30" customHeight="1" x14ac:dyDescent="0.25">
      <c r="A34" s="25" t="s">
        <v>35</v>
      </c>
      <c r="B34" s="26"/>
      <c r="C34" s="26" t="s">
        <v>11</v>
      </c>
      <c r="D34" s="27"/>
      <c r="E34" s="4"/>
      <c r="F34" s="25" t="str">
        <f>A34</f>
        <v>P814</v>
      </c>
      <c r="G34" s="26"/>
      <c r="H34" s="26" t="str">
        <f>C34</f>
        <v>White</v>
      </c>
      <c r="I34" s="27"/>
    </row>
    <row r="35" spans="1:12" s="1" customFormat="1" ht="30" customHeight="1" x14ac:dyDescent="0.25">
      <c r="A35" s="12" t="s">
        <v>4</v>
      </c>
      <c r="B35" s="19">
        <v>27016</v>
      </c>
      <c r="C35" s="19"/>
      <c r="D35" s="20"/>
      <c r="E35" s="4"/>
      <c r="F35" s="12" t="s">
        <v>4</v>
      </c>
      <c r="G35" s="19">
        <f>B35</f>
        <v>27016</v>
      </c>
      <c r="H35" s="19"/>
      <c r="I35" s="20"/>
    </row>
    <row r="36" spans="1:12" ht="63.75" customHeight="1" x14ac:dyDescent="0.25">
      <c r="A36" s="21" t="s">
        <v>17</v>
      </c>
      <c r="B36" s="21"/>
      <c r="C36" s="21"/>
      <c r="D36" s="21"/>
      <c r="E36" s="2"/>
      <c r="F36" s="21" t="str">
        <f>A36</f>
        <v>Oval DS Top-Fill - Barrel</v>
      </c>
      <c r="G36" s="21"/>
      <c r="H36" s="21"/>
      <c r="I36" s="21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46</v>
      </c>
      <c r="E38" s="4"/>
      <c r="F38" s="11" t="s">
        <v>2</v>
      </c>
      <c r="G38" s="10"/>
      <c r="H38" s="11" t="s">
        <v>5</v>
      </c>
      <c r="I38" s="7" t="str">
        <f>D38</f>
        <v>17B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18</v>
      </c>
      <c r="E39" s="4"/>
      <c r="F39" s="8" t="s">
        <v>3</v>
      </c>
      <c r="G39" s="9">
        <v>23</v>
      </c>
      <c r="H39" s="11" t="s">
        <v>6</v>
      </c>
      <c r="I39" s="7" t="str">
        <f>D39</f>
        <v>DS-B01</v>
      </c>
      <c r="K39" s="6" t="s">
        <v>8</v>
      </c>
      <c r="L39" s="6" t="s">
        <v>7</v>
      </c>
    </row>
    <row r="40" spans="1:12" s="1" customFormat="1" ht="30" customHeight="1" x14ac:dyDescent="0.25">
      <c r="A40" s="22" t="s">
        <v>33</v>
      </c>
      <c r="B40" s="23"/>
      <c r="C40" s="23"/>
      <c r="D40" s="24"/>
      <c r="E40" s="5"/>
      <c r="F40" s="22" t="s">
        <v>33</v>
      </c>
      <c r="G40" s="23"/>
      <c r="H40" s="23"/>
      <c r="I40" s="24"/>
      <c r="K40" s="1">
        <v>230</v>
      </c>
      <c r="L40" s="1">
        <v>20</v>
      </c>
    </row>
    <row r="41" spans="1:12" s="1" customFormat="1" ht="30" customHeight="1" x14ac:dyDescent="0.25">
      <c r="A41" s="25" t="s">
        <v>35</v>
      </c>
      <c r="B41" s="26"/>
      <c r="C41" s="26" t="s">
        <v>11</v>
      </c>
      <c r="D41" s="27"/>
      <c r="E41" s="4"/>
      <c r="F41" s="25" t="str">
        <f>A41</f>
        <v>P814</v>
      </c>
      <c r="G41" s="26"/>
      <c r="H41" s="26" t="str">
        <f>C41</f>
        <v>White</v>
      </c>
      <c r="I41" s="27"/>
    </row>
    <row r="42" spans="1:12" s="1" customFormat="1" ht="30" customHeight="1" x14ac:dyDescent="0.25">
      <c r="A42" s="12" t="s">
        <v>4</v>
      </c>
      <c r="B42" s="19">
        <v>27016</v>
      </c>
      <c r="C42" s="19"/>
      <c r="D42" s="20"/>
      <c r="E42" s="4"/>
      <c r="F42" s="12" t="s">
        <v>4</v>
      </c>
      <c r="G42" s="19">
        <f>B42</f>
        <v>27016</v>
      </c>
      <c r="H42" s="19"/>
      <c r="I42" s="20"/>
    </row>
    <row r="43" spans="1:12" ht="63.75" customHeight="1" x14ac:dyDescent="0.25">
      <c r="A43" s="21" t="s">
        <v>17</v>
      </c>
      <c r="B43" s="21"/>
      <c r="C43" s="21"/>
      <c r="D43" s="21"/>
      <c r="E43" s="2"/>
      <c r="F43" s="21" t="str">
        <f>A43</f>
        <v>Oval DS Top-Fill - Barrel</v>
      </c>
      <c r="G43" s="21"/>
      <c r="H43" s="21"/>
      <c r="I43" s="21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46</v>
      </c>
      <c r="E45" s="4"/>
      <c r="F45" s="11" t="s">
        <v>2</v>
      </c>
      <c r="G45" s="10"/>
      <c r="H45" s="11" t="s">
        <v>5</v>
      </c>
      <c r="I45" s="7" t="str">
        <f>D45</f>
        <v>17B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18</v>
      </c>
      <c r="E46" s="4"/>
      <c r="F46" s="8" t="s">
        <v>3</v>
      </c>
      <c r="G46" s="9">
        <v>24</v>
      </c>
      <c r="H46" s="11" t="s">
        <v>6</v>
      </c>
      <c r="I46" s="7" t="str">
        <f>D46</f>
        <v>DS-B01</v>
      </c>
      <c r="K46" s="6" t="s">
        <v>8</v>
      </c>
      <c r="L46" s="6" t="s">
        <v>7</v>
      </c>
    </row>
    <row r="47" spans="1:12" s="1" customFormat="1" ht="30" customHeight="1" x14ac:dyDescent="0.25">
      <c r="A47" s="22" t="s">
        <v>33</v>
      </c>
      <c r="B47" s="23"/>
      <c r="C47" s="23"/>
      <c r="D47" s="24"/>
      <c r="E47" s="5"/>
      <c r="F47" s="22" t="s">
        <v>33</v>
      </c>
      <c r="G47" s="23"/>
      <c r="H47" s="23"/>
      <c r="I47" s="24"/>
      <c r="K47" s="1">
        <v>230</v>
      </c>
      <c r="L47" s="1">
        <v>20</v>
      </c>
    </row>
    <row r="48" spans="1:12" s="1" customFormat="1" ht="30" customHeight="1" x14ac:dyDescent="0.25">
      <c r="A48" s="25" t="s">
        <v>35</v>
      </c>
      <c r="B48" s="26"/>
      <c r="C48" s="26" t="s">
        <v>11</v>
      </c>
      <c r="D48" s="27"/>
      <c r="E48" s="4"/>
      <c r="F48" s="25" t="str">
        <f>A48</f>
        <v>P814</v>
      </c>
      <c r="G48" s="26"/>
      <c r="H48" s="26" t="str">
        <f>C48</f>
        <v>White</v>
      </c>
      <c r="I48" s="27"/>
    </row>
    <row r="49" spans="1:12" s="1" customFormat="1" ht="30" customHeight="1" x14ac:dyDescent="0.25">
      <c r="A49" s="12" t="s">
        <v>4</v>
      </c>
      <c r="B49" s="19">
        <v>27016</v>
      </c>
      <c r="C49" s="19"/>
      <c r="D49" s="20"/>
      <c r="E49" s="4"/>
      <c r="F49" s="12" t="s">
        <v>4</v>
      </c>
      <c r="G49" s="19">
        <f>B49</f>
        <v>27016</v>
      </c>
      <c r="H49" s="19"/>
      <c r="I49" s="20"/>
    </row>
    <row r="50" spans="1:12" ht="63.75" customHeight="1" x14ac:dyDescent="0.25">
      <c r="A50" s="21" t="s">
        <v>17</v>
      </c>
      <c r="B50" s="21"/>
      <c r="C50" s="21"/>
      <c r="D50" s="21"/>
      <c r="E50" s="2"/>
      <c r="F50" s="21" t="str">
        <f>A50</f>
        <v>Oval DS Top-Fill - Barrel</v>
      </c>
      <c r="G50" s="21"/>
      <c r="H50" s="21"/>
      <c r="I50" s="21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46</v>
      </c>
      <c r="E52" s="4"/>
      <c r="F52" s="11" t="s">
        <v>2</v>
      </c>
      <c r="G52" s="10"/>
      <c r="H52" s="11" t="s">
        <v>5</v>
      </c>
      <c r="I52" s="7" t="str">
        <f>D52</f>
        <v>17B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18</v>
      </c>
      <c r="E53" s="4"/>
      <c r="F53" s="8" t="s">
        <v>3</v>
      </c>
      <c r="G53" s="9">
        <v>25</v>
      </c>
      <c r="H53" s="11" t="s">
        <v>6</v>
      </c>
      <c r="I53" s="7" t="str">
        <f>D53</f>
        <v>DS-B01</v>
      </c>
      <c r="K53" s="6" t="s">
        <v>8</v>
      </c>
      <c r="L53" s="6" t="s">
        <v>7</v>
      </c>
    </row>
    <row r="54" spans="1:12" s="1" customFormat="1" ht="30" customHeight="1" x14ac:dyDescent="0.25">
      <c r="A54" s="22" t="s">
        <v>33</v>
      </c>
      <c r="B54" s="23"/>
      <c r="C54" s="23"/>
      <c r="D54" s="24"/>
      <c r="E54" s="5"/>
      <c r="F54" s="22" t="s">
        <v>33</v>
      </c>
      <c r="G54" s="23"/>
      <c r="H54" s="23"/>
      <c r="I54" s="24"/>
      <c r="K54" s="1">
        <v>230</v>
      </c>
      <c r="L54" s="1">
        <v>20</v>
      </c>
    </row>
    <row r="55" spans="1:12" s="1" customFormat="1" ht="30" customHeight="1" x14ac:dyDescent="0.25">
      <c r="A55" s="25" t="s">
        <v>35</v>
      </c>
      <c r="B55" s="26"/>
      <c r="C55" s="26" t="s">
        <v>11</v>
      </c>
      <c r="D55" s="27"/>
      <c r="E55" s="4"/>
      <c r="F55" s="25" t="str">
        <f>A55</f>
        <v>P814</v>
      </c>
      <c r="G55" s="26"/>
      <c r="H55" s="26" t="str">
        <f>C55</f>
        <v>White</v>
      </c>
      <c r="I55" s="27"/>
    </row>
    <row r="56" spans="1:12" s="1" customFormat="1" ht="30" customHeight="1" x14ac:dyDescent="0.25">
      <c r="A56" s="12" t="s">
        <v>4</v>
      </c>
      <c r="B56" s="19">
        <v>27016</v>
      </c>
      <c r="C56" s="19"/>
      <c r="D56" s="20"/>
      <c r="E56" s="4"/>
      <c r="F56" s="12" t="s">
        <v>4</v>
      </c>
      <c r="G56" s="19">
        <f>B56</f>
        <v>27016</v>
      </c>
      <c r="H56" s="19"/>
      <c r="I56" s="20"/>
    </row>
    <row r="57" spans="1:12" ht="63.75" customHeight="1" x14ac:dyDescent="0.25">
      <c r="A57" s="21" t="s">
        <v>17</v>
      </c>
      <c r="B57" s="21"/>
      <c r="C57" s="21"/>
      <c r="D57" s="21"/>
      <c r="E57" s="2"/>
      <c r="F57" s="21" t="str">
        <f>A57</f>
        <v>Oval DS Top-Fill - Barrel</v>
      </c>
      <c r="G57" s="21"/>
      <c r="H57" s="21"/>
      <c r="I57" s="21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46</v>
      </c>
      <c r="E59" s="4"/>
      <c r="F59" s="11" t="s">
        <v>2</v>
      </c>
      <c r="G59" s="10"/>
      <c r="H59" s="11" t="s">
        <v>5</v>
      </c>
      <c r="I59" s="7" t="str">
        <f>D59</f>
        <v>17B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18</v>
      </c>
      <c r="E60" s="4"/>
      <c r="F60" s="8" t="s">
        <v>3</v>
      </c>
      <c r="G60" s="9">
        <v>26</v>
      </c>
      <c r="H60" s="11" t="s">
        <v>6</v>
      </c>
      <c r="I60" s="7" t="str">
        <f>D60</f>
        <v>DS-B01</v>
      </c>
      <c r="K60" s="6" t="s">
        <v>8</v>
      </c>
      <c r="L60" s="6" t="s">
        <v>7</v>
      </c>
    </row>
    <row r="61" spans="1:12" s="1" customFormat="1" ht="30" customHeight="1" x14ac:dyDescent="0.25">
      <c r="A61" s="22" t="s">
        <v>33</v>
      </c>
      <c r="B61" s="23"/>
      <c r="C61" s="23"/>
      <c r="D61" s="24"/>
      <c r="E61" s="5"/>
      <c r="F61" s="22" t="s">
        <v>33</v>
      </c>
      <c r="G61" s="23"/>
      <c r="H61" s="23"/>
      <c r="I61" s="24"/>
      <c r="K61" s="1">
        <v>230</v>
      </c>
      <c r="L61" s="1">
        <v>20</v>
      </c>
    </row>
    <row r="62" spans="1:12" s="1" customFormat="1" ht="30" customHeight="1" x14ac:dyDescent="0.25">
      <c r="A62" s="25" t="s">
        <v>35</v>
      </c>
      <c r="B62" s="26"/>
      <c r="C62" s="26" t="s">
        <v>11</v>
      </c>
      <c r="D62" s="27"/>
      <c r="E62" s="4"/>
      <c r="F62" s="25" t="str">
        <f>A62</f>
        <v>P814</v>
      </c>
      <c r="G62" s="26"/>
      <c r="H62" s="26" t="str">
        <f>C62</f>
        <v>White</v>
      </c>
      <c r="I62" s="27"/>
    </row>
    <row r="63" spans="1:12" s="1" customFormat="1" ht="30" customHeight="1" x14ac:dyDescent="0.25">
      <c r="A63" s="12" t="s">
        <v>4</v>
      </c>
      <c r="B63" s="19">
        <v>27016</v>
      </c>
      <c r="C63" s="19"/>
      <c r="D63" s="20"/>
      <c r="E63" s="4"/>
      <c r="F63" s="12" t="s">
        <v>4</v>
      </c>
      <c r="G63" s="19">
        <f>B63</f>
        <v>27016</v>
      </c>
      <c r="H63" s="19"/>
      <c r="I63" s="20"/>
    </row>
    <row r="64" spans="1:12" ht="63.75" customHeight="1" x14ac:dyDescent="0.25">
      <c r="A64" s="21" t="s">
        <v>17</v>
      </c>
      <c r="B64" s="21"/>
      <c r="C64" s="21"/>
      <c r="D64" s="21"/>
      <c r="E64" s="2"/>
      <c r="F64" s="21" t="str">
        <f>A64</f>
        <v>Oval DS Top-Fill - Barrel</v>
      </c>
      <c r="G64" s="21"/>
      <c r="H64" s="21"/>
      <c r="I64" s="21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46</v>
      </c>
      <c r="E66" s="4"/>
      <c r="F66" s="11" t="s">
        <v>2</v>
      </c>
      <c r="G66" s="10"/>
      <c r="H66" s="11" t="s">
        <v>5</v>
      </c>
      <c r="I66" s="7" t="str">
        <f>D66</f>
        <v>17B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18</v>
      </c>
      <c r="E67" s="4"/>
      <c r="F67" s="8" t="s">
        <v>3</v>
      </c>
      <c r="G67" s="9">
        <v>27</v>
      </c>
      <c r="H67" s="11" t="s">
        <v>6</v>
      </c>
      <c r="I67" s="7" t="str">
        <f>D67</f>
        <v>DS-B01</v>
      </c>
      <c r="K67" s="6" t="s">
        <v>8</v>
      </c>
      <c r="L67" s="6" t="s">
        <v>7</v>
      </c>
    </row>
    <row r="68" spans="1:12" s="1" customFormat="1" ht="30" customHeight="1" x14ac:dyDescent="0.25">
      <c r="A68" s="22" t="s">
        <v>33</v>
      </c>
      <c r="B68" s="23"/>
      <c r="C68" s="23"/>
      <c r="D68" s="24"/>
      <c r="E68" s="5"/>
      <c r="F68" s="22" t="s">
        <v>33</v>
      </c>
      <c r="G68" s="23"/>
      <c r="H68" s="23"/>
      <c r="I68" s="24"/>
      <c r="K68" s="1">
        <v>230</v>
      </c>
      <c r="L68" s="1">
        <v>20</v>
      </c>
    </row>
    <row r="69" spans="1:12" s="1" customFormat="1" ht="30" customHeight="1" x14ac:dyDescent="0.25">
      <c r="A69" s="25" t="s">
        <v>35</v>
      </c>
      <c r="B69" s="26"/>
      <c r="C69" s="26" t="s">
        <v>11</v>
      </c>
      <c r="D69" s="27"/>
      <c r="E69" s="4"/>
      <c r="F69" s="25" t="str">
        <f>A69</f>
        <v>P814</v>
      </c>
      <c r="G69" s="26"/>
      <c r="H69" s="26" t="str">
        <f>C69</f>
        <v>White</v>
      </c>
      <c r="I69" s="27"/>
    </row>
    <row r="70" spans="1:12" s="1" customFormat="1" ht="30" customHeight="1" x14ac:dyDescent="0.25">
      <c r="A70" s="12" t="s">
        <v>4</v>
      </c>
      <c r="B70" s="19">
        <v>27016</v>
      </c>
      <c r="C70" s="19"/>
      <c r="D70" s="20"/>
      <c r="E70" s="4"/>
      <c r="F70" s="12" t="s">
        <v>4</v>
      </c>
      <c r="G70" s="19">
        <f>B70</f>
        <v>27016</v>
      </c>
      <c r="H70" s="19"/>
      <c r="I70" s="20"/>
    </row>
    <row r="71" spans="1:12" ht="63.75" customHeight="1" x14ac:dyDescent="0.25">
      <c r="A71" s="21" t="s">
        <v>17</v>
      </c>
      <c r="B71" s="21"/>
      <c r="C71" s="21"/>
      <c r="D71" s="21"/>
      <c r="E71" s="2"/>
      <c r="F71" s="21" t="str">
        <f>A71</f>
        <v>Oval DS Top-Fill - Barrel</v>
      </c>
      <c r="G71" s="21"/>
      <c r="H71" s="21"/>
      <c r="I71" s="21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46</v>
      </c>
      <c r="E73" s="4"/>
      <c r="F73" s="11" t="s">
        <v>2</v>
      </c>
      <c r="G73" s="10"/>
      <c r="H73" s="11" t="s">
        <v>5</v>
      </c>
      <c r="I73" s="7" t="str">
        <f>D73</f>
        <v>17B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18</v>
      </c>
      <c r="E74" s="4"/>
      <c r="F74" s="8" t="s">
        <v>3</v>
      </c>
      <c r="G74" s="9">
        <v>28</v>
      </c>
      <c r="H74" s="11" t="s">
        <v>6</v>
      </c>
      <c r="I74" s="7" t="str">
        <f>D74</f>
        <v>DS-B01</v>
      </c>
      <c r="K74" s="6" t="s">
        <v>8</v>
      </c>
      <c r="L74" s="6" t="s">
        <v>7</v>
      </c>
    </row>
    <row r="75" spans="1:12" s="1" customFormat="1" ht="30" customHeight="1" x14ac:dyDescent="0.25">
      <c r="A75" s="22" t="s">
        <v>33</v>
      </c>
      <c r="B75" s="23"/>
      <c r="C75" s="23"/>
      <c r="D75" s="24"/>
      <c r="E75" s="5"/>
      <c r="F75" s="22" t="s">
        <v>33</v>
      </c>
      <c r="G75" s="23"/>
      <c r="H75" s="23"/>
      <c r="I75" s="24"/>
      <c r="K75" s="1">
        <v>230</v>
      </c>
      <c r="L75" s="1">
        <v>20</v>
      </c>
    </row>
    <row r="76" spans="1:12" s="1" customFormat="1" ht="30" customHeight="1" x14ac:dyDescent="0.25">
      <c r="A76" s="25" t="s">
        <v>35</v>
      </c>
      <c r="B76" s="26"/>
      <c r="C76" s="26" t="s">
        <v>11</v>
      </c>
      <c r="D76" s="27"/>
      <c r="E76" s="4"/>
      <c r="F76" s="25" t="str">
        <f>A76</f>
        <v>P814</v>
      </c>
      <c r="G76" s="26"/>
      <c r="H76" s="26" t="str">
        <f>C76</f>
        <v>White</v>
      </c>
      <c r="I76" s="27"/>
    </row>
    <row r="77" spans="1:12" s="1" customFormat="1" ht="30" customHeight="1" x14ac:dyDescent="0.25">
      <c r="A77" s="12" t="s">
        <v>4</v>
      </c>
      <c r="B77" s="19">
        <v>27016</v>
      </c>
      <c r="C77" s="19"/>
      <c r="D77" s="20"/>
      <c r="E77" s="4"/>
      <c r="F77" s="12" t="s">
        <v>4</v>
      </c>
      <c r="G77" s="19">
        <f>B77</f>
        <v>27016</v>
      </c>
      <c r="H77" s="19"/>
      <c r="I77" s="20"/>
    </row>
    <row r="78" spans="1:12" ht="63.75" customHeight="1" x14ac:dyDescent="0.25">
      <c r="A78" s="21" t="s">
        <v>17</v>
      </c>
      <c r="B78" s="21"/>
      <c r="C78" s="21"/>
      <c r="D78" s="21"/>
      <c r="E78" s="2"/>
      <c r="F78" s="21" t="str">
        <f>A78</f>
        <v>Oval DS Top-Fill - Barrel</v>
      </c>
      <c r="G78" s="21"/>
      <c r="H78" s="21"/>
      <c r="I78" s="21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46</v>
      </c>
      <c r="E80" s="4"/>
      <c r="F80" s="11" t="s">
        <v>2</v>
      </c>
      <c r="G80" s="10"/>
      <c r="H80" s="11" t="s">
        <v>5</v>
      </c>
      <c r="I80" s="7" t="str">
        <f>D80</f>
        <v>17B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18</v>
      </c>
      <c r="E81" s="4"/>
      <c r="F81" s="8" t="s">
        <v>3</v>
      </c>
      <c r="G81" s="9">
        <v>29</v>
      </c>
      <c r="H81" s="11" t="s">
        <v>6</v>
      </c>
      <c r="I81" s="7" t="str">
        <f>D81</f>
        <v>DS-B01</v>
      </c>
      <c r="K81" s="6" t="s">
        <v>8</v>
      </c>
      <c r="L81" s="6" t="s">
        <v>7</v>
      </c>
    </row>
    <row r="82" spans="1:12" s="1" customFormat="1" ht="30" customHeight="1" x14ac:dyDescent="0.25">
      <c r="A82" s="22" t="s">
        <v>33</v>
      </c>
      <c r="B82" s="23"/>
      <c r="C82" s="23"/>
      <c r="D82" s="24"/>
      <c r="E82" s="5"/>
      <c r="F82" s="22" t="s">
        <v>33</v>
      </c>
      <c r="G82" s="23"/>
      <c r="H82" s="23"/>
      <c r="I82" s="24"/>
      <c r="K82" s="1">
        <v>230</v>
      </c>
      <c r="L82" s="1">
        <v>20</v>
      </c>
    </row>
    <row r="83" spans="1:12" s="1" customFormat="1" ht="30" customHeight="1" x14ac:dyDescent="0.25">
      <c r="A83" s="25" t="s">
        <v>35</v>
      </c>
      <c r="B83" s="26"/>
      <c r="C83" s="26" t="s">
        <v>11</v>
      </c>
      <c r="D83" s="27"/>
      <c r="E83" s="4"/>
      <c r="F83" s="25" t="str">
        <f>A83</f>
        <v>P814</v>
      </c>
      <c r="G83" s="26"/>
      <c r="H83" s="26" t="str">
        <f>C83</f>
        <v>White</v>
      </c>
      <c r="I83" s="27"/>
    </row>
    <row r="84" spans="1:12" s="1" customFormat="1" ht="30" customHeight="1" x14ac:dyDescent="0.25">
      <c r="A84" s="12" t="s">
        <v>4</v>
      </c>
      <c r="B84" s="19">
        <v>27016</v>
      </c>
      <c r="C84" s="19"/>
      <c r="D84" s="20"/>
      <c r="E84" s="4"/>
      <c r="F84" s="12" t="s">
        <v>4</v>
      </c>
      <c r="G84" s="19">
        <f>B84</f>
        <v>27016</v>
      </c>
      <c r="H84" s="19"/>
      <c r="I84" s="20"/>
    </row>
    <row r="85" spans="1:12" ht="63.75" customHeight="1" x14ac:dyDescent="0.25">
      <c r="A85" s="21" t="s">
        <v>17</v>
      </c>
      <c r="B85" s="21"/>
      <c r="C85" s="21"/>
      <c r="D85" s="21"/>
      <c r="E85" s="2"/>
      <c r="F85" s="21" t="str">
        <f>A85</f>
        <v>Oval DS Top-Fill - Barrel</v>
      </c>
      <c r="G85" s="21"/>
      <c r="H85" s="21"/>
      <c r="I85" s="21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46</v>
      </c>
      <c r="E87" s="4"/>
      <c r="F87" s="11" t="s">
        <v>2</v>
      </c>
      <c r="G87" s="10"/>
      <c r="H87" s="11" t="s">
        <v>5</v>
      </c>
      <c r="I87" s="7" t="str">
        <f>D87</f>
        <v>17B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18</v>
      </c>
      <c r="E88" s="4"/>
      <c r="F88" s="8" t="s">
        <v>3</v>
      </c>
      <c r="G88" s="9">
        <v>30</v>
      </c>
      <c r="H88" s="11" t="s">
        <v>6</v>
      </c>
      <c r="I88" s="7" t="str">
        <f>D88</f>
        <v>DS-B01</v>
      </c>
      <c r="K88" s="6" t="s">
        <v>8</v>
      </c>
      <c r="L88" s="6" t="s">
        <v>7</v>
      </c>
    </row>
    <row r="89" spans="1:12" s="1" customFormat="1" ht="30" customHeight="1" x14ac:dyDescent="0.25">
      <c r="A89" s="22" t="s">
        <v>33</v>
      </c>
      <c r="B89" s="23"/>
      <c r="C89" s="23"/>
      <c r="D89" s="24"/>
      <c r="E89" s="5"/>
      <c r="F89" s="22" t="s">
        <v>33</v>
      </c>
      <c r="G89" s="23"/>
      <c r="H89" s="23"/>
      <c r="I89" s="24"/>
      <c r="K89" s="1">
        <v>230</v>
      </c>
      <c r="L89" s="1">
        <v>20</v>
      </c>
    </row>
    <row r="90" spans="1:12" s="1" customFormat="1" ht="30" customHeight="1" x14ac:dyDescent="0.25">
      <c r="A90" s="25" t="s">
        <v>35</v>
      </c>
      <c r="B90" s="26"/>
      <c r="C90" s="26" t="s">
        <v>11</v>
      </c>
      <c r="D90" s="27"/>
      <c r="E90" s="4"/>
      <c r="F90" s="25" t="str">
        <f>A90</f>
        <v>P814</v>
      </c>
      <c r="G90" s="26"/>
      <c r="H90" s="26" t="str">
        <f>C90</f>
        <v>White</v>
      </c>
      <c r="I90" s="27"/>
    </row>
    <row r="91" spans="1:12" s="1" customFormat="1" ht="30" customHeight="1" x14ac:dyDescent="0.25">
      <c r="A91" s="12" t="s">
        <v>4</v>
      </c>
      <c r="B91" s="19">
        <v>27016</v>
      </c>
      <c r="C91" s="19"/>
      <c r="D91" s="20"/>
      <c r="E91" s="4"/>
      <c r="F91" s="12" t="s">
        <v>4</v>
      </c>
      <c r="G91" s="19">
        <f>B91</f>
        <v>27016</v>
      </c>
      <c r="H91" s="19"/>
      <c r="I91" s="20"/>
    </row>
    <row r="92" spans="1:12" ht="63.75" customHeight="1" x14ac:dyDescent="0.25">
      <c r="A92" s="21" t="s">
        <v>17</v>
      </c>
      <c r="B92" s="21"/>
      <c r="C92" s="21"/>
      <c r="D92" s="21"/>
      <c r="E92" s="2"/>
      <c r="F92" s="21" t="str">
        <f>A92</f>
        <v>Oval DS Top-Fill - Barrel</v>
      </c>
      <c r="G92" s="21"/>
      <c r="H92" s="21"/>
      <c r="I92" s="21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46</v>
      </c>
      <c r="E94" s="4"/>
      <c r="F94" s="11" t="s">
        <v>2</v>
      </c>
      <c r="G94" s="10"/>
      <c r="H94" s="11" t="s">
        <v>5</v>
      </c>
      <c r="I94" s="7" t="str">
        <f>D94</f>
        <v>17B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18</v>
      </c>
      <c r="E95" s="4"/>
      <c r="F95" s="8" t="s">
        <v>3</v>
      </c>
      <c r="G95" s="9">
        <v>31</v>
      </c>
      <c r="H95" s="11" t="s">
        <v>6</v>
      </c>
      <c r="I95" s="7" t="str">
        <f>D95</f>
        <v>DS-B01</v>
      </c>
      <c r="K95" s="6" t="s">
        <v>8</v>
      </c>
      <c r="L95" s="6" t="s">
        <v>7</v>
      </c>
    </row>
    <row r="96" spans="1:12" s="1" customFormat="1" ht="30" customHeight="1" x14ac:dyDescent="0.25">
      <c r="A96" s="22" t="s">
        <v>33</v>
      </c>
      <c r="B96" s="23"/>
      <c r="C96" s="23"/>
      <c r="D96" s="24"/>
      <c r="E96" s="5"/>
      <c r="F96" s="22" t="s">
        <v>33</v>
      </c>
      <c r="G96" s="23"/>
      <c r="H96" s="23"/>
      <c r="I96" s="24"/>
      <c r="K96" s="1">
        <v>230</v>
      </c>
      <c r="L96" s="1">
        <v>20</v>
      </c>
    </row>
    <row r="97" spans="1:12" s="1" customFormat="1" ht="30" customHeight="1" x14ac:dyDescent="0.25">
      <c r="A97" s="25" t="s">
        <v>35</v>
      </c>
      <c r="B97" s="26"/>
      <c r="C97" s="26" t="s">
        <v>11</v>
      </c>
      <c r="D97" s="27"/>
      <c r="E97" s="4"/>
      <c r="F97" s="25" t="str">
        <f>A97</f>
        <v>P814</v>
      </c>
      <c r="G97" s="26"/>
      <c r="H97" s="26" t="str">
        <f>C97</f>
        <v>White</v>
      </c>
      <c r="I97" s="27"/>
    </row>
    <row r="98" spans="1:12" s="1" customFormat="1" ht="30" customHeight="1" x14ac:dyDescent="0.25">
      <c r="A98" s="12" t="s">
        <v>4</v>
      </c>
      <c r="B98" s="19">
        <v>27016</v>
      </c>
      <c r="C98" s="19"/>
      <c r="D98" s="20"/>
      <c r="E98" s="4"/>
      <c r="F98" s="12" t="s">
        <v>4</v>
      </c>
      <c r="G98" s="19">
        <f>B98</f>
        <v>27016</v>
      </c>
      <c r="H98" s="19"/>
      <c r="I98" s="20"/>
    </row>
    <row r="99" spans="1:12" ht="63.75" customHeight="1" x14ac:dyDescent="0.25">
      <c r="A99" s="21" t="s">
        <v>17</v>
      </c>
      <c r="B99" s="21"/>
      <c r="C99" s="21"/>
      <c r="D99" s="21"/>
      <c r="E99" s="2"/>
      <c r="F99" s="21" t="str">
        <f>A99</f>
        <v>Oval DS Top-Fill - Barrel</v>
      </c>
      <c r="G99" s="21"/>
      <c r="H99" s="21"/>
      <c r="I99" s="21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46</v>
      </c>
      <c r="E101" s="4"/>
      <c r="F101" s="11" t="s">
        <v>2</v>
      </c>
      <c r="G101" s="10"/>
      <c r="H101" s="11" t="s">
        <v>5</v>
      </c>
      <c r="I101" s="7" t="str">
        <f>D101</f>
        <v>17B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18</v>
      </c>
      <c r="E102" s="4"/>
      <c r="F102" s="8" t="s">
        <v>3</v>
      </c>
      <c r="G102" s="9">
        <v>32</v>
      </c>
      <c r="H102" s="11" t="s">
        <v>6</v>
      </c>
      <c r="I102" s="7" t="str">
        <f>D102</f>
        <v>DS-B01</v>
      </c>
      <c r="K102" s="6" t="s">
        <v>8</v>
      </c>
      <c r="L102" s="6" t="s">
        <v>7</v>
      </c>
    </row>
    <row r="103" spans="1:12" s="1" customFormat="1" ht="30" customHeight="1" x14ac:dyDescent="0.25">
      <c r="A103" s="22" t="s">
        <v>33</v>
      </c>
      <c r="B103" s="23"/>
      <c r="C103" s="23"/>
      <c r="D103" s="24"/>
      <c r="E103" s="5"/>
      <c r="F103" s="22" t="s">
        <v>33</v>
      </c>
      <c r="G103" s="23"/>
      <c r="H103" s="23"/>
      <c r="I103" s="24"/>
      <c r="K103" s="1">
        <v>230</v>
      </c>
      <c r="L103" s="1">
        <v>20</v>
      </c>
    </row>
    <row r="104" spans="1:12" s="1" customFormat="1" ht="30" customHeight="1" x14ac:dyDescent="0.25">
      <c r="A104" s="25" t="s">
        <v>35</v>
      </c>
      <c r="B104" s="26"/>
      <c r="C104" s="26" t="s">
        <v>11</v>
      </c>
      <c r="D104" s="27"/>
      <c r="E104" s="4"/>
      <c r="F104" s="25" t="str">
        <f>A104</f>
        <v>P814</v>
      </c>
      <c r="G104" s="26"/>
      <c r="H104" s="26" t="str">
        <f>C104</f>
        <v>White</v>
      </c>
      <c r="I104" s="27"/>
    </row>
    <row r="105" spans="1:12" s="1" customFormat="1" ht="30" customHeight="1" x14ac:dyDescent="0.25">
      <c r="A105" s="12" t="s">
        <v>4</v>
      </c>
      <c r="B105" s="19">
        <v>27016</v>
      </c>
      <c r="C105" s="19"/>
      <c r="D105" s="20"/>
      <c r="E105" s="4"/>
      <c r="F105" s="12" t="s">
        <v>4</v>
      </c>
      <c r="G105" s="19">
        <f>B105</f>
        <v>27016</v>
      </c>
      <c r="H105" s="19"/>
      <c r="I105" s="20"/>
    </row>
    <row r="106" spans="1:12" ht="63.75" customHeight="1" x14ac:dyDescent="0.25">
      <c r="A106" s="21" t="s">
        <v>17</v>
      </c>
      <c r="B106" s="21"/>
      <c r="C106" s="21"/>
      <c r="D106" s="21"/>
      <c r="E106" s="2"/>
      <c r="F106" s="21" t="str">
        <f>A106</f>
        <v>Oval DS Top-Fill - Barrel</v>
      </c>
      <c r="G106" s="21"/>
      <c r="H106" s="21"/>
      <c r="I106" s="21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46</v>
      </c>
      <c r="E108" s="4"/>
      <c r="F108" s="11" t="s">
        <v>2</v>
      </c>
      <c r="G108" s="10"/>
      <c r="H108" s="11" t="s">
        <v>5</v>
      </c>
      <c r="I108" s="7" t="str">
        <f>D108</f>
        <v>17B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18</v>
      </c>
      <c r="E109" s="4"/>
      <c r="F109" s="8" t="s">
        <v>3</v>
      </c>
      <c r="G109" s="9">
        <v>33</v>
      </c>
      <c r="H109" s="11" t="s">
        <v>6</v>
      </c>
      <c r="I109" s="7" t="str">
        <f>D109</f>
        <v>DS-B01</v>
      </c>
      <c r="K109" s="6" t="s">
        <v>8</v>
      </c>
      <c r="L109" s="6" t="s">
        <v>7</v>
      </c>
    </row>
    <row r="110" spans="1:12" s="1" customFormat="1" ht="30" customHeight="1" x14ac:dyDescent="0.25">
      <c r="A110" s="22" t="s">
        <v>33</v>
      </c>
      <c r="B110" s="23"/>
      <c r="C110" s="23"/>
      <c r="D110" s="24"/>
      <c r="E110" s="5"/>
      <c r="F110" s="22" t="s">
        <v>33</v>
      </c>
      <c r="G110" s="23"/>
      <c r="H110" s="23"/>
      <c r="I110" s="24"/>
      <c r="K110" s="1">
        <v>230</v>
      </c>
      <c r="L110" s="1">
        <v>20</v>
      </c>
    </row>
    <row r="111" spans="1:12" s="1" customFormat="1" ht="30" customHeight="1" x14ac:dyDescent="0.25">
      <c r="A111" s="25" t="s">
        <v>35</v>
      </c>
      <c r="B111" s="26"/>
      <c r="C111" s="26" t="s">
        <v>11</v>
      </c>
      <c r="D111" s="27"/>
      <c r="E111" s="4"/>
      <c r="F111" s="25" t="str">
        <f>A111</f>
        <v>P814</v>
      </c>
      <c r="G111" s="26"/>
      <c r="H111" s="26" t="str">
        <f>C111</f>
        <v>White</v>
      </c>
      <c r="I111" s="27"/>
    </row>
    <row r="112" spans="1:12" s="1" customFormat="1" ht="30" customHeight="1" x14ac:dyDescent="0.25">
      <c r="A112" s="12" t="s">
        <v>4</v>
      </c>
      <c r="B112" s="19">
        <v>27016</v>
      </c>
      <c r="C112" s="19"/>
      <c r="D112" s="20"/>
      <c r="E112" s="4"/>
      <c r="F112" s="12" t="s">
        <v>4</v>
      </c>
      <c r="G112" s="19">
        <f>B112</f>
        <v>27016</v>
      </c>
      <c r="H112" s="19"/>
      <c r="I112" s="20"/>
    </row>
    <row r="113" spans="1:12" ht="63.75" customHeight="1" x14ac:dyDescent="0.25">
      <c r="A113" s="21" t="s">
        <v>17</v>
      </c>
      <c r="B113" s="21"/>
      <c r="C113" s="21"/>
      <c r="D113" s="21"/>
      <c r="E113" s="2"/>
      <c r="F113" s="21" t="str">
        <f>A113</f>
        <v>Oval DS Top-Fill - Barrel</v>
      </c>
      <c r="G113" s="21"/>
      <c r="H113" s="21"/>
      <c r="I113" s="21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46</v>
      </c>
      <c r="E115" s="4"/>
      <c r="F115" s="11" t="s">
        <v>2</v>
      </c>
      <c r="G115" s="10"/>
      <c r="H115" s="11" t="s">
        <v>5</v>
      </c>
      <c r="I115" s="7" t="str">
        <f>D115</f>
        <v>17B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7" t="s">
        <v>18</v>
      </c>
      <c r="E116" s="4"/>
      <c r="F116" s="8" t="s">
        <v>3</v>
      </c>
      <c r="G116" s="9">
        <v>34</v>
      </c>
      <c r="H116" s="11" t="s">
        <v>6</v>
      </c>
      <c r="I116" s="7" t="str">
        <f>D116</f>
        <v>DS-B01</v>
      </c>
      <c r="K116" s="6" t="s">
        <v>8</v>
      </c>
      <c r="L116" s="6" t="s">
        <v>7</v>
      </c>
    </row>
    <row r="117" spans="1:12" s="1" customFormat="1" ht="30" customHeight="1" x14ac:dyDescent="0.25">
      <c r="A117" s="22" t="s">
        <v>33</v>
      </c>
      <c r="B117" s="23"/>
      <c r="C117" s="23"/>
      <c r="D117" s="24"/>
      <c r="E117" s="5"/>
      <c r="F117" s="22" t="s">
        <v>47</v>
      </c>
      <c r="G117" s="23"/>
      <c r="H117" s="23"/>
      <c r="I117" s="24"/>
      <c r="K117" s="1">
        <v>230</v>
      </c>
      <c r="L117" s="1">
        <v>20</v>
      </c>
    </row>
    <row r="118" spans="1:12" s="1" customFormat="1" ht="30" customHeight="1" x14ac:dyDescent="0.25">
      <c r="A118" s="25" t="s">
        <v>35</v>
      </c>
      <c r="B118" s="26"/>
      <c r="C118" s="26" t="s">
        <v>11</v>
      </c>
      <c r="D118" s="27"/>
      <c r="E118" s="4"/>
      <c r="F118" s="25" t="str">
        <f>A118</f>
        <v>P814</v>
      </c>
      <c r="G118" s="26"/>
      <c r="H118" s="26" t="str">
        <f>C118</f>
        <v>White</v>
      </c>
      <c r="I118" s="27"/>
    </row>
    <row r="119" spans="1:12" s="1" customFormat="1" ht="30" customHeight="1" x14ac:dyDescent="0.25">
      <c r="A119" s="12" t="s">
        <v>4</v>
      </c>
      <c r="B119" s="19">
        <v>27016</v>
      </c>
      <c r="C119" s="19"/>
      <c r="D119" s="20"/>
      <c r="E119" s="4"/>
      <c r="F119" s="12" t="s">
        <v>4</v>
      </c>
      <c r="G119" s="19">
        <f>B119</f>
        <v>27016</v>
      </c>
      <c r="H119" s="19"/>
      <c r="I119" s="20"/>
    </row>
  </sheetData>
  <mergeCells count="170"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20:B20"/>
    <mergeCell ref="C20:D20"/>
    <mergeCell ref="F20:G20"/>
    <mergeCell ref="H20:I20"/>
    <mergeCell ref="B21:D21"/>
    <mergeCell ref="G21:I21"/>
    <mergeCell ref="B14:D14"/>
    <mergeCell ref="G14:I14"/>
    <mergeCell ref="A15:D15"/>
    <mergeCell ref="F15:I15"/>
    <mergeCell ref="A19:D19"/>
    <mergeCell ref="F19:I19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A43:D43"/>
    <mergeCell ref="F43:I43"/>
    <mergeCell ref="A47:D47"/>
    <mergeCell ref="F47:I47"/>
    <mergeCell ref="A48:B48"/>
    <mergeCell ref="C48:D48"/>
    <mergeCell ref="F48:G48"/>
    <mergeCell ref="H48:I48"/>
    <mergeCell ref="B42:D42"/>
    <mergeCell ref="G42:I4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B98:D98"/>
    <mergeCell ref="G98:I98"/>
    <mergeCell ref="A111:B111"/>
    <mergeCell ref="C111:D111"/>
    <mergeCell ref="F111:G111"/>
    <mergeCell ref="H111:I111"/>
    <mergeCell ref="B112:D112"/>
    <mergeCell ref="G112:I112"/>
    <mergeCell ref="B105:D105"/>
    <mergeCell ref="G105:I105"/>
    <mergeCell ref="A106:D106"/>
    <mergeCell ref="F106:I106"/>
    <mergeCell ref="A110:D110"/>
    <mergeCell ref="F110:I110"/>
    <mergeCell ref="B119:D119"/>
    <mergeCell ref="G119:I119"/>
    <mergeCell ref="A113:D113"/>
    <mergeCell ref="F113:I113"/>
    <mergeCell ref="A117:D117"/>
    <mergeCell ref="F117:I117"/>
    <mergeCell ref="A118:B118"/>
    <mergeCell ref="C118:D118"/>
    <mergeCell ref="F118:G118"/>
    <mergeCell ref="H118:I118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91"/>
  <sheetViews>
    <sheetView view="pageBreakPreview" topLeftCell="A79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19</v>
      </c>
      <c r="B1" s="21"/>
      <c r="C1" s="21"/>
      <c r="D1" s="21"/>
      <c r="E1" s="2"/>
      <c r="F1" s="21" t="str">
        <f>A1</f>
        <v>Oval DS Top-Fill - Platform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48</v>
      </c>
      <c r="E3" s="4"/>
      <c r="F3" s="11" t="s">
        <v>2</v>
      </c>
      <c r="G3" s="10"/>
      <c r="H3" s="11" t="s">
        <v>5</v>
      </c>
      <c r="I3" s="7" t="str">
        <f>D3</f>
        <v>14A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20</v>
      </c>
      <c r="E4" s="4"/>
      <c r="F4" s="8" t="s">
        <v>3</v>
      </c>
      <c r="G4" s="9">
        <v>14</v>
      </c>
      <c r="H4" s="11" t="s">
        <v>6</v>
      </c>
      <c r="I4" s="7" t="str">
        <f>D4</f>
        <v>DS-P02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29</v>
      </c>
      <c r="B5" s="23"/>
      <c r="C5" s="23"/>
      <c r="D5" s="24"/>
      <c r="E5" s="5"/>
      <c r="F5" s="22" t="s">
        <v>29</v>
      </c>
      <c r="G5" s="23"/>
      <c r="H5" s="23"/>
      <c r="I5" s="24"/>
      <c r="K5" s="1">
        <v>500</v>
      </c>
      <c r="L5" s="1">
        <v>80</v>
      </c>
    </row>
    <row r="6" spans="1:12" s="1" customFormat="1" ht="30" customHeight="1" x14ac:dyDescent="0.25">
      <c r="A6" s="25" t="s">
        <v>32</v>
      </c>
      <c r="B6" s="26"/>
      <c r="C6" s="28" t="s">
        <v>34</v>
      </c>
      <c r="D6" s="27"/>
      <c r="E6" s="4"/>
      <c r="F6" s="25" t="str">
        <f>A6</f>
        <v>FC2304E</v>
      </c>
      <c r="G6" s="26"/>
      <c r="H6" s="28" t="str">
        <f>C6</f>
        <v/>
      </c>
      <c r="I6" s="27"/>
    </row>
    <row r="7" spans="1:12" s="1" customFormat="1" ht="30" customHeight="1" x14ac:dyDescent="0.25">
      <c r="A7" s="12" t="s">
        <v>4</v>
      </c>
      <c r="B7" s="29">
        <v>26680</v>
      </c>
      <c r="C7" s="29"/>
      <c r="D7" s="30"/>
      <c r="E7" s="4"/>
      <c r="F7" s="12" t="s">
        <v>4</v>
      </c>
      <c r="G7" s="29">
        <f>B7</f>
        <v>26680</v>
      </c>
      <c r="H7" s="29"/>
      <c r="I7" s="30"/>
    </row>
    <row r="8" spans="1:12" ht="63.75" customHeight="1" x14ac:dyDescent="0.25">
      <c r="A8" s="21" t="s">
        <v>19</v>
      </c>
      <c r="B8" s="21"/>
      <c r="C8" s="21"/>
      <c r="D8" s="21"/>
      <c r="E8" s="2"/>
      <c r="F8" s="21" t="str">
        <f>A8</f>
        <v>Oval DS Top-Fill - Platform</v>
      </c>
      <c r="G8" s="21"/>
      <c r="H8" s="21"/>
      <c r="I8" s="21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48</v>
      </c>
      <c r="E10" s="4"/>
      <c r="F10" s="11" t="s">
        <v>2</v>
      </c>
      <c r="G10" s="10"/>
      <c r="H10" s="11" t="s">
        <v>5</v>
      </c>
      <c r="I10" s="7" t="str">
        <f>D10</f>
        <v>14A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20</v>
      </c>
      <c r="E11" s="4"/>
      <c r="F11" s="8" t="s">
        <v>3</v>
      </c>
      <c r="G11" s="9">
        <v>15</v>
      </c>
      <c r="H11" s="11" t="s">
        <v>6</v>
      </c>
      <c r="I11" s="7" t="str">
        <f>D11</f>
        <v>DS-P02</v>
      </c>
      <c r="K11" s="6" t="s">
        <v>8</v>
      </c>
      <c r="L11" s="6" t="s">
        <v>7</v>
      </c>
    </row>
    <row r="12" spans="1:12" s="1" customFormat="1" ht="30" customHeight="1" x14ac:dyDescent="0.25">
      <c r="A12" s="22" t="s">
        <v>29</v>
      </c>
      <c r="B12" s="23"/>
      <c r="C12" s="23"/>
      <c r="D12" s="24"/>
      <c r="E12" s="5"/>
      <c r="F12" s="22" t="s">
        <v>29</v>
      </c>
      <c r="G12" s="23"/>
      <c r="H12" s="23"/>
      <c r="I12" s="24"/>
      <c r="K12" s="1">
        <v>500</v>
      </c>
      <c r="L12" s="1">
        <v>80</v>
      </c>
    </row>
    <row r="13" spans="1:12" s="1" customFormat="1" ht="30" customHeight="1" x14ac:dyDescent="0.25">
      <c r="A13" s="25" t="s">
        <v>32</v>
      </c>
      <c r="B13" s="26"/>
      <c r="C13" s="28" t="s">
        <v>34</v>
      </c>
      <c r="D13" s="27"/>
      <c r="E13" s="4"/>
      <c r="F13" s="25" t="str">
        <f>A13</f>
        <v>FC2304E</v>
      </c>
      <c r="G13" s="26"/>
      <c r="H13" s="28" t="str">
        <f>C13</f>
        <v/>
      </c>
      <c r="I13" s="27"/>
    </row>
    <row r="14" spans="1:12" s="1" customFormat="1" ht="30" customHeight="1" x14ac:dyDescent="0.25">
      <c r="A14" s="12" t="s">
        <v>4</v>
      </c>
      <c r="B14" s="29">
        <v>26680</v>
      </c>
      <c r="C14" s="29"/>
      <c r="D14" s="30"/>
      <c r="E14" s="4"/>
      <c r="F14" s="12" t="s">
        <v>4</v>
      </c>
      <c r="G14" s="29">
        <f>B14</f>
        <v>26680</v>
      </c>
      <c r="H14" s="29"/>
      <c r="I14" s="30"/>
    </row>
    <row r="15" spans="1:12" ht="63.75" customHeight="1" x14ac:dyDescent="0.25">
      <c r="A15" s="21" t="s">
        <v>19</v>
      </c>
      <c r="B15" s="21"/>
      <c r="C15" s="21"/>
      <c r="D15" s="21"/>
      <c r="E15" s="2"/>
      <c r="F15" s="21" t="str">
        <f>A15</f>
        <v>Oval DS Top-Fill - Platform</v>
      </c>
      <c r="G15" s="21"/>
      <c r="H15" s="21"/>
      <c r="I15" s="21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48</v>
      </c>
      <c r="E17" s="4"/>
      <c r="F17" s="11" t="s">
        <v>2</v>
      </c>
      <c r="G17" s="10"/>
      <c r="H17" s="11" t="s">
        <v>5</v>
      </c>
      <c r="I17" s="7" t="str">
        <f>D17</f>
        <v>14A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20</v>
      </c>
      <c r="E18" s="4"/>
      <c r="F18" s="8" t="s">
        <v>3</v>
      </c>
      <c r="G18" s="9">
        <v>16</v>
      </c>
      <c r="H18" s="11" t="s">
        <v>6</v>
      </c>
      <c r="I18" s="7" t="str">
        <f>D18</f>
        <v>DS-P02</v>
      </c>
      <c r="K18" s="6" t="s">
        <v>8</v>
      </c>
      <c r="L18" s="6" t="s">
        <v>7</v>
      </c>
    </row>
    <row r="19" spans="1:12" s="1" customFormat="1" ht="30" customHeight="1" x14ac:dyDescent="0.25">
      <c r="A19" s="22" t="s">
        <v>29</v>
      </c>
      <c r="B19" s="23"/>
      <c r="C19" s="23"/>
      <c r="D19" s="24"/>
      <c r="E19" s="5"/>
      <c r="F19" s="22" t="s">
        <v>29</v>
      </c>
      <c r="G19" s="23"/>
      <c r="H19" s="23"/>
      <c r="I19" s="24"/>
      <c r="K19" s="1">
        <v>500</v>
      </c>
      <c r="L19" s="1">
        <v>80</v>
      </c>
    </row>
    <row r="20" spans="1:12" s="1" customFormat="1" ht="30" customHeight="1" x14ac:dyDescent="0.25">
      <c r="A20" s="25" t="s">
        <v>32</v>
      </c>
      <c r="B20" s="26"/>
      <c r="C20" s="28" t="s">
        <v>34</v>
      </c>
      <c r="D20" s="27"/>
      <c r="E20" s="4"/>
      <c r="F20" s="25" t="str">
        <f>A20</f>
        <v>FC2304E</v>
      </c>
      <c r="G20" s="26"/>
      <c r="H20" s="28" t="str">
        <f>C20</f>
        <v/>
      </c>
      <c r="I20" s="27"/>
    </row>
    <row r="21" spans="1:12" s="1" customFormat="1" ht="30" customHeight="1" x14ac:dyDescent="0.25">
      <c r="A21" s="12" t="s">
        <v>4</v>
      </c>
      <c r="B21" s="29">
        <v>26680</v>
      </c>
      <c r="C21" s="29"/>
      <c r="D21" s="30"/>
      <c r="E21" s="4"/>
      <c r="F21" s="12" t="s">
        <v>4</v>
      </c>
      <c r="G21" s="29">
        <f>B21</f>
        <v>26680</v>
      </c>
      <c r="H21" s="29"/>
      <c r="I21" s="30"/>
    </row>
    <row r="22" spans="1:12" ht="63.75" customHeight="1" x14ac:dyDescent="0.25">
      <c r="A22" s="21" t="s">
        <v>19</v>
      </c>
      <c r="B22" s="21"/>
      <c r="C22" s="21"/>
      <c r="D22" s="21"/>
      <c r="E22" s="2"/>
      <c r="F22" s="21" t="str">
        <f>A22</f>
        <v>Oval DS Top-Fill - Platform</v>
      </c>
      <c r="G22" s="21"/>
      <c r="H22" s="21"/>
      <c r="I22" s="21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48</v>
      </c>
      <c r="E24" s="4"/>
      <c r="F24" s="11" t="s">
        <v>2</v>
      </c>
      <c r="G24" s="10"/>
      <c r="H24" s="11" t="s">
        <v>5</v>
      </c>
      <c r="I24" s="7" t="str">
        <f>D24</f>
        <v>14A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20</v>
      </c>
      <c r="E25" s="4"/>
      <c r="F25" s="8" t="s">
        <v>3</v>
      </c>
      <c r="G25" s="9">
        <v>17</v>
      </c>
      <c r="H25" s="11" t="s">
        <v>6</v>
      </c>
      <c r="I25" s="7" t="str">
        <f>D25</f>
        <v>DS-P02</v>
      </c>
      <c r="K25" s="6" t="s">
        <v>8</v>
      </c>
      <c r="L25" s="6" t="s">
        <v>7</v>
      </c>
    </row>
    <row r="26" spans="1:12" s="1" customFormat="1" ht="30" customHeight="1" x14ac:dyDescent="0.25">
      <c r="A26" s="22" t="s">
        <v>29</v>
      </c>
      <c r="B26" s="23"/>
      <c r="C26" s="23"/>
      <c r="D26" s="24"/>
      <c r="E26" s="5"/>
      <c r="F26" s="22" t="s">
        <v>29</v>
      </c>
      <c r="G26" s="23"/>
      <c r="H26" s="23"/>
      <c r="I26" s="24"/>
      <c r="K26" s="1">
        <v>500</v>
      </c>
      <c r="L26" s="1">
        <v>80</v>
      </c>
    </row>
    <row r="27" spans="1:12" s="1" customFormat="1" ht="30" customHeight="1" x14ac:dyDescent="0.25">
      <c r="A27" s="25" t="s">
        <v>32</v>
      </c>
      <c r="B27" s="26"/>
      <c r="C27" s="28" t="s">
        <v>34</v>
      </c>
      <c r="D27" s="27"/>
      <c r="E27" s="4"/>
      <c r="F27" s="25" t="str">
        <f>A27</f>
        <v>FC2304E</v>
      </c>
      <c r="G27" s="26"/>
      <c r="H27" s="28" t="str">
        <f>C27</f>
        <v/>
      </c>
      <c r="I27" s="27"/>
    </row>
    <row r="28" spans="1:12" s="1" customFormat="1" ht="30" customHeight="1" x14ac:dyDescent="0.25">
      <c r="A28" s="12" t="s">
        <v>4</v>
      </c>
      <c r="B28" s="29">
        <v>26680</v>
      </c>
      <c r="C28" s="29"/>
      <c r="D28" s="30"/>
      <c r="E28" s="4"/>
      <c r="F28" s="12" t="s">
        <v>4</v>
      </c>
      <c r="G28" s="29">
        <f>B28</f>
        <v>26680</v>
      </c>
      <c r="H28" s="29"/>
      <c r="I28" s="30"/>
    </row>
    <row r="29" spans="1:12" ht="63.75" customHeight="1" x14ac:dyDescent="0.25">
      <c r="A29" s="21" t="s">
        <v>19</v>
      </c>
      <c r="B29" s="21"/>
      <c r="C29" s="21"/>
      <c r="D29" s="21"/>
      <c r="E29" s="2"/>
      <c r="F29" s="21" t="str">
        <f>A29</f>
        <v>Oval DS Top-Fill - Platform</v>
      </c>
      <c r="G29" s="21"/>
      <c r="H29" s="21"/>
      <c r="I29" s="21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48</v>
      </c>
      <c r="E31" s="4"/>
      <c r="F31" s="11" t="s">
        <v>2</v>
      </c>
      <c r="G31" s="10"/>
      <c r="H31" s="11" t="s">
        <v>5</v>
      </c>
      <c r="I31" s="7" t="str">
        <f>D31</f>
        <v>14A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20</v>
      </c>
      <c r="E32" s="4"/>
      <c r="F32" s="8" t="s">
        <v>3</v>
      </c>
      <c r="G32" s="9">
        <v>18</v>
      </c>
      <c r="H32" s="11" t="s">
        <v>6</v>
      </c>
      <c r="I32" s="7" t="str">
        <f>D32</f>
        <v>DS-P02</v>
      </c>
      <c r="K32" s="6" t="s">
        <v>8</v>
      </c>
      <c r="L32" s="6" t="s">
        <v>7</v>
      </c>
    </row>
    <row r="33" spans="1:12" s="1" customFormat="1" ht="30" customHeight="1" x14ac:dyDescent="0.25">
      <c r="A33" s="22" t="s">
        <v>29</v>
      </c>
      <c r="B33" s="23"/>
      <c r="C33" s="23"/>
      <c r="D33" s="24"/>
      <c r="E33" s="5"/>
      <c r="F33" s="22" t="s">
        <v>29</v>
      </c>
      <c r="G33" s="23"/>
      <c r="H33" s="23"/>
      <c r="I33" s="24"/>
      <c r="K33" s="1">
        <v>500</v>
      </c>
      <c r="L33" s="1">
        <v>80</v>
      </c>
    </row>
    <row r="34" spans="1:12" s="1" customFormat="1" ht="30" customHeight="1" x14ac:dyDescent="0.25">
      <c r="A34" s="25" t="s">
        <v>32</v>
      </c>
      <c r="B34" s="26"/>
      <c r="C34" s="28" t="s">
        <v>34</v>
      </c>
      <c r="D34" s="27"/>
      <c r="E34" s="4"/>
      <c r="F34" s="25" t="str">
        <f>A34</f>
        <v>FC2304E</v>
      </c>
      <c r="G34" s="26"/>
      <c r="H34" s="28" t="str">
        <f>C34</f>
        <v/>
      </c>
      <c r="I34" s="27"/>
    </row>
    <row r="35" spans="1:12" s="1" customFormat="1" ht="30" customHeight="1" x14ac:dyDescent="0.25">
      <c r="A35" s="12" t="s">
        <v>4</v>
      </c>
      <c r="B35" s="29">
        <v>26680</v>
      </c>
      <c r="C35" s="29"/>
      <c r="D35" s="30"/>
      <c r="E35" s="4"/>
      <c r="F35" s="12" t="s">
        <v>4</v>
      </c>
      <c r="G35" s="29">
        <f>B35</f>
        <v>26680</v>
      </c>
      <c r="H35" s="29"/>
      <c r="I35" s="30"/>
    </row>
    <row r="36" spans="1:12" ht="63.75" customHeight="1" x14ac:dyDescent="0.25">
      <c r="A36" s="21" t="s">
        <v>19</v>
      </c>
      <c r="B36" s="21"/>
      <c r="C36" s="21"/>
      <c r="D36" s="21"/>
      <c r="E36" s="2"/>
      <c r="F36" s="21" t="str">
        <f>A36</f>
        <v>Oval DS Top-Fill - Platform</v>
      </c>
      <c r="G36" s="21"/>
      <c r="H36" s="21"/>
      <c r="I36" s="21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48</v>
      </c>
      <c r="E38" s="4"/>
      <c r="F38" s="11" t="s">
        <v>2</v>
      </c>
      <c r="G38" s="10"/>
      <c r="H38" s="11" t="s">
        <v>5</v>
      </c>
      <c r="I38" s="7" t="str">
        <f>D38</f>
        <v>14A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20</v>
      </c>
      <c r="E39" s="4"/>
      <c r="F39" s="8" t="s">
        <v>3</v>
      </c>
      <c r="G39" s="9">
        <v>19</v>
      </c>
      <c r="H39" s="11" t="s">
        <v>6</v>
      </c>
      <c r="I39" s="7" t="str">
        <f>D39</f>
        <v>DS-P02</v>
      </c>
      <c r="K39" s="6" t="s">
        <v>8</v>
      </c>
      <c r="L39" s="6" t="s">
        <v>7</v>
      </c>
    </row>
    <row r="40" spans="1:12" s="1" customFormat="1" ht="30" customHeight="1" x14ac:dyDescent="0.25">
      <c r="A40" s="22" t="s">
        <v>29</v>
      </c>
      <c r="B40" s="23"/>
      <c r="C40" s="23"/>
      <c r="D40" s="24"/>
      <c r="E40" s="5"/>
      <c r="F40" s="22" t="s">
        <v>29</v>
      </c>
      <c r="G40" s="23"/>
      <c r="H40" s="23"/>
      <c r="I40" s="24"/>
      <c r="K40" s="1">
        <v>500</v>
      </c>
      <c r="L40" s="1">
        <v>80</v>
      </c>
    </row>
    <row r="41" spans="1:12" s="1" customFormat="1" ht="30" customHeight="1" x14ac:dyDescent="0.25">
      <c r="A41" s="25" t="s">
        <v>32</v>
      </c>
      <c r="B41" s="26"/>
      <c r="C41" s="28" t="s">
        <v>34</v>
      </c>
      <c r="D41" s="27"/>
      <c r="E41" s="4"/>
      <c r="F41" s="25" t="str">
        <f>A41</f>
        <v>FC2304E</v>
      </c>
      <c r="G41" s="26"/>
      <c r="H41" s="28" t="str">
        <f>C41</f>
        <v/>
      </c>
      <c r="I41" s="27"/>
    </row>
    <row r="42" spans="1:12" s="1" customFormat="1" ht="30" customHeight="1" x14ac:dyDescent="0.25">
      <c r="A42" s="12" t="s">
        <v>4</v>
      </c>
      <c r="B42" s="29">
        <v>26680</v>
      </c>
      <c r="C42" s="29"/>
      <c r="D42" s="30"/>
      <c r="E42" s="4"/>
      <c r="F42" s="12" t="s">
        <v>4</v>
      </c>
      <c r="G42" s="29">
        <f>B42</f>
        <v>26680</v>
      </c>
      <c r="H42" s="29"/>
      <c r="I42" s="30"/>
    </row>
    <row r="43" spans="1:12" ht="63.75" customHeight="1" x14ac:dyDescent="0.25">
      <c r="A43" s="21" t="s">
        <v>19</v>
      </c>
      <c r="B43" s="21"/>
      <c r="C43" s="21"/>
      <c r="D43" s="21"/>
      <c r="E43" s="2"/>
      <c r="F43" s="21" t="str">
        <f>A43</f>
        <v>Oval DS Top-Fill - Platform</v>
      </c>
      <c r="G43" s="21"/>
      <c r="H43" s="21"/>
      <c r="I43" s="21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48</v>
      </c>
      <c r="E45" s="4"/>
      <c r="F45" s="11" t="s">
        <v>2</v>
      </c>
      <c r="G45" s="10"/>
      <c r="H45" s="11" t="s">
        <v>5</v>
      </c>
      <c r="I45" s="7" t="str">
        <f>D45</f>
        <v>14A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20</v>
      </c>
      <c r="E46" s="4"/>
      <c r="F46" s="8" t="s">
        <v>3</v>
      </c>
      <c r="G46" s="9">
        <v>20</v>
      </c>
      <c r="H46" s="11" t="s">
        <v>6</v>
      </c>
      <c r="I46" s="7" t="str">
        <f>D46</f>
        <v>DS-P02</v>
      </c>
      <c r="K46" s="6" t="s">
        <v>8</v>
      </c>
      <c r="L46" s="6" t="s">
        <v>7</v>
      </c>
    </row>
    <row r="47" spans="1:12" s="1" customFormat="1" ht="30" customHeight="1" x14ac:dyDescent="0.25">
      <c r="A47" s="22" t="s">
        <v>29</v>
      </c>
      <c r="B47" s="23"/>
      <c r="C47" s="23"/>
      <c r="D47" s="24"/>
      <c r="E47" s="5"/>
      <c r="F47" s="22" t="s">
        <v>29</v>
      </c>
      <c r="G47" s="23"/>
      <c r="H47" s="23"/>
      <c r="I47" s="24"/>
      <c r="K47" s="1">
        <v>500</v>
      </c>
      <c r="L47" s="1">
        <v>80</v>
      </c>
    </row>
    <row r="48" spans="1:12" s="1" customFormat="1" ht="30" customHeight="1" x14ac:dyDescent="0.25">
      <c r="A48" s="25" t="s">
        <v>32</v>
      </c>
      <c r="B48" s="26"/>
      <c r="C48" s="28" t="s">
        <v>34</v>
      </c>
      <c r="D48" s="27"/>
      <c r="E48" s="4"/>
      <c r="F48" s="25" t="str">
        <f>A48</f>
        <v>FC2304E</v>
      </c>
      <c r="G48" s="26"/>
      <c r="H48" s="28" t="str">
        <f>C48</f>
        <v/>
      </c>
      <c r="I48" s="27"/>
    </row>
    <row r="49" spans="1:12" s="1" customFormat="1" ht="30" customHeight="1" x14ac:dyDescent="0.25">
      <c r="A49" s="12" t="s">
        <v>4</v>
      </c>
      <c r="B49" s="29">
        <v>26680</v>
      </c>
      <c r="C49" s="29"/>
      <c r="D49" s="30"/>
      <c r="E49" s="4"/>
      <c r="F49" s="12" t="s">
        <v>4</v>
      </c>
      <c r="G49" s="29">
        <f>B49</f>
        <v>26680</v>
      </c>
      <c r="H49" s="29"/>
      <c r="I49" s="30"/>
    </row>
    <row r="50" spans="1:12" ht="63.75" customHeight="1" x14ac:dyDescent="0.25">
      <c r="A50" s="21" t="s">
        <v>19</v>
      </c>
      <c r="B50" s="21"/>
      <c r="C50" s="21"/>
      <c r="D50" s="21"/>
      <c r="E50" s="2"/>
      <c r="F50" s="21" t="str">
        <f>A50</f>
        <v>Oval DS Top-Fill - Platform</v>
      </c>
      <c r="G50" s="21"/>
      <c r="H50" s="21"/>
      <c r="I50" s="21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48</v>
      </c>
      <c r="E52" s="4"/>
      <c r="F52" s="11" t="s">
        <v>2</v>
      </c>
      <c r="G52" s="10"/>
      <c r="H52" s="11" t="s">
        <v>5</v>
      </c>
      <c r="I52" s="7" t="str">
        <f>D52</f>
        <v>14A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20</v>
      </c>
      <c r="E53" s="4"/>
      <c r="F53" s="8" t="s">
        <v>3</v>
      </c>
      <c r="G53" s="9">
        <v>21</v>
      </c>
      <c r="H53" s="11" t="s">
        <v>6</v>
      </c>
      <c r="I53" s="7" t="str">
        <f>D53</f>
        <v>DS-P02</v>
      </c>
      <c r="K53" s="6" t="s">
        <v>8</v>
      </c>
      <c r="L53" s="6" t="s">
        <v>7</v>
      </c>
    </row>
    <row r="54" spans="1:12" s="1" customFormat="1" ht="30" customHeight="1" x14ac:dyDescent="0.25">
      <c r="A54" s="22" t="s">
        <v>29</v>
      </c>
      <c r="B54" s="23"/>
      <c r="C54" s="23"/>
      <c r="D54" s="24"/>
      <c r="E54" s="5"/>
      <c r="F54" s="22" t="s">
        <v>29</v>
      </c>
      <c r="G54" s="23"/>
      <c r="H54" s="23"/>
      <c r="I54" s="24"/>
      <c r="K54" s="1">
        <v>500</v>
      </c>
      <c r="L54" s="1">
        <v>80</v>
      </c>
    </row>
    <row r="55" spans="1:12" s="1" customFormat="1" ht="30" customHeight="1" x14ac:dyDescent="0.25">
      <c r="A55" s="25" t="s">
        <v>32</v>
      </c>
      <c r="B55" s="26"/>
      <c r="C55" s="28" t="s">
        <v>34</v>
      </c>
      <c r="D55" s="27"/>
      <c r="E55" s="4"/>
      <c r="F55" s="25" t="str">
        <f>A55</f>
        <v>FC2304E</v>
      </c>
      <c r="G55" s="26"/>
      <c r="H55" s="28" t="str">
        <f>C55</f>
        <v/>
      </c>
      <c r="I55" s="27"/>
    </row>
    <row r="56" spans="1:12" s="1" customFormat="1" ht="30" customHeight="1" x14ac:dyDescent="0.25">
      <c r="A56" s="12" t="s">
        <v>4</v>
      </c>
      <c r="B56" s="29">
        <v>26680</v>
      </c>
      <c r="C56" s="29"/>
      <c r="D56" s="30"/>
      <c r="E56" s="4"/>
      <c r="F56" s="12" t="s">
        <v>4</v>
      </c>
      <c r="G56" s="29">
        <f>B56</f>
        <v>26680</v>
      </c>
      <c r="H56" s="29"/>
      <c r="I56" s="30"/>
    </row>
    <row r="57" spans="1:12" ht="63.75" customHeight="1" x14ac:dyDescent="0.25">
      <c r="A57" s="21" t="s">
        <v>19</v>
      </c>
      <c r="B57" s="21"/>
      <c r="C57" s="21"/>
      <c r="D57" s="21"/>
      <c r="E57" s="2"/>
      <c r="F57" s="21" t="str">
        <f>A57</f>
        <v>Oval DS Top-Fill - Platform</v>
      </c>
      <c r="G57" s="21"/>
      <c r="H57" s="21"/>
      <c r="I57" s="21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48</v>
      </c>
      <c r="E59" s="4"/>
      <c r="F59" s="11" t="s">
        <v>2</v>
      </c>
      <c r="G59" s="10"/>
      <c r="H59" s="11" t="s">
        <v>5</v>
      </c>
      <c r="I59" s="7" t="str">
        <f>D59</f>
        <v>14A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20</v>
      </c>
      <c r="E60" s="4"/>
      <c r="F60" s="8" t="s">
        <v>3</v>
      </c>
      <c r="G60" s="9">
        <v>22</v>
      </c>
      <c r="H60" s="11" t="s">
        <v>6</v>
      </c>
      <c r="I60" s="7" t="str">
        <f>D60</f>
        <v>DS-P02</v>
      </c>
      <c r="K60" s="6" t="s">
        <v>8</v>
      </c>
      <c r="L60" s="6" t="s">
        <v>7</v>
      </c>
    </row>
    <row r="61" spans="1:12" s="1" customFormat="1" ht="30" customHeight="1" x14ac:dyDescent="0.25">
      <c r="A61" s="22" t="s">
        <v>29</v>
      </c>
      <c r="B61" s="23"/>
      <c r="C61" s="23"/>
      <c r="D61" s="24"/>
      <c r="E61" s="5"/>
      <c r="F61" s="22" t="s">
        <v>29</v>
      </c>
      <c r="G61" s="23"/>
      <c r="H61" s="23"/>
      <c r="I61" s="24"/>
      <c r="K61" s="1">
        <v>500</v>
      </c>
      <c r="L61" s="1">
        <v>80</v>
      </c>
    </row>
    <row r="62" spans="1:12" s="1" customFormat="1" ht="30" customHeight="1" x14ac:dyDescent="0.25">
      <c r="A62" s="25" t="s">
        <v>32</v>
      </c>
      <c r="B62" s="26"/>
      <c r="C62" s="28" t="s">
        <v>34</v>
      </c>
      <c r="D62" s="27"/>
      <c r="E62" s="4"/>
      <c r="F62" s="25" t="str">
        <f>A62</f>
        <v>FC2304E</v>
      </c>
      <c r="G62" s="26"/>
      <c r="H62" s="28" t="str">
        <f>C62</f>
        <v/>
      </c>
      <c r="I62" s="27"/>
    </row>
    <row r="63" spans="1:12" s="1" customFormat="1" ht="30" customHeight="1" x14ac:dyDescent="0.25">
      <c r="A63" s="12" t="s">
        <v>4</v>
      </c>
      <c r="B63" s="29">
        <v>26680</v>
      </c>
      <c r="C63" s="29"/>
      <c r="D63" s="30"/>
      <c r="E63" s="4"/>
      <c r="F63" s="12" t="s">
        <v>4</v>
      </c>
      <c r="G63" s="29">
        <f>B63</f>
        <v>26680</v>
      </c>
      <c r="H63" s="29"/>
      <c r="I63" s="30"/>
    </row>
    <row r="64" spans="1:12" ht="63.75" customHeight="1" x14ac:dyDescent="0.25">
      <c r="A64" s="21" t="s">
        <v>19</v>
      </c>
      <c r="B64" s="21"/>
      <c r="C64" s="21"/>
      <c r="D64" s="21"/>
      <c r="E64" s="2"/>
      <c r="F64" s="21" t="str">
        <f>A64</f>
        <v>Oval DS Top-Fill - Platform</v>
      </c>
      <c r="G64" s="21"/>
      <c r="H64" s="21"/>
      <c r="I64" s="21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48</v>
      </c>
      <c r="E66" s="4"/>
      <c r="F66" s="11" t="s">
        <v>2</v>
      </c>
      <c r="G66" s="10"/>
      <c r="H66" s="11" t="s">
        <v>5</v>
      </c>
      <c r="I66" s="7" t="str">
        <f>D66</f>
        <v>14A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20</v>
      </c>
      <c r="E67" s="4"/>
      <c r="F67" s="8" t="s">
        <v>3</v>
      </c>
      <c r="G67" s="9">
        <v>23</v>
      </c>
      <c r="H67" s="11" t="s">
        <v>6</v>
      </c>
      <c r="I67" s="7" t="str">
        <f>D67</f>
        <v>DS-P02</v>
      </c>
      <c r="K67" s="6" t="s">
        <v>8</v>
      </c>
      <c r="L67" s="6" t="s">
        <v>7</v>
      </c>
    </row>
    <row r="68" spans="1:12" s="1" customFormat="1" ht="30" customHeight="1" x14ac:dyDescent="0.25">
      <c r="A68" s="22" t="s">
        <v>29</v>
      </c>
      <c r="B68" s="23"/>
      <c r="C68" s="23"/>
      <c r="D68" s="24"/>
      <c r="E68" s="5"/>
      <c r="F68" s="22" t="s">
        <v>29</v>
      </c>
      <c r="G68" s="23"/>
      <c r="H68" s="23"/>
      <c r="I68" s="24"/>
      <c r="K68" s="1">
        <v>500</v>
      </c>
      <c r="L68" s="1">
        <v>80</v>
      </c>
    </row>
    <row r="69" spans="1:12" s="1" customFormat="1" ht="30" customHeight="1" x14ac:dyDescent="0.25">
      <c r="A69" s="25" t="s">
        <v>32</v>
      </c>
      <c r="B69" s="26"/>
      <c r="C69" s="28" t="s">
        <v>34</v>
      </c>
      <c r="D69" s="27"/>
      <c r="E69" s="4"/>
      <c r="F69" s="25" t="str">
        <f>A69</f>
        <v>FC2304E</v>
      </c>
      <c r="G69" s="26"/>
      <c r="H69" s="28" t="str">
        <f>C69</f>
        <v/>
      </c>
      <c r="I69" s="27"/>
    </row>
    <row r="70" spans="1:12" s="1" customFormat="1" ht="30" customHeight="1" x14ac:dyDescent="0.25">
      <c r="A70" s="12" t="s">
        <v>4</v>
      </c>
      <c r="B70" s="29">
        <v>26680</v>
      </c>
      <c r="C70" s="29"/>
      <c r="D70" s="30"/>
      <c r="E70" s="4"/>
      <c r="F70" s="12" t="s">
        <v>4</v>
      </c>
      <c r="G70" s="29">
        <f>B70</f>
        <v>26680</v>
      </c>
      <c r="H70" s="29"/>
      <c r="I70" s="30"/>
    </row>
    <row r="71" spans="1:12" ht="63.75" customHeight="1" x14ac:dyDescent="0.25">
      <c r="A71" s="21" t="s">
        <v>19</v>
      </c>
      <c r="B71" s="21"/>
      <c r="C71" s="21"/>
      <c r="D71" s="21"/>
      <c r="E71" s="2"/>
      <c r="F71" s="21" t="str">
        <f>A71</f>
        <v>Oval DS Top-Fill - Platform</v>
      </c>
      <c r="G71" s="21"/>
      <c r="H71" s="21"/>
      <c r="I71" s="21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48</v>
      </c>
      <c r="E73" s="4"/>
      <c r="F73" s="11" t="s">
        <v>2</v>
      </c>
      <c r="G73" s="10"/>
      <c r="H73" s="11" t="s">
        <v>5</v>
      </c>
      <c r="I73" s="7" t="str">
        <f>D73</f>
        <v>14A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20</v>
      </c>
      <c r="E74" s="4"/>
      <c r="F74" s="8" t="s">
        <v>3</v>
      </c>
      <c r="G74" s="9">
        <v>24</v>
      </c>
      <c r="H74" s="11" t="s">
        <v>6</v>
      </c>
      <c r="I74" s="7" t="str">
        <f>D74</f>
        <v>DS-P02</v>
      </c>
      <c r="K74" s="6" t="s">
        <v>8</v>
      </c>
      <c r="L74" s="6" t="s">
        <v>7</v>
      </c>
    </row>
    <row r="75" spans="1:12" s="1" customFormat="1" ht="30" customHeight="1" x14ac:dyDescent="0.25">
      <c r="A75" s="22" t="s">
        <v>29</v>
      </c>
      <c r="B75" s="23"/>
      <c r="C75" s="23"/>
      <c r="D75" s="24"/>
      <c r="E75" s="5"/>
      <c r="F75" s="22" t="s">
        <v>29</v>
      </c>
      <c r="G75" s="23"/>
      <c r="H75" s="23"/>
      <c r="I75" s="24"/>
      <c r="K75" s="1">
        <v>500</v>
      </c>
      <c r="L75" s="1">
        <v>80</v>
      </c>
    </row>
    <row r="76" spans="1:12" s="1" customFormat="1" ht="30" customHeight="1" x14ac:dyDescent="0.25">
      <c r="A76" s="25" t="s">
        <v>32</v>
      </c>
      <c r="B76" s="26"/>
      <c r="C76" s="28" t="s">
        <v>34</v>
      </c>
      <c r="D76" s="27"/>
      <c r="E76" s="4"/>
      <c r="F76" s="25" t="str">
        <f>A76</f>
        <v>FC2304E</v>
      </c>
      <c r="G76" s="26"/>
      <c r="H76" s="28" t="str">
        <f>C76</f>
        <v/>
      </c>
      <c r="I76" s="27"/>
    </row>
    <row r="77" spans="1:12" s="1" customFormat="1" ht="30" customHeight="1" x14ac:dyDescent="0.25">
      <c r="A77" s="12" t="s">
        <v>4</v>
      </c>
      <c r="B77" s="29">
        <v>26680</v>
      </c>
      <c r="C77" s="29"/>
      <c r="D77" s="30"/>
      <c r="E77" s="4"/>
      <c r="F77" s="12" t="s">
        <v>4</v>
      </c>
      <c r="G77" s="29">
        <f>B77</f>
        <v>26680</v>
      </c>
      <c r="H77" s="29"/>
      <c r="I77" s="30"/>
    </row>
    <row r="78" spans="1:12" ht="63.75" customHeight="1" x14ac:dyDescent="0.25">
      <c r="A78" s="21" t="s">
        <v>19</v>
      </c>
      <c r="B78" s="21"/>
      <c r="C78" s="21"/>
      <c r="D78" s="21"/>
      <c r="E78" s="2"/>
      <c r="F78" s="21" t="str">
        <f>A78</f>
        <v>Oval DS Top-Fill - Platform</v>
      </c>
      <c r="G78" s="21"/>
      <c r="H78" s="21"/>
      <c r="I78" s="21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48</v>
      </c>
      <c r="E80" s="4"/>
      <c r="F80" s="11" t="s">
        <v>2</v>
      </c>
      <c r="G80" s="10"/>
      <c r="H80" s="11" t="s">
        <v>5</v>
      </c>
      <c r="I80" s="7" t="str">
        <f>D80</f>
        <v>14A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20</v>
      </c>
      <c r="E81" s="4"/>
      <c r="F81" s="8" t="s">
        <v>3</v>
      </c>
      <c r="G81" s="9">
        <v>25</v>
      </c>
      <c r="H81" s="11" t="s">
        <v>6</v>
      </c>
      <c r="I81" s="7" t="str">
        <f>D81</f>
        <v>DS-P02</v>
      </c>
      <c r="K81" s="6" t="s">
        <v>8</v>
      </c>
      <c r="L81" s="6" t="s">
        <v>7</v>
      </c>
    </row>
    <row r="82" spans="1:12" s="1" customFormat="1" ht="30" customHeight="1" x14ac:dyDescent="0.25">
      <c r="A82" s="22" t="s">
        <v>29</v>
      </c>
      <c r="B82" s="23"/>
      <c r="C82" s="23"/>
      <c r="D82" s="24"/>
      <c r="E82" s="5"/>
      <c r="F82" s="22" t="s">
        <v>29</v>
      </c>
      <c r="G82" s="23"/>
      <c r="H82" s="23"/>
      <c r="I82" s="24"/>
      <c r="K82" s="1">
        <v>500</v>
      </c>
      <c r="L82" s="1">
        <v>80</v>
      </c>
    </row>
    <row r="83" spans="1:12" s="1" customFormat="1" ht="30" customHeight="1" x14ac:dyDescent="0.25">
      <c r="A83" s="25" t="s">
        <v>32</v>
      </c>
      <c r="B83" s="26"/>
      <c r="C83" s="28" t="s">
        <v>34</v>
      </c>
      <c r="D83" s="27"/>
      <c r="E83" s="4"/>
      <c r="F83" s="25" t="str">
        <f>A83</f>
        <v>FC2304E</v>
      </c>
      <c r="G83" s="26"/>
      <c r="H83" s="28" t="str">
        <f>C83</f>
        <v/>
      </c>
      <c r="I83" s="27"/>
    </row>
    <row r="84" spans="1:12" s="1" customFormat="1" ht="30" customHeight="1" x14ac:dyDescent="0.25">
      <c r="A84" s="12" t="s">
        <v>4</v>
      </c>
      <c r="B84" s="29">
        <v>26680</v>
      </c>
      <c r="C84" s="29"/>
      <c r="D84" s="30"/>
      <c r="E84" s="4"/>
      <c r="F84" s="12" t="s">
        <v>4</v>
      </c>
      <c r="G84" s="29">
        <f>B84</f>
        <v>26680</v>
      </c>
      <c r="H84" s="29"/>
      <c r="I84" s="30"/>
    </row>
    <row r="85" spans="1:12" ht="63.75" customHeight="1" x14ac:dyDescent="0.25">
      <c r="A85" s="21" t="s">
        <v>19</v>
      </c>
      <c r="B85" s="21"/>
      <c r="C85" s="21"/>
      <c r="D85" s="21"/>
      <c r="E85" s="2"/>
      <c r="F85" s="21" t="str">
        <f>A85</f>
        <v>Oval DS Top-Fill - Platform</v>
      </c>
      <c r="G85" s="21"/>
      <c r="H85" s="21"/>
      <c r="I85" s="21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48</v>
      </c>
      <c r="E87" s="4"/>
      <c r="F87" s="11" t="s">
        <v>2</v>
      </c>
      <c r="G87" s="10"/>
      <c r="H87" s="11" t="s">
        <v>5</v>
      </c>
      <c r="I87" s="7" t="str">
        <f>D87</f>
        <v>14A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20</v>
      </c>
      <c r="E88" s="4"/>
      <c r="F88" s="8" t="s">
        <v>3</v>
      </c>
      <c r="G88" s="9">
        <v>26</v>
      </c>
      <c r="H88" s="11" t="s">
        <v>6</v>
      </c>
      <c r="I88" s="7" t="str">
        <f>D88</f>
        <v>DS-P02</v>
      </c>
      <c r="K88" s="6" t="s">
        <v>8</v>
      </c>
      <c r="L88" s="6" t="s">
        <v>7</v>
      </c>
    </row>
    <row r="89" spans="1:12" s="1" customFormat="1" ht="30" customHeight="1" x14ac:dyDescent="0.25">
      <c r="A89" s="22" t="s">
        <v>29</v>
      </c>
      <c r="B89" s="23"/>
      <c r="C89" s="23"/>
      <c r="D89" s="24"/>
      <c r="E89" s="5"/>
      <c r="F89" s="22" t="s">
        <v>49</v>
      </c>
      <c r="G89" s="23"/>
      <c r="H89" s="23"/>
      <c r="I89" s="24"/>
      <c r="K89" s="1">
        <v>500</v>
      </c>
      <c r="L89" s="1">
        <v>80</v>
      </c>
    </row>
    <row r="90" spans="1:12" s="1" customFormat="1" ht="30" customHeight="1" x14ac:dyDescent="0.25">
      <c r="A90" s="25" t="s">
        <v>32</v>
      </c>
      <c r="B90" s="26"/>
      <c r="C90" s="28" t="s">
        <v>34</v>
      </c>
      <c r="D90" s="27"/>
      <c r="E90" s="4"/>
      <c r="F90" s="25" t="str">
        <f>A90</f>
        <v>FC2304E</v>
      </c>
      <c r="G90" s="26"/>
      <c r="H90" s="28" t="str">
        <f>C90</f>
        <v/>
      </c>
      <c r="I90" s="27"/>
    </row>
    <row r="91" spans="1:12" s="1" customFormat="1" ht="30" customHeight="1" x14ac:dyDescent="0.25">
      <c r="A91" s="12" t="s">
        <v>4</v>
      </c>
      <c r="B91" s="29">
        <v>26680</v>
      </c>
      <c r="C91" s="29"/>
      <c r="D91" s="30"/>
      <c r="E91" s="4"/>
      <c r="F91" s="12" t="s">
        <v>4</v>
      </c>
      <c r="G91" s="29">
        <f>B91</f>
        <v>26680</v>
      </c>
      <c r="H91" s="29"/>
      <c r="I91" s="30"/>
    </row>
  </sheetData>
  <mergeCells count="130">
    <mergeCell ref="B91:D91"/>
    <mergeCell ref="G91:I91"/>
    <mergeCell ref="A85:D85"/>
    <mergeCell ref="F85:I85"/>
    <mergeCell ref="A89:D89"/>
    <mergeCell ref="F89:I89"/>
    <mergeCell ref="A90:B90"/>
    <mergeCell ref="C90:D90"/>
    <mergeCell ref="F90:G90"/>
    <mergeCell ref="H90:I90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A71:D71"/>
    <mergeCell ref="F71:I71"/>
    <mergeCell ref="A75:D75"/>
    <mergeCell ref="F75:I75"/>
    <mergeCell ref="A76:B76"/>
    <mergeCell ref="C76:D76"/>
    <mergeCell ref="F76:G76"/>
    <mergeCell ref="H76:I76"/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B28:D28"/>
    <mergeCell ref="G28:I28"/>
    <mergeCell ref="B21:D21"/>
    <mergeCell ref="G21:I21"/>
    <mergeCell ref="A22:D22"/>
    <mergeCell ref="F22:I22"/>
    <mergeCell ref="A26:D26"/>
    <mergeCell ref="F26:I26"/>
    <mergeCell ref="B35:D35"/>
    <mergeCell ref="G35:I35"/>
    <mergeCell ref="A19:D19"/>
    <mergeCell ref="F19:I19"/>
    <mergeCell ref="A20:B20"/>
    <mergeCell ref="C20:D20"/>
    <mergeCell ref="F20:G20"/>
    <mergeCell ref="H20:I20"/>
    <mergeCell ref="B14:D14"/>
    <mergeCell ref="G14:I14"/>
    <mergeCell ref="A27:B27"/>
    <mergeCell ref="C27:D27"/>
    <mergeCell ref="F27:G27"/>
    <mergeCell ref="H27:I27"/>
    <mergeCell ref="A12:D12"/>
    <mergeCell ref="F12:I12"/>
    <mergeCell ref="A13:B13"/>
    <mergeCell ref="C13:D13"/>
    <mergeCell ref="F13:G13"/>
    <mergeCell ref="H13:I13"/>
    <mergeCell ref="B7:D7"/>
    <mergeCell ref="G7:I7"/>
    <mergeCell ref="A15:D15"/>
    <mergeCell ref="F15:I15"/>
    <mergeCell ref="A1:D1"/>
    <mergeCell ref="F1:I1"/>
    <mergeCell ref="A5:D5"/>
    <mergeCell ref="F5:I5"/>
    <mergeCell ref="A6:B6"/>
    <mergeCell ref="C6:D6"/>
    <mergeCell ref="F6:G6"/>
    <mergeCell ref="H6:I6"/>
    <mergeCell ref="A8:D8"/>
    <mergeCell ref="F8:I8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L175"/>
  <sheetViews>
    <sheetView view="pageBreakPreview" topLeftCell="A169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23</v>
      </c>
      <c r="B1" s="21"/>
      <c r="C1" s="21"/>
      <c r="D1" s="21"/>
      <c r="E1" s="2"/>
      <c r="F1" s="21" t="str">
        <f>A1</f>
        <v>Oval DS Top-Fill - Cartridge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41</v>
      </c>
      <c r="E3" s="4"/>
      <c r="F3" s="11" t="s">
        <v>2</v>
      </c>
      <c r="G3" s="10"/>
      <c r="H3" s="11" t="s">
        <v>5</v>
      </c>
      <c r="I3" s="7" t="str">
        <f>D3</f>
        <v>26A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24</v>
      </c>
      <c r="E4" s="4"/>
      <c r="F4" s="8" t="s">
        <v>3</v>
      </c>
      <c r="G4" s="9">
        <v>26</v>
      </c>
      <c r="H4" s="11" t="s">
        <v>6</v>
      </c>
      <c r="I4" s="7" t="str">
        <f>D4</f>
        <v>DS-R01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30</v>
      </c>
      <c r="B5" s="23"/>
      <c r="C5" s="23"/>
      <c r="D5" s="24"/>
      <c r="E5" s="5"/>
      <c r="F5" s="22" t="s">
        <v>30</v>
      </c>
      <c r="G5" s="23"/>
      <c r="H5" s="23"/>
      <c r="I5" s="24"/>
      <c r="K5" s="1">
        <v>250</v>
      </c>
      <c r="L5" s="1">
        <v>20</v>
      </c>
    </row>
    <row r="6" spans="1:12" s="1" customFormat="1" ht="30" customHeight="1" x14ac:dyDescent="0.25">
      <c r="A6" s="25" t="s">
        <v>35</v>
      </c>
      <c r="B6" s="26"/>
      <c r="C6" s="26" t="s">
        <v>11</v>
      </c>
      <c r="D6" s="27"/>
      <c r="E6" s="4"/>
      <c r="F6" s="25" t="str">
        <f>A6</f>
        <v>P814</v>
      </c>
      <c r="G6" s="26"/>
      <c r="H6" s="26" t="str">
        <f>C6</f>
        <v>White</v>
      </c>
      <c r="I6" s="27"/>
    </row>
    <row r="7" spans="1:12" s="1" customFormat="1" ht="30" customHeight="1" x14ac:dyDescent="0.25">
      <c r="A7" s="12" t="s">
        <v>4</v>
      </c>
      <c r="B7" s="29">
        <v>27016</v>
      </c>
      <c r="C7" s="29"/>
      <c r="D7" s="30"/>
      <c r="E7" s="4"/>
      <c r="F7" s="12" t="s">
        <v>4</v>
      </c>
      <c r="G7" s="29">
        <f>B7</f>
        <v>27016</v>
      </c>
      <c r="H7" s="29"/>
      <c r="I7" s="30"/>
    </row>
    <row r="8" spans="1:12" ht="63.75" customHeight="1" x14ac:dyDescent="0.25">
      <c r="A8" s="21" t="s">
        <v>23</v>
      </c>
      <c r="B8" s="21"/>
      <c r="C8" s="21"/>
      <c r="D8" s="21"/>
      <c r="E8" s="2"/>
      <c r="F8" s="21" t="str">
        <f>A8</f>
        <v>Oval DS Top-Fill - Cartridge</v>
      </c>
      <c r="G8" s="21"/>
      <c r="H8" s="21"/>
      <c r="I8" s="21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41</v>
      </c>
      <c r="E10" s="4"/>
      <c r="F10" s="11" t="s">
        <v>2</v>
      </c>
      <c r="G10" s="10"/>
      <c r="H10" s="11" t="s">
        <v>5</v>
      </c>
      <c r="I10" s="7" t="str">
        <f>D10</f>
        <v>26A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24</v>
      </c>
      <c r="E11" s="4"/>
      <c r="F11" s="8" t="s">
        <v>3</v>
      </c>
      <c r="G11" s="9">
        <v>27</v>
      </c>
      <c r="H11" s="11" t="s">
        <v>6</v>
      </c>
      <c r="I11" s="7" t="str">
        <f>D11</f>
        <v>DS-R01</v>
      </c>
      <c r="K11" s="6" t="s">
        <v>8</v>
      </c>
      <c r="L11" s="6" t="s">
        <v>7</v>
      </c>
    </row>
    <row r="12" spans="1:12" s="1" customFormat="1" ht="30" customHeight="1" x14ac:dyDescent="0.25">
      <c r="A12" s="22" t="s">
        <v>30</v>
      </c>
      <c r="B12" s="23"/>
      <c r="C12" s="23"/>
      <c r="D12" s="24"/>
      <c r="E12" s="5"/>
      <c r="F12" s="22" t="s">
        <v>30</v>
      </c>
      <c r="G12" s="23"/>
      <c r="H12" s="23"/>
      <c r="I12" s="24"/>
      <c r="K12" s="1">
        <v>250</v>
      </c>
      <c r="L12" s="1">
        <v>20</v>
      </c>
    </row>
    <row r="13" spans="1:12" s="1" customFormat="1" ht="30" customHeight="1" x14ac:dyDescent="0.25">
      <c r="A13" s="25" t="s">
        <v>35</v>
      </c>
      <c r="B13" s="26"/>
      <c r="C13" s="26" t="s">
        <v>11</v>
      </c>
      <c r="D13" s="27"/>
      <c r="E13" s="4"/>
      <c r="F13" s="25" t="str">
        <f>A13</f>
        <v>P814</v>
      </c>
      <c r="G13" s="26"/>
      <c r="H13" s="26" t="str">
        <f>C13</f>
        <v>White</v>
      </c>
      <c r="I13" s="27"/>
    </row>
    <row r="14" spans="1:12" s="1" customFormat="1" ht="30" customHeight="1" x14ac:dyDescent="0.25">
      <c r="A14" s="12" t="s">
        <v>4</v>
      </c>
      <c r="B14" s="29">
        <v>27016</v>
      </c>
      <c r="C14" s="29"/>
      <c r="D14" s="30"/>
      <c r="E14" s="4"/>
      <c r="F14" s="12" t="s">
        <v>4</v>
      </c>
      <c r="G14" s="29">
        <f>B14</f>
        <v>27016</v>
      </c>
      <c r="H14" s="29"/>
      <c r="I14" s="30"/>
    </row>
    <row r="15" spans="1:12" ht="63.75" customHeight="1" x14ac:dyDescent="0.25">
      <c r="A15" s="21" t="s">
        <v>23</v>
      </c>
      <c r="B15" s="21"/>
      <c r="C15" s="21"/>
      <c r="D15" s="21"/>
      <c r="E15" s="2"/>
      <c r="F15" s="21" t="str">
        <f>A15</f>
        <v>Oval DS Top-Fill - Cartridge</v>
      </c>
      <c r="G15" s="21"/>
      <c r="H15" s="21"/>
      <c r="I15" s="21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41</v>
      </c>
      <c r="E17" s="4"/>
      <c r="F17" s="11" t="s">
        <v>2</v>
      </c>
      <c r="G17" s="10"/>
      <c r="H17" s="11" t="s">
        <v>5</v>
      </c>
      <c r="I17" s="7" t="str">
        <f>D17</f>
        <v>26A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24</v>
      </c>
      <c r="E18" s="4"/>
      <c r="F18" s="8" t="s">
        <v>3</v>
      </c>
      <c r="G18" s="9">
        <v>28</v>
      </c>
      <c r="H18" s="11" t="s">
        <v>6</v>
      </c>
      <c r="I18" s="7" t="str">
        <f>D18</f>
        <v>DS-R01</v>
      </c>
      <c r="K18" s="6" t="s">
        <v>8</v>
      </c>
      <c r="L18" s="6" t="s">
        <v>7</v>
      </c>
    </row>
    <row r="19" spans="1:12" s="1" customFormat="1" ht="30" customHeight="1" x14ac:dyDescent="0.25">
      <c r="A19" s="22" t="s">
        <v>30</v>
      </c>
      <c r="B19" s="23"/>
      <c r="C19" s="23"/>
      <c r="D19" s="24"/>
      <c r="E19" s="5"/>
      <c r="F19" s="22" t="s">
        <v>30</v>
      </c>
      <c r="G19" s="23"/>
      <c r="H19" s="23"/>
      <c r="I19" s="24"/>
      <c r="K19" s="1">
        <v>250</v>
      </c>
      <c r="L19" s="1">
        <v>20</v>
      </c>
    </row>
    <row r="20" spans="1:12" s="1" customFormat="1" ht="30" customHeight="1" x14ac:dyDescent="0.25">
      <c r="A20" s="25" t="s">
        <v>35</v>
      </c>
      <c r="B20" s="26"/>
      <c r="C20" s="26" t="s">
        <v>11</v>
      </c>
      <c r="D20" s="27"/>
      <c r="E20" s="4"/>
      <c r="F20" s="25" t="str">
        <f>A20</f>
        <v>P814</v>
      </c>
      <c r="G20" s="26"/>
      <c r="H20" s="26" t="str">
        <f>C20</f>
        <v>White</v>
      </c>
      <c r="I20" s="27"/>
    </row>
    <row r="21" spans="1:12" s="1" customFormat="1" ht="30" customHeight="1" x14ac:dyDescent="0.25">
      <c r="A21" s="12" t="s">
        <v>4</v>
      </c>
      <c r="B21" s="29">
        <v>27016</v>
      </c>
      <c r="C21" s="29"/>
      <c r="D21" s="30"/>
      <c r="E21" s="4"/>
      <c r="F21" s="12" t="s">
        <v>4</v>
      </c>
      <c r="G21" s="29">
        <f>B21</f>
        <v>27016</v>
      </c>
      <c r="H21" s="29"/>
      <c r="I21" s="30"/>
    </row>
    <row r="22" spans="1:12" ht="63.75" customHeight="1" x14ac:dyDescent="0.25">
      <c r="A22" s="21" t="s">
        <v>23</v>
      </c>
      <c r="B22" s="21"/>
      <c r="C22" s="21"/>
      <c r="D22" s="21"/>
      <c r="E22" s="2"/>
      <c r="F22" s="21" t="str">
        <f>A22</f>
        <v>Oval DS Top-Fill - Cartridge</v>
      </c>
      <c r="G22" s="21"/>
      <c r="H22" s="21"/>
      <c r="I22" s="21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41</v>
      </c>
      <c r="E24" s="4"/>
      <c r="F24" s="11" t="s">
        <v>2</v>
      </c>
      <c r="G24" s="10"/>
      <c r="H24" s="11" t="s">
        <v>5</v>
      </c>
      <c r="I24" s="7" t="str">
        <f>D24</f>
        <v>26A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24</v>
      </c>
      <c r="E25" s="4"/>
      <c r="F25" s="8" t="s">
        <v>3</v>
      </c>
      <c r="G25" s="9">
        <v>29</v>
      </c>
      <c r="H25" s="11" t="s">
        <v>6</v>
      </c>
      <c r="I25" s="7" t="str">
        <f>D25</f>
        <v>DS-R01</v>
      </c>
      <c r="K25" s="6" t="s">
        <v>8</v>
      </c>
      <c r="L25" s="6" t="s">
        <v>7</v>
      </c>
    </row>
    <row r="26" spans="1:12" s="1" customFormat="1" ht="30" customHeight="1" x14ac:dyDescent="0.25">
      <c r="A26" s="22" t="s">
        <v>30</v>
      </c>
      <c r="B26" s="23"/>
      <c r="C26" s="23"/>
      <c r="D26" s="24"/>
      <c r="E26" s="5"/>
      <c r="F26" s="22" t="s">
        <v>30</v>
      </c>
      <c r="G26" s="23"/>
      <c r="H26" s="23"/>
      <c r="I26" s="24"/>
      <c r="K26" s="1">
        <v>250</v>
      </c>
      <c r="L26" s="1">
        <v>20</v>
      </c>
    </row>
    <row r="27" spans="1:12" s="1" customFormat="1" ht="30" customHeight="1" x14ac:dyDescent="0.25">
      <c r="A27" s="25" t="s">
        <v>35</v>
      </c>
      <c r="B27" s="26"/>
      <c r="C27" s="26" t="s">
        <v>11</v>
      </c>
      <c r="D27" s="27"/>
      <c r="E27" s="4"/>
      <c r="F27" s="25" t="str">
        <f>A27</f>
        <v>P814</v>
      </c>
      <c r="G27" s="26"/>
      <c r="H27" s="26" t="str">
        <f>C27</f>
        <v>White</v>
      </c>
      <c r="I27" s="27"/>
    </row>
    <row r="28" spans="1:12" s="1" customFormat="1" ht="30" customHeight="1" x14ac:dyDescent="0.25">
      <c r="A28" s="12" t="s">
        <v>4</v>
      </c>
      <c r="B28" s="29">
        <v>27016</v>
      </c>
      <c r="C28" s="29"/>
      <c r="D28" s="30"/>
      <c r="E28" s="4"/>
      <c r="F28" s="12" t="s">
        <v>4</v>
      </c>
      <c r="G28" s="29">
        <f>B28</f>
        <v>27016</v>
      </c>
      <c r="H28" s="29"/>
      <c r="I28" s="30"/>
    </row>
    <row r="29" spans="1:12" ht="63.75" customHeight="1" x14ac:dyDescent="0.25">
      <c r="A29" s="21" t="s">
        <v>23</v>
      </c>
      <c r="B29" s="21"/>
      <c r="C29" s="21"/>
      <c r="D29" s="21"/>
      <c r="E29" s="2"/>
      <c r="F29" s="21" t="str">
        <f>A29</f>
        <v>Oval DS Top-Fill - Cartridge</v>
      </c>
      <c r="G29" s="21"/>
      <c r="H29" s="21"/>
      <c r="I29" s="21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41</v>
      </c>
      <c r="E31" s="4"/>
      <c r="F31" s="11" t="s">
        <v>2</v>
      </c>
      <c r="G31" s="10"/>
      <c r="H31" s="11" t="s">
        <v>5</v>
      </c>
      <c r="I31" s="7" t="str">
        <f>D31</f>
        <v>26A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24</v>
      </c>
      <c r="E32" s="4"/>
      <c r="F32" s="8" t="s">
        <v>3</v>
      </c>
      <c r="G32" s="9">
        <v>30</v>
      </c>
      <c r="H32" s="11" t="s">
        <v>6</v>
      </c>
      <c r="I32" s="7" t="str">
        <f>D32</f>
        <v>DS-R01</v>
      </c>
      <c r="K32" s="6" t="s">
        <v>8</v>
      </c>
      <c r="L32" s="6" t="s">
        <v>7</v>
      </c>
    </row>
    <row r="33" spans="1:12" s="1" customFormat="1" ht="30" customHeight="1" x14ac:dyDescent="0.25">
      <c r="A33" s="22" t="s">
        <v>30</v>
      </c>
      <c r="B33" s="23"/>
      <c r="C33" s="23"/>
      <c r="D33" s="24"/>
      <c r="E33" s="5"/>
      <c r="F33" s="22" t="s">
        <v>30</v>
      </c>
      <c r="G33" s="23"/>
      <c r="H33" s="23"/>
      <c r="I33" s="24"/>
      <c r="K33" s="1">
        <v>250</v>
      </c>
      <c r="L33" s="1">
        <v>20</v>
      </c>
    </row>
    <row r="34" spans="1:12" s="1" customFormat="1" ht="30" customHeight="1" x14ac:dyDescent="0.25">
      <c r="A34" s="25" t="s">
        <v>35</v>
      </c>
      <c r="B34" s="26"/>
      <c r="C34" s="26" t="s">
        <v>11</v>
      </c>
      <c r="D34" s="27"/>
      <c r="E34" s="4"/>
      <c r="F34" s="25" t="str">
        <f>A34</f>
        <v>P814</v>
      </c>
      <c r="G34" s="26"/>
      <c r="H34" s="26" t="str">
        <f>C34</f>
        <v>White</v>
      </c>
      <c r="I34" s="27"/>
    </row>
    <row r="35" spans="1:12" s="1" customFormat="1" ht="30" customHeight="1" x14ac:dyDescent="0.25">
      <c r="A35" s="12" t="s">
        <v>4</v>
      </c>
      <c r="B35" s="29">
        <v>27016</v>
      </c>
      <c r="C35" s="29"/>
      <c r="D35" s="30"/>
      <c r="E35" s="4"/>
      <c r="F35" s="12" t="s">
        <v>4</v>
      </c>
      <c r="G35" s="29">
        <f>B35</f>
        <v>27016</v>
      </c>
      <c r="H35" s="29"/>
      <c r="I35" s="30"/>
    </row>
    <row r="36" spans="1:12" ht="63.75" customHeight="1" x14ac:dyDescent="0.25">
      <c r="A36" s="21" t="s">
        <v>23</v>
      </c>
      <c r="B36" s="21"/>
      <c r="C36" s="21"/>
      <c r="D36" s="21"/>
      <c r="E36" s="2"/>
      <c r="F36" s="21" t="str">
        <f>A36</f>
        <v>Oval DS Top-Fill - Cartridge</v>
      </c>
      <c r="G36" s="21"/>
      <c r="H36" s="21"/>
      <c r="I36" s="21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41</v>
      </c>
      <c r="E38" s="4"/>
      <c r="F38" s="11" t="s">
        <v>2</v>
      </c>
      <c r="G38" s="10"/>
      <c r="H38" s="11" t="s">
        <v>5</v>
      </c>
      <c r="I38" s="7" t="str">
        <f>D38</f>
        <v>26A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24</v>
      </c>
      <c r="E39" s="4"/>
      <c r="F39" s="8" t="s">
        <v>3</v>
      </c>
      <c r="G39" s="9">
        <v>31</v>
      </c>
      <c r="H39" s="11" t="s">
        <v>6</v>
      </c>
      <c r="I39" s="7" t="str">
        <f>D39</f>
        <v>DS-R01</v>
      </c>
      <c r="K39" s="6" t="s">
        <v>8</v>
      </c>
      <c r="L39" s="6" t="s">
        <v>7</v>
      </c>
    </row>
    <row r="40" spans="1:12" s="1" customFormat="1" ht="30" customHeight="1" x14ac:dyDescent="0.25">
      <c r="A40" s="22" t="s">
        <v>30</v>
      </c>
      <c r="B40" s="23"/>
      <c r="C40" s="23"/>
      <c r="D40" s="24"/>
      <c r="E40" s="5"/>
      <c r="F40" s="22" t="s">
        <v>30</v>
      </c>
      <c r="G40" s="23"/>
      <c r="H40" s="23"/>
      <c r="I40" s="24"/>
      <c r="K40" s="1">
        <v>250</v>
      </c>
      <c r="L40" s="1">
        <v>20</v>
      </c>
    </row>
    <row r="41" spans="1:12" s="1" customFormat="1" ht="30" customHeight="1" x14ac:dyDescent="0.25">
      <c r="A41" s="25" t="s">
        <v>35</v>
      </c>
      <c r="B41" s="26"/>
      <c r="C41" s="26" t="s">
        <v>11</v>
      </c>
      <c r="D41" s="27"/>
      <c r="E41" s="4"/>
      <c r="F41" s="25" t="str">
        <f>A41</f>
        <v>P814</v>
      </c>
      <c r="G41" s="26"/>
      <c r="H41" s="26" t="str">
        <f>C41</f>
        <v>White</v>
      </c>
      <c r="I41" s="27"/>
    </row>
    <row r="42" spans="1:12" s="1" customFormat="1" ht="30" customHeight="1" x14ac:dyDescent="0.25">
      <c r="A42" s="12" t="s">
        <v>4</v>
      </c>
      <c r="B42" s="29">
        <v>27016</v>
      </c>
      <c r="C42" s="29"/>
      <c r="D42" s="30"/>
      <c r="E42" s="4"/>
      <c r="F42" s="12" t="s">
        <v>4</v>
      </c>
      <c r="G42" s="29">
        <f>B42</f>
        <v>27016</v>
      </c>
      <c r="H42" s="29"/>
      <c r="I42" s="30"/>
    </row>
    <row r="43" spans="1:12" ht="63.75" customHeight="1" x14ac:dyDescent="0.25">
      <c r="A43" s="21" t="s">
        <v>23</v>
      </c>
      <c r="B43" s="21"/>
      <c r="C43" s="21"/>
      <c r="D43" s="21"/>
      <c r="E43" s="2"/>
      <c r="F43" s="21" t="str">
        <f>A43</f>
        <v>Oval DS Top-Fill - Cartridge</v>
      </c>
      <c r="G43" s="21"/>
      <c r="H43" s="21"/>
      <c r="I43" s="21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41</v>
      </c>
      <c r="E45" s="4"/>
      <c r="F45" s="11" t="s">
        <v>2</v>
      </c>
      <c r="G45" s="10"/>
      <c r="H45" s="11" t="s">
        <v>5</v>
      </c>
      <c r="I45" s="7" t="str">
        <f>D45</f>
        <v>26A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24</v>
      </c>
      <c r="E46" s="4"/>
      <c r="F46" s="8" t="s">
        <v>3</v>
      </c>
      <c r="G46" s="9">
        <v>32</v>
      </c>
      <c r="H46" s="11" t="s">
        <v>6</v>
      </c>
      <c r="I46" s="7" t="str">
        <f>D46</f>
        <v>DS-R01</v>
      </c>
      <c r="K46" s="6" t="s">
        <v>8</v>
      </c>
      <c r="L46" s="6" t="s">
        <v>7</v>
      </c>
    </row>
    <row r="47" spans="1:12" s="1" customFormat="1" ht="30" customHeight="1" x14ac:dyDescent="0.25">
      <c r="A47" s="22" t="s">
        <v>30</v>
      </c>
      <c r="B47" s="23"/>
      <c r="C47" s="23"/>
      <c r="D47" s="24"/>
      <c r="E47" s="5"/>
      <c r="F47" s="22" t="s">
        <v>30</v>
      </c>
      <c r="G47" s="23"/>
      <c r="H47" s="23"/>
      <c r="I47" s="24"/>
      <c r="K47" s="1">
        <v>250</v>
      </c>
      <c r="L47" s="1">
        <v>20</v>
      </c>
    </row>
    <row r="48" spans="1:12" s="1" customFormat="1" ht="30" customHeight="1" x14ac:dyDescent="0.25">
      <c r="A48" s="25" t="s">
        <v>35</v>
      </c>
      <c r="B48" s="26"/>
      <c r="C48" s="26" t="s">
        <v>11</v>
      </c>
      <c r="D48" s="27"/>
      <c r="E48" s="4"/>
      <c r="F48" s="25" t="str">
        <f>A48</f>
        <v>P814</v>
      </c>
      <c r="G48" s="26"/>
      <c r="H48" s="26" t="str">
        <f>C48</f>
        <v>White</v>
      </c>
      <c r="I48" s="27"/>
    </row>
    <row r="49" spans="1:12" s="1" customFormat="1" ht="30" customHeight="1" x14ac:dyDescent="0.25">
      <c r="A49" s="12" t="s">
        <v>4</v>
      </c>
      <c r="B49" s="29">
        <v>27016</v>
      </c>
      <c r="C49" s="29"/>
      <c r="D49" s="30"/>
      <c r="E49" s="4"/>
      <c r="F49" s="12" t="s">
        <v>4</v>
      </c>
      <c r="G49" s="29">
        <f>B49</f>
        <v>27016</v>
      </c>
      <c r="H49" s="29"/>
      <c r="I49" s="30"/>
    </row>
    <row r="50" spans="1:12" ht="63.75" customHeight="1" x14ac:dyDescent="0.25">
      <c r="A50" s="21" t="s">
        <v>23</v>
      </c>
      <c r="B50" s="21"/>
      <c r="C50" s="21"/>
      <c r="D50" s="21"/>
      <c r="E50" s="2"/>
      <c r="F50" s="21" t="str">
        <f>A50</f>
        <v>Oval DS Top-Fill - Cartridge</v>
      </c>
      <c r="G50" s="21"/>
      <c r="H50" s="21"/>
      <c r="I50" s="21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41</v>
      </c>
      <c r="E52" s="4"/>
      <c r="F52" s="11" t="s">
        <v>2</v>
      </c>
      <c r="G52" s="10"/>
      <c r="H52" s="11" t="s">
        <v>5</v>
      </c>
      <c r="I52" s="7" t="str">
        <f>D52</f>
        <v>26A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24</v>
      </c>
      <c r="E53" s="4"/>
      <c r="F53" s="8" t="s">
        <v>3</v>
      </c>
      <c r="G53" s="9">
        <v>33</v>
      </c>
      <c r="H53" s="11" t="s">
        <v>6</v>
      </c>
      <c r="I53" s="7" t="str">
        <f>D53</f>
        <v>DS-R01</v>
      </c>
      <c r="K53" s="6" t="s">
        <v>8</v>
      </c>
      <c r="L53" s="6" t="s">
        <v>7</v>
      </c>
    </row>
    <row r="54" spans="1:12" s="1" customFormat="1" ht="30" customHeight="1" x14ac:dyDescent="0.25">
      <c r="A54" s="22" t="s">
        <v>30</v>
      </c>
      <c r="B54" s="23"/>
      <c r="C54" s="23"/>
      <c r="D54" s="24"/>
      <c r="E54" s="5"/>
      <c r="F54" s="22" t="s">
        <v>30</v>
      </c>
      <c r="G54" s="23"/>
      <c r="H54" s="23"/>
      <c r="I54" s="24"/>
      <c r="K54" s="1">
        <v>250</v>
      </c>
      <c r="L54" s="1">
        <v>20</v>
      </c>
    </row>
    <row r="55" spans="1:12" s="1" customFormat="1" ht="30" customHeight="1" x14ac:dyDescent="0.25">
      <c r="A55" s="25" t="s">
        <v>35</v>
      </c>
      <c r="B55" s="26"/>
      <c r="C55" s="26" t="s">
        <v>11</v>
      </c>
      <c r="D55" s="27"/>
      <c r="E55" s="4"/>
      <c r="F55" s="25" t="str">
        <f>A55</f>
        <v>P814</v>
      </c>
      <c r="G55" s="26"/>
      <c r="H55" s="26" t="str">
        <f>C55</f>
        <v>White</v>
      </c>
      <c r="I55" s="27"/>
    </row>
    <row r="56" spans="1:12" s="1" customFormat="1" ht="30" customHeight="1" x14ac:dyDescent="0.25">
      <c r="A56" s="12" t="s">
        <v>4</v>
      </c>
      <c r="B56" s="29">
        <v>27016</v>
      </c>
      <c r="C56" s="29"/>
      <c r="D56" s="30"/>
      <c r="E56" s="4"/>
      <c r="F56" s="12" t="s">
        <v>4</v>
      </c>
      <c r="G56" s="29">
        <f>B56</f>
        <v>27016</v>
      </c>
      <c r="H56" s="29"/>
      <c r="I56" s="30"/>
    </row>
    <row r="57" spans="1:12" ht="63.75" customHeight="1" x14ac:dyDescent="0.25">
      <c r="A57" s="21" t="s">
        <v>23</v>
      </c>
      <c r="B57" s="21"/>
      <c r="C57" s="21"/>
      <c r="D57" s="21"/>
      <c r="E57" s="2"/>
      <c r="F57" s="21" t="str">
        <f>A57</f>
        <v>Oval DS Top-Fill - Cartridge</v>
      </c>
      <c r="G57" s="21"/>
      <c r="H57" s="21"/>
      <c r="I57" s="21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41</v>
      </c>
      <c r="E59" s="4"/>
      <c r="F59" s="11" t="s">
        <v>2</v>
      </c>
      <c r="G59" s="10"/>
      <c r="H59" s="11" t="s">
        <v>5</v>
      </c>
      <c r="I59" s="7" t="str">
        <f>D59</f>
        <v>26A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24</v>
      </c>
      <c r="E60" s="4"/>
      <c r="F60" s="8" t="s">
        <v>3</v>
      </c>
      <c r="G60" s="9">
        <v>34</v>
      </c>
      <c r="H60" s="11" t="s">
        <v>6</v>
      </c>
      <c r="I60" s="7" t="str">
        <f>D60</f>
        <v>DS-R01</v>
      </c>
      <c r="K60" s="6" t="s">
        <v>8</v>
      </c>
      <c r="L60" s="6" t="s">
        <v>7</v>
      </c>
    </row>
    <row r="61" spans="1:12" s="1" customFormat="1" ht="30" customHeight="1" x14ac:dyDescent="0.25">
      <c r="A61" s="22" t="s">
        <v>30</v>
      </c>
      <c r="B61" s="23"/>
      <c r="C61" s="23"/>
      <c r="D61" s="24"/>
      <c r="E61" s="5"/>
      <c r="F61" s="22" t="s">
        <v>30</v>
      </c>
      <c r="G61" s="23"/>
      <c r="H61" s="23"/>
      <c r="I61" s="24"/>
      <c r="K61" s="1">
        <v>250</v>
      </c>
      <c r="L61" s="1">
        <v>20</v>
      </c>
    </row>
    <row r="62" spans="1:12" s="1" customFormat="1" ht="30" customHeight="1" x14ac:dyDescent="0.25">
      <c r="A62" s="25" t="s">
        <v>35</v>
      </c>
      <c r="B62" s="26"/>
      <c r="C62" s="26" t="s">
        <v>11</v>
      </c>
      <c r="D62" s="27"/>
      <c r="E62" s="4"/>
      <c r="F62" s="25" t="str">
        <f>A62</f>
        <v>P814</v>
      </c>
      <c r="G62" s="26"/>
      <c r="H62" s="26" t="str">
        <f>C62</f>
        <v>White</v>
      </c>
      <c r="I62" s="27"/>
    </row>
    <row r="63" spans="1:12" s="1" customFormat="1" ht="30" customHeight="1" x14ac:dyDescent="0.25">
      <c r="A63" s="12" t="s">
        <v>4</v>
      </c>
      <c r="B63" s="29">
        <v>27016</v>
      </c>
      <c r="C63" s="29"/>
      <c r="D63" s="30"/>
      <c r="E63" s="4"/>
      <c r="F63" s="12" t="s">
        <v>4</v>
      </c>
      <c r="G63" s="29">
        <f>B63</f>
        <v>27016</v>
      </c>
      <c r="H63" s="29"/>
      <c r="I63" s="30"/>
    </row>
    <row r="64" spans="1:12" ht="63.75" customHeight="1" x14ac:dyDescent="0.25">
      <c r="A64" s="21" t="s">
        <v>23</v>
      </c>
      <c r="B64" s="21"/>
      <c r="C64" s="21"/>
      <c r="D64" s="21"/>
      <c r="E64" s="2"/>
      <c r="F64" s="21" t="str">
        <f>A64</f>
        <v>Oval DS Top-Fill - Cartridge</v>
      </c>
      <c r="G64" s="21"/>
      <c r="H64" s="21"/>
      <c r="I64" s="21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1" t="s">
        <v>0</v>
      </c>
      <c r="G65" s="10"/>
      <c r="H65" s="11" t="s">
        <v>1</v>
      </c>
      <c r="I65" s="10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41</v>
      </c>
      <c r="E66" s="4"/>
      <c r="F66" s="11" t="s">
        <v>2</v>
      </c>
      <c r="G66" s="10"/>
      <c r="H66" s="11" t="s">
        <v>5</v>
      </c>
      <c r="I66" s="7" t="str">
        <f>D66</f>
        <v>26A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24</v>
      </c>
      <c r="E67" s="4"/>
      <c r="F67" s="8" t="s">
        <v>3</v>
      </c>
      <c r="G67" s="9">
        <v>35</v>
      </c>
      <c r="H67" s="11" t="s">
        <v>6</v>
      </c>
      <c r="I67" s="7" t="str">
        <f>D67</f>
        <v>DS-R01</v>
      </c>
      <c r="K67" s="6" t="s">
        <v>8</v>
      </c>
      <c r="L67" s="6" t="s">
        <v>7</v>
      </c>
    </row>
    <row r="68" spans="1:12" s="1" customFormat="1" ht="30" customHeight="1" x14ac:dyDescent="0.25">
      <c r="A68" s="22" t="s">
        <v>30</v>
      </c>
      <c r="B68" s="23"/>
      <c r="C68" s="23"/>
      <c r="D68" s="24"/>
      <c r="E68" s="5"/>
      <c r="F68" s="22" t="s">
        <v>30</v>
      </c>
      <c r="G68" s="23"/>
      <c r="H68" s="23"/>
      <c r="I68" s="24"/>
      <c r="K68" s="1">
        <v>250</v>
      </c>
      <c r="L68" s="1">
        <v>20</v>
      </c>
    </row>
    <row r="69" spans="1:12" s="1" customFormat="1" ht="30" customHeight="1" x14ac:dyDescent="0.25">
      <c r="A69" s="25" t="s">
        <v>35</v>
      </c>
      <c r="B69" s="26"/>
      <c r="C69" s="26" t="s">
        <v>11</v>
      </c>
      <c r="D69" s="27"/>
      <c r="E69" s="4"/>
      <c r="F69" s="25" t="str">
        <f>A69</f>
        <v>P814</v>
      </c>
      <c r="G69" s="26"/>
      <c r="H69" s="26" t="str">
        <f>C69</f>
        <v>White</v>
      </c>
      <c r="I69" s="27"/>
    </row>
    <row r="70" spans="1:12" s="1" customFormat="1" ht="30" customHeight="1" x14ac:dyDescent="0.25">
      <c r="A70" s="12" t="s">
        <v>4</v>
      </c>
      <c r="B70" s="29">
        <v>27016</v>
      </c>
      <c r="C70" s="29"/>
      <c r="D70" s="30"/>
      <c r="E70" s="4"/>
      <c r="F70" s="12" t="s">
        <v>4</v>
      </c>
      <c r="G70" s="29">
        <f>B70</f>
        <v>27016</v>
      </c>
      <c r="H70" s="29"/>
      <c r="I70" s="30"/>
    </row>
    <row r="71" spans="1:12" ht="63.75" customHeight="1" x14ac:dyDescent="0.25">
      <c r="A71" s="21" t="s">
        <v>23</v>
      </c>
      <c r="B71" s="21"/>
      <c r="C71" s="21"/>
      <c r="D71" s="21"/>
      <c r="E71" s="2"/>
      <c r="F71" s="21" t="str">
        <f>A71</f>
        <v>Oval DS Top-Fill - Cartridge</v>
      </c>
      <c r="G71" s="21"/>
      <c r="H71" s="21"/>
      <c r="I71" s="21"/>
    </row>
    <row r="72" spans="1:12" s="1" customFormat="1" ht="30" customHeight="1" x14ac:dyDescent="0.25">
      <c r="A72" s="11" t="s">
        <v>0</v>
      </c>
      <c r="B72" s="10"/>
      <c r="C72" s="11" t="s">
        <v>1</v>
      </c>
      <c r="D72" s="10"/>
      <c r="E72" s="3"/>
      <c r="F72" s="11" t="s">
        <v>0</v>
      </c>
      <c r="G72" s="10"/>
      <c r="H72" s="11" t="s">
        <v>1</v>
      </c>
      <c r="I72" s="10"/>
    </row>
    <row r="73" spans="1:12" s="1" customFormat="1" ht="30" customHeight="1" x14ac:dyDescent="0.25">
      <c r="A73" s="11" t="s">
        <v>2</v>
      </c>
      <c r="B73" s="10"/>
      <c r="C73" s="11" t="s">
        <v>5</v>
      </c>
      <c r="D73" s="7" t="s">
        <v>41</v>
      </c>
      <c r="E73" s="4"/>
      <c r="F73" s="11" t="s">
        <v>2</v>
      </c>
      <c r="G73" s="10"/>
      <c r="H73" s="11" t="s">
        <v>5</v>
      </c>
      <c r="I73" s="7" t="str">
        <f>D73</f>
        <v>26A</v>
      </c>
    </row>
    <row r="74" spans="1:12" s="1" customFormat="1" ht="53.25" customHeight="1" x14ac:dyDescent="0.25">
      <c r="A74" s="8" t="s">
        <v>3</v>
      </c>
      <c r="B74" s="9">
        <v>11</v>
      </c>
      <c r="C74" s="11" t="s">
        <v>6</v>
      </c>
      <c r="D74" s="7" t="s">
        <v>24</v>
      </c>
      <c r="E74" s="4"/>
      <c r="F74" s="8" t="s">
        <v>3</v>
      </c>
      <c r="G74" s="9">
        <v>36</v>
      </c>
      <c r="H74" s="11" t="s">
        <v>6</v>
      </c>
      <c r="I74" s="7" t="str">
        <f>D74</f>
        <v>DS-R01</v>
      </c>
      <c r="K74" s="6" t="s">
        <v>8</v>
      </c>
      <c r="L74" s="6" t="s">
        <v>7</v>
      </c>
    </row>
    <row r="75" spans="1:12" s="1" customFormat="1" ht="30" customHeight="1" x14ac:dyDescent="0.25">
      <c r="A75" s="22" t="s">
        <v>30</v>
      </c>
      <c r="B75" s="23"/>
      <c r="C75" s="23"/>
      <c r="D75" s="24"/>
      <c r="E75" s="5"/>
      <c r="F75" s="22" t="s">
        <v>30</v>
      </c>
      <c r="G75" s="23"/>
      <c r="H75" s="23"/>
      <c r="I75" s="24"/>
      <c r="K75" s="1">
        <v>250</v>
      </c>
      <c r="L75" s="1">
        <v>20</v>
      </c>
    </row>
    <row r="76" spans="1:12" s="1" customFormat="1" ht="30" customHeight="1" x14ac:dyDescent="0.25">
      <c r="A76" s="25" t="s">
        <v>35</v>
      </c>
      <c r="B76" s="26"/>
      <c r="C76" s="26" t="s">
        <v>11</v>
      </c>
      <c r="D76" s="27"/>
      <c r="E76" s="4"/>
      <c r="F76" s="25" t="str">
        <f>A76</f>
        <v>P814</v>
      </c>
      <c r="G76" s="26"/>
      <c r="H76" s="26" t="str">
        <f>C76</f>
        <v>White</v>
      </c>
      <c r="I76" s="27"/>
    </row>
    <row r="77" spans="1:12" s="1" customFormat="1" ht="30" customHeight="1" x14ac:dyDescent="0.25">
      <c r="A77" s="12" t="s">
        <v>4</v>
      </c>
      <c r="B77" s="29">
        <v>27016</v>
      </c>
      <c r="C77" s="29"/>
      <c r="D77" s="30"/>
      <c r="E77" s="4"/>
      <c r="F77" s="12" t="s">
        <v>4</v>
      </c>
      <c r="G77" s="29">
        <f>B77</f>
        <v>27016</v>
      </c>
      <c r="H77" s="29"/>
      <c r="I77" s="30"/>
    </row>
    <row r="78" spans="1:12" ht="63.75" customHeight="1" x14ac:dyDescent="0.25">
      <c r="A78" s="21" t="s">
        <v>23</v>
      </c>
      <c r="B78" s="21"/>
      <c r="C78" s="21"/>
      <c r="D78" s="21"/>
      <c r="E78" s="2"/>
      <c r="F78" s="21" t="str">
        <f>A78</f>
        <v>Oval DS Top-Fill - Cartridge</v>
      </c>
      <c r="G78" s="21"/>
      <c r="H78" s="21"/>
      <c r="I78" s="21"/>
    </row>
    <row r="79" spans="1:12" s="1" customFormat="1" ht="30" customHeight="1" x14ac:dyDescent="0.25">
      <c r="A79" s="11" t="s">
        <v>0</v>
      </c>
      <c r="B79" s="10"/>
      <c r="C79" s="11" t="s">
        <v>1</v>
      </c>
      <c r="D79" s="10"/>
      <c r="E79" s="3"/>
      <c r="F79" s="11" t="s">
        <v>0</v>
      </c>
      <c r="G79" s="10"/>
      <c r="H79" s="11" t="s">
        <v>1</v>
      </c>
      <c r="I79" s="10"/>
    </row>
    <row r="80" spans="1:12" s="1" customFormat="1" ht="30" customHeight="1" x14ac:dyDescent="0.25">
      <c r="A80" s="11" t="s">
        <v>2</v>
      </c>
      <c r="B80" s="10"/>
      <c r="C80" s="11" t="s">
        <v>5</v>
      </c>
      <c r="D80" s="7" t="s">
        <v>41</v>
      </c>
      <c r="E80" s="4"/>
      <c r="F80" s="11" t="s">
        <v>2</v>
      </c>
      <c r="G80" s="10"/>
      <c r="H80" s="11" t="s">
        <v>5</v>
      </c>
      <c r="I80" s="7" t="str">
        <f>D80</f>
        <v>26A</v>
      </c>
    </row>
    <row r="81" spans="1:12" s="1" customFormat="1" ht="53.25" customHeight="1" x14ac:dyDescent="0.25">
      <c r="A81" s="8" t="s">
        <v>3</v>
      </c>
      <c r="B81" s="9">
        <v>12</v>
      </c>
      <c r="C81" s="11" t="s">
        <v>6</v>
      </c>
      <c r="D81" s="7" t="s">
        <v>24</v>
      </c>
      <c r="E81" s="4"/>
      <c r="F81" s="8" t="s">
        <v>3</v>
      </c>
      <c r="G81" s="9">
        <v>37</v>
      </c>
      <c r="H81" s="11" t="s">
        <v>6</v>
      </c>
      <c r="I81" s="7" t="str">
        <f>D81</f>
        <v>DS-R01</v>
      </c>
      <c r="K81" s="6" t="s">
        <v>8</v>
      </c>
      <c r="L81" s="6" t="s">
        <v>7</v>
      </c>
    </row>
    <row r="82" spans="1:12" s="1" customFormat="1" ht="30" customHeight="1" x14ac:dyDescent="0.25">
      <c r="A82" s="22" t="s">
        <v>30</v>
      </c>
      <c r="B82" s="23"/>
      <c r="C82" s="23"/>
      <c r="D82" s="24"/>
      <c r="E82" s="5"/>
      <c r="F82" s="22" t="s">
        <v>30</v>
      </c>
      <c r="G82" s="23"/>
      <c r="H82" s="23"/>
      <c r="I82" s="24"/>
      <c r="K82" s="1">
        <v>250</v>
      </c>
      <c r="L82" s="1">
        <v>20</v>
      </c>
    </row>
    <row r="83" spans="1:12" s="1" customFormat="1" ht="30" customHeight="1" x14ac:dyDescent="0.25">
      <c r="A83" s="25" t="s">
        <v>35</v>
      </c>
      <c r="B83" s="26"/>
      <c r="C83" s="26" t="s">
        <v>11</v>
      </c>
      <c r="D83" s="27"/>
      <c r="E83" s="4"/>
      <c r="F83" s="25" t="str">
        <f>A83</f>
        <v>P814</v>
      </c>
      <c r="G83" s="26"/>
      <c r="H83" s="26" t="str">
        <f>C83</f>
        <v>White</v>
      </c>
      <c r="I83" s="27"/>
    </row>
    <row r="84" spans="1:12" s="1" customFormat="1" ht="30" customHeight="1" x14ac:dyDescent="0.25">
      <c r="A84" s="12" t="s">
        <v>4</v>
      </c>
      <c r="B84" s="29">
        <v>27016</v>
      </c>
      <c r="C84" s="29"/>
      <c r="D84" s="30"/>
      <c r="E84" s="4"/>
      <c r="F84" s="12" t="s">
        <v>4</v>
      </c>
      <c r="G84" s="29">
        <f>B84</f>
        <v>27016</v>
      </c>
      <c r="H84" s="29"/>
      <c r="I84" s="30"/>
    </row>
    <row r="85" spans="1:12" ht="63.75" customHeight="1" x14ac:dyDescent="0.25">
      <c r="A85" s="21" t="s">
        <v>23</v>
      </c>
      <c r="B85" s="21"/>
      <c r="C85" s="21"/>
      <c r="D85" s="21"/>
      <c r="E85" s="2"/>
      <c r="F85" s="21" t="str">
        <f>A85</f>
        <v>Oval DS Top-Fill - Cartridge</v>
      </c>
      <c r="G85" s="21"/>
      <c r="H85" s="21"/>
      <c r="I85" s="21"/>
    </row>
    <row r="86" spans="1:12" s="1" customFormat="1" ht="30" customHeight="1" x14ac:dyDescent="0.25">
      <c r="A86" s="11" t="s">
        <v>0</v>
      </c>
      <c r="B86" s="10"/>
      <c r="C86" s="11" t="s">
        <v>1</v>
      </c>
      <c r="D86" s="10"/>
      <c r="E86" s="3"/>
      <c r="F86" s="11" t="s">
        <v>0</v>
      </c>
      <c r="G86" s="10"/>
      <c r="H86" s="11" t="s">
        <v>1</v>
      </c>
      <c r="I86" s="10"/>
    </row>
    <row r="87" spans="1:12" s="1" customFormat="1" ht="30" customHeight="1" x14ac:dyDescent="0.25">
      <c r="A87" s="11" t="s">
        <v>2</v>
      </c>
      <c r="B87" s="10"/>
      <c r="C87" s="11" t="s">
        <v>5</v>
      </c>
      <c r="D87" s="7" t="s">
        <v>41</v>
      </c>
      <c r="E87" s="4"/>
      <c r="F87" s="11" t="s">
        <v>2</v>
      </c>
      <c r="G87" s="10"/>
      <c r="H87" s="11" t="s">
        <v>5</v>
      </c>
      <c r="I87" s="7" t="str">
        <f>D87</f>
        <v>26A</v>
      </c>
    </row>
    <row r="88" spans="1:12" s="1" customFormat="1" ht="53.25" customHeight="1" x14ac:dyDescent="0.25">
      <c r="A88" s="8" t="s">
        <v>3</v>
      </c>
      <c r="B88" s="9">
        <v>13</v>
      </c>
      <c r="C88" s="11" t="s">
        <v>6</v>
      </c>
      <c r="D88" s="7" t="s">
        <v>24</v>
      </c>
      <c r="E88" s="4"/>
      <c r="F88" s="8" t="s">
        <v>3</v>
      </c>
      <c r="G88" s="9">
        <v>38</v>
      </c>
      <c r="H88" s="11" t="s">
        <v>6</v>
      </c>
      <c r="I88" s="7" t="str">
        <f>D88</f>
        <v>DS-R01</v>
      </c>
      <c r="K88" s="6" t="s">
        <v>8</v>
      </c>
      <c r="L88" s="6" t="s">
        <v>7</v>
      </c>
    </row>
    <row r="89" spans="1:12" s="1" customFormat="1" ht="30" customHeight="1" x14ac:dyDescent="0.25">
      <c r="A89" s="22" t="s">
        <v>30</v>
      </c>
      <c r="B89" s="23"/>
      <c r="C89" s="23"/>
      <c r="D89" s="24"/>
      <c r="E89" s="5"/>
      <c r="F89" s="22" t="s">
        <v>30</v>
      </c>
      <c r="G89" s="23"/>
      <c r="H89" s="23"/>
      <c r="I89" s="24"/>
      <c r="K89" s="1">
        <v>250</v>
      </c>
      <c r="L89" s="1">
        <v>20</v>
      </c>
    </row>
    <row r="90" spans="1:12" s="1" customFormat="1" ht="30" customHeight="1" x14ac:dyDescent="0.25">
      <c r="A90" s="25" t="s">
        <v>35</v>
      </c>
      <c r="B90" s="26"/>
      <c r="C90" s="26" t="s">
        <v>11</v>
      </c>
      <c r="D90" s="27"/>
      <c r="E90" s="4"/>
      <c r="F90" s="25" t="str">
        <f>A90</f>
        <v>P814</v>
      </c>
      <c r="G90" s="26"/>
      <c r="H90" s="26" t="str">
        <f>C90</f>
        <v>White</v>
      </c>
      <c r="I90" s="27"/>
    </row>
    <row r="91" spans="1:12" s="1" customFormat="1" ht="30" customHeight="1" x14ac:dyDescent="0.25">
      <c r="A91" s="12" t="s">
        <v>4</v>
      </c>
      <c r="B91" s="29">
        <v>27016</v>
      </c>
      <c r="C91" s="29"/>
      <c r="D91" s="30"/>
      <c r="E91" s="4"/>
      <c r="F91" s="12" t="s">
        <v>4</v>
      </c>
      <c r="G91" s="29">
        <f>B91</f>
        <v>27016</v>
      </c>
      <c r="H91" s="29"/>
      <c r="I91" s="30"/>
    </row>
    <row r="92" spans="1:12" ht="63.75" customHeight="1" x14ac:dyDescent="0.25">
      <c r="A92" s="21" t="s">
        <v>23</v>
      </c>
      <c r="B92" s="21"/>
      <c r="C92" s="21"/>
      <c r="D92" s="21"/>
      <c r="E92" s="2"/>
      <c r="F92" s="21" t="str">
        <f>A92</f>
        <v>Oval DS Top-Fill - Cartridge</v>
      </c>
      <c r="G92" s="21"/>
      <c r="H92" s="21"/>
      <c r="I92" s="21"/>
    </row>
    <row r="93" spans="1:12" s="1" customFormat="1" ht="30" customHeight="1" x14ac:dyDescent="0.25">
      <c r="A93" s="11" t="s">
        <v>0</v>
      </c>
      <c r="B93" s="10"/>
      <c r="C93" s="11" t="s">
        <v>1</v>
      </c>
      <c r="D93" s="10"/>
      <c r="E93" s="3"/>
      <c r="F93" s="11" t="s">
        <v>0</v>
      </c>
      <c r="G93" s="10"/>
      <c r="H93" s="11" t="s">
        <v>1</v>
      </c>
      <c r="I93" s="10"/>
    </row>
    <row r="94" spans="1:12" s="1" customFormat="1" ht="30" customHeight="1" x14ac:dyDescent="0.25">
      <c r="A94" s="11" t="s">
        <v>2</v>
      </c>
      <c r="B94" s="10"/>
      <c r="C94" s="11" t="s">
        <v>5</v>
      </c>
      <c r="D94" s="7" t="s">
        <v>41</v>
      </c>
      <c r="E94" s="4"/>
      <c r="F94" s="11" t="s">
        <v>2</v>
      </c>
      <c r="G94" s="10"/>
      <c r="H94" s="11" t="s">
        <v>5</v>
      </c>
      <c r="I94" s="7" t="str">
        <f>D94</f>
        <v>26A</v>
      </c>
    </row>
    <row r="95" spans="1:12" s="1" customFormat="1" ht="53.25" customHeight="1" x14ac:dyDescent="0.25">
      <c r="A95" s="8" t="s">
        <v>3</v>
      </c>
      <c r="B95" s="9">
        <v>14</v>
      </c>
      <c r="C95" s="11" t="s">
        <v>6</v>
      </c>
      <c r="D95" s="7" t="s">
        <v>24</v>
      </c>
      <c r="E95" s="4"/>
      <c r="F95" s="8" t="s">
        <v>3</v>
      </c>
      <c r="G95" s="9">
        <v>39</v>
      </c>
      <c r="H95" s="11" t="s">
        <v>6</v>
      </c>
      <c r="I95" s="7" t="str">
        <f>D95</f>
        <v>DS-R01</v>
      </c>
      <c r="K95" s="6" t="s">
        <v>8</v>
      </c>
      <c r="L95" s="6" t="s">
        <v>7</v>
      </c>
    </row>
    <row r="96" spans="1:12" s="1" customFormat="1" ht="30" customHeight="1" x14ac:dyDescent="0.25">
      <c r="A96" s="22" t="s">
        <v>30</v>
      </c>
      <c r="B96" s="23"/>
      <c r="C96" s="23"/>
      <c r="D96" s="24"/>
      <c r="E96" s="5"/>
      <c r="F96" s="22" t="s">
        <v>30</v>
      </c>
      <c r="G96" s="23"/>
      <c r="H96" s="23"/>
      <c r="I96" s="24"/>
      <c r="K96" s="1">
        <v>250</v>
      </c>
      <c r="L96" s="1">
        <v>20</v>
      </c>
    </row>
    <row r="97" spans="1:12" s="1" customFormat="1" ht="30" customHeight="1" x14ac:dyDescent="0.25">
      <c r="A97" s="25" t="s">
        <v>35</v>
      </c>
      <c r="B97" s="26"/>
      <c r="C97" s="26" t="s">
        <v>11</v>
      </c>
      <c r="D97" s="27"/>
      <c r="E97" s="4"/>
      <c r="F97" s="25" t="str">
        <f>A97</f>
        <v>P814</v>
      </c>
      <c r="G97" s="26"/>
      <c r="H97" s="26" t="str">
        <f>C97</f>
        <v>White</v>
      </c>
      <c r="I97" s="27"/>
    </row>
    <row r="98" spans="1:12" s="1" customFormat="1" ht="30" customHeight="1" x14ac:dyDescent="0.25">
      <c r="A98" s="12" t="s">
        <v>4</v>
      </c>
      <c r="B98" s="29">
        <v>27016</v>
      </c>
      <c r="C98" s="29"/>
      <c r="D98" s="30"/>
      <c r="E98" s="4"/>
      <c r="F98" s="12" t="s">
        <v>4</v>
      </c>
      <c r="G98" s="29">
        <f>B98</f>
        <v>27016</v>
      </c>
      <c r="H98" s="29"/>
      <c r="I98" s="30"/>
    </row>
    <row r="99" spans="1:12" ht="63.75" customHeight="1" x14ac:dyDescent="0.25">
      <c r="A99" s="21" t="s">
        <v>23</v>
      </c>
      <c r="B99" s="21"/>
      <c r="C99" s="21"/>
      <c r="D99" s="21"/>
      <c r="E99" s="2"/>
      <c r="F99" s="21" t="str">
        <f>A99</f>
        <v>Oval DS Top-Fill - Cartridge</v>
      </c>
      <c r="G99" s="21"/>
      <c r="H99" s="21"/>
      <c r="I99" s="21"/>
    </row>
    <row r="100" spans="1:12" s="1" customFormat="1" ht="30" customHeight="1" x14ac:dyDescent="0.25">
      <c r="A100" s="11" t="s">
        <v>0</v>
      </c>
      <c r="B100" s="10"/>
      <c r="C100" s="11" t="s">
        <v>1</v>
      </c>
      <c r="D100" s="10"/>
      <c r="E100" s="3"/>
      <c r="F100" s="11" t="s">
        <v>0</v>
      </c>
      <c r="G100" s="10"/>
      <c r="H100" s="11" t="s">
        <v>1</v>
      </c>
      <c r="I100" s="10"/>
    </row>
    <row r="101" spans="1:12" s="1" customFormat="1" ht="30" customHeight="1" x14ac:dyDescent="0.25">
      <c r="A101" s="11" t="s">
        <v>2</v>
      </c>
      <c r="B101" s="10"/>
      <c r="C101" s="11" t="s">
        <v>5</v>
      </c>
      <c r="D101" s="7" t="s">
        <v>41</v>
      </c>
      <c r="E101" s="4"/>
      <c r="F101" s="11" t="s">
        <v>2</v>
      </c>
      <c r="G101" s="10"/>
      <c r="H101" s="11" t="s">
        <v>5</v>
      </c>
      <c r="I101" s="7" t="str">
        <f>D101</f>
        <v>26A</v>
      </c>
    </row>
    <row r="102" spans="1:12" s="1" customFormat="1" ht="53.25" customHeight="1" x14ac:dyDescent="0.25">
      <c r="A102" s="8" t="s">
        <v>3</v>
      </c>
      <c r="B102" s="9">
        <v>15</v>
      </c>
      <c r="C102" s="11" t="s">
        <v>6</v>
      </c>
      <c r="D102" s="7" t="s">
        <v>24</v>
      </c>
      <c r="E102" s="4"/>
      <c r="F102" s="8" t="s">
        <v>3</v>
      </c>
      <c r="G102" s="9">
        <v>40</v>
      </c>
      <c r="H102" s="11" t="s">
        <v>6</v>
      </c>
      <c r="I102" s="7" t="str">
        <f>D102</f>
        <v>DS-R01</v>
      </c>
      <c r="K102" s="6" t="s">
        <v>8</v>
      </c>
      <c r="L102" s="6" t="s">
        <v>7</v>
      </c>
    </row>
    <row r="103" spans="1:12" s="1" customFormat="1" ht="30" customHeight="1" x14ac:dyDescent="0.25">
      <c r="A103" s="22" t="s">
        <v>30</v>
      </c>
      <c r="B103" s="23"/>
      <c r="C103" s="23"/>
      <c r="D103" s="24"/>
      <c r="E103" s="5"/>
      <c r="F103" s="22" t="s">
        <v>30</v>
      </c>
      <c r="G103" s="23"/>
      <c r="H103" s="23"/>
      <c r="I103" s="24"/>
      <c r="K103" s="1">
        <v>250</v>
      </c>
      <c r="L103" s="1">
        <v>20</v>
      </c>
    </row>
    <row r="104" spans="1:12" s="1" customFormat="1" ht="30" customHeight="1" x14ac:dyDescent="0.25">
      <c r="A104" s="25" t="s">
        <v>35</v>
      </c>
      <c r="B104" s="26"/>
      <c r="C104" s="26" t="s">
        <v>11</v>
      </c>
      <c r="D104" s="27"/>
      <c r="E104" s="4"/>
      <c r="F104" s="25" t="str">
        <f>A104</f>
        <v>P814</v>
      </c>
      <c r="G104" s="26"/>
      <c r="H104" s="26" t="str">
        <f>C104</f>
        <v>White</v>
      </c>
      <c r="I104" s="27"/>
    </row>
    <row r="105" spans="1:12" s="1" customFormat="1" ht="30" customHeight="1" x14ac:dyDescent="0.25">
      <c r="A105" s="12" t="s">
        <v>4</v>
      </c>
      <c r="B105" s="29">
        <v>27016</v>
      </c>
      <c r="C105" s="29"/>
      <c r="D105" s="30"/>
      <c r="E105" s="4"/>
      <c r="F105" s="12" t="s">
        <v>4</v>
      </c>
      <c r="G105" s="29">
        <f>B105</f>
        <v>27016</v>
      </c>
      <c r="H105" s="29"/>
      <c r="I105" s="30"/>
    </row>
    <row r="106" spans="1:12" ht="63.75" customHeight="1" x14ac:dyDescent="0.25">
      <c r="A106" s="21" t="s">
        <v>23</v>
      </c>
      <c r="B106" s="21"/>
      <c r="C106" s="21"/>
      <c r="D106" s="21"/>
      <c r="E106" s="2"/>
      <c r="F106" s="21" t="str">
        <f>A106</f>
        <v>Oval DS Top-Fill - Cartridge</v>
      </c>
      <c r="G106" s="21"/>
      <c r="H106" s="21"/>
      <c r="I106" s="21"/>
    </row>
    <row r="107" spans="1:12" s="1" customFormat="1" ht="30" customHeight="1" x14ac:dyDescent="0.25">
      <c r="A107" s="11" t="s">
        <v>0</v>
      </c>
      <c r="B107" s="10"/>
      <c r="C107" s="11" t="s">
        <v>1</v>
      </c>
      <c r="D107" s="10"/>
      <c r="E107" s="3"/>
      <c r="F107" s="11" t="s">
        <v>0</v>
      </c>
      <c r="G107" s="10"/>
      <c r="H107" s="11" t="s">
        <v>1</v>
      </c>
      <c r="I107" s="10"/>
    </row>
    <row r="108" spans="1:12" s="1" customFormat="1" ht="30" customHeight="1" x14ac:dyDescent="0.25">
      <c r="A108" s="11" t="s">
        <v>2</v>
      </c>
      <c r="B108" s="10"/>
      <c r="C108" s="11" t="s">
        <v>5</v>
      </c>
      <c r="D108" s="7" t="s">
        <v>41</v>
      </c>
      <c r="E108" s="4"/>
      <c r="F108" s="11" t="s">
        <v>2</v>
      </c>
      <c r="G108" s="10"/>
      <c r="H108" s="11" t="s">
        <v>5</v>
      </c>
      <c r="I108" s="7" t="str">
        <f>D108</f>
        <v>26A</v>
      </c>
    </row>
    <row r="109" spans="1:12" s="1" customFormat="1" ht="53.25" customHeight="1" x14ac:dyDescent="0.25">
      <c r="A109" s="8" t="s">
        <v>3</v>
      </c>
      <c r="B109" s="9">
        <v>16</v>
      </c>
      <c r="C109" s="11" t="s">
        <v>6</v>
      </c>
      <c r="D109" s="7" t="s">
        <v>24</v>
      </c>
      <c r="E109" s="4"/>
      <c r="F109" s="8" t="s">
        <v>3</v>
      </c>
      <c r="G109" s="9">
        <v>41</v>
      </c>
      <c r="H109" s="11" t="s">
        <v>6</v>
      </c>
      <c r="I109" s="7" t="str">
        <f>D109</f>
        <v>DS-R01</v>
      </c>
      <c r="K109" s="6" t="s">
        <v>8</v>
      </c>
      <c r="L109" s="6" t="s">
        <v>7</v>
      </c>
    </row>
    <row r="110" spans="1:12" s="1" customFormat="1" ht="30" customHeight="1" x14ac:dyDescent="0.25">
      <c r="A110" s="22" t="s">
        <v>30</v>
      </c>
      <c r="B110" s="23"/>
      <c r="C110" s="23"/>
      <c r="D110" s="24"/>
      <c r="E110" s="5"/>
      <c r="F110" s="22" t="s">
        <v>30</v>
      </c>
      <c r="G110" s="23"/>
      <c r="H110" s="23"/>
      <c r="I110" s="24"/>
      <c r="K110" s="1">
        <v>250</v>
      </c>
      <c r="L110" s="1">
        <v>20</v>
      </c>
    </row>
    <row r="111" spans="1:12" s="1" customFormat="1" ht="30" customHeight="1" x14ac:dyDescent="0.25">
      <c r="A111" s="25" t="s">
        <v>35</v>
      </c>
      <c r="B111" s="26"/>
      <c r="C111" s="26" t="s">
        <v>11</v>
      </c>
      <c r="D111" s="27"/>
      <c r="E111" s="4"/>
      <c r="F111" s="25" t="str">
        <f>A111</f>
        <v>P814</v>
      </c>
      <c r="G111" s="26"/>
      <c r="H111" s="26" t="str">
        <f>C111</f>
        <v>White</v>
      </c>
      <c r="I111" s="27"/>
    </row>
    <row r="112" spans="1:12" s="1" customFormat="1" ht="30" customHeight="1" x14ac:dyDescent="0.25">
      <c r="A112" s="12" t="s">
        <v>4</v>
      </c>
      <c r="B112" s="29">
        <v>27016</v>
      </c>
      <c r="C112" s="29"/>
      <c r="D112" s="30"/>
      <c r="E112" s="4"/>
      <c r="F112" s="12" t="s">
        <v>4</v>
      </c>
      <c r="G112" s="29">
        <f>B112</f>
        <v>27016</v>
      </c>
      <c r="H112" s="29"/>
      <c r="I112" s="30"/>
    </row>
    <row r="113" spans="1:12" ht="63.75" customHeight="1" x14ac:dyDescent="0.25">
      <c r="A113" s="21" t="s">
        <v>23</v>
      </c>
      <c r="B113" s="21"/>
      <c r="C113" s="21"/>
      <c r="D113" s="21"/>
      <c r="E113" s="2"/>
      <c r="F113" s="21" t="str">
        <f>A113</f>
        <v>Oval DS Top-Fill - Cartridge</v>
      </c>
      <c r="G113" s="21"/>
      <c r="H113" s="21"/>
      <c r="I113" s="21"/>
    </row>
    <row r="114" spans="1:12" s="1" customFormat="1" ht="30" customHeight="1" x14ac:dyDescent="0.25">
      <c r="A114" s="11" t="s">
        <v>0</v>
      </c>
      <c r="B114" s="10"/>
      <c r="C114" s="11" t="s">
        <v>1</v>
      </c>
      <c r="D114" s="10"/>
      <c r="E114" s="3"/>
      <c r="F114" s="11" t="s">
        <v>0</v>
      </c>
      <c r="G114" s="10"/>
      <c r="H114" s="11" t="s">
        <v>1</v>
      </c>
      <c r="I114" s="10"/>
    </row>
    <row r="115" spans="1:12" s="1" customFormat="1" ht="30" customHeight="1" x14ac:dyDescent="0.25">
      <c r="A115" s="11" t="s">
        <v>2</v>
      </c>
      <c r="B115" s="10"/>
      <c r="C115" s="11" t="s">
        <v>5</v>
      </c>
      <c r="D115" s="7" t="s">
        <v>41</v>
      </c>
      <c r="E115" s="4"/>
      <c r="F115" s="11" t="s">
        <v>2</v>
      </c>
      <c r="G115" s="10"/>
      <c r="H115" s="11" t="s">
        <v>5</v>
      </c>
      <c r="I115" s="7" t="str">
        <f>D115</f>
        <v>26A</v>
      </c>
    </row>
    <row r="116" spans="1:12" s="1" customFormat="1" ht="53.25" customHeight="1" x14ac:dyDescent="0.25">
      <c r="A116" s="8" t="s">
        <v>3</v>
      </c>
      <c r="B116" s="9">
        <v>17</v>
      </c>
      <c r="C116" s="11" t="s">
        <v>6</v>
      </c>
      <c r="D116" s="7" t="s">
        <v>24</v>
      </c>
      <c r="E116" s="4"/>
      <c r="F116" s="8" t="s">
        <v>3</v>
      </c>
      <c r="G116" s="9">
        <v>42</v>
      </c>
      <c r="H116" s="11" t="s">
        <v>6</v>
      </c>
      <c r="I116" s="7" t="str">
        <f>D116</f>
        <v>DS-R01</v>
      </c>
      <c r="K116" s="6" t="s">
        <v>8</v>
      </c>
      <c r="L116" s="6" t="s">
        <v>7</v>
      </c>
    </row>
    <row r="117" spans="1:12" s="1" customFormat="1" ht="30" customHeight="1" x14ac:dyDescent="0.25">
      <c r="A117" s="22" t="s">
        <v>30</v>
      </c>
      <c r="B117" s="23"/>
      <c r="C117" s="23"/>
      <c r="D117" s="24"/>
      <c r="E117" s="5"/>
      <c r="F117" s="22" t="s">
        <v>30</v>
      </c>
      <c r="G117" s="23"/>
      <c r="H117" s="23"/>
      <c r="I117" s="24"/>
      <c r="K117" s="1">
        <v>250</v>
      </c>
      <c r="L117" s="1">
        <v>20</v>
      </c>
    </row>
    <row r="118" spans="1:12" s="1" customFormat="1" ht="30" customHeight="1" x14ac:dyDescent="0.25">
      <c r="A118" s="25" t="s">
        <v>35</v>
      </c>
      <c r="B118" s="26"/>
      <c r="C118" s="26" t="s">
        <v>11</v>
      </c>
      <c r="D118" s="27"/>
      <c r="E118" s="4"/>
      <c r="F118" s="25" t="str">
        <f>A118</f>
        <v>P814</v>
      </c>
      <c r="G118" s="26"/>
      <c r="H118" s="26" t="str">
        <f>C118</f>
        <v>White</v>
      </c>
      <c r="I118" s="27"/>
    </row>
    <row r="119" spans="1:12" s="1" customFormat="1" ht="30" customHeight="1" x14ac:dyDescent="0.25">
      <c r="A119" s="12" t="s">
        <v>4</v>
      </c>
      <c r="B119" s="29">
        <v>27016</v>
      </c>
      <c r="C119" s="29"/>
      <c r="D119" s="30"/>
      <c r="E119" s="4"/>
      <c r="F119" s="12" t="s">
        <v>4</v>
      </c>
      <c r="G119" s="29">
        <f>B119</f>
        <v>27016</v>
      </c>
      <c r="H119" s="29"/>
      <c r="I119" s="30"/>
    </row>
    <row r="120" spans="1:12" ht="63.75" customHeight="1" x14ac:dyDescent="0.25">
      <c r="A120" s="21" t="s">
        <v>23</v>
      </c>
      <c r="B120" s="21"/>
      <c r="C120" s="21"/>
      <c r="D120" s="21"/>
      <c r="E120" s="2"/>
      <c r="F120" s="21" t="str">
        <f>A120</f>
        <v>Oval DS Top-Fill - Cartridge</v>
      </c>
      <c r="G120" s="21"/>
      <c r="H120" s="21"/>
      <c r="I120" s="21"/>
    </row>
    <row r="121" spans="1:12" s="1" customFormat="1" ht="30" customHeight="1" x14ac:dyDescent="0.25">
      <c r="A121" s="11" t="s">
        <v>0</v>
      </c>
      <c r="B121" s="10"/>
      <c r="C121" s="11" t="s">
        <v>1</v>
      </c>
      <c r="D121" s="10"/>
      <c r="E121" s="3"/>
      <c r="F121" s="11" t="s">
        <v>0</v>
      </c>
      <c r="G121" s="10"/>
      <c r="H121" s="11" t="s">
        <v>1</v>
      </c>
      <c r="I121" s="10"/>
    </row>
    <row r="122" spans="1:12" s="1" customFormat="1" ht="30" customHeight="1" x14ac:dyDescent="0.25">
      <c r="A122" s="11" t="s">
        <v>2</v>
      </c>
      <c r="B122" s="10"/>
      <c r="C122" s="11" t="s">
        <v>5</v>
      </c>
      <c r="D122" s="7" t="s">
        <v>41</v>
      </c>
      <c r="E122" s="4"/>
      <c r="F122" s="11" t="s">
        <v>2</v>
      </c>
      <c r="G122" s="10"/>
      <c r="H122" s="11" t="s">
        <v>5</v>
      </c>
      <c r="I122" s="7" t="str">
        <f>D122</f>
        <v>26A</v>
      </c>
    </row>
    <row r="123" spans="1:12" s="1" customFormat="1" ht="53.25" customHeight="1" x14ac:dyDescent="0.25">
      <c r="A123" s="8" t="s">
        <v>3</v>
      </c>
      <c r="B123" s="9">
        <v>18</v>
      </c>
      <c r="C123" s="11" t="s">
        <v>6</v>
      </c>
      <c r="D123" s="7" t="s">
        <v>24</v>
      </c>
      <c r="E123" s="4"/>
      <c r="F123" s="8" t="s">
        <v>3</v>
      </c>
      <c r="G123" s="9">
        <v>43</v>
      </c>
      <c r="H123" s="11" t="s">
        <v>6</v>
      </c>
      <c r="I123" s="7" t="str">
        <f>D123</f>
        <v>DS-R01</v>
      </c>
      <c r="K123" s="6" t="s">
        <v>8</v>
      </c>
      <c r="L123" s="6" t="s">
        <v>7</v>
      </c>
    </row>
    <row r="124" spans="1:12" s="1" customFormat="1" ht="30" customHeight="1" x14ac:dyDescent="0.25">
      <c r="A124" s="22" t="s">
        <v>30</v>
      </c>
      <c r="B124" s="23"/>
      <c r="C124" s="23"/>
      <c r="D124" s="24"/>
      <c r="E124" s="5"/>
      <c r="F124" s="22" t="s">
        <v>30</v>
      </c>
      <c r="G124" s="23"/>
      <c r="H124" s="23"/>
      <c r="I124" s="24"/>
      <c r="K124" s="1">
        <v>250</v>
      </c>
      <c r="L124" s="1">
        <v>20</v>
      </c>
    </row>
    <row r="125" spans="1:12" s="1" customFormat="1" ht="30" customHeight="1" x14ac:dyDescent="0.25">
      <c r="A125" s="25" t="s">
        <v>35</v>
      </c>
      <c r="B125" s="26"/>
      <c r="C125" s="26" t="s">
        <v>11</v>
      </c>
      <c r="D125" s="27"/>
      <c r="E125" s="4"/>
      <c r="F125" s="25" t="str">
        <f>A125</f>
        <v>P814</v>
      </c>
      <c r="G125" s="26"/>
      <c r="H125" s="26" t="str">
        <f>C125</f>
        <v>White</v>
      </c>
      <c r="I125" s="27"/>
    </row>
    <row r="126" spans="1:12" s="1" customFormat="1" ht="30" customHeight="1" x14ac:dyDescent="0.25">
      <c r="A126" s="12" t="s">
        <v>4</v>
      </c>
      <c r="B126" s="29">
        <v>27016</v>
      </c>
      <c r="C126" s="29"/>
      <c r="D126" s="30"/>
      <c r="E126" s="4"/>
      <c r="F126" s="12" t="s">
        <v>4</v>
      </c>
      <c r="G126" s="29">
        <f>B126</f>
        <v>27016</v>
      </c>
      <c r="H126" s="29"/>
      <c r="I126" s="30"/>
    </row>
    <row r="127" spans="1:12" ht="63.75" customHeight="1" x14ac:dyDescent="0.25">
      <c r="A127" s="21" t="s">
        <v>23</v>
      </c>
      <c r="B127" s="21"/>
      <c r="C127" s="21"/>
      <c r="D127" s="21"/>
      <c r="E127" s="2"/>
      <c r="F127" s="21" t="str">
        <f>A127</f>
        <v>Oval DS Top-Fill - Cartridge</v>
      </c>
      <c r="G127" s="21"/>
      <c r="H127" s="21"/>
      <c r="I127" s="21"/>
    </row>
    <row r="128" spans="1:12" s="1" customFormat="1" ht="30" customHeight="1" x14ac:dyDescent="0.25">
      <c r="A128" s="11" t="s">
        <v>0</v>
      </c>
      <c r="B128" s="10"/>
      <c r="C128" s="11" t="s">
        <v>1</v>
      </c>
      <c r="D128" s="10"/>
      <c r="E128" s="3"/>
      <c r="F128" s="11" t="s">
        <v>0</v>
      </c>
      <c r="G128" s="10"/>
      <c r="H128" s="11" t="s">
        <v>1</v>
      </c>
      <c r="I128" s="10"/>
    </row>
    <row r="129" spans="1:12" s="1" customFormat="1" ht="30" customHeight="1" x14ac:dyDescent="0.25">
      <c r="A129" s="11" t="s">
        <v>2</v>
      </c>
      <c r="B129" s="10"/>
      <c r="C129" s="11" t="s">
        <v>5</v>
      </c>
      <c r="D129" s="7" t="s">
        <v>41</v>
      </c>
      <c r="E129" s="4"/>
      <c r="F129" s="11" t="s">
        <v>2</v>
      </c>
      <c r="G129" s="10"/>
      <c r="H129" s="11" t="s">
        <v>5</v>
      </c>
      <c r="I129" s="7" t="str">
        <f>D129</f>
        <v>26A</v>
      </c>
    </row>
    <row r="130" spans="1:12" s="1" customFormat="1" ht="53.25" customHeight="1" x14ac:dyDescent="0.25">
      <c r="A130" s="8" t="s">
        <v>3</v>
      </c>
      <c r="B130" s="9">
        <v>19</v>
      </c>
      <c r="C130" s="11" t="s">
        <v>6</v>
      </c>
      <c r="D130" s="7" t="s">
        <v>24</v>
      </c>
      <c r="E130" s="4"/>
      <c r="F130" s="8" t="s">
        <v>3</v>
      </c>
      <c r="G130" s="9">
        <v>44</v>
      </c>
      <c r="H130" s="11" t="s">
        <v>6</v>
      </c>
      <c r="I130" s="7" t="str">
        <f>D130</f>
        <v>DS-R01</v>
      </c>
      <c r="K130" s="6" t="s">
        <v>8</v>
      </c>
      <c r="L130" s="6" t="s">
        <v>7</v>
      </c>
    </row>
    <row r="131" spans="1:12" s="1" customFormat="1" ht="30" customHeight="1" x14ac:dyDescent="0.25">
      <c r="A131" s="22" t="s">
        <v>30</v>
      </c>
      <c r="B131" s="23"/>
      <c r="C131" s="23"/>
      <c r="D131" s="24"/>
      <c r="E131" s="5"/>
      <c r="F131" s="22" t="s">
        <v>30</v>
      </c>
      <c r="G131" s="23"/>
      <c r="H131" s="23"/>
      <c r="I131" s="24"/>
      <c r="K131" s="1">
        <v>250</v>
      </c>
      <c r="L131" s="1">
        <v>20</v>
      </c>
    </row>
    <row r="132" spans="1:12" s="1" customFormat="1" ht="30" customHeight="1" x14ac:dyDescent="0.25">
      <c r="A132" s="25" t="s">
        <v>35</v>
      </c>
      <c r="B132" s="26"/>
      <c r="C132" s="26" t="s">
        <v>11</v>
      </c>
      <c r="D132" s="27"/>
      <c r="E132" s="4"/>
      <c r="F132" s="25" t="str">
        <f>A132</f>
        <v>P814</v>
      </c>
      <c r="G132" s="26"/>
      <c r="H132" s="26" t="str">
        <f>C132</f>
        <v>White</v>
      </c>
      <c r="I132" s="27"/>
    </row>
    <row r="133" spans="1:12" s="1" customFormat="1" ht="30" customHeight="1" x14ac:dyDescent="0.25">
      <c r="A133" s="12" t="s">
        <v>4</v>
      </c>
      <c r="B133" s="29">
        <v>27016</v>
      </c>
      <c r="C133" s="29"/>
      <c r="D133" s="30"/>
      <c r="E133" s="4"/>
      <c r="F133" s="12" t="s">
        <v>4</v>
      </c>
      <c r="G133" s="29">
        <f>B133</f>
        <v>27016</v>
      </c>
      <c r="H133" s="29"/>
      <c r="I133" s="30"/>
    </row>
    <row r="134" spans="1:12" ht="63.75" customHeight="1" x14ac:dyDescent="0.25">
      <c r="A134" s="21" t="s">
        <v>23</v>
      </c>
      <c r="B134" s="21"/>
      <c r="C134" s="21"/>
      <c r="D134" s="21"/>
      <c r="E134" s="2"/>
      <c r="F134" s="21" t="str">
        <f>A134</f>
        <v>Oval DS Top-Fill - Cartridge</v>
      </c>
      <c r="G134" s="21"/>
      <c r="H134" s="21"/>
      <c r="I134" s="21"/>
    </row>
    <row r="135" spans="1:12" s="1" customFormat="1" ht="30" customHeight="1" x14ac:dyDescent="0.25">
      <c r="A135" s="11" t="s">
        <v>0</v>
      </c>
      <c r="B135" s="10"/>
      <c r="C135" s="11" t="s">
        <v>1</v>
      </c>
      <c r="D135" s="10"/>
      <c r="E135" s="3"/>
      <c r="F135" s="11" t="s">
        <v>0</v>
      </c>
      <c r="G135" s="10"/>
      <c r="H135" s="11" t="s">
        <v>1</v>
      </c>
      <c r="I135" s="10"/>
    </row>
    <row r="136" spans="1:12" s="1" customFormat="1" ht="30" customHeight="1" x14ac:dyDescent="0.25">
      <c r="A136" s="11" t="s">
        <v>2</v>
      </c>
      <c r="B136" s="10"/>
      <c r="C136" s="11" t="s">
        <v>5</v>
      </c>
      <c r="D136" s="7" t="s">
        <v>41</v>
      </c>
      <c r="E136" s="4"/>
      <c r="F136" s="11" t="s">
        <v>2</v>
      </c>
      <c r="G136" s="10"/>
      <c r="H136" s="11" t="s">
        <v>5</v>
      </c>
      <c r="I136" s="7" t="str">
        <f>D136</f>
        <v>26A</v>
      </c>
    </row>
    <row r="137" spans="1:12" s="1" customFormat="1" ht="53.25" customHeight="1" x14ac:dyDescent="0.25">
      <c r="A137" s="8" t="s">
        <v>3</v>
      </c>
      <c r="B137" s="9">
        <v>20</v>
      </c>
      <c r="C137" s="11" t="s">
        <v>6</v>
      </c>
      <c r="D137" s="7" t="s">
        <v>24</v>
      </c>
      <c r="E137" s="4"/>
      <c r="F137" s="8" t="s">
        <v>3</v>
      </c>
      <c r="G137" s="9">
        <v>45</v>
      </c>
      <c r="H137" s="11" t="s">
        <v>6</v>
      </c>
      <c r="I137" s="7" t="str">
        <f>D137</f>
        <v>DS-R01</v>
      </c>
      <c r="K137" s="6" t="s">
        <v>8</v>
      </c>
      <c r="L137" s="6" t="s">
        <v>7</v>
      </c>
    </row>
    <row r="138" spans="1:12" s="1" customFormat="1" ht="30" customHeight="1" x14ac:dyDescent="0.25">
      <c r="A138" s="22" t="s">
        <v>30</v>
      </c>
      <c r="B138" s="23"/>
      <c r="C138" s="23"/>
      <c r="D138" s="24"/>
      <c r="E138" s="5"/>
      <c r="F138" s="22" t="s">
        <v>30</v>
      </c>
      <c r="G138" s="23"/>
      <c r="H138" s="23"/>
      <c r="I138" s="24"/>
      <c r="K138" s="1">
        <v>250</v>
      </c>
      <c r="L138" s="1">
        <v>20</v>
      </c>
    </row>
    <row r="139" spans="1:12" s="1" customFormat="1" ht="30" customHeight="1" x14ac:dyDescent="0.25">
      <c r="A139" s="25" t="s">
        <v>35</v>
      </c>
      <c r="B139" s="26"/>
      <c r="C139" s="26" t="s">
        <v>11</v>
      </c>
      <c r="D139" s="27"/>
      <c r="E139" s="4"/>
      <c r="F139" s="25" t="str">
        <f>A139</f>
        <v>P814</v>
      </c>
      <c r="G139" s="26"/>
      <c r="H139" s="26" t="str">
        <f>C139</f>
        <v>White</v>
      </c>
      <c r="I139" s="27"/>
    </row>
    <row r="140" spans="1:12" s="1" customFormat="1" ht="30" customHeight="1" x14ac:dyDescent="0.25">
      <c r="A140" s="12" t="s">
        <v>4</v>
      </c>
      <c r="B140" s="29">
        <v>27016</v>
      </c>
      <c r="C140" s="29"/>
      <c r="D140" s="30"/>
      <c r="E140" s="4"/>
      <c r="F140" s="12" t="s">
        <v>4</v>
      </c>
      <c r="G140" s="29">
        <f>B140</f>
        <v>27016</v>
      </c>
      <c r="H140" s="29"/>
      <c r="I140" s="30"/>
    </row>
    <row r="141" spans="1:12" ht="63.75" customHeight="1" x14ac:dyDescent="0.25">
      <c r="A141" s="21" t="s">
        <v>23</v>
      </c>
      <c r="B141" s="21"/>
      <c r="C141" s="21"/>
      <c r="D141" s="21"/>
      <c r="E141" s="2"/>
      <c r="F141" s="21" t="str">
        <f>A141</f>
        <v>Oval DS Top-Fill - Cartridge</v>
      </c>
      <c r="G141" s="21"/>
      <c r="H141" s="21"/>
      <c r="I141" s="21"/>
    </row>
    <row r="142" spans="1:12" s="1" customFormat="1" ht="30" customHeight="1" x14ac:dyDescent="0.25">
      <c r="A142" s="11" t="s">
        <v>0</v>
      </c>
      <c r="B142" s="10"/>
      <c r="C142" s="11" t="s">
        <v>1</v>
      </c>
      <c r="D142" s="10"/>
      <c r="E142" s="3"/>
      <c r="F142" s="11" t="s">
        <v>0</v>
      </c>
      <c r="G142" s="10"/>
      <c r="H142" s="11" t="s">
        <v>1</v>
      </c>
      <c r="I142" s="10"/>
    </row>
    <row r="143" spans="1:12" s="1" customFormat="1" ht="30" customHeight="1" x14ac:dyDescent="0.25">
      <c r="A143" s="11" t="s">
        <v>2</v>
      </c>
      <c r="B143" s="10"/>
      <c r="C143" s="11" t="s">
        <v>5</v>
      </c>
      <c r="D143" s="7" t="s">
        <v>41</v>
      </c>
      <c r="E143" s="4"/>
      <c r="F143" s="11" t="s">
        <v>2</v>
      </c>
      <c r="G143" s="10"/>
      <c r="H143" s="11" t="s">
        <v>5</v>
      </c>
      <c r="I143" s="7" t="str">
        <f>D143</f>
        <v>26A</v>
      </c>
    </row>
    <row r="144" spans="1:12" s="1" customFormat="1" ht="53.25" customHeight="1" x14ac:dyDescent="0.25">
      <c r="A144" s="8" t="s">
        <v>3</v>
      </c>
      <c r="B144" s="9">
        <v>21</v>
      </c>
      <c r="C144" s="11" t="s">
        <v>6</v>
      </c>
      <c r="D144" s="7" t="s">
        <v>24</v>
      </c>
      <c r="E144" s="4"/>
      <c r="F144" s="8" t="s">
        <v>3</v>
      </c>
      <c r="G144" s="9">
        <v>46</v>
      </c>
      <c r="H144" s="11" t="s">
        <v>6</v>
      </c>
      <c r="I144" s="7" t="str">
        <f>D144</f>
        <v>DS-R01</v>
      </c>
      <c r="K144" s="6" t="s">
        <v>8</v>
      </c>
      <c r="L144" s="6" t="s">
        <v>7</v>
      </c>
    </row>
    <row r="145" spans="1:12" s="1" customFormat="1" ht="30" customHeight="1" x14ac:dyDescent="0.25">
      <c r="A145" s="22" t="s">
        <v>30</v>
      </c>
      <c r="B145" s="23"/>
      <c r="C145" s="23"/>
      <c r="D145" s="24"/>
      <c r="E145" s="5"/>
      <c r="F145" s="22" t="s">
        <v>30</v>
      </c>
      <c r="G145" s="23"/>
      <c r="H145" s="23"/>
      <c r="I145" s="24"/>
      <c r="K145" s="1">
        <v>250</v>
      </c>
      <c r="L145" s="1">
        <v>20</v>
      </c>
    </row>
    <row r="146" spans="1:12" s="1" customFormat="1" ht="30" customHeight="1" x14ac:dyDescent="0.25">
      <c r="A146" s="25" t="s">
        <v>35</v>
      </c>
      <c r="B146" s="26"/>
      <c r="C146" s="26" t="s">
        <v>11</v>
      </c>
      <c r="D146" s="27"/>
      <c r="E146" s="4"/>
      <c r="F146" s="25" t="str">
        <f>A146</f>
        <v>P814</v>
      </c>
      <c r="G146" s="26"/>
      <c r="H146" s="26" t="str">
        <f>C146</f>
        <v>White</v>
      </c>
      <c r="I146" s="27"/>
    </row>
    <row r="147" spans="1:12" s="1" customFormat="1" ht="30" customHeight="1" x14ac:dyDescent="0.25">
      <c r="A147" s="12" t="s">
        <v>4</v>
      </c>
      <c r="B147" s="29">
        <v>27016</v>
      </c>
      <c r="C147" s="29"/>
      <c r="D147" s="30"/>
      <c r="E147" s="4"/>
      <c r="F147" s="12" t="s">
        <v>4</v>
      </c>
      <c r="G147" s="29">
        <f>B147</f>
        <v>27016</v>
      </c>
      <c r="H147" s="29"/>
      <c r="I147" s="30"/>
    </row>
    <row r="148" spans="1:12" ht="63.75" customHeight="1" x14ac:dyDescent="0.25">
      <c r="A148" s="21" t="s">
        <v>23</v>
      </c>
      <c r="B148" s="21"/>
      <c r="C148" s="21"/>
      <c r="D148" s="21"/>
      <c r="E148" s="2"/>
      <c r="F148" s="21" t="str">
        <f>A148</f>
        <v>Oval DS Top-Fill - Cartridge</v>
      </c>
      <c r="G148" s="21"/>
      <c r="H148" s="21"/>
      <c r="I148" s="21"/>
    </row>
    <row r="149" spans="1:12" s="1" customFormat="1" ht="30" customHeight="1" x14ac:dyDescent="0.25">
      <c r="A149" s="11" t="s">
        <v>0</v>
      </c>
      <c r="B149" s="10"/>
      <c r="C149" s="11" t="s">
        <v>1</v>
      </c>
      <c r="D149" s="10"/>
      <c r="E149" s="3"/>
      <c r="F149" s="11" t="s">
        <v>0</v>
      </c>
      <c r="G149" s="10"/>
      <c r="H149" s="11" t="s">
        <v>1</v>
      </c>
      <c r="I149" s="10"/>
    </row>
    <row r="150" spans="1:12" s="1" customFormat="1" ht="30" customHeight="1" x14ac:dyDescent="0.25">
      <c r="A150" s="11" t="s">
        <v>2</v>
      </c>
      <c r="B150" s="10"/>
      <c r="C150" s="11" t="s">
        <v>5</v>
      </c>
      <c r="D150" s="7" t="s">
        <v>41</v>
      </c>
      <c r="E150" s="4"/>
      <c r="F150" s="11" t="s">
        <v>2</v>
      </c>
      <c r="G150" s="10"/>
      <c r="H150" s="11" t="s">
        <v>5</v>
      </c>
      <c r="I150" s="7" t="str">
        <f>D150</f>
        <v>26A</v>
      </c>
    </row>
    <row r="151" spans="1:12" s="1" customFormat="1" ht="53.25" customHeight="1" x14ac:dyDescent="0.25">
      <c r="A151" s="8" t="s">
        <v>3</v>
      </c>
      <c r="B151" s="9">
        <v>22</v>
      </c>
      <c r="C151" s="11" t="s">
        <v>6</v>
      </c>
      <c r="D151" s="7" t="s">
        <v>24</v>
      </c>
      <c r="E151" s="4"/>
      <c r="F151" s="8" t="s">
        <v>3</v>
      </c>
      <c r="G151" s="9">
        <v>47</v>
      </c>
      <c r="H151" s="11" t="s">
        <v>6</v>
      </c>
      <c r="I151" s="7" t="str">
        <f>D151</f>
        <v>DS-R01</v>
      </c>
      <c r="K151" s="6" t="s">
        <v>8</v>
      </c>
      <c r="L151" s="6" t="s">
        <v>7</v>
      </c>
    </row>
    <row r="152" spans="1:12" s="1" customFormat="1" ht="30" customHeight="1" x14ac:dyDescent="0.25">
      <c r="A152" s="22" t="s">
        <v>30</v>
      </c>
      <c r="B152" s="23"/>
      <c r="C152" s="23"/>
      <c r="D152" s="24"/>
      <c r="E152" s="5"/>
      <c r="F152" s="22" t="s">
        <v>30</v>
      </c>
      <c r="G152" s="23"/>
      <c r="H152" s="23"/>
      <c r="I152" s="24"/>
      <c r="K152" s="1">
        <v>250</v>
      </c>
      <c r="L152" s="1">
        <v>20</v>
      </c>
    </row>
    <row r="153" spans="1:12" s="1" customFormat="1" ht="30" customHeight="1" x14ac:dyDescent="0.25">
      <c r="A153" s="25" t="s">
        <v>35</v>
      </c>
      <c r="B153" s="26"/>
      <c r="C153" s="26" t="s">
        <v>11</v>
      </c>
      <c r="D153" s="27"/>
      <c r="E153" s="4"/>
      <c r="F153" s="25" t="str">
        <f>A153</f>
        <v>P814</v>
      </c>
      <c r="G153" s="26"/>
      <c r="H153" s="26" t="str">
        <f>C153</f>
        <v>White</v>
      </c>
      <c r="I153" s="27"/>
    </row>
    <row r="154" spans="1:12" s="1" customFormat="1" ht="30" customHeight="1" x14ac:dyDescent="0.25">
      <c r="A154" s="12" t="s">
        <v>4</v>
      </c>
      <c r="B154" s="29">
        <v>27016</v>
      </c>
      <c r="C154" s="29"/>
      <c r="D154" s="30"/>
      <c r="E154" s="4"/>
      <c r="F154" s="12" t="s">
        <v>4</v>
      </c>
      <c r="G154" s="29">
        <f>B154</f>
        <v>27016</v>
      </c>
      <c r="H154" s="29"/>
      <c r="I154" s="30"/>
    </row>
    <row r="155" spans="1:12" ht="63.75" customHeight="1" x14ac:dyDescent="0.25">
      <c r="A155" s="21" t="s">
        <v>23</v>
      </c>
      <c r="B155" s="21"/>
      <c r="C155" s="21"/>
      <c r="D155" s="21"/>
      <c r="E155" s="2"/>
      <c r="F155" s="21" t="str">
        <f>A155</f>
        <v>Oval DS Top-Fill - Cartridge</v>
      </c>
      <c r="G155" s="21"/>
      <c r="H155" s="21"/>
      <c r="I155" s="21"/>
    </row>
    <row r="156" spans="1:12" s="1" customFormat="1" ht="30" customHeight="1" x14ac:dyDescent="0.25">
      <c r="A156" s="11" t="s">
        <v>0</v>
      </c>
      <c r="B156" s="10"/>
      <c r="C156" s="11" t="s">
        <v>1</v>
      </c>
      <c r="D156" s="10"/>
      <c r="E156" s="3"/>
      <c r="F156" s="11" t="s">
        <v>0</v>
      </c>
      <c r="G156" s="10"/>
      <c r="H156" s="11" t="s">
        <v>1</v>
      </c>
      <c r="I156" s="10"/>
    </row>
    <row r="157" spans="1:12" s="1" customFormat="1" ht="30" customHeight="1" x14ac:dyDescent="0.25">
      <c r="A157" s="11" t="s">
        <v>2</v>
      </c>
      <c r="B157" s="10"/>
      <c r="C157" s="11" t="s">
        <v>5</v>
      </c>
      <c r="D157" s="7" t="s">
        <v>41</v>
      </c>
      <c r="E157" s="4"/>
      <c r="F157" s="11" t="s">
        <v>2</v>
      </c>
      <c r="G157" s="10"/>
      <c r="H157" s="11" t="s">
        <v>5</v>
      </c>
      <c r="I157" s="7" t="str">
        <f>D157</f>
        <v>26A</v>
      </c>
    </row>
    <row r="158" spans="1:12" s="1" customFormat="1" ht="53.25" customHeight="1" x14ac:dyDescent="0.25">
      <c r="A158" s="8" t="s">
        <v>3</v>
      </c>
      <c r="B158" s="9">
        <v>23</v>
      </c>
      <c r="C158" s="11" t="s">
        <v>6</v>
      </c>
      <c r="D158" s="7" t="s">
        <v>24</v>
      </c>
      <c r="E158" s="4"/>
      <c r="F158" s="8" t="s">
        <v>3</v>
      </c>
      <c r="G158" s="9">
        <v>48</v>
      </c>
      <c r="H158" s="11" t="s">
        <v>6</v>
      </c>
      <c r="I158" s="7" t="str">
        <f>D158</f>
        <v>DS-R01</v>
      </c>
      <c r="K158" s="6" t="s">
        <v>8</v>
      </c>
      <c r="L158" s="6" t="s">
        <v>7</v>
      </c>
    </row>
    <row r="159" spans="1:12" s="1" customFormat="1" ht="30" customHeight="1" x14ac:dyDescent="0.25">
      <c r="A159" s="22" t="s">
        <v>30</v>
      </c>
      <c r="B159" s="23"/>
      <c r="C159" s="23"/>
      <c r="D159" s="24"/>
      <c r="E159" s="5"/>
      <c r="F159" s="22" t="s">
        <v>30</v>
      </c>
      <c r="G159" s="23"/>
      <c r="H159" s="23"/>
      <c r="I159" s="24"/>
      <c r="K159" s="1">
        <v>250</v>
      </c>
      <c r="L159" s="1">
        <v>20</v>
      </c>
    </row>
    <row r="160" spans="1:12" s="1" customFormat="1" ht="30" customHeight="1" x14ac:dyDescent="0.25">
      <c r="A160" s="25" t="s">
        <v>35</v>
      </c>
      <c r="B160" s="26"/>
      <c r="C160" s="26" t="s">
        <v>11</v>
      </c>
      <c r="D160" s="27"/>
      <c r="E160" s="4"/>
      <c r="F160" s="25" t="str">
        <f>A160</f>
        <v>P814</v>
      </c>
      <c r="G160" s="26"/>
      <c r="H160" s="26" t="str">
        <f>C160</f>
        <v>White</v>
      </c>
      <c r="I160" s="27"/>
    </row>
    <row r="161" spans="1:12" s="1" customFormat="1" ht="30" customHeight="1" x14ac:dyDescent="0.25">
      <c r="A161" s="12" t="s">
        <v>4</v>
      </c>
      <c r="B161" s="29">
        <v>27016</v>
      </c>
      <c r="C161" s="29"/>
      <c r="D161" s="30"/>
      <c r="E161" s="4"/>
      <c r="F161" s="12" t="s">
        <v>4</v>
      </c>
      <c r="G161" s="29">
        <f>B161</f>
        <v>27016</v>
      </c>
      <c r="H161" s="29"/>
      <c r="I161" s="30"/>
    </row>
    <row r="162" spans="1:12" ht="63.75" customHeight="1" x14ac:dyDescent="0.25">
      <c r="A162" s="21" t="s">
        <v>23</v>
      </c>
      <c r="B162" s="21"/>
      <c r="C162" s="21"/>
      <c r="D162" s="21"/>
      <c r="E162" s="2"/>
      <c r="F162" s="21" t="str">
        <f>A162</f>
        <v>Oval DS Top-Fill - Cartridge</v>
      </c>
      <c r="G162" s="21"/>
      <c r="H162" s="21"/>
      <c r="I162" s="21"/>
    </row>
    <row r="163" spans="1:12" s="1" customFormat="1" ht="30" customHeight="1" x14ac:dyDescent="0.25">
      <c r="A163" s="11" t="s">
        <v>0</v>
      </c>
      <c r="B163" s="10"/>
      <c r="C163" s="11" t="s">
        <v>1</v>
      </c>
      <c r="D163" s="10"/>
      <c r="E163" s="3"/>
      <c r="F163" s="11" t="s">
        <v>0</v>
      </c>
      <c r="G163" s="10"/>
      <c r="H163" s="11" t="s">
        <v>1</v>
      </c>
      <c r="I163" s="10"/>
    </row>
    <row r="164" spans="1:12" s="1" customFormat="1" ht="30" customHeight="1" x14ac:dyDescent="0.25">
      <c r="A164" s="11" t="s">
        <v>2</v>
      </c>
      <c r="B164" s="10"/>
      <c r="C164" s="11" t="s">
        <v>5</v>
      </c>
      <c r="D164" s="7" t="s">
        <v>41</v>
      </c>
      <c r="E164" s="4"/>
      <c r="F164" s="11" t="s">
        <v>2</v>
      </c>
      <c r="G164" s="10"/>
      <c r="H164" s="11" t="s">
        <v>5</v>
      </c>
      <c r="I164" s="7" t="str">
        <f>D164</f>
        <v>26A</v>
      </c>
    </row>
    <row r="165" spans="1:12" s="1" customFormat="1" ht="53.25" customHeight="1" x14ac:dyDescent="0.25">
      <c r="A165" s="8" t="s">
        <v>3</v>
      </c>
      <c r="B165" s="9">
        <v>24</v>
      </c>
      <c r="C165" s="11" t="s">
        <v>6</v>
      </c>
      <c r="D165" s="7" t="s">
        <v>24</v>
      </c>
      <c r="E165" s="4"/>
      <c r="F165" s="8" t="s">
        <v>3</v>
      </c>
      <c r="G165" s="9">
        <v>49</v>
      </c>
      <c r="H165" s="11" t="s">
        <v>6</v>
      </c>
      <c r="I165" s="7" t="str">
        <f>D165</f>
        <v>DS-R01</v>
      </c>
      <c r="K165" s="6" t="s">
        <v>8</v>
      </c>
      <c r="L165" s="6" t="s">
        <v>7</v>
      </c>
    </row>
    <row r="166" spans="1:12" s="1" customFormat="1" ht="30" customHeight="1" x14ac:dyDescent="0.25">
      <c r="A166" s="22" t="s">
        <v>30</v>
      </c>
      <c r="B166" s="23"/>
      <c r="C166" s="23"/>
      <c r="D166" s="24"/>
      <c r="E166" s="5"/>
      <c r="F166" s="22" t="s">
        <v>30</v>
      </c>
      <c r="G166" s="23"/>
      <c r="H166" s="23"/>
      <c r="I166" s="24"/>
      <c r="K166" s="1">
        <v>250</v>
      </c>
      <c r="L166" s="1">
        <v>20</v>
      </c>
    </row>
    <row r="167" spans="1:12" s="1" customFormat="1" ht="30" customHeight="1" x14ac:dyDescent="0.25">
      <c r="A167" s="25" t="s">
        <v>35</v>
      </c>
      <c r="B167" s="26"/>
      <c r="C167" s="26" t="s">
        <v>11</v>
      </c>
      <c r="D167" s="27"/>
      <c r="E167" s="4"/>
      <c r="F167" s="25" t="str">
        <f>A167</f>
        <v>P814</v>
      </c>
      <c r="G167" s="26"/>
      <c r="H167" s="26" t="str">
        <f>C167</f>
        <v>White</v>
      </c>
      <c r="I167" s="27"/>
    </row>
    <row r="168" spans="1:12" s="1" customFormat="1" ht="30" customHeight="1" x14ac:dyDescent="0.25">
      <c r="A168" s="12" t="s">
        <v>4</v>
      </c>
      <c r="B168" s="29">
        <v>27016</v>
      </c>
      <c r="C168" s="29"/>
      <c r="D168" s="30"/>
      <c r="E168" s="4"/>
      <c r="F168" s="12" t="s">
        <v>4</v>
      </c>
      <c r="G168" s="29">
        <f>B168</f>
        <v>27016</v>
      </c>
      <c r="H168" s="29"/>
      <c r="I168" s="30"/>
    </row>
    <row r="169" spans="1:12" ht="63.75" customHeight="1" x14ac:dyDescent="0.25">
      <c r="A169" s="21" t="s">
        <v>23</v>
      </c>
      <c r="B169" s="21"/>
      <c r="C169" s="21"/>
      <c r="D169" s="21"/>
      <c r="E169" s="2"/>
      <c r="F169" s="21" t="str">
        <f>A169</f>
        <v>Oval DS Top-Fill - Cartridge</v>
      </c>
      <c r="G169" s="21"/>
      <c r="H169" s="21"/>
      <c r="I169" s="21"/>
    </row>
    <row r="170" spans="1:12" s="1" customFormat="1" ht="30" customHeight="1" x14ac:dyDescent="0.25">
      <c r="A170" s="11" t="s">
        <v>0</v>
      </c>
      <c r="B170" s="10"/>
      <c r="C170" s="11" t="s">
        <v>1</v>
      </c>
      <c r="D170" s="10"/>
      <c r="E170" s="3"/>
      <c r="F170" s="11" t="s">
        <v>0</v>
      </c>
      <c r="G170" s="10"/>
      <c r="H170" s="11" t="s">
        <v>1</v>
      </c>
      <c r="I170" s="10"/>
    </row>
    <row r="171" spans="1:12" s="1" customFormat="1" ht="30" customHeight="1" x14ac:dyDescent="0.25">
      <c r="A171" s="11" t="s">
        <v>2</v>
      </c>
      <c r="B171" s="10"/>
      <c r="C171" s="11" t="s">
        <v>5</v>
      </c>
      <c r="D171" s="7" t="s">
        <v>41</v>
      </c>
      <c r="E171" s="4"/>
      <c r="F171" s="11" t="s">
        <v>2</v>
      </c>
      <c r="G171" s="10"/>
      <c r="H171" s="11" t="s">
        <v>5</v>
      </c>
      <c r="I171" s="7" t="str">
        <f>D171</f>
        <v>26A</v>
      </c>
    </row>
    <row r="172" spans="1:12" s="1" customFormat="1" ht="53.25" customHeight="1" x14ac:dyDescent="0.25">
      <c r="A172" s="8" t="s">
        <v>3</v>
      </c>
      <c r="B172" s="9">
        <v>25</v>
      </c>
      <c r="C172" s="11" t="s">
        <v>6</v>
      </c>
      <c r="D172" s="7" t="s">
        <v>24</v>
      </c>
      <c r="E172" s="4"/>
      <c r="F172" s="8" t="s">
        <v>3</v>
      </c>
      <c r="G172" s="9">
        <v>50</v>
      </c>
      <c r="H172" s="11" t="s">
        <v>6</v>
      </c>
      <c r="I172" s="7" t="str">
        <f>D172</f>
        <v>DS-R01</v>
      </c>
      <c r="K172" s="6" t="s">
        <v>8</v>
      </c>
      <c r="L172" s="6" t="s">
        <v>7</v>
      </c>
    </row>
    <row r="173" spans="1:12" s="1" customFormat="1" ht="30" customHeight="1" x14ac:dyDescent="0.25">
      <c r="A173" s="22" t="s">
        <v>30</v>
      </c>
      <c r="B173" s="23"/>
      <c r="C173" s="23"/>
      <c r="D173" s="24"/>
      <c r="E173" s="5"/>
      <c r="F173" s="22" t="s">
        <v>30</v>
      </c>
      <c r="G173" s="23"/>
      <c r="H173" s="23"/>
      <c r="I173" s="24"/>
      <c r="K173" s="1">
        <v>250</v>
      </c>
      <c r="L173" s="1">
        <v>20</v>
      </c>
    </row>
    <row r="174" spans="1:12" s="1" customFormat="1" ht="30" customHeight="1" x14ac:dyDescent="0.25">
      <c r="A174" s="25" t="s">
        <v>35</v>
      </c>
      <c r="B174" s="26"/>
      <c r="C174" s="26" t="s">
        <v>11</v>
      </c>
      <c r="D174" s="27"/>
      <c r="E174" s="4"/>
      <c r="F174" s="25" t="str">
        <f>A174</f>
        <v>P814</v>
      </c>
      <c r="G174" s="26"/>
      <c r="H174" s="26" t="str">
        <f>C174</f>
        <v>White</v>
      </c>
      <c r="I174" s="27"/>
    </row>
    <row r="175" spans="1:12" s="1" customFormat="1" ht="30" customHeight="1" x14ac:dyDescent="0.25">
      <c r="A175" s="12" t="s">
        <v>4</v>
      </c>
      <c r="B175" s="29">
        <v>27016</v>
      </c>
      <c r="C175" s="29"/>
      <c r="D175" s="30"/>
      <c r="E175" s="4"/>
      <c r="F175" s="12" t="s">
        <v>4</v>
      </c>
      <c r="G175" s="29">
        <f>B175</f>
        <v>27016</v>
      </c>
      <c r="H175" s="29"/>
      <c r="I175" s="30"/>
    </row>
  </sheetData>
  <mergeCells count="250">
    <mergeCell ref="B70:D70"/>
    <mergeCell ref="G70:I70"/>
    <mergeCell ref="B63:D63"/>
    <mergeCell ref="G63:I63"/>
    <mergeCell ref="A64:D64"/>
    <mergeCell ref="F64:I64"/>
    <mergeCell ref="A68:D68"/>
    <mergeCell ref="F68:I68"/>
    <mergeCell ref="A69:B69"/>
    <mergeCell ref="C69:D69"/>
    <mergeCell ref="F69:G69"/>
    <mergeCell ref="H69:I69"/>
    <mergeCell ref="A29:D29"/>
    <mergeCell ref="F29:I29"/>
    <mergeCell ref="A33:D33"/>
    <mergeCell ref="F33:I33"/>
    <mergeCell ref="A1:D1"/>
    <mergeCell ref="F1:I1"/>
    <mergeCell ref="A5:D5"/>
    <mergeCell ref="F5:I5"/>
    <mergeCell ref="A6:B6"/>
    <mergeCell ref="C6:D6"/>
    <mergeCell ref="F6:G6"/>
    <mergeCell ref="H6:I6"/>
    <mergeCell ref="B7:D7"/>
    <mergeCell ref="G7:I7"/>
    <mergeCell ref="B14:D14"/>
    <mergeCell ref="G14:I14"/>
    <mergeCell ref="B21:D21"/>
    <mergeCell ref="G21:I21"/>
    <mergeCell ref="A22:D22"/>
    <mergeCell ref="F22:I22"/>
    <mergeCell ref="A8:D8"/>
    <mergeCell ref="F8:I8"/>
    <mergeCell ref="A12:D12"/>
    <mergeCell ref="F12:I12"/>
    <mergeCell ref="A13:B13"/>
    <mergeCell ref="C13:D13"/>
    <mergeCell ref="F13:G13"/>
    <mergeCell ref="H13:I13"/>
    <mergeCell ref="A15:D15"/>
    <mergeCell ref="F15:I15"/>
    <mergeCell ref="A19:D19"/>
    <mergeCell ref="F19:I19"/>
    <mergeCell ref="A20:B20"/>
    <mergeCell ref="C20:D20"/>
    <mergeCell ref="F20:G20"/>
    <mergeCell ref="H20:I20"/>
    <mergeCell ref="A43:D43"/>
    <mergeCell ref="F43:I43"/>
    <mergeCell ref="B35:D35"/>
    <mergeCell ref="G35:I35"/>
    <mergeCell ref="B42:D42"/>
    <mergeCell ref="G42:I42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28:D28"/>
    <mergeCell ref="G28:I28"/>
    <mergeCell ref="A55:B55"/>
    <mergeCell ref="C55:D55"/>
    <mergeCell ref="F55:G55"/>
    <mergeCell ref="H55:I55"/>
    <mergeCell ref="B56:D56"/>
    <mergeCell ref="G56:I56"/>
    <mergeCell ref="A47:D47"/>
    <mergeCell ref="F47:I47"/>
    <mergeCell ref="A48:B48"/>
    <mergeCell ref="C48:D48"/>
    <mergeCell ref="F48:G48"/>
    <mergeCell ref="H48:I48"/>
    <mergeCell ref="B49:D49"/>
    <mergeCell ref="G49:I49"/>
    <mergeCell ref="A50:D50"/>
    <mergeCell ref="F50:I50"/>
    <mergeCell ref="A71:D71"/>
    <mergeCell ref="F71:I71"/>
    <mergeCell ref="A75:D75"/>
    <mergeCell ref="F75:I75"/>
    <mergeCell ref="A76:B76"/>
    <mergeCell ref="C76:D76"/>
    <mergeCell ref="F76:G76"/>
    <mergeCell ref="H76:I76"/>
    <mergeCell ref="A26:D26"/>
    <mergeCell ref="F26:I26"/>
    <mergeCell ref="A27:B27"/>
    <mergeCell ref="C27:D27"/>
    <mergeCell ref="F27:G27"/>
    <mergeCell ref="H27:I27"/>
    <mergeCell ref="A54:D54"/>
    <mergeCell ref="F54:I54"/>
    <mergeCell ref="A57:D57"/>
    <mergeCell ref="F57:I57"/>
    <mergeCell ref="A61:D61"/>
    <mergeCell ref="F61:I61"/>
    <mergeCell ref="A62:B62"/>
    <mergeCell ref="C62:D62"/>
    <mergeCell ref="F62:G62"/>
    <mergeCell ref="H62:I62"/>
    <mergeCell ref="A83:B83"/>
    <mergeCell ref="C83:D83"/>
    <mergeCell ref="F83:G83"/>
    <mergeCell ref="H83:I83"/>
    <mergeCell ref="B84:D84"/>
    <mergeCell ref="G84:I84"/>
    <mergeCell ref="B77:D77"/>
    <mergeCell ref="G77:I77"/>
    <mergeCell ref="A78:D78"/>
    <mergeCell ref="F78:I78"/>
    <mergeCell ref="A82:D82"/>
    <mergeCell ref="F82:I82"/>
    <mergeCell ref="B91:D91"/>
    <mergeCell ref="G91:I91"/>
    <mergeCell ref="A92:D92"/>
    <mergeCell ref="F92:I92"/>
    <mergeCell ref="A96:D96"/>
    <mergeCell ref="F96:I96"/>
    <mergeCell ref="A85:D85"/>
    <mergeCell ref="F85:I85"/>
    <mergeCell ref="A89:D89"/>
    <mergeCell ref="F89:I89"/>
    <mergeCell ref="A90:B90"/>
    <mergeCell ref="C90:D90"/>
    <mergeCell ref="F90:G90"/>
    <mergeCell ref="H90:I90"/>
    <mergeCell ref="A99:D99"/>
    <mergeCell ref="F99:I99"/>
    <mergeCell ref="A103:D103"/>
    <mergeCell ref="F103:I103"/>
    <mergeCell ref="A104:B104"/>
    <mergeCell ref="C104:D104"/>
    <mergeCell ref="F104:G104"/>
    <mergeCell ref="H104:I104"/>
    <mergeCell ref="A97:B97"/>
    <mergeCell ref="C97:D97"/>
    <mergeCell ref="F97:G97"/>
    <mergeCell ref="H97:I97"/>
    <mergeCell ref="B98:D98"/>
    <mergeCell ref="G98:I98"/>
    <mergeCell ref="A111:B111"/>
    <mergeCell ref="C111:D111"/>
    <mergeCell ref="F111:G111"/>
    <mergeCell ref="H111:I111"/>
    <mergeCell ref="B112:D112"/>
    <mergeCell ref="G112:I112"/>
    <mergeCell ref="B105:D105"/>
    <mergeCell ref="G105:I105"/>
    <mergeCell ref="A106:D106"/>
    <mergeCell ref="F106:I106"/>
    <mergeCell ref="A110:D110"/>
    <mergeCell ref="F110:I110"/>
    <mergeCell ref="B119:D119"/>
    <mergeCell ref="G119:I119"/>
    <mergeCell ref="A120:D120"/>
    <mergeCell ref="F120:I120"/>
    <mergeCell ref="A124:D124"/>
    <mergeCell ref="F124:I124"/>
    <mergeCell ref="A113:D113"/>
    <mergeCell ref="F113:I113"/>
    <mergeCell ref="A117:D117"/>
    <mergeCell ref="F117:I117"/>
    <mergeCell ref="A118:B118"/>
    <mergeCell ref="C118:D118"/>
    <mergeCell ref="F118:G118"/>
    <mergeCell ref="H118:I118"/>
    <mergeCell ref="A127:D127"/>
    <mergeCell ref="F127:I127"/>
    <mergeCell ref="A131:D131"/>
    <mergeCell ref="F131:I131"/>
    <mergeCell ref="A132:B132"/>
    <mergeCell ref="C132:D132"/>
    <mergeCell ref="F132:G132"/>
    <mergeCell ref="H132:I132"/>
    <mergeCell ref="A125:B125"/>
    <mergeCell ref="C125:D125"/>
    <mergeCell ref="F125:G125"/>
    <mergeCell ref="H125:I125"/>
    <mergeCell ref="B126:D126"/>
    <mergeCell ref="G126:I126"/>
    <mergeCell ref="A139:B139"/>
    <mergeCell ref="C139:D139"/>
    <mergeCell ref="F139:G139"/>
    <mergeCell ref="H139:I139"/>
    <mergeCell ref="B140:D140"/>
    <mergeCell ref="G140:I140"/>
    <mergeCell ref="B133:D133"/>
    <mergeCell ref="G133:I133"/>
    <mergeCell ref="A134:D134"/>
    <mergeCell ref="F134:I134"/>
    <mergeCell ref="A138:D138"/>
    <mergeCell ref="F138:I138"/>
    <mergeCell ref="B147:D147"/>
    <mergeCell ref="G147:I147"/>
    <mergeCell ref="A148:D148"/>
    <mergeCell ref="F148:I148"/>
    <mergeCell ref="A152:D152"/>
    <mergeCell ref="F152:I152"/>
    <mergeCell ref="A141:D141"/>
    <mergeCell ref="F141:I141"/>
    <mergeCell ref="A145:D145"/>
    <mergeCell ref="F145:I145"/>
    <mergeCell ref="A146:B146"/>
    <mergeCell ref="C146:D146"/>
    <mergeCell ref="F146:G146"/>
    <mergeCell ref="H146:I146"/>
    <mergeCell ref="A155:D155"/>
    <mergeCell ref="F155:I155"/>
    <mergeCell ref="A159:D159"/>
    <mergeCell ref="F159:I159"/>
    <mergeCell ref="A160:B160"/>
    <mergeCell ref="C160:D160"/>
    <mergeCell ref="F160:G160"/>
    <mergeCell ref="H160:I160"/>
    <mergeCell ref="A153:B153"/>
    <mergeCell ref="C153:D153"/>
    <mergeCell ref="F153:G153"/>
    <mergeCell ref="H153:I153"/>
    <mergeCell ref="B154:D154"/>
    <mergeCell ref="G154:I154"/>
    <mergeCell ref="A167:B167"/>
    <mergeCell ref="C167:D167"/>
    <mergeCell ref="F167:G167"/>
    <mergeCell ref="H167:I167"/>
    <mergeCell ref="B168:D168"/>
    <mergeCell ref="G168:I168"/>
    <mergeCell ref="B161:D161"/>
    <mergeCell ref="G161:I161"/>
    <mergeCell ref="A162:D162"/>
    <mergeCell ref="F162:I162"/>
    <mergeCell ref="A166:D166"/>
    <mergeCell ref="F166:I166"/>
    <mergeCell ref="B175:D175"/>
    <mergeCell ref="G175:I175"/>
    <mergeCell ref="A169:D169"/>
    <mergeCell ref="F169:I169"/>
    <mergeCell ref="A173:D173"/>
    <mergeCell ref="F173:I173"/>
    <mergeCell ref="A174:B174"/>
    <mergeCell ref="C174:D174"/>
    <mergeCell ref="F174:G174"/>
    <mergeCell ref="H174:I174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70"/>
  <sheetViews>
    <sheetView view="pageBreakPreview" topLeftCell="A55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21</v>
      </c>
      <c r="B1" s="21"/>
      <c r="C1" s="21"/>
      <c r="D1" s="21"/>
      <c r="E1" s="2"/>
      <c r="F1" s="21" t="str">
        <f>A1</f>
        <v>Oval DS Top-Fill - Screw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42</v>
      </c>
      <c r="E3" s="4"/>
      <c r="F3" s="11" t="s">
        <v>2</v>
      </c>
      <c r="G3" s="10"/>
      <c r="H3" s="11" t="s">
        <v>5</v>
      </c>
      <c r="I3" s="7" t="str">
        <f>D3</f>
        <v>02B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22</v>
      </c>
      <c r="E4" s="4"/>
      <c r="F4" s="8" t="s">
        <v>3</v>
      </c>
      <c r="G4" s="9">
        <v>11</v>
      </c>
      <c r="H4" s="11" t="s">
        <v>6</v>
      </c>
      <c r="I4" s="7" t="str">
        <f>D4</f>
        <v>DS-S01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31</v>
      </c>
      <c r="B5" s="23"/>
      <c r="C5" s="23"/>
      <c r="D5" s="24"/>
      <c r="E5" s="5"/>
      <c r="F5" s="22" t="s">
        <v>31</v>
      </c>
      <c r="G5" s="23"/>
      <c r="H5" s="23"/>
      <c r="I5" s="24"/>
      <c r="K5" s="1">
        <v>400</v>
      </c>
      <c r="L5" s="1">
        <v>80</v>
      </c>
    </row>
    <row r="6" spans="1:12" s="1" customFormat="1" ht="30" customHeight="1" x14ac:dyDescent="0.25">
      <c r="A6" s="25" t="s">
        <v>35</v>
      </c>
      <c r="B6" s="26"/>
      <c r="C6" s="26" t="s">
        <v>11</v>
      </c>
      <c r="D6" s="27"/>
      <c r="E6" s="4"/>
      <c r="F6" s="25" t="str">
        <f>A6</f>
        <v>P814</v>
      </c>
      <c r="G6" s="26"/>
      <c r="H6" s="26" t="str">
        <f>C6</f>
        <v>White</v>
      </c>
      <c r="I6" s="27"/>
    </row>
    <row r="7" spans="1:12" s="1" customFormat="1" ht="30" customHeight="1" x14ac:dyDescent="0.25">
      <c r="A7" s="12" t="s">
        <v>4</v>
      </c>
      <c r="B7" s="31" t="s">
        <v>43</v>
      </c>
      <c r="C7" s="31"/>
      <c r="D7" s="32"/>
      <c r="E7" s="4"/>
      <c r="F7" s="12" t="s">
        <v>4</v>
      </c>
      <c r="G7" s="31" t="str">
        <f>B7</f>
        <v>26618, 27018, 27016, 27073, 27072, 27074</v>
      </c>
      <c r="H7" s="31"/>
      <c r="I7" s="32"/>
    </row>
    <row r="8" spans="1:12" ht="63.75" customHeight="1" x14ac:dyDescent="0.25">
      <c r="A8" s="21" t="s">
        <v>21</v>
      </c>
      <c r="B8" s="21"/>
      <c r="C8" s="21"/>
      <c r="D8" s="21"/>
      <c r="E8" s="2"/>
      <c r="F8" s="21" t="str">
        <f>A8</f>
        <v>Oval DS Top-Fill - Screw</v>
      </c>
      <c r="G8" s="21"/>
      <c r="H8" s="21"/>
      <c r="I8" s="21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42</v>
      </c>
      <c r="E10" s="4"/>
      <c r="F10" s="11" t="s">
        <v>2</v>
      </c>
      <c r="G10" s="10"/>
      <c r="H10" s="11" t="s">
        <v>5</v>
      </c>
      <c r="I10" s="7" t="str">
        <f>D10</f>
        <v>02B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22</v>
      </c>
      <c r="E11" s="4"/>
      <c r="F11" s="8" t="s">
        <v>3</v>
      </c>
      <c r="G11" s="9">
        <v>12</v>
      </c>
      <c r="H11" s="11" t="s">
        <v>6</v>
      </c>
      <c r="I11" s="7" t="str">
        <f>D11</f>
        <v>DS-S01</v>
      </c>
      <c r="K11" s="6" t="s">
        <v>8</v>
      </c>
      <c r="L11" s="6" t="s">
        <v>7</v>
      </c>
    </row>
    <row r="12" spans="1:12" s="1" customFormat="1" ht="30" customHeight="1" x14ac:dyDescent="0.25">
      <c r="A12" s="22" t="s">
        <v>31</v>
      </c>
      <c r="B12" s="23"/>
      <c r="C12" s="23"/>
      <c r="D12" s="24"/>
      <c r="E12" s="5"/>
      <c r="F12" s="22" t="s">
        <v>31</v>
      </c>
      <c r="G12" s="23"/>
      <c r="H12" s="23"/>
      <c r="I12" s="24"/>
      <c r="K12" s="1">
        <v>400</v>
      </c>
      <c r="L12" s="1">
        <v>80</v>
      </c>
    </row>
    <row r="13" spans="1:12" s="1" customFormat="1" ht="30" customHeight="1" x14ac:dyDescent="0.25">
      <c r="A13" s="25" t="s">
        <v>35</v>
      </c>
      <c r="B13" s="26"/>
      <c r="C13" s="26" t="s">
        <v>11</v>
      </c>
      <c r="D13" s="27"/>
      <c r="E13" s="4"/>
      <c r="F13" s="25" t="str">
        <f>A13</f>
        <v>P814</v>
      </c>
      <c r="G13" s="26"/>
      <c r="H13" s="26" t="str">
        <f>C13</f>
        <v>White</v>
      </c>
      <c r="I13" s="27"/>
    </row>
    <row r="14" spans="1:12" s="1" customFormat="1" ht="30" customHeight="1" x14ac:dyDescent="0.25">
      <c r="A14" s="12" t="s">
        <v>4</v>
      </c>
      <c r="B14" s="31" t="s">
        <v>43</v>
      </c>
      <c r="C14" s="31"/>
      <c r="D14" s="32"/>
      <c r="E14" s="4"/>
      <c r="F14" s="12" t="s">
        <v>4</v>
      </c>
      <c r="G14" s="31" t="str">
        <f>B14</f>
        <v>26618, 27018, 27016, 27073, 27072, 27074</v>
      </c>
      <c r="H14" s="31"/>
      <c r="I14" s="32"/>
    </row>
    <row r="15" spans="1:12" ht="63.75" customHeight="1" x14ac:dyDescent="0.25">
      <c r="A15" s="21" t="s">
        <v>21</v>
      </c>
      <c r="B15" s="21"/>
      <c r="C15" s="21"/>
      <c r="D15" s="21"/>
      <c r="E15" s="2"/>
      <c r="F15" s="21" t="str">
        <f>A15</f>
        <v>Oval DS Top-Fill - Screw</v>
      </c>
      <c r="G15" s="21"/>
      <c r="H15" s="21"/>
      <c r="I15" s="21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42</v>
      </c>
      <c r="E17" s="4"/>
      <c r="F17" s="11" t="s">
        <v>2</v>
      </c>
      <c r="G17" s="10"/>
      <c r="H17" s="11" t="s">
        <v>5</v>
      </c>
      <c r="I17" s="7" t="str">
        <f>D17</f>
        <v>02B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22</v>
      </c>
      <c r="E18" s="4"/>
      <c r="F18" s="8" t="s">
        <v>3</v>
      </c>
      <c r="G18" s="9">
        <v>13</v>
      </c>
      <c r="H18" s="11" t="s">
        <v>6</v>
      </c>
      <c r="I18" s="7" t="str">
        <f>D18</f>
        <v>DS-S01</v>
      </c>
      <c r="K18" s="6" t="s">
        <v>8</v>
      </c>
      <c r="L18" s="6" t="s">
        <v>7</v>
      </c>
    </row>
    <row r="19" spans="1:12" s="1" customFormat="1" ht="30" customHeight="1" x14ac:dyDescent="0.25">
      <c r="A19" s="22" t="s">
        <v>31</v>
      </c>
      <c r="B19" s="23"/>
      <c r="C19" s="23"/>
      <c r="D19" s="24"/>
      <c r="E19" s="5"/>
      <c r="F19" s="22" t="s">
        <v>31</v>
      </c>
      <c r="G19" s="23"/>
      <c r="H19" s="23"/>
      <c r="I19" s="24"/>
      <c r="K19" s="1">
        <v>400</v>
      </c>
      <c r="L19" s="1">
        <v>80</v>
      </c>
    </row>
    <row r="20" spans="1:12" s="1" customFormat="1" ht="30" customHeight="1" x14ac:dyDescent="0.25">
      <c r="A20" s="25" t="s">
        <v>35</v>
      </c>
      <c r="B20" s="26"/>
      <c r="C20" s="26" t="s">
        <v>11</v>
      </c>
      <c r="D20" s="27"/>
      <c r="E20" s="4"/>
      <c r="F20" s="25" t="str">
        <f>A20</f>
        <v>P814</v>
      </c>
      <c r="G20" s="26"/>
      <c r="H20" s="26" t="str">
        <f>C20</f>
        <v>White</v>
      </c>
      <c r="I20" s="27"/>
    </row>
    <row r="21" spans="1:12" s="1" customFormat="1" ht="30" customHeight="1" x14ac:dyDescent="0.25">
      <c r="A21" s="12" t="s">
        <v>4</v>
      </c>
      <c r="B21" s="31" t="s">
        <v>43</v>
      </c>
      <c r="C21" s="31"/>
      <c r="D21" s="32"/>
      <c r="E21" s="4"/>
      <c r="F21" s="12" t="s">
        <v>4</v>
      </c>
      <c r="G21" s="31" t="str">
        <f>B21</f>
        <v>26618, 27018, 27016, 27073, 27072, 27074</v>
      </c>
      <c r="H21" s="31"/>
      <c r="I21" s="32"/>
    </row>
    <row r="22" spans="1:12" ht="63.75" customHeight="1" x14ac:dyDescent="0.25">
      <c r="A22" s="21" t="s">
        <v>21</v>
      </c>
      <c r="B22" s="21"/>
      <c r="C22" s="21"/>
      <c r="D22" s="21"/>
      <c r="E22" s="2"/>
      <c r="F22" s="21" t="str">
        <f>A22</f>
        <v>Oval DS Top-Fill - Screw</v>
      </c>
      <c r="G22" s="21"/>
      <c r="H22" s="21"/>
      <c r="I22" s="21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42</v>
      </c>
      <c r="E24" s="4"/>
      <c r="F24" s="11" t="s">
        <v>2</v>
      </c>
      <c r="G24" s="10"/>
      <c r="H24" s="11" t="s">
        <v>5</v>
      </c>
      <c r="I24" s="7" t="str">
        <f>D24</f>
        <v>02B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22</v>
      </c>
      <c r="E25" s="4"/>
      <c r="F25" s="8" t="s">
        <v>3</v>
      </c>
      <c r="G25" s="9">
        <v>14</v>
      </c>
      <c r="H25" s="11" t="s">
        <v>6</v>
      </c>
      <c r="I25" s="7" t="str">
        <f>D25</f>
        <v>DS-S01</v>
      </c>
      <c r="K25" s="6" t="s">
        <v>8</v>
      </c>
      <c r="L25" s="6" t="s">
        <v>7</v>
      </c>
    </row>
    <row r="26" spans="1:12" s="1" customFormat="1" ht="30" customHeight="1" x14ac:dyDescent="0.25">
      <c r="A26" s="22" t="s">
        <v>31</v>
      </c>
      <c r="B26" s="23"/>
      <c r="C26" s="23"/>
      <c r="D26" s="24"/>
      <c r="E26" s="5"/>
      <c r="F26" s="22" t="s">
        <v>31</v>
      </c>
      <c r="G26" s="23"/>
      <c r="H26" s="23"/>
      <c r="I26" s="24"/>
      <c r="K26" s="1">
        <v>400</v>
      </c>
      <c r="L26" s="1">
        <v>80</v>
      </c>
    </row>
    <row r="27" spans="1:12" s="1" customFormat="1" ht="30" customHeight="1" x14ac:dyDescent="0.25">
      <c r="A27" s="25" t="s">
        <v>35</v>
      </c>
      <c r="B27" s="26"/>
      <c r="C27" s="26" t="s">
        <v>11</v>
      </c>
      <c r="D27" s="27"/>
      <c r="E27" s="4"/>
      <c r="F27" s="25" t="str">
        <f>A27</f>
        <v>P814</v>
      </c>
      <c r="G27" s="26"/>
      <c r="H27" s="26" t="str">
        <f>C27</f>
        <v>White</v>
      </c>
      <c r="I27" s="27"/>
    </row>
    <row r="28" spans="1:12" s="1" customFormat="1" ht="30" customHeight="1" x14ac:dyDescent="0.25">
      <c r="A28" s="12" t="s">
        <v>4</v>
      </c>
      <c r="B28" s="31" t="s">
        <v>43</v>
      </c>
      <c r="C28" s="31"/>
      <c r="D28" s="32"/>
      <c r="E28" s="4"/>
      <c r="F28" s="12" t="s">
        <v>4</v>
      </c>
      <c r="G28" s="31" t="str">
        <f>B28</f>
        <v>26618, 27018, 27016, 27073, 27072, 27074</v>
      </c>
      <c r="H28" s="31"/>
      <c r="I28" s="32"/>
    </row>
    <row r="29" spans="1:12" ht="63.75" customHeight="1" x14ac:dyDescent="0.25">
      <c r="A29" s="21" t="s">
        <v>21</v>
      </c>
      <c r="B29" s="21"/>
      <c r="C29" s="21"/>
      <c r="D29" s="21"/>
      <c r="E29" s="2"/>
      <c r="F29" s="21" t="str">
        <f>A29</f>
        <v>Oval DS Top-Fill - Screw</v>
      </c>
      <c r="G29" s="21"/>
      <c r="H29" s="21"/>
      <c r="I29" s="21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42</v>
      </c>
      <c r="E31" s="4"/>
      <c r="F31" s="11" t="s">
        <v>2</v>
      </c>
      <c r="G31" s="10"/>
      <c r="H31" s="11" t="s">
        <v>5</v>
      </c>
      <c r="I31" s="7" t="str">
        <f>D31</f>
        <v>02B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22</v>
      </c>
      <c r="E32" s="4"/>
      <c r="F32" s="8" t="s">
        <v>3</v>
      </c>
      <c r="G32" s="9">
        <v>15</v>
      </c>
      <c r="H32" s="11" t="s">
        <v>6</v>
      </c>
      <c r="I32" s="7" t="str">
        <f>D32</f>
        <v>DS-S01</v>
      </c>
      <c r="K32" s="6" t="s">
        <v>8</v>
      </c>
      <c r="L32" s="6" t="s">
        <v>7</v>
      </c>
    </row>
    <row r="33" spans="1:12" s="1" customFormat="1" ht="30" customHeight="1" x14ac:dyDescent="0.25">
      <c r="A33" s="22" t="s">
        <v>31</v>
      </c>
      <c r="B33" s="23"/>
      <c r="C33" s="23"/>
      <c r="D33" s="24"/>
      <c r="E33" s="5"/>
      <c r="F33" s="22" t="s">
        <v>31</v>
      </c>
      <c r="G33" s="23"/>
      <c r="H33" s="23"/>
      <c r="I33" s="24"/>
      <c r="K33" s="1">
        <v>400</v>
      </c>
      <c r="L33" s="1">
        <v>80</v>
      </c>
    </row>
    <row r="34" spans="1:12" s="1" customFormat="1" ht="30" customHeight="1" x14ac:dyDescent="0.25">
      <c r="A34" s="25" t="s">
        <v>35</v>
      </c>
      <c r="B34" s="26"/>
      <c r="C34" s="26" t="s">
        <v>11</v>
      </c>
      <c r="D34" s="27"/>
      <c r="E34" s="4"/>
      <c r="F34" s="25" t="str">
        <f>A34</f>
        <v>P814</v>
      </c>
      <c r="G34" s="26"/>
      <c r="H34" s="26" t="str">
        <f>C34</f>
        <v>White</v>
      </c>
      <c r="I34" s="27"/>
    </row>
    <row r="35" spans="1:12" s="1" customFormat="1" ht="30" customHeight="1" x14ac:dyDescent="0.25">
      <c r="A35" s="12" t="s">
        <v>4</v>
      </c>
      <c r="B35" s="31" t="s">
        <v>43</v>
      </c>
      <c r="C35" s="31"/>
      <c r="D35" s="32"/>
      <c r="E35" s="4"/>
      <c r="F35" s="12" t="s">
        <v>4</v>
      </c>
      <c r="G35" s="31" t="str">
        <f>B35</f>
        <v>26618, 27018, 27016, 27073, 27072, 27074</v>
      </c>
      <c r="H35" s="31"/>
      <c r="I35" s="32"/>
    </row>
    <row r="36" spans="1:12" ht="63.75" customHeight="1" x14ac:dyDescent="0.25">
      <c r="A36" s="21" t="s">
        <v>21</v>
      </c>
      <c r="B36" s="21"/>
      <c r="C36" s="21"/>
      <c r="D36" s="21"/>
      <c r="E36" s="2"/>
      <c r="F36" s="21" t="str">
        <f>A36</f>
        <v>Oval DS Top-Fill - Screw</v>
      </c>
      <c r="G36" s="21"/>
      <c r="H36" s="21"/>
      <c r="I36" s="21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1" t="s">
        <v>0</v>
      </c>
      <c r="G37" s="10"/>
      <c r="H37" s="11" t="s">
        <v>1</v>
      </c>
      <c r="I37" s="10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42</v>
      </c>
      <c r="E38" s="4"/>
      <c r="F38" s="11" t="s">
        <v>2</v>
      </c>
      <c r="G38" s="10"/>
      <c r="H38" s="11" t="s">
        <v>5</v>
      </c>
      <c r="I38" s="7" t="str">
        <f>D38</f>
        <v>02B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22</v>
      </c>
      <c r="E39" s="4"/>
      <c r="F39" s="8" t="s">
        <v>3</v>
      </c>
      <c r="G39" s="9">
        <v>16</v>
      </c>
      <c r="H39" s="11" t="s">
        <v>6</v>
      </c>
      <c r="I39" s="7" t="str">
        <f>D39</f>
        <v>DS-S01</v>
      </c>
      <c r="K39" s="6" t="s">
        <v>8</v>
      </c>
      <c r="L39" s="6" t="s">
        <v>7</v>
      </c>
    </row>
    <row r="40" spans="1:12" s="1" customFormat="1" ht="30" customHeight="1" x14ac:dyDescent="0.25">
      <c r="A40" s="22" t="s">
        <v>31</v>
      </c>
      <c r="B40" s="23"/>
      <c r="C40" s="23"/>
      <c r="D40" s="24"/>
      <c r="E40" s="5"/>
      <c r="F40" s="22" t="s">
        <v>31</v>
      </c>
      <c r="G40" s="23"/>
      <c r="H40" s="23"/>
      <c r="I40" s="24"/>
      <c r="K40" s="1">
        <v>400</v>
      </c>
      <c r="L40" s="1">
        <v>80</v>
      </c>
    </row>
    <row r="41" spans="1:12" s="1" customFormat="1" ht="30" customHeight="1" x14ac:dyDescent="0.25">
      <c r="A41" s="25" t="s">
        <v>35</v>
      </c>
      <c r="B41" s="26"/>
      <c r="C41" s="26" t="s">
        <v>11</v>
      </c>
      <c r="D41" s="27"/>
      <c r="E41" s="4"/>
      <c r="F41" s="25" t="str">
        <f>A41</f>
        <v>P814</v>
      </c>
      <c r="G41" s="26"/>
      <c r="H41" s="26" t="str">
        <f>C41</f>
        <v>White</v>
      </c>
      <c r="I41" s="27"/>
    </row>
    <row r="42" spans="1:12" s="1" customFormat="1" ht="30" customHeight="1" x14ac:dyDescent="0.25">
      <c r="A42" s="12" t="s">
        <v>4</v>
      </c>
      <c r="B42" s="31" t="s">
        <v>43</v>
      </c>
      <c r="C42" s="31"/>
      <c r="D42" s="32"/>
      <c r="E42" s="4"/>
      <c r="F42" s="12" t="s">
        <v>4</v>
      </c>
      <c r="G42" s="31" t="str">
        <f>B42</f>
        <v>26618, 27018, 27016, 27073, 27072, 27074</v>
      </c>
      <c r="H42" s="31"/>
      <c r="I42" s="32"/>
    </row>
    <row r="43" spans="1:12" ht="63.75" customHeight="1" x14ac:dyDescent="0.25">
      <c r="A43" s="21" t="s">
        <v>21</v>
      </c>
      <c r="B43" s="21"/>
      <c r="C43" s="21"/>
      <c r="D43" s="21"/>
      <c r="E43" s="2"/>
      <c r="F43" s="21" t="str">
        <f>A43</f>
        <v>Oval DS Top-Fill - Screw</v>
      </c>
      <c r="G43" s="21"/>
      <c r="H43" s="21"/>
      <c r="I43" s="21"/>
    </row>
    <row r="44" spans="1:12" s="1" customFormat="1" ht="30" customHeight="1" x14ac:dyDescent="0.25">
      <c r="A44" s="11" t="s">
        <v>0</v>
      </c>
      <c r="B44" s="10"/>
      <c r="C44" s="11" t="s">
        <v>1</v>
      </c>
      <c r="D44" s="10"/>
      <c r="E44" s="3"/>
      <c r="F44" s="11" t="s">
        <v>0</v>
      </c>
      <c r="G44" s="10"/>
      <c r="H44" s="11" t="s">
        <v>1</v>
      </c>
      <c r="I44" s="10"/>
    </row>
    <row r="45" spans="1:12" s="1" customFormat="1" ht="30" customHeight="1" x14ac:dyDescent="0.25">
      <c r="A45" s="11" t="s">
        <v>2</v>
      </c>
      <c r="B45" s="10"/>
      <c r="C45" s="11" t="s">
        <v>5</v>
      </c>
      <c r="D45" s="7" t="s">
        <v>42</v>
      </c>
      <c r="E45" s="4"/>
      <c r="F45" s="11" t="s">
        <v>2</v>
      </c>
      <c r="G45" s="10"/>
      <c r="H45" s="11" t="s">
        <v>5</v>
      </c>
      <c r="I45" s="7" t="str">
        <f>D45</f>
        <v>02B</v>
      </c>
    </row>
    <row r="46" spans="1:12" s="1" customFormat="1" ht="53.25" customHeight="1" x14ac:dyDescent="0.25">
      <c r="A46" s="8" t="s">
        <v>3</v>
      </c>
      <c r="B46" s="9">
        <v>7</v>
      </c>
      <c r="C46" s="11" t="s">
        <v>6</v>
      </c>
      <c r="D46" s="7" t="s">
        <v>22</v>
      </c>
      <c r="E46" s="4"/>
      <c r="F46" s="8" t="s">
        <v>3</v>
      </c>
      <c r="G46" s="9">
        <v>17</v>
      </c>
      <c r="H46" s="11" t="s">
        <v>6</v>
      </c>
      <c r="I46" s="7" t="str">
        <f>D46</f>
        <v>DS-S01</v>
      </c>
      <c r="K46" s="6" t="s">
        <v>8</v>
      </c>
      <c r="L46" s="6" t="s">
        <v>7</v>
      </c>
    </row>
    <row r="47" spans="1:12" s="1" customFormat="1" ht="30" customHeight="1" x14ac:dyDescent="0.25">
      <c r="A47" s="22" t="s">
        <v>31</v>
      </c>
      <c r="B47" s="23"/>
      <c r="C47" s="23"/>
      <c r="D47" s="24"/>
      <c r="E47" s="5"/>
      <c r="F47" s="22" t="s">
        <v>31</v>
      </c>
      <c r="G47" s="23"/>
      <c r="H47" s="23"/>
      <c r="I47" s="24"/>
      <c r="K47" s="1">
        <v>400</v>
      </c>
      <c r="L47" s="1">
        <v>80</v>
      </c>
    </row>
    <row r="48" spans="1:12" s="1" customFormat="1" ht="30" customHeight="1" x14ac:dyDescent="0.25">
      <c r="A48" s="25" t="s">
        <v>35</v>
      </c>
      <c r="B48" s="26"/>
      <c r="C48" s="26" t="s">
        <v>11</v>
      </c>
      <c r="D48" s="27"/>
      <c r="E48" s="4"/>
      <c r="F48" s="25" t="str">
        <f>A48</f>
        <v>P814</v>
      </c>
      <c r="G48" s="26"/>
      <c r="H48" s="26" t="str">
        <f>C48</f>
        <v>White</v>
      </c>
      <c r="I48" s="27"/>
    </row>
    <row r="49" spans="1:12" s="1" customFormat="1" ht="30" customHeight="1" x14ac:dyDescent="0.25">
      <c r="A49" s="12" t="s">
        <v>4</v>
      </c>
      <c r="B49" s="31" t="s">
        <v>43</v>
      </c>
      <c r="C49" s="31"/>
      <c r="D49" s="32"/>
      <c r="E49" s="4"/>
      <c r="F49" s="12" t="s">
        <v>4</v>
      </c>
      <c r="G49" s="31" t="str">
        <f>B49</f>
        <v>26618, 27018, 27016, 27073, 27072, 27074</v>
      </c>
      <c r="H49" s="31"/>
      <c r="I49" s="32"/>
    </row>
    <row r="50" spans="1:12" ht="63.75" customHeight="1" x14ac:dyDescent="0.25">
      <c r="A50" s="21" t="s">
        <v>21</v>
      </c>
      <c r="B50" s="21"/>
      <c r="C50" s="21"/>
      <c r="D50" s="21"/>
      <c r="E50" s="2"/>
      <c r="F50" s="21" t="str">
        <f>A50</f>
        <v>Oval DS Top-Fill - Screw</v>
      </c>
      <c r="G50" s="21"/>
      <c r="H50" s="21"/>
      <c r="I50" s="21"/>
    </row>
    <row r="51" spans="1:12" s="1" customFormat="1" ht="30" customHeight="1" x14ac:dyDescent="0.25">
      <c r="A51" s="11" t="s">
        <v>0</v>
      </c>
      <c r="B51" s="10"/>
      <c r="C51" s="11" t="s">
        <v>1</v>
      </c>
      <c r="D51" s="10"/>
      <c r="E51" s="3"/>
      <c r="F51" s="11" t="s">
        <v>0</v>
      </c>
      <c r="G51" s="10"/>
      <c r="H51" s="11" t="s">
        <v>1</v>
      </c>
      <c r="I51" s="10"/>
    </row>
    <row r="52" spans="1:12" s="1" customFormat="1" ht="30" customHeight="1" x14ac:dyDescent="0.25">
      <c r="A52" s="11" t="s">
        <v>2</v>
      </c>
      <c r="B52" s="10"/>
      <c r="C52" s="11" t="s">
        <v>5</v>
      </c>
      <c r="D52" s="7" t="s">
        <v>42</v>
      </c>
      <c r="E52" s="4"/>
      <c r="F52" s="11" t="s">
        <v>2</v>
      </c>
      <c r="G52" s="10"/>
      <c r="H52" s="11" t="s">
        <v>5</v>
      </c>
      <c r="I52" s="7" t="str">
        <f>D52</f>
        <v>02B</v>
      </c>
    </row>
    <row r="53" spans="1:12" s="1" customFormat="1" ht="53.25" customHeight="1" x14ac:dyDescent="0.25">
      <c r="A53" s="8" t="s">
        <v>3</v>
      </c>
      <c r="B53" s="9">
        <v>8</v>
      </c>
      <c r="C53" s="11" t="s">
        <v>6</v>
      </c>
      <c r="D53" s="7" t="s">
        <v>22</v>
      </c>
      <c r="E53" s="4"/>
      <c r="F53" s="8" t="s">
        <v>3</v>
      </c>
      <c r="G53" s="9">
        <v>18</v>
      </c>
      <c r="H53" s="11" t="s">
        <v>6</v>
      </c>
      <c r="I53" s="7" t="str">
        <f>D53</f>
        <v>DS-S01</v>
      </c>
      <c r="K53" s="6" t="s">
        <v>8</v>
      </c>
      <c r="L53" s="6" t="s">
        <v>7</v>
      </c>
    </row>
    <row r="54" spans="1:12" s="1" customFormat="1" ht="30" customHeight="1" x14ac:dyDescent="0.25">
      <c r="A54" s="22" t="s">
        <v>31</v>
      </c>
      <c r="B54" s="23"/>
      <c r="C54" s="23"/>
      <c r="D54" s="24"/>
      <c r="E54" s="5"/>
      <c r="F54" s="22" t="s">
        <v>31</v>
      </c>
      <c r="G54" s="23"/>
      <c r="H54" s="23"/>
      <c r="I54" s="24"/>
      <c r="K54" s="1">
        <v>400</v>
      </c>
      <c r="L54" s="1">
        <v>80</v>
      </c>
    </row>
    <row r="55" spans="1:12" s="1" customFormat="1" ht="30" customHeight="1" x14ac:dyDescent="0.25">
      <c r="A55" s="25" t="s">
        <v>35</v>
      </c>
      <c r="B55" s="26"/>
      <c r="C55" s="26" t="s">
        <v>11</v>
      </c>
      <c r="D55" s="27"/>
      <c r="E55" s="4"/>
      <c r="F55" s="25" t="str">
        <f>A55</f>
        <v>P814</v>
      </c>
      <c r="G55" s="26"/>
      <c r="H55" s="26" t="str">
        <f>C55</f>
        <v>White</v>
      </c>
      <c r="I55" s="27"/>
    </row>
    <row r="56" spans="1:12" s="1" customFormat="1" ht="30" customHeight="1" x14ac:dyDescent="0.25">
      <c r="A56" s="12" t="s">
        <v>4</v>
      </c>
      <c r="B56" s="31" t="s">
        <v>43</v>
      </c>
      <c r="C56" s="31"/>
      <c r="D56" s="32"/>
      <c r="E56" s="4"/>
      <c r="F56" s="12" t="s">
        <v>4</v>
      </c>
      <c r="G56" s="31" t="str">
        <f>B56</f>
        <v>26618, 27018, 27016, 27073, 27072, 27074</v>
      </c>
      <c r="H56" s="31"/>
      <c r="I56" s="32"/>
    </row>
    <row r="57" spans="1:12" ht="63.75" customHeight="1" x14ac:dyDescent="0.25">
      <c r="A57" s="21" t="s">
        <v>21</v>
      </c>
      <c r="B57" s="21"/>
      <c r="C57" s="21"/>
      <c r="D57" s="21"/>
      <c r="E57" s="2"/>
      <c r="F57" s="21" t="str">
        <f>A57</f>
        <v>Oval DS Top-Fill - Screw</v>
      </c>
      <c r="G57" s="21"/>
      <c r="H57" s="21"/>
      <c r="I57" s="21"/>
    </row>
    <row r="58" spans="1:12" s="1" customFormat="1" ht="30" customHeight="1" x14ac:dyDescent="0.25">
      <c r="A58" s="11" t="s">
        <v>0</v>
      </c>
      <c r="B58" s="10"/>
      <c r="C58" s="11" t="s">
        <v>1</v>
      </c>
      <c r="D58" s="10"/>
      <c r="E58" s="3"/>
      <c r="F58" s="11" t="s">
        <v>0</v>
      </c>
      <c r="G58" s="10"/>
      <c r="H58" s="11" t="s">
        <v>1</v>
      </c>
      <c r="I58" s="10"/>
    </row>
    <row r="59" spans="1:12" s="1" customFormat="1" ht="30" customHeight="1" x14ac:dyDescent="0.25">
      <c r="A59" s="11" t="s">
        <v>2</v>
      </c>
      <c r="B59" s="10"/>
      <c r="C59" s="11" t="s">
        <v>5</v>
      </c>
      <c r="D59" s="7" t="s">
        <v>42</v>
      </c>
      <c r="E59" s="4"/>
      <c r="F59" s="11" t="s">
        <v>2</v>
      </c>
      <c r="G59" s="10"/>
      <c r="H59" s="11" t="s">
        <v>5</v>
      </c>
      <c r="I59" s="7" t="str">
        <f>D59</f>
        <v>02B</v>
      </c>
    </row>
    <row r="60" spans="1:12" s="1" customFormat="1" ht="53.25" customHeight="1" x14ac:dyDescent="0.25">
      <c r="A60" s="8" t="s">
        <v>3</v>
      </c>
      <c r="B60" s="9">
        <v>9</v>
      </c>
      <c r="C60" s="11" t="s">
        <v>6</v>
      </c>
      <c r="D60" s="7" t="s">
        <v>22</v>
      </c>
      <c r="E60" s="4"/>
      <c r="F60" s="8" t="s">
        <v>3</v>
      </c>
      <c r="G60" s="9">
        <v>19</v>
      </c>
      <c r="H60" s="11" t="s">
        <v>6</v>
      </c>
      <c r="I60" s="7" t="str">
        <f>D60</f>
        <v>DS-S01</v>
      </c>
      <c r="K60" s="6" t="s">
        <v>8</v>
      </c>
      <c r="L60" s="6" t="s">
        <v>7</v>
      </c>
    </row>
    <row r="61" spans="1:12" s="1" customFormat="1" ht="30" customHeight="1" x14ac:dyDescent="0.25">
      <c r="A61" s="22" t="s">
        <v>31</v>
      </c>
      <c r="B61" s="23"/>
      <c r="C61" s="23"/>
      <c r="D61" s="24"/>
      <c r="E61" s="5"/>
      <c r="F61" s="22" t="s">
        <v>31</v>
      </c>
      <c r="G61" s="23"/>
      <c r="H61" s="23"/>
      <c r="I61" s="24"/>
      <c r="K61" s="1">
        <v>400</v>
      </c>
      <c r="L61" s="1">
        <v>80</v>
      </c>
    </row>
    <row r="62" spans="1:12" s="1" customFormat="1" ht="30" customHeight="1" x14ac:dyDescent="0.25">
      <c r="A62" s="25" t="s">
        <v>35</v>
      </c>
      <c r="B62" s="26"/>
      <c r="C62" s="26" t="s">
        <v>11</v>
      </c>
      <c r="D62" s="27"/>
      <c r="E62" s="4"/>
      <c r="F62" s="25" t="str">
        <f>A62</f>
        <v>P814</v>
      </c>
      <c r="G62" s="26"/>
      <c r="H62" s="26" t="str">
        <f>C62</f>
        <v>White</v>
      </c>
      <c r="I62" s="27"/>
    </row>
    <row r="63" spans="1:12" s="1" customFormat="1" ht="30" customHeight="1" x14ac:dyDescent="0.25">
      <c r="A63" s="12" t="s">
        <v>4</v>
      </c>
      <c r="B63" s="31" t="s">
        <v>43</v>
      </c>
      <c r="C63" s="31"/>
      <c r="D63" s="32"/>
      <c r="E63" s="4"/>
      <c r="F63" s="12" t="s">
        <v>4</v>
      </c>
      <c r="G63" s="31" t="str">
        <f>B63</f>
        <v>26618, 27018, 27016, 27073, 27072, 27074</v>
      </c>
      <c r="H63" s="31"/>
      <c r="I63" s="32"/>
    </row>
    <row r="64" spans="1:12" ht="63.75" customHeight="1" x14ac:dyDescent="0.25">
      <c r="A64" s="21" t="s">
        <v>21</v>
      </c>
      <c r="B64" s="21"/>
      <c r="C64" s="21"/>
      <c r="D64" s="21"/>
      <c r="E64" s="2"/>
      <c r="F64" s="33" t="str">
        <f>A64</f>
        <v>Oval DS Top-Fill - Screw</v>
      </c>
      <c r="G64" s="33"/>
      <c r="H64" s="33"/>
      <c r="I64" s="33"/>
    </row>
    <row r="65" spans="1:12" s="1" customFormat="1" ht="30" customHeight="1" x14ac:dyDescent="0.25">
      <c r="A65" s="11" t="s">
        <v>0</v>
      </c>
      <c r="B65" s="10"/>
      <c r="C65" s="11" t="s">
        <v>1</v>
      </c>
      <c r="D65" s="10"/>
      <c r="E65" s="3"/>
      <c r="F65" s="16" t="s">
        <v>0</v>
      </c>
      <c r="G65" s="16"/>
      <c r="H65" s="16" t="s">
        <v>1</v>
      </c>
      <c r="I65" s="16"/>
    </row>
    <row r="66" spans="1:12" s="1" customFormat="1" ht="30" customHeight="1" x14ac:dyDescent="0.25">
      <c r="A66" s="11" t="s">
        <v>2</v>
      </c>
      <c r="B66" s="10"/>
      <c r="C66" s="11" t="s">
        <v>5</v>
      </c>
      <c r="D66" s="7" t="s">
        <v>42</v>
      </c>
      <c r="E66" s="4"/>
      <c r="F66" s="16" t="s">
        <v>2</v>
      </c>
      <c r="G66" s="16"/>
      <c r="H66" s="16" t="s">
        <v>5</v>
      </c>
      <c r="I66" s="13" t="str">
        <f>D66</f>
        <v>02B</v>
      </c>
    </row>
    <row r="67" spans="1:12" s="1" customFormat="1" ht="53.25" customHeight="1" x14ac:dyDescent="0.25">
      <c r="A67" s="8" t="s">
        <v>3</v>
      </c>
      <c r="B67" s="9">
        <v>10</v>
      </c>
      <c r="C67" s="11" t="s">
        <v>6</v>
      </c>
      <c r="D67" s="7" t="s">
        <v>22</v>
      </c>
      <c r="E67" s="4"/>
      <c r="F67" s="14" t="s">
        <v>3</v>
      </c>
      <c r="G67" s="15">
        <v>19</v>
      </c>
      <c r="H67" s="16" t="s">
        <v>6</v>
      </c>
      <c r="I67" s="13" t="str">
        <f>D67</f>
        <v>DS-S01</v>
      </c>
      <c r="K67" s="6" t="s">
        <v>8</v>
      </c>
      <c r="L67" s="6" t="s">
        <v>7</v>
      </c>
    </row>
    <row r="68" spans="1:12" s="1" customFormat="1" ht="30" customHeight="1" x14ac:dyDescent="0.25">
      <c r="A68" s="22" t="s">
        <v>31</v>
      </c>
      <c r="B68" s="23"/>
      <c r="C68" s="23"/>
      <c r="D68" s="24"/>
      <c r="E68" s="5"/>
      <c r="F68" s="34" t="s">
        <v>31</v>
      </c>
      <c r="G68" s="34"/>
      <c r="H68" s="34"/>
      <c r="I68" s="34"/>
      <c r="K68" s="1">
        <v>400</v>
      </c>
      <c r="L68" s="1">
        <v>80</v>
      </c>
    </row>
    <row r="69" spans="1:12" s="1" customFormat="1" ht="30" customHeight="1" x14ac:dyDescent="0.25">
      <c r="A69" s="25" t="s">
        <v>35</v>
      </c>
      <c r="B69" s="26"/>
      <c r="C69" s="26" t="s">
        <v>11</v>
      </c>
      <c r="D69" s="27"/>
      <c r="E69" s="4"/>
      <c r="F69" s="35" t="str">
        <f>A69</f>
        <v>P814</v>
      </c>
      <c r="G69" s="35"/>
      <c r="H69" s="35" t="str">
        <f>C69</f>
        <v>White</v>
      </c>
      <c r="I69" s="35"/>
    </row>
    <row r="70" spans="1:12" s="1" customFormat="1" ht="30" customHeight="1" x14ac:dyDescent="0.25">
      <c r="A70" s="12" t="s">
        <v>4</v>
      </c>
      <c r="B70" s="31" t="s">
        <v>43</v>
      </c>
      <c r="C70" s="31"/>
      <c r="D70" s="32"/>
      <c r="E70" s="4"/>
      <c r="F70" s="16" t="s">
        <v>4</v>
      </c>
      <c r="G70" s="36" t="str">
        <f>B70</f>
        <v>26618, 27018, 27016, 27073, 27072, 27074</v>
      </c>
      <c r="H70" s="36"/>
      <c r="I70" s="36"/>
    </row>
  </sheetData>
  <mergeCells count="100">
    <mergeCell ref="A69:B69"/>
    <mergeCell ref="C69:D69"/>
    <mergeCell ref="F69:G69"/>
    <mergeCell ref="H69:I69"/>
    <mergeCell ref="B70:D70"/>
    <mergeCell ref="G70:I70"/>
    <mergeCell ref="B63:D63"/>
    <mergeCell ref="G63:I63"/>
    <mergeCell ref="A64:D64"/>
    <mergeCell ref="F64:I64"/>
    <mergeCell ref="A68:D68"/>
    <mergeCell ref="F68:I68"/>
    <mergeCell ref="A57:D57"/>
    <mergeCell ref="F57:I57"/>
    <mergeCell ref="A61:D61"/>
    <mergeCell ref="F61:I61"/>
    <mergeCell ref="A62:B62"/>
    <mergeCell ref="C62:D62"/>
    <mergeCell ref="F62:G62"/>
    <mergeCell ref="H62:I62"/>
    <mergeCell ref="A55:B55"/>
    <mergeCell ref="C55:D55"/>
    <mergeCell ref="F55:G55"/>
    <mergeCell ref="H55:I55"/>
    <mergeCell ref="B56:D56"/>
    <mergeCell ref="G56:I56"/>
    <mergeCell ref="B49:D49"/>
    <mergeCell ref="G49:I49"/>
    <mergeCell ref="A50:D50"/>
    <mergeCell ref="F50:I50"/>
    <mergeCell ref="A54:D54"/>
    <mergeCell ref="F54:I54"/>
    <mergeCell ref="A43:D43"/>
    <mergeCell ref="F43:I43"/>
    <mergeCell ref="A47:D47"/>
    <mergeCell ref="F47:I47"/>
    <mergeCell ref="A48:B48"/>
    <mergeCell ref="C48:D48"/>
    <mergeCell ref="F48:G48"/>
    <mergeCell ref="H48:I48"/>
    <mergeCell ref="A41:B41"/>
    <mergeCell ref="C41:D41"/>
    <mergeCell ref="F41:G41"/>
    <mergeCell ref="H41:I41"/>
    <mergeCell ref="B42:D42"/>
    <mergeCell ref="G42:I42"/>
    <mergeCell ref="B35:D35"/>
    <mergeCell ref="G35:I35"/>
    <mergeCell ref="A36:D36"/>
    <mergeCell ref="F36:I36"/>
    <mergeCell ref="A40:D40"/>
    <mergeCell ref="F40:I40"/>
    <mergeCell ref="A29:D29"/>
    <mergeCell ref="F29:I29"/>
    <mergeCell ref="A33:D33"/>
    <mergeCell ref="F33:I33"/>
    <mergeCell ref="A34:B34"/>
    <mergeCell ref="C34:D34"/>
    <mergeCell ref="F34:G34"/>
    <mergeCell ref="H34:I34"/>
    <mergeCell ref="A27:B27"/>
    <mergeCell ref="C27:D27"/>
    <mergeCell ref="F27:G27"/>
    <mergeCell ref="H27:I27"/>
    <mergeCell ref="B28:D28"/>
    <mergeCell ref="G28:I28"/>
    <mergeCell ref="B21:D21"/>
    <mergeCell ref="G21:I21"/>
    <mergeCell ref="A22:D22"/>
    <mergeCell ref="F22:I22"/>
    <mergeCell ref="A26:D26"/>
    <mergeCell ref="F26:I26"/>
    <mergeCell ref="A15:D15"/>
    <mergeCell ref="F15:I15"/>
    <mergeCell ref="A19:D19"/>
    <mergeCell ref="F19:I19"/>
    <mergeCell ref="A20:B20"/>
    <mergeCell ref="C20:D20"/>
    <mergeCell ref="F20:G20"/>
    <mergeCell ref="H20:I20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L21"/>
  <sheetViews>
    <sheetView tabSelected="1" view="pageBreakPreview" topLeftCell="A16" zoomScaleNormal="100" zoomScaleSheetLayoutView="100" workbookViewId="0">
      <selection activeCell="D26" sqref="D26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25</v>
      </c>
      <c r="B1" s="21"/>
      <c r="C1" s="21"/>
      <c r="D1" s="21"/>
      <c r="E1" s="2"/>
      <c r="F1" s="21" t="str">
        <f>A1</f>
        <v>Oval DS Top-Fill - Wheel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7" t="s">
        <v>0</v>
      </c>
      <c r="G2" s="18"/>
      <c r="H2" s="17" t="s">
        <v>1</v>
      </c>
      <c r="I2" s="18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26</v>
      </c>
      <c r="E3" s="4"/>
      <c r="F3" s="17" t="s">
        <v>2</v>
      </c>
      <c r="G3" s="18"/>
      <c r="H3" s="17" t="s">
        <v>5</v>
      </c>
      <c r="I3" s="7" t="str">
        <f>D3</f>
        <v>23A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27</v>
      </c>
      <c r="E4" s="4"/>
      <c r="F4" s="8" t="s">
        <v>3</v>
      </c>
      <c r="G4" s="9">
        <v>4</v>
      </c>
      <c r="H4" s="17" t="s">
        <v>6</v>
      </c>
      <c r="I4" s="7" t="str">
        <f>D4</f>
        <v>DS-W02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29</v>
      </c>
      <c r="B5" s="23"/>
      <c r="C5" s="23"/>
      <c r="D5" s="24"/>
      <c r="E5" s="5"/>
      <c r="F5" s="22" t="s">
        <v>29</v>
      </c>
      <c r="G5" s="23"/>
      <c r="H5" s="23"/>
      <c r="I5" s="24"/>
      <c r="K5" s="1">
        <v>500</v>
      </c>
      <c r="L5" s="1">
        <v>80</v>
      </c>
    </row>
    <row r="6" spans="1:12" s="1" customFormat="1" ht="30" customHeight="1" x14ac:dyDescent="0.25">
      <c r="A6" s="25" t="s">
        <v>35</v>
      </c>
      <c r="B6" s="26"/>
      <c r="C6" s="26" t="s">
        <v>11</v>
      </c>
      <c r="D6" s="27"/>
      <c r="E6" s="4"/>
      <c r="F6" s="25" t="str">
        <f>A6</f>
        <v>P814</v>
      </c>
      <c r="G6" s="26"/>
      <c r="H6" s="26" t="str">
        <f>C6</f>
        <v>White</v>
      </c>
      <c r="I6" s="27"/>
    </row>
    <row r="7" spans="1:12" s="1" customFormat="1" ht="30" customHeight="1" x14ac:dyDescent="0.25">
      <c r="A7" s="12" t="s">
        <v>4</v>
      </c>
      <c r="B7" s="19" t="s">
        <v>36</v>
      </c>
      <c r="C7" s="19"/>
      <c r="D7" s="20"/>
      <c r="E7" s="4"/>
      <c r="F7" s="12" t="s">
        <v>4</v>
      </c>
      <c r="G7" s="19" t="str">
        <f>B7</f>
        <v>25969, 25971, 25973</v>
      </c>
      <c r="H7" s="19"/>
      <c r="I7" s="20"/>
    </row>
    <row r="8" spans="1:12" ht="63.75" customHeight="1" x14ac:dyDescent="0.25">
      <c r="A8" s="21" t="s">
        <v>25</v>
      </c>
      <c r="B8" s="21"/>
      <c r="C8" s="21"/>
      <c r="D8" s="21"/>
      <c r="E8" s="2"/>
      <c r="F8" s="21" t="str">
        <f>A8</f>
        <v>Oval DS Top-Fill - Wheel</v>
      </c>
      <c r="G8" s="21"/>
      <c r="H8" s="21"/>
      <c r="I8" s="21"/>
    </row>
    <row r="9" spans="1:12" s="1" customFormat="1" ht="30" customHeight="1" x14ac:dyDescent="0.25">
      <c r="A9" s="17" t="s">
        <v>0</v>
      </c>
      <c r="B9" s="18"/>
      <c r="C9" s="17" t="s">
        <v>1</v>
      </c>
      <c r="D9" s="18"/>
      <c r="E9" s="3"/>
      <c r="F9" s="17" t="s">
        <v>0</v>
      </c>
      <c r="G9" s="18"/>
      <c r="H9" s="17" t="s">
        <v>1</v>
      </c>
      <c r="I9" s="18"/>
    </row>
    <row r="10" spans="1:12" s="1" customFormat="1" ht="30" customHeight="1" x14ac:dyDescent="0.25">
      <c r="A10" s="17" t="s">
        <v>2</v>
      </c>
      <c r="B10" s="18"/>
      <c r="C10" s="17" t="s">
        <v>5</v>
      </c>
      <c r="D10" s="7" t="s">
        <v>26</v>
      </c>
      <c r="E10" s="4"/>
      <c r="F10" s="17" t="s">
        <v>2</v>
      </c>
      <c r="G10" s="18"/>
      <c r="H10" s="17" t="s">
        <v>5</v>
      </c>
      <c r="I10" s="7" t="str">
        <f>D10</f>
        <v>23A</v>
      </c>
    </row>
    <row r="11" spans="1:12" s="1" customFormat="1" ht="53.25" customHeight="1" x14ac:dyDescent="0.25">
      <c r="A11" s="8" t="s">
        <v>3</v>
      </c>
      <c r="B11" s="9">
        <v>2</v>
      </c>
      <c r="C11" s="17" t="s">
        <v>6</v>
      </c>
      <c r="D11" s="7" t="s">
        <v>27</v>
      </c>
      <c r="E11" s="4"/>
      <c r="F11" s="8" t="s">
        <v>3</v>
      </c>
      <c r="G11" s="9">
        <v>5</v>
      </c>
      <c r="H11" s="17" t="s">
        <v>6</v>
      </c>
      <c r="I11" s="7" t="str">
        <f>D11</f>
        <v>DS-W02</v>
      </c>
      <c r="K11" s="6" t="s">
        <v>8</v>
      </c>
      <c r="L11" s="6" t="s">
        <v>7</v>
      </c>
    </row>
    <row r="12" spans="1:12" s="1" customFormat="1" ht="30" customHeight="1" x14ac:dyDescent="0.25">
      <c r="A12" s="22" t="s">
        <v>29</v>
      </c>
      <c r="B12" s="23"/>
      <c r="C12" s="23"/>
      <c r="D12" s="24"/>
      <c r="E12" s="5"/>
      <c r="F12" s="22" t="s">
        <v>29</v>
      </c>
      <c r="G12" s="23"/>
      <c r="H12" s="23"/>
      <c r="I12" s="24"/>
      <c r="K12" s="1">
        <v>500</v>
      </c>
      <c r="L12" s="1">
        <v>80</v>
      </c>
    </row>
    <row r="13" spans="1:12" s="1" customFormat="1" ht="30" customHeight="1" x14ac:dyDescent="0.25">
      <c r="A13" s="25" t="s">
        <v>35</v>
      </c>
      <c r="B13" s="26"/>
      <c r="C13" s="26" t="s">
        <v>11</v>
      </c>
      <c r="D13" s="27"/>
      <c r="E13" s="4"/>
      <c r="F13" s="25" t="str">
        <f>A13</f>
        <v>P814</v>
      </c>
      <c r="G13" s="26"/>
      <c r="H13" s="26" t="str">
        <f>C13</f>
        <v>White</v>
      </c>
      <c r="I13" s="27"/>
    </row>
    <row r="14" spans="1:12" s="1" customFormat="1" ht="30" customHeight="1" x14ac:dyDescent="0.25">
      <c r="A14" s="12" t="s">
        <v>4</v>
      </c>
      <c r="B14" s="19" t="s">
        <v>36</v>
      </c>
      <c r="C14" s="19"/>
      <c r="D14" s="20"/>
      <c r="E14" s="4"/>
      <c r="F14" s="12" t="s">
        <v>4</v>
      </c>
      <c r="G14" s="19" t="str">
        <f>B14</f>
        <v>25969, 25971, 25973</v>
      </c>
      <c r="H14" s="19"/>
      <c r="I14" s="20"/>
    </row>
    <row r="15" spans="1:12" ht="63.75" customHeight="1" x14ac:dyDescent="0.25">
      <c r="A15" s="21" t="s">
        <v>25</v>
      </c>
      <c r="B15" s="21"/>
      <c r="C15" s="21"/>
      <c r="D15" s="21"/>
      <c r="E15" s="2"/>
      <c r="F15" s="21" t="str">
        <f>A15</f>
        <v>Oval DS Top-Fill - Wheel</v>
      </c>
      <c r="G15" s="21"/>
      <c r="H15" s="21"/>
      <c r="I15" s="21"/>
    </row>
    <row r="16" spans="1:12" s="1" customFormat="1" ht="30" customHeight="1" x14ac:dyDescent="0.25">
      <c r="A16" s="17" t="s">
        <v>0</v>
      </c>
      <c r="B16" s="18"/>
      <c r="C16" s="17" t="s">
        <v>1</v>
      </c>
      <c r="D16" s="18"/>
      <c r="E16" s="3"/>
      <c r="F16" s="17" t="s">
        <v>0</v>
      </c>
      <c r="G16" s="18"/>
      <c r="H16" s="17" t="s">
        <v>1</v>
      </c>
      <c r="I16" s="18"/>
    </row>
    <row r="17" spans="1:12" s="1" customFormat="1" ht="30" customHeight="1" x14ac:dyDescent="0.25">
      <c r="A17" s="17" t="s">
        <v>2</v>
      </c>
      <c r="B17" s="18"/>
      <c r="C17" s="17" t="s">
        <v>5</v>
      </c>
      <c r="D17" s="7" t="s">
        <v>26</v>
      </c>
      <c r="E17" s="4"/>
      <c r="F17" s="17" t="s">
        <v>2</v>
      </c>
      <c r="G17" s="18"/>
      <c r="H17" s="17" t="s">
        <v>5</v>
      </c>
      <c r="I17" s="7" t="str">
        <f>D17</f>
        <v>23A</v>
      </c>
    </row>
    <row r="18" spans="1:12" s="1" customFormat="1" ht="53.25" customHeight="1" x14ac:dyDescent="0.25">
      <c r="A18" s="8" t="s">
        <v>3</v>
      </c>
      <c r="B18" s="9">
        <v>3</v>
      </c>
      <c r="C18" s="17" t="s">
        <v>6</v>
      </c>
      <c r="D18" s="7" t="s">
        <v>27</v>
      </c>
      <c r="E18" s="4"/>
      <c r="F18" s="8" t="s">
        <v>3</v>
      </c>
      <c r="G18" s="9">
        <v>6</v>
      </c>
      <c r="H18" s="17" t="s">
        <v>6</v>
      </c>
      <c r="I18" s="7" t="str">
        <f>D18</f>
        <v>DS-W02</v>
      </c>
      <c r="K18" s="6" t="s">
        <v>8</v>
      </c>
      <c r="L18" s="6" t="s">
        <v>7</v>
      </c>
    </row>
    <row r="19" spans="1:12" s="1" customFormat="1" ht="30" customHeight="1" x14ac:dyDescent="0.25">
      <c r="A19" s="22" t="s">
        <v>29</v>
      </c>
      <c r="B19" s="23"/>
      <c r="C19" s="23"/>
      <c r="D19" s="24"/>
      <c r="E19" s="5"/>
      <c r="F19" s="22" t="s">
        <v>29</v>
      </c>
      <c r="G19" s="23"/>
      <c r="H19" s="23"/>
      <c r="I19" s="24"/>
      <c r="K19" s="1">
        <v>500</v>
      </c>
      <c r="L19" s="1">
        <v>80</v>
      </c>
    </row>
    <row r="20" spans="1:12" s="1" customFormat="1" ht="30" customHeight="1" x14ac:dyDescent="0.25">
      <c r="A20" s="25" t="s">
        <v>35</v>
      </c>
      <c r="B20" s="26"/>
      <c r="C20" s="26" t="s">
        <v>11</v>
      </c>
      <c r="D20" s="27"/>
      <c r="E20" s="4"/>
      <c r="F20" s="25" t="str">
        <f>A20</f>
        <v>P814</v>
      </c>
      <c r="G20" s="26"/>
      <c r="H20" s="26" t="str">
        <f>C20</f>
        <v>White</v>
      </c>
      <c r="I20" s="27"/>
    </row>
    <row r="21" spans="1:12" s="1" customFormat="1" ht="30" customHeight="1" x14ac:dyDescent="0.25">
      <c r="A21" s="12" t="s">
        <v>4</v>
      </c>
      <c r="B21" s="19" t="s">
        <v>36</v>
      </c>
      <c r="C21" s="19"/>
      <c r="D21" s="20"/>
      <c r="E21" s="4"/>
      <c r="F21" s="12" t="s">
        <v>4</v>
      </c>
      <c r="G21" s="19" t="str">
        <f>B21</f>
        <v>25969, 25971, 25973</v>
      </c>
      <c r="H21" s="19"/>
      <c r="I21" s="20"/>
    </row>
  </sheetData>
  <mergeCells count="30">
    <mergeCell ref="B21:D21"/>
    <mergeCell ref="G21:I21"/>
    <mergeCell ref="A15:D15"/>
    <mergeCell ref="F15:I15"/>
    <mergeCell ref="A19:D19"/>
    <mergeCell ref="F19:I19"/>
    <mergeCell ref="A20:B20"/>
    <mergeCell ref="C20:D20"/>
    <mergeCell ref="F20:G20"/>
    <mergeCell ref="H20:I20"/>
    <mergeCell ref="B14:D14"/>
    <mergeCell ref="G14:I14"/>
    <mergeCell ref="A8:D8"/>
    <mergeCell ref="F8:I8"/>
    <mergeCell ref="A12:D12"/>
    <mergeCell ref="F12:I12"/>
    <mergeCell ref="A13:B13"/>
    <mergeCell ref="C13:D13"/>
    <mergeCell ref="F13:G13"/>
    <mergeCell ref="H13:I13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L42"/>
  <sheetViews>
    <sheetView view="pageBreakPreview" topLeftCell="A7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9</v>
      </c>
      <c r="B1" s="21"/>
      <c r="C1" s="21"/>
      <c r="D1" s="21"/>
      <c r="E1" s="2"/>
      <c r="F1" s="21" t="str">
        <f>A1</f>
        <v>Oval DS Top-Fill - Cap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44</v>
      </c>
      <c r="E3" s="4"/>
      <c r="F3" s="11" t="s">
        <v>2</v>
      </c>
      <c r="G3" s="10"/>
      <c r="H3" s="11" t="s">
        <v>5</v>
      </c>
      <c r="I3" s="7" t="str">
        <f>D3</f>
        <v>16B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10</v>
      </c>
      <c r="E4" s="4"/>
      <c r="F4" s="8" t="s">
        <v>3</v>
      </c>
      <c r="G4" s="9">
        <v>7</v>
      </c>
      <c r="H4" s="11" t="s">
        <v>6</v>
      </c>
      <c r="I4" s="7" t="str">
        <f>D4</f>
        <v>DEO-C03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37</v>
      </c>
      <c r="B5" s="23"/>
      <c r="C5" s="23"/>
      <c r="D5" s="24"/>
      <c r="E5" s="5"/>
      <c r="F5" s="22" t="s">
        <v>37</v>
      </c>
      <c r="G5" s="23"/>
      <c r="H5" s="23"/>
      <c r="I5" s="24"/>
      <c r="K5" s="1">
        <v>700</v>
      </c>
      <c r="L5" s="1">
        <v>20</v>
      </c>
    </row>
    <row r="6" spans="1:12" s="1" customFormat="1" ht="30" customHeight="1" x14ac:dyDescent="0.25">
      <c r="A6" s="25" t="s">
        <v>35</v>
      </c>
      <c r="B6" s="26"/>
      <c r="C6" s="26" t="s">
        <v>11</v>
      </c>
      <c r="D6" s="27"/>
      <c r="E6" s="4"/>
      <c r="F6" s="25" t="str">
        <f>A6</f>
        <v>P814</v>
      </c>
      <c r="G6" s="26"/>
      <c r="H6" s="26" t="str">
        <f>C6</f>
        <v>White</v>
      </c>
      <c r="I6" s="27"/>
    </row>
    <row r="7" spans="1:12" s="1" customFormat="1" ht="30" customHeight="1" x14ac:dyDescent="0.25">
      <c r="A7" s="12" t="s">
        <v>4</v>
      </c>
      <c r="B7" s="29">
        <v>27076</v>
      </c>
      <c r="C7" s="29"/>
      <c r="D7" s="30"/>
      <c r="E7" s="4"/>
      <c r="F7" s="12" t="s">
        <v>4</v>
      </c>
      <c r="G7" s="29">
        <f>B7</f>
        <v>27076</v>
      </c>
      <c r="H7" s="29"/>
      <c r="I7" s="30"/>
    </row>
    <row r="8" spans="1:12" ht="63.75" customHeight="1" x14ac:dyDescent="0.25">
      <c r="A8" s="21" t="s">
        <v>9</v>
      </c>
      <c r="B8" s="21"/>
      <c r="C8" s="21"/>
      <c r="D8" s="21"/>
      <c r="E8" s="2"/>
      <c r="F8" s="21" t="str">
        <f>A8</f>
        <v>Oval DS Top-Fill - Cap</v>
      </c>
      <c r="G8" s="21"/>
      <c r="H8" s="21"/>
      <c r="I8" s="21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44</v>
      </c>
      <c r="E10" s="4"/>
      <c r="F10" s="11" t="s">
        <v>2</v>
      </c>
      <c r="G10" s="10"/>
      <c r="H10" s="11" t="s">
        <v>5</v>
      </c>
      <c r="I10" s="7" t="str">
        <f>D10</f>
        <v>16B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10</v>
      </c>
      <c r="E11" s="4"/>
      <c r="F11" s="8" t="s">
        <v>3</v>
      </c>
      <c r="G11" s="9">
        <v>8</v>
      </c>
      <c r="H11" s="11" t="s">
        <v>6</v>
      </c>
      <c r="I11" s="7" t="str">
        <f>D11</f>
        <v>DEO-C03</v>
      </c>
      <c r="K11" s="6" t="s">
        <v>8</v>
      </c>
      <c r="L11" s="6" t="s">
        <v>7</v>
      </c>
    </row>
    <row r="12" spans="1:12" s="1" customFormat="1" ht="30" customHeight="1" x14ac:dyDescent="0.25">
      <c r="A12" s="22" t="s">
        <v>37</v>
      </c>
      <c r="B12" s="23"/>
      <c r="C12" s="23"/>
      <c r="D12" s="24"/>
      <c r="E12" s="5"/>
      <c r="F12" s="22" t="s">
        <v>37</v>
      </c>
      <c r="G12" s="23"/>
      <c r="H12" s="23"/>
      <c r="I12" s="24"/>
      <c r="K12" s="1">
        <v>700</v>
      </c>
      <c r="L12" s="1">
        <v>20</v>
      </c>
    </row>
    <row r="13" spans="1:12" s="1" customFormat="1" ht="30" customHeight="1" x14ac:dyDescent="0.25">
      <c r="A13" s="25" t="s">
        <v>35</v>
      </c>
      <c r="B13" s="26"/>
      <c r="C13" s="26" t="s">
        <v>11</v>
      </c>
      <c r="D13" s="27"/>
      <c r="E13" s="4"/>
      <c r="F13" s="25" t="str">
        <f>A13</f>
        <v>P814</v>
      </c>
      <c r="G13" s="26"/>
      <c r="H13" s="26" t="str">
        <f>C13</f>
        <v>White</v>
      </c>
      <c r="I13" s="27"/>
    </row>
    <row r="14" spans="1:12" s="1" customFormat="1" ht="30" customHeight="1" x14ac:dyDescent="0.25">
      <c r="A14" s="12" t="s">
        <v>4</v>
      </c>
      <c r="B14" s="29">
        <v>27076</v>
      </c>
      <c r="C14" s="29"/>
      <c r="D14" s="30"/>
      <c r="E14" s="4"/>
      <c r="F14" s="12" t="s">
        <v>4</v>
      </c>
      <c r="G14" s="29">
        <f>B14</f>
        <v>27076</v>
      </c>
      <c r="H14" s="29"/>
      <c r="I14" s="30"/>
    </row>
    <row r="15" spans="1:12" ht="63.75" customHeight="1" x14ac:dyDescent="0.25">
      <c r="A15" s="21" t="s">
        <v>9</v>
      </c>
      <c r="B15" s="21"/>
      <c r="C15" s="21"/>
      <c r="D15" s="21"/>
      <c r="E15" s="2"/>
      <c r="F15" s="21" t="str">
        <f>A15</f>
        <v>Oval DS Top-Fill - Cap</v>
      </c>
      <c r="G15" s="21"/>
      <c r="H15" s="21"/>
      <c r="I15" s="21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44</v>
      </c>
      <c r="E17" s="4"/>
      <c r="F17" s="11" t="s">
        <v>2</v>
      </c>
      <c r="G17" s="10"/>
      <c r="H17" s="11" t="s">
        <v>5</v>
      </c>
      <c r="I17" s="7" t="str">
        <f>D17</f>
        <v>16B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10</v>
      </c>
      <c r="E18" s="4"/>
      <c r="F18" s="8" t="s">
        <v>3</v>
      </c>
      <c r="G18" s="9">
        <v>9</v>
      </c>
      <c r="H18" s="11" t="s">
        <v>6</v>
      </c>
      <c r="I18" s="7" t="str">
        <f>D18</f>
        <v>DEO-C03</v>
      </c>
      <c r="K18" s="6" t="s">
        <v>8</v>
      </c>
      <c r="L18" s="6" t="s">
        <v>7</v>
      </c>
    </row>
    <row r="19" spans="1:12" s="1" customFormat="1" ht="30" customHeight="1" x14ac:dyDescent="0.25">
      <c r="A19" s="22" t="s">
        <v>37</v>
      </c>
      <c r="B19" s="23"/>
      <c r="C19" s="23"/>
      <c r="D19" s="24"/>
      <c r="E19" s="5"/>
      <c r="F19" s="22" t="s">
        <v>37</v>
      </c>
      <c r="G19" s="23"/>
      <c r="H19" s="23"/>
      <c r="I19" s="24"/>
      <c r="K19" s="1">
        <v>700</v>
      </c>
      <c r="L19" s="1">
        <v>20</v>
      </c>
    </row>
    <row r="20" spans="1:12" s="1" customFormat="1" ht="30" customHeight="1" x14ac:dyDescent="0.25">
      <c r="A20" s="25" t="s">
        <v>35</v>
      </c>
      <c r="B20" s="26"/>
      <c r="C20" s="26" t="s">
        <v>11</v>
      </c>
      <c r="D20" s="27"/>
      <c r="E20" s="4"/>
      <c r="F20" s="25" t="str">
        <f>A20</f>
        <v>P814</v>
      </c>
      <c r="G20" s="26"/>
      <c r="H20" s="26" t="str">
        <f>C20</f>
        <v>White</v>
      </c>
      <c r="I20" s="27"/>
    </row>
    <row r="21" spans="1:12" s="1" customFormat="1" ht="30" customHeight="1" x14ac:dyDescent="0.25">
      <c r="A21" s="12" t="s">
        <v>4</v>
      </c>
      <c r="B21" s="29">
        <v>27076</v>
      </c>
      <c r="C21" s="29"/>
      <c r="D21" s="30"/>
      <c r="E21" s="4"/>
      <c r="F21" s="12" t="s">
        <v>4</v>
      </c>
      <c r="G21" s="29">
        <f>B21</f>
        <v>27076</v>
      </c>
      <c r="H21" s="29"/>
      <c r="I21" s="30"/>
    </row>
    <row r="22" spans="1:12" ht="63.75" customHeight="1" x14ac:dyDescent="0.25">
      <c r="A22" s="21" t="s">
        <v>9</v>
      </c>
      <c r="B22" s="21"/>
      <c r="C22" s="21"/>
      <c r="D22" s="21"/>
      <c r="E22" s="2"/>
      <c r="F22" s="21" t="str">
        <f>A22</f>
        <v>Oval DS Top-Fill - Cap</v>
      </c>
      <c r="G22" s="21"/>
      <c r="H22" s="21"/>
      <c r="I22" s="21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44</v>
      </c>
      <c r="E24" s="4"/>
      <c r="F24" s="11" t="s">
        <v>2</v>
      </c>
      <c r="G24" s="10"/>
      <c r="H24" s="11" t="s">
        <v>5</v>
      </c>
      <c r="I24" s="7" t="str">
        <f>D24</f>
        <v>16B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10</v>
      </c>
      <c r="E25" s="4"/>
      <c r="F25" s="8" t="s">
        <v>3</v>
      </c>
      <c r="G25" s="9">
        <v>10</v>
      </c>
      <c r="H25" s="11" t="s">
        <v>6</v>
      </c>
      <c r="I25" s="7" t="str">
        <f>D25</f>
        <v>DEO-C03</v>
      </c>
      <c r="K25" s="6" t="s">
        <v>8</v>
      </c>
      <c r="L25" s="6" t="s">
        <v>7</v>
      </c>
    </row>
    <row r="26" spans="1:12" s="1" customFormat="1" ht="30" customHeight="1" x14ac:dyDescent="0.25">
      <c r="A26" s="22" t="s">
        <v>37</v>
      </c>
      <c r="B26" s="23"/>
      <c r="C26" s="23"/>
      <c r="D26" s="24"/>
      <c r="E26" s="5"/>
      <c r="F26" s="22" t="s">
        <v>37</v>
      </c>
      <c r="G26" s="23"/>
      <c r="H26" s="23"/>
      <c r="I26" s="24"/>
      <c r="K26" s="1">
        <v>700</v>
      </c>
      <c r="L26" s="1">
        <v>20</v>
      </c>
    </row>
    <row r="27" spans="1:12" s="1" customFormat="1" ht="30" customHeight="1" x14ac:dyDescent="0.25">
      <c r="A27" s="25" t="s">
        <v>35</v>
      </c>
      <c r="B27" s="26"/>
      <c r="C27" s="26" t="s">
        <v>11</v>
      </c>
      <c r="D27" s="27"/>
      <c r="E27" s="4"/>
      <c r="F27" s="25" t="str">
        <f>A27</f>
        <v>P814</v>
      </c>
      <c r="G27" s="26"/>
      <c r="H27" s="26" t="str">
        <f>C27</f>
        <v>White</v>
      </c>
      <c r="I27" s="27"/>
    </row>
    <row r="28" spans="1:12" s="1" customFormat="1" ht="30" customHeight="1" x14ac:dyDescent="0.25">
      <c r="A28" s="12" t="s">
        <v>4</v>
      </c>
      <c r="B28" s="29">
        <v>27076</v>
      </c>
      <c r="C28" s="29"/>
      <c r="D28" s="30"/>
      <c r="E28" s="4"/>
      <c r="F28" s="12" t="s">
        <v>4</v>
      </c>
      <c r="G28" s="29">
        <f>B28</f>
        <v>27076</v>
      </c>
      <c r="H28" s="29"/>
      <c r="I28" s="30"/>
    </row>
    <row r="29" spans="1:12" ht="63.75" customHeight="1" x14ac:dyDescent="0.25">
      <c r="A29" s="21" t="s">
        <v>9</v>
      </c>
      <c r="B29" s="21"/>
      <c r="C29" s="21"/>
      <c r="D29" s="21"/>
      <c r="E29" s="2"/>
      <c r="F29" s="21" t="str">
        <f>A29</f>
        <v>Oval DS Top-Fill - Cap</v>
      </c>
      <c r="G29" s="21"/>
      <c r="H29" s="21"/>
      <c r="I29" s="21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44</v>
      </c>
      <c r="E31" s="4"/>
      <c r="F31" s="11" t="s">
        <v>2</v>
      </c>
      <c r="G31" s="10"/>
      <c r="H31" s="11" t="s">
        <v>5</v>
      </c>
      <c r="I31" s="7" t="str">
        <f>D31</f>
        <v>16B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10</v>
      </c>
      <c r="E32" s="4"/>
      <c r="F32" s="8" t="s">
        <v>3</v>
      </c>
      <c r="G32" s="9">
        <v>11</v>
      </c>
      <c r="H32" s="11" t="s">
        <v>6</v>
      </c>
      <c r="I32" s="7" t="str">
        <f>D32</f>
        <v>DEO-C03</v>
      </c>
      <c r="K32" s="6" t="s">
        <v>8</v>
      </c>
      <c r="L32" s="6" t="s">
        <v>7</v>
      </c>
    </row>
    <row r="33" spans="1:12" s="1" customFormat="1" ht="30" customHeight="1" x14ac:dyDescent="0.25">
      <c r="A33" s="22" t="s">
        <v>37</v>
      </c>
      <c r="B33" s="23"/>
      <c r="C33" s="23"/>
      <c r="D33" s="24"/>
      <c r="E33" s="5"/>
      <c r="F33" s="22" t="s">
        <v>45</v>
      </c>
      <c r="G33" s="23"/>
      <c r="H33" s="23"/>
      <c r="I33" s="24"/>
      <c r="K33" s="1">
        <v>700</v>
      </c>
      <c r="L33" s="1">
        <v>20</v>
      </c>
    </row>
    <row r="34" spans="1:12" s="1" customFormat="1" ht="30" customHeight="1" x14ac:dyDescent="0.25">
      <c r="A34" s="25" t="s">
        <v>35</v>
      </c>
      <c r="B34" s="26"/>
      <c r="C34" s="26" t="s">
        <v>11</v>
      </c>
      <c r="D34" s="27"/>
      <c r="E34" s="4"/>
      <c r="F34" s="25" t="str">
        <f>A34</f>
        <v>P814</v>
      </c>
      <c r="G34" s="26"/>
      <c r="H34" s="26" t="str">
        <f>C34</f>
        <v>White</v>
      </c>
      <c r="I34" s="27"/>
    </row>
    <row r="35" spans="1:12" s="1" customFormat="1" ht="30" customHeight="1" x14ac:dyDescent="0.25">
      <c r="A35" s="12" t="s">
        <v>4</v>
      </c>
      <c r="B35" s="29">
        <v>27076</v>
      </c>
      <c r="C35" s="29"/>
      <c r="D35" s="30"/>
      <c r="E35" s="4"/>
      <c r="F35" s="12" t="s">
        <v>4</v>
      </c>
      <c r="G35" s="29">
        <f>B35</f>
        <v>27076</v>
      </c>
      <c r="H35" s="29"/>
      <c r="I35" s="30"/>
    </row>
    <row r="36" spans="1:12" ht="63.75" customHeight="1" x14ac:dyDescent="0.25">
      <c r="A36" s="21" t="s">
        <v>9</v>
      </c>
      <c r="B36" s="21"/>
      <c r="C36" s="21"/>
      <c r="D36" s="21"/>
      <c r="E36" s="2"/>
      <c r="F36" s="33" t="str">
        <f>A36</f>
        <v>Oval DS Top-Fill - Cap</v>
      </c>
      <c r="G36" s="33"/>
      <c r="H36" s="33"/>
      <c r="I36" s="33"/>
    </row>
    <row r="37" spans="1:12" s="1" customFormat="1" ht="30" customHeight="1" x14ac:dyDescent="0.25">
      <c r="A37" s="11" t="s">
        <v>0</v>
      </c>
      <c r="B37" s="10"/>
      <c r="C37" s="11" t="s">
        <v>1</v>
      </c>
      <c r="D37" s="10"/>
      <c r="E37" s="3"/>
      <c r="F37" s="16" t="s">
        <v>0</v>
      </c>
      <c r="G37" s="16"/>
      <c r="H37" s="16" t="s">
        <v>1</v>
      </c>
      <c r="I37" s="16"/>
    </row>
    <row r="38" spans="1:12" s="1" customFormat="1" ht="30" customHeight="1" x14ac:dyDescent="0.25">
      <c r="A38" s="11" t="s">
        <v>2</v>
      </c>
      <c r="B38" s="10"/>
      <c r="C38" s="11" t="s">
        <v>5</v>
      </c>
      <c r="D38" s="7" t="s">
        <v>44</v>
      </c>
      <c r="E38" s="4"/>
      <c r="F38" s="16" t="s">
        <v>2</v>
      </c>
      <c r="G38" s="16"/>
      <c r="H38" s="16" t="s">
        <v>5</v>
      </c>
      <c r="I38" s="13" t="str">
        <f>D38</f>
        <v>16B</v>
      </c>
    </row>
    <row r="39" spans="1:12" s="1" customFormat="1" ht="53.25" customHeight="1" x14ac:dyDescent="0.25">
      <c r="A39" s="8" t="s">
        <v>3</v>
      </c>
      <c r="B39" s="9">
        <v>6</v>
      </c>
      <c r="C39" s="11" t="s">
        <v>6</v>
      </c>
      <c r="D39" s="7" t="s">
        <v>10</v>
      </c>
      <c r="E39" s="4"/>
      <c r="F39" s="14" t="s">
        <v>3</v>
      </c>
      <c r="G39" s="15">
        <v>11</v>
      </c>
      <c r="H39" s="16" t="s">
        <v>6</v>
      </c>
      <c r="I39" s="13" t="str">
        <f>D39</f>
        <v>DEO-C03</v>
      </c>
      <c r="K39" s="6" t="s">
        <v>8</v>
      </c>
      <c r="L39" s="6" t="s">
        <v>7</v>
      </c>
    </row>
    <row r="40" spans="1:12" s="1" customFormat="1" ht="30" customHeight="1" x14ac:dyDescent="0.25">
      <c r="A40" s="22" t="s">
        <v>37</v>
      </c>
      <c r="B40" s="23"/>
      <c r="C40" s="23"/>
      <c r="D40" s="24"/>
      <c r="E40" s="5"/>
      <c r="F40" s="34" t="s">
        <v>45</v>
      </c>
      <c r="G40" s="34"/>
      <c r="H40" s="34"/>
      <c r="I40" s="34"/>
      <c r="K40" s="1">
        <v>700</v>
      </c>
      <c r="L40" s="1">
        <v>20</v>
      </c>
    </row>
    <row r="41" spans="1:12" s="1" customFormat="1" ht="30" customHeight="1" x14ac:dyDescent="0.25">
      <c r="A41" s="25" t="s">
        <v>35</v>
      </c>
      <c r="B41" s="26"/>
      <c r="C41" s="26" t="s">
        <v>11</v>
      </c>
      <c r="D41" s="27"/>
      <c r="E41" s="4"/>
      <c r="F41" s="35" t="str">
        <f>A41</f>
        <v>P814</v>
      </c>
      <c r="G41" s="35"/>
      <c r="H41" s="35" t="str">
        <f>C41</f>
        <v>White</v>
      </c>
      <c r="I41" s="35"/>
    </row>
    <row r="42" spans="1:12" s="1" customFormat="1" ht="30" customHeight="1" x14ac:dyDescent="0.25">
      <c r="A42" s="12" t="s">
        <v>4</v>
      </c>
      <c r="B42" s="29">
        <v>27076</v>
      </c>
      <c r="C42" s="29"/>
      <c r="D42" s="30"/>
      <c r="E42" s="4"/>
      <c r="F42" s="16" t="s">
        <v>4</v>
      </c>
      <c r="G42" s="37">
        <f>B42</f>
        <v>27076</v>
      </c>
      <c r="H42" s="37"/>
      <c r="I42" s="37"/>
    </row>
  </sheetData>
  <mergeCells count="60">
    <mergeCell ref="B42:D42"/>
    <mergeCell ref="G42:I42"/>
    <mergeCell ref="A36:D36"/>
    <mergeCell ref="F36:I36"/>
    <mergeCell ref="A40:D40"/>
    <mergeCell ref="F40:I40"/>
    <mergeCell ref="A41:B41"/>
    <mergeCell ref="C41:D41"/>
    <mergeCell ref="F41:G41"/>
    <mergeCell ref="H41:I41"/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8:D8"/>
    <mergeCell ref="F8:I8"/>
    <mergeCell ref="A12:D12"/>
    <mergeCell ref="F12:I12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  <mergeCell ref="A13:B13"/>
    <mergeCell ref="C13:D13"/>
    <mergeCell ref="F13:G13"/>
    <mergeCell ref="H13:I13"/>
    <mergeCell ref="B14:D14"/>
    <mergeCell ref="G14:I14"/>
    <mergeCell ref="B21:D21"/>
    <mergeCell ref="G21:I21"/>
    <mergeCell ref="A15:D15"/>
    <mergeCell ref="F15:I15"/>
    <mergeCell ref="A19:D19"/>
    <mergeCell ref="F19:I19"/>
    <mergeCell ref="A20:B20"/>
    <mergeCell ref="C20:D20"/>
    <mergeCell ref="F20:G20"/>
    <mergeCell ref="H20:I20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L7"/>
  <sheetViews>
    <sheetView view="pageBreakPreview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12</v>
      </c>
      <c r="B1" s="21"/>
      <c r="C1" s="21"/>
      <c r="D1" s="21"/>
      <c r="E1" s="2"/>
      <c r="F1" s="21" t="str">
        <f>A1</f>
        <v>Oval DS Top-Fill - Inner Cap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50</v>
      </c>
      <c r="E3" s="4"/>
      <c r="F3" s="11" t="s">
        <v>2</v>
      </c>
      <c r="G3" s="10"/>
      <c r="H3" s="11" t="s">
        <v>5</v>
      </c>
      <c r="I3" s="7" t="str">
        <f>D3</f>
        <v>35U1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14</v>
      </c>
      <c r="E4" s="4"/>
      <c r="F4" s="8" t="s">
        <v>3</v>
      </c>
      <c r="G4" s="9">
        <v>2</v>
      </c>
      <c r="H4" s="11" t="s">
        <v>6</v>
      </c>
      <c r="I4" s="7" t="str">
        <f>D4</f>
        <v>DS-D03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13</v>
      </c>
      <c r="B5" s="23"/>
      <c r="C5" s="23"/>
      <c r="D5" s="24"/>
      <c r="E5" s="5"/>
      <c r="F5" s="22" t="s">
        <v>13</v>
      </c>
      <c r="G5" s="23"/>
      <c r="H5" s="23"/>
      <c r="I5" s="24"/>
      <c r="K5" s="1">
        <v>1250</v>
      </c>
      <c r="L5" s="1">
        <v>80</v>
      </c>
    </row>
    <row r="6" spans="1:12" s="1" customFormat="1" ht="30" customHeight="1" x14ac:dyDescent="0.25">
      <c r="A6" s="25" t="s">
        <v>28</v>
      </c>
      <c r="B6" s="26"/>
      <c r="C6" s="26" t="str">
        <f>""</f>
        <v/>
      </c>
      <c r="D6" s="27"/>
      <c r="E6" s="4"/>
      <c r="F6" s="25" t="str">
        <f>A6</f>
        <v>TPE RG-10190</v>
      </c>
      <c r="G6" s="26"/>
      <c r="H6" s="26" t="str">
        <f>C6</f>
        <v/>
      </c>
      <c r="I6" s="27"/>
    </row>
    <row r="7" spans="1:12" s="1" customFormat="1" ht="30" customHeight="1" x14ac:dyDescent="0.25">
      <c r="A7" s="12" t="s">
        <v>4</v>
      </c>
      <c r="B7" s="19" t="s">
        <v>51</v>
      </c>
      <c r="C7" s="19"/>
      <c r="D7" s="20"/>
      <c r="E7" s="4"/>
      <c r="F7" s="12" t="s">
        <v>4</v>
      </c>
      <c r="G7" s="19" t="str">
        <f>B7</f>
        <v>27076, 27724, 27600</v>
      </c>
      <c r="H7" s="19"/>
      <c r="I7" s="20"/>
    </row>
  </sheetData>
  <mergeCells count="10"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70C0"/>
  </sheetPr>
  <dimension ref="A1:L35"/>
  <sheetViews>
    <sheetView view="pageBreakPreview" zoomScaleNormal="100" zoomScaleSheetLayoutView="100" workbookViewId="0">
      <selection activeCell="F1" sqref="F1:I1"/>
    </sheetView>
  </sheetViews>
  <sheetFormatPr defaultRowHeight="15.75" x14ac:dyDescent="0.25"/>
  <cols>
    <col min="1" max="1" width="8.3984375" bestFit="1" customWidth="1"/>
    <col min="2" max="2" width="15.796875" customWidth="1"/>
    <col min="3" max="3" width="12.09765625" bestFit="1" customWidth="1"/>
    <col min="4" max="4" width="14.69921875" customWidth="1"/>
    <col min="5" max="5" width="4.19921875" customWidth="1"/>
    <col min="6" max="6" width="8.3984375" bestFit="1" customWidth="1"/>
    <col min="7" max="7" width="15.796875" customWidth="1"/>
    <col min="8" max="8" width="12.09765625" bestFit="1" customWidth="1"/>
    <col min="9" max="9" width="14.69921875" customWidth="1"/>
  </cols>
  <sheetData>
    <row r="1" spans="1:12" ht="63.75" customHeight="1" x14ac:dyDescent="0.25">
      <c r="A1" s="21" t="s">
        <v>15</v>
      </c>
      <c r="B1" s="21"/>
      <c r="C1" s="21"/>
      <c r="D1" s="21"/>
      <c r="E1" s="2"/>
      <c r="F1" s="21" t="str">
        <f>A1</f>
        <v>Oval DS Top-Fill - Cream Screen</v>
      </c>
      <c r="G1" s="21"/>
      <c r="H1" s="21"/>
      <c r="I1" s="21"/>
    </row>
    <row r="2" spans="1:12" s="1" customFormat="1" ht="30" customHeight="1" x14ac:dyDescent="0.25">
      <c r="A2" s="11" t="s">
        <v>0</v>
      </c>
      <c r="B2" s="10"/>
      <c r="C2" s="11" t="s">
        <v>1</v>
      </c>
      <c r="D2" s="10"/>
      <c r="E2" s="3"/>
      <c r="F2" s="11" t="s">
        <v>0</v>
      </c>
      <c r="G2" s="10"/>
      <c r="H2" s="11" t="s">
        <v>1</v>
      </c>
      <c r="I2" s="10"/>
    </row>
    <row r="3" spans="1:12" s="1" customFormat="1" ht="30" customHeight="1" x14ac:dyDescent="0.25">
      <c r="A3" s="11" t="s">
        <v>2</v>
      </c>
      <c r="B3" s="10"/>
      <c r="C3" s="11" t="s">
        <v>5</v>
      </c>
      <c r="D3" s="7" t="s">
        <v>38</v>
      </c>
      <c r="E3" s="4"/>
      <c r="F3" s="11" t="s">
        <v>2</v>
      </c>
      <c r="G3" s="10"/>
      <c r="H3" s="11" t="s">
        <v>5</v>
      </c>
      <c r="I3" s="7" t="str">
        <f>D3</f>
        <v>35U1-F</v>
      </c>
    </row>
    <row r="4" spans="1:12" s="1" customFormat="1" ht="53.25" customHeight="1" x14ac:dyDescent="0.25">
      <c r="A4" s="8" t="s">
        <v>3</v>
      </c>
      <c r="B4" s="9">
        <v>1</v>
      </c>
      <c r="C4" s="11" t="s">
        <v>6</v>
      </c>
      <c r="D4" s="7" t="s">
        <v>16</v>
      </c>
      <c r="E4" s="4"/>
      <c r="F4" s="8" t="s">
        <v>3</v>
      </c>
      <c r="G4" s="9">
        <v>6</v>
      </c>
      <c r="H4" s="11" t="s">
        <v>6</v>
      </c>
      <c r="I4" s="7" t="str">
        <f>D4</f>
        <v>DS-D02</v>
      </c>
      <c r="K4" s="6" t="s">
        <v>8</v>
      </c>
      <c r="L4" s="6" t="s">
        <v>7</v>
      </c>
    </row>
    <row r="5" spans="1:12" s="1" customFormat="1" ht="30" customHeight="1" x14ac:dyDescent="0.25">
      <c r="A5" s="22" t="s">
        <v>40</v>
      </c>
      <c r="B5" s="23"/>
      <c r="C5" s="23"/>
      <c r="D5" s="24"/>
      <c r="E5" s="5"/>
      <c r="F5" s="22" t="s">
        <v>40</v>
      </c>
      <c r="G5" s="23"/>
      <c r="H5" s="23"/>
      <c r="I5" s="24"/>
      <c r="K5" s="1">
        <v>510</v>
      </c>
      <c r="L5" s="1">
        <v>80</v>
      </c>
    </row>
    <row r="6" spans="1:12" s="1" customFormat="1" ht="30" customHeight="1" x14ac:dyDescent="0.25">
      <c r="A6" s="25" t="s">
        <v>35</v>
      </c>
      <c r="B6" s="26"/>
      <c r="C6" s="26" t="s">
        <v>11</v>
      </c>
      <c r="D6" s="27"/>
      <c r="E6" s="4"/>
      <c r="F6" s="25" t="str">
        <f>A6</f>
        <v>P814</v>
      </c>
      <c r="G6" s="26"/>
      <c r="H6" s="26" t="str">
        <f>C6</f>
        <v>White</v>
      </c>
      <c r="I6" s="27"/>
    </row>
    <row r="7" spans="1:12" s="1" customFormat="1" ht="30" customHeight="1" x14ac:dyDescent="0.25">
      <c r="A7" s="12" t="s">
        <v>4</v>
      </c>
      <c r="B7" s="29" t="s">
        <v>39</v>
      </c>
      <c r="C7" s="29"/>
      <c r="D7" s="30"/>
      <c r="E7" s="4"/>
      <c r="F7" s="12" t="s">
        <v>4</v>
      </c>
      <c r="G7" s="29" t="str">
        <f>B7</f>
        <v>27020, 27071</v>
      </c>
      <c r="H7" s="29"/>
      <c r="I7" s="30"/>
    </row>
    <row r="8" spans="1:12" ht="63.75" customHeight="1" x14ac:dyDescent="0.25">
      <c r="A8" s="21" t="s">
        <v>15</v>
      </c>
      <c r="B8" s="21"/>
      <c r="C8" s="21"/>
      <c r="D8" s="21"/>
      <c r="E8" s="2"/>
      <c r="F8" s="21" t="str">
        <f>A8</f>
        <v>Oval DS Top-Fill - Cream Screen</v>
      </c>
      <c r="G8" s="21"/>
      <c r="H8" s="21"/>
      <c r="I8" s="21"/>
    </row>
    <row r="9" spans="1:12" s="1" customFormat="1" ht="30" customHeight="1" x14ac:dyDescent="0.25">
      <c r="A9" s="11" t="s">
        <v>0</v>
      </c>
      <c r="B9" s="10"/>
      <c r="C9" s="11" t="s">
        <v>1</v>
      </c>
      <c r="D9" s="10"/>
      <c r="E9" s="3"/>
      <c r="F9" s="11" t="s">
        <v>0</v>
      </c>
      <c r="G9" s="10"/>
      <c r="H9" s="11" t="s">
        <v>1</v>
      </c>
      <c r="I9" s="10"/>
    </row>
    <row r="10" spans="1:12" s="1" customFormat="1" ht="30" customHeight="1" x14ac:dyDescent="0.25">
      <c r="A10" s="11" t="s">
        <v>2</v>
      </c>
      <c r="B10" s="10"/>
      <c r="C10" s="11" t="s">
        <v>5</v>
      </c>
      <c r="D10" s="7" t="s">
        <v>38</v>
      </c>
      <c r="E10" s="4"/>
      <c r="F10" s="11" t="s">
        <v>2</v>
      </c>
      <c r="G10" s="10"/>
      <c r="H10" s="11" t="s">
        <v>5</v>
      </c>
      <c r="I10" s="7" t="str">
        <f>D10</f>
        <v>35U1-F</v>
      </c>
    </row>
    <row r="11" spans="1:12" s="1" customFormat="1" ht="53.25" customHeight="1" x14ac:dyDescent="0.25">
      <c r="A11" s="8" t="s">
        <v>3</v>
      </c>
      <c r="B11" s="9">
        <v>2</v>
      </c>
      <c r="C11" s="11" t="s">
        <v>6</v>
      </c>
      <c r="D11" s="7" t="s">
        <v>16</v>
      </c>
      <c r="E11" s="4"/>
      <c r="F11" s="8" t="s">
        <v>3</v>
      </c>
      <c r="G11" s="9">
        <v>7</v>
      </c>
      <c r="H11" s="11" t="s">
        <v>6</v>
      </c>
      <c r="I11" s="7" t="str">
        <f>D11</f>
        <v>DS-D02</v>
      </c>
      <c r="K11" s="6" t="s">
        <v>8</v>
      </c>
      <c r="L11" s="6" t="s">
        <v>7</v>
      </c>
    </row>
    <row r="12" spans="1:12" s="1" customFormat="1" ht="30" customHeight="1" x14ac:dyDescent="0.25">
      <c r="A12" s="22" t="s">
        <v>40</v>
      </c>
      <c r="B12" s="23"/>
      <c r="C12" s="23"/>
      <c r="D12" s="24"/>
      <c r="E12" s="5"/>
      <c r="F12" s="22" t="s">
        <v>40</v>
      </c>
      <c r="G12" s="23"/>
      <c r="H12" s="23"/>
      <c r="I12" s="24"/>
      <c r="K12" s="1">
        <v>510</v>
      </c>
      <c r="L12" s="1">
        <v>80</v>
      </c>
    </row>
    <row r="13" spans="1:12" s="1" customFormat="1" ht="30" customHeight="1" x14ac:dyDescent="0.25">
      <c r="A13" s="25" t="s">
        <v>35</v>
      </c>
      <c r="B13" s="26"/>
      <c r="C13" s="26" t="s">
        <v>11</v>
      </c>
      <c r="D13" s="27"/>
      <c r="E13" s="4"/>
      <c r="F13" s="25" t="str">
        <f>A13</f>
        <v>P814</v>
      </c>
      <c r="G13" s="26"/>
      <c r="H13" s="26" t="str">
        <f>C13</f>
        <v>White</v>
      </c>
      <c r="I13" s="27"/>
    </row>
    <row r="14" spans="1:12" s="1" customFormat="1" ht="30" customHeight="1" x14ac:dyDescent="0.25">
      <c r="A14" s="12" t="s">
        <v>4</v>
      </c>
      <c r="B14" s="29" t="s">
        <v>39</v>
      </c>
      <c r="C14" s="29"/>
      <c r="D14" s="30"/>
      <c r="E14" s="4"/>
      <c r="F14" s="12" t="s">
        <v>4</v>
      </c>
      <c r="G14" s="29" t="str">
        <f>B14</f>
        <v>27020, 27071</v>
      </c>
      <c r="H14" s="29"/>
      <c r="I14" s="30"/>
    </row>
    <row r="15" spans="1:12" ht="63.75" customHeight="1" x14ac:dyDescent="0.25">
      <c r="A15" s="21" t="s">
        <v>15</v>
      </c>
      <c r="B15" s="21"/>
      <c r="C15" s="21"/>
      <c r="D15" s="21"/>
      <c r="E15" s="2"/>
      <c r="F15" s="21" t="str">
        <f>A15</f>
        <v>Oval DS Top-Fill - Cream Screen</v>
      </c>
      <c r="G15" s="21"/>
      <c r="H15" s="21"/>
      <c r="I15" s="21"/>
    </row>
    <row r="16" spans="1:12" s="1" customFormat="1" ht="30" customHeight="1" x14ac:dyDescent="0.25">
      <c r="A16" s="11" t="s">
        <v>0</v>
      </c>
      <c r="B16" s="10"/>
      <c r="C16" s="11" t="s">
        <v>1</v>
      </c>
      <c r="D16" s="10"/>
      <c r="E16" s="3"/>
      <c r="F16" s="11" t="s">
        <v>0</v>
      </c>
      <c r="G16" s="10"/>
      <c r="H16" s="11" t="s">
        <v>1</v>
      </c>
      <c r="I16" s="10"/>
    </row>
    <row r="17" spans="1:12" s="1" customFormat="1" ht="30" customHeight="1" x14ac:dyDescent="0.25">
      <c r="A17" s="11" t="s">
        <v>2</v>
      </c>
      <c r="B17" s="10"/>
      <c r="C17" s="11" t="s">
        <v>5</v>
      </c>
      <c r="D17" s="7" t="s">
        <v>38</v>
      </c>
      <c r="E17" s="4"/>
      <c r="F17" s="11" t="s">
        <v>2</v>
      </c>
      <c r="G17" s="10"/>
      <c r="H17" s="11" t="s">
        <v>5</v>
      </c>
      <c r="I17" s="7" t="str">
        <f>D17</f>
        <v>35U1-F</v>
      </c>
    </row>
    <row r="18" spans="1:12" s="1" customFormat="1" ht="53.25" customHeight="1" x14ac:dyDescent="0.25">
      <c r="A18" s="8" t="s">
        <v>3</v>
      </c>
      <c r="B18" s="9">
        <v>3</v>
      </c>
      <c r="C18" s="11" t="s">
        <v>6</v>
      </c>
      <c r="D18" s="7" t="s">
        <v>16</v>
      </c>
      <c r="E18" s="4"/>
      <c r="F18" s="8" t="s">
        <v>3</v>
      </c>
      <c r="G18" s="9">
        <v>8</v>
      </c>
      <c r="H18" s="11" t="s">
        <v>6</v>
      </c>
      <c r="I18" s="7" t="str">
        <f>D18</f>
        <v>DS-D02</v>
      </c>
      <c r="K18" s="6" t="s">
        <v>8</v>
      </c>
      <c r="L18" s="6" t="s">
        <v>7</v>
      </c>
    </row>
    <row r="19" spans="1:12" s="1" customFormat="1" ht="30" customHeight="1" x14ac:dyDescent="0.25">
      <c r="A19" s="22" t="s">
        <v>40</v>
      </c>
      <c r="B19" s="23"/>
      <c r="C19" s="23"/>
      <c r="D19" s="24"/>
      <c r="E19" s="5"/>
      <c r="F19" s="22" t="s">
        <v>40</v>
      </c>
      <c r="G19" s="23"/>
      <c r="H19" s="23"/>
      <c r="I19" s="24"/>
      <c r="K19" s="1">
        <v>510</v>
      </c>
      <c r="L19" s="1">
        <v>80</v>
      </c>
    </row>
    <row r="20" spans="1:12" s="1" customFormat="1" ht="30" customHeight="1" x14ac:dyDescent="0.25">
      <c r="A20" s="25" t="s">
        <v>35</v>
      </c>
      <c r="B20" s="26"/>
      <c r="C20" s="26" t="s">
        <v>11</v>
      </c>
      <c r="D20" s="27"/>
      <c r="E20" s="4"/>
      <c r="F20" s="25" t="str">
        <f>A20</f>
        <v>P814</v>
      </c>
      <c r="G20" s="26"/>
      <c r="H20" s="26" t="str">
        <f>C20</f>
        <v>White</v>
      </c>
      <c r="I20" s="27"/>
    </row>
    <row r="21" spans="1:12" s="1" customFormat="1" ht="30" customHeight="1" x14ac:dyDescent="0.25">
      <c r="A21" s="12" t="s">
        <v>4</v>
      </c>
      <c r="B21" s="29" t="s">
        <v>39</v>
      </c>
      <c r="C21" s="29"/>
      <c r="D21" s="30"/>
      <c r="E21" s="4"/>
      <c r="F21" s="12" t="s">
        <v>4</v>
      </c>
      <c r="G21" s="29" t="str">
        <f>B21</f>
        <v>27020, 27071</v>
      </c>
      <c r="H21" s="29"/>
      <c r="I21" s="30"/>
    </row>
    <row r="22" spans="1:12" ht="63.75" customHeight="1" x14ac:dyDescent="0.25">
      <c r="A22" s="21" t="s">
        <v>15</v>
      </c>
      <c r="B22" s="21"/>
      <c r="C22" s="21"/>
      <c r="D22" s="21"/>
      <c r="E22" s="2"/>
      <c r="F22" s="21" t="str">
        <f>A22</f>
        <v>Oval DS Top-Fill - Cream Screen</v>
      </c>
      <c r="G22" s="21"/>
      <c r="H22" s="21"/>
      <c r="I22" s="21"/>
    </row>
    <row r="23" spans="1:12" s="1" customFormat="1" ht="30" customHeight="1" x14ac:dyDescent="0.25">
      <c r="A23" s="11" t="s">
        <v>0</v>
      </c>
      <c r="B23" s="10"/>
      <c r="C23" s="11" t="s">
        <v>1</v>
      </c>
      <c r="D23" s="10"/>
      <c r="E23" s="3"/>
      <c r="F23" s="11" t="s">
        <v>0</v>
      </c>
      <c r="G23" s="10"/>
      <c r="H23" s="11" t="s">
        <v>1</v>
      </c>
      <c r="I23" s="10"/>
    </row>
    <row r="24" spans="1:12" s="1" customFormat="1" ht="30" customHeight="1" x14ac:dyDescent="0.25">
      <c r="A24" s="11" t="s">
        <v>2</v>
      </c>
      <c r="B24" s="10"/>
      <c r="C24" s="11" t="s">
        <v>5</v>
      </c>
      <c r="D24" s="7" t="s">
        <v>38</v>
      </c>
      <c r="E24" s="4"/>
      <c r="F24" s="11" t="s">
        <v>2</v>
      </c>
      <c r="G24" s="10"/>
      <c r="H24" s="11" t="s">
        <v>5</v>
      </c>
      <c r="I24" s="7" t="str">
        <f>D24</f>
        <v>35U1-F</v>
      </c>
    </row>
    <row r="25" spans="1:12" s="1" customFormat="1" ht="53.25" customHeight="1" x14ac:dyDescent="0.25">
      <c r="A25" s="8" t="s">
        <v>3</v>
      </c>
      <c r="B25" s="9">
        <v>4</v>
      </c>
      <c r="C25" s="11" t="s">
        <v>6</v>
      </c>
      <c r="D25" s="7" t="s">
        <v>16</v>
      </c>
      <c r="E25" s="4"/>
      <c r="F25" s="8" t="s">
        <v>3</v>
      </c>
      <c r="G25" s="9">
        <v>9</v>
      </c>
      <c r="H25" s="11" t="s">
        <v>6</v>
      </c>
      <c r="I25" s="7" t="str">
        <f>D25</f>
        <v>DS-D02</v>
      </c>
      <c r="K25" s="6" t="s">
        <v>8</v>
      </c>
      <c r="L25" s="6" t="s">
        <v>7</v>
      </c>
    </row>
    <row r="26" spans="1:12" s="1" customFormat="1" ht="30" customHeight="1" x14ac:dyDescent="0.25">
      <c r="A26" s="22" t="s">
        <v>40</v>
      </c>
      <c r="B26" s="23"/>
      <c r="C26" s="23"/>
      <c r="D26" s="24"/>
      <c r="E26" s="5"/>
      <c r="F26" s="22" t="s">
        <v>40</v>
      </c>
      <c r="G26" s="23"/>
      <c r="H26" s="23"/>
      <c r="I26" s="24"/>
      <c r="K26" s="1">
        <v>510</v>
      </c>
      <c r="L26" s="1">
        <v>80</v>
      </c>
    </row>
    <row r="27" spans="1:12" s="1" customFormat="1" ht="30" customHeight="1" x14ac:dyDescent="0.25">
      <c r="A27" s="25" t="s">
        <v>35</v>
      </c>
      <c r="B27" s="26"/>
      <c r="C27" s="26" t="s">
        <v>11</v>
      </c>
      <c r="D27" s="27"/>
      <c r="E27" s="4"/>
      <c r="F27" s="25" t="str">
        <f>A27</f>
        <v>P814</v>
      </c>
      <c r="G27" s="26"/>
      <c r="H27" s="26" t="str">
        <f>C27</f>
        <v>White</v>
      </c>
      <c r="I27" s="27"/>
    </row>
    <row r="28" spans="1:12" s="1" customFormat="1" ht="30" customHeight="1" x14ac:dyDescent="0.25">
      <c r="A28" s="12" t="s">
        <v>4</v>
      </c>
      <c r="B28" s="29" t="s">
        <v>39</v>
      </c>
      <c r="C28" s="29"/>
      <c r="D28" s="30"/>
      <c r="E28" s="4"/>
      <c r="F28" s="12" t="s">
        <v>4</v>
      </c>
      <c r="G28" s="29" t="str">
        <f>B28</f>
        <v>27020, 27071</v>
      </c>
      <c r="H28" s="29"/>
      <c r="I28" s="30"/>
    </row>
    <row r="29" spans="1:12" ht="63.75" customHeight="1" x14ac:dyDescent="0.25">
      <c r="A29" s="21" t="s">
        <v>15</v>
      </c>
      <c r="B29" s="21"/>
      <c r="C29" s="21"/>
      <c r="D29" s="21"/>
      <c r="E29" s="2"/>
      <c r="F29" s="21" t="str">
        <f>A29</f>
        <v>Oval DS Top-Fill - Cream Screen</v>
      </c>
      <c r="G29" s="21"/>
      <c r="H29" s="21"/>
      <c r="I29" s="21"/>
    </row>
    <row r="30" spans="1:12" s="1" customFormat="1" ht="30" customHeight="1" x14ac:dyDescent="0.25">
      <c r="A30" s="11" t="s">
        <v>0</v>
      </c>
      <c r="B30" s="10"/>
      <c r="C30" s="11" t="s">
        <v>1</v>
      </c>
      <c r="D30" s="10"/>
      <c r="E30" s="3"/>
      <c r="F30" s="11" t="s">
        <v>0</v>
      </c>
      <c r="G30" s="10"/>
      <c r="H30" s="11" t="s">
        <v>1</v>
      </c>
      <c r="I30" s="10"/>
    </row>
    <row r="31" spans="1:12" s="1" customFormat="1" ht="30" customHeight="1" x14ac:dyDescent="0.25">
      <c r="A31" s="11" t="s">
        <v>2</v>
      </c>
      <c r="B31" s="10"/>
      <c r="C31" s="11" t="s">
        <v>5</v>
      </c>
      <c r="D31" s="7" t="s">
        <v>38</v>
      </c>
      <c r="E31" s="4"/>
      <c r="F31" s="11" t="s">
        <v>2</v>
      </c>
      <c r="G31" s="10"/>
      <c r="H31" s="11" t="s">
        <v>5</v>
      </c>
      <c r="I31" s="7" t="str">
        <f>D31</f>
        <v>35U1-F</v>
      </c>
    </row>
    <row r="32" spans="1:12" s="1" customFormat="1" ht="53.25" customHeight="1" x14ac:dyDescent="0.25">
      <c r="A32" s="8" t="s">
        <v>3</v>
      </c>
      <c r="B32" s="9">
        <v>5</v>
      </c>
      <c r="C32" s="11" t="s">
        <v>6</v>
      </c>
      <c r="D32" s="7" t="s">
        <v>16</v>
      </c>
      <c r="E32" s="4"/>
      <c r="F32" s="8" t="s">
        <v>3</v>
      </c>
      <c r="G32" s="9">
        <v>10</v>
      </c>
      <c r="H32" s="11" t="s">
        <v>6</v>
      </c>
      <c r="I32" s="7" t="str">
        <f>D32</f>
        <v>DS-D02</v>
      </c>
      <c r="K32" s="6" t="s">
        <v>8</v>
      </c>
      <c r="L32" s="6" t="s">
        <v>7</v>
      </c>
    </row>
    <row r="33" spans="1:12" s="1" customFormat="1" ht="30" customHeight="1" x14ac:dyDescent="0.25">
      <c r="A33" s="22" t="s">
        <v>40</v>
      </c>
      <c r="B33" s="23"/>
      <c r="C33" s="23"/>
      <c r="D33" s="24"/>
      <c r="E33" s="5"/>
      <c r="F33" s="22" t="s">
        <v>40</v>
      </c>
      <c r="G33" s="23"/>
      <c r="H33" s="23"/>
      <c r="I33" s="24"/>
      <c r="K33" s="1">
        <v>510</v>
      </c>
      <c r="L33" s="1">
        <v>80</v>
      </c>
    </row>
    <row r="34" spans="1:12" s="1" customFormat="1" ht="30" customHeight="1" x14ac:dyDescent="0.25">
      <c r="A34" s="25" t="s">
        <v>35</v>
      </c>
      <c r="B34" s="26"/>
      <c r="C34" s="26" t="s">
        <v>11</v>
      </c>
      <c r="D34" s="27"/>
      <c r="E34" s="4"/>
      <c r="F34" s="25" t="str">
        <f>A34</f>
        <v>P814</v>
      </c>
      <c r="G34" s="26"/>
      <c r="H34" s="26" t="str">
        <f>C34</f>
        <v>White</v>
      </c>
      <c r="I34" s="27"/>
    </row>
    <row r="35" spans="1:12" s="1" customFormat="1" ht="30" customHeight="1" x14ac:dyDescent="0.25">
      <c r="A35" s="12" t="s">
        <v>4</v>
      </c>
      <c r="B35" s="29" t="s">
        <v>39</v>
      </c>
      <c r="C35" s="29"/>
      <c r="D35" s="30"/>
      <c r="E35" s="4"/>
      <c r="F35" s="12" t="s">
        <v>4</v>
      </c>
      <c r="G35" s="29" t="str">
        <f>B35</f>
        <v>27020, 27071</v>
      </c>
      <c r="H35" s="29"/>
      <c r="I35" s="30"/>
    </row>
  </sheetData>
  <mergeCells count="50">
    <mergeCell ref="A34:B34"/>
    <mergeCell ref="C34:D34"/>
    <mergeCell ref="F34:G34"/>
    <mergeCell ref="H34:I34"/>
    <mergeCell ref="B35:D35"/>
    <mergeCell ref="G35:I35"/>
    <mergeCell ref="B28:D28"/>
    <mergeCell ref="G28:I28"/>
    <mergeCell ref="A29:D29"/>
    <mergeCell ref="F29:I29"/>
    <mergeCell ref="A33:D33"/>
    <mergeCell ref="F33:I33"/>
    <mergeCell ref="A22:D22"/>
    <mergeCell ref="F22:I22"/>
    <mergeCell ref="A26:D26"/>
    <mergeCell ref="F26:I26"/>
    <mergeCell ref="A27:B27"/>
    <mergeCell ref="C27:D27"/>
    <mergeCell ref="F27:G27"/>
    <mergeCell ref="H27:I27"/>
    <mergeCell ref="A8:D8"/>
    <mergeCell ref="F8:I8"/>
    <mergeCell ref="A15:D15"/>
    <mergeCell ref="F15:I15"/>
    <mergeCell ref="A19:D19"/>
    <mergeCell ref="F19:I19"/>
    <mergeCell ref="B14:D14"/>
    <mergeCell ref="G14:I14"/>
    <mergeCell ref="A12:D12"/>
    <mergeCell ref="F12:I12"/>
    <mergeCell ref="A13:B13"/>
    <mergeCell ref="C13:D13"/>
    <mergeCell ref="F13:G13"/>
    <mergeCell ref="H13:I13"/>
    <mergeCell ref="A20:B20"/>
    <mergeCell ref="C20:D20"/>
    <mergeCell ref="F20:G20"/>
    <mergeCell ref="H20:I20"/>
    <mergeCell ref="B21:D21"/>
    <mergeCell ref="G21:I21"/>
    <mergeCell ref="B7:D7"/>
    <mergeCell ref="G7:I7"/>
    <mergeCell ref="A1:D1"/>
    <mergeCell ref="F1:I1"/>
    <mergeCell ref="A5:D5"/>
    <mergeCell ref="F5:I5"/>
    <mergeCell ref="A6:B6"/>
    <mergeCell ref="C6:D6"/>
    <mergeCell ref="F6:G6"/>
    <mergeCell ref="H6:I6"/>
  </mergeCells>
  <pageMargins left="0.19685039370078741" right="0" top="0.19685039370078741" bottom="0.19685039370078741" header="0" footer="0"/>
  <pageSetup paperSize="260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DSTF_18B_Barrel</vt:lpstr>
      <vt:lpstr>DSTF_09A_Platform</vt:lpstr>
      <vt:lpstr>DSTF_19A_Cartridge</vt:lpstr>
      <vt:lpstr>DSTF_11A_Screw</vt:lpstr>
      <vt:lpstr>DSTF_23A_Wheel</vt:lpstr>
      <vt:lpstr>DSTF_19B_Cap</vt:lpstr>
      <vt:lpstr>DSTF_35U1F_InnerCap</vt:lpstr>
      <vt:lpstr>DSTF_23B_CreamScreen</vt:lpstr>
      <vt:lpstr>DSTF_09A_Platform!Print_Area</vt:lpstr>
      <vt:lpstr>DSTF_11A_Screw!Print_Area</vt:lpstr>
      <vt:lpstr>DSTF_18B_Barrel!Print_Area</vt:lpstr>
      <vt:lpstr>DSTF_19A_Cartridge!Print_Area</vt:lpstr>
      <vt:lpstr>DSTF_19B_Cap!Print_Area</vt:lpstr>
      <vt:lpstr>DSTF_23A_Wheel!Print_Area</vt:lpstr>
      <vt:lpstr>DSTF_23B_CreamScreen!Print_Area</vt:lpstr>
      <vt:lpstr>DSTF_35U1F_InnerCap!Print_Area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2024-05-03T20:28:06Z</cp:lastPrinted>
  <dcterms:created xsi:type="dcterms:W3CDTF">2023-03-08T16:50:21Z</dcterms:created>
  <dcterms:modified xsi:type="dcterms:W3CDTF">2024-05-03T20:36:42Z</dcterms:modified>
</cp:coreProperties>
</file>