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75" yWindow="2505" windowWidth="15600" windowHeight="8010" tabRatio="700" activeTab="5"/>
  </bookViews>
  <sheets>
    <sheet name="DEO_InnerDome" sheetId="31" r:id="rId1"/>
    <sheet name="DEO_Platform" sheetId="32" r:id="rId2"/>
    <sheet name="DEO_Screw" sheetId="33" r:id="rId3"/>
    <sheet name="DEO_02C_Cap" sheetId="9" r:id="rId4"/>
    <sheet name="DEO_03C_Barrel" sheetId="14" r:id="rId5"/>
    <sheet name="DEO_08B_InnerDome" sheetId="17" r:id="rId6"/>
    <sheet name="DEO_09B_Platform" sheetId="16" r:id="rId7"/>
    <sheet name="DEO_04B_Screw" sheetId="15" r:id="rId8"/>
    <sheet name="DEO_16B_Cap" sheetId="18" r:id="rId9"/>
    <sheet name="DEO_17B_Barrel" sheetId="19" r:id="rId10"/>
    <sheet name="DEO_12A_InnerDome" sheetId="22" r:id="rId11"/>
    <sheet name="DEO_06B_Platform" sheetId="21" r:id="rId12"/>
    <sheet name="DEO_13B_Screw" sheetId="20" r:id="rId13"/>
    <sheet name="DEO_14A_Cap (2)" sheetId="41" r:id="rId14"/>
    <sheet name="DEO_20B_Cap" sheetId="23" r:id="rId15"/>
    <sheet name="DEO_21B_Barrel" sheetId="24" r:id="rId16"/>
    <sheet name="DEO_XXX_InnerDome" sheetId="27" r:id="rId17"/>
    <sheet name="DEO_XXX_Platform" sheetId="26" r:id="rId18"/>
    <sheet name="DEO_XXX_Screw" sheetId="25" r:id="rId19"/>
    <sheet name="DEO_02B_Plug" sheetId="28" r:id="rId20"/>
    <sheet name="DEO_07B_Plug" sheetId="29" r:id="rId21"/>
    <sheet name="DEO_35U1F_Plug" sheetId="39" r:id="rId22"/>
    <sheet name="DEO_35U1F_Stopper" sheetId="34" r:id="rId23"/>
    <sheet name="DEO_Frida_Cap" sheetId="36" r:id="rId24"/>
    <sheet name="DEO_Frida_InnerDome" sheetId="35" r:id="rId25"/>
    <sheet name="TDEO_19B_Cap" sheetId="38" r:id="rId26"/>
    <sheet name="TDEO_21A_Screw" sheetId="40" r:id="rId27"/>
    <sheet name="TDEO_18B_Barrel" sheetId="37" r:id="rId28"/>
  </sheets>
  <functionGroups builtInGroupCount="17"/>
  <definedNames>
    <definedName name="_xlnm.Print_Area" localSheetId="19">DEO_02B_Plug!$A$1:$I$7</definedName>
    <definedName name="_xlnm.Print_Area" localSheetId="3">DEO_02C_Cap!$A$1:$I$14</definedName>
    <definedName name="_xlnm.Print_Area" localSheetId="4">DEO_03C_Barrel!$A$1:$I$35</definedName>
    <definedName name="_xlnm.Print_Area" localSheetId="7">DEO_04B_Screw!$A$1:$I$7</definedName>
    <definedName name="_xlnm.Print_Area" localSheetId="11">DEO_06B_Platform!$A$1:$I$21</definedName>
    <definedName name="_xlnm.Print_Area" localSheetId="20">DEO_07B_Plug!$A$1:$I$28</definedName>
    <definedName name="_xlnm.Print_Area" localSheetId="5">DEO_08B_InnerDome!$A$1:$I$70</definedName>
    <definedName name="_xlnm.Print_Area" localSheetId="6">DEO_09B_Platform!$A$1:$I$70</definedName>
    <definedName name="_xlnm.Print_Area" localSheetId="10">DEO_12A_InnerDome!$A$1:$I$7</definedName>
    <definedName name="_xlnm.Print_Area" localSheetId="12">DEO_13B_Screw!$A$1:$I$70</definedName>
    <definedName name="_xlnm.Print_Area" localSheetId="13">'DEO_14A_Cap (2)'!$A$1:$I$14</definedName>
    <definedName name="_xlnm.Print_Area" localSheetId="8">DEO_16B_Cap!$A$1:$I$49</definedName>
    <definedName name="_xlnm.Print_Area" localSheetId="9">DEO_17B_Barrel!$A$1:$I$161</definedName>
    <definedName name="_xlnm.Print_Area" localSheetId="14">DEO_20B_Cap!$A$1:$I$14</definedName>
    <definedName name="_xlnm.Print_Area" localSheetId="15">DEO_21B_Barrel!$A$1:$I$35</definedName>
    <definedName name="_xlnm.Print_Area" localSheetId="21">DEO_35U1F_Plug!$A$1:$I$49</definedName>
    <definedName name="_xlnm.Print_Area" localSheetId="22">DEO_35U1F_Stopper!$A$1:$I$7</definedName>
    <definedName name="_xlnm.Print_Area" localSheetId="23">DEO_Frida_Cap!$A$1:$I$7</definedName>
    <definedName name="_xlnm.Print_Area" localSheetId="24">DEO_Frida_InnerDome!$A$1:$I$7</definedName>
    <definedName name="_xlnm.Print_Area" localSheetId="0">DEO_InnerDome!$A$1:$I$14</definedName>
    <definedName name="_xlnm.Print_Area" localSheetId="1">DEO_Platform!$A$1:$I$14</definedName>
    <definedName name="_xlnm.Print_Area" localSheetId="2">DEO_Screw!$A$1:$I$84</definedName>
    <definedName name="_xlnm.Print_Area" localSheetId="16">DEO_XXX_InnerDome!$A$1:$I$7</definedName>
    <definedName name="_xlnm.Print_Area" localSheetId="17">DEO_XXX_Platform!$A$1:$I$35</definedName>
    <definedName name="_xlnm.Print_Area" localSheetId="18">DEO_XXX_Screw!$A$1:$I$7</definedName>
    <definedName name="_xlnm.Print_Area" localSheetId="27">TDEO_18B_Barrel!$A$1:$I$1050</definedName>
    <definedName name="_xlnm.Print_Area" localSheetId="25">TDEO_19B_Cap!$A$1:$I$378</definedName>
    <definedName name="_xlnm.Print_Area" localSheetId="26">TDEO_21A_Screw!$A$1:$I$280</definedName>
  </definedNames>
  <calcPr calcId="145621" iterate="1" iterateCount="5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0" i="17" l="1"/>
  <c r="H69" i="17"/>
  <c r="F69" i="17"/>
  <c r="I67" i="17"/>
  <c r="I66" i="17"/>
  <c r="F64" i="17"/>
  <c r="G63" i="17"/>
  <c r="H62" i="17"/>
  <c r="F62" i="17"/>
  <c r="I60" i="17"/>
  <c r="I59" i="17"/>
  <c r="F57" i="17"/>
  <c r="G56" i="17"/>
  <c r="H55" i="17"/>
  <c r="F55" i="17"/>
  <c r="I53" i="17"/>
  <c r="I52" i="17"/>
  <c r="F50" i="17"/>
  <c r="G49" i="17"/>
  <c r="H48" i="17"/>
  <c r="F48" i="17"/>
  <c r="I46" i="17"/>
  <c r="I45" i="17"/>
  <c r="F43" i="17"/>
  <c r="G42" i="17"/>
  <c r="H41" i="17"/>
  <c r="F41" i="17"/>
  <c r="I39" i="17"/>
  <c r="I38" i="17"/>
  <c r="F36" i="17"/>
  <c r="G35" i="17"/>
  <c r="H34" i="17"/>
  <c r="F34" i="17"/>
  <c r="I32" i="17"/>
  <c r="I31" i="17"/>
  <c r="F29" i="17"/>
  <c r="G28" i="17"/>
  <c r="H27" i="17"/>
  <c r="F27" i="17"/>
  <c r="I25" i="17"/>
  <c r="I24" i="17"/>
  <c r="F22" i="17"/>
  <c r="G21" i="17"/>
  <c r="H20" i="17"/>
  <c r="F20" i="17"/>
  <c r="I18" i="17"/>
  <c r="I17" i="17"/>
  <c r="F15" i="17"/>
  <c r="G14" i="17"/>
  <c r="H13" i="17"/>
  <c r="F13" i="17"/>
  <c r="I11" i="17"/>
  <c r="I10" i="17"/>
  <c r="F8" i="17"/>
  <c r="G14" i="31" l="1"/>
  <c r="H13" i="31"/>
  <c r="F13" i="31"/>
  <c r="I11" i="31"/>
  <c r="I10" i="31"/>
  <c r="F8" i="31"/>
  <c r="G378" i="38" l="1"/>
  <c r="H377" i="38"/>
  <c r="F377" i="38"/>
  <c r="I375" i="38"/>
  <c r="I374" i="38"/>
  <c r="F372" i="38"/>
  <c r="G371" i="38"/>
  <c r="H370" i="38"/>
  <c r="F370" i="38"/>
  <c r="I368" i="38"/>
  <c r="I367" i="38"/>
  <c r="F365" i="38"/>
  <c r="G364" i="38"/>
  <c r="H363" i="38"/>
  <c r="F363" i="38"/>
  <c r="I361" i="38"/>
  <c r="I360" i="38"/>
  <c r="F358" i="38"/>
  <c r="G357" i="38"/>
  <c r="H356" i="38"/>
  <c r="F356" i="38"/>
  <c r="I354" i="38"/>
  <c r="I353" i="38"/>
  <c r="F351" i="38"/>
  <c r="G350" i="38"/>
  <c r="H349" i="38"/>
  <c r="F349" i="38"/>
  <c r="I347" i="38"/>
  <c r="I346" i="38"/>
  <c r="F344" i="38"/>
  <c r="G343" i="38"/>
  <c r="H342" i="38"/>
  <c r="F342" i="38"/>
  <c r="I340" i="38"/>
  <c r="I339" i="38"/>
  <c r="F337" i="38"/>
  <c r="G336" i="38"/>
  <c r="H335" i="38"/>
  <c r="F335" i="38"/>
  <c r="I333" i="38"/>
  <c r="I332" i="38"/>
  <c r="F330" i="38"/>
  <c r="G329" i="38"/>
  <c r="H328" i="38"/>
  <c r="F328" i="38"/>
  <c r="I326" i="38"/>
  <c r="I325" i="38"/>
  <c r="F323" i="38"/>
  <c r="G322" i="38"/>
  <c r="H321" i="38"/>
  <c r="F321" i="38"/>
  <c r="I319" i="38"/>
  <c r="I318" i="38"/>
  <c r="F316" i="38"/>
  <c r="G315" i="38"/>
  <c r="H314" i="38"/>
  <c r="F314" i="38"/>
  <c r="I312" i="38"/>
  <c r="I311" i="38"/>
  <c r="F309" i="38"/>
  <c r="G308" i="38"/>
  <c r="H307" i="38"/>
  <c r="F307" i="38"/>
  <c r="I305" i="38"/>
  <c r="I304" i="38"/>
  <c r="F302" i="38"/>
  <c r="G301" i="38"/>
  <c r="H300" i="38"/>
  <c r="F300" i="38"/>
  <c r="I298" i="38"/>
  <c r="I297" i="38"/>
  <c r="F295" i="38"/>
  <c r="G294" i="38"/>
  <c r="H293" i="38"/>
  <c r="F293" i="38"/>
  <c r="I291" i="38"/>
  <c r="I290" i="38"/>
  <c r="F288" i="38"/>
  <c r="G287" i="38"/>
  <c r="H286" i="38"/>
  <c r="F286" i="38"/>
  <c r="I284" i="38"/>
  <c r="I283" i="38"/>
  <c r="F281" i="38"/>
  <c r="G280" i="38"/>
  <c r="H279" i="38"/>
  <c r="F279" i="38"/>
  <c r="I277" i="38"/>
  <c r="I276" i="38"/>
  <c r="F274" i="38"/>
  <c r="G273" i="38"/>
  <c r="H272" i="38"/>
  <c r="F272" i="38"/>
  <c r="I270" i="38"/>
  <c r="I269" i="38"/>
  <c r="F267" i="38"/>
  <c r="G266" i="38"/>
  <c r="H265" i="38"/>
  <c r="F265" i="38"/>
  <c r="I263" i="38"/>
  <c r="I262" i="38"/>
  <c r="F260" i="38"/>
  <c r="G259" i="38"/>
  <c r="H258" i="38"/>
  <c r="F258" i="38"/>
  <c r="I256" i="38"/>
  <c r="I255" i="38"/>
  <c r="F253" i="38"/>
  <c r="G252" i="38"/>
  <c r="H251" i="38"/>
  <c r="F251" i="38"/>
  <c r="I249" i="38"/>
  <c r="I248" i="38"/>
  <c r="F246" i="38"/>
  <c r="G245" i="38"/>
  <c r="H244" i="38"/>
  <c r="F244" i="38"/>
  <c r="I242" i="38"/>
  <c r="I241" i="38"/>
  <c r="F239" i="38"/>
  <c r="G238" i="38"/>
  <c r="H237" i="38"/>
  <c r="F237" i="38"/>
  <c r="I235" i="38"/>
  <c r="I234" i="38"/>
  <c r="F232" i="38"/>
  <c r="G231" i="38"/>
  <c r="H230" i="38"/>
  <c r="F230" i="38"/>
  <c r="I228" i="38"/>
  <c r="I227" i="38"/>
  <c r="F225" i="38"/>
  <c r="G224" i="38"/>
  <c r="H223" i="38"/>
  <c r="F223" i="38"/>
  <c r="I221" i="38"/>
  <c r="I220" i="38"/>
  <c r="F218" i="38"/>
  <c r="G217" i="38"/>
  <c r="H216" i="38"/>
  <c r="F216" i="38"/>
  <c r="I214" i="38"/>
  <c r="I213" i="38"/>
  <c r="F211" i="38"/>
  <c r="G210" i="38"/>
  <c r="H209" i="38"/>
  <c r="F209" i="38"/>
  <c r="I207" i="38"/>
  <c r="I206" i="38"/>
  <c r="F204" i="38"/>
  <c r="G203" i="38"/>
  <c r="H202" i="38"/>
  <c r="F202" i="38"/>
  <c r="I200" i="38"/>
  <c r="I199" i="38"/>
  <c r="F197" i="38"/>
  <c r="G196" i="38"/>
  <c r="H195" i="38"/>
  <c r="F195" i="38"/>
  <c r="I193" i="38"/>
  <c r="I192" i="38"/>
  <c r="F190" i="38"/>
  <c r="G189" i="38"/>
  <c r="H188" i="38"/>
  <c r="F188" i="38"/>
  <c r="I186" i="38"/>
  <c r="I185" i="38"/>
  <c r="F183" i="38"/>
  <c r="G182" i="38"/>
  <c r="H181" i="38"/>
  <c r="F181" i="38"/>
  <c r="I179" i="38"/>
  <c r="I178" i="38"/>
  <c r="F176" i="38"/>
  <c r="G175" i="38"/>
  <c r="H174" i="38"/>
  <c r="F174" i="38"/>
  <c r="I172" i="38"/>
  <c r="I171" i="38"/>
  <c r="F169" i="38"/>
  <c r="G168" i="38"/>
  <c r="H167" i="38"/>
  <c r="F167" i="38"/>
  <c r="I165" i="38"/>
  <c r="I164" i="38"/>
  <c r="F162" i="38"/>
  <c r="G161" i="38"/>
  <c r="H160" i="38"/>
  <c r="F160" i="38"/>
  <c r="I158" i="38"/>
  <c r="I157" i="38"/>
  <c r="F155" i="38"/>
  <c r="G154" i="38"/>
  <c r="H153" i="38"/>
  <c r="F153" i="38"/>
  <c r="I151" i="38"/>
  <c r="I150" i="38"/>
  <c r="F148" i="38"/>
  <c r="G147" i="38"/>
  <c r="H146" i="38"/>
  <c r="F146" i="38"/>
  <c r="I144" i="38"/>
  <c r="I143" i="38"/>
  <c r="F141" i="38"/>
  <c r="G140" i="38"/>
  <c r="H139" i="38"/>
  <c r="F139" i="38"/>
  <c r="I137" i="38"/>
  <c r="I136" i="38"/>
  <c r="F134" i="38"/>
  <c r="G133" i="38"/>
  <c r="H132" i="38"/>
  <c r="F132" i="38"/>
  <c r="I130" i="38"/>
  <c r="I129" i="38"/>
  <c r="F127" i="38"/>
  <c r="G126" i="38"/>
  <c r="H125" i="38"/>
  <c r="F125" i="38"/>
  <c r="I123" i="38"/>
  <c r="I122" i="38"/>
  <c r="F120" i="38"/>
  <c r="G119" i="38"/>
  <c r="H118" i="38"/>
  <c r="F118" i="38"/>
  <c r="I116" i="38"/>
  <c r="I115" i="38"/>
  <c r="F113" i="38"/>
  <c r="G112" i="38"/>
  <c r="H111" i="38"/>
  <c r="F111" i="38"/>
  <c r="I109" i="38"/>
  <c r="I108" i="38"/>
  <c r="F106" i="38"/>
  <c r="G105" i="38"/>
  <c r="H104" i="38"/>
  <c r="F104" i="38"/>
  <c r="I102" i="38"/>
  <c r="I101" i="38"/>
  <c r="F99" i="38"/>
  <c r="G98" i="38"/>
  <c r="H97" i="38"/>
  <c r="F97" i="38"/>
  <c r="I95" i="38"/>
  <c r="I94" i="38"/>
  <c r="F92" i="38"/>
  <c r="G91" i="38"/>
  <c r="H90" i="38"/>
  <c r="F90" i="38"/>
  <c r="I88" i="38"/>
  <c r="I87" i="38"/>
  <c r="F85" i="38"/>
  <c r="G84" i="38"/>
  <c r="H83" i="38"/>
  <c r="F83" i="38"/>
  <c r="I81" i="38"/>
  <c r="I80" i="38"/>
  <c r="F78" i="38"/>
  <c r="G77" i="38"/>
  <c r="H76" i="38"/>
  <c r="F76" i="38"/>
  <c r="I74" i="38"/>
  <c r="I73" i="38"/>
  <c r="F71" i="38"/>
  <c r="G70" i="38"/>
  <c r="H69" i="38"/>
  <c r="F69" i="38"/>
  <c r="I67" i="38"/>
  <c r="I66" i="38"/>
  <c r="F64" i="38"/>
  <c r="G63" i="38"/>
  <c r="H62" i="38"/>
  <c r="F62" i="38"/>
  <c r="I60" i="38"/>
  <c r="I59" i="38"/>
  <c r="F57" i="38"/>
  <c r="G56" i="38"/>
  <c r="H55" i="38"/>
  <c r="F55" i="38"/>
  <c r="I53" i="38"/>
  <c r="I52" i="38"/>
  <c r="F50" i="38"/>
  <c r="G49" i="38"/>
  <c r="H48" i="38"/>
  <c r="F48" i="38"/>
  <c r="I46" i="38"/>
  <c r="I45" i="38"/>
  <c r="F43" i="38"/>
  <c r="G42" i="38"/>
  <c r="H41" i="38"/>
  <c r="F41" i="38"/>
  <c r="I39" i="38"/>
  <c r="I38" i="38"/>
  <c r="F36" i="38"/>
  <c r="G35" i="38"/>
  <c r="H34" i="38"/>
  <c r="F34" i="38"/>
  <c r="I32" i="38"/>
  <c r="I31" i="38"/>
  <c r="F29" i="38"/>
  <c r="G28" i="38"/>
  <c r="H27" i="38"/>
  <c r="F27" i="38"/>
  <c r="I25" i="38"/>
  <c r="I24" i="38"/>
  <c r="F22" i="38"/>
  <c r="G21" i="38"/>
  <c r="H20" i="38"/>
  <c r="F20" i="38"/>
  <c r="I18" i="38"/>
  <c r="I17" i="38"/>
  <c r="F15" i="38"/>
  <c r="G14" i="38"/>
  <c r="H13" i="38"/>
  <c r="F13" i="38"/>
  <c r="I11" i="38"/>
  <c r="I10" i="38"/>
  <c r="F8" i="38"/>
  <c r="G35" i="14" l="1"/>
  <c r="H34" i="14"/>
  <c r="F34" i="14"/>
  <c r="I32" i="14"/>
  <c r="I31" i="14"/>
  <c r="F29" i="14"/>
  <c r="G28" i="14"/>
  <c r="H27" i="14"/>
  <c r="F27" i="14"/>
  <c r="I25" i="14"/>
  <c r="I24" i="14"/>
  <c r="F22" i="14"/>
  <c r="G21" i="14"/>
  <c r="H20" i="14"/>
  <c r="F20" i="14"/>
  <c r="I18" i="14"/>
  <c r="I17" i="14"/>
  <c r="F15" i="14"/>
  <c r="G14" i="14"/>
  <c r="H13" i="14"/>
  <c r="F13" i="14"/>
  <c r="I11" i="14"/>
  <c r="I10" i="14"/>
  <c r="F8" i="14"/>
  <c r="G14" i="9"/>
  <c r="H13" i="9"/>
  <c r="F13" i="9"/>
  <c r="I11" i="9"/>
  <c r="I10" i="9"/>
  <c r="F8" i="9"/>
  <c r="G35" i="24"/>
  <c r="H34" i="24"/>
  <c r="F34" i="24"/>
  <c r="I32" i="24"/>
  <c r="I31" i="24"/>
  <c r="F29" i="24"/>
  <c r="G28" i="24"/>
  <c r="H27" i="24"/>
  <c r="F27" i="24"/>
  <c r="I25" i="24"/>
  <c r="I24" i="24"/>
  <c r="F22" i="24"/>
  <c r="G21" i="24"/>
  <c r="H20" i="24"/>
  <c r="F20" i="24"/>
  <c r="I18" i="24"/>
  <c r="I17" i="24"/>
  <c r="F15" i="24"/>
  <c r="G14" i="24"/>
  <c r="H13" i="24"/>
  <c r="F13" i="24"/>
  <c r="I11" i="24"/>
  <c r="I10" i="24"/>
  <c r="F8" i="24"/>
  <c r="G14" i="23"/>
  <c r="H13" i="23"/>
  <c r="F13" i="23"/>
  <c r="I11" i="23"/>
  <c r="I10" i="23"/>
  <c r="F8" i="23"/>
  <c r="G21" i="21"/>
  <c r="H20" i="21"/>
  <c r="F20" i="21"/>
  <c r="I18" i="21"/>
  <c r="I17" i="21"/>
  <c r="F15" i="21"/>
  <c r="G14" i="21"/>
  <c r="H13" i="21"/>
  <c r="F13" i="21"/>
  <c r="I11" i="21"/>
  <c r="I10" i="21"/>
  <c r="F8" i="21"/>
  <c r="G70" i="16" l="1"/>
  <c r="H69" i="16"/>
  <c r="F69" i="16"/>
  <c r="I67" i="16"/>
  <c r="I66" i="16"/>
  <c r="F64" i="16"/>
  <c r="G63" i="16"/>
  <c r="H62" i="16"/>
  <c r="F62" i="16"/>
  <c r="I60" i="16"/>
  <c r="I59" i="16"/>
  <c r="F57" i="16"/>
  <c r="G56" i="16"/>
  <c r="H55" i="16"/>
  <c r="F55" i="16"/>
  <c r="I53" i="16"/>
  <c r="I52" i="16"/>
  <c r="F50" i="16"/>
  <c r="G49" i="16"/>
  <c r="H48" i="16"/>
  <c r="F48" i="16"/>
  <c r="I46" i="16"/>
  <c r="I45" i="16"/>
  <c r="F43" i="16"/>
  <c r="G42" i="16"/>
  <c r="H41" i="16"/>
  <c r="F41" i="16"/>
  <c r="I39" i="16"/>
  <c r="I38" i="16"/>
  <c r="F36" i="16"/>
  <c r="G35" i="16"/>
  <c r="H34" i="16"/>
  <c r="F34" i="16"/>
  <c r="I32" i="16"/>
  <c r="I31" i="16"/>
  <c r="F29" i="16"/>
  <c r="G28" i="16"/>
  <c r="H27" i="16"/>
  <c r="F27" i="16"/>
  <c r="I25" i="16"/>
  <c r="I24" i="16"/>
  <c r="F22" i="16"/>
  <c r="G21" i="16"/>
  <c r="H20" i="16"/>
  <c r="F20" i="16"/>
  <c r="I18" i="16"/>
  <c r="I17" i="16"/>
  <c r="F15" i="16"/>
  <c r="G14" i="16"/>
  <c r="H13" i="16"/>
  <c r="F13" i="16"/>
  <c r="I11" i="16"/>
  <c r="I10" i="16"/>
  <c r="F8" i="16"/>
  <c r="G280" i="40" l="1"/>
  <c r="H279" i="40"/>
  <c r="F279" i="40"/>
  <c r="I277" i="40"/>
  <c r="I276" i="40"/>
  <c r="F274" i="40"/>
  <c r="G273" i="40"/>
  <c r="H272" i="40"/>
  <c r="F272" i="40"/>
  <c r="I270" i="40"/>
  <c r="I269" i="40"/>
  <c r="F267" i="40"/>
  <c r="G266" i="40"/>
  <c r="H265" i="40"/>
  <c r="F265" i="40"/>
  <c r="I263" i="40"/>
  <c r="I262" i="40"/>
  <c r="F260" i="40"/>
  <c r="G259" i="40"/>
  <c r="H258" i="40"/>
  <c r="F258" i="40"/>
  <c r="I256" i="40"/>
  <c r="I255" i="40"/>
  <c r="F253" i="40"/>
  <c r="G252" i="40"/>
  <c r="H251" i="40"/>
  <c r="F251" i="40"/>
  <c r="I249" i="40"/>
  <c r="I248" i="40"/>
  <c r="F246" i="40"/>
  <c r="G245" i="40"/>
  <c r="H244" i="40"/>
  <c r="F244" i="40"/>
  <c r="I242" i="40"/>
  <c r="I241" i="40"/>
  <c r="F239" i="40"/>
  <c r="G238" i="40"/>
  <c r="H237" i="40"/>
  <c r="F237" i="40"/>
  <c r="I235" i="40"/>
  <c r="I234" i="40"/>
  <c r="F232" i="40"/>
  <c r="G231" i="40"/>
  <c r="H230" i="40"/>
  <c r="F230" i="40"/>
  <c r="I228" i="40"/>
  <c r="I227" i="40"/>
  <c r="F225" i="40"/>
  <c r="G224" i="40"/>
  <c r="H223" i="40"/>
  <c r="F223" i="40"/>
  <c r="I221" i="40"/>
  <c r="I220" i="40"/>
  <c r="F218" i="40"/>
  <c r="G217" i="40"/>
  <c r="H216" i="40"/>
  <c r="F216" i="40"/>
  <c r="I214" i="40"/>
  <c r="I213" i="40"/>
  <c r="F211" i="40"/>
  <c r="G210" i="40"/>
  <c r="H209" i="40"/>
  <c r="F209" i="40"/>
  <c r="I207" i="40"/>
  <c r="I206" i="40"/>
  <c r="F204" i="40"/>
  <c r="G203" i="40"/>
  <c r="H202" i="40"/>
  <c r="F202" i="40"/>
  <c r="I200" i="40"/>
  <c r="I199" i="40"/>
  <c r="F197" i="40"/>
  <c r="G196" i="40"/>
  <c r="H195" i="40"/>
  <c r="F195" i="40"/>
  <c r="I193" i="40"/>
  <c r="I192" i="40"/>
  <c r="F190" i="40"/>
  <c r="G189" i="40"/>
  <c r="H188" i="40"/>
  <c r="F188" i="40"/>
  <c r="I186" i="40"/>
  <c r="I185" i="40"/>
  <c r="F183" i="40"/>
  <c r="G182" i="40"/>
  <c r="H181" i="40"/>
  <c r="F181" i="40"/>
  <c r="I179" i="40"/>
  <c r="I178" i="40"/>
  <c r="F176" i="40"/>
  <c r="G175" i="40"/>
  <c r="H174" i="40"/>
  <c r="F174" i="40"/>
  <c r="I172" i="40"/>
  <c r="I171" i="40"/>
  <c r="F169" i="40"/>
  <c r="G168" i="40"/>
  <c r="H167" i="40"/>
  <c r="F167" i="40"/>
  <c r="I165" i="40"/>
  <c r="I164" i="40"/>
  <c r="F162" i="40"/>
  <c r="G161" i="40"/>
  <c r="H160" i="40"/>
  <c r="F160" i="40"/>
  <c r="I158" i="40"/>
  <c r="I157" i="40"/>
  <c r="F155" i="40"/>
  <c r="G154" i="40"/>
  <c r="H153" i="40"/>
  <c r="F153" i="40"/>
  <c r="I151" i="40"/>
  <c r="I150" i="40"/>
  <c r="F148" i="40"/>
  <c r="G147" i="40"/>
  <c r="H146" i="40"/>
  <c r="F146" i="40"/>
  <c r="I144" i="40"/>
  <c r="I143" i="40"/>
  <c r="F141" i="40"/>
  <c r="G140" i="40"/>
  <c r="H139" i="40"/>
  <c r="F139" i="40"/>
  <c r="I137" i="40"/>
  <c r="I136" i="40"/>
  <c r="F134" i="40"/>
  <c r="G133" i="40"/>
  <c r="H132" i="40"/>
  <c r="F132" i="40"/>
  <c r="I130" i="40"/>
  <c r="I129" i="40"/>
  <c r="F127" i="40"/>
  <c r="G126" i="40"/>
  <c r="H125" i="40"/>
  <c r="F125" i="40"/>
  <c r="I123" i="40"/>
  <c r="I122" i="40"/>
  <c r="F120" i="40"/>
  <c r="G119" i="40"/>
  <c r="H118" i="40"/>
  <c r="F118" i="40"/>
  <c r="I116" i="40"/>
  <c r="I115" i="40"/>
  <c r="F113" i="40"/>
  <c r="G112" i="40"/>
  <c r="H111" i="40"/>
  <c r="F111" i="40"/>
  <c r="I109" i="40"/>
  <c r="I108" i="40"/>
  <c r="F106" i="40"/>
  <c r="G105" i="40"/>
  <c r="H104" i="40"/>
  <c r="F104" i="40"/>
  <c r="I102" i="40"/>
  <c r="I101" i="40"/>
  <c r="F99" i="40"/>
  <c r="G98" i="40"/>
  <c r="H97" i="40"/>
  <c r="F97" i="40"/>
  <c r="I95" i="40"/>
  <c r="I94" i="40"/>
  <c r="F92" i="40"/>
  <c r="G91" i="40"/>
  <c r="H90" i="40"/>
  <c r="F90" i="40"/>
  <c r="I88" i="40"/>
  <c r="I87" i="40"/>
  <c r="F85" i="40"/>
  <c r="G84" i="40"/>
  <c r="H83" i="40"/>
  <c r="F83" i="40"/>
  <c r="I81" i="40"/>
  <c r="I80" i="40"/>
  <c r="F78" i="40"/>
  <c r="G77" i="40"/>
  <c r="H76" i="40"/>
  <c r="F76" i="40"/>
  <c r="I74" i="40"/>
  <c r="I73" i="40"/>
  <c r="F71" i="40"/>
  <c r="G70" i="40"/>
  <c r="H69" i="40"/>
  <c r="F69" i="40"/>
  <c r="I67" i="40"/>
  <c r="I66" i="40"/>
  <c r="F64" i="40"/>
  <c r="G63" i="40"/>
  <c r="H62" i="40"/>
  <c r="F62" i="40"/>
  <c r="I60" i="40"/>
  <c r="I59" i="40"/>
  <c r="F57" i="40"/>
  <c r="G56" i="40"/>
  <c r="H55" i="40"/>
  <c r="F55" i="40"/>
  <c r="I53" i="40"/>
  <c r="I52" i="40"/>
  <c r="F50" i="40"/>
  <c r="G49" i="40"/>
  <c r="H48" i="40"/>
  <c r="F48" i="40"/>
  <c r="I46" i="40"/>
  <c r="I45" i="40"/>
  <c r="F43" i="40"/>
  <c r="G42" i="40"/>
  <c r="H41" i="40"/>
  <c r="F41" i="40"/>
  <c r="I39" i="40"/>
  <c r="I38" i="40"/>
  <c r="F36" i="40"/>
  <c r="G35" i="40"/>
  <c r="H34" i="40"/>
  <c r="F34" i="40"/>
  <c r="I32" i="40"/>
  <c r="I31" i="40"/>
  <c r="F29" i="40"/>
  <c r="G28" i="40"/>
  <c r="H27" i="40"/>
  <c r="F27" i="40"/>
  <c r="I25" i="40"/>
  <c r="I24" i="40"/>
  <c r="F22" i="40"/>
  <c r="G21" i="40"/>
  <c r="H20" i="40"/>
  <c r="F20" i="40"/>
  <c r="I18" i="40"/>
  <c r="I17" i="40"/>
  <c r="F15" i="40"/>
  <c r="G14" i="40"/>
  <c r="H13" i="40"/>
  <c r="F13" i="40"/>
  <c r="I11" i="40"/>
  <c r="I10" i="40"/>
  <c r="F8" i="40"/>
  <c r="G1050" i="37" l="1"/>
  <c r="H1049" i="37"/>
  <c r="F1049" i="37"/>
  <c r="I1047" i="37"/>
  <c r="I1046" i="37"/>
  <c r="F1044" i="37"/>
  <c r="G1043" i="37"/>
  <c r="H1042" i="37"/>
  <c r="F1042" i="37"/>
  <c r="I1040" i="37"/>
  <c r="I1039" i="37"/>
  <c r="F1037" i="37"/>
  <c r="G1036" i="37"/>
  <c r="H1035" i="37"/>
  <c r="F1035" i="37"/>
  <c r="I1033" i="37"/>
  <c r="I1032" i="37"/>
  <c r="F1030" i="37"/>
  <c r="G1029" i="37"/>
  <c r="H1028" i="37"/>
  <c r="F1028" i="37"/>
  <c r="I1026" i="37"/>
  <c r="I1025" i="37"/>
  <c r="F1023" i="37"/>
  <c r="G1022" i="37"/>
  <c r="H1021" i="37"/>
  <c r="F1021" i="37"/>
  <c r="I1019" i="37"/>
  <c r="I1018" i="37"/>
  <c r="F1016" i="37"/>
  <c r="G1015" i="37"/>
  <c r="H1014" i="37"/>
  <c r="F1014" i="37"/>
  <c r="I1012" i="37"/>
  <c r="I1011" i="37"/>
  <c r="F1009" i="37"/>
  <c r="G1008" i="37"/>
  <c r="H1007" i="37"/>
  <c r="F1007" i="37"/>
  <c r="I1005" i="37"/>
  <c r="I1004" i="37"/>
  <c r="F1002" i="37"/>
  <c r="G1001" i="37"/>
  <c r="H1000" i="37"/>
  <c r="F1000" i="37"/>
  <c r="I998" i="37"/>
  <c r="I997" i="37"/>
  <c r="F995" i="37"/>
  <c r="G994" i="37"/>
  <c r="H993" i="37"/>
  <c r="F993" i="37"/>
  <c r="I991" i="37"/>
  <c r="I990" i="37"/>
  <c r="F988" i="37"/>
  <c r="G987" i="37"/>
  <c r="H986" i="37"/>
  <c r="F986" i="37"/>
  <c r="I984" i="37"/>
  <c r="I983" i="37"/>
  <c r="F981" i="37"/>
  <c r="G980" i="37"/>
  <c r="H979" i="37"/>
  <c r="F979" i="37"/>
  <c r="I977" i="37"/>
  <c r="I976" i="37"/>
  <c r="F974" i="37"/>
  <c r="G973" i="37"/>
  <c r="H972" i="37"/>
  <c r="F972" i="37"/>
  <c r="I970" i="37"/>
  <c r="I969" i="37"/>
  <c r="F967" i="37"/>
  <c r="G966" i="37"/>
  <c r="H965" i="37"/>
  <c r="F965" i="37"/>
  <c r="I963" i="37"/>
  <c r="I962" i="37"/>
  <c r="F960" i="37"/>
  <c r="G959" i="37"/>
  <c r="H958" i="37"/>
  <c r="F958" i="37"/>
  <c r="I956" i="37"/>
  <c r="I955" i="37"/>
  <c r="F953" i="37"/>
  <c r="G952" i="37"/>
  <c r="H951" i="37"/>
  <c r="F951" i="37"/>
  <c r="I949" i="37"/>
  <c r="I948" i="37"/>
  <c r="F946" i="37"/>
  <c r="G945" i="37"/>
  <c r="H944" i="37"/>
  <c r="F944" i="37"/>
  <c r="I942" i="37"/>
  <c r="I941" i="37"/>
  <c r="F939" i="37"/>
  <c r="G938" i="37"/>
  <c r="H937" i="37"/>
  <c r="F937" i="37"/>
  <c r="I935" i="37"/>
  <c r="I934" i="37"/>
  <c r="F932" i="37"/>
  <c r="G931" i="37"/>
  <c r="H930" i="37"/>
  <c r="F930" i="37"/>
  <c r="I928" i="37"/>
  <c r="I927" i="37"/>
  <c r="F925" i="37"/>
  <c r="G924" i="37"/>
  <c r="H923" i="37"/>
  <c r="F923" i="37"/>
  <c r="I921" i="37"/>
  <c r="I920" i="37"/>
  <c r="F918" i="37"/>
  <c r="G917" i="37"/>
  <c r="H916" i="37"/>
  <c r="F916" i="37"/>
  <c r="I914" i="37"/>
  <c r="I913" i="37"/>
  <c r="F911" i="37"/>
  <c r="G910" i="37"/>
  <c r="H909" i="37"/>
  <c r="F909" i="37"/>
  <c r="I907" i="37"/>
  <c r="I906" i="37"/>
  <c r="F904" i="37"/>
  <c r="G903" i="37"/>
  <c r="H902" i="37"/>
  <c r="F902" i="37"/>
  <c r="I900" i="37"/>
  <c r="I899" i="37"/>
  <c r="F897" i="37"/>
  <c r="G896" i="37"/>
  <c r="H895" i="37"/>
  <c r="F895" i="37"/>
  <c r="I893" i="37"/>
  <c r="I892" i="37"/>
  <c r="F890" i="37"/>
  <c r="G889" i="37"/>
  <c r="H888" i="37"/>
  <c r="F888" i="37"/>
  <c r="I886" i="37"/>
  <c r="I885" i="37"/>
  <c r="F883" i="37"/>
  <c r="G882" i="37"/>
  <c r="H881" i="37"/>
  <c r="F881" i="37"/>
  <c r="I879" i="37"/>
  <c r="I878" i="37"/>
  <c r="F876" i="37"/>
  <c r="G875" i="37"/>
  <c r="H874" i="37"/>
  <c r="F874" i="37"/>
  <c r="I872" i="37"/>
  <c r="I871" i="37"/>
  <c r="F869" i="37"/>
  <c r="G868" i="37"/>
  <c r="H867" i="37"/>
  <c r="F867" i="37"/>
  <c r="I865" i="37"/>
  <c r="I864" i="37"/>
  <c r="F862" i="37"/>
  <c r="G861" i="37"/>
  <c r="H860" i="37"/>
  <c r="F860" i="37"/>
  <c r="I858" i="37"/>
  <c r="I857" i="37"/>
  <c r="F855" i="37"/>
  <c r="G854" i="37"/>
  <c r="H853" i="37"/>
  <c r="F853" i="37"/>
  <c r="I851" i="37"/>
  <c r="I850" i="37"/>
  <c r="F848" i="37"/>
  <c r="G847" i="37"/>
  <c r="H846" i="37"/>
  <c r="F846" i="37"/>
  <c r="I844" i="37"/>
  <c r="I843" i="37"/>
  <c r="F841" i="37"/>
  <c r="G840" i="37"/>
  <c r="H839" i="37"/>
  <c r="F839" i="37"/>
  <c r="I837" i="37"/>
  <c r="I836" i="37"/>
  <c r="F834" i="37"/>
  <c r="G833" i="37"/>
  <c r="H832" i="37"/>
  <c r="F832" i="37"/>
  <c r="I830" i="37"/>
  <c r="I829" i="37"/>
  <c r="F827" i="37"/>
  <c r="G826" i="37"/>
  <c r="H825" i="37"/>
  <c r="F825" i="37"/>
  <c r="I823" i="37"/>
  <c r="I822" i="37"/>
  <c r="F820" i="37"/>
  <c r="G819" i="37"/>
  <c r="H818" i="37"/>
  <c r="F818" i="37"/>
  <c r="I816" i="37"/>
  <c r="I815" i="37"/>
  <c r="F813" i="37"/>
  <c r="G812" i="37"/>
  <c r="H811" i="37"/>
  <c r="F811" i="37"/>
  <c r="I809" i="37"/>
  <c r="I808" i="37"/>
  <c r="F806" i="37"/>
  <c r="G805" i="37"/>
  <c r="H804" i="37"/>
  <c r="F804" i="37"/>
  <c r="I802" i="37"/>
  <c r="I801" i="37"/>
  <c r="F799" i="37"/>
  <c r="G798" i="37"/>
  <c r="H797" i="37"/>
  <c r="F797" i="37"/>
  <c r="I795" i="37"/>
  <c r="I794" i="37"/>
  <c r="F792" i="37"/>
  <c r="G791" i="37"/>
  <c r="H790" i="37"/>
  <c r="F790" i="37"/>
  <c r="I788" i="37"/>
  <c r="I787" i="37"/>
  <c r="F785" i="37"/>
  <c r="G784" i="37"/>
  <c r="H783" i="37"/>
  <c r="F783" i="37"/>
  <c r="I781" i="37"/>
  <c r="I780" i="37"/>
  <c r="F778" i="37"/>
  <c r="G777" i="37"/>
  <c r="H776" i="37"/>
  <c r="F776" i="37"/>
  <c r="I774" i="37"/>
  <c r="I773" i="37"/>
  <c r="F771" i="37"/>
  <c r="G770" i="37"/>
  <c r="H769" i="37"/>
  <c r="F769" i="37"/>
  <c r="I767" i="37"/>
  <c r="I766" i="37"/>
  <c r="F764" i="37"/>
  <c r="G763" i="37"/>
  <c r="H762" i="37"/>
  <c r="F762" i="37"/>
  <c r="I760" i="37"/>
  <c r="I759" i="37"/>
  <c r="F757" i="37"/>
  <c r="G756" i="37"/>
  <c r="H755" i="37"/>
  <c r="F755" i="37"/>
  <c r="I753" i="37"/>
  <c r="I752" i="37"/>
  <c r="F750" i="37"/>
  <c r="G749" i="37"/>
  <c r="H748" i="37"/>
  <c r="F748" i="37"/>
  <c r="I746" i="37"/>
  <c r="I745" i="37"/>
  <c r="F743" i="37"/>
  <c r="G742" i="37"/>
  <c r="H741" i="37"/>
  <c r="F741" i="37"/>
  <c r="I739" i="37"/>
  <c r="I738" i="37"/>
  <c r="F736" i="37"/>
  <c r="G735" i="37"/>
  <c r="H734" i="37"/>
  <c r="F734" i="37"/>
  <c r="I732" i="37"/>
  <c r="I731" i="37"/>
  <c r="F729" i="37"/>
  <c r="G728" i="37"/>
  <c r="H727" i="37"/>
  <c r="F727" i="37"/>
  <c r="I725" i="37"/>
  <c r="I724" i="37"/>
  <c r="F722" i="37"/>
  <c r="G721" i="37"/>
  <c r="H720" i="37"/>
  <c r="F720" i="37"/>
  <c r="I718" i="37"/>
  <c r="I717" i="37"/>
  <c r="F715" i="37"/>
  <c r="G714" i="37"/>
  <c r="H713" i="37"/>
  <c r="F713" i="37"/>
  <c r="I711" i="37"/>
  <c r="I710" i="37"/>
  <c r="F708" i="37"/>
  <c r="G707" i="37"/>
  <c r="H706" i="37"/>
  <c r="F706" i="37"/>
  <c r="I704" i="37"/>
  <c r="I703" i="37"/>
  <c r="F701" i="37"/>
  <c r="G700" i="37"/>
  <c r="H699" i="37"/>
  <c r="F699" i="37"/>
  <c r="I697" i="37"/>
  <c r="I696" i="37"/>
  <c r="F694" i="37"/>
  <c r="G693" i="37"/>
  <c r="H692" i="37"/>
  <c r="F692" i="37"/>
  <c r="I690" i="37"/>
  <c r="I689" i="37"/>
  <c r="F687" i="37"/>
  <c r="G686" i="37"/>
  <c r="H685" i="37"/>
  <c r="F685" i="37"/>
  <c r="I683" i="37"/>
  <c r="I682" i="37"/>
  <c r="F680" i="37"/>
  <c r="G679" i="37"/>
  <c r="H678" i="37"/>
  <c r="F678" i="37"/>
  <c r="I676" i="37"/>
  <c r="I675" i="37"/>
  <c r="F673" i="37"/>
  <c r="G672" i="37"/>
  <c r="H671" i="37"/>
  <c r="F671" i="37"/>
  <c r="I669" i="37"/>
  <c r="I668" i="37"/>
  <c r="F666" i="37"/>
  <c r="G665" i="37"/>
  <c r="H664" i="37"/>
  <c r="F664" i="37"/>
  <c r="I662" i="37"/>
  <c r="I661" i="37"/>
  <c r="F659" i="37"/>
  <c r="G658" i="37"/>
  <c r="H657" i="37"/>
  <c r="F657" i="37"/>
  <c r="I655" i="37"/>
  <c r="I654" i="37"/>
  <c r="F652" i="37"/>
  <c r="G651" i="37"/>
  <c r="H650" i="37"/>
  <c r="F650" i="37"/>
  <c r="I648" i="37"/>
  <c r="I647" i="37"/>
  <c r="F645" i="37"/>
  <c r="G644" i="37"/>
  <c r="H643" i="37"/>
  <c r="F643" i="37"/>
  <c r="I641" i="37"/>
  <c r="I640" i="37"/>
  <c r="F638" i="37"/>
  <c r="G637" i="37"/>
  <c r="H636" i="37"/>
  <c r="F636" i="37"/>
  <c r="I634" i="37"/>
  <c r="I633" i="37"/>
  <c r="F631" i="37"/>
  <c r="G630" i="37"/>
  <c r="H629" i="37"/>
  <c r="F629" i="37"/>
  <c r="I627" i="37"/>
  <c r="I626" i="37"/>
  <c r="F624" i="37"/>
  <c r="G623" i="37"/>
  <c r="H622" i="37"/>
  <c r="F622" i="37"/>
  <c r="I620" i="37"/>
  <c r="I619" i="37"/>
  <c r="F617" i="37"/>
  <c r="G616" i="37"/>
  <c r="H615" i="37"/>
  <c r="F615" i="37"/>
  <c r="I613" i="37"/>
  <c r="I612" i="37"/>
  <c r="F610" i="37"/>
  <c r="G609" i="37"/>
  <c r="H608" i="37"/>
  <c r="F608" i="37"/>
  <c r="I606" i="37"/>
  <c r="I605" i="37"/>
  <c r="F603" i="37"/>
  <c r="G602" i="37"/>
  <c r="H601" i="37"/>
  <c r="F601" i="37"/>
  <c r="I599" i="37"/>
  <c r="I598" i="37"/>
  <c r="F596" i="37"/>
  <c r="G595" i="37"/>
  <c r="H594" i="37"/>
  <c r="F594" i="37"/>
  <c r="I592" i="37"/>
  <c r="I591" i="37"/>
  <c r="F589" i="37"/>
  <c r="G588" i="37"/>
  <c r="H587" i="37"/>
  <c r="F587" i="37"/>
  <c r="I585" i="37"/>
  <c r="I584" i="37"/>
  <c r="F582" i="37"/>
  <c r="G581" i="37"/>
  <c r="H580" i="37"/>
  <c r="F580" i="37"/>
  <c r="I578" i="37"/>
  <c r="I577" i="37"/>
  <c r="F575" i="37"/>
  <c r="G574" i="37"/>
  <c r="H573" i="37"/>
  <c r="F573" i="37"/>
  <c r="I571" i="37"/>
  <c r="I570" i="37"/>
  <c r="F568" i="37"/>
  <c r="G567" i="37"/>
  <c r="H566" i="37"/>
  <c r="F566" i="37"/>
  <c r="I564" i="37"/>
  <c r="I563" i="37"/>
  <c r="F561" i="37"/>
  <c r="G560" i="37"/>
  <c r="H559" i="37"/>
  <c r="F559" i="37"/>
  <c r="I557" i="37"/>
  <c r="I556" i="37"/>
  <c r="F554" i="37"/>
  <c r="G553" i="37"/>
  <c r="H552" i="37"/>
  <c r="F552" i="37"/>
  <c r="I550" i="37"/>
  <c r="I549" i="37"/>
  <c r="F547" i="37"/>
  <c r="G546" i="37"/>
  <c r="H545" i="37"/>
  <c r="F545" i="37"/>
  <c r="I543" i="37"/>
  <c r="I542" i="37"/>
  <c r="F540" i="37"/>
  <c r="G539" i="37"/>
  <c r="H538" i="37"/>
  <c r="F538" i="37"/>
  <c r="I536" i="37"/>
  <c r="I535" i="37"/>
  <c r="F533" i="37"/>
  <c r="G532" i="37"/>
  <c r="H531" i="37"/>
  <c r="F531" i="37"/>
  <c r="I529" i="37"/>
  <c r="I528" i="37"/>
  <c r="F526" i="37"/>
  <c r="G525" i="37"/>
  <c r="H524" i="37"/>
  <c r="F524" i="37"/>
  <c r="I522" i="37"/>
  <c r="I521" i="37"/>
  <c r="F519" i="37"/>
  <c r="G518" i="37"/>
  <c r="H517" i="37"/>
  <c r="F517" i="37"/>
  <c r="I515" i="37"/>
  <c r="I514" i="37"/>
  <c r="F512" i="37"/>
  <c r="G511" i="37"/>
  <c r="H510" i="37"/>
  <c r="F510" i="37"/>
  <c r="I508" i="37"/>
  <c r="I507" i="37"/>
  <c r="F505" i="37"/>
  <c r="G504" i="37"/>
  <c r="H503" i="37"/>
  <c r="F503" i="37"/>
  <c r="I501" i="37"/>
  <c r="I500" i="37"/>
  <c r="F498" i="37"/>
  <c r="G497" i="37"/>
  <c r="H496" i="37"/>
  <c r="F496" i="37"/>
  <c r="I494" i="37"/>
  <c r="I493" i="37"/>
  <c r="F491" i="37"/>
  <c r="G490" i="37"/>
  <c r="H489" i="37"/>
  <c r="F489" i="37"/>
  <c r="I487" i="37"/>
  <c r="I486" i="37"/>
  <c r="F484" i="37"/>
  <c r="G483" i="37"/>
  <c r="H482" i="37"/>
  <c r="F482" i="37"/>
  <c r="I480" i="37"/>
  <c r="I479" i="37"/>
  <c r="F477" i="37"/>
  <c r="G476" i="37"/>
  <c r="H475" i="37"/>
  <c r="F475" i="37"/>
  <c r="I473" i="37"/>
  <c r="I472" i="37"/>
  <c r="F470" i="37"/>
  <c r="G469" i="37"/>
  <c r="H468" i="37"/>
  <c r="F468" i="37"/>
  <c r="I466" i="37"/>
  <c r="I465" i="37"/>
  <c r="F463" i="37"/>
  <c r="G462" i="37"/>
  <c r="H461" i="37"/>
  <c r="F461" i="37"/>
  <c r="I459" i="37"/>
  <c r="I458" i="37"/>
  <c r="F456" i="37"/>
  <c r="G455" i="37"/>
  <c r="H454" i="37"/>
  <c r="F454" i="37"/>
  <c r="I452" i="37"/>
  <c r="I451" i="37"/>
  <c r="F449" i="37"/>
  <c r="G448" i="37"/>
  <c r="H447" i="37"/>
  <c r="F447" i="37"/>
  <c r="I445" i="37"/>
  <c r="I444" i="37"/>
  <c r="F442" i="37"/>
  <c r="G441" i="37"/>
  <c r="H440" i="37"/>
  <c r="F440" i="37"/>
  <c r="I438" i="37"/>
  <c r="I437" i="37"/>
  <c r="F435" i="37"/>
  <c r="G434" i="37"/>
  <c r="H433" i="37"/>
  <c r="F433" i="37"/>
  <c r="I431" i="37"/>
  <c r="I430" i="37"/>
  <c r="F428" i="37"/>
  <c r="G427" i="37"/>
  <c r="H426" i="37"/>
  <c r="F426" i="37"/>
  <c r="I424" i="37"/>
  <c r="I423" i="37"/>
  <c r="F421" i="37"/>
  <c r="G420" i="37"/>
  <c r="H419" i="37"/>
  <c r="F419" i="37"/>
  <c r="I417" i="37"/>
  <c r="I416" i="37"/>
  <c r="F414" i="37"/>
  <c r="G413" i="37"/>
  <c r="H412" i="37"/>
  <c r="F412" i="37"/>
  <c r="I410" i="37"/>
  <c r="I409" i="37"/>
  <c r="F407" i="37"/>
  <c r="G406" i="37"/>
  <c r="H405" i="37"/>
  <c r="F405" i="37"/>
  <c r="I403" i="37"/>
  <c r="I402" i="37"/>
  <c r="F400" i="37"/>
  <c r="G399" i="37"/>
  <c r="H398" i="37"/>
  <c r="F398" i="37"/>
  <c r="I396" i="37"/>
  <c r="I395" i="37"/>
  <c r="F393" i="37"/>
  <c r="G392" i="37"/>
  <c r="H391" i="37"/>
  <c r="F391" i="37"/>
  <c r="I389" i="37"/>
  <c r="I388" i="37"/>
  <c r="F386" i="37"/>
  <c r="G385" i="37"/>
  <c r="H384" i="37"/>
  <c r="F384" i="37"/>
  <c r="I382" i="37"/>
  <c r="I381" i="37"/>
  <c r="F379" i="37"/>
  <c r="G378" i="37"/>
  <c r="H377" i="37"/>
  <c r="F377" i="37"/>
  <c r="I375" i="37"/>
  <c r="I374" i="37"/>
  <c r="F372" i="37"/>
  <c r="G371" i="37"/>
  <c r="H370" i="37"/>
  <c r="F370" i="37"/>
  <c r="I368" i="37"/>
  <c r="I367" i="37"/>
  <c r="F365" i="37"/>
  <c r="G364" i="37"/>
  <c r="H363" i="37"/>
  <c r="F363" i="37"/>
  <c r="I361" i="37"/>
  <c r="I360" i="37"/>
  <c r="F358" i="37"/>
  <c r="G357" i="37"/>
  <c r="H356" i="37"/>
  <c r="F356" i="37"/>
  <c r="I354" i="37"/>
  <c r="I353" i="37"/>
  <c r="F351" i="37"/>
  <c r="G350" i="37"/>
  <c r="H349" i="37"/>
  <c r="F349" i="37"/>
  <c r="I347" i="37"/>
  <c r="I346" i="37"/>
  <c r="F344" i="37"/>
  <c r="G343" i="37"/>
  <c r="H342" i="37"/>
  <c r="F342" i="37"/>
  <c r="I340" i="37"/>
  <c r="I339" i="37"/>
  <c r="F337" i="37"/>
  <c r="G336" i="37"/>
  <c r="H335" i="37"/>
  <c r="F335" i="37"/>
  <c r="I333" i="37"/>
  <c r="I332" i="37"/>
  <c r="F330" i="37"/>
  <c r="G329" i="37"/>
  <c r="H328" i="37"/>
  <c r="F328" i="37"/>
  <c r="I326" i="37"/>
  <c r="I325" i="37"/>
  <c r="F323" i="37"/>
  <c r="G322" i="37"/>
  <c r="H321" i="37"/>
  <c r="F321" i="37"/>
  <c r="I319" i="37"/>
  <c r="I318" i="37"/>
  <c r="F316" i="37"/>
  <c r="G315" i="37"/>
  <c r="H314" i="37"/>
  <c r="F314" i="37"/>
  <c r="I312" i="37"/>
  <c r="I311" i="37"/>
  <c r="F309" i="37"/>
  <c r="G308" i="37"/>
  <c r="H307" i="37"/>
  <c r="F307" i="37"/>
  <c r="I305" i="37"/>
  <c r="I304" i="37"/>
  <c r="F302" i="37"/>
  <c r="G301" i="37"/>
  <c r="H300" i="37"/>
  <c r="F300" i="37"/>
  <c r="I298" i="37"/>
  <c r="I297" i="37"/>
  <c r="F295" i="37"/>
  <c r="G294" i="37"/>
  <c r="H293" i="37"/>
  <c r="F293" i="37"/>
  <c r="I291" i="37"/>
  <c r="I290" i="37"/>
  <c r="F288" i="37"/>
  <c r="G287" i="37"/>
  <c r="H286" i="37"/>
  <c r="F286" i="37"/>
  <c r="I284" i="37"/>
  <c r="I283" i="37"/>
  <c r="F281" i="37"/>
  <c r="G280" i="37"/>
  <c r="H279" i="37"/>
  <c r="F279" i="37"/>
  <c r="I277" i="37"/>
  <c r="I276" i="37"/>
  <c r="F274" i="37"/>
  <c r="G273" i="37"/>
  <c r="H272" i="37"/>
  <c r="F272" i="37"/>
  <c r="I270" i="37"/>
  <c r="I269" i="37"/>
  <c r="F267" i="37"/>
  <c r="G266" i="37"/>
  <c r="H265" i="37"/>
  <c r="F265" i="37"/>
  <c r="I263" i="37"/>
  <c r="I262" i="37"/>
  <c r="F260" i="37"/>
  <c r="G259" i="37"/>
  <c r="H258" i="37"/>
  <c r="F258" i="37"/>
  <c r="I256" i="37"/>
  <c r="I255" i="37"/>
  <c r="F253" i="37"/>
  <c r="G252" i="37"/>
  <c r="H251" i="37"/>
  <c r="F251" i="37"/>
  <c r="I249" i="37"/>
  <c r="I248" i="37"/>
  <c r="F246" i="37"/>
  <c r="G245" i="37"/>
  <c r="H244" i="37"/>
  <c r="F244" i="37"/>
  <c r="I242" i="37"/>
  <c r="I241" i="37"/>
  <c r="F239" i="37"/>
  <c r="G238" i="37"/>
  <c r="H237" i="37"/>
  <c r="F237" i="37"/>
  <c r="I235" i="37"/>
  <c r="I234" i="37"/>
  <c r="F232" i="37"/>
  <c r="G231" i="37"/>
  <c r="H230" i="37"/>
  <c r="F230" i="37"/>
  <c r="I228" i="37"/>
  <c r="I227" i="37"/>
  <c r="F225" i="37"/>
  <c r="G224" i="37"/>
  <c r="H223" i="37"/>
  <c r="F223" i="37"/>
  <c r="I221" i="37"/>
  <c r="I220" i="37"/>
  <c r="F218" i="37"/>
  <c r="G217" i="37"/>
  <c r="H216" i="37"/>
  <c r="F216" i="37"/>
  <c r="I214" i="37"/>
  <c r="I213" i="37"/>
  <c r="F211" i="37"/>
  <c r="G210" i="37"/>
  <c r="H209" i="37"/>
  <c r="F209" i="37"/>
  <c r="I207" i="37"/>
  <c r="I206" i="37"/>
  <c r="F204" i="37"/>
  <c r="G203" i="37"/>
  <c r="H202" i="37"/>
  <c r="F202" i="37"/>
  <c r="I200" i="37"/>
  <c r="I199" i="37"/>
  <c r="F197" i="37"/>
  <c r="G196" i="37"/>
  <c r="H195" i="37"/>
  <c r="F195" i="37"/>
  <c r="I193" i="37"/>
  <c r="I192" i="37"/>
  <c r="F190" i="37"/>
  <c r="G189" i="37"/>
  <c r="H188" i="37"/>
  <c r="F188" i="37"/>
  <c r="I186" i="37"/>
  <c r="I185" i="37"/>
  <c r="F183" i="37"/>
  <c r="G182" i="37"/>
  <c r="H181" i="37"/>
  <c r="F181" i="37"/>
  <c r="I179" i="37"/>
  <c r="I178" i="37"/>
  <c r="F176" i="37"/>
  <c r="G175" i="37"/>
  <c r="H174" i="37"/>
  <c r="F174" i="37"/>
  <c r="I172" i="37"/>
  <c r="I171" i="37"/>
  <c r="F169" i="37"/>
  <c r="G168" i="37"/>
  <c r="H167" i="37"/>
  <c r="F167" i="37"/>
  <c r="I165" i="37"/>
  <c r="I164" i="37"/>
  <c r="F162" i="37"/>
  <c r="G161" i="37"/>
  <c r="H160" i="37"/>
  <c r="F160" i="37"/>
  <c r="I158" i="37"/>
  <c r="I157" i="37"/>
  <c r="F155" i="37"/>
  <c r="G154" i="37"/>
  <c r="H153" i="37"/>
  <c r="F153" i="37"/>
  <c r="I151" i="37"/>
  <c r="I150" i="37"/>
  <c r="F148" i="37"/>
  <c r="G147" i="37"/>
  <c r="H146" i="37"/>
  <c r="F146" i="37"/>
  <c r="I144" i="37"/>
  <c r="I143" i="37"/>
  <c r="F141" i="37"/>
  <c r="G140" i="37"/>
  <c r="H139" i="37"/>
  <c r="F139" i="37"/>
  <c r="I137" i="37"/>
  <c r="I136" i="37"/>
  <c r="F134" i="37"/>
  <c r="G133" i="37"/>
  <c r="H132" i="37"/>
  <c r="F132" i="37"/>
  <c r="I130" i="37"/>
  <c r="I129" i="37"/>
  <c r="F127" i="37"/>
  <c r="G126" i="37"/>
  <c r="H125" i="37"/>
  <c r="F125" i="37"/>
  <c r="I123" i="37"/>
  <c r="I122" i="37"/>
  <c r="F120" i="37"/>
  <c r="G119" i="37"/>
  <c r="H118" i="37"/>
  <c r="F118" i="37"/>
  <c r="I116" i="37"/>
  <c r="I115" i="37"/>
  <c r="F113" i="37"/>
  <c r="G112" i="37"/>
  <c r="H111" i="37"/>
  <c r="F111" i="37"/>
  <c r="I109" i="37"/>
  <c r="I108" i="37"/>
  <c r="F106" i="37"/>
  <c r="G105" i="37"/>
  <c r="H104" i="37"/>
  <c r="F104" i="37"/>
  <c r="I102" i="37"/>
  <c r="I101" i="37"/>
  <c r="F99" i="37"/>
  <c r="G98" i="37"/>
  <c r="H97" i="37"/>
  <c r="F97" i="37"/>
  <c r="I95" i="37"/>
  <c r="I94" i="37"/>
  <c r="F92" i="37"/>
  <c r="G91" i="37"/>
  <c r="H90" i="37"/>
  <c r="F90" i="37"/>
  <c r="I88" i="37"/>
  <c r="I87" i="37"/>
  <c r="F85" i="37"/>
  <c r="G84" i="37"/>
  <c r="H83" i="37"/>
  <c r="F83" i="37"/>
  <c r="I81" i="37"/>
  <c r="I80" i="37"/>
  <c r="F78" i="37"/>
  <c r="G77" i="37"/>
  <c r="H76" i="37"/>
  <c r="F76" i="37"/>
  <c r="I74" i="37"/>
  <c r="I73" i="37"/>
  <c r="F71" i="37"/>
  <c r="G70" i="37"/>
  <c r="H69" i="37"/>
  <c r="F69" i="37"/>
  <c r="I67" i="37"/>
  <c r="I66" i="37"/>
  <c r="F64" i="37"/>
  <c r="G63" i="37"/>
  <c r="H62" i="37"/>
  <c r="F62" i="37"/>
  <c r="I60" i="37"/>
  <c r="I59" i="37"/>
  <c r="F57" i="37"/>
  <c r="G56" i="37"/>
  <c r="H55" i="37"/>
  <c r="F55" i="37"/>
  <c r="I53" i="37"/>
  <c r="I52" i="37"/>
  <c r="F50" i="37"/>
  <c r="G49" i="37"/>
  <c r="H48" i="37"/>
  <c r="F48" i="37"/>
  <c r="I46" i="37"/>
  <c r="I45" i="37"/>
  <c r="F43" i="37"/>
  <c r="G42" i="37"/>
  <c r="H41" i="37"/>
  <c r="F41" i="37"/>
  <c r="I39" i="37"/>
  <c r="I38" i="37"/>
  <c r="F36" i="37"/>
  <c r="G35" i="37"/>
  <c r="H34" i="37"/>
  <c r="F34" i="37"/>
  <c r="I32" i="37"/>
  <c r="I31" i="37"/>
  <c r="F29" i="37"/>
  <c r="G28" i="37"/>
  <c r="H27" i="37"/>
  <c r="F27" i="37"/>
  <c r="I25" i="37"/>
  <c r="I24" i="37"/>
  <c r="F22" i="37"/>
  <c r="G21" i="37"/>
  <c r="H20" i="37"/>
  <c r="F20" i="37"/>
  <c r="I18" i="37"/>
  <c r="I17" i="37"/>
  <c r="F15" i="37"/>
  <c r="G14" i="37"/>
  <c r="H13" i="37"/>
  <c r="F13" i="37"/>
  <c r="I11" i="37"/>
  <c r="I10" i="37"/>
  <c r="F8" i="37"/>
  <c r="G49" i="39" l="1"/>
  <c r="H48" i="39"/>
  <c r="F48" i="39"/>
  <c r="I46" i="39"/>
  <c r="I45" i="39"/>
  <c r="F43" i="39"/>
  <c r="G42" i="39"/>
  <c r="H41" i="39"/>
  <c r="F41" i="39"/>
  <c r="I39" i="39"/>
  <c r="I38" i="39"/>
  <c r="F36" i="39"/>
  <c r="G35" i="39"/>
  <c r="H34" i="39"/>
  <c r="F34" i="39"/>
  <c r="I32" i="39"/>
  <c r="I31" i="39"/>
  <c r="F29" i="39"/>
  <c r="G28" i="39"/>
  <c r="H27" i="39"/>
  <c r="F27" i="39"/>
  <c r="I25" i="39"/>
  <c r="I24" i="39"/>
  <c r="F22" i="39"/>
  <c r="G21" i="39"/>
  <c r="H20" i="39"/>
  <c r="F20" i="39"/>
  <c r="I18" i="39"/>
  <c r="I17" i="39"/>
  <c r="F15" i="39"/>
  <c r="G14" i="39"/>
  <c r="H13" i="39"/>
  <c r="F13" i="39"/>
  <c r="I11" i="39"/>
  <c r="I10" i="39"/>
  <c r="F8" i="39"/>
  <c r="G161" i="19" l="1"/>
  <c r="H160" i="19"/>
  <c r="F160" i="19"/>
  <c r="I158" i="19"/>
  <c r="I157" i="19"/>
  <c r="F155" i="19"/>
  <c r="G154" i="19"/>
  <c r="H153" i="19"/>
  <c r="F153" i="19"/>
  <c r="I151" i="19"/>
  <c r="I150" i="19"/>
  <c r="F148" i="19"/>
  <c r="G147" i="19"/>
  <c r="H146" i="19"/>
  <c r="F146" i="19"/>
  <c r="I144" i="19"/>
  <c r="I143" i="19"/>
  <c r="F141" i="19"/>
  <c r="G140" i="19"/>
  <c r="H139" i="19"/>
  <c r="F139" i="19"/>
  <c r="I137" i="19"/>
  <c r="I136" i="19"/>
  <c r="F134" i="19"/>
  <c r="G133" i="19"/>
  <c r="H132" i="19"/>
  <c r="F132" i="19"/>
  <c r="I130" i="19"/>
  <c r="I129" i="19"/>
  <c r="F127" i="19"/>
  <c r="G126" i="19"/>
  <c r="H125" i="19"/>
  <c r="F125" i="19"/>
  <c r="I123" i="19"/>
  <c r="I122" i="19"/>
  <c r="F120" i="19"/>
  <c r="G119" i="19"/>
  <c r="H118" i="19"/>
  <c r="F118" i="19"/>
  <c r="I116" i="19"/>
  <c r="I115" i="19"/>
  <c r="F113" i="19"/>
  <c r="G112" i="19"/>
  <c r="H111" i="19"/>
  <c r="F111" i="19"/>
  <c r="I109" i="19"/>
  <c r="I108" i="19"/>
  <c r="F106" i="19"/>
  <c r="G105" i="19"/>
  <c r="H104" i="19"/>
  <c r="F104" i="19"/>
  <c r="I102" i="19"/>
  <c r="I101" i="19"/>
  <c r="F99" i="19"/>
  <c r="G98" i="19"/>
  <c r="H97" i="19"/>
  <c r="F97" i="19"/>
  <c r="I95" i="19"/>
  <c r="I94" i="19"/>
  <c r="F92" i="19"/>
  <c r="G91" i="19"/>
  <c r="H90" i="19"/>
  <c r="F90" i="19"/>
  <c r="I88" i="19"/>
  <c r="I87" i="19"/>
  <c r="F85" i="19"/>
  <c r="G84" i="19"/>
  <c r="H83" i="19"/>
  <c r="F83" i="19"/>
  <c r="I81" i="19"/>
  <c r="I80" i="19"/>
  <c r="F78" i="19"/>
  <c r="G77" i="19"/>
  <c r="H76" i="19"/>
  <c r="F76" i="19"/>
  <c r="I74" i="19"/>
  <c r="I73" i="19"/>
  <c r="F71" i="19"/>
  <c r="G70" i="19"/>
  <c r="H69" i="19"/>
  <c r="F69" i="19"/>
  <c r="I67" i="19"/>
  <c r="I66" i="19"/>
  <c r="F64" i="19"/>
  <c r="G63" i="19"/>
  <c r="H62" i="19"/>
  <c r="F62" i="19"/>
  <c r="I60" i="19"/>
  <c r="I59" i="19"/>
  <c r="F57" i="19"/>
  <c r="G56" i="19"/>
  <c r="H55" i="19"/>
  <c r="F55" i="19"/>
  <c r="I53" i="19"/>
  <c r="I52" i="19"/>
  <c r="F50" i="19"/>
  <c r="G49" i="19"/>
  <c r="H48" i="19"/>
  <c r="F48" i="19"/>
  <c r="I46" i="19"/>
  <c r="I45" i="19"/>
  <c r="F43" i="19"/>
  <c r="G42" i="19"/>
  <c r="H41" i="19"/>
  <c r="F41" i="19"/>
  <c r="I39" i="19"/>
  <c r="I38" i="19"/>
  <c r="F36" i="19"/>
  <c r="G35" i="19"/>
  <c r="H34" i="19"/>
  <c r="F34" i="19"/>
  <c r="I32" i="19"/>
  <c r="I31" i="19"/>
  <c r="F29" i="19"/>
  <c r="G28" i="19"/>
  <c r="H27" i="19"/>
  <c r="F27" i="19"/>
  <c r="I25" i="19"/>
  <c r="I24" i="19"/>
  <c r="F22" i="19"/>
  <c r="G21" i="19"/>
  <c r="H20" i="19"/>
  <c r="F20" i="19"/>
  <c r="I18" i="19"/>
  <c r="I17" i="19"/>
  <c r="F15" i="19"/>
  <c r="G14" i="19"/>
  <c r="H13" i="19"/>
  <c r="F13" i="19"/>
  <c r="I11" i="19"/>
  <c r="I10" i="19"/>
  <c r="F8" i="19"/>
  <c r="G49" i="18"/>
  <c r="H48" i="18"/>
  <c r="F48" i="18"/>
  <c r="I46" i="18"/>
  <c r="I45" i="18"/>
  <c r="F43" i="18"/>
  <c r="G42" i="18"/>
  <c r="H41" i="18"/>
  <c r="F41" i="18"/>
  <c r="I39" i="18"/>
  <c r="I38" i="18"/>
  <c r="F36" i="18"/>
  <c r="G35" i="18"/>
  <c r="H34" i="18"/>
  <c r="F34" i="18"/>
  <c r="I32" i="18"/>
  <c r="I31" i="18"/>
  <c r="F29" i="18"/>
  <c r="G28" i="18"/>
  <c r="H27" i="18"/>
  <c r="F27" i="18"/>
  <c r="I25" i="18"/>
  <c r="I24" i="18"/>
  <c r="F22" i="18"/>
  <c r="G21" i="18"/>
  <c r="H20" i="18"/>
  <c r="F20" i="18"/>
  <c r="I18" i="18"/>
  <c r="I17" i="18"/>
  <c r="F15" i="18"/>
  <c r="G14" i="18"/>
  <c r="H13" i="18"/>
  <c r="F13" i="18"/>
  <c r="I11" i="18"/>
  <c r="I10" i="18"/>
  <c r="F8" i="18"/>
  <c r="G70" i="20" l="1"/>
  <c r="H69" i="20"/>
  <c r="F69" i="20"/>
  <c r="I67" i="20"/>
  <c r="I66" i="20"/>
  <c r="F64" i="20"/>
  <c r="G63" i="20"/>
  <c r="H62" i="20"/>
  <c r="F62" i="20"/>
  <c r="I60" i="20"/>
  <c r="I59" i="20"/>
  <c r="F57" i="20"/>
  <c r="G56" i="20"/>
  <c r="H55" i="20"/>
  <c r="F55" i="20"/>
  <c r="I53" i="20"/>
  <c r="I52" i="20"/>
  <c r="F50" i="20"/>
  <c r="G49" i="20"/>
  <c r="H48" i="20"/>
  <c r="F48" i="20"/>
  <c r="I46" i="20"/>
  <c r="I45" i="20"/>
  <c r="F43" i="20"/>
  <c r="G42" i="20"/>
  <c r="H41" i="20"/>
  <c r="F41" i="20"/>
  <c r="I39" i="20"/>
  <c r="I38" i="20"/>
  <c r="F36" i="20"/>
  <c r="G35" i="20"/>
  <c r="H34" i="20"/>
  <c r="F34" i="20"/>
  <c r="I32" i="20"/>
  <c r="I31" i="20"/>
  <c r="F29" i="20"/>
  <c r="G28" i="20"/>
  <c r="H27" i="20"/>
  <c r="F27" i="20"/>
  <c r="I25" i="20"/>
  <c r="I24" i="20"/>
  <c r="F22" i="20"/>
  <c r="G21" i="20"/>
  <c r="H20" i="20"/>
  <c r="F20" i="20"/>
  <c r="I18" i="20"/>
  <c r="I17" i="20"/>
  <c r="F15" i="20"/>
  <c r="G14" i="20"/>
  <c r="H13" i="20"/>
  <c r="F13" i="20"/>
  <c r="I11" i="20"/>
  <c r="I10" i="20"/>
  <c r="F8" i="20"/>
  <c r="G14" i="41" l="1"/>
  <c r="H13" i="41"/>
  <c r="F13" i="41"/>
  <c r="I11" i="41"/>
  <c r="I10" i="41"/>
  <c r="F8" i="41"/>
  <c r="G7" i="41" l="1"/>
  <c r="H6" i="41"/>
  <c r="F6" i="41"/>
  <c r="I4" i="41"/>
  <c r="I3" i="41"/>
  <c r="F1" i="41"/>
  <c r="G7" i="40" l="1"/>
  <c r="H6" i="40"/>
  <c r="F6" i="40"/>
  <c r="I4" i="40"/>
  <c r="I3" i="40"/>
  <c r="F1" i="40"/>
  <c r="G7" i="39" l="1"/>
  <c r="H6" i="39"/>
  <c r="F6" i="39"/>
  <c r="I4" i="39"/>
  <c r="I3" i="39"/>
  <c r="F1" i="39"/>
  <c r="G7" i="38" l="1"/>
  <c r="H6" i="38"/>
  <c r="F6" i="38"/>
  <c r="I4" i="38"/>
  <c r="I3" i="38"/>
  <c r="F1" i="38"/>
  <c r="G7" i="37" l="1"/>
  <c r="H6" i="37"/>
  <c r="F6" i="37"/>
  <c r="I4" i="37"/>
  <c r="I3" i="37"/>
  <c r="F1" i="37"/>
  <c r="G35" i="26" l="1"/>
  <c r="H34" i="26"/>
  <c r="F34" i="26"/>
  <c r="I32" i="26"/>
  <c r="I31" i="26"/>
  <c r="F29" i="26"/>
  <c r="G28" i="26"/>
  <c r="H27" i="26"/>
  <c r="F27" i="26"/>
  <c r="I25" i="26"/>
  <c r="I24" i="26"/>
  <c r="F22" i="26"/>
  <c r="G21" i="26"/>
  <c r="H20" i="26"/>
  <c r="F20" i="26"/>
  <c r="I18" i="26"/>
  <c r="I17" i="26"/>
  <c r="F15" i="26"/>
  <c r="G14" i="26"/>
  <c r="H13" i="26"/>
  <c r="F13" i="26"/>
  <c r="I11" i="26"/>
  <c r="I10" i="26"/>
  <c r="F8" i="26"/>
  <c r="G84" i="33" l="1"/>
  <c r="H83" i="33"/>
  <c r="F83" i="33"/>
  <c r="I81" i="33"/>
  <c r="I80" i="33"/>
  <c r="F78" i="33"/>
  <c r="G77" i="33"/>
  <c r="H76" i="33"/>
  <c r="F76" i="33"/>
  <c r="I74" i="33"/>
  <c r="I73" i="33"/>
  <c r="F71" i="33"/>
  <c r="G70" i="33"/>
  <c r="H69" i="33"/>
  <c r="F69" i="33"/>
  <c r="I67" i="33"/>
  <c r="I66" i="33"/>
  <c r="F64" i="33"/>
  <c r="G63" i="33"/>
  <c r="H62" i="33"/>
  <c r="F62" i="33"/>
  <c r="I60" i="33"/>
  <c r="I59" i="33"/>
  <c r="F57" i="33"/>
  <c r="G56" i="33"/>
  <c r="H55" i="33"/>
  <c r="F55" i="33"/>
  <c r="I53" i="33"/>
  <c r="I52" i="33"/>
  <c r="F50" i="33"/>
  <c r="G49" i="33"/>
  <c r="H48" i="33"/>
  <c r="F48" i="33"/>
  <c r="I46" i="33"/>
  <c r="I45" i="33"/>
  <c r="F43" i="33"/>
  <c r="G42" i="33"/>
  <c r="H41" i="33"/>
  <c r="F41" i="33"/>
  <c r="I39" i="33"/>
  <c r="I38" i="33"/>
  <c r="F36" i="33"/>
  <c r="G35" i="33"/>
  <c r="H34" i="33"/>
  <c r="F34" i="33"/>
  <c r="I32" i="33"/>
  <c r="I31" i="33"/>
  <c r="F29" i="33"/>
  <c r="G28" i="33"/>
  <c r="H27" i="33"/>
  <c r="F27" i="33"/>
  <c r="I25" i="33"/>
  <c r="I24" i="33"/>
  <c r="F22" i="33"/>
  <c r="G21" i="33"/>
  <c r="H20" i="33"/>
  <c r="F20" i="33"/>
  <c r="I18" i="33"/>
  <c r="I17" i="33"/>
  <c r="F15" i="33"/>
  <c r="G14" i="33"/>
  <c r="H13" i="33"/>
  <c r="F13" i="33"/>
  <c r="I11" i="33"/>
  <c r="I10" i="33"/>
  <c r="F8" i="33"/>
  <c r="B14" i="32" l="1"/>
  <c r="G14" i="32" s="1"/>
  <c r="H13" i="32"/>
  <c r="A13" i="32"/>
  <c r="F13" i="32" s="1"/>
  <c r="I11" i="32"/>
  <c r="I10" i="32"/>
  <c r="F8" i="32"/>
  <c r="G7" i="36" l="1"/>
  <c r="H6" i="36"/>
  <c r="F6" i="36"/>
  <c r="I4" i="36"/>
  <c r="I3" i="36"/>
  <c r="F1" i="36"/>
  <c r="G7" i="35"/>
  <c r="H6" i="35"/>
  <c r="F6" i="35"/>
  <c r="I4" i="35"/>
  <c r="I3" i="35"/>
  <c r="F1" i="35"/>
  <c r="G7" i="34" l="1"/>
  <c r="H6" i="34"/>
  <c r="F6" i="34"/>
  <c r="I4" i="34"/>
  <c r="I3" i="34"/>
  <c r="F1" i="34"/>
  <c r="G28" i="29" l="1"/>
  <c r="H27" i="29"/>
  <c r="F27" i="29"/>
  <c r="I25" i="29"/>
  <c r="I24" i="29"/>
  <c r="F22" i="29"/>
  <c r="G21" i="29"/>
  <c r="H20" i="29"/>
  <c r="F20" i="29"/>
  <c r="I18" i="29"/>
  <c r="I17" i="29"/>
  <c r="F15" i="29"/>
  <c r="G14" i="29"/>
  <c r="H13" i="29"/>
  <c r="F13" i="29"/>
  <c r="I11" i="29"/>
  <c r="I10" i="29"/>
  <c r="F8" i="29"/>
  <c r="F6" i="33"/>
  <c r="A6" i="32"/>
  <c r="F6" i="32" s="1"/>
  <c r="G7" i="33"/>
  <c r="B7" i="32"/>
  <c r="G7" i="32" s="1"/>
  <c r="H6" i="33"/>
  <c r="I4" i="33"/>
  <c r="I3" i="33"/>
  <c r="F1" i="33"/>
  <c r="H6" i="32"/>
  <c r="I4" i="32"/>
  <c r="I3" i="32"/>
  <c r="F1" i="32"/>
  <c r="G7" i="31"/>
  <c r="F6" i="31"/>
  <c r="H6" i="31"/>
  <c r="I4" i="31"/>
  <c r="I3" i="31"/>
  <c r="F1" i="31"/>
  <c r="G7" i="29" l="1"/>
  <c r="H6" i="29"/>
  <c r="F6" i="29"/>
  <c r="I4" i="29"/>
  <c r="I3" i="29"/>
  <c r="F1" i="29"/>
  <c r="G7" i="28" l="1"/>
  <c r="H6" i="28"/>
  <c r="F6" i="28"/>
  <c r="I4" i="28"/>
  <c r="I3" i="28"/>
  <c r="F1" i="28"/>
  <c r="G7" i="27" l="1"/>
  <c r="H6" i="27"/>
  <c r="F6" i="27"/>
  <c r="I4" i="27"/>
  <c r="I3" i="27"/>
  <c r="F1" i="27"/>
  <c r="G7" i="26"/>
  <c r="H6" i="26"/>
  <c r="F6" i="26"/>
  <c r="I4" i="26"/>
  <c r="I3" i="26"/>
  <c r="F1" i="26"/>
  <c r="G7" i="25"/>
  <c r="H6" i="25"/>
  <c r="F6" i="25"/>
  <c r="I4" i="25"/>
  <c r="I3" i="25"/>
  <c r="F1" i="25"/>
  <c r="G7" i="24"/>
  <c r="H6" i="24"/>
  <c r="F6" i="24"/>
  <c r="I4" i="24"/>
  <c r="I3" i="24"/>
  <c r="F1" i="24"/>
  <c r="G7" i="23"/>
  <c r="H6" i="23"/>
  <c r="F6" i="23"/>
  <c r="I4" i="23"/>
  <c r="I3" i="23"/>
  <c r="F1" i="23"/>
  <c r="G7" i="22"/>
  <c r="H6" i="22"/>
  <c r="F6" i="22"/>
  <c r="I4" i="22"/>
  <c r="I3" i="22"/>
  <c r="F1" i="22"/>
  <c r="G7" i="21"/>
  <c r="H6" i="21"/>
  <c r="F6" i="21"/>
  <c r="I4" i="21"/>
  <c r="I3" i="21"/>
  <c r="F1" i="21"/>
  <c r="G7" i="20"/>
  <c r="H6" i="20"/>
  <c r="F6" i="20"/>
  <c r="I4" i="20"/>
  <c r="I3" i="20"/>
  <c r="F1" i="20"/>
  <c r="G7" i="19"/>
  <c r="H6" i="19"/>
  <c r="F6" i="19"/>
  <c r="I4" i="19"/>
  <c r="I3" i="19"/>
  <c r="F1" i="19"/>
  <c r="G7" i="18"/>
  <c r="H6" i="18"/>
  <c r="F6" i="18"/>
  <c r="I4" i="18"/>
  <c r="I3" i="18"/>
  <c r="F1" i="18"/>
  <c r="G7" i="17"/>
  <c r="H6" i="17"/>
  <c r="F6" i="17"/>
  <c r="I4" i="17"/>
  <c r="I3" i="17"/>
  <c r="F1" i="17"/>
  <c r="G7" i="16"/>
  <c r="H6" i="16"/>
  <c r="F6" i="16"/>
  <c r="I4" i="16"/>
  <c r="I3" i="16"/>
  <c r="F1" i="16"/>
  <c r="G7" i="15"/>
  <c r="H6" i="15"/>
  <c r="F6" i="15"/>
  <c r="I4" i="15"/>
  <c r="I3" i="15"/>
  <c r="F1" i="15"/>
  <c r="G7" i="14"/>
  <c r="H6" i="14"/>
  <c r="F6" i="14"/>
  <c r="I4" i="14"/>
  <c r="I3" i="14"/>
  <c r="F1" i="14"/>
  <c r="G7" i="9" l="1"/>
  <c r="H6" i="9"/>
  <c r="F6" i="9"/>
  <c r="I4" i="9"/>
  <c r="I3" i="9"/>
  <c r="F1" i="9"/>
</calcChain>
</file>

<file path=xl/sharedStrings.xml><?xml version="1.0" encoding="utf-8"?>
<sst xmlns="http://schemas.openxmlformats.org/spreadsheetml/2006/main" count="8411" uniqueCount="120">
  <si>
    <t>Date:</t>
  </si>
  <si>
    <t>MO:</t>
  </si>
  <si>
    <t>Shift:</t>
  </si>
  <si>
    <t>Plt. No:</t>
  </si>
  <si>
    <t>Index:</t>
  </si>
  <si>
    <t>Machine:</t>
  </si>
  <si>
    <t>Mold:</t>
  </si>
  <si>
    <t>Trays Per Pallet</t>
  </si>
  <si>
    <t>Pcs Per Tray</t>
  </si>
  <si>
    <t>PCR-Q</t>
  </si>
  <si>
    <t>White</t>
  </si>
  <si>
    <t>1,250 pcs x 80 trays = 100,000 pcs</t>
  </si>
  <si>
    <t>1,250 pcs x 23 trays = 28,750 pcs</t>
  </si>
  <si>
    <t>02C</t>
  </si>
  <si>
    <t>DEO-C01</t>
  </si>
  <si>
    <t>03C</t>
  </si>
  <si>
    <t>DEO-B03</t>
  </si>
  <si>
    <t>04B</t>
  </si>
  <si>
    <t>DEO-S02</t>
  </si>
  <si>
    <t>09B</t>
  </si>
  <si>
    <t>DEO-P01</t>
  </si>
  <si>
    <t>22B</t>
  </si>
  <si>
    <t>DEO-D01</t>
  </si>
  <si>
    <t>16B</t>
  </si>
  <si>
    <t>DEO-C02</t>
  </si>
  <si>
    <t>17B</t>
  </si>
  <si>
    <t>DEO-B01</t>
  </si>
  <si>
    <t>DEO-S01</t>
  </si>
  <si>
    <t>06B</t>
  </si>
  <si>
    <t>DEO-P03</t>
  </si>
  <si>
    <t>12A</t>
  </si>
  <si>
    <t>DEO-D02</t>
  </si>
  <si>
    <t>21B</t>
  </si>
  <si>
    <t>DEO-B02</t>
  </si>
  <si>
    <t>Oval DEO - Cap</t>
  </si>
  <si>
    <t>Oval DEO - Barrel</t>
  </si>
  <si>
    <t>Oval DEO - Inner Dome</t>
  </si>
  <si>
    <t>Oval DEO - Platform</t>
  </si>
  <si>
    <t>Oval DEO - Screw</t>
  </si>
  <si>
    <t>500 pcs x 80 trays = 40,000 pcs</t>
  </si>
  <si>
    <t>2,300 pcs x 80 trays = 184,000 pcs</t>
  </si>
  <si>
    <t>Oval DEO - Plug</t>
  </si>
  <si>
    <t>DEO-U02</t>
  </si>
  <si>
    <t>07B</t>
  </si>
  <si>
    <t>DEO-U01</t>
  </si>
  <si>
    <t>PP6331</t>
  </si>
  <si>
    <t>20B</t>
  </si>
  <si>
    <t>DEO-C05</t>
  </si>
  <si>
    <t>700 pcs x 20 trays = 14,000 pcs</t>
  </si>
  <si>
    <t>09B/06B</t>
  </si>
  <si>
    <t>DEO-P01/ DEO-P03</t>
  </si>
  <si>
    <t>04B/05C</t>
  </si>
  <si>
    <t>DEO-S02/ DEO-S01</t>
  </si>
  <si>
    <t>2,300 pcs x 7 trays = 16,100 pcs</t>
  </si>
  <si>
    <t>Oval DEO - Stopper</t>
  </si>
  <si>
    <t/>
  </si>
  <si>
    <t>35U1F</t>
  </si>
  <si>
    <t>DEO-M01</t>
  </si>
  <si>
    <t>Silo 8</t>
  </si>
  <si>
    <t>90 trays</t>
  </si>
  <si>
    <t>Clear</t>
  </si>
  <si>
    <t>DEO-D03</t>
  </si>
  <si>
    <t>500 pcs x 62 trays = 31,000 pcs</t>
  </si>
  <si>
    <t>35U1</t>
  </si>
  <si>
    <t>DEO-C04</t>
  </si>
  <si>
    <t>Trays Per Layer</t>
  </si>
  <si>
    <t>220 pcs x 80 trays = 17,600 pcs</t>
  </si>
  <si>
    <t>700 pcs x 5 trays = 3,500 pcs</t>
  </si>
  <si>
    <t>500 pcs x 27 trays = 13,500 pcs</t>
  </si>
  <si>
    <t>PCR-Q+6331</t>
  </si>
  <si>
    <t>24978, 24979, 24980, 24981</t>
  </si>
  <si>
    <t>1,400 pcs x 16 trays = 22,400 pcs</t>
  </si>
  <si>
    <t>460 pcs x 80 trays = 36,800 pcs</t>
  </si>
  <si>
    <t>470 pcs x 80 trays = 37,600 pcs</t>
  </si>
  <si>
    <t>08B</t>
  </si>
  <si>
    <t>DEO-D04</t>
  </si>
  <si>
    <t>13B</t>
  </si>
  <si>
    <t>P814</t>
  </si>
  <si>
    <t>200 pcs x 20 trays = 4,000 pcs</t>
  </si>
  <si>
    <t xml:space="preserve">Oval DEO - Platform </t>
  </si>
  <si>
    <t>26010, 26011, 26012, 26013</t>
  </si>
  <si>
    <t>Green</t>
  </si>
  <si>
    <t>Tall DEO - Barrel</t>
  </si>
  <si>
    <t>18B</t>
  </si>
  <si>
    <t>DEO-B06</t>
  </si>
  <si>
    <t>KW621</t>
  </si>
  <si>
    <t>165 pcs x 20 trays = 3,300 pcs</t>
  </si>
  <si>
    <t>19B</t>
  </si>
  <si>
    <t>DEO-C07</t>
  </si>
  <si>
    <t>DEO-U04</t>
  </si>
  <si>
    <t>Tall DEO - Plug</t>
  </si>
  <si>
    <t>Tall DEO - Screw</t>
  </si>
  <si>
    <t>21A</t>
  </si>
  <si>
    <t>1,100 pcs x 16 trays = 17,600 pcs</t>
  </si>
  <si>
    <t>DEO-S03</t>
  </si>
  <si>
    <t>700 pcs x 4 trays = 2,800 pcs</t>
  </si>
  <si>
    <t>14A</t>
  </si>
  <si>
    <t>MTD Blue</t>
  </si>
  <si>
    <t>26684-1</t>
  </si>
  <si>
    <t>700 pcs x 3 trays = 2,100 pcs</t>
  </si>
  <si>
    <t>200 pcs x 16 trays = 3,200 pcs</t>
  </si>
  <si>
    <t>27086, 27504</t>
  </si>
  <si>
    <t>2,600 pcs x 80 trays = 208,000 pcs</t>
  </si>
  <si>
    <t>2,600 pcs x 10 trays = 26,000 pcs</t>
  </si>
  <si>
    <t>470 pcs x 60 trays = 28,200 pcs</t>
  </si>
  <si>
    <t>29B</t>
  </si>
  <si>
    <t>2,000 pcs x 80 trays = 160,000 pcs</t>
  </si>
  <si>
    <t>27502, 27580, 27707</t>
  </si>
  <si>
    <t>2,000 pcs x 26 trays = 52,000 pcs</t>
  </si>
  <si>
    <t>Global White</t>
  </si>
  <si>
    <t>26908, 27009, 27268</t>
  </si>
  <si>
    <t>470 pcs x 5 trays = 2,350 pcs</t>
  </si>
  <si>
    <t>Yellow</t>
  </si>
  <si>
    <t>700 pcs x 7 trays = 4,900 pcs</t>
  </si>
  <si>
    <t>200 pcs x 6 trays = 1,200 pcs</t>
  </si>
  <si>
    <t>700 pcs x 11 trays = 7,700 pcs</t>
  </si>
  <si>
    <t>200 pcs x 3 trays = 600 pcs</t>
  </si>
  <si>
    <t>08A</t>
  </si>
  <si>
    <t>1,400 pcs x 10 trays = 14,000 pcs</t>
  </si>
  <si>
    <t>Oval DEO - Inner Dome (米老鼠)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</si>
</sst>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2"/>
      <color theme="1"/>
      <name val="Source Code Pro Semibold"/>
      <family val="2"/>
    </font>
    <font>
      <sz val="20"/>
      <color theme="1"/>
      <name val="Microsoft JhengHei"/>
      <family val="2"/>
    </font>
    <font>
      <sz val="18"/>
      <color theme="1"/>
      <name val="Microsoft JhengHei"/>
      <family val="2"/>
    </font>
    <font>
      <sz val="16"/>
      <color theme="1"/>
      <name val="Microsoft JhengHei"/>
      <family val="2"/>
    </font>
    <font>
      <sz val="18"/>
      <name val="Microsoft JhengHei"/>
      <family val="2"/>
    </font>
    <font>
      <b/>
      <sz val="36"/>
      <name val="Microsoft JhengHei"/>
      <family val="2"/>
    </font>
    <font>
      <sz val="14"/>
      <name val="Microsoft JhengHei"/>
      <family val="2"/>
    </font>
    <font>
      <sz val="20"/>
      <color rgb="FFFFFFFF"/>
      <name val="Microsoft JhengHei"/>
      <family val="2"/>
    </font>
    <font>
      <sz val="18"/>
      <color rgb="FFFFFFFF"/>
      <name val="Microsoft JhengHei"/>
      <family val="2"/>
    </font>
    <font>
      <b/>
      <sz val="36"/>
      <color rgb="FFFFFFFF"/>
      <name val="Microsoft JhengHei"/>
      <family val="2"/>
    </font>
    <font>
      <sz val="14"/>
      <color rgb="FFFFFFFF"/>
      <name val="Microsoft JhengHei"/>
      <family val="2"/>
    </font>
    <font>
      <sz val="16"/>
      <color rgb="FFFFFFFF"/>
      <name val="Microsoft JhengHe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4" fillId="0" borderId="2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3" xfId="0" quotePrefix="1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1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8" fillId="0" borderId="0" xfId="0" quotePrefix="1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4" fillId="0" borderId="1" xfId="0" quotePrefix="1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L14"/>
  <sheetViews>
    <sheetView view="pageBreakPreview" zoomScaleNormal="100" zoomScaleSheetLayoutView="100" workbookViewId="0">
      <selection activeCell="J10" sqref="J10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36</v>
      </c>
      <c r="B1" s="33"/>
      <c r="C1" s="33"/>
      <c r="D1" s="33"/>
      <c r="E1" s="2"/>
      <c r="F1" s="33" t="str">
        <f>A1</f>
        <v>Oval DEO - Inner Dome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6" t="s">
        <v>0</v>
      </c>
      <c r="G2" s="25"/>
      <c r="H2" s="26" t="s">
        <v>1</v>
      </c>
      <c r="I2" s="25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30</v>
      </c>
      <c r="E3" s="4"/>
      <c r="F3" s="26" t="s">
        <v>2</v>
      </c>
      <c r="G3" s="25"/>
      <c r="H3" s="26" t="s">
        <v>5</v>
      </c>
      <c r="I3" s="7" t="str">
        <f>D3</f>
        <v>12A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17" t="s">
        <v>31</v>
      </c>
      <c r="E4" s="4"/>
      <c r="F4" s="8" t="s">
        <v>3</v>
      </c>
      <c r="G4" s="9">
        <v>3</v>
      </c>
      <c r="H4" s="26" t="s">
        <v>6</v>
      </c>
      <c r="I4" s="17" t="str">
        <f>D4</f>
        <v>DEO-D02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39</v>
      </c>
      <c r="B5" s="35"/>
      <c r="C5" s="35"/>
      <c r="D5" s="36"/>
      <c r="E5" s="5"/>
      <c r="F5" s="34" t="s">
        <v>39</v>
      </c>
      <c r="G5" s="35"/>
      <c r="H5" s="35"/>
      <c r="I5" s="36"/>
      <c r="K5" s="1">
        <v>500</v>
      </c>
      <c r="L5" s="1">
        <v>80</v>
      </c>
    </row>
    <row r="6" spans="1:12" s="1" customFormat="1" ht="30" customHeight="1" x14ac:dyDescent="0.25">
      <c r="A6" s="39">
        <v>6331</v>
      </c>
      <c r="B6" s="40"/>
      <c r="C6" s="41" t="s">
        <v>10</v>
      </c>
      <c r="D6" s="42"/>
      <c r="E6" s="4"/>
      <c r="F6" s="39">
        <f>A6</f>
        <v>6331</v>
      </c>
      <c r="G6" s="40"/>
      <c r="H6" s="41" t="str">
        <f>C6</f>
        <v>White</v>
      </c>
      <c r="I6" s="42"/>
    </row>
    <row r="7" spans="1:12" s="1" customFormat="1" ht="30" customHeight="1" x14ac:dyDescent="0.25">
      <c r="A7" s="12" t="s">
        <v>4</v>
      </c>
      <c r="B7" s="37">
        <v>24868</v>
      </c>
      <c r="C7" s="37"/>
      <c r="D7" s="38"/>
      <c r="E7" s="4"/>
      <c r="F7" s="12" t="s">
        <v>4</v>
      </c>
      <c r="G7" s="37">
        <f>B7</f>
        <v>24868</v>
      </c>
      <c r="H7" s="37"/>
      <c r="I7" s="38"/>
    </row>
    <row r="8" spans="1:12" ht="63.75" customHeight="1" x14ac:dyDescent="0.25">
      <c r="A8" s="33" t="s">
        <v>36</v>
      </c>
      <c r="B8" s="33"/>
      <c r="C8" s="33"/>
      <c r="D8" s="33"/>
      <c r="E8" s="2"/>
      <c r="F8" s="33" t="str">
        <f>A8</f>
        <v>Oval DEO - Inner Dome</v>
      </c>
      <c r="G8" s="33"/>
      <c r="H8" s="33"/>
      <c r="I8" s="33"/>
    </row>
    <row r="9" spans="1:12" s="1" customFormat="1" ht="30" customHeight="1" x14ac:dyDescent="0.25">
      <c r="A9" s="26" t="s">
        <v>0</v>
      </c>
      <c r="B9" s="25"/>
      <c r="C9" s="26" t="s">
        <v>1</v>
      </c>
      <c r="D9" s="25"/>
      <c r="E9" s="3"/>
      <c r="F9" s="26" t="s">
        <v>0</v>
      </c>
      <c r="G9" s="25"/>
      <c r="H9" s="26" t="s">
        <v>1</v>
      </c>
      <c r="I9" s="25"/>
    </row>
    <row r="10" spans="1:12" s="1" customFormat="1" ht="30" customHeight="1" x14ac:dyDescent="0.25">
      <c r="A10" s="26" t="s">
        <v>2</v>
      </c>
      <c r="B10" s="25"/>
      <c r="C10" s="26" t="s">
        <v>5</v>
      </c>
      <c r="D10" s="7" t="s">
        <v>30</v>
      </c>
      <c r="E10" s="4"/>
      <c r="F10" s="26" t="s">
        <v>2</v>
      </c>
      <c r="G10" s="25"/>
      <c r="H10" s="26" t="s">
        <v>5</v>
      </c>
      <c r="I10" s="7" t="str">
        <f>D10</f>
        <v>12A</v>
      </c>
    </row>
    <row r="11" spans="1:12" s="1" customFormat="1" ht="53.25" customHeight="1" x14ac:dyDescent="0.25">
      <c r="A11" s="8" t="s">
        <v>3</v>
      </c>
      <c r="B11" s="9">
        <v>2</v>
      </c>
      <c r="C11" s="26" t="s">
        <v>6</v>
      </c>
      <c r="D11" s="17" t="s">
        <v>31</v>
      </c>
      <c r="E11" s="4"/>
      <c r="F11" s="8" t="s">
        <v>3</v>
      </c>
      <c r="G11" s="9">
        <v>4</v>
      </c>
      <c r="H11" s="26" t="s">
        <v>6</v>
      </c>
      <c r="I11" s="17" t="str">
        <f>D11</f>
        <v>DEO-D02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39</v>
      </c>
      <c r="B12" s="35"/>
      <c r="C12" s="35"/>
      <c r="D12" s="36"/>
      <c r="E12" s="5"/>
      <c r="F12" s="34" t="s">
        <v>68</v>
      </c>
      <c r="G12" s="35"/>
      <c r="H12" s="35"/>
      <c r="I12" s="36"/>
      <c r="K12" s="1">
        <v>500</v>
      </c>
      <c r="L12" s="1">
        <v>80</v>
      </c>
    </row>
    <row r="13" spans="1:12" s="1" customFormat="1" ht="30" customHeight="1" x14ac:dyDescent="0.25">
      <c r="A13" s="39">
        <v>6331</v>
      </c>
      <c r="B13" s="40"/>
      <c r="C13" s="41" t="s">
        <v>10</v>
      </c>
      <c r="D13" s="42"/>
      <c r="E13" s="4"/>
      <c r="F13" s="39">
        <f>A13</f>
        <v>6331</v>
      </c>
      <c r="G13" s="40"/>
      <c r="H13" s="41" t="str">
        <f>C13</f>
        <v>White</v>
      </c>
      <c r="I13" s="42"/>
    </row>
    <row r="14" spans="1:12" s="1" customFormat="1" ht="30" customHeight="1" x14ac:dyDescent="0.25">
      <c r="A14" s="12" t="s">
        <v>4</v>
      </c>
      <c r="B14" s="37">
        <v>24868</v>
      </c>
      <c r="C14" s="37"/>
      <c r="D14" s="38"/>
      <c r="E14" s="4"/>
      <c r="F14" s="12" t="s">
        <v>4</v>
      </c>
      <c r="G14" s="37">
        <f>B14</f>
        <v>24868</v>
      </c>
      <c r="H14" s="37"/>
      <c r="I14" s="38"/>
    </row>
  </sheetData>
  <mergeCells count="20">
    <mergeCell ref="A13:B13"/>
    <mergeCell ref="C13:D13"/>
    <mergeCell ref="F13:G13"/>
    <mergeCell ref="H13:I13"/>
    <mergeCell ref="B14:D14"/>
    <mergeCell ref="G14:I14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B7:D7"/>
    <mergeCell ref="G7:I7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L14"/>
  <sheetViews>
    <sheetView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37</v>
      </c>
      <c r="B1" s="33"/>
      <c r="C1" s="33"/>
      <c r="D1" s="33"/>
      <c r="E1" s="2"/>
      <c r="F1" s="33" t="str">
        <f>A1</f>
        <v>Oval DEO - Platform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49</v>
      </c>
      <c r="E3" s="4"/>
      <c r="F3" s="11" t="s">
        <v>2</v>
      </c>
      <c r="G3" s="10"/>
      <c r="H3" s="11" t="s">
        <v>5</v>
      </c>
      <c r="I3" s="7" t="str">
        <f>D3</f>
        <v>09B/06B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17" t="s">
        <v>50</v>
      </c>
      <c r="E4" s="4"/>
      <c r="F4" s="8" t="s">
        <v>3</v>
      </c>
      <c r="G4" s="9">
        <v>3</v>
      </c>
      <c r="H4" s="11" t="s">
        <v>6</v>
      </c>
      <c r="I4" s="17" t="str">
        <f>D4</f>
        <v>DEO-P01/ DEO-P03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39</v>
      </c>
      <c r="B5" s="35"/>
      <c r="C5" s="35"/>
      <c r="D5" s="36"/>
      <c r="E5" s="5"/>
      <c r="F5" s="34" t="s">
        <v>39</v>
      </c>
      <c r="G5" s="35"/>
      <c r="H5" s="35"/>
      <c r="I5" s="36"/>
      <c r="K5" s="1">
        <v>500</v>
      </c>
      <c r="L5" s="1">
        <v>80</v>
      </c>
    </row>
    <row r="6" spans="1:12" s="1" customFormat="1" ht="30" customHeight="1" x14ac:dyDescent="0.25">
      <c r="A6" s="39">
        <f>DEO_InnerDome!$A$6</f>
        <v>6331</v>
      </c>
      <c r="B6" s="40"/>
      <c r="C6" s="41" t="s">
        <v>10</v>
      </c>
      <c r="D6" s="42"/>
      <c r="E6" s="4"/>
      <c r="F6" s="43">
        <f>A6</f>
        <v>6331</v>
      </c>
      <c r="G6" s="44"/>
      <c r="H6" s="41" t="str">
        <f>C6</f>
        <v>White</v>
      </c>
      <c r="I6" s="42"/>
    </row>
    <row r="7" spans="1:12" s="1" customFormat="1" ht="30" customHeight="1" x14ac:dyDescent="0.25">
      <c r="A7" s="12" t="s">
        <v>4</v>
      </c>
      <c r="B7" s="37">
        <f>DEO_InnerDome!$B$7</f>
        <v>24868</v>
      </c>
      <c r="C7" s="37"/>
      <c r="D7" s="38"/>
      <c r="E7" s="4"/>
      <c r="F7" s="12" t="s">
        <v>4</v>
      </c>
      <c r="G7" s="37">
        <f>B7</f>
        <v>24868</v>
      </c>
      <c r="H7" s="37"/>
      <c r="I7" s="38"/>
    </row>
    <row r="8" spans="1:12" ht="63.75" customHeight="1" x14ac:dyDescent="0.25">
      <c r="A8" s="33" t="s">
        <v>37</v>
      </c>
      <c r="B8" s="33"/>
      <c r="C8" s="33"/>
      <c r="D8" s="33"/>
      <c r="E8" s="2"/>
      <c r="F8" s="33" t="str">
        <f>A8</f>
        <v>Oval DEO - Platform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49</v>
      </c>
      <c r="E10" s="4"/>
      <c r="F10" s="11" t="s">
        <v>2</v>
      </c>
      <c r="G10" s="10"/>
      <c r="H10" s="11" t="s">
        <v>5</v>
      </c>
      <c r="I10" s="7" t="str">
        <f>D10</f>
        <v>09B/06B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17" t="s">
        <v>50</v>
      </c>
      <c r="E11" s="4"/>
      <c r="F11" s="8" t="s">
        <v>3</v>
      </c>
      <c r="G11" s="9">
        <v>4</v>
      </c>
      <c r="H11" s="11" t="s">
        <v>6</v>
      </c>
      <c r="I11" s="17" t="str">
        <f>D11</f>
        <v>DEO-P01/ DEO-P03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39</v>
      </c>
      <c r="B12" s="35"/>
      <c r="C12" s="35"/>
      <c r="D12" s="36"/>
      <c r="E12" s="5"/>
      <c r="F12" s="34" t="s">
        <v>39</v>
      </c>
      <c r="G12" s="35"/>
      <c r="H12" s="35"/>
      <c r="I12" s="36"/>
      <c r="K12" s="1">
        <v>500</v>
      </c>
      <c r="L12" s="1">
        <v>80</v>
      </c>
    </row>
    <row r="13" spans="1:12" s="1" customFormat="1" ht="30" customHeight="1" x14ac:dyDescent="0.25">
      <c r="A13" s="43">
        <f>DEO_InnerDome!$A$6</f>
        <v>6331</v>
      </c>
      <c r="B13" s="44"/>
      <c r="C13" s="41" t="s">
        <v>10</v>
      </c>
      <c r="D13" s="42"/>
      <c r="E13" s="4"/>
      <c r="F13" s="43">
        <f>A13</f>
        <v>6331</v>
      </c>
      <c r="G13" s="44"/>
      <c r="H13" s="41" t="str">
        <f>C13</f>
        <v>White</v>
      </c>
      <c r="I13" s="42"/>
    </row>
    <row r="14" spans="1:12" s="1" customFormat="1" ht="30" customHeight="1" x14ac:dyDescent="0.25">
      <c r="A14" s="12" t="s">
        <v>4</v>
      </c>
      <c r="B14" s="37">
        <f>DEO_InnerDome!$B$7</f>
        <v>24868</v>
      </c>
      <c r="C14" s="37"/>
      <c r="D14" s="38"/>
      <c r="E14" s="4"/>
      <c r="F14" s="12" t="s">
        <v>4</v>
      </c>
      <c r="G14" s="37">
        <f>B14</f>
        <v>24868</v>
      </c>
      <c r="H14" s="37"/>
      <c r="I14" s="38"/>
    </row>
  </sheetData>
  <mergeCells count="20">
    <mergeCell ref="A1:D1"/>
    <mergeCell ref="F1:I1"/>
    <mergeCell ref="A5:D5"/>
    <mergeCell ref="F5:I5"/>
    <mergeCell ref="A6:B6"/>
    <mergeCell ref="C6:D6"/>
    <mergeCell ref="F6:G6"/>
    <mergeCell ref="H6:I6"/>
    <mergeCell ref="A13:B13"/>
    <mergeCell ref="C13:D13"/>
    <mergeCell ref="F13:G13"/>
    <mergeCell ref="H13:I13"/>
    <mergeCell ref="B14:D14"/>
    <mergeCell ref="G14:I14"/>
    <mergeCell ref="A8:D8"/>
    <mergeCell ref="F8:I8"/>
    <mergeCell ref="A12:D12"/>
    <mergeCell ref="F12:I12"/>
    <mergeCell ref="B7:D7"/>
    <mergeCell ref="G7:I7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L84"/>
  <sheetViews>
    <sheetView view="pageBreakPreview" topLeftCell="A70" zoomScaleNormal="100" zoomScaleSheetLayoutView="100" workbookViewId="0">
      <selection activeCell="B77" sqref="B77:D7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38</v>
      </c>
      <c r="B1" s="33"/>
      <c r="C1" s="33"/>
      <c r="D1" s="33"/>
      <c r="E1" s="2"/>
      <c r="F1" s="33" t="str">
        <f>A1</f>
        <v>Oval DEO - Screw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51</v>
      </c>
      <c r="E3" s="4"/>
      <c r="F3" s="11" t="s">
        <v>2</v>
      </c>
      <c r="G3" s="10"/>
      <c r="H3" s="11" t="s">
        <v>5</v>
      </c>
      <c r="I3" s="7" t="str">
        <f>D3</f>
        <v>04B/05C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17" t="s">
        <v>52</v>
      </c>
      <c r="E4" s="4"/>
      <c r="F4" s="8" t="s">
        <v>3</v>
      </c>
      <c r="G4" s="9">
        <v>13</v>
      </c>
      <c r="H4" s="11" t="s">
        <v>6</v>
      </c>
      <c r="I4" s="17" t="str">
        <f>D4</f>
        <v>DEO-S02/ DEO-S01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66</v>
      </c>
      <c r="B5" s="35"/>
      <c r="C5" s="35"/>
      <c r="D5" s="36"/>
      <c r="E5" s="5"/>
      <c r="F5" s="34" t="s">
        <v>66</v>
      </c>
      <c r="G5" s="35"/>
      <c r="H5" s="35"/>
      <c r="I5" s="36"/>
      <c r="K5" s="1">
        <v>220</v>
      </c>
      <c r="L5" s="1">
        <v>80</v>
      </c>
    </row>
    <row r="6" spans="1:12" s="1" customFormat="1" ht="30" customHeight="1" x14ac:dyDescent="0.25">
      <c r="A6" s="39" t="s">
        <v>69</v>
      </c>
      <c r="B6" s="40"/>
      <c r="C6" s="44" t="s">
        <v>10</v>
      </c>
      <c r="D6" s="42"/>
      <c r="E6" s="4"/>
      <c r="F6" s="39" t="str">
        <f>A6</f>
        <v>PCR-Q+6331</v>
      </c>
      <c r="G6" s="40"/>
      <c r="H6" s="44" t="str">
        <f>C6</f>
        <v>White</v>
      </c>
      <c r="I6" s="42"/>
    </row>
    <row r="7" spans="1:12" s="1" customFormat="1" ht="30" customHeight="1" x14ac:dyDescent="0.25">
      <c r="A7" s="12" t="s">
        <v>4</v>
      </c>
      <c r="B7" s="37" t="s">
        <v>70</v>
      </c>
      <c r="C7" s="37"/>
      <c r="D7" s="38"/>
      <c r="E7" s="4"/>
      <c r="F7" s="12" t="s">
        <v>4</v>
      </c>
      <c r="G7" s="37" t="str">
        <f>B7</f>
        <v>24978, 24979, 24980, 24981</v>
      </c>
      <c r="H7" s="37"/>
      <c r="I7" s="38"/>
    </row>
    <row r="8" spans="1:12" ht="63.75" customHeight="1" x14ac:dyDescent="0.25">
      <c r="A8" s="33" t="s">
        <v>38</v>
      </c>
      <c r="B8" s="33"/>
      <c r="C8" s="33"/>
      <c r="D8" s="33"/>
      <c r="E8" s="2"/>
      <c r="F8" s="33" t="str">
        <f>A8</f>
        <v>Oval DEO - Screw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51</v>
      </c>
      <c r="E10" s="4"/>
      <c r="F10" s="11" t="s">
        <v>2</v>
      </c>
      <c r="G10" s="10"/>
      <c r="H10" s="11" t="s">
        <v>5</v>
      </c>
      <c r="I10" s="7" t="str">
        <f>D10</f>
        <v>04B/05C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17" t="s">
        <v>52</v>
      </c>
      <c r="E11" s="4"/>
      <c r="F11" s="8" t="s">
        <v>3</v>
      </c>
      <c r="G11" s="9">
        <v>14</v>
      </c>
      <c r="H11" s="11" t="s">
        <v>6</v>
      </c>
      <c r="I11" s="17" t="str">
        <f>D11</f>
        <v>DEO-S02/ DEO-S01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66</v>
      </c>
      <c r="B12" s="35"/>
      <c r="C12" s="35"/>
      <c r="D12" s="36"/>
      <c r="E12" s="5"/>
      <c r="F12" s="34" t="s">
        <v>66</v>
      </c>
      <c r="G12" s="35"/>
      <c r="H12" s="35"/>
      <c r="I12" s="36"/>
      <c r="K12" s="1">
        <v>220</v>
      </c>
      <c r="L12" s="1">
        <v>80</v>
      </c>
    </row>
    <row r="13" spans="1:12" s="1" customFormat="1" ht="30" customHeight="1" x14ac:dyDescent="0.25">
      <c r="A13" s="39" t="s">
        <v>69</v>
      </c>
      <c r="B13" s="40"/>
      <c r="C13" s="44" t="s">
        <v>10</v>
      </c>
      <c r="D13" s="42"/>
      <c r="E13" s="4"/>
      <c r="F13" s="39" t="str">
        <f>A13</f>
        <v>PCR-Q+6331</v>
      </c>
      <c r="G13" s="40"/>
      <c r="H13" s="44" t="str">
        <f>C13</f>
        <v>White</v>
      </c>
      <c r="I13" s="42"/>
    </row>
    <row r="14" spans="1:12" s="1" customFormat="1" ht="30" customHeight="1" x14ac:dyDescent="0.25">
      <c r="A14" s="12" t="s">
        <v>4</v>
      </c>
      <c r="B14" s="37" t="s">
        <v>70</v>
      </c>
      <c r="C14" s="37"/>
      <c r="D14" s="38"/>
      <c r="E14" s="4"/>
      <c r="F14" s="12" t="s">
        <v>4</v>
      </c>
      <c r="G14" s="37" t="str">
        <f>B14</f>
        <v>24978, 24979, 24980, 24981</v>
      </c>
      <c r="H14" s="37"/>
      <c r="I14" s="38"/>
    </row>
    <row r="15" spans="1:12" ht="63.75" customHeight="1" x14ac:dyDescent="0.25">
      <c r="A15" s="33" t="s">
        <v>38</v>
      </c>
      <c r="B15" s="33"/>
      <c r="C15" s="33"/>
      <c r="D15" s="33"/>
      <c r="E15" s="2"/>
      <c r="F15" s="33" t="str">
        <f>A15</f>
        <v>Oval DEO - Screw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51</v>
      </c>
      <c r="E17" s="4"/>
      <c r="F17" s="11" t="s">
        <v>2</v>
      </c>
      <c r="G17" s="10"/>
      <c r="H17" s="11" t="s">
        <v>5</v>
      </c>
      <c r="I17" s="7" t="str">
        <f>D17</f>
        <v>04B/05C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17" t="s">
        <v>52</v>
      </c>
      <c r="E18" s="4"/>
      <c r="F18" s="8" t="s">
        <v>3</v>
      </c>
      <c r="G18" s="9">
        <v>15</v>
      </c>
      <c r="H18" s="11" t="s">
        <v>6</v>
      </c>
      <c r="I18" s="17" t="str">
        <f>D18</f>
        <v>DEO-S02/ DEO-S01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66</v>
      </c>
      <c r="B19" s="35"/>
      <c r="C19" s="35"/>
      <c r="D19" s="36"/>
      <c r="E19" s="5"/>
      <c r="F19" s="34" t="s">
        <v>66</v>
      </c>
      <c r="G19" s="35"/>
      <c r="H19" s="35"/>
      <c r="I19" s="36"/>
      <c r="K19" s="1">
        <v>220</v>
      </c>
      <c r="L19" s="1">
        <v>80</v>
      </c>
    </row>
    <row r="20" spans="1:12" s="1" customFormat="1" ht="30" customHeight="1" x14ac:dyDescent="0.25">
      <c r="A20" s="39" t="s">
        <v>69</v>
      </c>
      <c r="B20" s="40"/>
      <c r="C20" s="44" t="s">
        <v>10</v>
      </c>
      <c r="D20" s="42"/>
      <c r="E20" s="4"/>
      <c r="F20" s="39" t="str">
        <f>A20</f>
        <v>PCR-Q+6331</v>
      </c>
      <c r="G20" s="40"/>
      <c r="H20" s="44" t="str">
        <f>C20</f>
        <v>White</v>
      </c>
      <c r="I20" s="42"/>
    </row>
    <row r="21" spans="1:12" s="1" customFormat="1" ht="30" customHeight="1" x14ac:dyDescent="0.25">
      <c r="A21" s="12" t="s">
        <v>4</v>
      </c>
      <c r="B21" s="37" t="s">
        <v>70</v>
      </c>
      <c r="C21" s="37"/>
      <c r="D21" s="38"/>
      <c r="E21" s="4"/>
      <c r="F21" s="12" t="s">
        <v>4</v>
      </c>
      <c r="G21" s="37" t="str">
        <f>B21</f>
        <v>24978, 24979, 24980, 24981</v>
      </c>
      <c r="H21" s="37"/>
      <c r="I21" s="38"/>
    </row>
    <row r="22" spans="1:12" ht="63.75" customHeight="1" x14ac:dyDescent="0.25">
      <c r="A22" s="33" t="s">
        <v>38</v>
      </c>
      <c r="B22" s="33"/>
      <c r="C22" s="33"/>
      <c r="D22" s="33"/>
      <c r="E22" s="2"/>
      <c r="F22" s="33" t="str">
        <f>A22</f>
        <v>Oval DEO - Screw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51</v>
      </c>
      <c r="E24" s="4"/>
      <c r="F24" s="11" t="s">
        <v>2</v>
      </c>
      <c r="G24" s="10"/>
      <c r="H24" s="11" t="s">
        <v>5</v>
      </c>
      <c r="I24" s="7" t="str">
        <f>D24</f>
        <v>04B/05C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17" t="s">
        <v>52</v>
      </c>
      <c r="E25" s="4"/>
      <c r="F25" s="8" t="s">
        <v>3</v>
      </c>
      <c r="G25" s="9">
        <v>16</v>
      </c>
      <c r="H25" s="11" t="s">
        <v>6</v>
      </c>
      <c r="I25" s="17" t="str">
        <f>D25</f>
        <v>DEO-S02/ DEO-S01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66</v>
      </c>
      <c r="B26" s="35"/>
      <c r="C26" s="35"/>
      <c r="D26" s="36"/>
      <c r="E26" s="5"/>
      <c r="F26" s="34" t="s">
        <v>66</v>
      </c>
      <c r="G26" s="35"/>
      <c r="H26" s="35"/>
      <c r="I26" s="36"/>
      <c r="K26" s="1">
        <v>220</v>
      </c>
      <c r="L26" s="1">
        <v>80</v>
      </c>
    </row>
    <row r="27" spans="1:12" s="1" customFormat="1" ht="30" customHeight="1" x14ac:dyDescent="0.25">
      <c r="A27" s="39" t="s">
        <v>69</v>
      </c>
      <c r="B27" s="40"/>
      <c r="C27" s="44" t="s">
        <v>10</v>
      </c>
      <c r="D27" s="42"/>
      <c r="E27" s="4"/>
      <c r="F27" s="39" t="str">
        <f>A27</f>
        <v>PCR-Q+6331</v>
      </c>
      <c r="G27" s="40"/>
      <c r="H27" s="44" t="str">
        <f>C27</f>
        <v>White</v>
      </c>
      <c r="I27" s="42"/>
    </row>
    <row r="28" spans="1:12" s="1" customFormat="1" ht="30" customHeight="1" x14ac:dyDescent="0.25">
      <c r="A28" s="12" t="s">
        <v>4</v>
      </c>
      <c r="B28" s="37" t="s">
        <v>70</v>
      </c>
      <c r="C28" s="37"/>
      <c r="D28" s="38"/>
      <c r="E28" s="4"/>
      <c r="F28" s="12" t="s">
        <v>4</v>
      </c>
      <c r="G28" s="37" t="str">
        <f>B28</f>
        <v>24978, 24979, 24980, 24981</v>
      </c>
      <c r="H28" s="37"/>
      <c r="I28" s="38"/>
    </row>
    <row r="29" spans="1:12" ht="63.75" customHeight="1" x14ac:dyDescent="0.25">
      <c r="A29" s="33" t="s">
        <v>38</v>
      </c>
      <c r="B29" s="33"/>
      <c r="C29" s="33"/>
      <c r="D29" s="33"/>
      <c r="E29" s="2"/>
      <c r="F29" s="33" t="str">
        <f>A29</f>
        <v>Oval DEO - Screw</v>
      </c>
      <c r="G29" s="33"/>
      <c r="H29" s="33"/>
      <c r="I29" s="33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51</v>
      </c>
      <c r="E31" s="4"/>
      <c r="F31" s="11" t="s">
        <v>2</v>
      </c>
      <c r="G31" s="10"/>
      <c r="H31" s="11" t="s">
        <v>5</v>
      </c>
      <c r="I31" s="7" t="str">
        <f>D31</f>
        <v>04B/05C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17" t="s">
        <v>52</v>
      </c>
      <c r="E32" s="4"/>
      <c r="F32" s="8" t="s">
        <v>3</v>
      </c>
      <c r="G32" s="9">
        <v>17</v>
      </c>
      <c r="H32" s="11" t="s">
        <v>6</v>
      </c>
      <c r="I32" s="17" t="str">
        <f>D32</f>
        <v>DEO-S02/ DEO-S01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66</v>
      </c>
      <c r="B33" s="35"/>
      <c r="C33" s="35"/>
      <c r="D33" s="36"/>
      <c r="E33" s="5"/>
      <c r="F33" s="34" t="s">
        <v>66</v>
      </c>
      <c r="G33" s="35"/>
      <c r="H33" s="35"/>
      <c r="I33" s="36"/>
      <c r="K33" s="1">
        <v>220</v>
      </c>
      <c r="L33" s="1">
        <v>80</v>
      </c>
    </row>
    <row r="34" spans="1:12" s="1" customFormat="1" ht="30" customHeight="1" x14ac:dyDescent="0.25">
      <c r="A34" s="39" t="s">
        <v>69</v>
      </c>
      <c r="B34" s="40"/>
      <c r="C34" s="44" t="s">
        <v>10</v>
      </c>
      <c r="D34" s="42"/>
      <c r="E34" s="4"/>
      <c r="F34" s="39" t="str">
        <f>A34</f>
        <v>PCR-Q+6331</v>
      </c>
      <c r="G34" s="40"/>
      <c r="H34" s="44" t="str">
        <f>C34</f>
        <v>White</v>
      </c>
      <c r="I34" s="42"/>
    </row>
    <row r="35" spans="1:12" s="1" customFormat="1" ht="30" customHeight="1" x14ac:dyDescent="0.25">
      <c r="A35" s="12" t="s">
        <v>4</v>
      </c>
      <c r="B35" s="37" t="s">
        <v>70</v>
      </c>
      <c r="C35" s="37"/>
      <c r="D35" s="38"/>
      <c r="E35" s="4"/>
      <c r="F35" s="12" t="s">
        <v>4</v>
      </c>
      <c r="G35" s="37" t="str">
        <f>B35</f>
        <v>24978, 24979, 24980, 24981</v>
      </c>
      <c r="H35" s="37"/>
      <c r="I35" s="38"/>
    </row>
    <row r="36" spans="1:12" ht="63.75" customHeight="1" x14ac:dyDescent="0.25">
      <c r="A36" s="33" t="s">
        <v>38</v>
      </c>
      <c r="B36" s="33"/>
      <c r="C36" s="33"/>
      <c r="D36" s="33"/>
      <c r="E36" s="2"/>
      <c r="F36" s="33" t="str">
        <f>A36</f>
        <v>Oval DEO - Screw</v>
      </c>
      <c r="G36" s="33"/>
      <c r="H36" s="33"/>
      <c r="I36" s="33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51</v>
      </c>
      <c r="E38" s="4"/>
      <c r="F38" s="11" t="s">
        <v>2</v>
      </c>
      <c r="G38" s="10"/>
      <c r="H38" s="11" t="s">
        <v>5</v>
      </c>
      <c r="I38" s="7" t="str">
        <f>D38</f>
        <v>04B/05C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17" t="s">
        <v>52</v>
      </c>
      <c r="E39" s="4"/>
      <c r="F39" s="8" t="s">
        <v>3</v>
      </c>
      <c r="G39" s="9">
        <v>18</v>
      </c>
      <c r="H39" s="11" t="s">
        <v>6</v>
      </c>
      <c r="I39" s="17" t="str">
        <f>D39</f>
        <v>DEO-S02/ DEO-S01</v>
      </c>
      <c r="K39" s="6" t="s">
        <v>8</v>
      </c>
      <c r="L39" s="6" t="s">
        <v>7</v>
      </c>
    </row>
    <row r="40" spans="1:12" s="1" customFormat="1" ht="30" customHeight="1" x14ac:dyDescent="0.25">
      <c r="A40" s="34" t="s">
        <v>66</v>
      </c>
      <c r="B40" s="35"/>
      <c r="C40" s="35"/>
      <c r="D40" s="36"/>
      <c r="E40" s="5"/>
      <c r="F40" s="34" t="s">
        <v>66</v>
      </c>
      <c r="G40" s="35"/>
      <c r="H40" s="35"/>
      <c r="I40" s="36"/>
      <c r="K40" s="1">
        <v>220</v>
      </c>
      <c r="L40" s="1">
        <v>80</v>
      </c>
    </row>
    <row r="41" spans="1:12" s="1" customFormat="1" ht="30" customHeight="1" x14ac:dyDescent="0.25">
      <c r="A41" s="39" t="s">
        <v>69</v>
      </c>
      <c r="B41" s="40"/>
      <c r="C41" s="44" t="s">
        <v>10</v>
      </c>
      <c r="D41" s="42"/>
      <c r="E41" s="4"/>
      <c r="F41" s="39" t="str">
        <f>A41</f>
        <v>PCR-Q+6331</v>
      </c>
      <c r="G41" s="40"/>
      <c r="H41" s="44" t="str">
        <f>C41</f>
        <v>White</v>
      </c>
      <c r="I41" s="42"/>
    </row>
    <row r="42" spans="1:12" s="1" customFormat="1" ht="30" customHeight="1" x14ac:dyDescent="0.25">
      <c r="A42" s="12" t="s">
        <v>4</v>
      </c>
      <c r="B42" s="37" t="s">
        <v>70</v>
      </c>
      <c r="C42" s="37"/>
      <c r="D42" s="38"/>
      <c r="E42" s="4"/>
      <c r="F42" s="12" t="s">
        <v>4</v>
      </c>
      <c r="G42" s="37" t="str">
        <f>B42</f>
        <v>24978, 24979, 24980, 24981</v>
      </c>
      <c r="H42" s="37"/>
      <c r="I42" s="38"/>
    </row>
    <row r="43" spans="1:12" ht="63.75" customHeight="1" x14ac:dyDescent="0.25">
      <c r="A43" s="33" t="s">
        <v>38</v>
      </c>
      <c r="B43" s="33"/>
      <c r="C43" s="33"/>
      <c r="D43" s="33"/>
      <c r="E43" s="2"/>
      <c r="F43" s="33" t="str">
        <f>A43</f>
        <v>Oval DEO - Screw</v>
      </c>
      <c r="G43" s="33"/>
      <c r="H43" s="33"/>
      <c r="I43" s="33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51</v>
      </c>
      <c r="E45" s="4"/>
      <c r="F45" s="11" t="s">
        <v>2</v>
      </c>
      <c r="G45" s="10"/>
      <c r="H45" s="11" t="s">
        <v>5</v>
      </c>
      <c r="I45" s="7" t="str">
        <f>D45</f>
        <v>04B/05C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17" t="s">
        <v>52</v>
      </c>
      <c r="E46" s="4"/>
      <c r="F46" s="8" t="s">
        <v>3</v>
      </c>
      <c r="G46" s="9">
        <v>19</v>
      </c>
      <c r="H46" s="11" t="s">
        <v>6</v>
      </c>
      <c r="I46" s="17" t="str">
        <f>D46</f>
        <v>DEO-S02/ DEO-S01</v>
      </c>
      <c r="K46" s="6" t="s">
        <v>8</v>
      </c>
      <c r="L46" s="6" t="s">
        <v>7</v>
      </c>
    </row>
    <row r="47" spans="1:12" s="1" customFormat="1" ht="30" customHeight="1" x14ac:dyDescent="0.25">
      <c r="A47" s="34" t="s">
        <v>66</v>
      </c>
      <c r="B47" s="35"/>
      <c r="C47" s="35"/>
      <c r="D47" s="36"/>
      <c r="E47" s="5"/>
      <c r="F47" s="34" t="s">
        <v>66</v>
      </c>
      <c r="G47" s="35"/>
      <c r="H47" s="35"/>
      <c r="I47" s="36"/>
      <c r="K47" s="1">
        <v>220</v>
      </c>
      <c r="L47" s="1">
        <v>80</v>
      </c>
    </row>
    <row r="48" spans="1:12" s="1" customFormat="1" ht="30" customHeight="1" x14ac:dyDescent="0.25">
      <c r="A48" s="39" t="s">
        <v>69</v>
      </c>
      <c r="B48" s="40"/>
      <c r="C48" s="44" t="s">
        <v>10</v>
      </c>
      <c r="D48" s="42"/>
      <c r="E48" s="4"/>
      <c r="F48" s="39" t="str">
        <f>A48</f>
        <v>PCR-Q+6331</v>
      </c>
      <c r="G48" s="40"/>
      <c r="H48" s="44" t="str">
        <f>C48</f>
        <v>White</v>
      </c>
      <c r="I48" s="42"/>
    </row>
    <row r="49" spans="1:12" s="1" customFormat="1" ht="30" customHeight="1" x14ac:dyDescent="0.25">
      <c r="A49" s="12" t="s">
        <v>4</v>
      </c>
      <c r="B49" s="37" t="s">
        <v>70</v>
      </c>
      <c r="C49" s="37"/>
      <c r="D49" s="38"/>
      <c r="E49" s="4"/>
      <c r="F49" s="12" t="s">
        <v>4</v>
      </c>
      <c r="G49" s="37" t="str">
        <f>B49</f>
        <v>24978, 24979, 24980, 24981</v>
      </c>
      <c r="H49" s="37"/>
      <c r="I49" s="38"/>
    </row>
    <row r="50" spans="1:12" ht="63.75" customHeight="1" x14ac:dyDescent="0.25">
      <c r="A50" s="33" t="s">
        <v>38</v>
      </c>
      <c r="B50" s="33"/>
      <c r="C50" s="33"/>
      <c r="D50" s="33"/>
      <c r="E50" s="2"/>
      <c r="F50" s="33" t="str">
        <f>A50</f>
        <v>Oval DEO - Screw</v>
      </c>
      <c r="G50" s="33"/>
      <c r="H50" s="33"/>
      <c r="I50" s="33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51</v>
      </c>
      <c r="E52" s="4"/>
      <c r="F52" s="11" t="s">
        <v>2</v>
      </c>
      <c r="G52" s="10"/>
      <c r="H52" s="11" t="s">
        <v>5</v>
      </c>
      <c r="I52" s="7" t="str">
        <f>D52</f>
        <v>04B/05C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17" t="s">
        <v>52</v>
      </c>
      <c r="E53" s="4"/>
      <c r="F53" s="8" t="s">
        <v>3</v>
      </c>
      <c r="G53" s="9">
        <v>20</v>
      </c>
      <c r="H53" s="11" t="s">
        <v>6</v>
      </c>
      <c r="I53" s="17" t="str">
        <f>D53</f>
        <v>DEO-S02/ DEO-S01</v>
      </c>
      <c r="K53" s="6" t="s">
        <v>8</v>
      </c>
      <c r="L53" s="6" t="s">
        <v>7</v>
      </c>
    </row>
    <row r="54" spans="1:12" s="1" customFormat="1" ht="30" customHeight="1" x14ac:dyDescent="0.25">
      <c r="A54" s="34" t="s">
        <v>66</v>
      </c>
      <c r="B54" s="35"/>
      <c r="C54" s="35"/>
      <c r="D54" s="36"/>
      <c r="E54" s="5"/>
      <c r="F54" s="34" t="s">
        <v>66</v>
      </c>
      <c r="G54" s="35"/>
      <c r="H54" s="35"/>
      <c r="I54" s="36"/>
      <c r="K54" s="1">
        <v>220</v>
      </c>
      <c r="L54" s="1">
        <v>80</v>
      </c>
    </row>
    <row r="55" spans="1:12" s="1" customFormat="1" ht="30" customHeight="1" x14ac:dyDescent="0.25">
      <c r="A55" s="39" t="s">
        <v>69</v>
      </c>
      <c r="B55" s="40"/>
      <c r="C55" s="44" t="s">
        <v>10</v>
      </c>
      <c r="D55" s="42"/>
      <c r="E55" s="4"/>
      <c r="F55" s="39" t="str">
        <f>A55</f>
        <v>PCR-Q+6331</v>
      </c>
      <c r="G55" s="40"/>
      <c r="H55" s="44" t="str">
        <f>C55</f>
        <v>White</v>
      </c>
      <c r="I55" s="42"/>
    </row>
    <row r="56" spans="1:12" s="1" customFormat="1" ht="30" customHeight="1" x14ac:dyDescent="0.25">
      <c r="A56" s="12" t="s">
        <v>4</v>
      </c>
      <c r="B56" s="37" t="s">
        <v>70</v>
      </c>
      <c r="C56" s="37"/>
      <c r="D56" s="38"/>
      <c r="E56" s="4"/>
      <c r="F56" s="12" t="s">
        <v>4</v>
      </c>
      <c r="G56" s="37" t="str">
        <f>B56</f>
        <v>24978, 24979, 24980, 24981</v>
      </c>
      <c r="H56" s="37"/>
      <c r="I56" s="38"/>
    </row>
    <row r="57" spans="1:12" ht="63.75" customHeight="1" x14ac:dyDescent="0.25">
      <c r="A57" s="33" t="s">
        <v>38</v>
      </c>
      <c r="B57" s="33"/>
      <c r="C57" s="33"/>
      <c r="D57" s="33"/>
      <c r="E57" s="2"/>
      <c r="F57" s="33" t="str">
        <f>A57</f>
        <v>Oval DEO - Screw</v>
      </c>
      <c r="G57" s="33"/>
      <c r="H57" s="33"/>
      <c r="I57" s="33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51</v>
      </c>
      <c r="E59" s="4"/>
      <c r="F59" s="11" t="s">
        <v>2</v>
      </c>
      <c r="G59" s="10"/>
      <c r="H59" s="11" t="s">
        <v>5</v>
      </c>
      <c r="I59" s="7" t="str">
        <f>D59</f>
        <v>04B/05C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17" t="s">
        <v>52</v>
      </c>
      <c r="E60" s="4"/>
      <c r="F60" s="8" t="s">
        <v>3</v>
      </c>
      <c r="G60" s="9">
        <v>21</v>
      </c>
      <c r="H60" s="11" t="s">
        <v>6</v>
      </c>
      <c r="I60" s="17" t="str">
        <f>D60</f>
        <v>DEO-S02/ DEO-S01</v>
      </c>
      <c r="K60" s="6" t="s">
        <v>8</v>
      </c>
      <c r="L60" s="6" t="s">
        <v>7</v>
      </c>
    </row>
    <row r="61" spans="1:12" s="1" customFormat="1" ht="30" customHeight="1" x14ac:dyDescent="0.25">
      <c r="A61" s="34" t="s">
        <v>66</v>
      </c>
      <c r="B61" s="35"/>
      <c r="C61" s="35"/>
      <c r="D61" s="36"/>
      <c r="E61" s="5"/>
      <c r="F61" s="34" t="s">
        <v>66</v>
      </c>
      <c r="G61" s="35"/>
      <c r="H61" s="35"/>
      <c r="I61" s="36"/>
      <c r="K61" s="1">
        <v>220</v>
      </c>
      <c r="L61" s="1">
        <v>80</v>
      </c>
    </row>
    <row r="62" spans="1:12" s="1" customFormat="1" ht="30" customHeight="1" x14ac:dyDescent="0.25">
      <c r="A62" s="39" t="s">
        <v>69</v>
      </c>
      <c r="B62" s="40"/>
      <c r="C62" s="44" t="s">
        <v>10</v>
      </c>
      <c r="D62" s="42"/>
      <c r="E62" s="4"/>
      <c r="F62" s="39" t="str">
        <f>A62</f>
        <v>PCR-Q+6331</v>
      </c>
      <c r="G62" s="40"/>
      <c r="H62" s="44" t="str">
        <f>C62</f>
        <v>White</v>
      </c>
      <c r="I62" s="42"/>
    </row>
    <row r="63" spans="1:12" s="1" customFormat="1" ht="30" customHeight="1" x14ac:dyDescent="0.25">
      <c r="A63" s="12" t="s">
        <v>4</v>
      </c>
      <c r="B63" s="37" t="s">
        <v>70</v>
      </c>
      <c r="C63" s="37"/>
      <c r="D63" s="38"/>
      <c r="E63" s="4"/>
      <c r="F63" s="12" t="s">
        <v>4</v>
      </c>
      <c r="G63" s="37" t="str">
        <f>B63</f>
        <v>24978, 24979, 24980, 24981</v>
      </c>
      <c r="H63" s="37"/>
      <c r="I63" s="38"/>
    </row>
    <row r="64" spans="1:12" ht="63.75" customHeight="1" x14ac:dyDescent="0.25">
      <c r="A64" s="33" t="s">
        <v>38</v>
      </c>
      <c r="B64" s="33"/>
      <c r="C64" s="33"/>
      <c r="D64" s="33"/>
      <c r="E64" s="2"/>
      <c r="F64" s="33" t="str">
        <f>A64</f>
        <v>Oval DEO - Screw</v>
      </c>
      <c r="G64" s="33"/>
      <c r="H64" s="33"/>
      <c r="I64" s="33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51</v>
      </c>
      <c r="E66" s="4"/>
      <c r="F66" s="11" t="s">
        <v>2</v>
      </c>
      <c r="G66" s="10"/>
      <c r="H66" s="11" t="s">
        <v>5</v>
      </c>
      <c r="I66" s="7" t="str">
        <f>D66</f>
        <v>04B/05C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17" t="s">
        <v>52</v>
      </c>
      <c r="E67" s="4"/>
      <c r="F67" s="8" t="s">
        <v>3</v>
      </c>
      <c r="G67" s="9">
        <v>22</v>
      </c>
      <c r="H67" s="11" t="s">
        <v>6</v>
      </c>
      <c r="I67" s="17" t="str">
        <f>D67</f>
        <v>DEO-S02/ DEO-S01</v>
      </c>
      <c r="K67" s="6" t="s">
        <v>8</v>
      </c>
      <c r="L67" s="6" t="s">
        <v>7</v>
      </c>
    </row>
    <row r="68" spans="1:12" s="1" customFormat="1" ht="30" customHeight="1" x14ac:dyDescent="0.25">
      <c r="A68" s="34" t="s">
        <v>66</v>
      </c>
      <c r="B68" s="35"/>
      <c r="C68" s="35"/>
      <c r="D68" s="36"/>
      <c r="E68" s="5"/>
      <c r="F68" s="34" t="s">
        <v>66</v>
      </c>
      <c r="G68" s="35"/>
      <c r="H68" s="35"/>
      <c r="I68" s="36"/>
      <c r="K68" s="1">
        <v>220</v>
      </c>
      <c r="L68" s="1">
        <v>80</v>
      </c>
    </row>
    <row r="69" spans="1:12" s="1" customFormat="1" ht="30" customHeight="1" x14ac:dyDescent="0.25">
      <c r="A69" s="39" t="s">
        <v>69</v>
      </c>
      <c r="B69" s="40"/>
      <c r="C69" s="44" t="s">
        <v>10</v>
      </c>
      <c r="D69" s="42"/>
      <c r="E69" s="4"/>
      <c r="F69" s="39" t="str">
        <f>A69</f>
        <v>PCR-Q+6331</v>
      </c>
      <c r="G69" s="40"/>
      <c r="H69" s="44" t="str">
        <f>C69</f>
        <v>White</v>
      </c>
      <c r="I69" s="42"/>
    </row>
    <row r="70" spans="1:12" s="1" customFormat="1" ht="30" customHeight="1" x14ac:dyDescent="0.25">
      <c r="A70" s="12" t="s">
        <v>4</v>
      </c>
      <c r="B70" s="37" t="s">
        <v>70</v>
      </c>
      <c r="C70" s="37"/>
      <c r="D70" s="38"/>
      <c r="E70" s="4"/>
      <c r="F70" s="12" t="s">
        <v>4</v>
      </c>
      <c r="G70" s="37" t="str">
        <f>B70</f>
        <v>24978, 24979, 24980, 24981</v>
      </c>
      <c r="H70" s="37"/>
      <c r="I70" s="38"/>
    </row>
    <row r="71" spans="1:12" ht="63.75" customHeight="1" x14ac:dyDescent="0.25">
      <c r="A71" s="33" t="s">
        <v>38</v>
      </c>
      <c r="B71" s="33"/>
      <c r="C71" s="33"/>
      <c r="D71" s="33"/>
      <c r="E71" s="2"/>
      <c r="F71" s="33" t="str">
        <f>A71</f>
        <v>Oval DEO - Screw</v>
      </c>
      <c r="G71" s="33"/>
      <c r="H71" s="33"/>
      <c r="I71" s="33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51</v>
      </c>
      <c r="E73" s="4"/>
      <c r="F73" s="11" t="s">
        <v>2</v>
      </c>
      <c r="G73" s="10"/>
      <c r="H73" s="11" t="s">
        <v>5</v>
      </c>
      <c r="I73" s="7" t="str">
        <f>D73</f>
        <v>04B/05C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17" t="s">
        <v>52</v>
      </c>
      <c r="E74" s="4"/>
      <c r="F74" s="8" t="s">
        <v>3</v>
      </c>
      <c r="G74" s="9">
        <v>23</v>
      </c>
      <c r="H74" s="11" t="s">
        <v>6</v>
      </c>
      <c r="I74" s="17" t="str">
        <f>D74</f>
        <v>DEO-S02/ DEO-S01</v>
      </c>
      <c r="K74" s="6" t="s">
        <v>8</v>
      </c>
      <c r="L74" s="6" t="s">
        <v>7</v>
      </c>
    </row>
    <row r="75" spans="1:12" s="1" customFormat="1" ht="30" customHeight="1" x14ac:dyDescent="0.25">
      <c r="A75" s="34" t="s">
        <v>66</v>
      </c>
      <c r="B75" s="35"/>
      <c r="C75" s="35"/>
      <c r="D75" s="36"/>
      <c r="E75" s="5"/>
      <c r="F75" s="34" t="s">
        <v>66</v>
      </c>
      <c r="G75" s="35"/>
      <c r="H75" s="35"/>
      <c r="I75" s="36"/>
      <c r="K75" s="1">
        <v>220</v>
      </c>
      <c r="L75" s="1">
        <v>80</v>
      </c>
    </row>
    <row r="76" spans="1:12" s="1" customFormat="1" ht="30" customHeight="1" x14ac:dyDescent="0.25">
      <c r="A76" s="39" t="s">
        <v>69</v>
      </c>
      <c r="B76" s="40"/>
      <c r="C76" s="44" t="s">
        <v>10</v>
      </c>
      <c r="D76" s="42"/>
      <c r="E76" s="4"/>
      <c r="F76" s="39" t="str">
        <f>A76</f>
        <v>PCR-Q+6331</v>
      </c>
      <c r="G76" s="40"/>
      <c r="H76" s="44" t="str">
        <f>C76</f>
        <v>White</v>
      </c>
      <c r="I76" s="42"/>
    </row>
    <row r="77" spans="1:12" s="1" customFormat="1" ht="30" customHeight="1" x14ac:dyDescent="0.25">
      <c r="A77" s="12" t="s">
        <v>4</v>
      </c>
      <c r="B77" s="37" t="s">
        <v>70</v>
      </c>
      <c r="C77" s="37"/>
      <c r="D77" s="38"/>
      <c r="E77" s="4"/>
      <c r="F77" s="12" t="s">
        <v>4</v>
      </c>
      <c r="G77" s="37" t="str">
        <f>B77</f>
        <v>24978, 24979, 24980, 24981</v>
      </c>
      <c r="H77" s="37"/>
      <c r="I77" s="38"/>
    </row>
    <row r="78" spans="1:12" ht="63.75" customHeight="1" x14ac:dyDescent="0.25">
      <c r="A78" s="33" t="s">
        <v>38</v>
      </c>
      <c r="B78" s="33"/>
      <c r="C78" s="33"/>
      <c r="D78" s="33"/>
      <c r="E78" s="2"/>
      <c r="F78" s="47" t="str">
        <f>A78</f>
        <v>Oval DEO - Screw</v>
      </c>
      <c r="G78" s="47"/>
      <c r="H78" s="47"/>
      <c r="I78" s="47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6" t="s">
        <v>0</v>
      </c>
      <c r="G79" s="16"/>
      <c r="H79" s="16" t="s">
        <v>1</v>
      </c>
      <c r="I79" s="16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51</v>
      </c>
      <c r="E80" s="4"/>
      <c r="F80" s="16" t="s">
        <v>2</v>
      </c>
      <c r="G80" s="16"/>
      <c r="H80" s="16" t="s">
        <v>5</v>
      </c>
      <c r="I80" s="13" t="str">
        <f>D80</f>
        <v>04B/05C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17" t="s">
        <v>52</v>
      </c>
      <c r="E81" s="4"/>
      <c r="F81" s="14" t="s">
        <v>3</v>
      </c>
      <c r="G81" s="15">
        <v>23</v>
      </c>
      <c r="H81" s="16" t="s">
        <v>6</v>
      </c>
      <c r="I81" s="18" t="str">
        <f>D81</f>
        <v>DEO-S02/ DEO-S01</v>
      </c>
      <c r="K81" s="6" t="s">
        <v>8</v>
      </c>
      <c r="L81" s="6" t="s">
        <v>7</v>
      </c>
    </row>
    <row r="82" spans="1:12" s="1" customFormat="1" ht="30" customHeight="1" x14ac:dyDescent="0.25">
      <c r="A82" s="34" t="s">
        <v>66</v>
      </c>
      <c r="B82" s="35"/>
      <c r="C82" s="35"/>
      <c r="D82" s="36"/>
      <c r="E82" s="5"/>
      <c r="F82" s="48" t="s">
        <v>66</v>
      </c>
      <c r="G82" s="48"/>
      <c r="H82" s="48"/>
      <c r="I82" s="48"/>
      <c r="K82" s="1">
        <v>220</v>
      </c>
      <c r="L82" s="1">
        <v>80</v>
      </c>
    </row>
    <row r="83" spans="1:12" s="1" customFormat="1" ht="30" customHeight="1" x14ac:dyDescent="0.25">
      <c r="A83" s="39" t="s">
        <v>69</v>
      </c>
      <c r="B83" s="40"/>
      <c r="C83" s="44" t="s">
        <v>10</v>
      </c>
      <c r="D83" s="42"/>
      <c r="E83" s="4"/>
      <c r="F83" s="45" t="str">
        <f>A83</f>
        <v>PCR-Q+6331</v>
      </c>
      <c r="G83" s="45"/>
      <c r="H83" s="46" t="str">
        <f>C83</f>
        <v>White</v>
      </c>
      <c r="I83" s="46"/>
    </row>
    <row r="84" spans="1:12" s="1" customFormat="1" ht="30" customHeight="1" x14ac:dyDescent="0.25">
      <c r="A84" s="12" t="s">
        <v>4</v>
      </c>
      <c r="B84" s="37" t="s">
        <v>70</v>
      </c>
      <c r="C84" s="37"/>
      <c r="D84" s="38"/>
      <c r="E84" s="4"/>
      <c r="F84" s="16" t="s">
        <v>4</v>
      </c>
      <c r="G84" s="45" t="str">
        <f>B84</f>
        <v>24978, 24979, 24980, 24981</v>
      </c>
      <c r="H84" s="45"/>
      <c r="I84" s="45"/>
    </row>
  </sheetData>
  <mergeCells count="120">
    <mergeCell ref="B28:D28"/>
    <mergeCell ref="G28:I28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A27:B27"/>
    <mergeCell ref="C27:D27"/>
    <mergeCell ref="F27:G27"/>
    <mergeCell ref="H27:I27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35:D35"/>
    <mergeCell ref="G35:I35"/>
    <mergeCell ref="A36:D36"/>
    <mergeCell ref="F36:I3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14"/>
  <sheetViews>
    <sheetView view="pageBreakPreview" zoomScaleNormal="100" zoomScaleSheetLayoutView="100" workbookViewId="0">
      <selection activeCell="C4" sqref="C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34</v>
      </c>
      <c r="B1" s="33"/>
      <c r="C1" s="33"/>
      <c r="D1" s="33"/>
      <c r="E1" s="2"/>
      <c r="F1" s="33" t="str">
        <f>A1</f>
        <v>Oval DEO - Cap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13</v>
      </c>
      <c r="E3" s="4"/>
      <c r="F3" s="11" t="s">
        <v>2</v>
      </c>
      <c r="G3" s="10"/>
      <c r="H3" s="11" t="s">
        <v>5</v>
      </c>
      <c r="I3" s="7" t="str">
        <f>D3</f>
        <v>02C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14</v>
      </c>
      <c r="E4" s="4"/>
      <c r="F4" s="8" t="s">
        <v>3</v>
      </c>
      <c r="G4" s="9">
        <v>3</v>
      </c>
      <c r="H4" s="11" t="s">
        <v>6</v>
      </c>
      <c r="I4" s="7" t="str">
        <f>D4</f>
        <v>DEO-C01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48</v>
      </c>
      <c r="B5" s="35"/>
      <c r="C5" s="35"/>
      <c r="D5" s="36"/>
      <c r="E5" s="5"/>
      <c r="F5" s="34" t="s">
        <v>115</v>
      </c>
      <c r="G5" s="35"/>
      <c r="H5" s="35"/>
      <c r="I5" s="36"/>
      <c r="K5" s="1">
        <v>700</v>
      </c>
      <c r="L5" s="1">
        <v>20</v>
      </c>
    </row>
    <row r="6" spans="1:12" s="1" customFormat="1" ht="30" customHeight="1" x14ac:dyDescent="0.25">
      <c r="A6" s="39" t="s">
        <v>45</v>
      </c>
      <c r="B6" s="40"/>
      <c r="C6" s="41" t="s">
        <v>109</v>
      </c>
      <c r="D6" s="42"/>
      <c r="E6" s="4"/>
      <c r="F6" s="39" t="str">
        <f>A6</f>
        <v>PP6331</v>
      </c>
      <c r="G6" s="40"/>
      <c r="H6" s="41" t="str">
        <f>C6</f>
        <v>Global White</v>
      </c>
      <c r="I6" s="42"/>
    </row>
    <row r="7" spans="1:12" s="1" customFormat="1" ht="30" customHeight="1" x14ac:dyDescent="0.25">
      <c r="A7" s="12" t="s">
        <v>4</v>
      </c>
      <c r="B7" s="37">
        <v>27268</v>
      </c>
      <c r="C7" s="37"/>
      <c r="D7" s="38"/>
      <c r="E7" s="4"/>
      <c r="F7" s="12" t="s">
        <v>4</v>
      </c>
      <c r="G7" s="37">
        <f>B7</f>
        <v>27268</v>
      </c>
      <c r="H7" s="37"/>
      <c r="I7" s="38"/>
    </row>
    <row r="8" spans="1:12" ht="63.75" customHeight="1" x14ac:dyDescent="0.25">
      <c r="A8" s="33" t="s">
        <v>34</v>
      </c>
      <c r="B8" s="33"/>
      <c r="C8" s="33"/>
      <c r="D8" s="33"/>
      <c r="E8" s="2"/>
      <c r="F8" s="47" t="str">
        <f>A8</f>
        <v>Oval DEO - Cap</v>
      </c>
      <c r="G8" s="47"/>
      <c r="H8" s="47"/>
      <c r="I8" s="4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6" t="s">
        <v>0</v>
      </c>
      <c r="G9" s="16"/>
      <c r="H9" s="16" t="s">
        <v>1</v>
      </c>
      <c r="I9" s="16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13</v>
      </c>
      <c r="E10" s="4"/>
      <c r="F10" s="16" t="s">
        <v>2</v>
      </c>
      <c r="G10" s="16"/>
      <c r="H10" s="16" t="s">
        <v>5</v>
      </c>
      <c r="I10" s="13" t="str">
        <f>D10</f>
        <v>02C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14</v>
      </c>
      <c r="E11" s="4"/>
      <c r="F11" s="14" t="s">
        <v>3</v>
      </c>
      <c r="G11" s="15">
        <v>3</v>
      </c>
      <c r="H11" s="16" t="s">
        <v>6</v>
      </c>
      <c r="I11" s="13" t="str">
        <f>D11</f>
        <v>DEO-C01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48</v>
      </c>
      <c r="B12" s="35"/>
      <c r="C12" s="35"/>
      <c r="D12" s="36"/>
      <c r="E12" s="5"/>
      <c r="F12" s="48" t="s">
        <v>115</v>
      </c>
      <c r="G12" s="48"/>
      <c r="H12" s="48"/>
      <c r="I12" s="48"/>
      <c r="K12" s="1">
        <v>700</v>
      </c>
      <c r="L12" s="1">
        <v>20</v>
      </c>
    </row>
    <row r="13" spans="1:12" s="1" customFormat="1" ht="30" customHeight="1" x14ac:dyDescent="0.25">
      <c r="A13" s="39" t="s">
        <v>45</v>
      </c>
      <c r="B13" s="40"/>
      <c r="C13" s="41" t="s">
        <v>109</v>
      </c>
      <c r="D13" s="42"/>
      <c r="E13" s="4"/>
      <c r="F13" s="45" t="str">
        <f>A13</f>
        <v>PP6331</v>
      </c>
      <c r="G13" s="45"/>
      <c r="H13" s="49" t="str">
        <f>C13</f>
        <v>Global White</v>
      </c>
      <c r="I13" s="46"/>
    </row>
    <row r="14" spans="1:12" s="1" customFormat="1" ht="30" customHeight="1" x14ac:dyDescent="0.25">
      <c r="A14" s="12" t="s">
        <v>4</v>
      </c>
      <c r="B14" s="37">
        <v>27268</v>
      </c>
      <c r="C14" s="37"/>
      <c r="D14" s="38"/>
      <c r="E14" s="4"/>
      <c r="F14" s="16" t="s">
        <v>4</v>
      </c>
      <c r="G14" s="45">
        <f>B14</f>
        <v>27268</v>
      </c>
      <c r="H14" s="45"/>
      <c r="I14" s="45"/>
    </row>
  </sheetData>
  <mergeCells count="2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L35"/>
  <sheetViews>
    <sheetView view="pageBreakPreview" topLeftCell="A28" zoomScaleNormal="100" zoomScaleSheetLayoutView="100" workbookViewId="0">
      <selection activeCell="F29" sqref="F29:I35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35</v>
      </c>
      <c r="B1" s="33"/>
      <c r="C1" s="33"/>
      <c r="D1" s="33"/>
      <c r="E1" s="2"/>
      <c r="F1" s="33" t="str">
        <f>A1</f>
        <v>Oval DEO - Barrel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15</v>
      </c>
      <c r="E3" s="4"/>
      <c r="F3" s="11" t="s">
        <v>2</v>
      </c>
      <c r="G3" s="10"/>
      <c r="H3" s="11" t="s">
        <v>5</v>
      </c>
      <c r="I3" s="7" t="str">
        <f>D3</f>
        <v>03C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16</v>
      </c>
      <c r="E4" s="4"/>
      <c r="F4" s="8" t="s">
        <v>3</v>
      </c>
      <c r="G4" s="9">
        <v>6</v>
      </c>
      <c r="H4" s="11" t="s">
        <v>6</v>
      </c>
      <c r="I4" s="7" t="str">
        <f>D4</f>
        <v>DEO-B03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78</v>
      </c>
      <c r="B5" s="35"/>
      <c r="C5" s="35"/>
      <c r="D5" s="36"/>
      <c r="E5" s="5"/>
      <c r="F5" s="34" t="s">
        <v>78</v>
      </c>
      <c r="G5" s="35"/>
      <c r="H5" s="35"/>
      <c r="I5" s="36"/>
      <c r="K5" s="1">
        <v>200</v>
      </c>
      <c r="L5" s="1">
        <v>20</v>
      </c>
    </row>
    <row r="6" spans="1:12" s="1" customFormat="1" ht="30" customHeight="1" x14ac:dyDescent="0.25">
      <c r="A6" s="39" t="s">
        <v>45</v>
      </c>
      <c r="B6" s="40"/>
      <c r="C6" s="41" t="s">
        <v>109</v>
      </c>
      <c r="D6" s="42"/>
      <c r="E6" s="4"/>
      <c r="F6" s="39" t="str">
        <f>A6</f>
        <v>PP6331</v>
      </c>
      <c r="G6" s="40"/>
      <c r="H6" s="41" t="str">
        <f>C6</f>
        <v>Global White</v>
      </c>
      <c r="I6" s="42"/>
    </row>
    <row r="7" spans="1:12" s="1" customFormat="1" ht="30" customHeight="1" x14ac:dyDescent="0.25">
      <c r="A7" s="12" t="s">
        <v>4</v>
      </c>
      <c r="B7" s="37">
        <v>27268</v>
      </c>
      <c r="C7" s="37"/>
      <c r="D7" s="38"/>
      <c r="E7" s="4"/>
      <c r="F7" s="12" t="s">
        <v>4</v>
      </c>
      <c r="G7" s="37">
        <f>B7</f>
        <v>27268</v>
      </c>
      <c r="H7" s="37"/>
      <c r="I7" s="38"/>
    </row>
    <row r="8" spans="1:12" ht="63.75" customHeight="1" x14ac:dyDescent="0.25">
      <c r="A8" s="33" t="s">
        <v>35</v>
      </c>
      <c r="B8" s="33"/>
      <c r="C8" s="33"/>
      <c r="D8" s="33"/>
      <c r="E8" s="2"/>
      <c r="F8" s="33" t="str">
        <f>A8</f>
        <v>Oval DEO - Barrel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15</v>
      </c>
      <c r="E10" s="4"/>
      <c r="F10" s="11" t="s">
        <v>2</v>
      </c>
      <c r="G10" s="10"/>
      <c r="H10" s="11" t="s">
        <v>5</v>
      </c>
      <c r="I10" s="7" t="str">
        <f>D10</f>
        <v>03C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16</v>
      </c>
      <c r="E11" s="4"/>
      <c r="F11" s="8" t="s">
        <v>3</v>
      </c>
      <c r="G11" s="9">
        <v>7</v>
      </c>
      <c r="H11" s="11" t="s">
        <v>6</v>
      </c>
      <c r="I11" s="7" t="str">
        <f>D11</f>
        <v>DEO-B03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78</v>
      </c>
      <c r="B12" s="35"/>
      <c r="C12" s="35"/>
      <c r="D12" s="36"/>
      <c r="E12" s="5"/>
      <c r="F12" s="34" t="s">
        <v>78</v>
      </c>
      <c r="G12" s="35"/>
      <c r="H12" s="35"/>
      <c r="I12" s="36"/>
      <c r="K12" s="1">
        <v>200</v>
      </c>
      <c r="L12" s="1">
        <v>20</v>
      </c>
    </row>
    <row r="13" spans="1:12" s="1" customFormat="1" ht="30" customHeight="1" x14ac:dyDescent="0.25">
      <c r="A13" s="39" t="s">
        <v>45</v>
      </c>
      <c r="B13" s="40"/>
      <c r="C13" s="41" t="s">
        <v>109</v>
      </c>
      <c r="D13" s="42"/>
      <c r="E13" s="4"/>
      <c r="F13" s="39" t="str">
        <f>A13</f>
        <v>PP6331</v>
      </c>
      <c r="G13" s="40"/>
      <c r="H13" s="41" t="str">
        <f>C13</f>
        <v>Global White</v>
      </c>
      <c r="I13" s="42"/>
    </row>
    <row r="14" spans="1:12" s="1" customFormat="1" ht="30" customHeight="1" x14ac:dyDescent="0.25">
      <c r="A14" s="12" t="s">
        <v>4</v>
      </c>
      <c r="B14" s="37">
        <v>27268</v>
      </c>
      <c r="C14" s="37"/>
      <c r="D14" s="38"/>
      <c r="E14" s="4"/>
      <c r="F14" s="12" t="s">
        <v>4</v>
      </c>
      <c r="G14" s="37">
        <f>B14</f>
        <v>27268</v>
      </c>
      <c r="H14" s="37"/>
      <c r="I14" s="38"/>
    </row>
    <row r="15" spans="1:12" ht="63.75" customHeight="1" x14ac:dyDescent="0.25">
      <c r="A15" s="33" t="s">
        <v>35</v>
      </c>
      <c r="B15" s="33"/>
      <c r="C15" s="33"/>
      <c r="D15" s="33"/>
      <c r="E15" s="2"/>
      <c r="F15" s="33" t="str">
        <f>A15</f>
        <v>Oval DEO - Barrel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15</v>
      </c>
      <c r="E17" s="4"/>
      <c r="F17" s="11" t="s">
        <v>2</v>
      </c>
      <c r="G17" s="10"/>
      <c r="H17" s="11" t="s">
        <v>5</v>
      </c>
      <c r="I17" s="7" t="str">
        <f>D17</f>
        <v>03C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16</v>
      </c>
      <c r="E18" s="4"/>
      <c r="F18" s="8" t="s">
        <v>3</v>
      </c>
      <c r="G18" s="9">
        <v>8</v>
      </c>
      <c r="H18" s="11" t="s">
        <v>6</v>
      </c>
      <c r="I18" s="7" t="str">
        <f>D18</f>
        <v>DEO-B03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78</v>
      </c>
      <c r="B19" s="35"/>
      <c r="C19" s="35"/>
      <c r="D19" s="36"/>
      <c r="E19" s="5"/>
      <c r="F19" s="34" t="s">
        <v>78</v>
      </c>
      <c r="G19" s="35"/>
      <c r="H19" s="35"/>
      <c r="I19" s="36"/>
      <c r="K19" s="1">
        <v>200</v>
      </c>
      <c r="L19" s="1">
        <v>20</v>
      </c>
    </row>
    <row r="20" spans="1:12" s="1" customFormat="1" ht="30" customHeight="1" x14ac:dyDescent="0.25">
      <c r="A20" s="39" t="s">
        <v>45</v>
      </c>
      <c r="B20" s="40"/>
      <c r="C20" s="41" t="s">
        <v>109</v>
      </c>
      <c r="D20" s="42"/>
      <c r="E20" s="4"/>
      <c r="F20" s="39" t="str">
        <f>A20</f>
        <v>PP6331</v>
      </c>
      <c r="G20" s="40"/>
      <c r="H20" s="41" t="str">
        <f>C20</f>
        <v>Global White</v>
      </c>
      <c r="I20" s="42"/>
    </row>
    <row r="21" spans="1:12" s="1" customFormat="1" ht="30" customHeight="1" x14ac:dyDescent="0.25">
      <c r="A21" s="12" t="s">
        <v>4</v>
      </c>
      <c r="B21" s="37">
        <v>27268</v>
      </c>
      <c r="C21" s="37"/>
      <c r="D21" s="38"/>
      <c r="E21" s="4"/>
      <c r="F21" s="12" t="s">
        <v>4</v>
      </c>
      <c r="G21" s="37">
        <f>B21</f>
        <v>27268</v>
      </c>
      <c r="H21" s="37"/>
      <c r="I21" s="38"/>
    </row>
    <row r="22" spans="1:12" ht="63.75" customHeight="1" x14ac:dyDescent="0.25">
      <c r="A22" s="33" t="s">
        <v>35</v>
      </c>
      <c r="B22" s="33"/>
      <c r="C22" s="33"/>
      <c r="D22" s="33"/>
      <c r="E22" s="2"/>
      <c r="F22" s="33" t="str">
        <f>A22</f>
        <v>Oval DEO - Barrel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15</v>
      </c>
      <c r="E24" s="4"/>
      <c r="F24" s="11" t="s">
        <v>2</v>
      </c>
      <c r="G24" s="10"/>
      <c r="H24" s="11" t="s">
        <v>5</v>
      </c>
      <c r="I24" s="7" t="str">
        <f>D24</f>
        <v>03C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16</v>
      </c>
      <c r="E25" s="4"/>
      <c r="F25" s="8" t="s">
        <v>3</v>
      </c>
      <c r="G25" s="9">
        <v>9</v>
      </c>
      <c r="H25" s="11" t="s">
        <v>6</v>
      </c>
      <c r="I25" s="7" t="str">
        <f>D25</f>
        <v>DEO-B03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78</v>
      </c>
      <c r="B26" s="35"/>
      <c r="C26" s="35"/>
      <c r="D26" s="36"/>
      <c r="E26" s="5"/>
      <c r="F26" s="34" t="s">
        <v>78</v>
      </c>
      <c r="G26" s="35"/>
      <c r="H26" s="35"/>
      <c r="I26" s="36"/>
      <c r="K26" s="1">
        <v>200</v>
      </c>
      <c r="L26" s="1">
        <v>20</v>
      </c>
    </row>
    <row r="27" spans="1:12" s="1" customFormat="1" ht="30" customHeight="1" x14ac:dyDescent="0.25">
      <c r="A27" s="39" t="s">
        <v>45</v>
      </c>
      <c r="B27" s="40"/>
      <c r="C27" s="41" t="s">
        <v>109</v>
      </c>
      <c r="D27" s="42"/>
      <c r="E27" s="4"/>
      <c r="F27" s="39" t="str">
        <f>A27</f>
        <v>PP6331</v>
      </c>
      <c r="G27" s="40"/>
      <c r="H27" s="41" t="str">
        <f>C27</f>
        <v>Global White</v>
      </c>
      <c r="I27" s="42"/>
    </row>
    <row r="28" spans="1:12" s="1" customFormat="1" ht="30" customHeight="1" x14ac:dyDescent="0.25">
      <c r="A28" s="12" t="s">
        <v>4</v>
      </c>
      <c r="B28" s="37">
        <v>27268</v>
      </c>
      <c r="C28" s="37"/>
      <c r="D28" s="38"/>
      <c r="E28" s="4"/>
      <c r="F28" s="12" t="s">
        <v>4</v>
      </c>
      <c r="G28" s="37">
        <f>B28</f>
        <v>27268</v>
      </c>
      <c r="H28" s="37"/>
      <c r="I28" s="38"/>
    </row>
    <row r="29" spans="1:12" ht="63.75" customHeight="1" x14ac:dyDescent="0.25">
      <c r="A29" s="33" t="s">
        <v>35</v>
      </c>
      <c r="B29" s="33"/>
      <c r="C29" s="33"/>
      <c r="D29" s="33"/>
      <c r="E29" s="2"/>
      <c r="F29" s="33" t="str">
        <f>A29</f>
        <v>Oval DEO - Barrel</v>
      </c>
      <c r="G29" s="33"/>
      <c r="H29" s="33"/>
      <c r="I29" s="33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15</v>
      </c>
      <c r="E31" s="4"/>
      <c r="F31" s="11" t="s">
        <v>2</v>
      </c>
      <c r="G31" s="10"/>
      <c r="H31" s="11" t="s">
        <v>5</v>
      </c>
      <c r="I31" s="7" t="str">
        <f>D31</f>
        <v>03C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16</v>
      </c>
      <c r="E32" s="4"/>
      <c r="F32" s="8" t="s">
        <v>3</v>
      </c>
      <c r="G32" s="9">
        <v>10</v>
      </c>
      <c r="H32" s="11" t="s">
        <v>6</v>
      </c>
      <c r="I32" s="7" t="str">
        <f>D32</f>
        <v>DEO-B03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78</v>
      </c>
      <c r="B33" s="35"/>
      <c r="C33" s="35"/>
      <c r="D33" s="36"/>
      <c r="E33" s="5"/>
      <c r="F33" s="34" t="s">
        <v>116</v>
      </c>
      <c r="G33" s="35"/>
      <c r="H33" s="35"/>
      <c r="I33" s="36"/>
      <c r="K33" s="1">
        <v>200</v>
      </c>
      <c r="L33" s="1">
        <v>20</v>
      </c>
    </row>
    <row r="34" spans="1:12" s="1" customFormat="1" ht="30" customHeight="1" x14ac:dyDescent="0.25">
      <c r="A34" s="39" t="s">
        <v>45</v>
      </c>
      <c r="B34" s="40"/>
      <c r="C34" s="41" t="s">
        <v>109</v>
      </c>
      <c r="D34" s="42"/>
      <c r="E34" s="4"/>
      <c r="F34" s="39" t="str">
        <f>A34</f>
        <v>PP6331</v>
      </c>
      <c r="G34" s="40"/>
      <c r="H34" s="41" t="str">
        <f>C34</f>
        <v>Global White</v>
      </c>
      <c r="I34" s="42"/>
    </row>
    <row r="35" spans="1:12" s="1" customFormat="1" ht="30" customHeight="1" x14ac:dyDescent="0.25">
      <c r="A35" s="12" t="s">
        <v>4</v>
      </c>
      <c r="B35" s="37">
        <v>27268</v>
      </c>
      <c r="C35" s="37"/>
      <c r="D35" s="38"/>
      <c r="E35" s="4"/>
      <c r="F35" s="12" t="s">
        <v>4</v>
      </c>
      <c r="G35" s="37">
        <f>B35</f>
        <v>27268</v>
      </c>
      <c r="H35" s="37"/>
      <c r="I35" s="38"/>
    </row>
  </sheetData>
  <mergeCells count="5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5:D15"/>
    <mergeCell ref="F15:I15"/>
    <mergeCell ref="A13:B13"/>
    <mergeCell ref="C13:D13"/>
    <mergeCell ref="F13:G13"/>
    <mergeCell ref="H13:I13"/>
    <mergeCell ref="B14:D14"/>
    <mergeCell ref="G14:I14"/>
    <mergeCell ref="A19:D19"/>
    <mergeCell ref="F19:I19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A27:B27"/>
    <mergeCell ref="C27:D27"/>
    <mergeCell ref="F27:G27"/>
    <mergeCell ref="H27:I27"/>
    <mergeCell ref="B28:D28"/>
    <mergeCell ref="G28:I28"/>
    <mergeCell ref="B35:D35"/>
    <mergeCell ref="G35:I35"/>
    <mergeCell ref="A29:D29"/>
    <mergeCell ref="F29:I29"/>
    <mergeCell ref="A33:D33"/>
    <mergeCell ref="F33:I33"/>
    <mergeCell ref="A34:B34"/>
    <mergeCell ref="C34:D34"/>
    <mergeCell ref="F34:G34"/>
    <mergeCell ref="H34:I34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L70"/>
  <sheetViews>
    <sheetView tabSelected="1" view="pageBreakPreview" topLeftCell="A59" zoomScaleNormal="100" zoomScaleSheetLayoutView="100" workbookViewId="0">
      <selection activeCell="N67" sqref="N6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36</v>
      </c>
      <c r="B1" s="33"/>
      <c r="C1" s="33"/>
      <c r="D1" s="33"/>
      <c r="E1" s="2"/>
      <c r="F1" s="33" t="str">
        <f>A1</f>
        <v>Oval DEO - Inner Dome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32" t="s">
        <v>0</v>
      </c>
      <c r="G2" s="31"/>
      <c r="H2" s="32" t="s">
        <v>1</v>
      </c>
      <c r="I2" s="31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74</v>
      </c>
      <c r="E3" s="4"/>
      <c r="F3" s="32" t="s">
        <v>2</v>
      </c>
      <c r="G3" s="31"/>
      <c r="H3" s="32" t="s">
        <v>5</v>
      </c>
      <c r="I3" s="7" t="str">
        <f>D3</f>
        <v>08B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75</v>
      </c>
      <c r="E4" s="4"/>
      <c r="F4" s="8" t="s">
        <v>3</v>
      </c>
      <c r="G4" s="9">
        <v>11</v>
      </c>
      <c r="H4" s="32" t="s">
        <v>6</v>
      </c>
      <c r="I4" s="7" t="str">
        <f>D4</f>
        <v>DEO-D04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72</v>
      </c>
      <c r="B5" s="35"/>
      <c r="C5" s="35"/>
      <c r="D5" s="36"/>
      <c r="E5" s="5"/>
      <c r="F5" s="34" t="s">
        <v>72</v>
      </c>
      <c r="G5" s="35"/>
      <c r="H5" s="35"/>
      <c r="I5" s="36"/>
      <c r="K5" s="1">
        <v>460</v>
      </c>
      <c r="L5" s="1">
        <v>80</v>
      </c>
    </row>
    <row r="6" spans="1:12" s="1" customFormat="1" ht="30" customHeight="1" x14ac:dyDescent="0.25">
      <c r="A6" s="39" t="s">
        <v>85</v>
      </c>
      <c r="B6" s="40"/>
      <c r="C6" s="44" t="s">
        <v>81</v>
      </c>
      <c r="D6" s="42"/>
      <c r="E6" s="4"/>
      <c r="F6" s="39" t="str">
        <f>A6</f>
        <v>KW621</v>
      </c>
      <c r="G6" s="40"/>
      <c r="H6" s="44" t="str">
        <f>C6</f>
        <v>Green</v>
      </c>
      <c r="I6" s="42"/>
    </row>
    <row r="7" spans="1:12" s="1" customFormat="1" ht="30" customHeight="1" x14ac:dyDescent="0.25">
      <c r="A7" s="12" t="s">
        <v>4</v>
      </c>
      <c r="B7" s="37">
        <v>26676</v>
      </c>
      <c r="C7" s="37"/>
      <c r="D7" s="38"/>
      <c r="E7" s="4"/>
      <c r="F7" s="12" t="s">
        <v>4</v>
      </c>
      <c r="G7" s="37">
        <f>B7</f>
        <v>26676</v>
      </c>
      <c r="H7" s="37"/>
      <c r="I7" s="38"/>
    </row>
    <row r="8" spans="1:12" ht="63.75" customHeight="1" x14ac:dyDescent="0.25">
      <c r="A8" s="33" t="s">
        <v>36</v>
      </c>
      <c r="B8" s="33"/>
      <c r="C8" s="33"/>
      <c r="D8" s="33"/>
      <c r="E8" s="2"/>
      <c r="F8" s="33" t="str">
        <f>A8</f>
        <v>Oval DEO - Inner Dome</v>
      </c>
      <c r="G8" s="33"/>
      <c r="H8" s="33"/>
      <c r="I8" s="33"/>
    </row>
    <row r="9" spans="1:12" s="1" customFormat="1" ht="30" customHeight="1" x14ac:dyDescent="0.25">
      <c r="A9" s="32" t="s">
        <v>0</v>
      </c>
      <c r="B9" s="31"/>
      <c r="C9" s="32" t="s">
        <v>1</v>
      </c>
      <c r="D9" s="31"/>
      <c r="E9" s="3"/>
      <c r="F9" s="32" t="s">
        <v>0</v>
      </c>
      <c r="G9" s="31"/>
      <c r="H9" s="32" t="s">
        <v>1</v>
      </c>
      <c r="I9" s="31"/>
    </row>
    <row r="10" spans="1:12" s="1" customFormat="1" ht="30" customHeight="1" x14ac:dyDescent="0.25">
      <c r="A10" s="32" t="s">
        <v>2</v>
      </c>
      <c r="B10" s="31"/>
      <c r="C10" s="32" t="s">
        <v>5</v>
      </c>
      <c r="D10" s="7" t="s">
        <v>74</v>
      </c>
      <c r="E10" s="4"/>
      <c r="F10" s="32" t="s">
        <v>2</v>
      </c>
      <c r="G10" s="31"/>
      <c r="H10" s="32" t="s">
        <v>5</v>
      </c>
      <c r="I10" s="7" t="str">
        <f>D10</f>
        <v>08B</v>
      </c>
    </row>
    <row r="11" spans="1:12" s="1" customFormat="1" ht="53.25" customHeight="1" x14ac:dyDescent="0.25">
      <c r="A11" s="8" t="s">
        <v>3</v>
      </c>
      <c r="B11" s="9">
        <v>2</v>
      </c>
      <c r="C11" s="32" t="s">
        <v>6</v>
      </c>
      <c r="D11" s="7" t="s">
        <v>75</v>
      </c>
      <c r="E11" s="4"/>
      <c r="F11" s="8" t="s">
        <v>3</v>
      </c>
      <c r="G11" s="9">
        <v>12</v>
      </c>
      <c r="H11" s="32" t="s">
        <v>6</v>
      </c>
      <c r="I11" s="7" t="str">
        <f>D11</f>
        <v>DEO-D04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72</v>
      </c>
      <c r="B12" s="35"/>
      <c r="C12" s="35"/>
      <c r="D12" s="36"/>
      <c r="E12" s="5"/>
      <c r="F12" s="34" t="s">
        <v>72</v>
      </c>
      <c r="G12" s="35"/>
      <c r="H12" s="35"/>
      <c r="I12" s="36"/>
      <c r="K12" s="1">
        <v>460</v>
      </c>
      <c r="L12" s="1">
        <v>80</v>
      </c>
    </row>
    <row r="13" spans="1:12" s="1" customFormat="1" ht="30" customHeight="1" x14ac:dyDescent="0.25">
      <c r="A13" s="39" t="s">
        <v>85</v>
      </c>
      <c r="B13" s="40"/>
      <c r="C13" s="44" t="s">
        <v>81</v>
      </c>
      <c r="D13" s="42"/>
      <c r="E13" s="4"/>
      <c r="F13" s="39" t="str">
        <f>A13</f>
        <v>KW621</v>
      </c>
      <c r="G13" s="40"/>
      <c r="H13" s="44" t="str">
        <f>C13</f>
        <v>Green</v>
      </c>
      <c r="I13" s="42"/>
    </row>
    <row r="14" spans="1:12" s="1" customFormat="1" ht="30" customHeight="1" x14ac:dyDescent="0.25">
      <c r="A14" s="12" t="s">
        <v>4</v>
      </c>
      <c r="B14" s="37">
        <v>26676</v>
      </c>
      <c r="C14" s="37"/>
      <c r="D14" s="38"/>
      <c r="E14" s="4"/>
      <c r="F14" s="12" t="s">
        <v>4</v>
      </c>
      <c r="G14" s="37">
        <f>B14</f>
        <v>26676</v>
      </c>
      <c r="H14" s="37"/>
      <c r="I14" s="38"/>
    </row>
    <row r="15" spans="1:12" ht="63.75" customHeight="1" x14ac:dyDescent="0.25">
      <c r="A15" s="33" t="s">
        <v>36</v>
      </c>
      <c r="B15" s="33"/>
      <c r="C15" s="33"/>
      <c r="D15" s="33"/>
      <c r="E15" s="2"/>
      <c r="F15" s="33" t="str">
        <f>A15</f>
        <v>Oval DEO - Inner Dome</v>
      </c>
      <c r="G15" s="33"/>
      <c r="H15" s="33"/>
      <c r="I15" s="33"/>
    </row>
    <row r="16" spans="1:12" s="1" customFormat="1" ht="30" customHeight="1" x14ac:dyDescent="0.25">
      <c r="A16" s="32" t="s">
        <v>0</v>
      </c>
      <c r="B16" s="31"/>
      <c r="C16" s="32" t="s">
        <v>1</v>
      </c>
      <c r="D16" s="31"/>
      <c r="E16" s="3"/>
      <c r="F16" s="32" t="s">
        <v>0</v>
      </c>
      <c r="G16" s="31"/>
      <c r="H16" s="32" t="s">
        <v>1</v>
      </c>
      <c r="I16" s="31"/>
    </row>
    <row r="17" spans="1:12" s="1" customFormat="1" ht="30" customHeight="1" x14ac:dyDescent="0.25">
      <c r="A17" s="32" t="s">
        <v>2</v>
      </c>
      <c r="B17" s="31"/>
      <c r="C17" s="32" t="s">
        <v>5</v>
      </c>
      <c r="D17" s="7" t="s">
        <v>74</v>
      </c>
      <c r="E17" s="4"/>
      <c r="F17" s="32" t="s">
        <v>2</v>
      </c>
      <c r="G17" s="31"/>
      <c r="H17" s="32" t="s">
        <v>5</v>
      </c>
      <c r="I17" s="7" t="str">
        <f>D17</f>
        <v>08B</v>
      </c>
    </row>
    <row r="18" spans="1:12" s="1" customFormat="1" ht="53.25" customHeight="1" x14ac:dyDescent="0.25">
      <c r="A18" s="8" t="s">
        <v>3</v>
      </c>
      <c r="B18" s="9">
        <v>3</v>
      </c>
      <c r="C18" s="32" t="s">
        <v>6</v>
      </c>
      <c r="D18" s="7" t="s">
        <v>75</v>
      </c>
      <c r="E18" s="4"/>
      <c r="F18" s="8" t="s">
        <v>3</v>
      </c>
      <c r="G18" s="9">
        <v>13</v>
      </c>
      <c r="H18" s="32" t="s">
        <v>6</v>
      </c>
      <c r="I18" s="7" t="str">
        <f>D18</f>
        <v>DEO-D04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72</v>
      </c>
      <c r="B19" s="35"/>
      <c r="C19" s="35"/>
      <c r="D19" s="36"/>
      <c r="E19" s="5"/>
      <c r="F19" s="34" t="s">
        <v>72</v>
      </c>
      <c r="G19" s="35"/>
      <c r="H19" s="35"/>
      <c r="I19" s="36"/>
      <c r="K19" s="1">
        <v>460</v>
      </c>
      <c r="L19" s="1">
        <v>80</v>
      </c>
    </row>
    <row r="20" spans="1:12" s="1" customFormat="1" ht="30" customHeight="1" x14ac:dyDescent="0.25">
      <c r="A20" s="39" t="s">
        <v>85</v>
      </c>
      <c r="B20" s="40"/>
      <c r="C20" s="44" t="s">
        <v>81</v>
      </c>
      <c r="D20" s="42"/>
      <c r="E20" s="4"/>
      <c r="F20" s="39" t="str">
        <f>A20</f>
        <v>KW621</v>
      </c>
      <c r="G20" s="40"/>
      <c r="H20" s="44" t="str">
        <f>C20</f>
        <v>Green</v>
      </c>
      <c r="I20" s="42"/>
    </row>
    <row r="21" spans="1:12" s="1" customFormat="1" ht="30" customHeight="1" x14ac:dyDescent="0.25">
      <c r="A21" s="12" t="s">
        <v>4</v>
      </c>
      <c r="B21" s="37">
        <v>26676</v>
      </c>
      <c r="C21" s="37"/>
      <c r="D21" s="38"/>
      <c r="E21" s="4"/>
      <c r="F21" s="12" t="s">
        <v>4</v>
      </c>
      <c r="G21" s="37">
        <f>B21</f>
        <v>26676</v>
      </c>
      <c r="H21" s="37"/>
      <c r="I21" s="38"/>
    </row>
    <row r="22" spans="1:12" ht="63.75" customHeight="1" x14ac:dyDescent="0.25">
      <c r="A22" s="33" t="s">
        <v>36</v>
      </c>
      <c r="B22" s="33"/>
      <c r="C22" s="33"/>
      <c r="D22" s="33"/>
      <c r="E22" s="2"/>
      <c r="F22" s="33" t="str">
        <f>A22</f>
        <v>Oval DEO - Inner Dome</v>
      </c>
      <c r="G22" s="33"/>
      <c r="H22" s="33"/>
      <c r="I22" s="33"/>
    </row>
    <row r="23" spans="1:12" s="1" customFormat="1" ht="30" customHeight="1" x14ac:dyDescent="0.25">
      <c r="A23" s="32" t="s">
        <v>0</v>
      </c>
      <c r="B23" s="31"/>
      <c r="C23" s="32" t="s">
        <v>1</v>
      </c>
      <c r="D23" s="31"/>
      <c r="E23" s="3"/>
      <c r="F23" s="32" t="s">
        <v>0</v>
      </c>
      <c r="G23" s="31"/>
      <c r="H23" s="32" t="s">
        <v>1</v>
      </c>
      <c r="I23" s="31"/>
    </row>
    <row r="24" spans="1:12" s="1" customFormat="1" ht="30" customHeight="1" x14ac:dyDescent="0.25">
      <c r="A24" s="32" t="s">
        <v>2</v>
      </c>
      <c r="B24" s="31"/>
      <c r="C24" s="32" t="s">
        <v>5</v>
      </c>
      <c r="D24" s="7" t="s">
        <v>74</v>
      </c>
      <c r="E24" s="4"/>
      <c r="F24" s="32" t="s">
        <v>2</v>
      </c>
      <c r="G24" s="31"/>
      <c r="H24" s="32" t="s">
        <v>5</v>
      </c>
      <c r="I24" s="7" t="str">
        <f>D24</f>
        <v>08B</v>
      </c>
    </row>
    <row r="25" spans="1:12" s="1" customFormat="1" ht="53.25" customHeight="1" x14ac:dyDescent="0.25">
      <c r="A25" s="8" t="s">
        <v>3</v>
      </c>
      <c r="B25" s="9">
        <v>4</v>
      </c>
      <c r="C25" s="32" t="s">
        <v>6</v>
      </c>
      <c r="D25" s="7" t="s">
        <v>75</v>
      </c>
      <c r="E25" s="4"/>
      <c r="F25" s="8" t="s">
        <v>3</v>
      </c>
      <c r="G25" s="9">
        <v>14</v>
      </c>
      <c r="H25" s="32" t="s">
        <v>6</v>
      </c>
      <c r="I25" s="7" t="str">
        <f>D25</f>
        <v>DEO-D04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72</v>
      </c>
      <c r="B26" s="35"/>
      <c r="C26" s="35"/>
      <c r="D26" s="36"/>
      <c r="E26" s="5"/>
      <c r="F26" s="34" t="s">
        <v>72</v>
      </c>
      <c r="G26" s="35"/>
      <c r="H26" s="35"/>
      <c r="I26" s="36"/>
      <c r="K26" s="1">
        <v>460</v>
      </c>
      <c r="L26" s="1">
        <v>80</v>
      </c>
    </row>
    <row r="27" spans="1:12" s="1" customFormat="1" ht="30" customHeight="1" x14ac:dyDescent="0.25">
      <c r="A27" s="39" t="s">
        <v>85</v>
      </c>
      <c r="B27" s="40"/>
      <c r="C27" s="44" t="s">
        <v>81</v>
      </c>
      <c r="D27" s="42"/>
      <c r="E27" s="4"/>
      <c r="F27" s="39" t="str">
        <f>A27</f>
        <v>KW621</v>
      </c>
      <c r="G27" s="40"/>
      <c r="H27" s="44" t="str">
        <f>C27</f>
        <v>Green</v>
      </c>
      <c r="I27" s="42"/>
    </row>
    <row r="28" spans="1:12" s="1" customFormat="1" ht="30" customHeight="1" x14ac:dyDescent="0.25">
      <c r="A28" s="12" t="s">
        <v>4</v>
      </c>
      <c r="B28" s="37">
        <v>26676</v>
      </c>
      <c r="C28" s="37"/>
      <c r="D28" s="38"/>
      <c r="E28" s="4"/>
      <c r="F28" s="12" t="s">
        <v>4</v>
      </c>
      <c r="G28" s="37">
        <f>B28</f>
        <v>26676</v>
      </c>
      <c r="H28" s="37"/>
      <c r="I28" s="38"/>
    </row>
    <row r="29" spans="1:12" ht="63.75" customHeight="1" x14ac:dyDescent="0.25">
      <c r="A29" s="33" t="s">
        <v>36</v>
      </c>
      <c r="B29" s="33"/>
      <c r="C29" s="33"/>
      <c r="D29" s="33"/>
      <c r="E29" s="2"/>
      <c r="F29" s="33" t="str">
        <f>A29</f>
        <v>Oval DEO - Inner Dome</v>
      </c>
      <c r="G29" s="33"/>
      <c r="H29" s="33"/>
      <c r="I29" s="33"/>
    </row>
    <row r="30" spans="1:12" s="1" customFormat="1" ht="30" customHeight="1" x14ac:dyDescent="0.25">
      <c r="A30" s="32" t="s">
        <v>0</v>
      </c>
      <c r="B30" s="31"/>
      <c r="C30" s="32" t="s">
        <v>1</v>
      </c>
      <c r="D30" s="31"/>
      <c r="E30" s="3"/>
      <c r="F30" s="32" t="s">
        <v>0</v>
      </c>
      <c r="G30" s="31"/>
      <c r="H30" s="32" t="s">
        <v>1</v>
      </c>
      <c r="I30" s="31"/>
    </row>
    <row r="31" spans="1:12" s="1" customFormat="1" ht="30" customHeight="1" x14ac:dyDescent="0.25">
      <c r="A31" s="32" t="s">
        <v>2</v>
      </c>
      <c r="B31" s="31"/>
      <c r="C31" s="32" t="s">
        <v>5</v>
      </c>
      <c r="D31" s="7" t="s">
        <v>74</v>
      </c>
      <c r="E31" s="4"/>
      <c r="F31" s="32" t="s">
        <v>2</v>
      </c>
      <c r="G31" s="31"/>
      <c r="H31" s="32" t="s">
        <v>5</v>
      </c>
      <c r="I31" s="7" t="str">
        <f>D31</f>
        <v>08B</v>
      </c>
    </row>
    <row r="32" spans="1:12" s="1" customFormat="1" ht="53.25" customHeight="1" x14ac:dyDescent="0.25">
      <c r="A32" s="8" t="s">
        <v>3</v>
      </c>
      <c r="B32" s="9">
        <v>5</v>
      </c>
      <c r="C32" s="32" t="s">
        <v>6</v>
      </c>
      <c r="D32" s="7" t="s">
        <v>75</v>
      </c>
      <c r="E32" s="4"/>
      <c r="F32" s="8" t="s">
        <v>3</v>
      </c>
      <c r="G32" s="9">
        <v>15</v>
      </c>
      <c r="H32" s="32" t="s">
        <v>6</v>
      </c>
      <c r="I32" s="7" t="str">
        <f>D32</f>
        <v>DEO-D04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72</v>
      </c>
      <c r="B33" s="35"/>
      <c r="C33" s="35"/>
      <c r="D33" s="36"/>
      <c r="E33" s="5"/>
      <c r="F33" s="34" t="s">
        <v>72</v>
      </c>
      <c r="G33" s="35"/>
      <c r="H33" s="35"/>
      <c r="I33" s="36"/>
      <c r="K33" s="1">
        <v>460</v>
      </c>
      <c r="L33" s="1">
        <v>80</v>
      </c>
    </row>
    <row r="34" spans="1:12" s="1" customFormat="1" ht="30" customHeight="1" x14ac:dyDescent="0.25">
      <c r="A34" s="39" t="s">
        <v>85</v>
      </c>
      <c r="B34" s="40"/>
      <c r="C34" s="44" t="s">
        <v>81</v>
      </c>
      <c r="D34" s="42"/>
      <c r="E34" s="4"/>
      <c r="F34" s="39" t="str">
        <f>A34</f>
        <v>KW621</v>
      </c>
      <c r="G34" s="40"/>
      <c r="H34" s="44" t="str">
        <f>C34</f>
        <v>Green</v>
      </c>
      <c r="I34" s="42"/>
    </row>
    <row r="35" spans="1:12" s="1" customFormat="1" ht="30" customHeight="1" x14ac:dyDescent="0.25">
      <c r="A35" s="12" t="s">
        <v>4</v>
      </c>
      <c r="B35" s="37">
        <v>26676</v>
      </c>
      <c r="C35" s="37"/>
      <c r="D35" s="38"/>
      <c r="E35" s="4"/>
      <c r="F35" s="12" t="s">
        <v>4</v>
      </c>
      <c r="G35" s="37">
        <f>B35</f>
        <v>26676</v>
      </c>
      <c r="H35" s="37"/>
      <c r="I35" s="38"/>
    </row>
    <row r="36" spans="1:12" ht="63.75" customHeight="1" x14ac:dyDescent="0.25">
      <c r="A36" s="33" t="s">
        <v>36</v>
      </c>
      <c r="B36" s="33"/>
      <c r="C36" s="33"/>
      <c r="D36" s="33"/>
      <c r="E36" s="2"/>
      <c r="F36" s="33" t="str">
        <f>A36</f>
        <v>Oval DEO - Inner Dome</v>
      </c>
      <c r="G36" s="33"/>
      <c r="H36" s="33"/>
      <c r="I36" s="33"/>
    </row>
    <row r="37" spans="1:12" s="1" customFormat="1" ht="30" customHeight="1" x14ac:dyDescent="0.25">
      <c r="A37" s="32" t="s">
        <v>0</v>
      </c>
      <c r="B37" s="31"/>
      <c r="C37" s="32" t="s">
        <v>1</v>
      </c>
      <c r="D37" s="31"/>
      <c r="E37" s="3"/>
      <c r="F37" s="32" t="s">
        <v>0</v>
      </c>
      <c r="G37" s="31"/>
      <c r="H37" s="32" t="s">
        <v>1</v>
      </c>
      <c r="I37" s="31"/>
    </row>
    <row r="38" spans="1:12" s="1" customFormat="1" ht="30" customHeight="1" x14ac:dyDescent="0.25">
      <c r="A38" s="32" t="s">
        <v>2</v>
      </c>
      <c r="B38" s="31"/>
      <c r="C38" s="32" t="s">
        <v>5</v>
      </c>
      <c r="D38" s="7" t="s">
        <v>74</v>
      </c>
      <c r="E38" s="4"/>
      <c r="F38" s="32" t="s">
        <v>2</v>
      </c>
      <c r="G38" s="31"/>
      <c r="H38" s="32" t="s">
        <v>5</v>
      </c>
      <c r="I38" s="7" t="str">
        <f>D38</f>
        <v>08B</v>
      </c>
    </row>
    <row r="39" spans="1:12" s="1" customFormat="1" ht="53.25" customHeight="1" x14ac:dyDescent="0.25">
      <c r="A39" s="8" t="s">
        <v>3</v>
      </c>
      <c r="B39" s="9">
        <v>6</v>
      </c>
      <c r="C39" s="32" t="s">
        <v>6</v>
      </c>
      <c r="D39" s="7" t="s">
        <v>75</v>
      </c>
      <c r="E39" s="4"/>
      <c r="F39" s="8" t="s">
        <v>3</v>
      </c>
      <c r="G39" s="9">
        <v>16</v>
      </c>
      <c r="H39" s="32" t="s">
        <v>6</v>
      </c>
      <c r="I39" s="7" t="str">
        <f>D39</f>
        <v>DEO-D04</v>
      </c>
      <c r="K39" s="6" t="s">
        <v>8</v>
      </c>
      <c r="L39" s="6" t="s">
        <v>7</v>
      </c>
    </row>
    <row r="40" spans="1:12" s="1" customFormat="1" ht="30" customHeight="1" x14ac:dyDescent="0.25">
      <c r="A40" s="34" t="s">
        <v>72</v>
      </c>
      <c r="B40" s="35"/>
      <c r="C40" s="35"/>
      <c r="D40" s="36"/>
      <c r="E40" s="5"/>
      <c r="F40" s="34" t="s">
        <v>72</v>
      </c>
      <c r="G40" s="35"/>
      <c r="H40" s="35"/>
      <c r="I40" s="36"/>
      <c r="K40" s="1">
        <v>460</v>
      </c>
      <c r="L40" s="1">
        <v>80</v>
      </c>
    </row>
    <row r="41" spans="1:12" s="1" customFormat="1" ht="30" customHeight="1" x14ac:dyDescent="0.25">
      <c r="A41" s="39" t="s">
        <v>85</v>
      </c>
      <c r="B41" s="40"/>
      <c r="C41" s="44" t="s">
        <v>81</v>
      </c>
      <c r="D41" s="42"/>
      <c r="E41" s="4"/>
      <c r="F41" s="39" t="str">
        <f>A41</f>
        <v>KW621</v>
      </c>
      <c r="G41" s="40"/>
      <c r="H41" s="44" t="str">
        <f>C41</f>
        <v>Green</v>
      </c>
      <c r="I41" s="42"/>
    </row>
    <row r="42" spans="1:12" s="1" customFormat="1" ht="30" customHeight="1" x14ac:dyDescent="0.25">
      <c r="A42" s="12" t="s">
        <v>4</v>
      </c>
      <c r="B42" s="37">
        <v>26676</v>
      </c>
      <c r="C42" s="37"/>
      <c r="D42" s="38"/>
      <c r="E42" s="4"/>
      <c r="F42" s="12" t="s">
        <v>4</v>
      </c>
      <c r="G42" s="37">
        <f>B42</f>
        <v>26676</v>
      </c>
      <c r="H42" s="37"/>
      <c r="I42" s="38"/>
    </row>
    <row r="43" spans="1:12" ht="63.75" customHeight="1" x14ac:dyDescent="0.25">
      <c r="A43" s="33" t="s">
        <v>36</v>
      </c>
      <c r="B43" s="33"/>
      <c r="C43" s="33"/>
      <c r="D43" s="33"/>
      <c r="E43" s="2"/>
      <c r="F43" s="33" t="str">
        <f>A43</f>
        <v>Oval DEO - Inner Dome</v>
      </c>
      <c r="G43" s="33"/>
      <c r="H43" s="33"/>
      <c r="I43" s="33"/>
    </row>
    <row r="44" spans="1:12" s="1" customFormat="1" ht="30" customHeight="1" x14ac:dyDescent="0.25">
      <c r="A44" s="32" t="s">
        <v>0</v>
      </c>
      <c r="B44" s="31"/>
      <c r="C44" s="32" t="s">
        <v>1</v>
      </c>
      <c r="D44" s="31"/>
      <c r="E44" s="3"/>
      <c r="F44" s="32" t="s">
        <v>0</v>
      </c>
      <c r="G44" s="31"/>
      <c r="H44" s="32" t="s">
        <v>1</v>
      </c>
      <c r="I44" s="31"/>
    </row>
    <row r="45" spans="1:12" s="1" customFormat="1" ht="30" customHeight="1" x14ac:dyDescent="0.25">
      <c r="A45" s="32" t="s">
        <v>2</v>
      </c>
      <c r="B45" s="31"/>
      <c r="C45" s="32" t="s">
        <v>5</v>
      </c>
      <c r="D45" s="7" t="s">
        <v>74</v>
      </c>
      <c r="E45" s="4"/>
      <c r="F45" s="32" t="s">
        <v>2</v>
      </c>
      <c r="G45" s="31"/>
      <c r="H45" s="32" t="s">
        <v>5</v>
      </c>
      <c r="I45" s="7" t="str">
        <f>D45</f>
        <v>08B</v>
      </c>
    </row>
    <row r="46" spans="1:12" s="1" customFormat="1" ht="53.25" customHeight="1" x14ac:dyDescent="0.25">
      <c r="A46" s="8" t="s">
        <v>3</v>
      </c>
      <c r="B46" s="9">
        <v>7</v>
      </c>
      <c r="C46" s="32" t="s">
        <v>6</v>
      </c>
      <c r="D46" s="7" t="s">
        <v>75</v>
      </c>
      <c r="E46" s="4"/>
      <c r="F46" s="8" t="s">
        <v>3</v>
      </c>
      <c r="G46" s="9">
        <v>17</v>
      </c>
      <c r="H46" s="32" t="s">
        <v>6</v>
      </c>
      <c r="I46" s="7" t="str">
        <f>D46</f>
        <v>DEO-D04</v>
      </c>
      <c r="K46" s="6" t="s">
        <v>8</v>
      </c>
      <c r="L46" s="6" t="s">
        <v>7</v>
      </c>
    </row>
    <row r="47" spans="1:12" s="1" customFormat="1" ht="30" customHeight="1" x14ac:dyDescent="0.25">
      <c r="A47" s="34" t="s">
        <v>72</v>
      </c>
      <c r="B47" s="35"/>
      <c r="C47" s="35"/>
      <c r="D47" s="36"/>
      <c r="E47" s="5"/>
      <c r="F47" s="34" t="s">
        <v>72</v>
      </c>
      <c r="G47" s="35"/>
      <c r="H47" s="35"/>
      <c r="I47" s="36"/>
      <c r="K47" s="1">
        <v>460</v>
      </c>
      <c r="L47" s="1">
        <v>80</v>
      </c>
    </row>
    <row r="48" spans="1:12" s="1" customFormat="1" ht="30" customHeight="1" x14ac:dyDescent="0.25">
      <c r="A48" s="39" t="s">
        <v>85</v>
      </c>
      <c r="B48" s="40"/>
      <c r="C48" s="44" t="s">
        <v>81</v>
      </c>
      <c r="D48" s="42"/>
      <c r="E48" s="4"/>
      <c r="F48" s="39" t="str">
        <f>A48</f>
        <v>KW621</v>
      </c>
      <c r="G48" s="40"/>
      <c r="H48" s="44" t="str">
        <f>C48</f>
        <v>Green</v>
      </c>
      <c r="I48" s="42"/>
    </row>
    <row r="49" spans="1:12" s="1" customFormat="1" ht="30" customHeight="1" x14ac:dyDescent="0.25">
      <c r="A49" s="12" t="s">
        <v>4</v>
      </c>
      <c r="B49" s="37">
        <v>26676</v>
      </c>
      <c r="C49" s="37"/>
      <c r="D49" s="38"/>
      <c r="E49" s="4"/>
      <c r="F49" s="12" t="s">
        <v>4</v>
      </c>
      <c r="G49" s="37">
        <f>B49</f>
        <v>26676</v>
      </c>
      <c r="H49" s="37"/>
      <c r="I49" s="38"/>
    </row>
    <row r="50" spans="1:12" ht="63.75" customHeight="1" x14ac:dyDescent="0.25">
      <c r="A50" s="33" t="s">
        <v>36</v>
      </c>
      <c r="B50" s="33"/>
      <c r="C50" s="33"/>
      <c r="D50" s="33"/>
      <c r="E50" s="2"/>
      <c r="F50" s="33" t="str">
        <f>A50</f>
        <v>Oval DEO - Inner Dome</v>
      </c>
      <c r="G50" s="33"/>
      <c r="H50" s="33"/>
      <c r="I50" s="33"/>
    </row>
    <row r="51" spans="1:12" s="1" customFormat="1" ht="30" customHeight="1" x14ac:dyDescent="0.25">
      <c r="A51" s="32" t="s">
        <v>0</v>
      </c>
      <c r="B51" s="31"/>
      <c r="C51" s="32" t="s">
        <v>1</v>
      </c>
      <c r="D51" s="31"/>
      <c r="E51" s="3"/>
      <c r="F51" s="32" t="s">
        <v>0</v>
      </c>
      <c r="G51" s="31"/>
      <c r="H51" s="32" t="s">
        <v>1</v>
      </c>
      <c r="I51" s="31"/>
    </row>
    <row r="52" spans="1:12" s="1" customFormat="1" ht="30" customHeight="1" x14ac:dyDescent="0.25">
      <c r="A52" s="32" t="s">
        <v>2</v>
      </c>
      <c r="B52" s="31"/>
      <c r="C52" s="32" t="s">
        <v>5</v>
      </c>
      <c r="D52" s="7" t="s">
        <v>74</v>
      </c>
      <c r="E52" s="4"/>
      <c r="F52" s="32" t="s">
        <v>2</v>
      </c>
      <c r="G52" s="31"/>
      <c r="H52" s="32" t="s">
        <v>5</v>
      </c>
      <c r="I52" s="7" t="str">
        <f>D52</f>
        <v>08B</v>
      </c>
    </row>
    <row r="53" spans="1:12" s="1" customFormat="1" ht="53.25" customHeight="1" x14ac:dyDescent="0.25">
      <c r="A53" s="8" t="s">
        <v>3</v>
      </c>
      <c r="B53" s="9">
        <v>8</v>
      </c>
      <c r="C53" s="32" t="s">
        <v>6</v>
      </c>
      <c r="D53" s="7" t="s">
        <v>75</v>
      </c>
      <c r="E53" s="4"/>
      <c r="F53" s="8" t="s">
        <v>3</v>
      </c>
      <c r="G53" s="9">
        <v>18</v>
      </c>
      <c r="H53" s="32" t="s">
        <v>6</v>
      </c>
      <c r="I53" s="7" t="str">
        <f>D53</f>
        <v>DEO-D04</v>
      </c>
      <c r="K53" s="6" t="s">
        <v>8</v>
      </c>
      <c r="L53" s="6" t="s">
        <v>7</v>
      </c>
    </row>
    <row r="54" spans="1:12" s="1" customFormat="1" ht="30" customHeight="1" x14ac:dyDescent="0.25">
      <c r="A54" s="34" t="s">
        <v>72</v>
      </c>
      <c r="B54" s="35"/>
      <c r="C54" s="35"/>
      <c r="D54" s="36"/>
      <c r="E54" s="5"/>
      <c r="F54" s="34" t="s">
        <v>72</v>
      </c>
      <c r="G54" s="35"/>
      <c r="H54" s="35"/>
      <c r="I54" s="36"/>
      <c r="K54" s="1">
        <v>460</v>
      </c>
      <c r="L54" s="1">
        <v>80</v>
      </c>
    </row>
    <row r="55" spans="1:12" s="1" customFormat="1" ht="30" customHeight="1" x14ac:dyDescent="0.25">
      <c r="A55" s="39" t="s">
        <v>85</v>
      </c>
      <c r="B55" s="40"/>
      <c r="C55" s="44" t="s">
        <v>81</v>
      </c>
      <c r="D55" s="42"/>
      <c r="E55" s="4"/>
      <c r="F55" s="39" t="str">
        <f>A55</f>
        <v>KW621</v>
      </c>
      <c r="G55" s="40"/>
      <c r="H55" s="44" t="str">
        <f>C55</f>
        <v>Green</v>
      </c>
      <c r="I55" s="42"/>
    </row>
    <row r="56" spans="1:12" s="1" customFormat="1" ht="30" customHeight="1" x14ac:dyDescent="0.25">
      <c r="A56" s="12" t="s">
        <v>4</v>
      </c>
      <c r="B56" s="37">
        <v>26676</v>
      </c>
      <c r="C56" s="37"/>
      <c r="D56" s="38"/>
      <c r="E56" s="4"/>
      <c r="F56" s="12" t="s">
        <v>4</v>
      </c>
      <c r="G56" s="37">
        <f>B56</f>
        <v>26676</v>
      </c>
      <c r="H56" s="37"/>
      <c r="I56" s="38"/>
    </row>
    <row r="57" spans="1:12" ht="63.75" customHeight="1" x14ac:dyDescent="0.25">
      <c r="A57" s="33" t="s">
        <v>36</v>
      </c>
      <c r="B57" s="33"/>
      <c r="C57" s="33"/>
      <c r="D57" s="33"/>
      <c r="E57" s="2"/>
      <c r="F57" s="33" t="str">
        <f>A57</f>
        <v>Oval DEO - Inner Dome</v>
      </c>
      <c r="G57" s="33"/>
      <c r="H57" s="33"/>
      <c r="I57" s="33"/>
    </row>
    <row r="58" spans="1:12" s="1" customFormat="1" ht="30" customHeight="1" x14ac:dyDescent="0.25">
      <c r="A58" s="32" t="s">
        <v>0</v>
      </c>
      <c r="B58" s="31"/>
      <c r="C58" s="32" t="s">
        <v>1</v>
      </c>
      <c r="D58" s="31"/>
      <c r="E58" s="3"/>
      <c r="F58" s="32" t="s">
        <v>0</v>
      </c>
      <c r="G58" s="31"/>
      <c r="H58" s="32" t="s">
        <v>1</v>
      </c>
      <c r="I58" s="31"/>
    </row>
    <row r="59" spans="1:12" s="1" customFormat="1" ht="30" customHeight="1" x14ac:dyDescent="0.25">
      <c r="A59" s="32" t="s">
        <v>2</v>
      </c>
      <c r="B59" s="31"/>
      <c r="C59" s="32" t="s">
        <v>5</v>
      </c>
      <c r="D59" s="7" t="s">
        <v>74</v>
      </c>
      <c r="E59" s="4"/>
      <c r="F59" s="32" t="s">
        <v>2</v>
      </c>
      <c r="G59" s="31"/>
      <c r="H59" s="32" t="s">
        <v>5</v>
      </c>
      <c r="I59" s="7" t="str">
        <f>D59</f>
        <v>08B</v>
      </c>
    </row>
    <row r="60" spans="1:12" s="1" customFormat="1" ht="53.25" customHeight="1" x14ac:dyDescent="0.25">
      <c r="A60" s="8" t="s">
        <v>3</v>
      </c>
      <c r="B60" s="9">
        <v>9</v>
      </c>
      <c r="C60" s="32" t="s">
        <v>6</v>
      </c>
      <c r="D60" s="7" t="s">
        <v>75</v>
      </c>
      <c r="E60" s="4"/>
      <c r="F60" s="8" t="s">
        <v>3</v>
      </c>
      <c r="G60" s="9">
        <v>19</v>
      </c>
      <c r="H60" s="32" t="s">
        <v>6</v>
      </c>
      <c r="I60" s="7" t="str">
        <f>D60</f>
        <v>DEO-D04</v>
      </c>
      <c r="K60" s="6" t="s">
        <v>8</v>
      </c>
      <c r="L60" s="6" t="s">
        <v>7</v>
      </c>
    </row>
    <row r="61" spans="1:12" s="1" customFormat="1" ht="30" customHeight="1" x14ac:dyDescent="0.25">
      <c r="A61" s="34" t="s">
        <v>72</v>
      </c>
      <c r="B61" s="35"/>
      <c r="C61" s="35"/>
      <c r="D61" s="36"/>
      <c r="E61" s="5"/>
      <c r="F61" s="34" t="s">
        <v>72</v>
      </c>
      <c r="G61" s="35"/>
      <c r="H61" s="35"/>
      <c r="I61" s="36"/>
      <c r="K61" s="1">
        <v>460</v>
      </c>
      <c r="L61" s="1">
        <v>80</v>
      </c>
    </row>
    <row r="62" spans="1:12" s="1" customFormat="1" ht="30" customHeight="1" x14ac:dyDescent="0.25">
      <c r="A62" s="39" t="s">
        <v>85</v>
      </c>
      <c r="B62" s="40"/>
      <c r="C62" s="44" t="s">
        <v>81</v>
      </c>
      <c r="D62" s="42"/>
      <c r="E62" s="4"/>
      <c r="F62" s="39" t="str">
        <f>A62</f>
        <v>KW621</v>
      </c>
      <c r="G62" s="40"/>
      <c r="H62" s="44" t="str">
        <f>C62</f>
        <v>Green</v>
      </c>
      <c r="I62" s="42"/>
    </row>
    <row r="63" spans="1:12" s="1" customFormat="1" ht="30" customHeight="1" x14ac:dyDescent="0.25">
      <c r="A63" s="12" t="s">
        <v>4</v>
      </c>
      <c r="B63" s="37">
        <v>26676</v>
      </c>
      <c r="C63" s="37"/>
      <c r="D63" s="38"/>
      <c r="E63" s="4"/>
      <c r="F63" s="12" t="s">
        <v>4</v>
      </c>
      <c r="G63" s="37">
        <f>B63</f>
        <v>26676</v>
      </c>
      <c r="H63" s="37"/>
      <c r="I63" s="38"/>
    </row>
    <row r="64" spans="1:12" ht="63.75" customHeight="1" x14ac:dyDescent="0.25">
      <c r="A64" s="33" t="s">
        <v>36</v>
      </c>
      <c r="B64" s="33"/>
      <c r="C64" s="33"/>
      <c r="D64" s="33"/>
      <c r="E64" s="2"/>
      <c r="F64" s="33" t="str">
        <f>A64</f>
        <v>Oval DEO - Inner Dome</v>
      </c>
      <c r="G64" s="33"/>
      <c r="H64" s="33"/>
      <c r="I64" s="33"/>
    </row>
    <row r="65" spans="1:12" s="1" customFormat="1" ht="30" customHeight="1" x14ac:dyDescent="0.25">
      <c r="A65" s="32" t="s">
        <v>0</v>
      </c>
      <c r="B65" s="31"/>
      <c r="C65" s="32" t="s">
        <v>1</v>
      </c>
      <c r="D65" s="31"/>
      <c r="E65" s="3"/>
      <c r="F65" s="32" t="s">
        <v>0</v>
      </c>
      <c r="G65" s="31"/>
      <c r="H65" s="32" t="s">
        <v>1</v>
      </c>
      <c r="I65" s="31"/>
    </row>
    <row r="66" spans="1:12" s="1" customFormat="1" ht="30" customHeight="1" x14ac:dyDescent="0.25">
      <c r="A66" s="32" t="s">
        <v>2</v>
      </c>
      <c r="B66" s="31"/>
      <c r="C66" s="32" t="s">
        <v>5</v>
      </c>
      <c r="D66" s="7" t="s">
        <v>74</v>
      </c>
      <c r="E66" s="4"/>
      <c r="F66" s="32" t="s">
        <v>2</v>
      </c>
      <c r="G66" s="31"/>
      <c r="H66" s="32" t="s">
        <v>5</v>
      </c>
      <c r="I66" s="7" t="str">
        <f>D66</f>
        <v>08B</v>
      </c>
    </row>
    <row r="67" spans="1:12" s="1" customFormat="1" ht="53.25" customHeight="1" x14ac:dyDescent="0.25">
      <c r="A67" s="8" t="s">
        <v>3</v>
      </c>
      <c r="B67" s="9">
        <v>10</v>
      </c>
      <c r="C67" s="32" t="s">
        <v>6</v>
      </c>
      <c r="D67" s="7" t="s">
        <v>75</v>
      </c>
      <c r="E67" s="4"/>
      <c r="F67" s="8" t="s">
        <v>3</v>
      </c>
      <c r="G67" s="9">
        <v>20</v>
      </c>
      <c r="H67" s="32" t="s">
        <v>6</v>
      </c>
      <c r="I67" s="7" t="str">
        <f>D67</f>
        <v>DEO-D04</v>
      </c>
      <c r="K67" s="6" t="s">
        <v>8</v>
      </c>
      <c r="L67" s="6" t="s">
        <v>7</v>
      </c>
    </row>
    <row r="68" spans="1:12" s="1" customFormat="1" ht="30" customHeight="1" x14ac:dyDescent="0.25">
      <c r="A68" s="34" t="s">
        <v>72</v>
      </c>
      <c r="B68" s="35"/>
      <c r="C68" s="35"/>
      <c r="D68" s="36"/>
      <c r="E68" s="5"/>
      <c r="F68" s="34" t="s">
        <v>72</v>
      </c>
      <c r="G68" s="35"/>
      <c r="H68" s="35"/>
      <c r="I68" s="36"/>
      <c r="K68" s="1">
        <v>460</v>
      </c>
      <c r="L68" s="1">
        <v>80</v>
      </c>
    </row>
    <row r="69" spans="1:12" s="1" customFormat="1" ht="30" customHeight="1" x14ac:dyDescent="0.25">
      <c r="A69" s="39" t="s">
        <v>85</v>
      </c>
      <c r="B69" s="40"/>
      <c r="C69" s="44" t="s">
        <v>81</v>
      </c>
      <c r="D69" s="42"/>
      <c r="E69" s="4"/>
      <c r="F69" s="39" t="str">
        <f>A69</f>
        <v>KW621</v>
      </c>
      <c r="G69" s="40"/>
      <c r="H69" s="44" t="str">
        <f>C69</f>
        <v>Green</v>
      </c>
      <c r="I69" s="42"/>
    </row>
    <row r="70" spans="1:12" s="1" customFormat="1" ht="30" customHeight="1" x14ac:dyDescent="0.25">
      <c r="A70" s="12" t="s">
        <v>4</v>
      </c>
      <c r="B70" s="37">
        <v>26676</v>
      </c>
      <c r="C70" s="37"/>
      <c r="D70" s="38"/>
      <c r="E70" s="4"/>
      <c r="F70" s="12" t="s">
        <v>4</v>
      </c>
      <c r="G70" s="37">
        <f>B70</f>
        <v>26676</v>
      </c>
      <c r="H70" s="37"/>
      <c r="I70" s="38"/>
    </row>
  </sheetData>
  <mergeCells count="100">
    <mergeCell ref="B70:D70"/>
    <mergeCell ref="G70:I70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8:D8"/>
    <mergeCell ref="F8:I8"/>
    <mergeCell ref="A12:D12"/>
    <mergeCell ref="F12:I12"/>
    <mergeCell ref="A13:B13"/>
    <mergeCell ref="C13:D13"/>
    <mergeCell ref="F13:G13"/>
    <mergeCell ref="H13:I13"/>
    <mergeCell ref="B21:D21"/>
    <mergeCell ref="G21:I21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L70"/>
  <sheetViews>
    <sheetView view="pageBreakPreview" topLeftCell="A55" zoomScaleNormal="100" zoomScaleSheetLayoutView="100" workbookViewId="0">
      <selection activeCell="C4" sqref="C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37</v>
      </c>
      <c r="B1" s="33"/>
      <c r="C1" s="33"/>
      <c r="D1" s="33"/>
      <c r="E1" s="2"/>
      <c r="F1" s="33" t="str">
        <f>A1</f>
        <v>Oval DEO - Platform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19</v>
      </c>
      <c r="E3" s="4"/>
      <c r="F3" s="11" t="s">
        <v>2</v>
      </c>
      <c r="G3" s="10"/>
      <c r="H3" s="11" t="s">
        <v>5</v>
      </c>
      <c r="I3" s="7" t="str">
        <f>D3</f>
        <v>09B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20</v>
      </c>
      <c r="E4" s="4"/>
      <c r="F4" s="8" t="s">
        <v>3</v>
      </c>
      <c r="G4" s="9">
        <v>11</v>
      </c>
      <c r="H4" s="11" t="s">
        <v>6</v>
      </c>
      <c r="I4" s="7" t="str">
        <f>D4</f>
        <v>DEO-P01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73</v>
      </c>
      <c r="B5" s="35"/>
      <c r="C5" s="35"/>
      <c r="D5" s="36"/>
      <c r="E5" s="5"/>
      <c r="F5" s="34" t="s">
        <v>73</v>
      </c>
      <c r="G5" s="35"/>
      <c r="H5" s="35"/>
      <c r="I5" s="36"/>
      <c r="K5" s="1">
        <v>470</v>
      </c>
      <c r="L5" s="1">
        <v>80</v>
      </c>
    </row>
    <row r="6" spans="1:12" s="1" customFormat="1" ht="30" customHeight="1" x14ac:dyDescent="0.25">
      <c r="A6" s="39" t="s">
        <v>85</v>
      </c>
      <c r="B6" s="40"/>
      <c r="C6" s="41" t="s">
        <v>55</v>
      </c>
      <c r="D6" s="42"/>
      <c r="E6" s="4"/>
      <c r="F6" s="39" t="str">
        <f>A6</f>
        <v>KW621</v>
      </c>
      <c r="G6" s="40"/>
      <c r="H6" s="41" t="str">
        <f>C6</f>
        <v/>
      </c>
      <c r="I6" s="42"/>
    </row>
    <row r="7" spans="1:12" s="1" customFormat="1" ht="30" customHeight="1" x14ac:dyDescent="0.25">
      <c r="A7" s="12" t="s">
        <v>4</v>
      </c>
      <c r="B7" s="37">
        <v>27503</v>
      </c>
      <c r="C7" s="37"/>
      <c r="D7" s="38"/>
      <c r="E7" s="4"/>
      <c r="F7" s="12" t="s">
        <v>4</v>
      </c>
      <c r="G7" s="37">
        <f>B7</f>
        <v>27503</v>
      </c>
      <c r="H7" s="37"/>
      <c r="I7" s="38"/>
    </row>
    <row r="8" spans="1:12" ht="63.75" customHeight="1" x14ac:dyDescent="0.25">
      <c r="A8" s="33" t="s">
        <v>37</v>
      </c>
      <c r="B8" s="33"/>
      <c r="C8" s="33"/>
      <c r="D8" s="33"/>
      <c r="E8" s="2"/>
      <c r="F8" s="33" t="str">
        <f>A8</f>
        <v>Oval DEO - Platform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19</v>
      </c>
      <c r="E10" s="4"/>
      <c r="F10" s="11" t="s">
        <v>2</v>
      </c>
      <c r="G10" s="10"/>
      <c r="H10" s="11" t="s">
        <v>5</v>
      </c>
      <c r="I10" s="7" t="str">
        <f>D10</f>
        <v>09B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20</v>
      </c>
      <c r="E11" s="4"/>
      <c r="F11" s="8" t="s">
        <v>3</v>
      </c>
      <c r="G11" s="9">
        <v>12</v>
      </c>
      <c r="H11" s="11" t="s">
        <v>6</v>
      </c>
      <c r="I11" s="7" t="str">
        <f>D11</f>
        <v>DEO-P01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73</v>
      </c>
      <c r="B12" s="35"/>
      <c r="C12" s="35"/>
      <c r="D12" s="36"/>
      <c r="E12" s="5"/>
      <c r="F12" s="34" t="s">
        <v>73</v>
      </c>
      <c r="G12" s="35"/>
      <c r="H12" s="35"/>
      <c r="I12" s="36"/>
      <c r="K12" s="1">
        <v>470</v>
      </c>
      <c r="L12" s="1">
        <v>80</v>
      </c>
    </row>
    <row r="13" spans="1:12" s="1" customFormat="1" ht="30" customHeight="1" x14ac:dyDescent="0.25">
      <c r="A13" s="39" t="s">
        <v>85</v>
      </c>
      <c r="B13" s="40"/>
      <c r="C13" s="41" t="s">
        <v>55</v>
      </c>
      <c r="D13" s="42"/>
      <c r="E13" s="4"/>
      <c r="F13" s="39" t="str">
        <f>A13</f>
        <v>KW621</v>
      </c>
      <c r="G13" s="40"/>
      <c r="H13" s="41" t="str">
        <f>C13</f>
        <v/>
      </c>
      <c r="I13" s="42"/>
    </row>
    <row r="14" spans="1:12" s="1" customFormat="1" ht="30" customHeight="1" x14ac:dyDescent="0.25">
      <c r="A14" s="12" t="s">
        <v>4</v>
      </c>
      <c r="B14" s="37">
        <v>27503</v>
      </c>
      <c r="C14" s="37"/>
      <c r="D14" s="38"/>
      <c r="E14" s="4"/>
      <c r="F14" s="12" t="s">
        <v>4</v>
      </c>
      <c r="G14" s="37">
        <f>B14</f>
        <v>27503</v>
      </c>
      <c r="H14" s="37"/>
      <c r="I14" s="38"/>
    </row>
    <row r="15" spans="1:12" ht="63.75" customHeight="1" x14ac:dyDescent="0.25">
      <c r="A15" s="33" t="s">
        <v>37</v>
      </c>
      <c r="B15" s="33"/>
      <c r="C15" s="33"/>
      <c r="D15" s="33"/>
      <c r="E15" s="2"/>
      <c r="F15" s="33" t="str">
        <f>A15</f>
        <v>Oval DEO - Platform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19</v>
      </c>
      <c r="E17" s="4"/>
      <c r="F17" s="11" t="s">
        <v>2</v>
      </c>
      <c r="G17" s="10"/>
      <c r="H17" s="11" t="s">
        <v>5</v>
      </c>
      <c r="I17" s="7" t="str">
        <f>D17</f>
        <v>09B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20</v>
      </c>
      <c r="E18" s="4"/>
      <c r="F18" s="8" t="s">
        <v>3</v>
      </c>
      <c r="G18" s="9">
        <v>13</v>
      </c>
      <c r="H18" s="11" t="s">
        <v>6</v>
      </c>
      <c r="I18" s="7" t="str">
        <f>D18</f>
        <v>DEO-P01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73</v>
      </c>
      <c r="B19" s="35"/>
      <c r="C19" s="35"/>
      <c r="D19" s="36"/>
      <c r="E19" s="5"/>
      <c r="F19" s="34" t="s">
        <v>73</v>
      </c>
      <c r="G19" s="35"/>
      <c r="H19" s="35"/>
      <c r="I19" s="36"/>
      <c r="K19" s="1">
        <v>470</v>
      </c>
      <c r="L19" s="1">
        <v>80</v>
      </c>
    </row>
    <row r="20" spans="1:12" s="1" customFormat="1" ht="30" customHeight="1" x14ac:dyDescent="0.25">
      <c r="A20" s="39" t="s">
        <v>85</v>
      </c>
      <c r="B20" s="40"/>
      <c r="C20" s="41" t="s">
        <v>55</v>
      </c>
      <c r="D20" s="42"/>
      <c r="E20" s="4"/>
      <c r="F20" s="39" t="str">
        <f>A20</f>
        <v>KW621</v>
      </c>
      <c r="G20" s="40"/>
      <c r="H20" s="41" t="str">
        <f>C20</f>
        <v/>
      </c>
      <c r="I20" s="42"/>
    </row>
    <row r="21" spans="1:12" s="1" customFormat="1" ht="30" customHeight="1" x14ac:dyDescent="0.25">
      <c r="A21" s="12" t="s">
        <v>4</v>
      </c>
      <c r="B21" s="37">
        <v>27503</v>
      </c>
      <c r="C21" s="37"/>
      <c r="D21" s="38"/>
      <c r="E21" s="4"/>
      <c r="F21" s="12" t="s">
        <v>4</v>
      </c>
      <c r="G21" s="37">
        <f>B21</f>
        <v>27503</v>
      </c>
      <c r="H21" s="37"/>
      <c r="I21" s="38"/>
    </row>
    <row r="22" spans="1:12" ht="63.75" customHeight="1" x14ac:dyDescent="0.25">
      <c r="A22" s="33" t="s">
        <v>37</v>
      </c>
      <c r="B22" s="33"/>
      <c r="C22" s="33"/>
      <c r="D22" s="33"/>
      <c r="E22" s="2"/>
      <c r="F22" s="33" t="str">
        <f>A22</f>
        <v>Oval DEO - Platform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19</v>
      </c>
      <c r="E24" s="4"/>
      <c r="F24" s="11" t="s">
        <v>2</v>
      </c>
      <c r="G24" s="10"/>
      <c r="H24" s="11" t="s">
        <v>5</v>
      </c>
      <c r="I24" s="7" t="str">
        <f>D24</f>
        <v>09B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20</v>
      </c>
      <c r="E25" s="4"/>
      <c r="F25" s="8" t="s">
        <v>3</v>
      </c>
      <c r="G25" s="9">
        <v>14</v>
      </c>
      <c r="H25" s="11" t="s">
        <v>6</v>
      </c>
      <c r="I25" s="7" t="str">
        <f>D25</f>
        <v>DEO-P01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73</v>
      </c>
      <c r="B26" s="35"/>
      <c r="C26" s="35"/>
      <c r="D26" s="36"/>
      <c r="E26" s="5"/>
      <c r="F26" s="34" t="s">
        <v>73</v>
      </c>
      <c r="G26" s="35"/>
      <c r="H26" s="35"/>
      <c r="I26" s="36"/>
      <c r="K26" s="1">
        <v>470</v>
      </c>
      <c r="L26" s="1">
        <v>80</v>
      </c>
    </row>
    <row r="27" spans="1:12" s="1" customFormat="1" ht="30" customHeight="1" x14ac:dyDescent="0.25">
      <c r="A27" s="39" t="s">
        <v>85</v>
      </c>
      <c r="B27" s="40"/>
      <c r="C27" s="41" t="s">
        <v>55</v>
      </c>
      <c r="D27" s="42"/>
      <c r="E27" s="4"/>
      <c r="F27" s="39" t="str">
        <f>A27</f>
        <v>KW621</v>
      </c>
      <c r="G27" s="40"/>
      <c r="H27" s="41" t="str">
        <f>C27</f>
        <v/>
      </c>
      <c r="I27" s="42"/>
    </row>
    <row r="28" spans="1:12" s="1" customFormat="1" ht="30" customHeight="1" x14ac:dyDescent="0.25">
      <c r="A28" s="12" t="s">
        <v>4</v>
      </c>
      <c r="B28" s="37">
        <v>27503</v>
      </c>
      <c r="C28" s="37"/>
      <c r="D28" s="38"/>
      <c r="E28" s="4"/>
      <c r="F28" s="12" t="s">
        <v>4</v>
      </c>
      <c r="G28" s="37">
        <f>B28</f>
        <v>27503</v>
      </c>
      <c r="H28" s="37"/>
      <c r="I28" s="38"/>
    </row>
    <row r="29" spans="1:12" ht="63.75" customHeight="1" x14ac:dyDescent="0.25">
      <c r="A29" s="33" t="s">
        <v>37</v>
      </c>
      <c r="B29" s="33"/>
      <c r="C29" s="33"/>
      <c r="D29" s="33"/>
      <c r="E29" s="2"/>
      <c r="F29" s="33" t="str">
        <f>A29</f>
        <v>Oval DEO - Platform</v>
      </c>
      <c r="G29" s="33"/>
      <c r="H29" s="33"/>
      <c r="I29" s="33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19</v>
      </c>
      <c r="E31" s="4"/>
      <c r="F31" s="11" t="s">
        <v>2</v>
      </c>
      <c r="G31" s="10"/>
      <c r="H31" s="11" t="s">
        <v>5</v>
      </c>
      <c r="I31" s="7" t="str">
        <f>D31</f>
        <v>09B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20</v>
      </c>
      <c r="E32" s="4"/>
      <c r="F32" s="8" t="s">
        <v>3</v>
      </c>
      <c r="G32" s="9">
        <v>15</v>
      </c>
      <c r="H32" s="11" t="s">
        <v>6</v>
      </c>
      <c r="I32" s="7" t="str">
        <f>D32</f>
        <v>DEO-P01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73</v>
      </c>
      <c r="B33" s="35"/>
      <c r="C33" s="35"/>
      <c r="D33" s="36"/>
      <c r="E33" s="5"/>
      <c r="F33" s="34" t="s">
        <v>73</v>
      </c>
      <c r="G33" s="35"/>
      <c r="H33" s="35"/>
      <c r="I33" s="36"/>
      <c r="K33" s="1">
        <v>470</v>
      </c>
      <c r="L33" s="1">
        <v>80</v>
      </c>
    </row>
    <row r="34" spans="1:12" s="1" customFormat="1" ht="30" customHeight="1" x14ac:dyDescent="0.25">
      <c r="A34" s="39" t="s">
        <v>85</v>
      </c>
      <c r="B34" s="40"/>
      <c r="C34" s="41" t="s">
        <v>55</v>
      </c>
      <c r="D34" s="42"/>
      <c r="E34" s="4"/>
      <c r="F34" s="39" t="str">
        <f>A34</f>
        <v>KW621</v>
      </c>
      <c r="G34" s="40"/>
      <c r="H34" s="41" t="str">
        <f>C34</f>
        <v/>
      </c>
      <c r="I34" s="42"/>
    </row>
    <row r="35" spans="1:12" s="1" customFormat="1" ht="30" customHeight="1" x14ac:dyDescent="0.25">
      <c r="A35" s="12" t="s">
        <v>4</v>
      </c>
      <c r="B35" s="37">
        <v>27503</v>
      </c>
      <c r="C35" s="37"/>
      <c r="D35" s="38"/>
      <c r="E35" s="4"/>
      <c r="F35" s="12" t="s">
        <v>4</v>
      </c>
      <c r="G35" s="37">
        <f>B35</f>
        <v>27503</v>
      </c>
      <c r="H35" s="37"/>
      <c r="I35" s="38"/>
    </row>
    <row r="36" spans="1:12" ht="63.75" customHeight="1" x14ac:dyDescent="0.25">
      <c r="A36" s="33" t="s">
        <v>37</v>
      </c>
      <c r="B36" s="33"/>
      <c r="C36" s="33"/>
      <c r="D36" s="33"/>
      <c r="E36" s="2"/>
      <c r="F36" s="33" t="str">
        <f>A36</f>
        <v>Oval DEO - Platform</v>
      </c>
      <c r="G36" s="33"/>
      <c r="H36" s="33"/>
      <c r="I36" s="33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19</v>
      </c>
      <c r="E38" s="4"/>
      <c r="F38" s="11" t="s">
        <v>2</v>
      </c>
      <c r="G38" s="10"/>
      <c r="H38" s="11" t="s">
        <v>5</v>
      </c>
      <c r="I38" s="7" t="str">
        <f>D38</f>
        <v>09B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20</v>
      </c>
      <c r="E39" s="4"/>
      <c r="F39" s="8" t="s">
        <v>3</v>
      </c>
      <c r="G39" s="9">
        <v>16</v>
      </c>
      <c r="H39" s="11" t="s">
        <v>6</v>
      </c>
      <c r="I39" s="7" t="str">
        <f>D39</f>
        <v>DEO-P01</v>
      </c>
      <c r="K39" s="6" t="s">
        <v>8</v>
      </c>
      <c r="L39" s="6" t="s">
        <v>7</v>
      </c>
    </row>
    <row r="40" spans="1:12" s="1" customFormat="1" ht="30" customHeight="1" x14ac:dyDescent="0.25">
      <c r="A40" s="34" t="s">
        <v>73</v>
      </c>
      <c r="B40" s="35"/>
      <c r="C40" s="35"/>
      <c r="D40" s="36"/>
      <c r="E40" s="5"/>
      <c r="F40" s="34" t="s">
        <v>73</v>
      </c>
      <c r="G40" s="35"/>
      <c r="H40" s="35"/>
      <c r="I40" s="36"/>
      <c r="K40" s="1">
        <v>470</v>
      </c>
      <c r="L40" s="1">
        <v>80</v>
      </c>
    </row>
    <row r="41" spans="1:12" s="1" customFormat="1" ht="30" customHeight="1" x14ac:dyDescent="0.25">
      <c r="A41" s="39" t="s">
        <v>85</v>
      </c>
      <c r="B41" s="40"/>
      <c r="C41" s="41" t="s">
        <v>55</v>
      </c>
      <c r="D41" s="42"/>
      <c r="E41" s="4"/>
      <c r="F41" s="39" t="str">
        <f>A41</f>
        <v>KW621</v>
      </c>
      <c r="G41" s="40"/>
      <c r="H41" s="41" t="str">
        <f>C41</f>
        <v/>
      </c>
      <c r="I41" s="42"/>
    </row>
    <row r="42" spans="1:12" s="1" customFormat="1" ht="30" customHeight="1" x14ac:dyDescent="0.25">
      <c r="A42" s="12" t="s">
        <v>4</v>
      </c>
      <c r="B42" s="37">
        <v>27503</v>
      </c>
      <c r="C42" s="37"/>
      <c r="D42" s="38"/>
      <c r="E42" s="4"/>
      <c r="F42" s="12" t="s">
        <v>4</v>
      </c>
      <c r="G42" s="37">
        <f>B42</f>
        <v>27503</v>
      </c>
      <c r="H42" s="37"/>
      <c r="I42" s="38"/>
    </row>
    <row r="43" spans="1:12" ht="63.75" customHeight="1" x14ac:dyDescent="0.25">
      <c r="A43" s="33" t="s">
        <v>37</v>
      </c>
      <c r="B43" s="33"/>
      <c r="C43" s="33"/>
      <c r="D43" s="33"/>
      <c r="E43" s="2"/>
      <c r="F43" s="33" t="str">
        <f>A43</f>
        <v>Oval DEO - Platform</v>
      </c>
      <c r="G43" s="33"/>
      <c r="H43" s="33"/>
      <c r="I43" s="33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19</v>
      </c>
      <c r="E45" s="4"/>
      <c r="F45" s="11" t="s">
        <v>2</v>
      </c>
      <c r="G45" s="10"/>
      <c r="H45" s="11" t="s">
        <v>5</v>
      </c>
      <c r="I45" s="7" t="str">
        <f>D45</f>
        <v>09B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20</v>
      </c>
      <c r="E46" s="4"/>
      <c r="F46" s="8" t="s">
        <v>3</v>
      </c>
      <c r="G46" s="9">
        <v>17</v>
      </c>
      <c r="H46" s="11" t="s">
        <v>6</v>
      </c>
      <c r="I46" s="7" t="str">
        <f>D46</f>
        <v>DEO-P01</v>
      </c>
      <c r="K46" s="6" t="s">
        <v>8</v>
      </c>
      <c r="L46" s="6" t="s">
        <v>7</v>
      </c>
    </row>
    <row r="47" spans="1:12" s="1" customFormat="1" ht="30" customHeight="1" x14ac:dyDescent="0.25">
      <c r="A47" s="34" t="s">
        <v>73</v>
      </c>
      <c r="B47" s="35"/>
      <c r="C47" s="35"/>
      <c r="D47" s="36"/>
      <c r="E47" s="5"/>
      <c r="F47" s="34" t="s">
        <v>73</v>
      </c>
      <c r="G47" s="35"/>
      <c r="H47" s="35"/>
      <c r="I47" s="36"/>
      <c r="K47" s="1">
        <v>470</v>
      </c>
      <c r="L47" s="1">
        <v>80</v>
      </c>
    </row>
    <row r="48" spans="1:12" s="1" customFormat="1" ht="30" customHeight="1" x14ac:dyDescent="0.25">
      <c r="A48" s="39" t="s">
        <v>85</v>
      </c>
      <c r="B48" s="40"/>
      <c r="C48" s="41" t="s">
        <v>55</v>
      </c>
      <c r="D48" s="42"/>
      <c r="E48" s="4"/>
      <c r="F48" s="39" t="str">
        <f>A48</f>
        <v>KW621</v>
      </c>
      <c r="G48" s="40"/>
      <c r="H48" s="41" t="str">
        <f>C48</f>
        <v/>
      </c>
      <c r="I48" s="42"/>
    </row>
    <row r="49" spans="1:12" s="1" customFormat="1" ht="30" customHeight="1" x14ac:dyDescent="0.25">
      <c r="A49" s="12" t="s">
        <v>4</v>
      </c>
      <c r="B49" s="37">
        <v>27503</v>
      </c>
      <c r="C49" s="37"/>
      <c r="D49" s="38"/>
      <c r="E49" s="4"/>
      <c r="F49" s="12" t="s">
        <v>4</v>
      </c>
      <c r="G49" s="37">
        <f>B49</f>
        <v>27503</v>
      </c>
      <c r="H49" s="37"/>
      <c r="I49" s="38"/>
    </row>
    <row r="50" spans="1:12" ht="63.75" customHeight="1" x14ac:dyDescent="0.25">
      <c r="A50" s="33" t="s">
        <v>37</v>
      </c>
      <c r="B50" s="33"/>
      <c r="C50" s="33"/>
      <c r="D50" s="33"/>
      <c r="E50" s="2"/>
      <c r="F50" s="33" t="str">
        <f>A50</f>
        <v>Oval DEO - Platform</v>
      </c>
      <c r="G50" s="33"/>
      <c r="H50" s="33"/>
      <c r="I50" s="33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19</v>
      </c>
      <c r="E52" s="4"/>
      <c r="F52" s="11" t="s">
        <v>2</v>
      </c>
      <c r="G52" s="10"/>
      <c r="H52" s="11" t="s">
        <v>5</v>
      </c>
      <c r="I52" s="7" t="str">
        <f>D52</f>
        <v>09B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20</v>
      </c>
      <c r="E53" s="4"/>
      <c r="F53" s="8" t="s">
        <v>3</v>
      </c>
      <c r="G53" s="9">
        <v>18</v>
      </c>
      <c r="H53" s="11" t="s">
        <v>6</v>
      </c>
      <c r="I53" s="7" t="str">
        <f>D53</f>
        <v>DEO-P01</v>
      </c>
      <c r="K53" s="6" t="s">
        <v>8</v>
      </c>
      <c r="L53" s="6" t="s">
        <v>7</v>
      </c>
    </row>
    <row r="54" spans="1:12" s="1" customFormat="1" ht="30" customHeight="1" x14ac:dyDescent="0.25">
      <c r="A54" s="34" t="s">
        <v>73</v>
      </c>
      <c r="B54" s="35"/>
      <c r="C54" s="35"/>
      <c r="D54" s="36"/>
      <c r="E54" s="5"/>
      <c r="F54" s="34" t="s">
        <v>73</v>
      </c>
      <c r="G54" s="35"/>
      <c r="H54" s="35"/>
      <c r="I54" s="36"/>
      <c r="K54" s="1">
        <v>470</v>
      </c>
      <c r="L54" s="1">
        <v>80</v>
      </c>
    </row>
    <row r="55" spans="1:12" s="1" customFormat="1" ht="30" customHeight="1" x14ac:dyDescent="0.25">
      <c r="A55" s="39" t="s">
        <v>85</v>
      </c>
      <c r="B55" s="40"/>
      <c r="C55" s="41" t="s">
        <v>55</v>
      </c>
      <c r="D55" s="42"/>
      <c r="E55" s="4"/>
      <c r="F55" s="39" t="str">
        <f>A55</f>
        <v>KW621</v>
      </c>
      <c r="G55" s="40"/>
      <c r="H55" s="41" t="str">
        <f>C55</f>
        <v/>
      </c>
      <c r="I55" s="42"/>
    </row>
    <row r="56" spans="1:12" s="1" customFormat="1" ht="30" customHeight="1" x14ac:dyDescent="0.25">
      <c r="A56" s="12" t="s">
        <v>4</v>
      </c>
      <c r="B56" s="37">
        <v>27503</v>
      </c>
      <c r="C56" s="37"/>
      <c r="D56" s="38"/>
      <c r="E56" s="4"/>
      <c r="F56" s="12" t="s">
        <v>4</v>
      </c>
      <c r="G56" s="37">
        <f>B56</f>
        <v>27503</v>
      </c>
      <c r="H56" s="37"/>
      <c r="I56" s="38"/>
    </row>
    <row r="57" spans="1:12" ht="63.75" customHeight="1" x14ac:dyDescent="0.25">
      <c r="A57" s="33" t="s">
        <v>37</v>
      </c>
      <c r="B57" s="33"/>
      <c r="C57" s="33"/>
      <c r="D57" s="33"/>
      <c r="E57" s="2"/>
      <c r="F57" s="33" t="str">
        <f>A57</f>
        <v>Oval DEO - Platform</v>
      </c>
      <c r="G57" s="33"/>
      <c r="H57" s="33"/>
      <c r="I57" s="33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19</v>
      </c>
      <c r="E59" s="4"/>
      <c r="F59" s="11" t="s">
        <v>2</v>
      </c>
      <c r="G59" s="10"/>
      <c r="H59" s="11" t="s">
        <v>5</v>
      </c>
      <c r="I59" s="7" t="str">
        <f>D59</f>
        <v>09B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20</v>
      </c>
      <c r="E60" s="4"/>
      <c r="F60" s="8" t="s">
        <v>3</v>
      </c>
      <c r="G60" s="9">
        <v>19</v>
      </c>
      <c r="H60" s="11" t="s">
        <v>6</v>
      </c>
      <c r="I60" s="7" t="str">
        <f>D60</f>
        <v>DEO-P01</v>
      </c>
      <c r="K60" s="6" t="s">
        <v>8</v>
      </c>
      <c r="L60" s="6" t="s">
        <v>7</v>
      </c>
    </row>
    <row r="61" spans="1:12" s="1" customFormat="1" ht="30" customHeight="1" x14ac:dyDescent="0.25">
      <c r="A61" s="34" t="s">
        <v>73</v>
      </c>
      <c r="B61" s="35"/>
      <c r="C61" s="35"/>
      <c r="D61" s="36"/>
      <c r="E61" s="5"/>
      <c r="F61" s="34" t="s">
        <v>104</v>
      </c>
      <c r="G61" s="35"/>
      <c r="H61" s="35"/>
      <c r="I61" s="36"/>
      <c r="K61" s="1">
        <v>470</v>
      </c>
      <c r="L61" s="1">
        <v>80</v>
      </c>
    </row>
    <row r="62" spans="1:12" s="1" customFormat="1" ht="30" customHeight="1" x14ac:dyDescent="0.25">
      <c r="A62" s="39" t="s">
        <v>85</v>
      </c>
      <c r="B62" s="40"/>
      <c r="C62" s="41" t="s">
        <v>55</v>
      </c>
      <c r="D62" s="42"/>
      <c r="E62" s="4"/>
      <c r="F62" s="39" t="str">
        <f>A62</f>
        <v>KW621</v>
      </c>
      <c r="G62" s="40"/>
      <c r="H62" s="41" t="str">
        <f>C62</f>
        <v/>
      </c>
      <c r="I62" s="42"/>
    </row>
    <row r="63" spans="1:12" s="1" customFormat="1" ht="30" customHeight="1" x14ac:dyDescent="0.25">
      <c r="A63" s="12" t="s">
        <v>4</v>
      </c>
      <c r="B63" s="37">
        <v>27503</v>
      </c>
      <c r="C63" s="37"/>
      <c r="D63" s="38"/>
      <c r="E63" s="4"/>
      <c r="F63" s="12" t="s">
        <v>4</v>
      </c>
      <c r="G63" s="37">
        <f>B63</f>
        <v>27503</v>
      </c>
      <c r="H63" s="37"/>
      <c r="I63" s="38"/>
    </row>
    <row r="64" spans="1:12" ht="63.75" customHeight="1" x14ac:dyDescent="0.25">
      <c r="A64" s="33" t="s">
        <v>37</v>
      </c>
      <c r="B64" s="33"/>
      <c r="C64" s="33"/>
      <c r="D64" s="33"/>
      <c r="E64" s="2"/>
      <c r="F64" s="47" t="str">
        <f>A64</f>
        <v>Oval DEO - Platform</v>
      </c>
      <c r="G64" s="47"/>
      <c r="H64" s="47"/>
      <c r="I64" s="47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6" t="s">
        <v>0</v>
      </c>
      <c r="G65" s="16"/>
      <c r="H65" s="16" t="s">
        <v>1</v>
      </c>
      <c r="I65" s="16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19</v>
      </c>
      <c r="E66" s="4"/>
      <c r="F66" s="16" t="s">
        <v>2</v>
      </c>
      <c r="G66" s="16"/>
      <c r="H66" s="16" t="s">
        <v>5</v>
      </c>
      <c r="I66" s="13" t="str">
        <f>D66</f>
        <v>09B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20</v>
      </c>
      <c r="E67" s="4"/>
      <c r="F67" s="14" t="s">
        <v>3</v>
      </c>
      <c r="G67" s="15">
        <v>19</v>
      </c>
      <c r="H67" s="16" t="s">
        <v>6</v>
      </c>
      <c r="I67" s="13" t="str">
        <f>D67</f>
        <v>DEO-P01</v>
      </c>
      <c r="K67" s="6" t="s">
        <v>8</v>
      </c>
      <c r="L67" s="6" t="s">
        <v>7</v>
      </c>
    </row>
    <row r="68" spans="1:12" s="1" customFormat="1" ht="30" customHeight="1" x14ac:dyDescent="0.25">
      <c r="A68" s="34" t="s">
        <v>73</v>
      </c>
      <c r="B68" s="35"/>
      <c r="C68" s="35"/>
      <c r="D68" s="36"/>
      <c r="E68" s="5"/>
      <c r="F68" s="48" t="s">
        <v>104</v>
      </c>
      <c r="G68" s="48"/>
      <c r="H68" s="48"/>
      <c r="I68" s="48"/>
      <c r="K68" s="1">
        <v>470</v>
      </c>
      <c r="L68" s="1">
        <v>80</v>
      </c>
    </row>
    <row r="69" spans="1:12" s="1" customFormat="1" ht="30" customHeight="1" x14ac:dyDescent="0.25">
      <c r="A69" s="39" t="s">
        <v>85</v>
      </c>
      <c r="B69" s="40"/>
      <c r="C69" s="41" t="s">
        <v>55</v>
      </c>
      <c r="D69" s="42"/>
      <c r="E69" s="4"/>
      <c r="F69" s="45" t="str">
        <f>A69</f>
        <v>KW621</v>
      </c>
      <c r="G69" s="45"/>
      <c r="H69" s="49" t="str">
        <f>C69</f>
        <v/>
      </c>
      <c r="I69" s="46"/>
    </row>
    <row r="70" spans="1:12" s="1" customFormat="1" ht="30" customHeight="1" x14ac:dyDescent="0.25">
      <c r="A70" s="12" t="s">
        <v>4</v>
      </c>
      <c r="B70" s="37">
        <v>27503</v>
      </c>
      <c r="C70" s="37"/>
      <c r="D70" s="38"/>
      <c r="E70" s="4"/>
      <c r="F70" s="16" t="s">
        <v>4</v>
      </c>
      <c r="G70" s="45">
        <f>B70</f>
        <v>27503</v>
      </c>
      <c r="H70" s="45"/>
      <c r="I70" s="45"/>
    </row>
  </sheetData>
  <mergeCells count="100">
    <mergeCell ref="B21:D21"/>
    <mergeCell ref="G21:I21"/>
    <mergeCell ref="B14:D14"/>
    <mergeCell ref="G14:I14"/>
    <mergeCell ref="A15:D15"/>
    <mergeCell ref="F15:I15"/>
    <mergeCell ref="A19:D19"/>
    <mergeCell ref="F19:I19"/>
    <mergeCell ref="A12:D12"/>
    <mergeCell ref="F12:I12"/>
    <mergeCell ref="A13:B13"/>
    <mergeCell ref="C13:D13"/>
    <mergeCell ref="F13:G13"/>
    <mergeCell ref="H13:I13"/>
    <mergeCell ref="A27:B27"/>
    <mergeCell ref="C27:D27"/>
    <mergeCell ref="F27:G27"/>
    <mergeCell ref="H27:I27"/>
    <mergeCell ref="B28:D28"/>
    <mergeCell ref="G28:I28"/>
    <mergeCell ref="A1:D1"/>
    <mergeCell ref="F1:I1"/>
    <mergeCell ref="A5:D5"/>
    <mergeCell ref="F5:I5"/>
    <mergeCell ref="A6:B6"/>
    <mergeCell ref="C6:D6"/>
    <mergeCell ref="F6:G6"/>
    <mergeCell ref="H6:I6"/>
    <mergeCell ref="B7:D7"/>
    <mergeCell ref="G7:I7"/>
    <mergeCell ref="B35:D35"/>
    <mergeCell ref="G35:I35"/>
    <mergeCell ref="A36:D36"/>
    <mergeCell ref="F36:I36"/>
    <mergeCell ref="A8:D8"/>
    <mergeCell ref="F8:I8"/>
    <mergeCell ref="A20:B20"/>
    <mergeCell ref="C20:D20"/>
    <mergeCell ref="F20:G20"/>
    <mergeCell ref="H20:I20"/>
    <mergeCell ref="A22:D22"/>
    <mergeCell ref="F22:I22"/>
    <mergeCell ref="A26:D26"/>
    <mergeCell ref="F26:I2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69:B69"/>
    <mergeCell ref="C69:D69"/>
    <mergeCell ref="F69:G69"/>
    <mergeCell ref="H69:I69"/>
    <mergeCell ref="B70:D70"/>
    <mergeCell ref="G70:I70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7"/>
  <sheetViews>
    <sheetView view="pageBreakPreview" zoomScaleNormal="100" zoomScaleSheetLayoutView="100" workbookViewId="0">
      <selection activeCell="F372" sqref="F372:I37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38</v>
      </c>
      <c r="B1" s="33"/>
      <c r="C1" s="33"/>
      <c r="D1" s="33"/>
      <c r="E1" s="2"/>
      <c r="F1" s="33" t="str">
        <f>A1</f>
        <v>Oval DEO - Screw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8" t="s">
        <v>0</v>
      </c>
      <c r="G2" s="27"/>
      <c r="H2" s="28" t="s">
        <v>1</v>
      </c>
      <c r="I2" s="27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117</v>
      </c>
      <c r="E3" s="4"/>
      <c r="F3" s="28" t="s">
        <v>2</v>
      </c>
      <c r="G3" s="27"/>
      <c r="H3" s="28" t="s">
        <v>5</v>
      </c>
      <c r="I3" s="7" t="str">
        <f>D3</f>
        <v>08A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18</v>
      </c>
      <c r="E4" s="4"/>
      <c r="F4" s="8" t="s">
        <v>3</v>
      </c>
      <c r="G4" s="9">
        <v>2</v>
      </c>
      <c r="H4" s="28" t="s">
        <v>6</v>
      </c>
      <c r="I4" s="7" t="str">
        <f>D4</f>
        <v>DEO-S02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71</v>
      </c>
      <c r="B5" s="35"/>
      <c r="C5" s="35"/>
      <c r="D5" s="36"/>
      <c r="E5" s="5"/>
      <c r="F5" s="34" t="s">
        <v>118</v>
      </c>
      <c r="G5" s="35"/>
      <c r="H5" s="35"/>
      <c r="I5" s="36"/>
      <c r="K5" s="1">
        <v>1400</v>
      </c>
      <c r="L5" s="1">
        <v>16</v>
      </c>
    </row>
    <row r="6" spans="1:12" s="1" customFormat="1" ht="30" customHeight="1" x14ac:dyDescent="0.25">
      <c r="A6" s="39" t="s">
        <v>77</v>
      </c>
      <c r="B6" s="40"/>
      <c r="C6" s="44" t="s">
        <v>112</v>
      </c>
      <c r="D6" s="42"/>
      <c r="E6" s="4"/>
      <c r="F6" s="39" t="str">
        <f>A6</f>
        <v>P814</v>
      </c>
      <c r="G6" s="40"/>
      <c r="H6" s="44" t="str">
        <f>C6</f>
        <v>Yellow</v>
      </c>
      <c r="I6" s="42"/>
    </row>
    <row r="7" spans="1:12" s="1" customFormat="1" ht="30" customHeight="1" x14ac:dyDescent="0.25">
      <c r="A7" s="12" t="s">
        <v>4</v>
      </c>
      <c r="B7" s="37">
        <v>27049</v>
      </c>
      <c r="C7" s="37"/>
      <c r="D7" s="38"/>
      <c r="E7" s="4"/>
      <c r="F7" s="12" t="s">
        <v>4</v>
      </c>
      <c r="G7" s="37">
        <f>B7</f>
        <v>27049</v>
      </c>
      <c r="H7" s="37"/>
      <c r="I7" s="38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L49"/>
  <sheetViews>
    <sheetView view="pageBreakPreview" topLeftCell="A40" zoomScaleNormal="100" zoomScaleSheetLayoutView="100" workbookViewId="0">
      <selection activeCell="F43" sqref="F43:I49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34</v>
      </c>
      <c r="B1" s="33"/>
      <c r="C1" s="33"/>
      <c r="D1" s="33"/>
      <c r="E1" s="2"/>
      <c r="F1" s="33" t="str">
        <f>A1</f>
        <v>Oval DEO - Cap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23</v>
      </c>
      <c r="E3" s="4"/>
      <c r="F3" s="11" t="s">
        <v>2</v>
      </c>
      <c r="G3" s="10"/>
      <c r="H3" s="11" t="s">
        <v>5</v>
      </c>
      <c r="I3" s="7" t="str">
        <f>D3</f>
        <v>16B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24</v>
      </c>
      <c r="E4" s="4"/>
      <c r="F4" s="8" t="s">
        <v>3</v>
      </c>
      <c r="G4" s="9">
        <v>8</v>
      </c>
      <c r="H4" s="11" t="s">
        <v>6</v>
      </c>
      <c r="I4" s="7" t="str">
        <f>D4</f>
        <v>DEO-C02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48</v>
      </c>
      <c r="B5" s="35"/>
      <c r="C5" s="35"/>
      <c r="D5" s="36"/>
      <c r="E5" s="5"/>
      <c r="F5" s="34" t="s">
        <v>48</v>
      </c>
      <c r="G5" s="35"/>
      <c r="H5" s="35"/>
      <c r="I5" s="36"/>
      <c r="K5" s="1">
        <v>700</v>
      </c>
      <c r="L5" s="1">
        <v>20</v>
      </c>
    </row>
    <row r="6" spans="1:12" s="1" customFormat="1" ht="30" customHeight="1" x14ac:dyDescent="0.25">
      <c r="A6" s="39" t="s">
        <v>77</v>
      </c>
      <c r="B6" s="40"/>
      <c r="C6" s="44" t="s">
        <v>10</v>
      </c>
      <c r="D6" s="42"/>
      <c r="E6" s="4"/>
      <c r="F6" s="39" t="str">
        <f>A6</f>
        <v>P814</v>
      </c>
      <c r="G6" s="40"/>
      <c r="H6" s="44" t="str">
        <f>C6</f>
        <v>White</v>
      </c>
      <c r="I6" s="42"/>
    </row>
    <row r="7" spans="1:12" s="1" customFormat="1" ht="30" customHeight="1" x14ac:dyDescent="0.25">
      <c r="A7" s="12" t="s">
        <v>4</v>
      </c>
      <c r="B7" s="37" t="s">
        <v>98</v>
      </c>
      <c r="C7" s="37"/>
      <c r="D7" s="38"/>
      <c r="E7" s="4"/>
      <c r="F7" s="12" t="s">
        <v>4</v>
      </c>
      <c r="G7" s="37" t="str">
        <f>B7</f>
        <v>26684-1</v>
      </c>
      <c r="H7" s="37"/>
      <c r="I7" s="38"/>
    </row>
    <row r="8" spans="1:12" ht="63.75" customHeight="1" x14ac:dyDescent="0.25">
      <c r="A8" s="33" t="s">
        <v>34</v>
      </c>
      <c r="B8" s="33"/>
      <c r="C8" s="33"/>
      <c r="D8" s="33"/>
      <c r="E8" s="2"/>
      <c r="F8" s="33" t="str">
        <f>A8</f>
        <v>Oval DEO - Cap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23</v>
      </c>
      <c r="E10" s="4"/>
      <c r="F10" s="11" t="s">
        <v>2</v>
      </c>
      <c r="G10" s="10"/>
      <c r="H10" s="11" t="s">
        <v>5</v>
      </c>
      <c r="I10" s="7" t="str">
        <f>D10</f>
        <v>16B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24</v>
      </c>
      <c r="E11" s="4"/>
      <c r="F11" s="8" t="s">
        <v>3</v>
      </c>
      <c r="G11" s="9">
        <v>9</v>
      </c>
      <c r="H11" s="11" t="s">
        <v>6</v>
      </c>
      <c r="I11" s="7" t="str">
        <f>D11</f>
        <v>DEO-C02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48</v>
      </c>
      <c r="B12" s="35"/>
      <c r="C12" s="35"/>
      <c r="D12" s="36"/>
      <c r="E12" s="5"/>
      <c r="F12" s="34" t="s">
        <v>48</v>
      </c>
      <c r="G12" s="35"/>
      <c r="H12" s="35"/>
      <c r="I12" s="36"/>
      <c r="K12" s="1">
        <v>700</v>
      </c>
      <c r="L12" s="1">
        <v>20</v>
      </c>
    </row>
    <row r="13" spans="1:12" s="1" customFormat="1" ht="30" customHeight="1" x14ac:dyDescent="0.25">
      <c r="A13" s="39" t="s">
        <v>77</v>
      </c>
      <c r="B13" s="40"/>
      <c r="C13" s="44" t="s">
        <v>10</v>
      </c>
      <c r="D13" s="42"/>
      <c r="E13" s="4"/>
      <c r="F13" s="39" t="str">
        <f>A13</f>
        <v>P814</v>
      </c>
      <c r="G13" s="40"/>
      <c r="H13" s="44" t="str">
        <f>C13</f>
        <v>White</v>
      </c>
      <c r="I13" s="42"/>
    </row>
    <row r="14" spans="1:12" s="1" customFormat="1" ht="30" customHeight="1" x14ac:dyDescent="0.25">
      <c r="A14" s="12" t="s">
        <v>4</v>
      </c>
      <c r="B14" s="37" t="s">
        <v>98</v>
      </c>
      <c r="C14" s="37"/>
      <c r="D14" s="38"/>
      <c r="E14" s="4"/>
      <c r="F14" s="12" t="s">
        <v>4</v>
      </c>
      <c r="G14" s="37" t="str">
        <f>B14</f>
        <v>26684-1</v>
      </c>
      <c r="H14" s="37"/>
      <c r="I14" s="38"/>
    </row>
    <row r="15" spans="1:12" ht="63.75" customHeight="1" x14ac:dyDescent="0.25">
      <c r="A15" s="33" t="s">
        <v>34</v>
      </c>
      <c r="B15" s="33"/>
      <c r="C15" s="33"/>
      <c r="D15" s="33"/>
      <c r="E15" s="2"/>
      <c r="F15" s="33" t="str">
        <f>A15</f>
        <v>Oval DEO - Cap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23</v>
      </c>
      <c r="E17" s="4"/>
      <c r="F17" s="11" t="s">
        <v>2</v>
      </c>
      <c r="G17" s="10"/>
      <c r="H17" s="11" t="s">
        <v>5</v>
      </c>
      <c r="I17" s="7" t="str">
        <f>D17</f>
        <v>16B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24</v>
      </c>
      <c r="E18" s="4"/>
      <c r="F18" s="8" t="s">
        <v>3</v>
      </c>
      <c r="G18" s="9">
        <v>10</v>
      </c>
      <c r="H18" s="11" t="s">
        <v>6</v>
      </c>
      <c r="I18" s="7" t="str">
        <f>D18</f>
        <v>DEO-C02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48</v>
      </c>
      <c r="B19" s="35"/>
      <c r="C19" s="35"/>
      <c r="D19" s="36"/>
      <c r="E19" s="5"/>
      <c r="F19" s="34" t="s">
        <v>48</v>
      </c>
      <c r="G19" s="35"/>
      <c r="H19" s="35"/>
      <c r="I19" s="36"/>
      <c r="K19" s="1">
        <v>700</v>
      </c>
      <c r="L19" s="1">
        <v>20</v>
      </c>
    </row>
    <row r="20" spans="1:12" s="1" customFormat="1" ht="30" customHeight="1" x14ac:dyDescent="0.25">
      <c r="A20" s="39" t="s">
        <v>77</v>
      </c>
      <c r="B20" s="40"/>
      <c r="C20" s="44" t="s">
        <v>10</v>
      </c>
      <c r="D20" s="42"/>
      <c r="E20" s="4"/>
      <c r="F20" s="39" t="str">
        <f>A20</f>
        <v>P814</v>
      </c>
      <c r="G20" s="40"/>
      <c r="H20" s="44" t="str">
        <f>C20</f>
        <v>White</v>
      </c>
      <c r="I20" s="42"/>
    </row>
    <row r="21" spans="1:12" s="1" customFormat="1" ht="30" customHeight="1" x14ac:dyDescent="0.25">
      <c r="A21" s="12" t="s">
        <v>4</v>
      </c>
      <c r="B21" s="37" t="s">
        <v>98</v>
      </c>
      <c r="C21" s="37"/>
      <c r="D21" s="38"/>
      <c r="E21" s="4"/>
      <c r="F21" s="12" t="s">
        <v>4</v>
      </c>
      <c r="G21" s="37" t="str">
        <f>B21</f>
        <v>26684-1</v>
      </c>
      <c r="H21" s="37"/>
      <c r="I21" s="38"/>
    </row>
    <row r="22" spans="1:12" ht="63.75" customHeight="1" x14ac:dyDescent="0.25">
      <c r="A22" s="33" t="s">
        <v>34</v>
      </c>
      <c r="B22" s="33"/>
      <c r="C22" s="33"/>
      <c r="D22" s="33"/>
      <c r="E22" s="2"/>
      <c r="F22" s="33" t="str">
        <f>A22</f>
        <v>Oval DEO - Cap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23</v>
      </c>
      <c r="E24" s="4"/>
      <c r="F24" s="11" t="s">
        <v>2</v>
      </c>
      <c r="G24" s="10"/>
      <c r="H24" s="11" t="s">
        <v>5</v>
      </c>
      <c r="I24" s="7" t="str">
        <f>D24</f>
        <v>16B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24</v>
      </c>
      <c r="E25" s="4"/>
      <c r="F25" s="8" t="s">
        <v>3</v>
      </c>
      <c r="G25" s="9">
        <v>11</v>
      </c>
      <c r="H25" s="11" t="s">
        <v>6</v>
      </c>
      <c r="I25" s="7" t="str">
        <f>D25</f>
        <v>DEO-C02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48</v>
      </c>
      <c r="B26" s="35"/>
      <c r="C26" s="35"/>
      <c r="D26" s="36"/>
      <c r="E26" s="5"/>
      <c r="F26" s="34" t="s">
        <v>48</v>
      </c>
      <c r="G26" s="35"/>
      <c r="H26" s="35"/>
      <c r="I26" s="36"/>
      <c r="K26" s="1">
        <v>700</v>
      </c>
      <c r="L26" s="1">
        <v>20</v>
      </c>
    </row>
    <row r="27" spans="1:12" s="1" customFormat="1" ht="30" customHeight="1" x14ac:dyDescent="0.25">
      <c r="A27" s="39" t="s">
        <v>77</v>
      </c>
      <c r="B27" s="40"/>
      <c r="C27" s="44" t="s">
        <v>10</v>
      </c>
      <c r="D27" s="42"/>
      <c r="E27" s="4"/>
      <c r="F27" s="39" t="str">
        <f>A27</f>
        <v>P814</v>
      </c>
      <c r="G27" s="40"/>
      <c r="H27" s="44" t="str">
        <f>C27</f>
        <v>White</v>
      </c>
      <c r="I27" s="42"/>
    </row>
    <row r="28" spans="1:12" s="1" customFormat="1" ht="30" customHeight="1" x14ac:dyDescent="0.25">
      <c r="A28" s="12" t="s">
        <v>4</v>
      </c>
      <c r="B28" s="37" t="s">
        <v>98</v>
      </c>
      <c r="C28" s="37"/>
      <c r="D28" s="38"/>
      <c r="E28" s="4"/>
      <c r="F28" s="12" t="s">
        <v>4</v>
      </c>
      <c r="G28" s="37" t="str">
        <f>B28</f>
        <v>26684-1</v>
      </c>
      <c r="H28" s="37"/>
      <c r="I28" s="38"/>
    </row>
    <row r="29" spans="1:12" ht="63.75" customHeight="1" x14ac:dyDescent="0.25">
      <c r="A29" s="33" t="s">
        <v>34</v>
      </c>
      <c r="B29" s="33"/>
      <c r="C29" s="33"/>
      <c r="D29" s="33"/>
      <c r="E29" s="2"/>
      <c r="F29" s="33" t="str">
        <f>A29</f>
        <v>Oval DEO - Cap</v>
      </c>
      <c r="G29" s="33"/>
      <c r="H29" s="33"/>
      <c r="I29" s="33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23</v>
      </c>
      <c r="E31" s="4"/>
      <c r="F31" s="11" t="s">
        <v>2</v>
      </c>
      <c r="G31" s="10"/>
      <c r="H31" s="11" t="s">
        <v>5</v>
      </c>
      <c r="I31" s="7" t="str">
        <f>D31</f>
        <v>16B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24</v>
      </c>
      <c r="E32" s="4"/>
      <c r="F32" s="8" t="s">
        <v>3</v>
      </c>
      <c r="G32" s="9">
        <v>12</v>
      </c>
      <c r="H32" s="11" t="s">
        <v>6</v>
      </c>
      <c r="I32" s="7" t="str">
        <f>D32</f>
        <v>DEO-C02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48</v>
      </c>
      <c r="B33" s="35"/>
      <c r="C33" s="35"/>
      <c r="D33" s="36"/>
      <c r="E33" s="5"/>
      <c r="F33" s="34" t="s">
        <v>48</v>
      </c>
      <c r="G33" s="35"/>
      <c r="H33" s="35"/>
      <c r="I33" s="36"/>
      <c r="K33" s="1">
        <v>700</v>
      </c>
      <c r="L33" s="1">
        <v>20</v>
      </c>
    </row>
    <row r="34" spans="1:12" s="1" customFormat="1" ht="30" customHeight="1" x14ac:dyDescent="0.25">
      <c r="A34" s="39" t="s">
        <v>77</v>
      </c>
      <c r="B34" s="40"/>
      <c r="C34" s="44" t="s">
        <v>10</v>
      </c>
      <c r="D34" s="42"/>
      <c r="E34" s="4"/>
      <c r="F34" s="39" t="str">
        <f>A34</f>
        <v>P814</v>
      </c>
      <c r="G34" s="40"/>
      <c r="H34" s="44" t="str">
        <f>C34</f>
        <v>White</v>
      </c>
      <c r="I34" s="42"/>
    </row>
    <row r="35" spans="1:12" s="1" customFormat="1" ht="30" customHeight="1" x14ac:dyDescent="0.25">
      <c r="A35" s="12" t="s">
        <v>4</v>
      </c>
      <c r="B35" s="37" t="s">
        <v>98</v>
      </c>
      <c r="C35" s="37"/>
      <c r="D35" s="38"/>
      <c r="E35" s="4"/>
      <c r="F35" s="12" t="s">
        <v>4</v>
      </c>
      <c r="G35" s="37" t="str">
        <f>B35</f>
        <v>26684-1</v>
      </c>
      <c r="H35" s="37"/>
      <c r="I35" s="38"/>
    </row>
    <row r="36" spans="1:12" ht="63.75" customHeight="1" x14ac:dyDescent="0.25">
      <c r="A36" s="33" t="s">
        <v>34</v>
      </c>
      <c r="B36" s="33"/>
      <c r="C36" s="33"/>
      <c r="D36" s="33"/>
      <c r="E36" s="2"/>
      <c r="F36" s="33" t="str">
        <f>A36</f>
        <v>Oval DEO - Cap</v>
      </c>
      <c r="G36" s="33"/>
      <c r="H36" s="33"/>
      <c r="I36" s="33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23</v>
      </c>
      <c r="E38" s="4"/>
      <c r="F38" s="11" t="s">
        <v>2</v>
      </c>
      <c r="G38" s="10"/>
      <c r="H38" s="11" t="s">
        <v>5</v>
      </c>
      <c r="I38" s="7" t="str">
        <f>D38</f>
        <v>16B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24</v>
      </c>
      <c r="E39" s="4"/>
      <c r="F39" s="8" t="s">
        <v>3</v>
      </c>
      <c r="G39" s="9">
        <v>13</v>
      </c>
      <c r="H39" s="11" t="s">
        <v>6</v>
      </c>
      <c r="I39" s="7" t="str">
        <f>D39</f>
        <v>DEO-C02</v>
      </c>
      <c r="K39" s="6" t="s">
        <v>8</v>
      </c>
      <c r="L39" s="6" t="s">
        <v>7</v>
      </c>
    </row>
    <row r="40" spans="1:12" s="1" customFormat="1" ht="30" customHeight="1" x14ac:dyDescent="0.25">
      <c r="A40" s="34" t="s">
        <v>48</v>
      </c>
      <c r="B40" s="35"/>
      <c r="C40" s="35"/>
      <c r="D40" s="36"/>
      <c r="E40" s="5"/>
      <c r="F40" s="34" t="s">
        <v>48</v>
      </c>
      <c r="G40" s="35"/>
      <c r="H40" s="35"/>
      <c r="I40" s="36"/>
      <c r="K40" s="1">
        <v>700</v>
      </c>
      <c r="L40" s="1">
        <v>20</v>
      </c>
    </row>
    <row r="41" spans="1:12" s="1" customFormat="1" ht="30" customHeight="1" x14ac:dyDescent="0.25">
      <c r="A41" s="39" t="s">
        <v>77</v>
      </c>
      <c r="B41" s="40"/>
      <c r="C41" s="44" t="s">
        <v>10</v>
      </c>
      <c r="D41" s="42"/>
      <c r="E41" s="4"/>
      <c r="F41" s="39" t="str">
        <f>A41</f>
        <v>P814</v>
      </c>
      <c r="G41" s="40"/>
      <c r="H41" s="44" t="str">
        <f>C41</f>
        <v>White</v>
      </c>
      <c r="I41" s="42"/>
    </row>
    <row r="42" spans="1:12" s="1" customFormat="1" ht="30" customHeight="1" x14ac:dyDescent="0.25">
      <c r="A42" s="12" t="s">
        <v>4</v>
      </c>
      <c r="B42" s="37" t="s">
        <v>98</v>
      </c>
      <c r="C42" s="37"/>
      <c r="D42" s="38"/>
      <c r="E42" s="4"/>
      <c r="F42" s="12" t="s">
        <v>4</v>
      </c>
      <c r="G42" s="37" t="str">
        <f>B42</f>
        <v>26684-1</v>
      </c>
      <c r="H42" s="37"/>
      <c r="I42" s="38"/>
    </row>
    <row r="43" spans="1:12" ht="63.75" customHeight="1" x14ac:dyDescent="0.25">
      <c r="A43" s="33" t="s">
        <v>34</v>
      </c>
      <c r="B43" s="33"/>
      <c r="C43" s="33"/>
      <c r="D43" s="33"/>
      <c r="E43" s="2"/>
      <c r="F43" s="33" t="str">
        <f>A43</f>
        <v>Oval DEO - Cap</v>
      </c>
      <c r="G43" s="33"/>
      <c r="H43" s="33"/>
      <c r="I43" s="33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23</v>
      </c>
      <c r="E45" s="4"/>
      <c r="F45" s="11" t="s">
        <v>2</v>
      </c>
      <c r="G45" s="10"/>
      <c r="H45" s="11" t="s">
        <v>5</v>
      </c>
      <c r="I45" s="7" t="str">
        <f>D45</f>
        <v>16B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24</v>
      </c>
      <c r="E46" s="4"/>
      <c r="F46" s="8" t="s">
        <v>3</v>
      </c>
      <c r="G46" s="9">
        <v>14</v>
      </c>
      <c r="H46" s="11" t="s">
        <v>6</v>
      </c>
      <c r="I46" s="7" t="str">
        <f>D46</f>
        <v>DEO-C02</v>
      </c>
      <c r="K46" s="6" t="s">
        <v>8</v>
      </c>
      <c r="L46" s="6" t="s">
        <v>7</v>
      </c>
    </row>
    <row r="47" spans="1:12" s="1" customFormat="1" ht="30" customHeight="1" x14ac:dyDescent="0.25">
      <c r="A47" s="34" t="s">
        <v>48</v>
      </c>
      <c r="B47" s="35"/>
      <c r="C47" s="35"/>
      <c r="D47" s="36"/>
      <c r="E47" s="5"/>
      <c r="F47" s="34" t="s">
        <v>99</v>
      </c>
      <c r="G47" s="35"/>
      <c r="H47" s="35"/>
      <c r="I47" s="36"/>
      <c r="K47" s="1">
        <v>700</v>
      </c>
      <c r="L47" s="1">
        <v>20</v>
      </c>
    </row>
    <row r="48" spans="1:12" s="1" customFormat="1" ht="30" customHeight="1" x14ac:dyDescent="0.25">
      <c r="A48" s="39" t="s">
        <v>77</v>
      </c>
      <c r="B48" s="40"/>
      <c r="C48" s="44" t="s">
        <v>10</v>
      </c>
      <c r="D48" s="42"/>
      <c r="E48" s="4"/>
      <c r="F48" s="39" t="str">
        <f>A48</f>
        <v>P814</v>
      </c>
      <c r="G48" s="40"/>
      <c r="H48" s="44" t="str">
        <f>C48</f>
        <v>White</v>
      </c>
      <c r="I48" s="42"/>
    </row>
    <row r="49" spans="1:9" s="1" customFormat="1" ht="30" customHeight="1" x14ac:dyDescent="0.25">
      <c r="A49" s="12" t="s">
        <v>4</v>
      </c>
      <c r="B49" s="37" t="s">
        <v>98</v>
      </c>
      <c r="C49" s="37"/>
      <c r="D49" s="38"/>
      <c r="E49" s="4"/>
      <c r="F49" s="12" t="s">
        <v>4</v>
      </c>
      <c r="G49" s="37" t="str">
        <f>B49</f>
        <v>26684-1</v>
      </c>
      <c r="H49" s="37"/>
      <c r="I49" s="38"/>
    </row>
  </sheetData>
  <mergeCells count="70">
    <mergeCell ref="B49:D49"/>
    <mergeCell ref="G49:I49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B35:D35"/>
    <mergeCell ref="G35:I35"/>
    <mergeCell ref="A36:D36"/>
    <mergeCell ref="F36:I3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21:D21"/>
    <mergeCell ref="G21:I21"/>
    <mergeCell ref="A15:D15"/>
    <mergeCell ref="F15:I15"/>
    <mergeCell ref="A19:D19"/>
    <mergeCell ref="F19:I19"/>
    <mergeCell ref="A20:B20"/>
    <mergeCell ref="C20:D20"/>
    <mergeCell ref="F20:G20"/>
    <mergeCell ref="H20:I20"/>
    <mergeCell ref="B28:D28"/>
    <mergeCell ref="G28:I28"/>
    <mergeCell ref="A22:D22"/>
    <mergeCell ref="F22:I22"/>
    <mergeCell ref="A26:D26"/>
    <mergeCell ref="F26:I26"/>
    <mergeCell ref="A27:B27"/>
    <mergeCell ref="C27:D27"/>
    <mergeCell ref="F27:G27"/>
    <mergeCell ref="H27:I27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L161"/>
  <sheetViews>
    <sheetView view="pageBreakPreview" topLeftCell="A154" zoomScaleNormal="100" zoomScaleSheetLayoutView="100" workbookViewId="0">
      <selection activeCell="C4" sqref="C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35</v>
      </c>
      <c r="B1" s="33"/>
      <c r="C1" s="33"/>
      <c r="D1" s="33"/>
      <c r="E1" s="2"/>
      <c r="F1" s="33" t="str">
        <f>A1</f>
        <v>Oval DEO - Barrel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25</v>
      </c>
      <c r="E3" s="4"/>
      <c r="F3" s="11" t="s">
        <v>2</v>
      </c>
      <c r="G3" s="10"/>
      <c r="H3" s="11" t="s">
        <v>5</v>
      </c>
      <c r="I3" s="7" t="str">
        <f>D3</f>
        <v>17B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17" t="s">
        <v>26</v>
      </c>
      <c r="E4" s="4"/>
      <c r="F4" s="8" t="s">
        <v>3</v>
      </c>
      <c r="G4" s="9">
        <v>24</v>
      </c>
      <c r="H4" s="11" t="s">
        <v>6</v>
      </c>
      <c r="I4" s="17" t="str">
        <f>D4</f>
        <v>DEO-B01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78</v>
      </c>
      <c r="B5" s="35"/>
      <c r="C5" s="35"/>
      <c r="D5" s="36"/>
      <c r="E5" s="5"/>
      <c r="F5" s="34" t="s">
        <v>78</v>
      </c>
      <c r="G5" s="35"/>
      <c r="H5" s="35"/>
      <c r="I5" s="36"/>
      <c r="K5" s="1">
        <v>200</v>
      </c>
      <c r="L5" s="1">
        <v>20</v>
      </c>
    </row>
    <row r="6" spans="1:12" s="1" customFormat="1" ht="30" customHeight="1" x14ac:dyDescent="0.25">
      <c r="A6" s="39" t="s">
        <v>77</v>
      </c>
      <c r="B6" s="40"/>
      <c r="C6" s="41" t="s">
        <v>10</v>
      </c>
      <c r="D6" s="42"/>
      <c r="E6" s="4"/>
      <c r="F6" s="39" t="str">
        <f>A6</f>
        <v>P814</v>
      </c>
      <c r="G6" s="40"/>
      <c r="H6" s="41" t="str">
        <f>C6</f>
        <v>White</v>
      </c>
      <c r="I6" s="42"/>
    </row>
    <row r="7" spans="1:12" s="1" customFormat="1" ht="30" customHeight="1" x14ac:dyDescent="0.25">
      <c r="A7" s="12" t="s">
        <v>4</v>
      </c>
      <c r="B7" s="37" t="s">
        <v>98</v>
      </c>
      <c r="C7" s="37"/>
      <c r="D7" s="38"/>
      <c r="E7" s="4"/>
      <c r="F7" s="12" t="s">
        <v>4</v>
      </c>
      <c r="G7" s="37" t="str">
        <f>B7</f>
        <v>26684-1</v>
      </c>
      <c r="H7" s="37"/>
      <c r="I7" s="38"/>
    </row>
    <row r="8" spans="1:12" ht="63.75" customHeight="1" x14ac:dyDescent="0.25">
      <c r="A8" s="33" t="s">
        <v>35</v>
      </c>
      <c r="B8" s="33"/>
      <c r="C8" s="33"/>
      <c r="D8" s="33"/>
      <c r="E8" s="2"/>
      <c r="F8" s="33" t="str">
        <f>A8</f>
        <v>Oval DEO - Barrel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25</v>
      </c>
      <c r="E10" s="4"/>
      <c r="F10" s="11" t="s">
        <v>2</v>
      </c>
      <c r="G10" s="10"/>
      <c r="H10" s="11" t="s">
        <v>5</v>
      </c>
      <c r="I10" s="7" t="str">
        <f>D10</f>
        <v>17B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17" t="s">
        <v>26</v>
      </c>
      <c r="E11" s="4"/>
      <c r="F11" s="8" t="s">
        <v>3</v>
      </c>
      <c r="G11" s="9">
        <v>25</v>
      </c>
      <c r="H11" s="11" t="s">
        <v>6</v>
      </c>
      <c r="I11" s="17" t="str">
        <f>D11</f>
        <v>DEO-B01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78</v>
      </c>
      <c r="B12" s="35"/>
      <c r="C12" s="35"/>
      <c r="D12" s="36"/>
      <c r="E12" s="5"/>
      <c r="F12" s="34" t="s">
        <v>78</v>
      </c>
      <c r="G12" s="35"/>
      <c r="H12" s="35"/>
      <c r="I12" s="36"/>
      <c r="K12" s="1">
        <v>200</v>
      </c>
      <c r="L12" s="1">
        <v>20</v>
      </c>
    </row>
    <row r="13" spans="1:12" s="1" customFormat="1" ht="30" customHeight="1" x14ac:dyDescent="0.25">
      <c r="A13" s="39" t="s">
        <v>77</v>
      </c>
      <c r="B13" s="40"/>
      <c r="C13" s="41" t="s">
        <v>10</v>
      </c>
      <c r="D13" s="42"/>
      <c r="E13" s="4"/>
      <c r="F13" s="39" t="str">
        <f>A13</f>
        <v>P814</v>
      </c>
      <c r="G13" s="40"/>
      <c r="H13" s="41" t="str">
        <f>C13</f>
        <v>White</v>
      </c>
      <c r="I13" s="42"/>
    </row>
    <row r="14" spans="1:12" s="1" customFormat="1" ht="30" customHeight="1" x14ac:dyDescent="0.25">
      <c r="A14" s="12" t="s">
        <v>4</v>
      </c>
      <c r="B14" s="37" t="s">
        <v>98</v>
      </c>
      <c r="C14" s="37"/>
      <c r="D14" s="38"/>
      <c r="E14" s="4"/>
      <c r="F14" s="12" t="s">
        <v>4</v>
      </c>
      <c r="G14" s="37" t="str">
        <f>B14</f>
        <v>26684-1</v>
      </c>
      <c r="H14" s="37"/>
      <c r="I14" s="38"/>
    </row>
    <row r="15" spans="1:12" ht="63.75" customHeight="1" x14ac:dyDescent="0.25">
      <c r="A15" s="33" t="s">
        <v>35</v>
      </c>
      <c r="B15" s="33"/>
      <c r="C15" s="33"/>
      <c r="D15" s="33"/>
      <c r="E15" s="2"/>
      <c r="F15" s="33" t="str">
        <f>A15</f>
        <v>Oval DEO - Barrel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25</v>
      </c>
      <c r="E17" s="4"/>
      <c r="F17" s="11" t="s">
        <v>2</v>
      </c>
      <c r="G17" s="10"/>
      <c r="H17" s="11" t="s">
        <v>5</v>
      </c>
      <c r="I17" s="7" t="str">
        <f>D17</f>
        <v>17B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17" t="s">
        <v>26</v>
      </c>
      <c r="E18" s="4"/>
      <c r="F18" s="8" t="s">
        <v>3</v>
      </c>
      <c r="G18" s="9">
        <v>26</v>
      </c>
      <c r="H18" s="11" t="s">
        <v>6</v>
      </c>
      <c r="I18" s="17" t="str">
        <f>D18</f>
        <v>DEO-B01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78</v>
      </c>
      <c r="B19" s="35"/>
      <c r="C19" s="35"/>
      <c r="D19" s="36"/>
      <c r="E19" s="5"/>
      <c r="F19" s="34" t="s">
        <v>78</v>
      </c>
      <c r="G19" s="35"/>
      <c r="H19" s="35"/>
      <c r="I19" s="36"/>
      <c r="K19" s="1">
        <v>200</v>
      </c>
      <c r="L19" s="1">
        <v>20</v>
      </c>
    </row>
    <row r="20" spans="1:12" s="1" customFormat="1" ht="30" customHeight="1" x14ac:dyDescent="0.25">
      <c r="A20" s="39" t="s">
        <v>77</v>
      </c>
      <c r="B20" s="40"/>
      <c r="C20" s="41" t="s">
        <v>10</v>
      </c>
      <c r="D20" s="42"/>
      <c r="E20" s="4"/>
      <c r="F20" s="39" t="str">
        <f>A20</f>
        <v>P814</v>
      </c>
      <c r="G20" s="40"/>
      <c r="H20" s="41" t="str">
        <f>C20</f>
        <v>White</v>
      </c>
      <c r="I20" s="42"/>
    </row>
    <row r="21" spans="1:12" s="1" customFormat="1" ht="30" customHeight="1" x14ac:dyDescent="0.25">
      <c r="A21" s="12" t="s">
        <v>4</v>
      </c>
      <c r="B21" s="37" t="s">
        <v>98</v>
      </c>
      <c r="C21" s="37"/>
      <c r="D21" s="38"/>
      <c r="E21" s="4"/>
      <c r="F21" s="12" t="s">
        <v>4</v>
      </c>
      <c r="G21" s="37" t="str">
        <f>B21</f>
        <v>26684-1</v>
      </c>
      <c r="H21" s="37"/>
      <c r="I21" s="38"/>
    </row>
    <row r="22" spans="1:12" ht="63.75" customHeight="1" x14ac:dyDescent="0.25">
      <c r="A22" s="33" t="s">
        <v>35</v>
      </c>
      <c r="B22" s="33"/>
      <c r="C22" s="33"/>
      <c r="D22" s="33"/>
      <c r="E22" s="2"/>
      <c r="F22" s="33" t="str">
        <f>A22</f>
        <v>Oval DEO - Barrel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25</v>
      </c>
      <c r="E24" s="4"/>
      <c r="F24" s="11" t="s">
        <v>2</v>
      </c>
      <c r="G24" s="10"/>
      <c r="H24" s="11" t="s">
        <v>5</v>
      </c>
      <c r="I24" s="7" t="str">
        <f>D24</f>
        <v>17B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17" t="s">
        <v>26</v>
      </c>
      <c r="E25" s="4"/>
      <c r="F25" s="8" t="s">
        <v>3</v>
      </c>
      <c r="G25" s="9">
        <v>27</v>
      </c>
      <c r="H25" s="11" t="s">
        <v>6</v>
      </c>
      <c r="I25" s="17" t="str">
        <f>D25</f>
        <v>DEO-B01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78</v>
      </c>
      <c r="B26" s="35"/>
      <c r="C26" s="35"/>
      <c r="D26" s="36"/>
      <c r="E26" s="5"/>
      <c r="F26" s="34" t="s">
        <v>78</v>
      </c>
      <c r="G26" s="35"/>
      <c r="H26" s="35"/>
      <c r="I26" s="36"/>
      <c r="K26" s="1">
        <v>200</v>
      </c>
      <c r="L26" s="1">
        <v>20</v>
      </c>
    </row>
    <row r="27" spans="1:12" s="1" customFormat="1" ht="30" customHeight="1" x14ac:dyDescent="0.25">
      <c r="A27" s="39" t="s">
        <v>77</v>
      </c>
      <c r="B27" s="40"/>
      <c r="C27" s="41" t="s">
        <v>10</v>
      </c>
      <c r="D27" s="42"/>
      <c r="E27" s="4"/>
      <c r="F27" s="39" t="str">
        <f>A27</f>
        <v>P814</v>
      </c>
      <c r="G27" s="40"/>
      <c r="H27" s="41" t="str">
        <f>C27</f>
        <v>White</v>
      </c>
      <c r="I27" s="42"/>
    </row>
    <row r="28" spans="1:12" s="1" customFormat="1" ht="30" customHeight="1" x14ac:dyDescent="0.25">
      <c r="A28" s="12" t="s">
        <v>4</v>
      </c>
      <c r="B28" s="37" t="s">
        <v>98</v>
      </c>
      <c r="C28" s="37"/>
      <c r="D28" s="38"/>
      <c r="E28" s="4"/>
      <c r="F28" s="12" t="s">
        <v>4</v>
      </c>
      <c r="G28" s="37" t="str">
        <f>B28</f>
        <v>26684-1</v>
      </c>
      <c r="H28" s="37"/>
      <c r="I28" s="38"/>
    </row>
    <row r="29" spans="1:12" ht="63.75" customHeight="1" x14ac:dyDescent="0.25">
      <c r="A29" s="33" t="s">
        <v>35</v>
      </c>
      <c r="B29" s="33"/>
      <c r="C29" s="33"/>
      <c r="D29" s="33"/>
      <c r="E29" s="2"/>
      <c r="F29" s="33" t="str">
        <f>A29</f>
        <v>Oval DEO - Barrel</v>
      </c>
      <c r="G29" s="33"/>
      <c r="H29" s="33"/>
      <c r="I29" s="33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25</v>
      </c>
      <c r="E31" s="4"/>
      <c r="F31" s="11" t="s">
        <v>2</v>
      </c>
      <c r="G31" s="10"/>
      <c r="H31" s="11" t="s">
        <v>5</v>
      </c>
      <c r="I31" s="7" t="str">
        <f>D31</f>
        <v>17B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17" t="s">
        <v>26</v>
      </c>
      <c r="E32" s="4"/>
      <c r="F32" s="8" t="s">
        <v>3</v>
      </c>
      <c r="G32" s="9">
        <v>28</v>
      </c>
      <c r="H32" s="11" t="s">
        <v>6</v>
      </c>
      <c r="I32" s="17" t="str">
        <f>D32</f>
        <v>DEO-B01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78</v>
      </c>
      <c r="B33" s="35"/>
      <c r="C33" s="35"/>
      <c r="D33" s="36"/>
      <c r="E33" s="5"/>
      <c r="F33" s="34" t="s">
        <v>78</v>
      </c>
      <c r="G33" s="35"/>
      <c r="H33" s="35"/>
      <c r="I33" s="36"/>
      <c r="K33" s="1">
        <v>200</v>
      </c>
      <c r="L33" s="1">
        <v>20</v>
      </c>
    </row>
    <row r="34" spans="1:12" s="1" customFormat="1" ht="30" customHeight="1" x14ac:dyDescent="0.25">
      <c r="A34" s="39" t="s">
        <v>77</v>
      </c>
      <c r="B34" s="40"/>
      <c r="C34" s="41" t="s">
        <v>10</v>
      </c>
      <c r="D34" s="42"/>
      <c r="E34" s="4"/>
      <c r="F34" s="39" t="str">
        <f>A34</f>
        <v>P814</v>
      </c>
      <c r="G34" s="40"/>
      <c r="H34" s="41" t="str">
        <f>C34</f>
        <v>White</v>
      </c>
      <c r="I34" s="42"/>
    </row>
    <row r="35" spans="1:12" s="1" customFormat="1" ht="30" customHeight="1" x14ac:dyDescent="0.25">
      <c r="A35" s="12" t="s">
        <v>4</v>
      </c>
      <c r="B35" s="37" t="s">
        <v>98</v>
      </c>
      <c r="C35" s="37"/>
      <c r="D35" s="38"/>
      <c r="E35" s="4"/>
      <c r="F35" s="12" t="s">
        <v>4</v>
      </c>
      <c r="G35" s="37" t="str">
        <f>B35</f>
        <v>26684-1</v>
      </c>
      <c r="H35" s="37"/>
      <c r="I35" s="38"/>
    </row>
    <row r="36" spans="1:12" ht="63.75" customHeight="1" x14ac:dyDescent="0.25">
      <c r="A36" s="33" t="s">
        <v>35</v>
      </c>
      <c r="B36" s="33"/>
      <c r="C36" s="33"/>
      <c r="D36" s="33"/>
      <c r="E36" s="2"/>
      <c r="F36" s="33" t="str">
        <f>A36</f>
        <v>Oval DEO - Barrel</v>
      </c>
      <c r="G36" s="33"/>
      <c r="H36" s="33"/>
      <c r="I36" s="33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25</v>
      </c>
      <c r="E38" s="4"/>
      <c r="F38" s="11" t="s">
        <v>2</v>
      </c>
      <c r="G38" s="10"/>
      <c r="H38" s="11" t="s">
        <v>5</v>
      </c>
      <c r="I38" s="7" t="str">
        <f>D38</f>
        <v>17B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17" t="s">
        <v>26</v>
      </c>
      <c r="E39" s="4"/>
      <c r="F39" s="8" t="s">
        <v>3</v>
      </c>
      <c r="G39" s="9">
        <v>29</v>
      </c>
      <c r="H39" s="11" t="s">
        <v>6</v>
      </c>
      <c r="I39" s="17" t="str">
        <f>D39</f>
        <v>DEO-B01</v>
      </c>
      <c r="K39" s="6" t="s">
        <v>8</v>
      </c>
      <c r="L39" s="6" t="s">
        <v>7</v>
      </c>
    </row>
    <row r="40" spans="1:12" s="1" customFormat="1" ht="30" customHeight="1" x14ac:dyDescent="0.25">
      <c r="A40" s="34" t="s">
        <v>78</v>
      </c>
      <c r="B40" s="35"/>
      <c r="C40" s="35"/>
      <c r="D40" s="36"/>
      <c r="E40" s="5"/>
      <c r="F40" s="34" t="s">
        <v>78</v>
      </c>
      <c r="G40" s="35"/>
      <c r="H40" s="35"/>
      <c r="I40" s="36"/>
      <c r="K40" s="1">
        <v>200</v>
      </c>
      <c r="L40" s="1">
        <v>20</v>
      </c>
    </row>
    <row r="41" spans="1:12" s="1" customFormat="1" ht="30" customHeight="1" x14ac:dyDescent="0.25">
      <c r="A41" s="39" t="s">
        <v>77</v>
      </c>
      <c r="B41" s="40"/>
      <c r="C41" s="41" t="s">
        <v>10</v>
      </c>
      <c r="D41" s="42"/>
      <c r="E41" s="4"/>
      <c r="F41" s="39" t="str">
        <f>A41</f>
        <v>P814</v>
      </c>
      <c r="G41" s="40"/>
      <c r="H41" s="41" t="str">
        <f>C41</f>
        <v>White</v>
      </c>
      <c r="I41" s="42"/>
    </row>
    <row r="42" spans="1:12" s="1" customFormat="1" ht="30" customHeight="1" x14ac:dyDescent="0.25">
      <c r="A42" s="12" t="s">
        <v>4</v>
      </c>
      <c r="B42" s="37" t="s">
        <v>98</v>
      </c>
      <c r="C42" s="37"/>
      <c r="D42" s="38"/>
      <c r="E42" s="4"/>
      <c r="F42" s="12" t="s">
        <v>4</v>
      </c>
      <c r="G42" s="37" t="str">
        <f>B42</f>
        <v>26684-1</v>
      </c>
      <c r="H42" s="37"/>
      <c r="I42" s="38"/>
    </row>
    <row r="43" spans="1:12" ht="63.75" customHeight="1" x14ac:dyDescent="0.25">
      <c r="A43" s="33" t="s">
        <v>35</v>
      </c>
      <c r="B43" s="33"/>
      <c r="C43" s="33"/>
      <c r="D43" s="33"/>
      <c r="E43" s="2"/>
      <c r="F43" s="33" t="str">
        <f>A43</f>
        <v>Oval DEO - Barrel</v>
      </c>
      <c r="G43" s="33"/>
      <c r="H43" s="33"/>
      <c r="I43" s="33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25</v>
      </c>
      <c r="E45" s="4"/>
      <c r="F45" s="11" t="s">
        <v>2</v>
      </c>
      <c r="G45" s="10"/>
      <c r="H45" s="11" t="s">
        <v>5</v>
      </c>
      <c r="I45" s="7" t="str">
        <f>D45</f>
        <v>17B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17" t="s">
        <v>26</v>
      </c>
      <c r="E46" s="4"/>
      <c r="F46" s="8" t="s">
        <v>3</v>
      </c>
      <c r="G46" s="9">
        <v>30</v>
      </c>
      <c r="H46" s="11" t="s">
        <v>6</v>
      </c>
      <c r="I46" s="17" t="str">
        <f>D46</f>
        <v>DEO-B01</v>
      </c>
      <c r="K46" s="6" t="s">
        <v>8</v>
      </c>
      <c r="L46" s="6" t="s">
        <v>7</v>
      </c>
    </row>
    <row r="47" spans="1:12" s="1" customFormat="1" ht="30" customHeight="1" x14ac:dyDescent="0.25">
      <c r="A47" s="34" t="s">
        <v>78</v>
      </c>
      <c r="B47" s="35"/>
      <c r="C47" s="35"/>
      <c r="D47" s="36"/>
      <c r="E47" s="5"/>
      <c r="F47" s="34" t="s">
        <v>78</v>
      </c>
      <c r="G47" s="35"/>
      <c r="H47" s="35"/>
      <c r="I47" s="36"/>
      <c r="K47" s="1">
        <v>200</v>
      </c>
      <c r="L47" s="1">
        <v>20</v>
      </c>
    </row>
    <row r="48" spans="1:12" s="1" customFormat="1" ht="30" customHeight="1" x14ac:dyDescent="0.25">
      <c r="A48" s="39" t="s">
        <v>77</v>
      </c>
      <c r="B48" s="40"/>
      <c r="C48" s="41" t="s">
        <v>10</v>
      </c>
      <c r="D48" s="42"/>
      <c r="E48" s="4"/>
      <c r="F48" s="39" t="str">
        <f>A48</f>
        <v>P814</v>
      </c>
      <c r="G48" s="40"/>
      <c r="H48" s="41" t="str">
        <f>C48</f>
        <v>White</v>
      </c>
      <c r="I48" s="42"/>
    </row>
    <row r="49" spans="1:12" s="1" customFormat="1" ht="30" customHeight="1" x14ac:dyDescent="0.25">
      <c r="A49" s="12" t="s">
        <v>4</v>
      </c>
      <c r="B49" s="37" t="s">
        <v>98</v>
      </c>
      <c r="C49" s="37"/>
      <c r="D49" s="38"/>
      <c r="E49" s="4"/>
      <c r="F49" s="12" t="s">
        <v>4</v>
      </c>
      <c r="G49" s="37" t="str">
        <f>B49</f>
        <v>26684-1</v>
      </c>
      <c r="H49" s="37"/>
      <c r="I49" s="38"/>
    </row>
    <row r="50" spans="1:12" ht="63.75" customHeight="1" x14ac:dyDescent="0.25">
      <c r="A50" s="33" t="s">
        <v>35</v>
      </c>
      <c r="B50" s="33"/>
      <c r="C50" s="33"/>
      <c r="D50" s="33"/>
      <c r="E50" s="2"/>
      <c r="F50" s="33" t="str">
        <f>A50</f>
        <v>Oval DEO - Barrel</v>
      </c>
      <c r="G50" s="33"/>
      <c r="H50" s="33"/>
      <c r="I50" s="33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25</v>
      </c>
      <c r="E52" s="4"/>
      <c r="F52" s="11" t="s">
        <v>2</v>
      </c>
      <c r="G52" s="10"/>
      <c r="H52" s="11" t="s">
        <v>5</v>
      </c>
      <c r="I52" s="7" t="str">
        <f>D52</f>
        <v>17B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17" t="s">
        <v>26</v>
      </c>
      <c r="E53" s="4"/>
      <c r="F53" s="8" t="s">
        <v>3</v>
      </c>
      <c r="G53" s="9">
        <v>31</v>
      </c>
      <c r="H53" s="11" t="s">
        <v>6</v>
      </c>
      <c r="I53" s="17" t="str">
        <f>D53</f>
        <v>DEO-B01</v>
      </c>
      <c r="K53" s="6" t="s">
        <v>8</v>
      </c>
      <c r="L53" s="6" t="s">
        <v>7</v>
      </c>
    </row>
    <row r="54" spans="1:12" s="1" customFormat="1" ht="30" customHeight="1" x14ac:dyDescent="0.25">
      <c r="A54" s="34" t="s">
        <v>78</v>
      </c>
      <c r="B54" s="35"/>
      <c r="C54" s="35"/>
      <c r="D54" s="36"/>
      <c r="E54" s="5"/>
      <c r="F54" s="34" t="s">
        <v>78</v>
      </c>
      <c r="G54" s="35"/>
      <c r="H54" s="35"/>
      <c r="I54" s="36"/>
      <c r="K54" s="1">
        <v>200</v>
      </c>
      <c r="L54" s="1">
        <v>20</v>
      </c>
    </row>
    <row r="55" spans="1:12" s="1" customFormat="1" ht="30" customHeight="1" x14ac:dyDescent="0.25">
      <c r="A55" s="39" t="s">
        <v>77</v>
      </c>
      <c r="B55" s="40"/>
      <c r="C55" s="41" t="s">
        <v>10</v>
      </c>
      <c r="D55" s="42"/>
      <c r="E55" s="4"/>
      <c r="F55" s="39" t="str">
        <f>A55</f>
        <v>P814</v>
      </c>
      <c r="G55" s="40"/>
      <c r="H55" s="41" t="str">
        <f>C55</f>
        <v>White</v>
      </c>
      <c r="I55" s="42"/>
    </row>
    <row r="56" spans="1:12" s="1" customFormat="1" ht="30" customHeight="1" x14ac:dyDescent="0.25">
      <c r="A56" s="12" t="s">
        <v>4</v>
      </c>
      <c r="B56" s="37" t="s">
        <v>98</v>
      </c>
      <c r="C56" s="37"/>
      <c r="D56" s="38"/>
      <c r="E56" s="4"/>
      <c r="F56" s="12" t="s">
        <v>4</v>
      </c>
      <c r="G56" s="37" t="str">
        <f>B56</f>
        <v>26684-1</v>
      </c>
      <c r="H56" s="37"/>
      <c r="I56" s="38"/>
    </row>
    <row r="57" spans="1:12" ht="63.75" customHeight="1" x14ac:dyDescent="0.25">
      <c r="A57" s="33" t="s">
        <v>35</v>
      </c>
      <c r="B57" s="33"/>
      <c r="C57" s="33"/>
      <c r="D57" s="33"/>
      <c r="E57" s="2"/>
      <c r="F57" s="33" t="str">
        <f>A57</f>
        <v>Oval DEO - Barrel</v>
      </c>
      <c r="G57" s="33"/>
      <c r="H57" s="33"/>
      <c r="I57" s="33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25</v>
      </c>
      <c r="E59" s="4"/>
      <c r="F59" s="11" t="s">
        <v>2</v>
      </c>
      <c r="G59" s="10"/>
      <c r="H59" s="11" t="s">
        <v>5</v>
      </c>
      <c r="I59" s="7" t="str">
        <f>D59</f>
        <v>17B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17" t="s">
        <v>26</v>
      </c>
      <c r="E60" s="4"/>
      <c r="F60" s="8" t="s">
        <v>3</v>
      </c>
      <c r="G60" s="9">
        <v>32</v>
      </c>
      <c r="H60" s="11" t="s">
        <v>6</v>
      </c>
      <c r="I60" s="17" t="str">
        <f>D60</f>
        <v>DEO-B01</v>
      </c>
      <c r="K60" s="6" t="s">
        <v>8</v>
      </c>
      <c r="L60" s="6" t="s">
        <v>7</v>
      </c>
    </row>
    <row r="61" spans="1:12" s="1" customFormat="1" ht="30" customHeight="1" x14ac:dyDescent="0.25">
      <c r="A61" s="34" t="s">
        <v>78</v>
      </c>
      <c r="B61" s="35"/>
      <c r="C61" s="35"/>
      <c r="D61" s="36"/>
      <c r="E61" s="5"/>
      <c r="F61" s="34" t="s">
        <v>78</v>
      </c>
      <c r="G61" s="35"/>
      <c r="H61" s="35"/>
      <c r="I61" s="36"/>
      <c r="K61" s="1">
        <v>200</v>
      </c>
      <c r="L61" s="1">
        <v>20</v>
      </c>
    </row>
    <row r="62" spans="1:12" s="1" customFormat="1" ht="30" customHeight="1" x14ac:dyDescent="0.25">
      <c r="A62" s="39" t="s">
        <v>77</v>
      </c>
      <c r="B62" s="40"/>
      <c r="C62" s="41" t="s">
        <v>10</v>
      </c>
      <c r="D62" s="42"/>
      <c r="E62" s="4"/>
      <c r="F62" s="39" t="str">
        <f>A62</f>
        <v>P814</v>
      </c>
      <c r="G62" s="40"/>
      <c r="H62" s="41" t="str">
        <f>C62</f>
        <v>White</v>
      </c>
      <c r="I62" s="42"/>
    </row>
    <row r="63" spans="1:12" s="1" customFormat="1" ht="30" customHeight="1" x14ac:dyDescent="0.25">
      <c r="A63" s="12" t="s">
        <v>4</v>
      </c>
      <c r="B63" s="37" t="s">
        <v>98</v>
      </c>
      <c r="C63" s="37"/>
      <c r="D63" s="38"/>
      <c r="E63" s="4"/>
      <c r="F63" s="12" t="s">
        <v>4</v>
      </c>
      <c r="G63" s="37" t="str">
        <f>B63</f>
        <v>26684-1</v>
      </c>
      <c r="H63" s="37"/>
      <c r="I63" s="38"/>
    </row>
    <row r="64" spans="1:12" ht="63.75" customHeight="1" x14ac:dyDescent="0.25">
      <c r="A64" s="33" t="s">
        <v>35</v>
      </c>
      <c r="B64" s="33"/>
      <c r="C64" s="33"/>
      <c r="D64" s="33"/>
      <c r="E64" s="2"/>
      <c r="F64" s="33" t="str">
        <f>A64</f>
        <v>Oval DEO - Barrel</v>
      </c>
      <c r="G64" s="33"/>
      <c r="H64" s="33"/>
      <c r="I64" s="33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25</v>
      </c>
      <c r="E66" s="4"/>
      <c r="F66" s="11" t="s">
        <v>2</v>
      </c>
      <c r="G66" s="10"/>
      <c r="H66" s="11" t="s">
        <v>5</v>
      </c>
      <c r="I66" s="7" t="str">
        <f>D66</f>
        <v>17B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17" t="s">
        <v>26</v>
      </c>
      <c r="E67" s="4"/>
      <c r="F67" s="8" t="s">
        <v>3</v>
      </c>
      <c r="G67" s="9">
        <v>33</v>
      </c>
      <c r="H67" s="11" t="s">
        <v>6</v>
      </c>
      <c r="I67" s="17" t="str">
        <f>D67</f>
        <v>DEO-B01</v>
      </c>
      <c r="K67" s="6" t="s">
        <v>8</v>
      </c>
      <c r="L67" s="6" t="s">
        <v>7</v>
      </c>
    </row>
    <row r="68" spans="1:12" s="1" customFormat="1" ht="30" customHeight="1" x14ac:dyDescent="0.25">
      <c r="A68" s="34" t="s">
        <v>78</v>
      </c>
      <c r="B68" s="35"/>
      <c r="C68" s="35"/>
      <c r="D68" s="36"/>
      <c r="E68" s="5"/>
      <c r="F68" s="34" t="s">
        <v>78</v>
      </c>
      <c r="G68" s="35"/>
      <c r="H68" s="35"/>
      <c r="I68" s="36"/>
      <c r="K68" s="1">
        <v>200</v>
      </c>
      <c r="L68" s="1">
        <v>20</v>
      </c>
    </row>
    <row r="69" spans="1:12" s="1" customFormat="1" ht="30" customHeight="1" x14ac:dyDescent="0.25">
      <c r="A69" s="39" t="s">
        <v>77</v>
      </c>
      <c r="B69" s="40"/>
      <c r="C69" s="41" t="s">
        <v>10</v>
      </c>
      <c r="D69" s="42"/>
      <c r="E69" s="4"/>
      <c r="F69" s="39" t="str">
        <f>A69</f>
        <v>P814</v>
      </c>
      <c r="G69" s="40"/>
      <c r="H69" s="41" t="str">
        <f>C69</f>
        <v>White</v>
      </c>
      <c r="I69" s="42"/>
    </row>
    <row r="70" spans="1:12" s="1" customFormat="1" ht="30" customHeight="1" x14ac:dyDescent="0.25">
      <c r="A70" s="12" t="s">
        <v>4</v>
      </c>
      <c r="B70" s="37" t="s">
        <v>98</v>
      </c>
      <c r="C70" s="37"/>
      <c r="D70" s="38"/>
      <c r="E70" s="4"/>
      <c r="F70" s="12" t="s">
        <v>4</v>
      </c>
      <c r="G70" s="37" t="str">
        <f>B70</f>
        <v>26684-1</v>
      </c>
      <c r="H70" s="37"/>
      <c r="I70" s="38"/>
    </row>
    <row r="71" spans="1:12" ht="63.75" customHeight="1" x14ac:dyDescent="0.25">
      <c r="A71" s="33" t="s">
        <v>35</v>
      </c>
      <c r="B71" s="33"/>
      <c r="C71" s="33"/>
      <c r="D71" s="33"/>
      <c r="E71" s="2"/>
      <c r="F71" s="33" t="str">
        <f>A71</f>
        <v>Oval DEO - Barrel</v>
      </c>
      <c r="G71" s="33"/>
      <c r="H71" s="33"/>
      <c r="I71" s="33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25</v>
      </c>
      <c r="E73" s="4"/>
      <c r="F73" s="11" t="s">
        <v>2</v>
      </c>
      <c r="G73" s="10"/>
      <c r="H73" s="11" t="s">
        <v>5</v>
      </c>
      <c r="I73" s="7" t="str">
        <f>D73</f>
        <v>17B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17" t="s">
        <v>26</v>
      </c>
      <c r="E74" s="4"/>
      <c r="F74" s="8" t="s">
        <v>3</v>
      </c>
      <c r="G74" s="9">
        <v>34</v>
      </c>
      <c r="H74" s="11" t="s">
        <v>6</v>
      </c>
      <c r="I74" s="17" t="str">
        <f>D74</f>
        <v>DEO-B01</v>
      </c>
      <c r="K74" s="6" t="s">
        <v>8</v>
      </c>
      <c r="L74" s="6" t="s">
        <v>7</v>
      </c>
    </row>
    <row r="75" spans="1:12" s="1" customFormat="1" ht="30" customHeight="1" x14ac:dyDescent="0.25">
      <c r="A75" s="34" t="s">
        <v>78</v>
      </c>
      <c r="B75" s="35"/>
      <c r="C75" s="35"/>
      <c r="D75" s="36"/>
      <c r="E75" s="5"/>
      <c r="F75" s="34" t="s">
        <v>78</v>
      </c>
      <c r="G75" s="35"/>
      <c r="H75" s="35"/>
      <c r="I75" s="36"/>
      <c r="K75" s="1">
        <v>200</v>
      </c>
      <c r="L75" s="1">
        <v>20</v>
      </c>
    </row>
    <row r="76" spans="1:12" s="1" customFormat="1" ht="30" customHeight="1" x14ac:dyDescent="0.25">
      <c r="A76" s="39" t="s">
        <v>77</v>
      </c>
      <c r="B76" s="40"/>
      <c r="C76" s="41" t="s">
        <v>10</v>
      </c>
      <c r="D76" s="42"/>
      <c r="E76" s="4"/>
      <c r="F76" s="39" t="str">
        <f>A76</f>
        <v>P814</v>
      </c>
      <c r="G76" s="40"/>
      <c r="H76" s="41" t="str">
        <f>C76</f>
        <v>White</v>
      </c>
      <c r="I76" s="42"/>
    </row>
    <row r="77" spans="1:12" s="1" customFormat="1" ht="30" customHeight="1" x14ac:dyDescent="0.25">
      <c r="A77" s="12" t="s">
        <v>4</v>
      </c>
      <c r="B77" s="37" t="s">
        <v>98</v>
      </c>
      <c r="C77" s="37"/>
      <c r="D77" s="38"/>
      <c r="E77" s="4"/>
      <c r="F77" s="12" t="s">
        <v>4</v>
      </c>
      <c r="G77" s="37" t="str">
        <f>B77</f>
        <v>26684-1</v>
      </c>
      <c r="H77" s="37"/>
      <c r="I77" s="38"/>
    </row>
    <row r="78" spans="1:12" ht="63.75" customHeight="1" x14ac:dyDescent="0.25">
      <c r="A78" s="33" t="s">
        <v>35</v>
      </c>
      <c r="B78" s="33"/>
      <c r="C78" s="33"/>
      <c r="D78" s="33"/>
      <c r="E78" s="2"/>
      <c r="F78" s="33" t="str">
        <f>A78</f>
        <v>Oval DEO - Barrel</v>
      </c>
      <c r="G78" s="33"/>
      <c r="H78" s="33"/>
      <c r="I78" s="33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25</v>
      </c>
      <c r="E80" s="4"/>
      <c r="F80" s="11" t="s">
        <v>2</v>
      </c>
      <c r="G80" s="10"/>
      <c r="H80" s="11" t="s">
        <v>5</v>
      </c>
      <c r="I80" s="7" t="str">
        <f>D80</f>
        <v>17B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17" t="s">
        <v>26</v>
      </c>
      <c r="E81" s="4"/>
      <c r="F81" s="8" t="s">
        <v>3</v>
      </c>
      <c r="G81" s="9">
        <v>35</v>
      </c>
      <c r="H81" s="11" t="s">
        <v>6</v>
      </c>
      <c r="I81" s="17" t="str">
        <f>D81</f>
        <v>DEO-B01</v>
      </c>
      <c r="K81" s="6" t="s">
        <v>8</v>
      </c>
      <c r="L81" s="6" t="s">
        <v>7</v>
      </c>
    </row>
    <row r="82" spans="1:12" s="1" customFormat="1" ht="30" customHeight="1" x14ac:dyDescent="0.25">
      <c r="A82" s="34" t="s">
        <v>78</v>
      </c>
      <c r="B82" s="35"/>
      <c r="C82" s="35"/>
      <c r="D82" s="36"/>
      <c r="E82" s="5"/>
      <c r="F82" s="34" t="s">
        <v>78</v>
      </c>
      <c r="G82" s="35"/>
      <c r="H82" s="35"/>
      <c r="I82" s="36"/>
      <c r="K82" s="1">
        <v>200</v>
      </c>
      <c r="L82" s="1">
        <v>20</v>
      </c>
    </row>
    <row r="83" spans="1:12" s="1" customFormat="1" ht="30" customHeight="1" x14ac:dyDescent="0.25">
      <c r="A83" s="39" t="s">
        <v>77</v>
      </c>
      <c r="B83" s="40"/>
      <c r="C83" s="41" t="s">
        <v>10</v>
      </c>
      <c r="D83" s="42"/>
      <c r="E83" s="4"/>
      <c r="F83" s="39" t="str">
        <f>A83</f>
        <v>P814</v>
      </c>
      <c r="G83" s="40"/>
      <c r="H83" s="41" t="str">
        <f>C83</f>
        <v>White</v>
      </c>
      <c r="I83" s="42"/>
    </row>
    <row r="84" spans="1:12" s="1" customFormat="1" ht="30" customHeight="1" x14ac:dyDescent="0.25">
      <c r="A84" s="12" t="s">
        <v>4</v>
      </c>
      <c r="B84" s="37" t="s">
        <v>98</v>
      </c>
      <c r="C84" s="37"/>
      <c r="D84" s="38"/>
      <c r="E84" s="4"/>
      <c r="F84" s="12" t="s">
        <v>4</v>
      </c>
      <c r="G84" s="37" t="str">
        <f>B84</f>
        <v>26684-1</v>
      </c>
      <c r="H84" s="37"/>
      <c r="I84" s="38"/>
    </row>
    <row r="85" spans="1:12" ht="63.75" customHeight="1" x14ac:dyDescent="0.25">
      <c r="A85" s="33" t="s">
        <v>35</v>
      </c>
      <c r="B85" s="33"/>
      <c r="C85" s="33"/>
      <c r="D85" s="33"/>
      <c r="E85" s="2"/>
      <c r="F85" s="33" t="str">
        <f>A85</f>
        <v>Oval DEO - Barrel</v>
      </c>
      <c r="G85" s="33"/>
      <c r="H85" s="33"/>
      <c r="I85" s="33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25</v>
      </c>
      <c r="E87" s="4"/>
      <c r="F87" s="11" t="s">
        <v>2</v>
      </c>
      <c r="G87" s="10"/>
      <c r="H87" s="11" t="s">
        <v>5</v>
      </c>
      <c r="I87" s="7" t="str">
        <f>D87</f>
        <v>17B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17" t="s">
        <v>26</v>
      </c>
      <c r="E88" s="4"/>
      <c r="F88" s="8" t="s">
        <v>3</v>
      </c>
      <c r="G88" s="9">
        <v>36</v>
      </c>
      <c r="H88" s="11" t="s">
        <v>6</v>
      </c>
      <c r="I88" s="17" t="str">
        <f>D88</f>
        <v>DEO-B01</v>
      </c>
      <c r="K88" s="6" t="s">
        <v>8</v>
      </c>
      <c r="L88" s="6" t="s">
        <v>7</v>
      </c>
    </row>
    <row r="89" spans="1:12" s="1" customFormat="1" ht="30" customHeight="1" x14ac:dyDescent="0.25">
      <c r="A89" s="34" t="s">
        <v>78</v>
      </c>
      <c r="B89" s="35"/>
      <c r="C89" s="35"/>
      <c r="D89" s="36"/>
      <c r="E89" s="5"/>
      <c r="F89" s="34" t="s">
        <v>78</v>
      </c>
      <c r="G89" s="35"/>
      <c r="H89" s="35"/>
      <c r="I89" s="36"/>
      <c r="K89" s="1">
        <v>200</v>
      </c>
      <c r="L89" s="1">
        <v>20</v>
      </c>
    </row>
    <row r="90" spans="1:12" s="1" customFormat="1" ht="30" customHeight="1" x14ac:dyDescent="0.25">
      <c r="A90" s="39" t="s">
        <v>77</v>
      </c>
      <c r="B90" s="40"/>
      <c r="C90" s="41" t="s">
        <v>10</v>
      </c>
      <c r="D90" s="42"/>
      <c r="E90" s="4"/>
      <c r="F90" s="39" t="str">
        <f>A90</f>
        <v>P814</v>
      </c>
      <c r="G90" s="40"/>
      <c r="H90" s="41" t="str">
        <f>C90</f>
        <v>White</v>
      </c>
      <c r="I90" s="42"/>
    </row>
    <row r="91" spans="1:12" s="1" customFormat="1" ht="30" customHeight="1" x14ac:dyDescent="0.25">
      <c r="A91" s="12" t="s">
        <v>4</v>
      </c>
      <c r="B91" s="37" t="s">
        <v>98</v>
      </c>
      <c r="C91" s="37"/>
      <c r="D91" s="38"/>
      <c r="E91" s="4"/>
      <c r="F91" s="12" t="s">
        <v>4</v>
      </c>
      <c r="G91" s="37" t="str">
        <f>B91</f>
        <v>26684-1</v>
      </c>
      <c r="H91" s="37"/>
      <c r="I91" s="38"/>
    </row>
    <row r="92" spans="1:12" ht="63.75" customHeight="1" x14ac:dyDescent="0.25">
      <c r="A92" s="33" t="s">
        <v>35</v>
      </c>
      <c r="B92" s="33"/>
      <c r="C92" s="33"/>
      <c r="D92" s="33"/>
      <c r="E92" s="2"/>
      <c r="F92" s="33" t="str">
        <f>A92</f>
        <v>Oval DEO - Barrel</v>
      </c>
      <c r="G92" s="33"/>
      <c r="H92" s="33"/>
      <c r="I92" s="33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25</v>
      </c>
      <c r="E94" s="4"/>
      <c r="F94" s="11" t="s">
        <v>2</v>
      </c>
      <c r="G94" s="10"/>
      <c r="H94" s="11" t="s">
        <v>5</v>
      </c>
      <c r="I94" s="7" t="str">
        <f>D94</f>
        <v>17B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17" t="s">
        <v>26</v>
      </c>
      <c r="E95" s="4"/>
      <c r="F95" s="8" t="s">
        <v>3</v>
      </c>
      <c r="G95" s="9">
        <v>37</v>
      </c>
      <c r="H95" s="11" t="s">
        <v>6</v>
      </c>
      <c r="I95" s="17" t="str">
        <f>D95</f>
        <v>DEO-B01</v>
      </c>
      <c r="K95" s="6" t="s">
        <v>8</v>
      </c>
      <c r="L95" s="6" t="s">
        <v>7</v>
      </c>
    </row>
    <row r="96" spans="1:12" s="1" customFormat="1" ht="30" customHeight="1" x14ac:dyDescent="0.25">
      <c r="A96" s="34" t="s">
        <v>78</v>
      </c>
      <c r="B96" s="35"/>
      <c r="C96" s="35"/>
      <c r="D96" s="36"/>
      <c r="E96" s="5"/>
      <c r="F96" s="34" t="s">
        <v>78</v>
      </c>
      <c r="G96" s="35"/>
      <c r="H96" s="35"/>
      <c r="I96" s="36"/>
      <c r="K96" s="1">
        <v>200</v>
      </c>
      <c r="L96" s="1">
        <v>20</v>
      </c>
    </row>
    <row r="97" spans="1:12" s="1" customFormat="1" ht="30" customHeight="1" x14ac:dyDescent="0.25">
      <c r="A97" s="39" t="s">
        <v>77</v>
      </c>
      <c r="B97" s="40"/>
      <c r="C97" s="41" t="s">
        <v>10</v>
      </c>
      <c r="D97" s="42"/>
      <c r="E97" s="4"/>
      <c r="F97" s="39" t="str">
        <f>A97</f>
        <v>P814</v>
      </c>
      <c r="G97" s="40"/>
      <c r="H97" s="41" t="str">
        <f>C97</f>
        <v>White</v>
      </c>
      <c r="I97" s="42"/>
    </row>
    <row r="98" spans="1:12" s="1" customFormat="1" ht="30" customHeight="1" x14ac:dyDescent="0.25">
      <c r="A98" s="12" t="s">
        <v>4</v>
      </c>
      <c r="B98" s="37" t="s">
        <v>98</v>
      </c>
      <c r="C98" s="37"/>
      <c r="D98" s="38"/>
      <c r="E98" s="4"/>
      <c r="F98" s="12" t="s">
        <v>4</v>
      </c>
      <c r="G98" s="37" t="str">
        <f>B98</f>
        <v>26684-1</v>
      </c>
      <c r="H98" s="37"/>
      <c r="I98" s="38"/>
    </row>
    <row r="99" spans="1:12" ht="63.75" customHeight="1" x14ac:dyDescent="0.25">
      <c r="A99" s="33" t="s">
        <v>35</v>
      </c>
      <c r="B99" s="33"/>
      <c r="C99" s="33"/>
      <c r="D99" s="33"/>
      <c r="E99" s="2"/>
      <c r="F99" s="33" t="str">
        <f>A99</f>
        <v>Oval DEO - Barrel</v>
      </c>
      <c r="G99" s="33"/>
      <c r="H99" s="33"/>
      <c r="I99" s="33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25</v>
      </c>
      <c r="E101" s="4"/>
      <c r="F101" s="11" t="s">
        <v>2</v>
      </c>
      <c r="G101" s="10"/>
      <c r="H101" s="11" t="s">
        <v>5</v>
      </c>
      <c r="I101" s="7" t="str">
        <f>D101</f>
        <v>17B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17" t="s">
        <v>26</v>
      </c>
      <c r="E102" s="4"/>
      <c r="F102" s="8" t="s">
        <v>3</v>
      </c>
      <c r="G102" s="9">
        <v>38</v>
      </c>
      <c r="H102" s="11" t="s">
        <v>6</v>
      </c>
      <c r="I102" s="17" t="str">
        <f>D102</f>
        <v>DEO-B01</v>
      </c>
      <c r="K102" s="6" t="s">
        <v>8</v>
      </c>
      <c r="L102" s="6" t="s">
        <v>7</v>
      </c>
    </row>
    <row r="103" spans="1:12" s="1" customFormat="1" ht="30" customHeight="1" x14ac:dyDescent="0.25">
      <c r="A103" s="34" t="s">
        <v>78</v>
      </c>
      <c r="B103" s="35"/>
      <c r="C103" s="35"/>
      <c r="D103" s="36"/>
      <c r="E103" s="5"/>
      <c r="F103" s="34" t="s">
        <v>78</v>
      </c>
      <c r="G103" s="35"/>
      <c r="H103" s="35"/>
      <c r="I103" s="36"/>
      <c r="K103" s="1">
        <v>200</v>
      </c>
      <c r="L103" s="1">
        <v>20</v>
      </c>
    </row>
    <row r="104" spans="1:12" s="1" customFormat="1" ht="30" customHeight="1" x14ac:dyDescent="0.25">
      <c r="A104" s="39" t="s">
        <v>77</v>
      </c>
      <c r="B104" s="40"/>
      <c r="C104" s="41" t="s">
        <v>10</v>
      </c>
      <c r="D104" s="42"/>
      <c r="E104" s="4"/>
      <c r="F104" s="39" t="str">
        <f>A104</f>
        <v>P814</v>
      </c>
      <c r="G104" s="40"/>
      <c r="H104" s="41" t="str">
        <f>C104</f>
        <v>White</v>
      </c>
      <c r="I104" s="42"/>
    </row>
    <row r="105" spans="1:12" s="1" customFormat="1" ht="30" customHeight="1" x14ac:dyDescent="0.25">
      <c r="A105" s="12" t="s">
        <v>4</v>
      </c>
      <c r="B105" s="37" t="s">
        <v>98</v>
      </c>
      <c r="C105" s="37"/>
      <c r="D105" s="38"/>
      <c r="E105" s="4"/>
      <c r="F105" s="12" t="s">
        <v>4</v>
      </c>
      <c r="G105" s="37" t="str">
        <f>B105</f>
        <v>26684-1</v>
      </c>
      <c r="H105" s="37"/>
      <c r="I105" s="38"/>
    </row>
    <row r="106" spans="1:12" ht="63.75" customHeight="1" x14ac:dyDescent="0.25">
      <c r="A106" s="33" t="s">
        <v>35</v>
      </c>
      <c r="B106" s="33"/>
      <c r="C106" s="33"/>
      <c r="D106" s="33"/>
      <c r="E106" s="2"/>
      <c r="F106" s="33" t="str">
        <f>A106</f>
        <v>Oval DEO - Barrel</v>
      </c>
      <c r="G106" s="33"/>
      <c r="H106" s="33"/>
      <c r="I106" s="33"/>
    </row>
    <row r="107" spans="1:12" s="1" customFormat="1" ht="30" customHeight="1" x14ac:dyDescent="0.25">
      <c r="A107" s="11" t="s">
        <v>0</v>
      </c>
      <c r="B107" s="10"/>
      <c r="C107" s="11" t="s">
        <v>1</v>
      </c>
      <c r="D107" s="10"/>
      <c r="E107" s="3"/>
      <c r="F107" s="11" t="s">
        <v>0</v>
      </c>
      <c r="G107" s="10"/>
      <c r="H107" s="11" t="s">
        <v>1</v>
      </c>
      <c r="I107" s="10"/>
    </row>
    <row r="108" spans="1:12" s="1" customFormat="1" ht="30" customHeight="1" x14ac:dyDescent="0.25">
      <c r="A108" s="11" t="s">
        <v>2</v>
      </c>
      <c r="B108" s="10"/>
      <c r="C108" s="11" t="s">
        <v>5</v>
      </c>
      <c r="D108" s="7" t="s">
        <v>25</v>
      </c>
      <c r="E108" s="4"/>
      <c r="F108" s="11" t="s">
        <v>2</v>
      </c>
      <c r="G108" s="10"/>
      <c r="H108" s="11" t="s">
        <v>5</v>
      </c>
      <c r="I108" s="7" t="str">
        <f>D108</f>
        <v>17B</v>
      </c>
    </row>
    <row r="109" spans="1:12" s="1" customFormat="1" ht="53.25" customHeight="1" x14ac:dyDescent="0.25">
      <c r="A109" s="8" t="s">
        <v>3</v>
      </c>
      <c r="B109" s="9">
        <v>16</v>
      </c>
      <c r="C109" s="11" t="s">
        <v>6</v>
      </c>
      <c r="D109" s="17" t="s">
        <v>26</v>
      </c>
      <c r="E109" s="4"/>
      <c r="F109" s="8" t="s">
        <v>3</v>
      </c>
      <c r="G109" s="9">
        <v>39</v>
      </c>
      <c r="H109" s="11" t="s">
        <v>6</v>
      </c>
      <c r="I109" s="17" t="str">
        <f>D109</f>
        <v>DEO-B01</v>
      </c>
      <c r="K109" s="6" t="s">
        <v>8</v>
      </c>
      <c r="L109" s="6" t="s">
        <v>7</v>
      </c>
    </row>
    <row r="110" spans="1:12" s="1" customFormat="1" ht="30" customHeight="1" x14ac:dyDescent="0.25">
      <c r="A110" s="34" t="s">
        <v>78</v>
      </c>
      <c r="B110" s="35"/>
      <c r="C110" s="35"/>
      <c r="D110" s="36"/>
      <c r="E110" s="5"/>
      <c r="F110" s="34" t="s">
        <v>78</v>
      </c>
      <c r="G110" s="35"/>
      <c r="H110" s="35"/>
      <c r="I110" s="36"/>
      <c r="K110" s="1">
        <v>200</v>
      </c>
      <c r="L110" s="1">
        <v>20</v>
      </c>
    </row>
    <row r="111" spans="1:12" s="1" customFormat="1" ht="30" customHeight="1" x14ac:dyDescent="0.25">
      <c r="A111" s="39" t="s">
        <v>77</v>
      </c>
      <c r="B111" s="40"/>
      <c r="C111" s="41" t="s">
        <v>10</v>
      </c>
      <c r="D111" s="42"/>
      <c r="E111" s="4"/>
      <c r="F111" s="39" t="str">
        <f>A111</f>
        <v>P814</v>
      </c>
      <c r="G111" s="40"/>
      <c r="H111" s="41" t="str">
        <f>C111</f>
        <v>White</v>
      </c>
      <c r="I111" s="42"/>
    </row>
    <row r="112" spans="1:12" s="1" customFormat="1" ht="30" customHeight="1" x14ac:dyDescent="0.25">
      <c r="A112" s="12" t="s">
        <v>4</v>
      </c>
      <c r="B112" s="37" t="s">
        <v>98</v>
      </c>
      <c r="C112" s="37"/>
      <c r="D112" s="38"/>
      <c r="E112" s="4"/>
      <c r="F112" s="12" t="s">
        <v>4</v>
      </c>
      <c r="G112" s="37" t="str">
        <f>B112</f>
        <v>26684-1</v>
      </c>
      <c r="H112" s="37"/>
      <c r="I112" s="38"/>
    </row>
    <row r="113" spans="1:12" ht="63.75" customHeight="1" x14ac:dyDescent="0.25">
      <c r="A113" s="33" t="s">
        <v>35</v>
      </c>
      <c r="B113" s="33"/>
      <c r="C113" s="33"/>
      <c r="D113" s="33"/>
      <c r="E113" s="2"/>
      <c r="F113" s="33" t="str">
        <f>A113</f>
        <v>Oval DEO - Barrel</v>
      </c>
      <c r="G113" s="33"/>
      <c r="H113" s="33"/>
      <c r="I113" s="33"/>
    </row>
    <row r="114" spans="1:12" s="1" customFormat="1" ht="30" customHeight="1" x14ac:dyDescent="0.25">
      <c r="A114" s="11" t="s">
        <v>0</v>
      </c>
      <c r="B114" s="10"/>
      <c r="C114" s="11" t="s">
        <v>1</v>
      </c>
      <c r="D114" s="10"/>
      <c r="E114" s="3"/>
      <c r="F114" s="11" t="s">
        <v>0</v>
      </c>
      <c r="G114" s="10"/>
      <c r="H114" s="11" t="s">
        <v>1</v>
      </c>
      <c r="I114" s="10"/>
    </row>
    <row r="115" spans="1:12" s="1" customFormat="1" ht="30" customHeight="1" x14ac:dyDescent="0.25">
      <c r="A115" s="11" t="s">
        <v>2</v>
      </c>
      <c r="B115" s="10"/>
      <c r="C115" s="11" t="s">
        <v>5</v>
      </c>
      <c r="D115" s="7" t="s">
        <v>25</v>
      </c>
      <c r="E115" s="4"/>
      <c r="F115" s="11" t="s">
        <v>2</v>
      </c>
      <c r="G115" s="10"/>
      <c r="H115" s="11" t="s">
        <v>5</v>
      </c>
      <c r="I115" s="7" t="str">
        <f>D115</f>
        <v>17B</v>
      </c>
    </row>
    <row r="116" spans="1:12" s="1" customFormat="1" ht="53.25" customHeight="1" x14ac:dyDescent="0.25">
      <c r="A116" s="8" t="s">
        <v>3</v>
      </c>
      <c r="B116" s="9">
        <v>17</v>
      </c>
      <c r="C116" s="11" t="s">
        <v>6</v>
      </c>
      <c r="D116" s="17" t="s">
        <v>26</v>
      </c>
      <c r="E116" s="4"/>
      <c r="F116" s="8" t="s">
        <v>3</v>
      </c>
      <c r="G116" s="9">
        <v>40</v>
      </c>
      <c r="H116" s="11" t="s">
        <v>6</v>
      </c>
      <c r="I116" s="17" t="str">
        <f>D116</f>
        <v>DEO-B01</v>
      </c>
      <c r="K116" s="6" t="s">
        <v>8</v>
      </c>
      <c r="L116" s="6" t="s">
        <v>7</v>
      </c>
    </row>
    <row r="117" spans="1:12" s="1" customFormat="1" ht="30" customHeight="1" x14ac:dyDescent="0.25">
      <c r="A117" s="34" t="s">
        <v>78</v>
      </c>
      <c r="B117" s="35"/>
      <c r="C117" s="35"/>
      <c r="D117" s="36"/>
      <c r="E117" s="5"/>
      <c r="F117" s="34" t="s">
        <v>78</v>
      </c>
      <c r="G117" s="35"/>
      <c r="H117" s="35"/>
      <c r="I117" s="36"/>
      <c r="K117" s="1">
        <v>200</v>
      </c>
      <c r="L117" s="1">
        <v>20</v>
      </c>
    </row>
    <row r="118" spans="1:12" s="1" customFormat="1" ht="30" customHeight="1" x14ac:dyDescent="0.25">
      <c r="A118" s="39" t="s">
        <v>77</v>
      </c>
      <c r="B118" s="40"/>
      <c r="C118" s="41" t="s">
        <v>10</v>
      </c>
      <c r="D118" s="42"/>
      <c r="E118" s="4"/>
      <c r="F118" s="39" t="str">
        <f>A118</f>
        <v>P814</v>
      </c>
      <c r="G118" s="40"/>
      <c r="H118" s="41" t="str">
        <f>C118</f>
        <v>White</v>
      </c>
      <c r="I118" s="42"/>
    </row>
    <row r="119" spans="1:12" s="1" customFormat="1" ht="30" customHeight="1" x14ac:dyDescent="0.25">
      <c r="A119" s="12" t="s">
        <v>4</v>
      </c>
      <c r="B119" s="37" t="s">
        <v>98</v>
      </c>
      <c r="C119" s="37"/>
      <c r="D119" s="38"/>
      <c r="E119" s="4"/>
      <c r="F119" s="12" t="s">
        <v>4</v>
      </c>
      <c r="G119" s="37" t="str">
        <f>B119</f>
        <v>26684-1</v>
      </c>
      <c r="H119" s="37"/>
      <c r="I119" s="38"/>
    </row>
    <row r="120" spans="1:12" ht="63.75" customHeight="1" x14ac:dyDescent="0.25">
      <c r="A120" s="33" t="s">
        <v>35</v>
      </c>
      <c r="B120" s="33"/>
      <c r="C120" s="33"/>
      <c r="D120" s="33"/>
      <c r="E120" s="2"/>
      <c r="F120" s="33" t="str">
        <f>A120</f>
        <v>Oval DEO - Barrel</v>
      </c>
      <c r="G120" s="33"/>
      <c r="H120" s="33"/>
      <c r="I120" s="33"/>
    </row>
    <row r="121" spans="1:12" s="1" customFormat="1" ht="30" customHeight="1" x14ac:dyDescent="0.25">
      <c r="A121" s="11" t="s">
        <v>0</v>
      </c>
      <c r="B121" s="10"/>
      <c r="C121" s="11" t="s">
        <v>1</v>
      </c>
      <c r="D121" s="10"/>
      <c r="E121" s="3"/>
      <c r="F121" s="11" t="s">
        <v>0</v>
      </c>
      <c r="G121" s="10"/>
      <c r="H121" s="11" t="s">
        <v>1</v>
      </c>
      <c r="I121" s="10"/>
    </row>
    <row r="122" spans="1:12" s="1" customFormat="1" ht="30" customHeight="1" x14ac:dyDescent="0.25">
      <c r="A122" s="11" t="s">
        <v>2</v>
      </c>
      <c r="B122" s="10"/>
      <c r="C122" s="11" t="s">
        <v>5</v>
      </c>
      <c r="D122" s="7" t="s">
        <v>25</v>
      </c>
      <c r="E122" s="4"/>
      <c r="F122" s="11" t="s">
        <v>2</v>
      </c>
      <c r="G122" s="10"/>
      <c r="H122" s="11" t="s">
        <v>5</v>
      </c>
      <c r="I122" s="7" t="str">
        <f>D122</f>
        <v>17B</v>
      </c>
    </row>
    <row r="123" spans="1:12" s="1" customFormat="1" ht="53.25" customHeight="1" x14ac:dyDescent="0.25">
      <c r="A123" s="8" t="s">
        <v>3</v>
      </c>
      <c r="B123" s="9">
        <v>18</v>
      </c>
      <c r="C123" s="11" t="s">
        <v>6</v>
      </c>
      <c r="D123" s="17" t="s">
        <v>26</v>
      </c>
      <c r="E123" s="4"/>
      <c r="F123" s="8" t="s">
        <v>3</v>
      </c>
      <c r="G123" s="9">
        <v>41</v>
      </c>
      <c r="H123" s="11" t="s">
        <v>6</v>
      </c>
      <c r="I123" s="17" t="str">
        <f>D123</f>
        <v>DEO-B01</v>
      </c>
      <c r="K123" s="6" t="s">
        <v>8</v>
      </c>
      <c r="L123" s="6" t="s">
        <v>7</v>
      </c>
    </row>
    <row r="124" spans="1:12" s="1" customFormat="1" ht="30" customHeight="1" x14ac:dyDescent="0.25">
      <c r="A124" s="34" t="s">
        <v>78</v>
      </c>
      <c r="B124" s="35"/>
      <c r="C124" s="35"/>
      <c r="D124" s="36"/>
      <c r="E124" s="5"/>
      <c r="F124" s="34" t="s">
        <v>78</v>
      </c>
      <c r="G124" s="35"/>
      <c r="H124" s="35"/>
      <c r="I124" s="36"/>
      <c r="K124" s="1">
        <v>200</v>
      </c>
      <c r="L124" s="1">
        <v>20</v>
      </c>
    </row>
    <row r="125" spans="1:12" s="1" customFormat="1" ht="30" customHeight="1" x14ac:dyDescent="0.25">
      <c r="A125" s="39" t="s">
        <v>77</v>
      </c>
      <c r="B125" s="40"/>
      <c r="C125" s="41" t="s">
        <v>10</v>
      </c>
      <c r="D125" s="42"/>
      <c r="E125" s="4"/>
      <c r="F125" s="39" t="str">
        <f>A125</f>
        <v>P814</v>
      </c>
      <c r="G125" s="40"/>
      <c r="H125" s="41" t="str">
        <f>C125</f>
        <v>White</v>
      </c>
      <c r="I125" s="42"/>
    </row>
    <row r="126" spans="1:12" s="1" customFormat="1" ht="30" customHeight="1" x14ac:dyDescent="0.25">
      <c r="A126" s="12" t="s">
        <v>4</v>
      </c>
      <c r="B126" s="37" t="s">
        <v>98</v>
      </c>
      <c r="C126" s="37"/>
      <c r="D126" s="38"/>
      <c r="E126" s="4"/>
      <c r="F126" s="12" t="s">
        <v>4</v>
      </c>
      <c r="G126" s="37" t="str">
        <f>B126</f>
        <v>26684-1</v>
      </c>
      <c r="H126" s="37"/>
      <c r="I126" s="38"/>
    </row>
    <row r="127" spans="1:12" ht="63.75" customHeight="1" x14ac:dyDescent="0.25">
      <c r="A127" s="33" t="s">
        <v>35</v>
      </c>
      <c r="B127" s="33"/>
      <c r="C127" s="33"/>
      <c r="D127" s="33"/>
      <c r="E127" s="2"/>
      <c r="F127" s="33" t="str">
        <f>A127</f>
        <v>Oval DEO - Barrel</v>
      </c>
      <c r="G127" s="33"/>
      <c r="H127" s="33"/>
      <c r="I127" s="33"/>
    </row>
    <row r="128" spans="1:12" s="1" customFormat="1" ht="30" customHeight="1" x14ac:dyDescent="0.25">
      <c r="A128" s="11" t="s">
        <v>0</v>
      </c>
      <c r="B128" s="10"/>
      <c r="C128" s="11" t="s">
        <v>1</v>
      </c>
      <c r="D128" s="10"/>
      <c r="E128" s="3"/>
      <c r="F128" s="11" t="s">
        <v>0</v>
      </c>
      <c r="G128" s="10"/>
      <c r="H128" s="11" t="s">
        <v>1</v>
      </c>
      <c r="I128" s="10"/>
    </row>
    <row r="129" spans="1:12" s="1" customFormat="1" ht="30" customHeight="1" x14ac:dyDescent="0.25">
      <c r="A129" s="11" t="s">
        <v>2</v>
      </c>
      <c r="B129" s="10"/>
      <c r="C129" s="11" t="s">
        <v>5</v>
      </c>
      <c r="D129" s="7" t="s">
        <v>25</v>
      </c>
      <c r="E129" s="4"/>
      <c r="F129" s="11" t="s">
        <v>2</v>
      </c>
      <c r="G129" s="10"/>
      <c r="H129" s="11" t="s">
        <v>5</v>
      </c>
      <c r="I129" s="7" t="str">
        <f>D129</f>
        <v>17B</v>
      </c>
    </row>
    <row r="130" spans="1:12" s="1" customFormat="1" ht="53.25" customHeight="1" x14ac:dyDescent="0.25">
      <c r="A130" s="8" t="s">
        <v>3</v>
      </c>
      <c r="B130" s="9">
        <v>19</v>
      </c>
      <c r="C130" s="11" t="s">
        <v>6</v>
      </c>
      <c r="D130" s="17" t="s">
        <v>26</v>
      </c>
      <c r="E130" s="4"/>
      <c r="F130" s="8" t="s">
        <v>3</v>
      </c>
      <c r="G130" s="9">
        <v>42</v>
      </c>
      <c r="H130" s="11" t="s">
        <v>6</v>
      </c>
      <c r="I130" s="17" t="str">
        <f>D130</f>
        <v>DEO-B01</v>
      </c>
      <c r="K130" s="6" t="s">
        <v>8</v>
      </c>
      <c r="L130" s="6" t="s">
        <v>7</v>
      </c>
    </row>
    <row r="131" spans="1:12" s="1" customFormat="1" ht="30" customHeight="1" x14ac:dyDescent="0.25">
      <c r="A131" s="34" t="s">
        <v>78</v>
      </c>
      <c r="B131" s="35"/>
      <c r="C131" s="35"/>
      <c r="D131" s="36"/>
      <c r="E131" s="5"/>
      <c r="F131" s="34" t="s">
        <v>78</v>
      </c>
      <c r="G131" s="35"/>
      <c r="H131" s="35"/>
      <c r="I131" s="36"/>
      <c r="K131" s="1">
        <v>200</v>
      </c>
      <c r="L131" s="1">
        <v>20</v>
      </c>
    </row>
    <row r="132" spans="1:12" s="1" customFormat="1" ht="30" customHeight="1" x14ac:dyDescent="0.25">
      <c r="A132" s="39" t="s">
        <v>77</v>
      </c>
      <c r="B132" s="40"/>
      <c r="C132" s="41" t="s">
        <v>10</v>
      </c>
      <c r="D132" s="42"/>
      <c r="E132" s="4"/>
      <c r="F132" s="39" t="str">
        <f>A132</f>
        <v>P814</v>
      </c>
      <c r="G132" s="40"/>
      <c r="H132" s="41" t="str">
        <f>C132</f>
        <v>White</v>
      </c>
      <c r="I132" s="42"/>
    </row>
    <row r="133" spans="1:12" s="1" customFormat="1" ht="30" customHeight="1" x14ac:dyDescent="0.25">
      <c r="A133" s="12" t="s">
        <v>4</v>
      </c>
      <c r="B133" s="37" t="s">
        <v>98</v>
      </c>
      <c r="C133" s="37"/>
      <c r="D133" s="38"/>
      <c r="E133" s="4"/>
      <c r="F133" s="12" t="s">
        <v>4</v>
      </c>
      <c r="G133" s="37" t="str">
        <f>B133</f>
        <v>26684-1</v>
      </c>
      <c r="H133" s="37"/>
      <c r="I133" s="38"/>
    </row>
    <row r="134" spans="1:12" ht="63.75" customHeight="1" x14ac:dyDescent="0.25">
      <c r="A134" s="33" t="s">
        <v>35</v>
      </c>
      <c r="B134" s="33"/>
      <c r="C134" s="33"/>
      <c r="D134" s="33"/>
      <c r="E134" s="2"/>
      <c r="F134" s="33" t="str">
        <f>A134</f>
        <v>Oval DEO - Barrel</v>
      </c>
      <c r="G134" s="33"/>
      <c r="H134" s="33"/>
      <c r="I134" s="33"/>
    </row>
    <row r="135" spans="1:12" s="1" customFormat="1" ht="30" customHeight="1" x14ac:dyDescent="0.25">
      <c r="A135" s="11" t="s">
        <v>0</v>
      </c>
      <c r="B135" s="10"/>
      <c r="C135" s="11" t="s">
        <v>1</v>
      </c>
      <c r="D135" s="10"/>
      <c r="E135" s="3"/>
      <c r="F135" s="11" t="s">
        <v>0</v>
      </c>
      <c r="G135" s="10"/>
      <c r="H135" s="11" t="s">
        <v>1</v>
      </c>
      <c r="I135" s="10"/>
    </row>
    <row r="136" spans="1:12" s="1" customFormat="1" ht="30" customHeight="1" x14ac:dyDescent="0.25">
      <c r="A136" s="11" t="s">
        <v>2</v>
      </c>
      <c r="B136" s="10"/>
      <c r="C136" s="11" t="s">
        <v>5</v>
      </c>
      <c r="D136" s="7" t="s">
        <v>25</v>
      </c>
      <c r="E136" s="4"/>
      <c r="F136" s="11" t="s">
        <v>2</v>
      </c>
      <c r="G136" s="10"/>
      <c r="H136" s="11" t="s">
        <v>5</v>
      </c>
      <c r="I136" s="7" t="str">
        <f>D136</f>
        <v>17B</v>
      </c>
    </row>
    <row r="137" spans="1:12" s="1" customFormat="1" ht="53.25" customHeight="1" x14ac:dyDescent="0.25">
      <c r="A137" s="8" t="s">
        <v>3</v>
      </c>
      <c r="B137" s="9">
        <v>20</v>
      </c>
      <c r="C137" s="11" t="s">
        <v>6</v>
      </c>
      <c r="D137" s="17" t="s">
        <v>26</v>
      </c>
      <c r="E137" s="4"/>
      <c r="F137" s="8" t="s">
        <v>3</v>
      </c>
      <c r="G137" s="9">
        <v>43</v>
      </c>
      <c r="H137" s="11" t="s">
        <v>6</v>
      </c>
      <c r="I137" s="17" t="str">
        <f>D137</f>
        <v>DEO-B01</v>
      </c>
      <c r="K137" s="6" t="s">
        <v>8</v>
      </c>
      <c r="L137" s="6" t="s">
        <v>7</v>
      </c>
    </row>
    <row r="138" spans="1:12" s="1" customFormat="1" ht="30" customHeight="1" x14ac:dyDescent="0.25">
      <c r="A138" s="34" t="s">
        <v>78</v>
      </c>
      <c r="B138" s="35"/>
      <c r="C138" s="35"/>
      <c r="D138" s="36"/>
      <c r="E138" s="5"/>
      <c r="F138" s="34" t="s">
        <v>78</v>
      </c>
      <c r="G138" s="35"/>
      <c r="H138" s="35"/>
      <c r="I138" s="36"/>
      <c r="K138" s="1">
        <v>200</v>
      </c>
      <c r="L138" s="1">
        <v>20</v>
      </c>
    </row>
    <row r="139" spans="1:12" s="1" customFormat="1" ht="30" customHeight="1" x14ac:dyDescent="0.25">
      <c r="A139" s="39" t="s">
        <v>77</v>
      </c>
      <c r="B139" s="40"/>
      <c r="C139" s="41" t="s">
        <v>10</v>
      </c>
      <c r="D139" s="42"/>
      <c r="E139" s="4"/>
      <c r="F139" s="39" t="str">
        <f>A139</f>
        <v>P814</v>
      </c>
      <c r="G139" s="40"/>
      <c r="H139" s="41" t="str">
        <f>C139</f>
        <v>White</v>
      </c>
      <c r="I139" s="42"/>
    </row>
    <row r="140" spans="1:12" s="1" customFormat="1" ht="30" customHeight="1" x14ac:dyDescent="0.25">
      <c r="A140" s="12" t="s">
        <v>4</v>
      </c>
      <c r="B140" s="37" t="s">
        <v>98</v>
      </c>
      <c r="C140" s="37"/>
      <c r="D140" s="38"/>
      <c r="E140" s="4"/>
      <c r="F140" s="12" t="s">
        <v>4</v>
      </c>
      <c r="G140" s="37" t="str">
        <f>B140</f>
        <v>26684-1</v>
      </c>
      <c r="H140" s="37"/>
      <c r="I140" s="38"/>
    </row>
    <row r="141" spans="1:12" ht="63.75" customHeight="1" x14ac:dyDescent="0.25">
      <c r="A141" s="33" t="s">
        <v>35</v>
      </c>
      <c r="B141" s="33"/>
      <c r="C141" s="33"/>
      <c r="D141" s="33"/>
      <c r="E141" s="2"/>
      <c r="F141" s="33" t="str">
        <f>A141</f>
        <v>Oval DEO - Barrel</v>
      </c>
      <c r="G141" s="33"/>
      <c r="H141" s="33"/>
      <c r="I141" s="33"/>
    </row>
    <row r="142" spans="1:12" s="1" customFormat="1" ht="30" customHeight="1" x14ac:dyDescent="0.25">
      <c r="A142" s="11" t="s">
        <v>0</v>
      </c>
      <c r="B142" s="10"/>
      <c r="C142" s="11" t="s">
        <v>1</v>
      </c>
      <c r="D142" s="10"/>
      <c r="E142" s="3"/>
      <c r="F142" s="11" t="s">
        <v>0</v>
      </c>
      <c r="G142" s="10"/>
      <c r="H142" s="11" t="s">
        <v>1</v>
      </c>
      <c r="I142" s="10"/>
    </row>
    <row r="143" spans="1:12" s="1" customFormat="1" ht="30" customHeight="1" x14ac:dyDescent="0.25">
      <c r="A143" s="11" t="s">
        <v>2</v>
      </c>
      <c r="B143" s="10"/>
      <c r="C143" s="11" t="s">
        <v>5</v>
      </c>
      <c r="D143" s="7" t="s">
        <v>25</v>
      </c>
      <c r="E143" s="4"/>
      <c r="F143" s="11" t="s">
        <v>2</v>
      </c>
      <c r="G143" s="10"/>
      <c r="H143" s="11" t="s">
        <v>5</v>
      </c>
      <c r="I143" s="7" t="str">
        <f>D143</f>
        <v>17B</v>
      </c>
    </row>
    <row r="144" spans="1:12" s="1" customFormat="1" ht="53.25" customHeight="1" x14ac:dyDescent="0.25">
      <c r="A144" s="8" t="s">
        <v>3</v>
      </c>
      <c r="B144" s="9">
        <v>21</v>
      </c>
      <c r="C144" s="11" t="s">
        <v>6</v>
      </c>
      <c r="D144" s="17" t="s">
        <v>26</v>
      </c>
      <c r="E144" s="4"/>
      <c r="F144" s="8" t="s">
        <v>3</v>
      </c>
      <c r="G144" s="9">
        <v>44</v>
      </c>
      <c r="H144" s="11" t="s">
        <v>6</v>
      </c>
      <c r="I144" s="17" t="str">
        <f>D144</f>
        <v>DEO-B01</v>
      </c>
      <c r="K144" s="6" t="s">
        <v>8</v>
      </c>
      <c r="L144" s="6" t="s">
        <v>7</v>
      </c>
    </row>
    <row r="145" spans="1:12" s="1" customFormat="1" ht="30" customHeight="1" x14ac:dyDescent="0.25">
      <c r="A145" s="34" t="s">
        <v>78</v>
      </c>
      <c r="B145" s="35"/>
      <c r="C145" s="35"/>
      <c r="D145" s="36"/>
      <c r="E145" s="5"/>
      <c r="F145" s="34" t="s">
        <v>78</v>
      </c>
      <c r="G145" s="35"/>
      <c r="H145" s="35"/>
      <c r="I145" s="36"/>
      <c r="K145" s="1">
        <v>200</v>
      </c>
      <c r="L145" s="1">
        <v>20</v>
      </c>
    </row>
    <row r="146" spans="1:12" s="1" customFormat="1" ht="30" customHeight="1" x14ac:dyDescent="0.25">
      <c r="A146" s="39" t="s">
        <v>77</v>
      </c>
      <c r="B146" s="40"/>
      <c r="C146" s="41" t="s">
        <v>10</v>
      </c>
      <c r="D146" s="42"/>
      <c r="E146" s="4"/>
      <c r="F146" s="39" t="str">
        <f>A146</f>
        <v>P814</v>
      </c>
      <c r="G146" s="40"/>
      <c r="H146" s="41" t="str">
        <f>C146</f>
        <v>White</v>
      </c>
      <c r="I146" s="42"/>
    </row>
    <row r="147" spans="1:12" s="1" customFormat="1" ht="30" customHeight="1" x14ac:dyDescent="0.25">
      <c r="A147" s="12" t="s">
        <v>4</v>
      </c>
      <c r="B147" s="37" t="s">
        <v>98</v>
      </c>
      <c r="C147" s="37"/>
      <c r="D147" s="38"/>
      <c r="E147" s="4"/>
      <c r="F147" s="12" t="s">
        <v>4</v>
      </c>
      <c r="G147" s="37" t="str">
        <f>B147</f>
        <v>26684-1</v>
      </c>
      <c r="H147" s="37"/>
      <c r="I147" s="38"/>
    </row>
    <row r="148" spans="1:12" ht="63.75" customHeight="1" x14ac:dyDescent="0.25">
      <c r="A148" s="33" t="s">
        <v>35</v>
      </c>
      <c r="B148" s="33"/>
      <c r="C148" s="33"/>
      <c r="D148" s="33"/>
      <c r="E148" s="2"/>
      <c r="F148" s="33" t="str">
        <f>A148</f>
        <v>Oval DEO - Barrel</v>
      </c>
      <c r="G148" s="33"/>
      <c r="H148" s="33"/>
      <c r="I148" s="33"/>
    </row>
    <row r="149" spans="1:12" s="1" customFormat="1" ht="30" customHeight="1" x14ac:dyDescent="0.25">
      <c r="A149" s="11" t="s">
        <v>0</v>
      </c>
      <c r="B149" s="10"/>
      <c r="C149" s="11" t="s">
        <v>1</v>
      </c>
      <c r="D149" s="10"/>
      <c r="E149" s="3"/>
      <c r="F149" s="11" t="s">
        <v>0</v>
      </c>
      <c r="G149" s="10"/>
      <c r="H149" s="11" t="s">
        <v>1</v>
      </c>
      <c r="I149" s="10"/>
    </row>
    <row r="150" spans="1:12" s="1" customFormat="1" ht="30" customHeight="1" x14ac:dyDescent="0.25">
      <c r="A150" s="11" t="s">
        <v>2</v>
      </c>
      <c r="B150" s="10"/>
      <c r="C150" s="11" t="s">
        <v>5</v>
      </c>
      <c r="D150" s="7" t="s">
        <v>25</v>
      </c>
      <c r="E150" s="4"/>
      <c r="F150" s="11" t="s">
        <v>2</v>
      </c>
      <c r="G150" s="10"/>
      <c r="H150" s="11" t="s">
        <v>5</v>
      </c>
      <c r="I150" s="7" t="str">
        <f>D150</f>
        <v>17B</v>
      </c>
    </row>
    <row r="151" spans="1:12" s="1" customFormat="1" ht="53.25" customHeight="1" x14ac:dyDescent="0.25">
      <c r="A151" s="8" t="s">
        <v>3</v>
      </c>
      <c r="B151" s="9">
        <v>22</v>
      </c>
      <c r="C151" s="11" t="s">
        <v>6</v>
      </c>
      <c r="D151" s="17" t="s">
        <v>26</v>
      </c>
      <c r="E151" s="4"/>
      <c r="F151" s="8" t="s">
        <v>3</v>
      </c>
      <c r="G151" s="9">
        <v>45</v>
      </c>
      <c r="H151" s="11" t="s">
        <v>6</v>
      </c>
      <c r="I151" s="17" t="str">
        <f>D151</f>
        <v>DEO-B01</v>
      </c>
      <c r="K151" s="6" t="s">
        <v>8</v>
      </c>
      <c r="L151" s="6" t="s">
        <v>7</v>
      </c>
    </row>
    <row r="152" spans="1:12" s="1" customFormat="1" ht="30" customHeight="1" x14ac:dyDescent="0.25">
      <c r="A152" s="34" t="s">
        <v>78</v>
      </c>
      <c r="B152" s="35"/>
      <c r="C152" s="35"/>
      <c r="D152" s="36"/>
      <c r="E152" s="5"/>
      <c r="F152" s="34" t="s">
        <v>78</v>
      </c>
      <c r="G152" s="35"/>
      <c r="H152" s="35"/>
      <c r="I152" s="36"/>
      <c r="K152" s="1">
        <v>200</v>
      </c>
      <c r="L152" s="1">
        <v>20</v>
      </c>
    </row>
    <row r="153" spans="1:12" s="1" customFormat="1" ht="30" customHeight="1" x14ac:dyDescent="0.25">
      <c r="A153" s="39" t="s">
        <v>77</v>
      </c>
      <c r="B153" s="40"/>
      <c r="C153" s="41" t="s">
        <v>10</v>
      </c>
      <c r="D153" s="42"/>
      <c r="E153" s="4"/>
      <c r="F153" s="39" t="str">
        <f>A153</f>
        <v>P814</v>
      </c>
      <c r="G153" s="40"/>
      <c r="H153" s="41" t="str">
        <f>C153</f>
        <v>White</v>
      </c>
      <c r="I153" s="42"/>
    </row>
    <row r="154" spans="1:12" s="1" customFormat="1" ht="30" customHeight="1" x14ac:dyDescent="0.25">
      <c r="A154" s="12" t="s">
        <v>4</v>
      </c>
      <c r="B154" s="37" t="s">
        <v>98</v>
      </c>
      <c r="C154" s="37"/>
      <c r="D154" s="38"/>
      <c r="E154" s="4"/>
      <c r="F154" s="12" t="s">
        <v>4</v>
      </c>
      <c r="G154" s="37" t="str">
        <f>B154</f>
        <v>26684-1</v>
      </c>
      <c r="H154" s="37"/>
      <c r="I154" s="38"/>
    </row>
    <row r="155" spans="1:12" ht="63.75" customHeight="1" x14ac:dyDescent="0.25">
      <c r="A155" s="33" t="s">
        <v>35</v>
      </c>
      <c r="B155" s="33"/>
      <c r="C155" s="33"/>
      <c r="D155" s="33"/>
      <c r="E155" s="2"/>
      <c r="F155" s="33" t="str">
        <f>A155</f>
        <v>Oval DEO - Barrel</v>
      </c>
      <c r="G155" s="33"/>
      <c r="H155" s="33"/>
      <c r="I155" s="33"/>
    </row>
    <row r="156" spans="1:12" s="1" customFormat="1" ht="30" customHeight="1" x14ac:dyDescent="0.25">
      <c r="A156" s="11" t="s">
        <v>0</v>
      </c>
      <c r="B156" s="10"/>
      <c r="C156" s="11" t="s">
        <v>1</v>
      </c>
      <c r="D156" s="10"/>
      <c r="E156" s="3"/>
      <c r="F156" s="11" t="s">
        <v>0</v>
      </c>
      <c r="G156" s="10"/>
      <c r="H156" s="11" t="s">
        <v>1</v>
      </c>
      <c r="I156" s="10"/>
    </row>
    <row r="157" spans="1:12" s="1" customFormat="1" ht="30" customHeight="1" x14ac:dyDescent="0.25">
      <c r="A157" s="11" t="s">
        <v>2</v>
      </c>
      <c r="B157" s="10"/>
      <c r="C157" s="11" t="s">
        <v>5</v>
      </c>
      <c r="D157" s="7" t="s">
        <v>25</v>
      </c>
      <c r="E157" s="4"/>
      <c r="F157" s="11" t="s">
        <v>2</v>
      </c>
      <c r="G157" s="10"/>
      <c r="H157" s="11" t="s">
        <v>5</v>
      </c>
      <c r="I157" s="7" t="str">
        <f>D157</f>
        <v>17B</v>
      </c>
    </row>
    <row r="158" spans="1:12" s="1" customFormat="1" ht="53.25" customHeight="1" x14ac:dyDescent="0.25">
      <c r="A158" s="8" t="s">
        <v>3</v>
      </c>
      <c r="B158" s="9">
        <v>23</v>
      </c>
      <c r="C158" s="11" t="s">
        <v>6</v>
      </c>
      <c r="D158" s="17" t="s">
        <v>26</v>
      </c>
      <c r="E158" s="4"/>
      <c r="F158" s="8" t="s">
        <v>3</v>
      </c>
      <c r="G158" s="9">
        <v>46</v>
      </c>
      <c r="H158" s="11" t="s">
        <v>6</v>
      </c>
      <c r="I158" s="17" t="str">
        <f>D158</f>
        <v>DEO-B01</v>
      </c>
      <c r="K158" s="6" t="s">
        <v>8</v>
      </c>
      <c r="L158" s="6" t="s">
        <v>7</v>
      </c>
    </row>
    <row r="159" spans="1:12" s="1" customFormat="1" ht="30" customHeight="1" x14ac:dyDescent="0.25">
      <c r="A159" s="34" t="s">
        <v>78</v>
      </c>
      <c r="B159" s="35"/>
      <c r="C159" s="35"/>
      <c r="D159" s="36"/>
      <c r="E159" s="5"/>
      <c r="F159" s="34" t="s">
        <v>100</v>
      </c>
      <c r="G159" s="35"/>
      <c r="H159" s="35"/>
      <c r="I159" s="36"/>
      <c r="K159" s="1">
        <v>200</v>
      </c>
      <c r="L159" s="1">
        <v>20</v>
      </c>
    </row>
    <row r="160" spans="1:12" s="1" customFormat="1" ht="30" customHeight="1" x14ac:dyDescent="0.25">
      <c r="A160" s="39" t="s">
        <v>77</v>
      </c>
      <c r="B160" s="40"/>
      <c r="C160" s="41" t="s">
        <v>10</v>
      </c>
      <c r="D160" s="42"/>
      <c r="E160" s="4"/>
      <c r="F160" s="39" t="str">
        <f>A160</f>
        <v>P814</v>
      </c>
      <c r="G160" s="40"/>
      <c r="H160" s="41" t="str">
        <f>C160</f>
        <v>White</v>
      </c>
      <c r="I160" s="42"/>
    </row>
    <row r="161" spans="1:9" s="1" customFormat="1" ht="30" customHeight="1" x14ac:dyDescent="0.25">
      <c r="A161" s="12" t="s">
        <v>4</v>
      </c>
      <c r="B161" s="37" t="s">
        <v>98</v>
      </c>
      <c r="C161" s="37"/>
      <c r="D161" s="38"/>
      <c r="E161" s="4"/>
      <c r="F161" s="12" t="s">
        <v>4</v>
      </c>
      <c r="G161" s="37" t="str">
        <f>B161</f>
        <v>26684-1</v>
      </c>
      <c r="H161" s="37"/>
      <c r="I161" s="38"/>
    </row>
  </sheetData>
  <mergeCells count="230">
    <mergeCell ref="A92:D92"/>
    <mergeCell ref="F92:I92"/>
    <mergeCell ref="A96:D96"/>
    <mergeCell ref="F96:I96"/>
    <mergeCell ref="A97:B97"/>
    <mergeCell ref="C97:D97"/>
    <mergeCell ref="F97:G97"/>
    <mergeCell ref="H97:I97"/>
    <mergeCell ref="B98:D98"/>
    <mergeCell ref="G98:I98"/>
    <mergeCell ref="A85:D85"/>
    <mergeCell ref="F85:I85"/>
    <mergeCell ref="A89:D89"/>
    <mergeCell ref="F89:I89"/>
    <mergeCell ref="A90:B90"/>
    <mergeCell ref="C90:D90"/>
    <mergeCell ref="F90:G90"/>
    <mergeCell ref="H90:I90"/>
    <mergeCell ref="B91:D91"/>
    <mergeCell ref="G91:I91"/>
    <mergeCell ref="B21:D21"/>
    <mergeCell ref="G21:I21"/>
    <mergeCell ref="A19:D19"/>
    <mergeCell ref="F19:I19"/>
    <mergeCell ref="A20:B20"/>
    <mergeCell ref="C20:D20"/>
    <mergeCell ref="F20:G20"/>
    <mergeCell ref="H20:I20"/>
    <mergeCell ref="A8:D8"/>
    <mergeCell ref="F8:I8"/>
    <mergeCell ref="B14:D14"/>
    <mergeCell ref="G14:I14"/>
    <mergeCell ref="A15:D15"/>
    <mergeCell ref="F15:I15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22:D22"/>
    <mergeCell ref="F22:I22"/>
    <mergeCell ref="A26:D26"/>
    <mergeCell ref="F26:I26"/>
    <mergeCell ref="A27:B27"/>
    <mergeCell ref="C27:D27"/>
    <mergeCell ref="F27:G27"/>
    <mergeCell ref="H27:I27"/>
    <mergeCell ref="A33:D33"/>
    <mergeCell ref="F33:I33"/>
    <mergeCell ref="B28:D28"/>
    <mergeCell ref="G28:I28"/>
    <mergeCell ref="A29:D29"/>
    <mergeCell ref="F29:I29"/>
    <mergeCell ref="A43:D43"/>
    <mergeCell ref="F43:I43"/>
    <mergeCell ref="A47:D47"/>
    <mergeCell ref="F47:I47"/>
    <mergeCell ref="A48:B48"/>
    <mergeCell ref="C48:D48"/>
    <mergeCell ref="F48:G48"/>
    <mergeCell ref="H48:I48"/>
    <mergeCell ref="A34:B34"/>
    <mergeCell ref="C34:D34"/>
    <mergeCell ref="F34:G34"/>
    <mergeCell ref="H34:I34"/>
    <mergeCell ref="B42:D42"/>
    <mergeCell ref="G42:I42"/>
    <mergeCell ref="B35:D35"/>
    <mergeCell ref="G35:I35"/>
    <mergeCell ref="A36:D36"/>
    <mergeCell ref="F36:I36"/>
    <mergeCell ref="A40:D40"/>
    <mergeCell ref="F40:I40"/>
    <mergeCell ref="A41:B41"/>
    <mergeCell ref="C41:D41"/>
    <mergeCell ref="F41:G41"/>
    <mergeCell ref="H41:I41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B105:D105"/>
    <mergeCell ref="G105:I105"/>
    <mergeCell ref="A106:D106"/>
    <mergeCell ref="F106:I106"/>
    <mergeCell ref="A110:D110"/>
    <mergeCell ref="F110:I110"/>
    <mergeCell ref="A111:B111"/>
    <mergeCell ref="C111:D111"/>
    <mergeCell ref="F111:G111"/>
    <mergeCell ref="H111:I111"/>
    <mergeCell ref="B112:D112"/>
    <mergeCell ref="G112:I112"/>
    <mergeCell ref="A113:D113"/>
    <mergeCell ref="F113:I113"/>
    <mergeCell ref="A117:D117"/>
    <mergeCell ref="F117:I117"/>
    <mergeCell ref="A118:B118"/>
    <mergeCell ref="C118:D118"/>
    <mergeCell ref="F118:G118"/>
    <mergeCell ref="H118:I118"/>
    <mergeCell ref="B119:D119"/>
    <mergeCell ref="G119:I119"/>
    <mergeCell ref="A120:D120"/>
    <mergeCell ref="F120:I120"/>
    <mergeCell ref="A124:D124"/>
    <mergeCell ref="F124:I124"/>
    <mergeCell ref="A125:B125"/>
    <mergeCell ref="C125:D125"/>
    <mergeCell ref="F125:G125"/>
    <mergeCell ref="H125:I125"/>
    <mergeCell ref="B126:D126"/>
    <mergeCell ref="G126:I126"/>
    <mergeCell ref="A127:D127"/>
    <mergeCell ref="F127:I127"/>
    <mergeCell ref="A131:D131"/>
    <mergeCell ref="F131:I131"/>
    <mergeCell ref="A132:B132"/>
    <mergeCell ref="C132:D132"/>
    <mergeCell ref="F132:G132"/>
    <mergeCell ref="H132:I132"/>
    <mergeCell ref="B133:D133"/>
    <mergeCell ref="G133:I133"/>
    <mergeCell ref="A134:D134"/>
    <mergeCell ref="F134:I134"/>
    <mergeCell ref="A138:D138"/>
    <mergeCell ref="F138:I138"/>
    <mergeCell ref="A139:B139"/>
    <mergeCell ref="C139:D139"/>
    <mergeCell ref="F139:G139"/>
    <mergeCell ref="H139:I139"/>
    <mergeCell ref="B140:D140"/>
    <mergeCell ref="G140:I140"/>
    <mergeCell ref="A141:D141"/>
    <mergeCell ref="F141:I141"/>
    <mergeCell ref="A145:D145"/>
    <mergeCell ref="F145:I145"/>
    <mergeCell ref="A146:B146"/>
    <mergeCell ref="C146:D146"/>
    <mergeCell ref="F146:G146"/>
    <mergeCell ref="H146:I146"/>
    <mergeCell ref="B147:D147"/>
    <mergeCell ref="G147:I147"/>
    <mergeCell ref="A148:D148"/>
    <mergeCell ref="F148:I148"/>
    <mergeCell ref="A152:D152"/>
    <mergeCell ref="F152:I152"/>
    <mergeCell ref="A153:B153"/>
    <mergeCell ref="C153:D153"/>
    <mergeCell ref="F153:G153"/>
    <mergeCell ref="H153:I153"/>
    <mergeCell ref="B154:D154"/>
    <mergeCell ref="G154:I154"/>
    <mergeCell ref="A155:D155"/>
    <mergeCell ref="F155:I155"/>
    <mergeCell ref="A159:D159"/>
    <mergeCell ref="F159:I159"/>
    <mergeCell ref="A160:B160"/>
    <mergeCell ref="C160:D160"/>
    <mergeCell ref="F160:G160"/>
    <mergeCell ref="H160:I160"/>
    <mergeCell ref="B161:D161"/>
    <mergeCell ref="G161:I161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L7"/>
  <sheetViews>
    <sheetView view="pageBreakPreview" zoomScaleNormal="100" zoomScaleSheetLayoutView="100" workbookViewId="0">
      <selection activeCell="C4" sqref="C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119</v>
      </c>
      <c r="B1" s="33"/>
      <c r="C1" s="33"/>
      <c r="D1" s="33"/>
      <c r="E1" s="2"/>
      <c r="F1" s="52" t="str">
        <f>A1</f>
        <v>Oval DEO - Inner Dome (米老鼠)</v>
      </c>
      <c r="G1" s="52"/>
      <c r="H1" s="52"/>
      <c r="I1" s="5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9" t="s">
        <v>0</v>
      </c>
      <c r="G2" s="19"/>
      <c r="H2" s="19" t="s">
        <v>1</v>
      </c>
      <c r="I2" s="19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30</v>
      </c>
      <c r="E3" s="4"/>
      <c r="F3" s="19" t="s">
        <v>2</v>
      </c>
      <c r="G3" s="19"/>
      <c r="H3" s="19" t="s">
        <v>5</v>
      </c>
      <c r="I3" s="20" t="str">
        <f>D3</f>
        <v>12A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31</v>
      </c>
      <c r="E4" s="4"/>
      <c r="F4" s="21" t="s">
        <v>3</v>
      </c>
      <c r="G4" s="22">
        <v>5</v>
      </c>
      <c r="H4" s="19" t="s">
        <v>6</v>
      </c>
      <c r="I4" s="20" t="str">
        <f>D4</f>
        <v>DEO-D02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72</v>
      </c>
      <c r="B5" s="35"/>
      <c r="C5" s="35"/>
      <c r="D5" s="36"/>
      <c r="E5" s="5"/>
      <c r="F5" s="53" t="s">
        <v>72</v>
      </c>
      <c r="G5" s="53"/>
      <c r="H5" s="53"/>
      <c r="I5" s="53"/>
      <c r="K5" s="1">
        <v>460</v>
      </c>
      <c r="L5" s="1">
        <v>80</v>
      </c>
    </row>
    <row r="6" spans="1:12" s="1" customFormat="1" ht="30" customHeight="1" x14ac:dyDescent="0.25">
      <c r="A6" s="39" t="s">
        <v>77</v>
      </c>
      <c r="B6" s="40"/>
      <c r="C6" s="41" t="s">
        <v>112</v>
      </c>
      <c r="D6" s="42"/>
      <c r="E6" s="4"/>
      <c r="F6" s="51" t="str">
        <f>A6</f>
        <v>P814</v>
      </c>
      <c r="G6" s="51"/>
      <c r="H6" s="54" t="str">
        <f>C6</f>
        <v>Yellow</v>
      </c>
      <c r="I6" s="55"/>
    </row>
    <row r="7" spans="1:12" s="1" customFormat="1" ht="30" customHeight="1" x14ac:dyDescent="0.25">
      <c r="A7" s="12" t="s">
        <v>4</v>
      </c>
      <c r="B7" s="37">
        <v>27049</v>
      </c>
      <c r="C7" s="37"/>
      <c r="D7" s="38"/>
      <c r="E7" s="4"/>
      <c r="F7" s="19" t="s">
        <v>4</v>
      </c>
      <c r="G7" s="50">
        <f>B7</f>
        <v>27049</v>
      </c>
      <c r="H7" s="51"/>
      <c r="I7" s="5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L21"/>
  <sheetViews>
    <sheetView view="pageBreakPreview" topLeftCell="A7" zoomScaleNormal="100" zoomScaleSheetLayoutView="100" workbookViewId="0">
      <selection activeCell="F8" sqref="F8:I1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79</v>
      </c>
      <c r="B1" s="33"/>
      <c r="C1" s="33"/>
      <c r="D1" s="33"/>
      <c r="E1" s="2"/>
      <c r="F1" s="33" t="str">
        <f>A1</f>
        <v xml:space="preserve">Oval DEO - Platform 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28</v>
      </c>
      <c r="E3" s="4"/>
      <c r="F3" s="11" t="s">
        <v>2</v>
      </c>
      <c r="G3" s="10"/>
      <c r="H3" s="11" t="s">
        <v>5</v>
      </c>
      <c r="I3" s="7" t="str">
        <f>D3</f>
        <v>06B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29</v>
      </c>
      <c r="E4" s="4"/>
      <c r="F4" s="8" t="s">
        <v>3</v>
      </c>
      <c r="G4" s="9">
        <v>4</v>
      </c>
      <c r="H4" s="11" t="s">
        <v>6</v>
      </c>
      <c r="I4" s="7" t="str">
        <f>D4</f>
        <v>DEO-P03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73</v>
      </c>
      <c r="B5" s="35"/>
      <c r="C5" s="35"/>
      <c r="D5" s="36"/>
      <c r="E5" s="5"/>
      <c r="F5" s="34" t="s">
        <v>73</v>
      </c>
      <c r="G5" s="35"/>
      <c r="H5" s="35"/>
      <c r="I5" s="36"/>
      <c r="K5" s="1">
        <v>470</v>
      </c>
      <c r="L5" s="1">
        <v>80</v>
      </c>
    </row>
    <row r="6" spans="1:12" s="1" customFormat="1" ht="30" customHeight="1" x14ac:dyDescent="0.25">
      <c r="A6" s="39" t="s">
        <v>45</v>
      </c>
      <c r="B6" s="40"/>
      <c r="C6" s="41" t="s">
        <v>109</v>
      </c>
      <c r="D6" s="42"/>
      <c r="E6" s="4"/>
      <c r="F6" s="39" t="str">
        <f>A6</f>
        <v>PP6331</v>
      </c>
      <c r="G6" s="40"/>
      <c r="H6" s="41" t="str">
        <f>C6</f>
        <v>Global White</v>
      </c>
      <c r="I6" s="42"/>
    </row>
    <row r="7" spans="1:12" s="1" customFormat="1" ht="30" customHeight="1" x14ac:dyDescent="0.25">
      <c r="A7" s="12" t="s">
        <v>4</v>
      </c>
      <c r="B7" s="37" t="s">
        <v>110</v>
      </c>
      <c r="C7" s="37"/>
      <c r="D7" s="38"/>
      <c r="E7" s="4"/>
      <c r="F7" s="12" t="s">
        <v>4</v>
      </c>
      <c r="G7" s="37" t="str">
        <f>B7</f>
        <v>26908, 27009, 27268</v>
      </c>
      <c r="H7" s="37"/>
      <c r="I7" s="38"/>
    </row>
    <row r="8" spans="1:12" ht="63.75" customHeight="1" x14ac:dyDescent="0.25">
      <c r="A8" s="33" t="s">
        <v>79</v>
      </c>
      <c r="B8" s="33"/>
      <c r="C8" s="33"/>
      <c r="D8" s="33"/>
      <c r="E8" s="2"/>
      <c r="F8" s="33" t="str">
        <f>A8</f>
        <v xml:space="preserve">Oval DEO - Platform 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28</v>
      </c>
      <c r="E10" s="4"/>
      <c r="F10" s="11" t="s">
        <v>2</v>
      </c>
      <c r="G10" s="10"/>
      <c r="H10" s="11" t="s">
        <v>5</v>
      </c>
      <c r="I10" s="7" t="str">
        <f>D10</f>
        <v>06B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29</v>
      </c>
      <c r="E11" s="4"/>
      <c r="F11" s="8" t="s">
        <v>3</v>
      </c>
      <c r="G11" s="9">
        <v>5</v>
      </c>
      <c r="H11" s="11" t="s">
        <v>6</v>
      </c>
      <c r="I11" s="7" t="str">
        <f>D11</f>
        <v>DEO-P03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73</v>
      </c>
      <c r="B12" s="35"/>
      <c r="C12" s="35"/>
      <c r="D12" s="36"/>
      <c r="E12" s="5"/>
      <c r="F12" s="34" t="s">
        <v>111</v>
      </c>
      <c r="G12" s="35"/>
      <c r="H12" s="35"/>
      <c r="I12" s="36"/>
      <c r="K12" s="1">
        <v>470</v>
      </c>
      <c r="L12" s="1">
        <v>80</v>
      </c>
    </row>
    <row r="13" spans="1:12" s="1" customFormat="1" ht="30" customHeight="1" x14ac:dyDescent="0.25">
      <c r="A13" s="39" t="s">
        <v>45</v>
      </c>
      <c r="B13" s="40"/>
      <c r="C13" s="41" t="s">
        <v>109</v>
      </c>
      <c r="D13" s="42"/>
      <c r="E13" s="4"/>
      <c r="F13" s="39" t="str">
        <f>A13</f>
        <v>PP6331</v>
      </c>
      <c r="G13" s="40"/>
      <c r="H13" s="41" t="str">
        <f>C13</f>
        <v>Global White</v>
      </c>
      <c r="I13" s="42"/>
    </row>
    <row r="14" spans="1:12" s="1" customFormat="1" ht="30" customHeight="1" x14ac:dyDescent="0.25">
      <c r="A14" s="12" t="s">
        <v>4</v>
      </c>
      <c r="B14" s="37" t="s">
        <v>110</v>
      </c>
      <c r="C14" s="37"/>
      <c r="D14" s="38"/>
      <c r="E14" s="4"/>
      <c r="F14" s="12" t="s">
        <v>4</v>
      </c>
      <c r="G14" s="37" t="str">
        <f>B14</f>
        <v>26908, 27009, 27268</v>
      </c>
      <c r="H14" s="37"/>
      <c r="I14" s="38"/>
    </row>
    <row r="15" spans="1:12" ht="63.75" customHeight="1" x14ac:dyDescent="0.25">
      <c r="A15" s="33" t="s">
        <v>79</v>
      </c>
      <c r="B15" s="33"/>
      <c r="C15" s="33"/>
      <c r="D15" s="33"/>
      <c r="E15" s="2"/>
      <c r="F15" s="47" t="str">
        <f>A15</f>
        <v xml:space="preserve">Oval DEO - Platform </v>
      </c>
      <c r="G15" s="47"/>
      <c r="H15" s="47"/>
      <c r="I15" s="4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6" t="s">
        <v>0</v>
      </c>
      <c r="G16" s="16"/>
      <c r="H16" s="16" t="s">
        <v>1</v>
      </c>
      <c r="I16" s="16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28</v>
      </c>
      <c r="E17" s="4"/>
      <c r="F17" s="16" t="s">
        <v>2</v>
      </c>
      <c r="G17" s="16"/>
      <c r="H17" s="16" t="s">
        <v>5</v>
      </c>
      <c r="I17" s="13" t="str">
        <f>D17</f>
        <v>06B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29</v>
      </c>
      <c r="E18" s="4"/>
      <c r="F18" s="14" t="s">
        <v>3</v>
      </c>
      <c r="G18" s="15">
        <v>5</v>
      </c>
      <c r="H18" s="16" t="s">
        <v>6</v>
      </c>
      <c r="I18" s="13" t="str">
        <f>D18</f>
        <v>DEO-P03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73</v>
      </c>
      <c r="B19" s="35"/>
      <c r="C19" s="35"/>
      <c r="D19" s="36"/>
      <c r="E19" s="5"/>
      <c r="F19" s="48" t="s">
        <v>111</v>
      </c>
      <c r="G19" s="48"/>
      <c r="H19" s="48"/>
      <c r="I19" s="48"/>
      <c r="K19" s="1">
        <v>470</v>
      </c>
      <c r="L19" s="1">
        <v>80</v>
      </c>
    </row>
    <row r="20" spans="1:12" s="1" customFormat="1" ht="30" customHeight="1" x14ac:dyDescent="0.25">
      <c r="A20" s="39" t="s">
        <v>45</v>
      </c>
      <c r="B20" s="40"/>
      <c r="C20" s="41" t="s">
        <v>109</v>
      </c>
      <c r="D20" s="42"/>
      <c r="E20" s="4"/>
      <c r="F20" s="45" t="str">
        <f>A20</f>
        <v>PP6331</v>
      </c>
      <c r="G20" s="45"/>
      <c r="H20" s="49" t="str">
        <f>C20</f>
        <v>Global White</v>
      </c>
      <c r="I20" s="46"/>
    </row>
    <row r="21" spans="1:12" s="1" customFormat="1" ht="30" customHeight="1" x14ac:dyDescent="0.25">
      <c r="A21" s="12" t="s">
        <v>4</v>
      </c>
      <c r="B21" s="37" t="s">
        <v>110</v>
      </c>
      <c r="C21" s="37"/>
      <c r="D21" s="38"/>
      <c r="E21" s="4"/>
      <c r="F21" s="16" t="s">
        <v>4</v>
      </c>
      <c r="G21" s="45" t="str">
        <f>B21</f>
        <v>26908, 27009, 27268</v>
      </c>
      <c r="H21" s="45"/>
      <c r="I21" s="45"/>
    </row>
  </sheetData>
  <mergeCells count="30">
    <mergeCell ref="A20:B20"/>
    <mergeCell ref="C20:D20"/>
    <mergeCell ref="B14:D14"/>
    <mergeCell ref="G14:I14"/>
    <mergeCell ref="F20:G20"/>
    <mergeCell ref="H20:I20"/>
    <mergeCell ref="A15:D15"/>
    <mergeCell ref="F15:I15"/>
    <mergeCell ref="A13:B13"/>
    <mergeCell ref="C13:D13"/>
    <mergeCell ref="F13:G13"/>
    <mergeCell ref="H13:I13"/>
    <mergeCell ref="A19:D19"/>
    <mergeCell ref="F19:I19"/>
    <mergeCell ref="B21:D21"/>
    <mergeCell ref="G21:I21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L70"/>
  <sheetViews>
    <sheetView view="pageBreakPreview" zoomScaleNormal="100" zoomScaleSheetLayoutView="100" workbookViewId="0">
      <selection activeCell="C4" sqref="C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38</v>
      </c>
      <c r="B1" s="33"/>
      <c r="C1" s="33"/>
      <c r="D1" s="33"/>
      <c r="E1" s="2"/>
      <c r="F1" s="33" t="str">
        <f>A1</f>
        <v>Oval DEO - Screw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96</v>
      </c>
      <c r="E3" s="4"/>
      <c r="F3" s="11" t="s">
        <v>2</v>
      </c>
      <c r="G3" s="10"/>
      <c r="H3" s="11" t="s">
        <v>5</v>
      </c>
      <c r="I3" s="7" t="str">
        <f>D3</f>
        <v>14A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27</v>
      </c>
      <c r="E4" s="4"/>
      <c r="F4" s="8" t="s">
        <v>3</v>
      </c>
      <c r="G4" s="9">
        <v>11</v>
      </c>
      <c r="H4" s="11" t="s">
        <v>6</v>
      </c>
      <c r="I4" s="7" t="str">
        <f>D4</f>
        <v>DEO-S01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71</v>
      </c>
      <c r="B5" s="35"/>
      <c r="C5" s="35"/>
      <c r="D5" s="36"/>
      <c r="E5" s="5"/>
      <c r="F5" s="34" t="s">
        <v>71</v>
      </c>
      <c r="G5" s="35"/>
      <c r="H5" s="35"/>
      <c r="I5" s="36"/>
      <c r="K5" s="1">
        <v>1400</v>
      </c>
      <c r="L5" s="1">
        <v>16</v>
      </c>
    </row>
    <row r="6" spans="1:12" s="1" customFormat="1" ht="30" customHeight="1" x14ac:dyDescent="0.25">
      <c r="A6" s="39" t="s">
        <v>77</v>
      </c>
      <c r="B6" s="40"/>
      <c r="C6" s="44" t="s">
        <v>10</v>
      </c>
      <c r="D6" s="42"/>
      <c r="E6" s="4"/>
      <c r="F6" s="39" t="str">
        <f>A6</f>
        <v>P814</v>
      </c>
      <c r="G6" s="40"/>
      <c r="H6" s="44" t="str">
        <f>C6</f>
        <v>White</v>
      </c>
      <c r="I6" s="42"/>
    </row>
    <row r="7" spans="1:12" s="1" customFormat="1" ht="30" customHeight="1" x14ac:dyDescent="0.25">
      <c r="A7" s="12" t="s">
        <v>4</v>
      </c>
      <c r="B7" s="37">
        <v>26674</v>
      </c>
      <c r="C7" s="37"/>
      <c r="D7" s="38"/>
      <c r="E7" s="4"/>
      <c r="F7" s="12" t="s">
        <v>4</v>
      </c>
      <c r="G7" s="37">
        <f>B7</f>
        <v>26674</v>
      </c>
      <c r="H7" s="37"/>
      <c r="I7" s="38"/>
    </row>
    <row r="8" spans="1:12" ht="63.75" customHeight="1" x14ac:dyDescent="0.25">
      <c r="A8" s="33" t="s">
        <v>38</v>
      </c>
      <c r="B8" s="33"/>
      <c r="C8" s="33"/>
      <c r="D8" s="33"/>
      <c r="E8" s="2"/>
      <c r="F8" s="33" t="str">
        <f>A8</f>
        <v>Oval DEO - Screw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76</v>
      </c>
      <c r="E10" s="4"/>
      <c r="F10" s="11" t="s">
        <v>2</v>
      </c>
      <c r="G10" s="10"/>
      <c r="H10" s="11" t="s">
        <v>5</v>
      </c>
      <c r="I10" s="7" t="str">
        <f>D10</f>
        <v>13B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27</v>
      </c>
      <c r="E11" s="4"/>
      <c r="F11" s="8" t="s">
        <v>3</v>
      </c>
      <c r="G11" s="9">
        <v>12</v>
      </c>
      <c r="H11" s="11" t="s">
        <v>6</v>
      </c>
      <c r="I11" s="7" t="str">
        <f>D11</f>
        <v>DEO-S01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71</v>
      </c>
      <c r="B12" s="35"/>
      <c r="C12" s="35"/>
      <c r="D12" s="36"/>
      <c r="E12" s="5"/>
      <c r="F12" s="34" t="s">
        <v>71</v>
      </c>
      <c r="G12" s="35"/>
      <c r="H12" s="35"/>
      <c r="I12" s="36"/>
      <c r="K12" s="1">
        <v>1400</v>
      </c>
      <c r="L12" s="1">
        <v>16</v>
      </c>
    </row>
    <row r="13" spans="1:12" s="1" customFormat="1" ht="30" customHeight="1" x14ac:dyDescent="0.25">
      <c r="A13" s="39" t="s">
        <v>77</v>
      </c>
      <c r="B13" s="40"/>
      <c r="C13" s="44" t="s">
        <v>10</v>
      </c>
      <c r="D13" s="42"/>
      <c r="E13" s="4"/>
      <c r="F13" s="39" t="str">
        <f>A13</f>
        <v>P814</v>
      </c>
      <c r="G13" s="40"/>
      <c r="H13" s="44" t="str">
        <f>C13</f>
        <v>White</v>
      </c>
      <c r="I13" s="42"/>
    </row>
    <row r="14" spans="1:12" s="1" customFormat="1" ht="30" customHeight="1" x14ac:dyDescent="0.25">
      <c r="A14" s="12" t="s">
        <v>4</v>
      </c>
      <c r="B14" s="37">
        <v>26674</v>
      </c>
      <c r="C14" s="37"/>
      <c r="D14" s="38"/>
      <c r="E14" s="4"/>
      <c r="F14" s="12" t="s">
        <v>4</v>
      </c>
      <c r="G14" s="37">
        <f>B14</f>
        <v>26674</v>
      </c>
      <c r="H14" s="37"/>
      <c r="I14" s="38"/>
    </row>
    <row r="15" spans="1:12" ht="63.75" customHeight="1" x14ac:dyDescent="0.25">
      <c r="A15" s="33" t="s">
        <v>38</v>
      </c>
      <c r="B15" s="33"/>
      <c r="C15" s="33"/>
      <c r="D15" s="33"/>
      <c r="E15" s="2"/>
      <c r="F15" s="33" t="str">
        <f>A15</f>
        <v>Oval DEO - Screw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76</v>
      </c>
      <c r="E17" s="4"/>
      <c r="F17" s="11" t="s">
        <v>2</v>
      </c>
      <c r="G17" s="10"/>
      <c r="H17" s="11" t="s">
        <v>5</v>
      </c>
      <c r="I17" s="7" t="str">
        <f>D17</f>
        <v>13B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27</v>
      </c>
      <c r="E18" s="4"/>
      <c r="F18" s="8" t="s">
        <v>3</v>
      </c>
      <c r="G18" s="9">
        <v>13</v>
      </c>
      <c r="H18" s="11" t="s">
        <v>6</v>
      </c>
      <c r="I18" s="7" t="str">
        <f>D18</f>
        <v>DEO-S01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71</v>
      </c>
      <c r="B19" s="35"/>
      <c r="C19" s="35"/>
      <c r="D19" s="36"/>
      <c r="E19" s="5"/>
      <c r="F19" s="34" t="s">
        <v>71</v>
      </c>
      <c r="G19" s="35"/>
      <c r="H19" s="35"/>
      <c r="I19" s="36"/>
      <c r="K19" s="1">
        <v>1400</v>
      </c>
      <c r="L19" s="1">
        <v>16</v>
      </c>
    </row>
    <row r="20" spans="1:12" s="1" customFormat="1" ht="30" customHeight="1" x14ac:dyDescent="0.25">
      <c r="A20" s="39" t="s">
        <v>77</v>
      </c>
      <c r="B20" s="40"/>
      <c r="C20" s="44" t="s">
        <v>10</v>
      </c>
      <c r="D20" s="42"/>
      <c r="E20" s="4"/>
      <c r="F20" s="39" t="str">
        <f>A20</f>
        <v>P814</v>
      </c>
      <c r="G20" s="40"/>
      <c r="H20" s="44" t="str">
        <f>C20</f>
        <v>White</v>
      </c>
      <c r="I20" s="42"/>
    </row>
    <row r="21" spans="1:12" s="1" customFormat="1" ht="30" customHeight="1" x14ac:dyDescent="0.25">
      <c r="A21" s="12" t="s">
        <v>4</v>
      </c>
      <c r="B21" s="37">
        <v>26674</v>
      </c>
      <c r="C21" s="37"/>
      <c r="D21" s="38"/>
      <c r="E21" s="4"/>
      <c r="F21" s="12" t="s">
        <v>4</v>
      </c>
      <c r="G21" s="37">
        <f>B21</f>
        <v>26674</v>
      </c>
      <c r="H21" s="37"/>
      <c r="I21" s="38"/>
    </row>
    <row r="22" spans="1:12" ht="63.75" customHeight="1" x14ac:dyDescent="0.25">
      <c r="A22" s="33" t="s">
        <v>38</v>
      </c>
      <c r="B22" s="33"/>
      <c r="C22" s="33"/>
      <c r="D22" s="33"/>
      <c r="E22" s="2"/>
      <c r="F22" s="33" t="str">
        <f>A22</f>
        <v>Oval DEO - Screw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76</v>
      </c>
      <c r="E24" s="4"/>
      <c r="F24" s="11" t="s">
        <v>2</v>
      </c>
      <c r="G24" s="10"/>
      <c r="H24" s="11" t="s">
        <v>5</v>
      </c>
      <c r="I24" s="7" t="str">
        <f>D24</f>
        <v>13B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27</v>
      </c>
      <c r="E25" s="4"/>
      <c r="F25" s="8" t="s">
        <v>3</v>
      </c>
      <c r="G25" s="9">
        <v>14</v>
      </c>
      <c r="H25" s="11" t="s">
        <v>6</v>
      </c>
      <c r="I25" s="7" t="str">
        <f>D25</f>
        <v>DEO-S01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71</v>
      </c>
      <c r="B26" s="35"/>
      <c r="C26" s="35"/>
      <c r="D26" s="36"/>
      <c r="E26" s="5"/>
      <c r="F26" s="34" t="s">
        <v>71</v>
      </c>
      <c r="G26" s="35"/>
      <c r="H26" s="35"/>
      <c r="I26" s="36"/>
      <c r="K26" s="1">
        <v>1400</v>
      </c>
      <c r="L26" s="1">
        <v>16</v>
      </c>
    </row>
    <row r="27" spans="1:12" s="1" customFormat="1" ht="30" customHeight="1" x14ac:dyDescent="0.25">
      <c r="A27" s="39" t="s">
        <v>77</v>
      </c>
      <c r="B27" s="40"/>
      <c r="C27" s="44" t="s">
        <v>10</v>
      </c>
      <c r="D27" s="42"/>
      <c r="E27" s="4"/>
      <c r="F27" s="39" t="str">
        <f>A27</f>
        <v>P814</v>
      </c>
      <c r="G27" s="40"/>
      <c r="H27" s="44" t="str">
        <f>C27</f>
        <v>White</v>
      </c>
      <c r="I27" s="42"/>
    </row>
    <row r="28" spans="1:12" s="1" customFormat="1" ht="30" customHeight="1" x14ac:dyDescent="0.25">
      <c r="A28" s="12" t="s">
        <v>4</v>
      </c>
      <c r="B28" s="37">
        <v>26674</v>
      </c>
      <c r="C28" s="37"/>
      <c r="D28" s="38"/>
      <c r="E28" s="4"/>
      <c r="F28" s="12" t="s">
        <v>4</v>
      </c>
      <c r="G28" s="37">
        <f>B28</f>
        <v>26674</v>
      </c>
      <c r="H28" s="37"/>
      <c r="I28" s="38"/>
    </row>
    <row r="29" spans="1:12" ht="63.75" customHeight="1" x14ac:dyDescent="0.25">
      <c r="A29" s="33" t="s">
        <v>38</v>
      </c>
      <c r="B29" s="33"/>
      <c r="C29" s="33"/>
      <c r="D29" s="33"/>
      <c r="E29" s="2"/>
      <c r="F29" s="33" t="str">
        <f>A29</f>
        <v>Oval DEO - Screw</v>
      </c>
      <c r="G29" s="33"/>
      <c r="H29" s="33"/>
      <c r="I29" s="33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76</v>
      </c>
      <c r="E31" s="4"/>
      <c r="F31" s="11" t="s">
        <v>2</v>
      </c>
      <c r="G31" s="10"/>
      <c r="H31" s="11" t="s">
        <v>5</v>
      </c>
      <c r="I31" s="7" t="str">
        <f>D31</f>
        <v>13B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27</v>
      </c>
      <c r="E32" s="4"/>
      <c r="F32" s="8" t="s">
        <v>3</v>
      </c>
      <c r="G32" s="9">
        <v>15</v>
      </c>
      <c r="H32" s="11" t="s">
        <v>6</v>
      </c>
      <c r="I32" s="7" t="str">
        <f>D32</f>
        <v>DEO-S01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71</v>
      </c>
      <c r="B33" s="35"/>
      <c r="C33" s="35"/>
      <c r="D33" s="36"/>
      <c r="E33" s="5"/>
      <c r="F33" s="34" t="s">
        <v>71</v>
      </c>
      <c r="G33" s="35"/>
      <c r="H33" s="35"/>
      <c r="I33" s="36"/>
      <c r="K33" s="1">
        <v>1400</v>
      </c>
      <c r="L33" s="1">
        <v>16</v>
      </c>
    </row>
    <row r="34" spans="1:12" s="1" customFormat="1" ht="30" customHeight="1" x14ac:dyDescent="0.25">
      <c r="A34" s="39" t="s">
        <v>77</v>
      </c>
      <c r="B34" s="40"/>
      <c r="C34" s="44" t="s">
        <v>10</v>
      </c>
      <c r="D34" s="42"/>
      <c r="E34" s="4"/>
      <c r="F34" s="39" t="str">
        <f>A34</f>
        <v>P814</v>
      </c>
      <c r="G34" s="40"/>
      <c r="H34" s="44" t="str">
        <f>C34</f>
        <v>White</v>
      </c>
      <c r="I34" s="42"/>
    </row>
    <row r="35" spans="1:12" s="1" customFormat="1" ht="30" customHeight="1" x14ac:dyDescent="0.25">
      <c r="A35" s="12" t="s">
        <v>4</v>
      </c>
      <c r="B35" s="37">
        <v>26674</v>
      </c>
      <c r="C35" s="37"/>
      <c r="D35" s="38"/>
      <c r="E35" s="4"/>
      <c r="F35" s="12" t="s">
        <v>4</v>
      </c>
      <c r="G35" s="37">
        <f>B35</f>
        <v>26674</v>
      </c>
      <c r="H35" s="37"/>
      <c r="I35" s="38"/>
    </row>
    <row r="36" spans="1:12" ht="63.75" customHeight="1" x14ac:dyDescent="0.25">
      <c r="A36" s="33" t="s">
        <v>38</v>
      </c>
      <c r="B36" s="33"/>
      <c r="C36" s="33"/>
      <c r="D36" s="33"/>
      <c r="E36" s="2"/>
      <c r="F36" s="33" t="str">
        <f>A36</f>
        <v>Oval DEO - Screw</v>
      </c>
      <c r="G36" s="33"/>
      <c r="H36" s="33"/>
      <c r="I36" s="33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76</v>
      </c>
      <c r="E38" s="4"/>
      <c r="F38" s="11" t="s">
        <v>2</v>
      </c>
      <c r="G38" s="10"/>
      <c r="H38" s="11" t="s">
        <v>5</v>
      </c>
      <c r="I38" s="7" t="str">
        <f>D38</f>
        <v>13B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27</v>
      </c>
      <c r="E39" s="4"/>
      <c r="F39" s="8" t="s">
        <v>3</v>
      </c>
      <c r="G39" s="9">
        <v>16</v>
      </c>
      <c r="H39" s="11" t="s">
        <v>6</v>
      </c>
      <c r="I39" s="7" t="str">
        <f>D39</f>
        <v>DEO-S01</v>
      </c>
      <c r="K39" s="6" t="s">
        <v>8</v>
      </c>
      <c r="L39" s="6" t="s">
        <v>7</v>
      </c>
    </row>
    <row r="40" spans="1:12" s="1" customFormat="1" ht="30" customHeight="1" x14ac:dyDescent="0.25">
      <c r="A40" s="34" t="s">
        <v>71</v>
      </c>
      <c r="B40" s="35"/>
      <c r="C40" s="35"/>
      <c r="D40" s="36"/>
      <c r="E40" s="5"/>
      <c r="F40" s="34" t="s">
        <v>71</v>
      </c>
      <c r="G40" s="35"/>
      <c r="H40" s="35"/>
      <c r="I40" s="36"/>
      <c r="K40" s="1">
        <v>1400</v>
      </c>
      <c r="L40" s="1">
        <v>16</v>
      </c>
    </row>
    <row r="41" spans="1:12" s="1" customFormat="1" ht="30" customHeight="1" x14ac:dyDescent="0.25">
      <c r="A41" s="39" t="s">
        <v>77</v>
      </c>
      <c r="B41" s="40"/>
      <c r="C41" s="44" t="s">
        <v>10</v>
      </c>
      <c r="D41" s="42"/>
      <c r="E41" s="4"/>
      <c r="F41" s="39" t="str">
        <f>A41</f>
        <v>P814</v>
      </c>
      <c r="G41" s="40"/>
      <c r="H41" s="44" t="str">
        <f>C41</f>
        <v>White</v>
      </c>
      <c r="I41" s="42"/>
    </row>
    <row r="42" spans="1:12" s="1" customFormat="1" ht="30" customHeight="1" x14ac:dyDescent="0.25">
      <c r="A42" s="12" t="s">
        <v>4</v>
      </c>
      <c r="B42" s="37">
        <v>26674</v>
      </c>
      <c r="C42" s="37"/>
      <c r="D42" s="38"/>
      <c r="E42" s="4"/>
      <c r="F42" s="12" t="s">
        <v>4</v>
      </c>
      <c r="G42" s="37">
        <f>B42</f>
        <v>26674</v>
      </c>
      <c r="H42" s="37"/>
      <c r="I42" s="38"/>
    </row>
    <row r="43" spans="1:12" ht="63.75" customHeight="1" x14ac:dyDescent="0.25">
      <c r="A43" s="33" t="s">
        <v>38</v>
      </c>
      <c r="B43" s="33"/>
      <c r="C43" s="33"/>
      <c r="D43" s="33"/>
      <c r="E43" s="2"/>
      <c r="F43" s="33" t="str">
        <f>A43</f>
        <v>Oval DEO - Screw</v>
      </c>
      <c r="G43" s="33"/>
      <c r="H43" s="33"/>
      <c r="I43" s="33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76</v>
      </c>
      <c r="E45" s="4"/>
      <c r="F45" s="11" t="s">
        <v>2</v>
      </c>
      <c r="G45" s="10"/>
      <c r="H45" s="11" t="s">
        <v>5</v>
      </c>
      <c r="I45" s="7" t="str">
        <f>D45</f>
        <v>13B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27</v>
      </c>
      <c r="E46" s="4"/>
      <c r="F46" s="8" t="s">
        <v>3</v>
      </c>
      <c r="G46" s="9">
        <v>17</v>
      </c>
      <c r="H46" s="11" t="s">
        <v>6</v>
      </c>
      <c r="I46" s="7" t="str">
        <f>D46</f>
        <v>DEO-S01</v>
      </c>
      <c r="K46" s="6" t="s">
        <v>8</v>
      </c>
      <c r="L46" s="6" t="s">
        <v>7</v>
      </c>
    </row>
    <row r="47" spans="1:12" s="1" customFormat="1" ht="30" customHeight="1" x14ac:dyDescent="0.25">
      <c r="A47" s="34" t="s">
        <v>71</v>
      </c>
      <c r="B47" s="35"/>
      <c r="C47" s="35"/>
      <c r="D47" s="36"/>
      <c r="E47" s="5"/>
      <c r="F47" s="34" t="s">
        <v>71</v>
      </c>
      <c r="G47" s="35"/>
      <c r="H47" s="35"/>
      <c r="I47" s="36"/>
      <c r="K47" s="1">
        <v>1400</v>
      </c>
      <c r="L47" s="1">
        <v>16</v>
      </c>
    </row>
    <row r="48" spans="1:12" s="1" customFormat="1" ht="30" customHeight="1" x14ac:dyDescent="0.25">
      <c r="A48" s="39" t="s">
        <v>77</v>
      </c>
      <c r="B48" s="40"/>
      <c r="C48" s="44" t="s">
        <v>10</v>
      </c>
      <c r="D48" s="42"/>
      <c r="E48" s="4"/>
      <c r="F48" s="39" t="str">
        <f>A48</f>
        <v>P814</v>
      </c>
      <c r="G48" s="40"/>
      <c r="H48" s="44" t="str">
        <f>C48</f>
        <v>White</v>
      </c>
      <c r="I48" s="42"/>
    </row>
    <row r="49" spans="1:12" s="1" customFormat="1" ht="30" customHeight="1" x14ac:dyDescent="0.25">
      <c r="A49" s="12" t="s">
        <v>4</v>
      </c>
      <c r="B49" s="37">
        <v>26674</v>
      </c>
      <c r="C49" s="37"/>
      <c r="D49" s="38"/>
      <c r="E49" s="4"/>
      <c r="F49" s="12" t="s">
        <v>4</v>
      </c>
      <c r="G49" s="37">
        <f>B49</f>
        <v>26674</v>
      </c>
      <c r="H49" s="37"/>
      <c r="I49" s="38"/>
    </row>
    <row r="50" spans="1:12" ht="63.75" customHeight="1" x14ac:dyDescent="0.25">
      <c r="A50" s="33" t="s">
        <v>38</v>
      </c>
      <c r="B50" s="33"/>
      <c r="C50" s="33"/>
      <c r="D50" s="33"/>
      <c r="E50" s="2"/>
      <c r="F50" s="33" t="str">
        <f>A50</f>
        <v>Oval DEO - Screw</v>
      </c>
      <c r="G50" s="33"/>
      <c r="H50" s="33"/>
      <c r="I50" s="33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76</v>
      </c>
      <c r="E52" s="4"/>
      <c r="F52" s="11" t="s">
        <v>2</v>
      </c>
      <c r="G52" s="10"/>
      <c r="H52" s="11" t="s">
        <v>5</v>
      </c>
      <c r="I52" s="7" t="str">
        <f>D52</f>
        <v>13B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27</v>
      </c>
      <c r="E53" s="4"/>
      <c r="F53" s="8" t="s">
        <v>3</v>
      </c>
      <c r="G53" s="9">
        <v>18</v>
      </c>
      <c r="H53" s="11" t="s">
        <v>6</v>
      </c>
      <c r="I53" s="7" t="str">
        <f>D53</f>
        <v>DEO-S01</v>
      </c>
      <c r="K53" s="6" t="s">
        <v>8</v>
      </c>
      <c r="L53" s="6" t="s">
        <v>7</v>
      </c>
    </row>
    <row r="54" spans="1:12" s="1" customFormat="1" ht="30" customHeight="1" x14ac:dyDescent="0.25">
      <c r="A54" s="34" t="s">
        <v>71</v>
      </c>
      <c r="B54" s="35"/>
      <c r="C54" s="35"/>
      <c r="D54" s="36"/>
      <c r="E54" s="5"/>
      <c r="F54" s="34" t="s">
        <v>71</v>
      </c>
      <c r="G54" s="35"/>
      <c r="H54" s="35"/>
      <c r="I54" s="36"/>
      <c r="K54" s="1">
        <v>1400</v>
      </c>
      <c r="L54" s="1">
        <v>16</v>
      </c>
    </row>
    <row r="55" spans="1:12" s="1" customFormat="1" ht="30" customHeight="1" x14ac:dyDescent="0.25">
      <c r="A55" s="39" t="s">
        <v>77</v>
      </c>
      <c r="B55" s="40"/>
      <c r="C55" s="44" t="s">
        <v>10</v>
      </c>
      <c r="D55" s="42"/>
      <c r="E55" s="4"/>
      <c r="F55" s="39" t="str">
        <f>A55</f>
        <v>P814</v>
      </c>
      <c r="G55" s="40"/>
      <c r="H55" s="44" t="str">
        <f>C55</f>
        <v>White</v>
      </c>
      <c r="I55" s="42"/>
    </row>
    <row r="56" spans="1:12" s="1" customFormat="1" ht="30" customHeight="1" x14ac:dyDescent="0.25">
      <c r="A56" s="12" t="s">
        <v>4</v>
      </c>
      <c r="B56" s="37">
        <v>26674</v>
      </c>
      <c r="C56" s="37"/>
      <c r="D56" s="38"/>
      <c r="E56" s="4"/>
      <c r="F56" s="12" t="s">
        <v>4</v>
      </c>
      <c r="G56" s="37">
        <f>B56</f>
        <v>26674</v>
      </c>
      <c r="H56" s="37"/>
      <c r="I56" s="38"/>
    </row>
    <row r="57" spans="1:12" ht="63.75" customHeight="1" x14ac:dyDescent="0.25">
      <c r="A57" s="33" t="s">
        <v>38</v>
      </c>
      <c r="B57" s="33"/>
      <c r="C57" s="33"/>
      <c r="D57" s="33"/>
      <c r="E57" s="2"/>
      <c r="F57" s="33" t="str">
        <f>A57</f>
        <v>Oval DEO - Screw</v>
      </c>
      <c r="G57" s="33"/>
      <c r="H57" s="33"/>
      <c r="I57" s="33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76</v>
      </c>
      <c r="E59" s="4"/>
      <c r="F59" s="11" t="s">
        <v>2</v>
      </c>
      <c r="G59" s="10"/>
      <c r="H59" s="11" t="s">
        <v>5</v>
      </c>
      <c r="I59" s="7" t="str">
        <f>D59</f>
        <v>13B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27</v>
      </c>
      <c r="E60" s="4"/>
      <c r="F60" s="8" t="s">
        <v>3</v>
      </c>
      <c r="G60" s="9">
        <v>19</v>
      </c>
      <c r="H60" s="11" t="s">
        <v>6</v>
      </c>
      <c r="I60" s="7" t="str">
        <f>D60</f>
        <v>DEO-S01</v>
      </c>
      <c r="K60" s="6" t="s">
        <v>8</v>
      </c>
      <c r="L60" s="6" t="s">
        <v>7</v>
      </c>
    </row>
    <row r="61" spans="1:12" s="1" customFormat="1" ht="30" customHeight="1" x14ac:dyDescent="0.25">
      <c r="A61" s="34" t="s">
        <v>71</v>
      </c>
      <c r="B61" s="35"/>
      <c r="C61" s="35"/>
      <c r="D61" s="36"/>
      <c r="E61" s="5"/>
      <c r="F61" s="34" t="s">
        <v>71</v>
      </c>
      <c r="G61" s="35"/>
      <c r="H61" s="35"/>
      <c r="I61" s="36"/>
      <c r="K61" s="1">
        <v>1400</v>
      </c>
      <c r="L61" s="1">
        <v>16</v>
      </c>
    </row>
    <row r="62" spans="1:12" s="1" customFormat="1" ht="30" customHeight="1" x14ac:dyDescent="0.25">
      <c r="A62" s="39" t="s">
        <v>77</v>
      </c>
      <c r="B62" s="40"/>
      <c r="C62" s="44" t="s">
        <v>10</v>
      </c>
      <c r="D62" s="42"/>
      <c r="E62" s="4"/>
      <c r="F62" s="39" t="str">
        <f>A62</f>
        <v>P814</v>
      </c>
      <c r="G62" s="40"/>
      <c r="H62" s="44" t="str">
        <f>C62</f>
        <v>White</v>
      </c>
      <c r="I62" s="42"/>
    </row>
    <row r="63" spans="1:12" s="1" customFormat="1" ht="30" customHeight="1" x14ac:dyDescent="0.25">
      <c r="A63" s="12" t="s">
        <v>4</v>
      </c>
      <c r="B63" s="37">
        <v>26674</v>
      </c>
      <c r="C63" s="37"/>
      <c r="D63" s="38"/>
      <c r="E63" s="4"/>
      <c r="F63" s="12" t="s">
        <v>4</v>
      </c>
      <c r="G63" s="37">
        <f>B63</f>
        <v>26674</v>
      </c>
      <c r="H63" s="37"/>
      <c r="I63" s="38"/>
    </row>
    <row r="64" spans="1:12" ht="63.75" customHeight="1" x14ac:dyDescent="0.25">
      <c r="A64" s="33" t="s">
        <v>38</v>
      </c>
      <c r="B64" s="33"/>
      <c r="C64" s="33"/>
      <c r="D64" s="33"/>
      <c r="E64" s="2"/>
      <c r="F64" s="33" t="str">
        <f>A64</f>
        <v>Oval DEO - Screw</v>
      </c>
      <c r="G64" s="33"/>
      <c r="H64" s="33"/>
      <c r="I64" s="33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76</v>
      </c>
      <c r="E66" s="4"/>
      <c r="F66" s="11" t="s">
        <v>2</v>
      </c>
      <c r="G66" s="10"/>
      <c r="H66" s="11" t="s">
        <v>5</v>
      </c>
      <c r="I66" s="7" t="str">
        <f>D66</f>
        <v>13B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27</v>
      </c>
      <c r="E67" s="4"/>
      <c r="F67" s="8" t="s">
        <v>3</v>
      </c>
      <c r="G67" s="9">
        <v>20</v>
      </c>
      <c r="H67" s="11" t="s">
        <v>6</v>
      </c>
      <c r="I67" s="7" t="str">
        <f>D67</f>
        <v>DEO-S01</v>
      </c>
      <c r="K67" s="6" t="s">
        <v>8</v>
      </c>
      <c r="L67" s="6" t="s">
        <v>7</v>
      </c>
    </row>
    <row r="68" spans="1:12" s="1" customFormat="1" ht="30" customHeight="1" x14ac:dyDescent="0.25">
      <c r="A68" s="34" t="s">
        <v>71</v>
      </c>
      <c r="B68" s="35"/>
      <c r="C68" s="35"/>
      <c r="D68" s="36"/>
      <c r="E68" s="5"/>
      <c r="F68" s="34" t="s">
        <v>71</v>
      </c>
      <c r="G68" s="35"/>
      <c r="H68" s="35"/>
      <c r="I68" s="36"/>
      <c r="K68" s="1">
        <v>1400</v>
      </c>
      <c r="L68" s="1">
        <v>16</v>
      </c>
    </row>
    <row r="69" spans="1:12" s="1" customFormat="1" ht="30" customHeight="1" x14ac:dyDescent="0.25">
      <c r="A69" s="39" t="s">
        <v>77</v>
      </c>
      <c r="B69" s="40"/>
      <c r="C69" s="44" t="s">
        <v>10</v>
      </c>
      <c r="D69" s="42"/>
      <c r="E69" s="4"/>
      <c r="F69" s="39" t="str">
        <f>A69</f>
        <v>P814</v>
      </c>
      <c r="G69" s="40"/>
      <c r="H69" s="44" t="str">
        <f>C69</f>
        <v>White</v>
      </c>
      <c r="I69" s="42"/>
    </row>
    <row r="70" spans="1:12" s="1" customFormat="1" ht="30" customHeight="1" x14ac:dyDescent="0.25">
      <c r="A70" s="12" t="s">
        <v>4</v>
      </c>
      <c r="B70" s="37">
        <v>26674</v>
      </c>
      <c r="C70" s="37"/>
      <c r="D70" s="38"/>
      <c r="E70" s="4"/>
      <c r="F70" s="12" t="s">
        <v>4</v>
      </c>
      <c r="G70" s="37">
        <f>B70</f>
        <v>26674</v>
      </c>
      <c r="H70" s="37"/>
      <c r="I70" s="38"/>
    </row>
  </sheetData>
  <mergeCells count="100"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A50:D50"/>
    <mergeCell ref="F50:I50"/>
    <mergeCell ref="A54:D54"/>
    <mergeCell ref="F54:I54"/>
    <mergeCell ref="B14:D14"/>
    <mergeCell ref="G14:I14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B35:D35"/>
    <mergeCell ref="G35:I35"/>
    <mergeCell ref="B49:D49"/>
    <mergeCell ref="G49:I49"/>
    <mergeCell ref="A43:D43"/>
    <mergeCell ref="F43:I43"/>
    <mergeCell ref="A47:D47"/>
    <mergeCell ref="F47:I47"/>
    <mergeCell ref="A36:D36"/>
    <mergeCell ref="F36:I36"/>
    <mergeCell ref="A40:D40"/>
    <mergeCell ref="F40:I40"/>
    <mergeCell ref="A27:B27"/>
    <mergeCell ref="C27:D27"/>
    <mergeCell ref="F27:G27"/>
    <mergeCell ref="H27:I27"/>
    <mergeCell ref="B28:D28"/>
    <mergeCell ref="G28:I28"/>
    <mergeCell ref="A29:D29"/>
    <mergeCell ref="F29:I29"/>
    <mergeCell ref="A33:D33"/>
    <mergeCell ref="F33:I33"/>
    <mergeCell ref="A34:B34"/>
    <mergeCell ref="C34:D34"/>
    <mergeCell ref="F34:G34"/>
    <mergeCell ref="H34:I34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22:D22"/>
    <mergeCell ref="F22:I22"/>
    <mergeCell ref="A26:D26"/>
    <mergeCell ref="F26:I26"/>
    <mergeCell ref="A20:B20"/>
    <mergeCell ref="C20:D20"/>
    <mergeCell ref="F20:G20"/>
    <mergeCell ref="H20:I20"/>
    <mergeCell ref="B21:D21"/>
    <mergeCell ref="G21:I21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70C0"/>
  </sheetPr>
  <dimension ref="A1:L14"/>
  <sheetViews>
    <sheetView view="pageBreakPreview" zoomScaleNormal="100" zoomScaleSheetLayoutView="100" workbookViewId="0">
      <selection activeCell="F8" sqref="F8:I1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34</v>
      </c>
      <c r="B1" s="33"/>
      <c r="C1" s="33"/>
      <c r="D1" s="33"/>
      <c r="E1" s="2"/>
      <c r="F1" s="33" t="str">
        <f>A1</f>
        <v>Oval DEO - Cap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96</v>
      </c>
      <c r="E3" s="4"/>
      <c r="F3" s="11" t="s">
        <v>2</v>
      </c>
      <c r="G3" s="10"/>
      <c r="H3" s="11" t="s">
        <v>5</v>
      </c>
      <c r="I3" s="7" t="str">
        <f>D3</f>
        <v>14A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64</v>
      </c>
      <c r="E4" s="4"/>
      <c r="F4" s="8" t="s">
        <v>3</v>
      </c>
      <c r="G4" s="9">
        <v>3</v>
      </c>
      <c r="H4" s="11" t="s">
        <v>6</v>
      </c>
      <c r="I4" s="7" t="str">
        <f>D4</f>
        <v>DEO-C04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48</v>
      </c>
      <c r="B5" s="35"/>
      <c r="C5" s="35"/>
      <c r="D5" s="36"/>
      <c r="E5" s="5"/>
      <c r="F5" s="34" t="s">
        <v>48</v>
      </c>
      <c r="G5" s="35"/>
      <c r="H5" s="35"/>
      <c r="I5" s="36"/>
      <c r="K5" s="1">
        <v>700</v>
      </c>
      <c r="L5" s="1">
        <v>20</v>
      </c>
    </row>
    <row r="6" spans="1:12" s="1" customFormat="1" ht="30" customHeight="1" x14ac:dyDescent="0.25">
      <c r="A6" s="43" t="s">
        <v>77</v>
      </c>
      <c r="B6" s="44"/>
      <c r="C6" s="44" t="s">
        <v>97</v>
      </c>
      <c r="D6" s="42"/>
      <c r="E6" s="4"/>
      <c r="F6" s="43" t="str">
        <f>A6</f>
        <v>P814</v>
      </c>
      <c r="G6" s="44"/>
      <c r="H6" s="44" t="str">
        <f>C6</f>
        <v>MTD Blue</v>
      </c>
      <c r="I6" s="42"/>
    </row>
    <row r="7" spans="1:12" s="1" customFormat="1" ht="30" customHeight="1" x14ac:dyDescent="0.25">
      <c r="A7" s="12" t="s">
        <v>4</v>
      </c>
      <c r="B7" s="37">
        <v>26886</v>
      </c>
      <c r="C7" s="37"/>
      <c r="D7" s="38"/>
      <c r="E7" s="4"/>
      <c r="F7" s="12" t="s">
        <v>4</v>
      </c>
      <c r="G7" s="37">
        <f>B7</f>
        <v>26886</v>
      </c>
      <c r="H7" s="37"/>
      <c r="I7" s="38"/>
    </row>
    <row r="8" spans="1:12" ht="63.75" customHeight="1" x14ac:dyDescent="0.25">
      <c r="A8" s="33" t="s">
        <v>34</v>
      </c>
      <c r="B8" s="33"/>
      <c r="C8" s="33"/>
      <c r="D8" s="33"/>
      <c r="E8" s="2"/>
      <c r="F8" s="33" t="str">
        <f>A8</f>
        <v>Oval DEO - Cap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96</v>
      </c>
      <c r="E10" s="4"/>
      <c r="F10" s="11" t="s">
        <v>2</v>
      </c>
      <c r="G10" s="10"/>
      <c r="H10" s="11" t="s">
        <v>5</v>
      </c>
      <c r="I10" s="7" t="str">
        <f>D10</f>
        <v>14A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64</v>
      </c>
      <c r="E11" s="4"/>
      <c r="F11" s="8" t="s">
        <v>3</v>
      </c>
      <c r="G11" s="9">
        <v>4</v>
      </c>
      <c r="H11" s="11" t="s">
        <v>6</v>
      </c>
      <c r="I11" s="7" t="str">
        <f>D11</f>
        <v>DEO-C04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48</v>
      </c>
      <c r="B12" s="35"/>
      <c r="C12" s="35"/>
      <c r="D12" s="36"/>
      <c r="E12" s="5"/>
      <c r="F12" s="34" t="s">
        <v>95</v>
      </c>
      <c r="G12" s="35"/>
      <c r="H12" s="35"/>
      <c r="I12" s="36"/>
      <c r="K12" s="1">
        <v>700</v>
      </c>
      <c r="L12" s="1">
        <v>20</v>
      </c>
    </row>
    <row r="13" spans="1:12" s="1" customFormat="1" ht="30" customHeight="1" x14ac:dyDescent="0.25">
      <c r="A13" s="43" t="s">
        <v>77</v>
      </c>
      <c r="B13" s="44"/>
      <c r="C13" s="44" t="s">
        <v>97</v>
      </c>
      <c r="D13" s="42"/>
      <c r="E13" s="4"/>
      <c r="F13" s="43" t="str">
        <f>A13</f>
        <v>P814</v>
      </c>
      <c r="G13" s="44"/>
      <c r="H13" s="44" t="str">
        <f>C13</f>
        <v>MTD Blue</v>
      </c>
      <c r="I13" s="42"/>
    </row>
    <row r="14" spans="1:12" s="1" customFormat="1" ht="30" customHeight="1" x14ac:dyDescent="0.25">
      <c r="A14" s="12" t="s">
        <v>4</v>
      </c>
      <c r="B14" s="37">
        <v>26886</v>
      </c>
      <c r="C14" s="37"/>
      <c r="D14" s="38"/>
      <c r="E14" s="4"/>
      <c r="F14" s="12" t="s">
        <v>4</v>
      </c>
      <c r="G14" s="37">
        <f>B14</f>
        <v>26886</v>
      </c>
      <c r="H14" s="37"/>
      <c r="I14" s="38"/>
    </row>
  </sheetData>
  <mergeCells count="20">
    <mergeCell ref="A13:B13"/>
    <mergeCell ref="C13:D13"/>
    <mergeCell ref="F13:G13"/>
    <mergeCell ref="H13:I13"/>
    <mergeCell ref="B14:D14"/>
    <mergeCell ref="G14:I14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B7:D7"/>
    <mergeCell ref="G7:I7"/>
  </mergeCells>
  <pageMargins left="0.19685039370078741" right="0" top="0.19685039370078741" bottom="0.19685039370078741" header="0" footer="0"/>
  <pageSetup scale="9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70C0"/>
  </sheetPr>
  <dimension ref="A1:L14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34</v>
      </c>
      <c r="B1" s="33"/>
      <c r="C1" s="33"/>
      <c r="D1" s="33"/>
      <c r="E1" s="2"/>
      <c r="F1" s="33" t="str">
        <f>A1</f>
        <v>Oval DEO - Cap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46</v>
      </c>
      <c r="E3" s="4"/>
      <c r="F3" s="11" t="s">
        <v>2</v>
      </c>
      <c r="G3" s="10"/>
      <c r="H3" s="11" t="s">
        <v>5</v>
      </c>
      <c r="I3" s="7" t="str">
        <f>D3</f>
        <v>20B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47</v>
      </c>
      <c r="E4" s="4"/>
      <c r="F4" s="8" t="s">
        <v>3</v>
      </c>
      <c r="G4" s="9">
        <v>3</v>
      </c>
      <c r="H4" s="11" t="s">
        <v>6</v>
      </c>
      <c r="I4" s="7" t="str">
        <f>D4</f>
        <v>DEO-C05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48</v>
      </c>
      <c r="B5" s="35"/>
      <c r="C5" s="35"/>
      <c r="D5" s="36"/>
      <c r="E5" s="5"/>
      <c r="F5" s="34" t="s">
        <v>113</v>
      </c>
      <c r="G5" s="35"/>
      <c r="H5" s="35"/>
      <c r="I5" s="36"/>
      <c r="K5" s="1">
        <v>700</v>
      </c>
      <c r="L5" s="1">
        <v>20</v>
      </c>
    </row>
    <row r="6" spans="1:12" s="1" customFormat="1" ht="30" customHeight="1" x14ac:dyDescent="0.25">
      <c r="A6" s="43" t="s">
        <v>77</v>
      </c>
      <c r="B6" s="44"/>
      <c r="C6" s="44" t="s">
        <v>112</v>
      </c>
      <c r="D6" s="42"/>
      <c r="E6" s="4"/>
      <c r="F6" s="43" t="str">
        <f>A6</f>
        <v>P814</v>
      </c>
      <c r="G6" s="44"/>
      <c r="H6" s="44" t="str">
        <f>C6</f>
        <v>Yellow</v>
      </c>
      <c r="I6" s="42"/>
    </row>
    <row r="7" spans="1:12" s="1" customFormat="1" ht="30" customHeight="1" x14ac:dyDescent="0.25">
      <c r="A7" s="12" t="s">
        <v>4</v>
      </c>
      <c r="B7" s="37">
        <v>27049</v>
      </c>
      <c r="C7" s="37"/>
      <c r="D7" s="38"/>
      <c r="E7" s="4"/>
      <c r="F7" s="12" t="s">
        <v>4</v>
      </c>
      <c r="G7" s="37">
        <f>B7</f>
        <v>27049</v>
      </c>
      <c r="H7" s="37"/>
      <c r="I7" s="38"/>
    </row>
    <row r="8" spans="1:12" ht="63.75" customHeight="1" x14ac:dyDescent="0.25">
      <c r="A8" s="33" t="s">
        <v>34</v>
      </c>
      <c r="B8" s="33"/>
      <c r="C8" s="33"/>
      <c r="D8" s="33"/>
      <c r="E8" s="2"/>
      <c r="F8" s="47" t="str">
        <f>A8</f>
        <v>Oval DEO - Cap</v>
      </c>
      <c r="G8" s="47"/>
      <c r="H8" s="47"/>
      <c r="I8" s="4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6" t="s">
        <v>0</v>
      </c>
      <c r="G9" s="16"/>
      <c r="H9" s="16" t="s">
        <v>1</v>
      </c>
      <c r="I9" s="16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46</v>
      </c>
      <c r="E10" s="4"/>
      <c r="F10" s="16" t="s">
        <v>2</v>
      </c>
      <c r="G10" s="16"/>
      <c r="H10" s="16" t="s">
        <v>5</v>
      </c>
      <c r="I10" s="13" t="str">
        <f>D10</f>
        <v>20B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47</v>
      </c>
      <c r="E11" s="4"/>
      <c r="F11" s="14" t="s">
        <v>3</v>
      </c>
      <c r="G11" s="15">
        <v>3</v>
      </c>
      <c r="H11" s="16" t="s">
        <v>6</v>
      </c>
      <c r="I11" s="13" t="str">
        <f>D11</f>
        <v>DEO-C05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48</v>
      </c>
      <c r="B12" s="35"/>
      <c r="C12" s="35"/>
      <c r="D12" s="36"/>
      <c r="E12" s="5"/>
      <c r="F12" s="48" t="s">
        <v>113</v>
      </c>
      <c r="G12" s="48"/>
      <c r="H12" s="48"/>
      <c r="I12" s="48"/>
      <c r="K12" s="1">
        <v>700</v>
      </c>
      <c r="L12" s="1">
        <v>20</v>
      </c>
    </row>
    <row r="13" spans="1:12" s="1" customFormat="1" ht="30" customHeight="1" x14ac:dyDescent="0.25">
      <c r="A13" s="43" t="s">
        <v>77</v>
      </c>
      <c r="B13" s="44"/>
      <c r="C13" s="44" t="s">
        <v>112</v>
      </c>
      <c r="D13" s="42"/>
      <c r="E13" s="4"/>
      <c r="F13" s="46" t="str">
        <f>A13</f>
        <v>P814</v>
      </c>
      <c r="G13" s="46"/>
      <c r="H13" s="46" t="str">
        <f>C13</f>
        <v>Yellow</v>
      </c>
      <c r="I13" s="46"/>
    </row>
    <row r="14" spans="1:12" s="1" customFormat="1" ht="30" customHeight="1" x14ac:dyDescent="0.25">
      <c r="A14" s="12" t="s">
        <v>4</v>
      </c>
      <c r="B14" s="37">
        <v>27049</v>
      </c>
      <c r="C14" s="37"/>
      <c r="D14" s="38"/>
      <c r="E14" s="4"/>
      <c r="F14" s="16" t="s">
        <v>4</v>
      </c>
      <c r="G14" s="45">
        <f>B14</f>
        <v>27049</v>
      </c>
      <c r="H14" s="45"/>
      <c r="I14" s="45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scale="9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70C0"/>
  </sheetPr>
  <dimension ref="A1:L35"/>
  <sheetViews>
    <sheetView view="pageBreakPreview" topLeftCell="A22" zoomScaleNormal="100" zoomScaleSheetLayoutView="100" workbookViewId="0">
      <selection activeCell="F22" sqref="F22:I2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35</v>
      </c>
      <c r="B1" s="33"/>
      <c r="C1" s="33"/>
      <c r="D1" s="33"/>
      <c r="E1" s="2"/>
      <c r="F1" s="33" t="str">
        <f>A1</f>
        <v>Oval DEO - Barrel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32</v>
      </c>
      <c r="E3" s="4"/>
      <c r="F3" s="11" t="s">
        <v>2</v>
      </c>
      <c r="G3" s="10"/>
      <c r="H3" s="11" t="s">
        <v>5</v>
      </c>
      <c r="I3" s="7" t="str">
        <f>D3</f>
        <v>21B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33</v>
      </c>
      <c r="E4" s="4"/>
      <c r="F4" s="8" t="s">
        <v>3</v>
      </c>
      <c r="G4" s="9">
        <v>6</v>
      </c>
      <c r="H4" s="11" t="s">
        <v>6</v>
      </c>
      <c r="I4" s="7" t="str">
        <f>D4</f>
        <v>DEO-B02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78</v>
      </c>
      <c r="B5" s="35"/>
      <c r="C5" s="35"/>
      <c r="D5" s="36"/>
      <c r="E5" s="5"/>
      <c r="F5" s="34" t="s">
        <v>78</v>
      </c>
      <c r="G5" s="35"/>
      <c r="H5" s="35"/>
      <c r="I5" s="36"/>
      <c r="K5" s="1">
        <v>200</v>
      </c>
      <c r="L5" s="1">
        <v>20</v>
      </c>
    </row>
    <row r="6" spans="1:12" s="1" customFormat="1" ht="30" customHeight="1" x14ac:dyDescent="0.25">
      <c r="A6" s="43" t="s">
        <v>77</v>
      </c>
      <c r="B6" s="44"/>
      <c r="C6" s="41" t="s">
        <v>112</v>
      </c>
      <c r="D6" s="42"/>
      <c r="E6" s="4"/>
      <c r="F6" s="43" t="str">
        <f>A6</f>
        <v>P814</v>
      </c>
      <c r="G6" s="44"/>
      <c r="H6" s="41" t="str">
        <f>C6</f>
        <v>Yellow</v>
      </c>
      <c r="I6" s="42"/>
    </row>
    <row r="7" spans="1:12" s="1" customFormat="1" ht="30" customHeight="1" x14ac:dyDescent="0.25">
      <c r="A7" s="12" t="s">
        <v>4</v>
      </c>
      <c r="B7" s="37">
        <v>27049</v>
      </c>
      <c r="C7" s="37"/>
      <c r="D7" s="38"/>
      <c r="E7" s="4"/>
      <c r="F7" s="12" t="s">
        <v>4</v>
      </c>
      <c r="G7" s="37">
        <f>B7</f>
        <v>27049</v>
      </c>
      <c r="H7" s="37"/>
      <c r="I7" s="38"/>
    </row>
    <row r="8" spans="1:12" ht="63.75" customHeight="1" x14ac:dyDescent="0.25">
      <c r="A8" s="33" t="s">
        <v>35</v>
      </c>
      <c r="B8" s="33"/>
      <c r="C8" s="33"/>
      <c r="D8" s="33"/>
      <c r="E8" s="2"/>
      <c r="F8" s="33" t="str">
        <f>A8</f>
        <v>Oval DEO - Barrel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32</v>
      </c>
      <c r="E10" s="4"/>
      <c r="F10" s="11" t="s">
        <v>2</v>
      </c>
      <c r="G10" s="10"/>
      <c r="H10" s="11" t="s">
        <v>5</v>
      </c>
      <c r="I10" s="7" t="str">
        <f>D10</f>
        <v>21B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33</v>
      </c>
      <c r="E11" s="4"/>
      <c r="F11" s="8" t="s">
        <v>3</v>
      </c>
      <c r="G11" s="9">
        <v>7</v>
      </c>
      <c r="H11" s="11" t="s">
        <v>6</v>
      </c>
      <c r="I11" s="7" t="str">
        <f>D11</f>
        <v>DEO-B02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78</v>
      </c>
      <c r="B12" s="35"/>
      <c r="C12" s="35"/>
      <c r="D12" s="36"/>
      <c r="E12" s="5"/>
      <c r="F12" s="34" t="s">
        <v>78</v>
      </c>
      <c r="G12" s="35"/>
      <c r="H12" s="35"/>
      <c r="I12" s="36"/>
      <c r="K12" s="1">
        <v>200</v>
      </c>
      <c r="L12" s="1">
        <v>20</v>
      </c>
    </row>
    <row r="13" spans="1:12" s="1" customFormat="1" ht="30" customHeight="1" x14ac:dyDescent="0.25">
      <c r="A13" s="43" t="s">
        <v>77</v>
      </c>
      <c r="B13" s="44"/>
      <c r="C13" s="41" t="s">
        <v>112</v>
      </c>
      <c r="D13" s="42"/>
      <c r="E13" s="4"/>
      <c r="F13" s="43" t="str">
        <f>A13</f>
        <v>P814</v>
      </c>
      <c r="G13" s="44"/>
      <c r="H13" s="41" t="str">
        <f>C13</f>
        <v>Yellow</v>
      </c>
      <c r="I13" s="42"/>
    </row>
    <row r="14" spans="1:12" s="1" customFormat="1" ht="30" customHeight="1" x14ac:dyDescent="0.25">
      <c r="A14" s="12" t="s">
        <v>4</v>
      </c>
      <c r="B14" s="37">
        <v>27049</v>
      </c>
      <c r="C14" s="37"/>
      <c r="D14" s="38"/>
      <c r="E14" s="4"/>
      <c r="F14" s="12" t="s">
        <v>4</v>
      </c>
      <c r="G14" s="37">
        <f>B14</f>
        <v>27049</v>
      </c>
      <c r="H14" s="37"/>
      <c r="I14" s="38"/>
    </row>
    <row r="15" spans="1:12" ht="63.75" customHeight="1" x14ac:dyDescent="0.25">
      <c r="A15" s="33" t="s">
        <v>35</v>
      </c>
      <c r="B15" s="33"/>
      <c r="C15" s="33"/>
      <c r="D15" s="33"/>
      <c r="E15" s="2"/>
      <c r="F15" s="33" t="str">
        <f>A15</f>
        <v>Oval DEO - Barrel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32</v>
      </c>
      <c r="E17" s="4"/>
      <c r="F17" s="11" t="s">
        <v>2</v>
      </c>
      <c r="G17" s="10"/>
      <c r="H17" s="11" t="s">
        <v>5</v>
      </c>
      <c r="I17" s="7" t="str">
        <f>D17</f>
        <v>21B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33</v>
      </c>
      <c r="E18" s="4"/>
      <c r="F18" s="8" t="s">
        <v>3</v>
      </c>
      <c r="G18" s="9">
        <v>8</v>
      </c>
      <c r="H18" s="11" t="s">
        <v>6</v>
      </c>
      <c r="I18" s="7" t="str">
        <f>D18</f>
        <v>DEO-B02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78</v>
      </c>
      <c r="B19" s="35"/>
      <c r="C19" s="35"/>
      <c r="D19" s="36"/>
      <c r="E19" s="5"/>
      <c r="F19" s="34" t="s">
        <v>78</v>
      </c>
      <c r="G19" s="35"/>
      <c r="H19" s="35"/>
      <c r="I19" s="36"/>
      <c r="K19" s="1">
        <v>200</v>
      </c>
      <c r="L19" s="1">
        <v>20</v>
      </c>
    </row>
    <row r="20" spans="1:12" s="1" customFormat="1" ht="30" customHeight="1" x14ac:dyDescent="0.25">
      <c r="A20" s="43" t="s">
        <v>77</v>
      </c>
      <c r="B20" s="44"/>
      <c r="C20" s="41" t="s">
        <v>112</v>
      </c>
      <c r="D20" s="42"/>
      <c r="E20" s="4"/>
      <c r="F20" s="43" t="str">
        <f>A20</f>
        <v>P814</v>
      </c>
      <c r="G20" s="44"/>
      <c r="H20" s="41" t="str">
        <f>C20</f>
        <v>Yellow</v>
      </c>
      <c r="I20" s="42"/>
    </row>
    <row r="21" spans="1:12" s="1" customFormat="1" ht="30" customHeight="1" x14ac:dyDescent="0.25">
      <c r="A21" s="12" t="s">
        <v>4</v>
      </c>
      <c r="B21" s="37">
        <v>27049</v>
      </c>
      <c r="C21" s="37"/>
      <c r="D21" s="38"/>
      <c r="E21" s="4"/>
      <c r="F21" s="12" t="s">
        <v>4</v>
      </c>
      <c r="G21" s="37">
        <f>B21</f>
        <v>27049</v>
      </c>
      <c r="H21" s="37"/>
      <c r="I21" s="38"/>
    </row>
    <row r="22" spans="1:12" ht="63.75" customHeight="1" x14ac:dyDescent="0.25">
      <c r="A22" s="33" t="s">
        <v>35</v>
      </c>
      <c r="B22" s="33"/>
      <c r="C22" s="33"/>
      <c r="D22" s="33"/>
      <c r="E22" s="2"/>
      <c r="F22" s="33" t="str">
        <f>A22</f>
        <v>Oval DEO - Barrel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32</v>
      </c>
      <c r="E24" s="4"/>
      <c r="F24" s="11" t="s">
        <v>2</v>
      </c>
      <c r="G24" s="10"/>
      <c r="H24" s="11" t="s">
        <v>5</v>
      </c>
      <c r="I24" s="7" t="str">
        <f>D24</f>
        <v>21B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33</v>
      </c>
      <c r="E25" s="4"/>
      <c r="F25" s="8" t="s">
        <v>3</v>
      </c>
      <c r="G25" s="9">
        <v>9</v>
      </c>
      <c r="H25" s="11" t="s">
        <v>6</v>
      </c>
      <c r="I25" s="7" t="str">
        <f>D25</f>
        <v>DEO-B02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78</v>
      </c>
      <c r="B26" s="35"/>
      <c r="C26" s="35"/>
      <c r="D26" s="36"/>
      <c r="E26" s="5"/>
      <c r="F26" s="34" t="s">
        <v>114</v>
      </c>
      <c r="G26" s="35"/>
      <c r="H26" s="35"/>
      <c r="I26" s="36"/>
      <c r="K26" s="1">
        <v>200</v>
      </c>
      <c r="L26" s="1">
        <v>20</v>
      </c>
    </row>
    <row r="27" spans="1:12" s="1" customFormat="1" ht="30" customHeight="1" x14ac:dyDescent="0.25">
      <c r="A27" s="43" t="s">
        <v>77</v>
      </c>
      <c r="B27" s="44"/>
      <c r="C27" s="41" t="s">
        <v>112</v>
      </c>
      <c r="D27" s="42"/>
      <c r="E27" s="4"/>
      <c r="F27" s="43" t="str">
        <f>A27</f>
        <v>P814</v>
      </c>
      <c r="G27" s="44"/>
      <c r="H27" s="41" t="str">
        <f>C27</f>
        <v>Yellow</v>
      </c>
      <c r="I27" s="42"/>
    </row>
    <row r="28" spans="1:12" s="1" customFormat="1" ht="30" customHeight="1" x14ac:dyDescent="0.25">
      <c r="A28" s="12" t="s">
        <v>4</v>
      </c>
      <c r="B28" s="37">
        <v>27049</v>
      </c>
      <c r="C28" s="37"/>
      <c r="D28" s="38"/>
      <c r="E28" s="4"/>
      <c r="F28" s="12" t="s">
        <v>4</v>
      </c>
      <c r="G28" s="37">
        <f>B28</f>
        <v>27049</v>
      </c>
      <c r="H28" s="37"/>
      <c r="I28" s="38"/>
    </row>
    <row r="29" spans="1:12" ht="63.75" customHeight="1" x14ac:dyDescent="0.25">
      <c r="A29" s="33" t="s">
        <v>35</v>
      </c>
      <c r="B29" s="33"/>
      <c r="C29" s="33"/>
      <c r="D29" s="33"/>
      <c r="E29" s="2"/>
      <c r="F29" s="47" t="str">
        <f>A29</f>
        <v>Oval DEO - Barrel</v>
      </c>
      <c r="G29" s="47"/>
      <c r="H29" s="47"/>
      <c r="I29" s="4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6" t="s">
        <v>0</v>
      </c>
      <c r="G30" s="16"/>
      <c r="H30" s="16" t="s">
        <v>1</v>
      </c>
      <c r="I30" s="16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32</v>
      </c>
      <c r="E31" s="4"/>
      <c r="F31" s="16" t="s">
        <v>2</v>
      </c>
      <c r="G31" s="16"/>
      <c r="H31" s="16" t="s">
        <v>5</v>
      </c>
      <c r="I31" s="13" t="str">
        <f>D31</f>
        <v>21B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33</v>
      </c>
      <c r="E32" s="4"/>
      <c r="F32" s="14" t="s">
        <v>3</v>
      </c>
      <c r="G32" s="15">
        <v>9</v>
      </c>
      <c r="H32" s="16" t="s">
        <v>6</v>
      </c>
      <c r="I32" s="13" t="str">
        <f>D32</f>
        <v>DEO-B02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78</v>
      </c>
      <c r="B33" s="35"/>
      <c r="C33" s="35"/>
      <c r="D33" s="36"/>
      <c r="E33" s="5"/>
      <c r="F33" s="48" t="s">
        <v>114</v>
      </c>
      <c r="G33" s="48"/>
      <c r="H33" s="48"/>
      <c r="I33" s="48"/>
      <c r="K33" s="1">
        <v>200</v>
      </c>
      <c r="L33" s="1">
        <v>20</v>
      </c>
    </row>
    <row r="34" spans="1:12" s="1" customFormat="1" ht="30" customHeight="1" x14ac:dyDescent="0.25">
      <c r="A34" s="43" t="s">
        <v>77</v>
      </c>
      <c r="B34" s="44"/>
      <c r="C34" s="41" t="s">
        <v>112</v>
      </c>
      <c r="D34" s="42"/>
      <c r="E34" s="4"/>
      <c r="F34" s="46" t="str">
        <f>A34</f>
        <v>P814</v>
      </c>
      <c r="G34" s="46"/>
      <c r="H34" s="49" t="str">
        <f>C34</f>
        <v>Yellow</v>
      </c>
      <c r="I34" s="46"/>
    </row>
    <row r="35" spans="1:12" s="1" customFormat="1" ht="30" customHeight="1" x14ac:dyDescent="0.25">
      <c r="A35" s="12" t="s">
        <v>4</v>
      </c>
      <c r="B35" s="37">
        <v>27049</v>
      </c>
      <c r="C35" s="37"/>
      <c r="D35" s="38"/>
      <c r="E35" s="4"/>
      <c r="F35" s="16" t="s">
        <v>4</v>
      </c>
      <c r="G35" s="45">
        <f>B35</f>
        <v>27049</v>
      </c>
      <c r="H35" s="45"/>
      <c r="I35" s="45"/>
    </row>
  </sheetData>
  <mergeCells count="50">
    <mergeCell ref="A8:D8"/>
    <mergeCell ref="F8:I8"/>
    <mergeCell ref="A12:D12"/>
    <mergeCell ref="A15:D15"/>
    <mergeCell ref="F15:I15"/>
    <mergeCell ref="B14:D14"/>
    <mergeCell ref="G14:I14"/>
    <mergeCell ref="F12:I12"/>
    <mergeCell ref="A13:B13"/>
    <mergeCell ref="C13:D13"/>
    <mergeCell ref="F13:G13"/>
    <mergeCell ref="H13:I13"/>
    <mergeCell ref="B28:D28"/>
    <mergeCell ref="G28:I28"/>
    <mergeCell ref="A29:D29"/>
    <mergeCell ref="F29:I29"/>
    <mergeCell ref="A33:D33"/>
    <mergeCell ref="F33:I33"/>
    <mergeCell ref="A34:B34"/>
    <mergeCell ref="C34:D34"/>
    <mergeCell ref="F34:G34"/>
    <mergeCell ref="B35:D35"/>
    <mergeCell ref="G35:I35"/>
    <mergeCell ref="H34:I34"/>
    <mergeCell ref="H27:I27"/>
    <mergeCell ref="A19:D19"/>
    <mergeCell ref="F19:I19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A27:B27"/>
    <mergeCell ref="C27:D27"/>
    <mergeCell ref="F27:G27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70C0"/>
  </sheetPr>
  <dimension ref="A1:L7"/>
  <sheetViews>
    <sheetView view="pageBreakPreview" zoomScaleNormal="100" zoomScaleSheetLayoutView="100" workbookViewId="0">
      <selection activeCell="A2" sqref="A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36</v>
      </c>
      <c r="B1" s="33"/>
      <c r="C1" s="33"/>
      <c r="D1" s="33"/>
      <c r="E1" s="2"/>
      <c r="F1" s="33" t="str">
        <f>A1</f>
        <v>Oval DEO - Inner Dome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21</v>
      </c>
      <c r="E3" s="4"/>
      <c r="F3" s="11" t="s">
        <v>2</v>
      </c>
      <c r="G3" s="10"/>
      <c r="H3" s="11" t="s">
        <v>5</v>
      </c>
      <c r="I3" s="7" t="str">
        <f>D3</f>
        <v>22B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22</v>
      </c>
      <c r="E4" s="4"/>
      <c r="F4" s="8" t="s">
        <v>3</v>
      </c>
      <c r="G4" s="9">
        <v>2</v>
      </c>
      <c r="H4" s="11" t="s">
        <v>6</v>
      </c>
      <c r="I4" s="7" t="str">
        <f>D4</f>
        <v>DEO-D01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11</v>
      </c>
      <c r="B5" s="35"/>
      <c r="C5" s="35"/>
      <c r="D5" s="36"/>
      <c r="E5" s="5"/>
      <c r="F5" s="34" t="s">
        <v>12</v>
      </c>
      <c r="G5" s="35"/>
      <c r="H5" s="35"/>
      <c r="I5" s="36"/>
      <c r="K5" s="1">
        <v>500</v>
      </c>
      <c r="L5" s="1">
        <v>80</v>
      </c>
    </row>
    <row r="6" spans="1:12" s="1" customFormat="1" ht="30" customHeight="1" x14ac:dyDescent="0.25">
      <c r="A6" s="43" t="s">
        <v>9</v>
      </c>
      <c r="B6" s="44"/>
      <c r="C6" s="44" t="s">
        <v>10</v>
      </c>
      <c r="D6" s="42"/>
      <c r="E6" s="4"/>
      <c r="F6" s="43" t="str">
        <f>A6</f>
        <v>PCR-Q</v>
      </c>
      <c r="G6" s="44"/>
      <c r="H6" s="44" t="str">
        <f>C6</f>
        <v>White</v>
      </c>
      <c r="I6" s="42"/>
    </row>
    <row r="7" spans="1:12" s="1" customFormat="1" ht="30" customHeight="1" x14ac:dyDescent="0.25">
      <c r="A7" s="12" t="s">
        <v>4</v>
      </c>
      <c r="B7" s="37">
        <v>22794</v>
      </c>
      <c r="C7" s="37"/>
      <c r="D7" s="38"/>
      <c r="E7" s="4"/>
      <c r="F7" s="12" t="s">
        <v>4</v>
      </c>
      <c r="G7" s="37">
        <f>B7</f>
        <v>22794</v>
      </c>
      <c r="H7" s="37"/>
      <c r="I7" s="38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70C0"/>
  </sheetPr>
  <dimension ref="A1:L35"/>
  <sheetViews>
    <sheetView view="pageBreakPreview" zoomScaleNormal="100" zoomScaleSheetLayoutView="100" workbookViewId="0">
      <selection activeCell="C4" sqref="C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37</v>
      </c>
      <c r="B1" s="33"/>
      <c r="C1" s="33"/>
      <c r="D1" s="33"/>
      <c r="E1" s="2"/>
      <c r="F1" s="33" t="str">
        <f>A1</f>
        <v>Oval DEO - Platform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19</v>
      </c>
      <c r="E3" s="4"/>
      <c r="F3" s="11" t="s">
        <v>2</v>
      </c>
      <c r="G3" s="10"/>
      <c r="H3" s="11" t="s">
        <v>5</v>
      </c>
      <c r="I3" s="7" t="str">
        <f>D3</f>
        <v>09B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20</v>
      </c>
      <c r="E4" s="4"/>
      <c r="F4" s="8" t="s">
        <v>3</v>
      </c>
      <c r="G4" s="9">
        <v>6</v>
      </c>
      <c r="H4" s="11" t="s">
        <v>6</v>
      </c>
      <c r="I4" s="7" t="str">
        <f>D4</f>
        <v>DEO-P01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73</v>
      </c>
      <c r="B5" s="35"/>
      <c r="C5" s="35"/>
      <c r="D5" s="36"/>
      <c r="E5" s="5"/>
      <c r="F5" s="34" t="s">
        <v>73</v>
      </c>
      <c r="G5" s="35"/>
      <c r="H5" s="35"/>
      <c r="I5" s="36"/>
      <c r="K5" s="1">
        <v>470</v>
      </c>
      <c r="L5" s="1">
        <v>80</v>
      </c>
    </row>
    <row r="6" spans="1:12" s="1" customFormat="1" ht="30" customHeight="1" x14ac:dyDescent="0.25">
      <c r="A6" s="43" t="s">
        <v>77</v>
      </c>
      <c r="B6" s="44"/>
      <c r="C6" s="44" t="s">
        <v>10</v>
      </c>
      <c r="D6" s="42"/>
      <c r="E6" s="4"/>
      <c r="F6" s="43" t="str">
        <f>A6</f>
        <v>P814</v>
      </c>
      <c r="G6" s="44"/>
      <c r="H6" s="44" t="str">
        <f>C6</f>
        <v>White</v>
      </c>
      <c r="I6" s="42"/>
    </row>
    <row r="7" spans="1:12" s="1" customFormat="1" ht="30" customHeight="1" x14ac:dyDescent="0.25">
      <c r="A7" s="12" t="s">
        <v>4</v>
      </c>
      <c r="B7" s="37" t="s">
        <v>80</v>
      </c>
      <c r="C7" s="37"/>
      <c r="D7" s="38"/>
      <c r="E7" s="4"/>
      <c r="F7" s="12" t="s">
        <v>4</v>
      </c>
      <c r="G7" s="37" t="str">
        <f>B7</f>
        <v>26010, 26011, 26012, 26013</v>
      </c>
      <c r="H7" s="37"/>
      <c r="I7" s="38"/>
    </row>
    <row r="8" spans="1:12" ht="63.75" customHeight="1" x14ac:dyDescent="0.25">
      <c r="A8" s="33" t="s">
        <v>37</v>
      </c>
      <c r="B8" s="33"/>
      <c r="C8" s="33"/>
      <c r="D8" s="33"/>
      <c r="E8" s="2"/>
      <c r="F8" s="33" t="str">
        <f>A8</f>
        <v>Oval DEO - Platform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19</v>
      </c>
      <c r="E10" s="4"/>
      <c r="F10" s="11" t="s">
        <v>2</v>
      </c>
      <c r="G10" s="10"/>
      <c r="H10" s="11" t="s">
        <v>5</v>
      </c>
      <c r="I10" s="7" t="str">
        <f>D10</f>
        <v>09B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20</v>
      </c>
      <c r="E11" s="4"/>
      <c r="F11" s="8" t="s">
        <v>3</v>
      </c>
      <c r="G11" s="9">
        <v>7</v>
      </c>
      <c r="H11" s="11" t="s">
        <v>6</v>
      </c>
      <c r="I11" s="7" t="str">
        <f>D11</f>
        <v>DEO-P01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73</v>
      </c>
      <c r="B12" s="35"/>
      <c r="C12" s="35"/>
      <c r="D12" s="36"/>
      <c r="E12" s="5"/>
      <c r="F12" s="34" t="s">
        <v>73</v>
      </c>
      <c r="G12" s="35"/>
      <c r="H12" s="35"/>
      <c r="I12" s="36"/>
      <c r="K12" s="1">
        <v>470</v>
      </c>
      <c r="L12" s="1">
        <v>80</v>
      </c>
    </row>
    <row r="13" spans="1:12" s="1" customFormat="1" ht="30" customHeight="1" x14ac:dyDescent="0.25">
      <c r="A13" s="43" t="s">
        <v>77</v>
      </c>
      <c r="B13" s="44"/>
      <c r="C13" s="44" t="s">
        <v>10</v>
      </c>
      <c r="D13" s="42"/>
      <c r="E13" s="4"/>
      <c r="F13" s="43" t="str">
        <f>A13</f>
        <v>P814</v>
      </c>
      <c r="G13" s="44"/>
      <c r="H13" s="44" t="str">
        <f>C13</f>
        <v>White</v>
      </c>
      <c r="I13" s="42"/>
    </row>
    <row r="14" spans="1:12" s="1" customFormat="1" ht="30" customHeight="1" x14ac:dyDescent="0.25">
      <c r="A14" s="12" t="s">
        <v>4</v>
      </c>
      <c r="B14" s="37" t="s">
        <v>80</v>
      </c>
      <c r="C14" s="37"/>
      <c r="D14" s="38"/>
      <c r="E14" s="4"/>
      <c r="F14" s="12" t="s">
        <v>4</v>
      </c>
      <c r="G14" s="37" t="str">
        <f>B14</f>
        <v>26010, 26011, 26012, 26013</v>
      </c>
      <c r="H14" s="37"/>
      <c r="I14" s="38"/>
    </row>
    <row r="15" spans="1:12" ht="63.75" customHeight="1" x14ac:dyDescent="0.25">
      <c r="A15" s="33" t="s">
        <v>37</v>
      </c>
      <c r="B15" s="33"/>
      <c r="C15" s="33"/>
      <c r="D15" s="33"/>
      <c r="E15" s="2"/>
      <c r="F15" s="33" t="str">
        <f>A15</f>
        <v>Oval DEO - Platform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19</v>
      </c>
      <c r="E17" s="4"/>
      <c r="F17" s="11" t="s">
        <v>2</v>
      </c>
      <c r="G17" s="10"/>
      <c r="H17" s="11" t="s">
        <v>5</v>
      </c>
      <c r="I17" s="7" t="str">
        <f>D17</f>
        <v>09B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20</v>
      </c>
      <c r="E18" s="4"/>
      <c r="F18" s="8" t="s">
        <v>3</v>
      </c>
      <c r="G18" s="9">
        <v>8</v>
      </c>
      <c r="H18" s="11" t="s">
        <v>6</v>
      </c>
      <c r="I18" s="7" t="str">
        <f>D18</f>
        <v>DEO-P01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73</v>
      </c>
      <c r="B19" s="35"/>
      <c r="C19" s="35"/>
      <c r="D19" s="36"/>
      <c r="E19" s="5"/>
      <c r="F19" s="34" t="s">
        <v>73</v>
      </c>
      <c r="G19" s="35"/>
      <c r="H19" s="35"/>
      <c r="I19" s="36"/>
      <c r="K19" s="1">
        <v>470</v>
      </c>
      <c r="L19" s="1">
        <v>80</v>
      </c>
    </row>
    <row r="20" spans="1:12" s="1" customFormat="1" ht="30" customHeight="1" x14ac:dyDescent="0.25">
      <c r="A20" s="43" t="s">
        <v>77</v>
      </c>
      <c r="B20" s="44"/>
      <c r="C20" s="44" t="s">
        <v>10</v>
      </c>
      <c r="D20" s="42"/>
      <c r="E20" s="4"/>
      <c r="F20" s="43" t="str">
        <f>A20</f>
        <v>P814</v>
      </c>
      <c r="G20" s="44"/>
      <c r="H20" s="44" t="str">
        <f>C20</f>
        <v>White</v>
      </c>
      <c r="I20" s="42"/>
    </row>
    <row r="21" spans="1:12" s="1" customFormat="1" ht="30" customHeight="1" x14ac:dyDescent="0.25">
      <c r="A21" s="12" t="s">
        <v>4</v>
      </c>
      <c r="B21" s="37" t="s">
        <v>80</v>
      </c>
      <c r="C21" s="37"/>
      <c r="D21" s="38"/>
      <c r="E21" s="4"/>
      <c r="F21" s="12" t="s">
        <v>4</v>
      </c>
      <c r="G21" s="37" t="str">
        <f>B21</f>
        <v>26010, 26011, 26012, 26013</v>
      </c>
      <c r="H21" s="37"/>
      <c r="I21" s="38"/>
    </row>
    <row r="22" spans="1:12" ht="63.75" customHeight="1" x14ac:dyDescent="0.25">
      <c r="A22" s="33" t="s">
        <v>37</v>
      </c>
      <c r="B22" s="33"/>
      <c r="C22" s="33"/>
      <c r="D22" s="33"/>
      <c r="E22" s="2"/>
      <c r="F22" s="33" t="str">
        <f>A22</f>
        <v>Oval DEO - Platform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19</v>
      </c>
      <c r="E24" s="4"/>
      <c r="F24" s="11" t="s">
        <v>2</v>
      </c>
      <c r="G24" s="10"/>
      <c r="H24" s="11" t="s">
        <v>5</v>
      </c>
      <c r="I24" s="7" t="str">
        <f>D24</f>
        <v>09B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20</v>
      </c>
      <c r="E25" s="4"/>
      <c r="F25" s="8" t="s">
        <v>3</v>
      </c>
      <c r="G25" s="9">
        <v>9</v>
      </c>
      <c r="H25" s="11" t="s">
        <v>6</v>
      </c>
      <c r="I25" s="7" t="str">
        <f>D25</f>
        <v>DEO-P01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73</v>
      </c>
      <c r="B26" s="35"/>
      <c r="C26" s="35"/>
      <c r="D26" s="36"/>
      <c r="E26" s="5"/>
      <c r="F26" s="34" t="s">
        <v>73</v>
      </c>
      <c r="G26" s="35"/>
      <c r="H26" s="35"/>
      <c r="I26" s="36"/>
      <c r="K26" s="1">
        <v>470</v>
      </c>
      <c r="L26" s="1">
        <v>80</v>
      </c>
    </row>
    <row r="27" spans="1:12" s="1" customFormat="1" ht="30" customHeight="1" x14ac:dyDescent="0.25">
      <c r="A27" s="43" t="s">
        <v>77</v>
      </c>
      <c r="B27" s="44"/>
      <c r="C27" s="44" t="s">
        <v>10</v>
      </c>
      <c r="D27" s="42"/>
      <c r="E27" s="4"/>
      <c r="F27" s="43" t="str">
        <f>A27</f>
        <v>P814</v>
      </c>
      <c r="G27" s="44"/>
      <c r="H27" s="44" t="str">
        <f>C27</f>
        <v>White</v>
      </c>
      <c r="I27" s="42"/>
    </row>
    <row r="28" spans="1:12" s="1" customFormat="1" ht="30" customHeight="1" x14ac:dyDescent="0.25">
      <c r="A28" s="12" t="s">
        <v>4</v>
      </c>
      <c r="B28" s="37" t="s">
        <v>80</v>
      </c>
      <c r="C28" s="37"/>
      <c r="D28" s="38"/>
      <c r="E28" s="4"/>
      <c r="F28" s="12" t="s">
        <v>4</v>
      </c>
      <c r="G28" s="37" t="str">
        <f>B28</f>
        <v>26010, 26011, 26012, 26013</v>
      </c>
      <c r="H28" s="37"/>
      <c r="I28" s="38"/>
    </row>
    <row r="29" spans="1:12" ht="63.75" customHeight="1" x14ac:dyDescent="0.25">
      <c r="A29" s="33" t="s">
        <v>37</v>
      </c>
      <c r="B29" s="33"/>
      <c r="C29" s="33"/>
      <c r="D29" s="33"/>
      <c r="E29" s="2"/>
      <c r="F29" s="33" t="str">
        <f>A29</f>
        <v>Oval DEO - Platform</v>
      </c>
      <c r="G29" s="33"/>
      <c r="H29" s="33"/>
      <c r="I29" s="33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19</v>
      </c>
      <c r="E31" s="4"/>
      <c r="F31" s="11" t="s">
        <v>2</v>
      </c>
      <c r="G31" s="10"/>
      <c r="H31" s="11" t="s">
        <v>5</v>
      </c>
      <c r="I31" s="7" t="str">
        <f>D31</f>
        <v>09B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20</v>
      </c>
      <c r="E32" s="4"/>
      <c r="F32" s="8" t="s">
        <v>3</v>
      </c>
      <c r="G32" s="9">
        <v>10</v>
      </c>
      <c r="H32" s="11" t="s">
        <v>6</v>
      </c>
      <c r="I32" s="7" t="str">
        <f>D32</f>
        <v>DEO-P01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73</v>
      </c>
      <c r="B33" s="35"/>
      <c r="C33" s="35"/>
      <c r="D33" s="36"/>
      <c r="E33" s="5"/>
      <c r="F33" s="34" t="s">
        <v>73</v>
      </c>
      <c r="G33" s="35"/>
      <c r="H33" s="35"/>
      <c r="I33" s="36"/>
      <c r="K33" s="1">
        <v>470</v>
      </c>
      <c r="L33" s="1">
        <v>80</v>
      </c>
    </row>
    <row r="34" spans="1:12" s="1" customFormat="1" ht="30" customHeight="1" x14ac:dyDescent="0.25">
      <c r="A34" s="43" t="s">
        <v>77</v>
      </c>
      <c r="B34" s="44"/>
      <c r="C34" s="44" t="s">
        <v>10</v>
      </c>
      <c r="D34" s="42"/>
      <c r="E34" s="4"/>
      <c r="F34" s="43" t="str">
        <f>A34</f>
        <v>P814</v>
      </c>
      <c r="G34" s="44"/>
      <c r="H34" s="44" t="str">
        <f>C34</f>
        <v>White</v>
      </c>
      <c r="I34" s="42"/>
    </row>
    <row r="35" spans="1:12" s="1" customFormat="1" ht="30" customHeight="1" x14ac:dyDescent="0.25">
      <c r="A35" s="12" t="s">
        <v>4</v>
      </c>
      <c r="B35" s="37" t="s">
        <v>80</v>
      </c>
      <c r="C35" s="37"/>
      <c r="D35" s="38"/>
      <c r="E35" s="4"/>
      <c r="F35" s="12" t="s">
        <v>4</v>
      </c>
      <c r="G35" s="37" t="str">
        <f>B35</f>
        <v>26010, 26011, 26012, 26013</v>
      </c>
      <c r="H35" s="37"/>
      <c r="I35" s="38"/>
    </row>
  </sheetData>
  <mergeCells count="50"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70C0"/>
  </sheetPr>
  <dimension ref="A1:L7"/>
  <sheetViews>
    <sheetView view="pageBreakPreview" zoomScaleNormal="100" zoomScaleSheetLayoutView="100" workbookViewId="0">
      <selection activeCell="G17" sqref="G1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38</v>
      </c>
      <c r="B1" s="33"/>
      <c r="C1" s="33"/>
      <c r="D1" s="33"/>
      <c r="E1" s="2"/>
      <c r="F1" s="33" t="str">
        <f>A1</f>
        <v>Oval DEO - Screw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17</v>
      </c>
      <c r="E3" s="4"/>
      <c r="F3" s="11" t="s">
        <v>2</v>
      </c>
      <c r="G3" s="10"/>
      <c r="H3" s="11" t="s">
        <v>5</v>
      </c>
      <c r="I3" s="7" t="str">
        <f>D3</f>
        <v>04B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18</v>
      </c>
      <c r="E4" s="4"/>
      <c r="F4" s="8" t="s">
        <v>3</v>
      </c>
      <c r="G4" s="9">
        <v>2</v>
      </c>
      <c r="H4" s="11" t="s">
        <v>6</v>
      </c>
      <c r="I4" s="7" t="str">
        <f>D4</f>
        <v>DEO-S02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11</v>
      </c>
      <c r="B5" s="35"/>
      <c r="C5" s="35"/>
      <c r="D5" s="36"/>
      <c r="E5" s="5"/>
      <c r="F5" s="34" t="s">
        <v>12</v>
      </c>
      <c r="G5" s="35"/>
      <c r="H5" s="35"/>
      <c r="I5" s="36"/>
      <c r="K5" s="1">
        <v>200</v>
      </c>
      <c r="L5" s="1">
        <v>80</v>
      </c>
    </row>
    <row r="6" spans="1:12" s="1" customFormat="1" ht="30" customHeight="1" x14ac:dyDescent="0.25">
      <c r="A6" s="43" t="s">
        <v>9</v>
      </c>
      <c r="B6" s="44"/>
      <c r="C6" s="44" t="s">
        <v>10</v>
      </c>
      <c r="D6" s="42"/>
      <c r="E6" s="4"/>
      <c r="F6" s="43" t="str">
        <f>A6</f>
        <v>PCR-Q</v>
      </c>
      <c r="G6" s="44"/>
      <c r="H6" s="44" t="str">
        <f>C6</f>
        <v>White</v>
      </c>
      <c r="I6" s="42"/>
    </row>
    <row r="7" spans="1:12" s="1" customFormat="1" ht="30" customHeight="1" x14ac:dyDescent="0.25">
      <c r="A7" s="12" t="s">
        <v>4</v>
      </c>
      <c r="B7" s="37">
        <v>22794</v>
      </c>
      <c r="C7" s="37"/>
      <c r="D7" s="38"/>
      <c r="E7" s="4"/>
      <c r="F7" s="12" t="s">
        <v>4</v>
      </c>
      <c r="G7" s="37">
        <f>B7</f>
        <v>22794</v>
      </c>
      <c r="H7" s="37"/>
      <c r="I7" s="38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L7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41</v>
      </c>
      <c r="B1" s="33"/>
      <c r="C1" s="33"/>
      <c r="D1" s="33"/>
      <c r="E1" s="2"/>
      <c r="F1" s="33" t="str">
        <f>A1</f>
        <v>Oval DEO - Plug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105</v>
      </c>
      <c r="E3" s="4"/>
      <c r="F3" s="11" t="s">
        <v>2</v>
      </c>
      <c r="G3" s="10"/>
      <c r="H3" s="11" t="s">
        <v>5</v>
      </c>
      <c r="I3" s="7" t="str">
        <f>D3</f>
        <v>29B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42</v>
      </c>
      <c r="E4" s="4"/>
      <c r="F4" s="8" t="s">
        <v>3</v>
      </c>
      <c r="G4" s="9">
        <v>2</v>
      </c>
      <c r="H4" s="11" t="s">
        <v>6</v>
      </c>
      <c r="I4" s="7" t="str">
        <f>D4</f>
        <v>DEO-U02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106</v>
      </c>
      <c r="B5" s="35"/>
      <c r="C5" s="35"/>
      <c r="D5" s="36"/>
      <c r="E5" s="5"/>
      <c r="F5" s="34" t="s">
        <v>108</v>
      </c>
      <c r="G5" s="35"/>
      <c r="H5" s="35"/>
      <c r="I5" s="36"/>
      <c r="K5" s="1">
        <v>2000</v>
      </c>
      <c r="L5" s="1">
        <v>80</v>
      </c>
    </row>
    <row r="6" spans="1:12" s="1" customFormat="1" ht="30" customHeight="1" x14ac:dyDescent="0.25">
      <c r="A6" s="39" t="s">
        <v>45</v>
      </c>
      <c r="B6" s="40"/>
      <c r="C6" s="41" t="s">
        <v>10</v>
      </c>
      <c r="D6" s="42"/>
      <c r="E6" s="4"/>
      <c r="F6" s="39" t="str">
        <f>A6</f>
        <v>PP6331</v>
      </c>
      <c r="G6" s="40"/>
      <c r="H6" s="41" t="str">
        <f>C6</f>
        <v>White</v>
      </c>
      <c r="I6" s="42"/>
    </row>
    <row r="7" spans="1:12" s="1" customFormat="1" ht="30" customHeight="1" x14ac:dyDescent="0.25">
      <c r="A7" s="12" t="s">
        <v>4</v>
      </c>
      <c r="B7" s="37" t="s">
        <v>107</v>
      </c>
      <c r="C7" s="37"/>
      <c r="D7" s="38"/>
      <c r="E7" s="4"/>
      <c r="F7" s="12" t="s">
        <v>4</v>
      </c>
      <c r="G7" s="37" t="str">
        <f>B7</f>
        <v>27502, 27580, 27707</v>
      </c>
      <c r="H7" s="37"/>
      <c r="I7" s="38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L28"/>
  <sheetViews>
    <sheetView view="pageBreakPreview" zoomScaleNormal="100" zoomScaleSheetLayoutView="100" workbookViewId="0">
      <selection activeCell="F15" sqref="F15:I2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41</v>
      </c>
      <c r="B1" s="33"/>
      <c r="C1" s="33"/>
      <c r="D1" s="33"/>
      <c r="E1" s="2"/>
      <c r="F1" s="33" t="str">
        <f>A1</f>
        <v>Oval DEO - Plug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43</v>
      </c>
      <c r="E3" s="4"/>
      <c r="F3" s="11" t="s">
        <v>2</v>
      </c>
      <c r="G3" s="10"/>
      <c r="H3" s="11" t="s">
        <v>5</v>
      </c>
      <c r="I3" s="7" t="str">
        <f>D3</f>
        <v>07B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44</v>
      </c>
      <c r="E4" s="4"/>
      <c r="F4" s="8" t="s">
        <v>3</v>
      </c>
      <c r="G4" s="9">
        <v>5</v>
      </c>
      <c r="H4" s="11" t="s">
        <v>6</v>
      </c>
      <c r="I4" s="7" t="str">
        <f>D4</f>
        <v>DEO-U01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40</v>
      </c>
      <c r="B5" s="35"/>
      <c r="C5" s="35"/>
      <c r="D5" s="36"/>
      <c r="E5" s="5"/>
      <c r="F5" s="34" t="s">
        <v>40</v>
      </c>
      <c r="G5" s="35"/>
      <c r="H5" s="35"/>
      <c r="I5" s="36"/>
      <c r="K5" s="1">
        <v>2300</v>
      </c>
      <c r="L5" s="1">
        <v>80</v>
      </c>
    </row>
    <row r="6" spans="1:12" s="1" customFormat="1" ht="30" customHeight="1" x14ac:dyDescent="0.25">
      <c r="A6" s="43" t="s">
        <v>9</v>
      </c>
      <c r="B6" s="44"/>
      <c r="C6" s="44" t="s">
        <v>10</v>
      </c>
      <c r="D6" s="42"/>
      <c r="E6" s="4"/>
      <c r="F6" s="43" t="str">
        <f>A6</f>
        <v>PCR-Q</v>
      </c>
      <c r="G6" s="44"/>
      <c r="H6" s="44" t="str">
        <f>C6</f>
        <v>White</v>
      </c>
      <c r="I6" s="42"/>
    </row>
    <row r="7" spans="1:12" s="1" customFormat="1" ht="30" customHeight="1" x14ac:dyDescent="0.25">
      <c r="A7" s="12" t="s">
        <v>4</v>
      </c>
      <c r="B7" s="37">
        <v>23991</v>
      </c>
      <c r="C7" s="37"/>
      <c r="D7" s="38"/>
      <c r="E7" s="4"/>
      <c r="F7" s="12" t="s">
        <v>4</v>
      </c>
      <c r="G7" s="37">
        <f>B7</f>
        <v>23991</v>
      </c>
      <c r="H7" s="37"/>
      <c r="I7" s="38"/>
    </row>
    <row r="8" spans="1:12" ht="63.75" customHeight="1" x14ac:dyDescent="0.25">
      <c r="A8" s="33" t="s">
        <v>41</v>
      </c>
      <c r="B8" s="33"/>
      <c r="C8" s="33"/>
      <c r="D8" s="33"/>
      <c r="E8" s="2"/>
      <c r="F8" s="33" t="str">
        <f>A8</f>
        <v>Oval DEO - Plug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43</v>
      </c>
      <c r="E10" s="4"/>
      <c r="F10" s="11" t="s">
        <v>2</v>
      </c>
      <c r="G10" s="10"/>
      <c r="H10" s="11" t="s">
        <v>5</v>
      </c>
      <c r="I10" s="7" t="str">
        <f>D10</f>
        <v>07B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44</v>
      </c>
      <c r="E11" s="4"/>
      <c r="F11" s="8" t="s">
        <v>3</v>
      </c>
      <c r="G11" s="9">
        <v>6</v>
      </c>
      <c r="H11" s="11" t="s">
        <v>6</v>
      </c>
      <c r="I11" s="7" t="str">
        <f>D11</f>
        <v>DEO-U01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40</v>
      </c>
      <c r="B12" s="35"/>
      <c r="C12" s="35"/>
      <c r="D12" s="36"/>
      <c r="E12" s="5"/>
      <c r="F12" s="34" t="s">
        <v>40</v>
      </c>
      <c r="G12" s="35"/>
      <c r="H12" s="35"/>
      <c r="I12" s="36"/>
      <c r="K12" s="1">
        <v>2300</v>
      </c>
      <c r="L12" s="1">
        <v>80</v>
      </c>
    </row>
    <row r="13" spans="1:12" s="1" customFormat="1" ht="30" customHeight="1" x14ac:dyDescent="0.25">
      <c r="A13" s="43" t="s">
        <v>9</v>
      </c>
      <c r="B13" s="44"/>
      <c r="C13" s="44" t="s">
        <v>10</v>
      </c>
      <c r="D13" s="42"/>
      <c r="E13" s="4"/>
      <c r="F13" s="43" t="str">
        <f>A13</f>
        <v>PCR-Q</v>
      </c>
      <c r="G13" s="44"/>
      <c r="H13" s="44" t="str">
        <f>C13</f>
        <v>White</v>
      </c>
      <c r="I13" s="42"/>
    </row>
    <row r="14" spans="1:12" s="1" customFormat="1" ht="30" customHeight="1" x14ac:dyDescent="0.25">
      <c r="A14" s="12" t="s">
        <v>4</v>
      </c>
      <c r="B14" s="37">
        <v>23991</v>
      </c>
      <c r="C14" s="37"/>
      <c r="D14" s="38"/>
      <c r="E14" s="4"/>
      <c r="F14" s="12" t="s">
        <v>4</v>
      </c>
      <c r="G14" s="37">
        <f>B14</f>
        <v>23991</v>
      </c>
      <c r="H14" s="37"/>
      <c r="I14" s="38"/>
    </row>
    <row r="15" spans="1:12" ht="63.75" customHeight="1" x14ac:dyDescent="0.25">
      <c r="A15" s="33" t="s">
        <v>41</v>
      </c>
      <c r="B15" s="33"/>
      <c r="C15" s="33"/>
      <c r="D15" s="33"/>
      <c r="E15" s="2"/>
      <c r="F15" s="33" t="str">
        <f>A15</f>
        <v>Oval DEO - Plug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43</v>
      </c>
      <c r="E17" s="4"/>
      <c r="F17" s="11" t="s">
        <v>2</v>
      </c>
      <c r="G17" s="10"/>
      <c r="H17" s="11" t="s">
        <v>5</v>
      </c>
      <c r="I17" s="7" t="str">
        <f>D17</f>
        <v>07B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44</v>
      </c>
      <c r="E18" s="4"/>
      <c r="F18" s="8" t="s">
        <v>3</v>
      </c>
      <c r="G18" s="9">
        <v>7</v>
      </c>
      <c r="H18" s="11" t="s">
        <v>6</v>
      </c>
      <c r="I18" s="7" t="str">
        <f>D18</f>
        <v>DEO-U01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40</v>
      </c>
      <c r="B19" s="35"/>
      <c r="C19" s="35"/>
      <c r="D19" s="36"/>
      <c r="E19" s="5"/>
      <c r="F19" s="34" t="s">
        <v>53</v>
      </c>
      <c r="G19" s="35"/>
      <c r="H19" s="35"/>
      <c r="I19" s="36"/>
      <c r="K19" s="1">
        <v>2300</v>
      </c>
      <c r="L19" s="1">
        <v>80</v>
      </c>
    </row>
    <row r="20" spans="1:12" s="1" customFormat="1" ht="30" customHeight="1" x14ac:dyDescent="0.25">
      <c r="A20" s="43" t="s">
        <v>9</v>
      </c>
      <c r="B20" s="44"/>
      <c r="C20" s="44" t="s">
        <v>10</v>
      </c>
      <c r="D20" s="42"/>
      <c r="E20" s="4"/>
      <c r="F20" s="43" t="str">
        <f>A20</f>
        <v>PCR-Q</v>
      </c>
      <c r="G20" s="44"/>
      <c r="H20" s="44" t="str">
        <f>C20</f>
        <v>White</v>
      </c>
      <c r="I20" s="42"/>
    </row>
    <row r="21" spans="1:12" s="1" customFormat="1" ht="30" customHeight="1" x14ac:dyDescent="0.25">
      <c r="A21" s="12" t="s">
        <v>4</v>
      </c>
      <c r="B21" s="37">
        <v>23991</v>
      </c>
      <c r="C21" s="37"/>
      <c r="D21" s="38"/>
      <c r="E21" s="4"/>
      <c r="F21" s="12" t="s">
        <v>4</v>
      </c>
      <c r="G21" s="37">
        <f>B21</f>
        <v>23991</v>
      </c>
      <c r="H21" s="37"/>
      <c r="I21" s="38"/>
    </row>
    <row r="22" spans="1:12" ht="63.75" customHeight="1" x14ac:dyDescent="0.25">
      <c r="A22" s="33" t="s">
        <v>41</v>
      </c>
      <c r="B22" s="33"/>
      <c r="C22" s="33"/>
      <c r="D22" s="33"/>
      <c r="E22" s="2"/>
      <c r="F22" s="47" t="str">
        <f>A22</f>
        <v>Oval DEO - Plug</v>
      </c>
      <c r="G22" s="47"/>
      <c r="H22" s="47"/>
      <c r="I22" s="4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6" t="s">
        <v>0</v>
      </c>
      <c r="G23" s="16"/>
      <c r="H23" s="16" t="s">
        <v>1</v>
      </c>
      <c r="I23" s="16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43</v>
      </c>
      <c r="E24" s="4"/>
      <c r="F24" s="16" t="s">
        <v>2</v>
      </c>
      <c r="G24" s="16"/>
      <c r="H24" s="16" t="s">
        <v>5</v>
      </c>
      <c r="I24" s="13" t="str">
        <f>D24</f>
        <v>07B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44</v>
      </c>
      <c r="E25" s="4"/>
      <c r="F25" s="14" t="s">
        <v>3</v>
      </c>
      <c r="G25" s="15">
        <v>7</v>
      </c>
      <c r="H25" s="16" t="s">
        <v>6</v>
      </c>
      <c r="I25" s="13" t="str">
        <f>D25</f>
        <v>DEO-U01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40</v>
      </c>
      <c r="B26" s="35"/>
      <c r="C26" s="35"/>
      <c r="D26" s="36"/>
      <c r="E26" s="5"/>
      <c r="F26" s="48" t="s">
        <v>53</v>
      </c>
      <c r="G26" s="48"/>
      <c r="H26" s="48"/>
      <c r="I26" s="48"/>
      <c r="K26" s="1">
        <v>2300</v>
      </c>
      <c r="L26" s="1">
        <v>80</v>
      </c>
    </row>
    <row r="27" spans="1:12" s="1" customFormat="1" ht="30" customHeight="1" x14ac:dyDescent="0.25">
      <c r="A27" s="43" t="s">
        <v>9</v>
      </c>
      <c r="B27" s="44"/>
      <c r="C27" s="44" t="s">
        <v>10</v>
      </c>
      <c r="D27" s="42"/>
      <c r="E27" s="4"/>
      <c r="F27" s="46" t="str">
        <f>A27</f>
        <v>PCR-Q</v>
      </c>
      <c r="G27" s="46"/>
      <c r="H27" s="46" t="str">
        <f>C27</f>
        <v>White</v>
      </c>
      <c r="I27" s="46"/>
    </row>
    <row r="28" spans="1:12" s="1" customFormat="1" ht="30" customHeight="1" x14ac:dyDescent="0.25">
      <c r="A28" s="12" t="s">
        <v>4</v>
      </c>
      <c r="B28" s="37">
        <v>23991</v>
      </c>
      <c r="C28" s="37"/>
      <c r="D28" s="38"/>
      <c r="E28" s="4"/>
      <c r="F28" s="16" t="s">
        <v>4</v>
      </c>
      <c r="G28" s="45">
        <f>B28</f>
        <v>23991</v>
      </c>
      <c r="H28" s="45"/>
      <c r="I28" s="45"/>
    </row>
  </sheetData>
  <mergeCells count="40">
    <mergeCell ref="B28:D28"/>
    <mergeCell ref="G28:I28"/>
    <mergeCell ref="A22:D22"/>
    <mergeCell ref="F22:I22"/>
    <mergeCell ref="A26:D26"/>
    <mergeCell ref="F26:I26"/>
    <mergeCell ref="A27:B27"/>
    <mergeCell ref="C27:D27"/>
    <mergeCell ref="F27:G27"/>
    <mergeCell ref="H27:I27"/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M49"/>
  <sheetViews>
    <sheetView view="pageBreakPreview" topLeftCell="A37" zoomScaleNormal="100" zoomScaleSheetLayoutView="100" workbookViewId="0">
      <selection activeCell="F43" sqref="F43:I49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3" ht="63.75" customHeight="1" x14ac:dyDescent="0.25">
      <c r="A1" s="33" t="s">
        <v>90</v>
      </c>
      <c r="B1" s="33"/>
      <c r="C1" s="33"/>
      <c r="D1" s="33"/>
      <c r="E1" s="2"/>
      <c r="F1" s="33" t="str">
        <f>A1</f>
        <v>Tall DEO - Plug</v>
      </c>
      <c r="G1" s="33"/>
      <c r="H1" s="33"/>
      <c r="I1" s="33"/>
    </row>
    <row r="2" spans="1:13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3" s="1" customFormat="1" ht="30" customHeight="1" x14ac:dyDescent="0.25">
      <c r="A3" s="11" t="s">
        <v>2</v>
      </c>
      <c r="B3" s="10"/>
      <c r="C3" s="11" t="s">
        <v>5</v>
      </c>
      <c r="D3" s="7" t="s">
        <v>56</v>
      </c>
      <c r="E3" s="4"/>
      <c r="F3" s="11" t="s">
        <v>2</v>
      </c>
      <c r="G3" s="10"/>
      <c r="H3" s="11" t="s">
        <v>5</v>
      </c>
      <c r="I3" s="7" t="str">
        <f>D3</f>
        <v>35U1F</v>
      </c>
    </row>
    <row r="4" spans="1:13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89</v>
      </c>
      <c r="E4" s="4"/>
      <c r="F4" s="8" t="s">
        <v>3</v>
      </c>
      <c r="G4" s="9">
        <v>8</v>
      </c>
      <c r="H4" s="11" t="s">
        <v>6</v>
      </c>
      <c r="I4" s="7" t="str">
        <f>D4</f>
        <v>DEO-U04</v>
      </c>
      <c r="K4" s="6" t="s">
        <v>8</v>
      </c>
      <c r="L4" s="6" t="s">
        <v>7</v>
      </c>
      <c r="M4" s="6" t="s">
        <v>65</v>
      </c>
    </row>
    <row r="5" spans="1:13" s="1" customFormat="1" ht="30" customHeight="1" x14ac:dyDescent="0.25">
      <c r="A5" s="34" t="s">
        <v>102</v>
      </c>
      <c r="B5" s="35"/>
      <c r="C5" s="35"/>
      <c r="D5" s="36"/>
      <c r="E5" s="5"/>
      <c r="F5" s="34" t="s">
        <v>102</v>
      </c>
      <c r="G5" s="35"/>
      <c r="H5" s="35"/>
      <c r="I5" s="36"/>
      <c r="K5" s="1">
        <v>2600</v>
      </c>
      <c r="L5" s="1">
        <v>80</v>
      </c>
      <c r="M5" s="1">
        <v>21</v>
      </c>
    </row>
    <row r="6" spans="1:13" s="1" customFormat="1" ht="30" customHeight="1" x14ac:dyDescent="0.25">
      <c r="A6" s="56" t="s">
        <v>85</v>
      </c>
      <c r="B6" s="44"/>
      <c r="C6" s="41" t="s">
        <v>55</v>
      </c>
      <c r="D6" s="42"/>
      <c r="E6" s="4"/>
      <c r="F6" s="56" t="str">
        <f>A6</f>
        <v>KW621</v>
      </c>
      <c r="G6" s="44"/>
      <c r="H6" s="41" t="str">
        <f>C6</f>
        <v/>
      </c>
      <c r="I6" s="42"/>
    </row>
    <row r="7" spans="1:13" s="1" customFormat="1" ht="30" customHeight="1" x14ac:dyDescent="0.25">
      <c r="A7" s="12" t="s">
        <v>4</v>
      </c>
      <c r="B7" s="37" t="s">
        <v>101</v>
      </c>
      <c r="C7" s="37"/>
      <c r="D7" s="38"/>
      <c r="E7" s="4"/>
      <c r="F7" s="12" t="s">
        <v>4</v>
      </c>
      <c r="G7" s="37" t="str">
        <f>B7</f>
        <v>27086, 27504</v>
      </c>
      <c r="H7" s="37"/>
      <c r="I7" s="38"/>
    </row>
    <row r="8" spans="1:13" ht="63.75" customHeight="1" x14ac:dyDescent="0.25">
      <c r="A8" s="33" t="s">
        <v>90</v>
      </c>
      <c r="B8" s="33"/>
      <c r="C8" s="33"/>
      <c r="D8" s="33"/>
      <c r="E8" s="2"/>
      <c r="F8" s="33" t="str">
        <f>A8</f>
        <v>Tall DEO - Plug</v>
      </c>
      <c r="G8" s="33"/>
      <c r="H8" s="33"/>
      <c r="I8" s="33"/>
    </row>
    <row r="9" spans="1:13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3" s="1" customFormat="1" ht="30" customHeight="1" x14ac:dyDescent="0.25">
      <c r="A10" s="11" t="s">
        <v>2</v>
      </c>
      <c r="B10" s="10"/>
      <c r="C10" s="11" t="s">
        <v>5</v>
      </c>
      <c r="D10" s="7" t="s">
        <v>56</v>
      </c>
      <c r="E10" s="4"/>
      <c r="F10" s="11" t="s">
        <v>2</v>
      </c>
      <c r="G10" s="10"/>
      <c r="H10" s="11" t="s">
        <v>5</v>
      </c>
      <c r="I10" s="7" t="str">
        <f>D10</f>
        <v>35U1F</v>
      </c>
    </row>
    <row r="11" spans="1:13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89</v>
      </c>
      <c r="E11" s="4"/>
      <c r="F11" s="8" t="s">
        <v>3</v>
      </c>
      <c r="G11" s="9">
        <v>9</v>
      </c>
      <c r="H11" s="11" t="s">
        <v>6</v>
      </c>
      <c r="I11" s="7" t="str">
        <f>D11</f>
        <v>DEO-U04</v>
      </c>
      <c r="K11" s="6" t="s">
        <v>8</v>
      </c>
      <c r="L11" s="6" t="s">
        <v>7</v>
      </c>
      <c r="M11" s="6" t="s">
        <v>65</v>
      </c>
    </row>
    <row r="12" spans="1:13" s="1" customFormat="1" ht="30" customHeight="1" x14ac:dyDescent="0.25">
      <c r="A12" s="34" t="s">
        <v>102</v>
      </c>
      <c r="B12" s="35"/>
      <c r="C12" s="35"/>
      <c r="D12" s="36"/>
      <c r="E12" s="5"/>
      <c r="F12" s="34" t="s">
        <v>102</v>
      </c>
      <c r="G12" s="35"/>
      <c r="H12" s="35"/>
      <c r="I12" s="36"/>
      <c r="K12" s="1">
        <v>2600</v>
      </c>
      <c r="L12" s="1">
        <v>80</v>
      </c>
      <c r="M12" s="1">
        <v>21</v>
      </c>
    </row>
    <row r="13" spans="1:13" s="1" customFormat="1" ht="30" customHeight="1" x14ac:dyDescent="0.25">
      <c r="A13" s="56" t="s">
        <v>85</v>
      </c>
      <c r="B13" s="44"/>
      <c r="C13" s="41" t="s">
        <v>55</v>
      </c>
      <c r="D13" s="42"/>
      <c r="E13" s="4"/>
      <c r="F13" s="56" t="str">
        <f>A13</f>
        <v>KW621</v>
      </c>
      <c r="G13" s="44"/>
      <c r="H13" s="41" t="str">
        <f>C13</f>
        <v/>
      </c>
      <c r="I13" s="42"/>
    </row>
    <row r="14" spans="1:13" s="1" customFormat="1" ht="30" customHeight="1" x14ac:dyDescent="0.25">
      <c r="A14" s="12" t="s">
        <v>4</v>
      </c>
      <c r="B14" s="37" t="s">
        <v>101</v>
      </c>
      <c r="C14" s="37"/>
      <c r="D14" s="38"/>
      <c r="E14" s="4"/>
      <c r="F14" s="12" t="s">
        <v>4</v>
      </c>
      <c r="G14" s="37" t="str">
        <f>B14</f>
        <v>27086, 27504</v>
      </c>
      <c r="H14" s="37"/>
      <c r="I14" s="38"/>
    </row>
    <row r="15" spans="1:13" ht="63.75" customHeight="1" x14ac:dyDescent="0.25">
      <c r="A15" s="33" t="s">
        <v>90</v>
      </c>
      <c r="B15" s="33"/>
      <c r="C15" s="33"/>
      <c r="D15" s="33"/>
      <c r="E15" s="2"/>
      <c r="F15" s="33" t="str">
        <f>A15</f>
        <v>Tall DEO - Plug</v>
      </c>
      <c r="G15" s="33"/>
      <c r="H15" s="33"/>
      <c r="I15" s="33"/>
    </row>
    <row r="16" spans="1:13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3" s="1" customFormat="1" ht="30" customHeight="1" x14ac:dyDescent="0.25">
      <c r="A17" s="11" t="s">
        <v>2</v>
      </c>
      <c r="B17" s="10"/>
      <c r="C17" s="11" t="s">
        <v>5</v>
      </c>
      <c r="D17" s="7" t="s">
        <v>56</v>
      </c>
      <c r="E17" s="4"/>
      <c r="F17" s="11" t="s">
        <v>2</v>
      </c>
      <c r="G17" s="10"/>
      <c r="H17" s="11" t="s">
        <v>5</v>
      </c>
      <c r="I17" s="7" t="str">
        <f>D17</f>
        <v>35U1F</v>
      </c>
    </row>
    <row r="18" spans="1:13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89</v>
      </c>
      <c r="E18" s="4"/>
      <c r="F18" s="8" t="s">
        <v>3</v>
      </c>
      <c r="G18" s="9">
        <v>10</v>
      </c>
      <c r="H18" s="11" t="s">
        <v>6</v>
      </c>
      <c r="I18" s="7" t="str">
        <f>D18</f>
        <v>DEO-U04</v>
      </c>
      <c r="K18" s="6" t="s">
        <v>8</v>
      </c>
      <c r="L18" s="6" t="s">
        <v>7</v>
      </c>
      <c r="M18" s="6" t="s">
        <v>65</v>
      </c>
    </row>
    <row r="19" spans="1:13" s="1" customFormat="1" ht="30" customHeight="1" x14ac:dyDescent="0.25">
      <c r="A19" s="34" t="s">
        <v>102</v>
      </c>
      <c r="B19" s="35"/>
      <c r="C19" s="35"/>
      <c r="D19" s="36"/>
      <c r="E19" s="5"/>
      <c r="F19" s="34" t="s">
        <v>102</v>
      </c>
      <c r="G19" s="35"/>
      <c r="H19" s="35"/>
      <c r="I19" s="36"/>
      <c r="K19" s="1">
        <v>2600</v>
      </c>
      <c r="L19" s="1">
        <v>80</v>
      </c>
      <c r="M19" s="1">
        <v>21</v>
      </c>
    </row>
    <row r="20" spans="1:13" s="1" customFormat="1" ht="30" customHeight="1" x14ac:dyDescent="0.25">
      <c r="A20" s="56" t="s">
        <v>85</v>
      </c>
      <c r="B20" s="44"/>
      <c r="C20" s="41" t="s">
        <v>55</v>
      </c>
      <c r="D20" s="42"/>
      <c r="E20" s="4"/>
      <c r="F20" s="56" t="str">
        <f>A20</f>
        <v>KW621</v>
      </c>
      <c r="G20" s="44"/>
      <c r="H20" s="41" t="str">
        <f>C20</f>
        <v/>
      </c>
      <c r="I20" s="42"/>
    </row>
    <row r="21" spans="1:13" s="1" customFormat="1" ht="30" customHeight="1" x14ac:dyDescent="0.25">
      <c r="A21" s="12" t="s">
        <v>4</v>
      </c>
      <c r="B21" s="37" t="s">
        <v>101</v>
      </c>
      <c r="C21" s="37"/>
      <c r="D21" s="38"/>
      <c r="E21" s="4"/>
      <c r="F21" s="12" t="s">
        <v>4</v>
      </c>
      <c r="G21" s="37" t="str">
        <f>B21</f>
        <v>27086, 27504</v>
      </c>
      <c r="H21" s="37"/>
      <c r="I21" s="38"/>
    </row>
    <row r="22" spans="1:13" ht="63.75" customHeight="1" x14ac:dyDescent="0.25">
      <c r="A22" s="33" t="s">
        <v>90</v>
      </c>
      <c r="B22" s="33"/>
      <c r="C22" s="33"/>
      <c r="D22" s="33"/>
      <c r="E22" s="2"/>
      <c r="F22" s="33" t="str">
        <f>A22</f>
        <v>Tall DEO - Plug</v>
      </c>
      <c r="G22" s="33"/>
      <c r="H22" s="33"/>
      <c r="I22" s="33"/>
    </row>
    <row r="23" spans="1:13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3" s="1" customFormat="1" ht="30" customHeight="1" x14ac:dyDescent="0.25">
      <c r="A24" s="11" t="s">
        <v>2</v>
      </c>
      <c r="B24" s="10"/>
      <c r="C24" s="11" t="s">
        <v>5</v>
      </c>
      <c r="D24" s="7" t="s">
        <v>56</v>
      </c>
      <c r="E24" s="4"/>
      <c r="F24" s="11" t="s">
        <v>2</v>
      </c>
      <c r="G24" s="10"/>
      <c r="H24" s="11" t="s">
        <v>5</v>
      </c>
      <c r="I24" s="7" t="str">
        <f>D24</f>
        <v>35U1F</v>
      </c>
    </row>
    <row r="25" spans="1:13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89</v>
      </c>
      <c r="E25" s="4"/>
      <c r="F25" s="8" t="s">
        <v>3</v>
      </c>
      <c r="G25" s="9">
        <v>11</v>
      </c>
      <c r="H25" s="11" t="s">
        <v>6</v>
      </c>
      <c r="I25" s="7" t="str">
        <f>D25</f>
        <v>DEO-U04</v>
      </c>
      <c r="K25" s="6" t="s">
        <v>8</v>
      </c>
      <c r="L25" s="6" t="s">
        <v>7</v>
      </c>
      <c r="M25" s="6" t="s">
        <v>65</v>
      </c>
    </row>
    <row r="26" spans="1:13" s="1" customFormat="1" ht="30" customHeight="1" x14ac:dyDescent="0.25">
      <c r="A26" s="34" t="s">
        <v>102</v>
      </c>
      <c r="B26" s="35"/>
      <c r="C26" s="35"/>
      <c r="D26" s="36"/>
      <c r="E26" s="5"/>
      <c r="F26" s="34" t="s">
        <v>102</v>
      </c>
      <c r="G26" s="35"/>
      <c r="H26" s="35"/>
      <c r="I26" s="36"/>
      <c r="K26" s="1">
        <v>2600</v>
      </c>
      <c r="L26" s="1">
        <v>80</v>
      </c>
      <c r="M26" s="1">
        <v>21</v>
      </c>
    </row>
    <row r="27" spans="1:13" s="1" customFormat="1" ht="30" customHeight="1" x14ac:dyDescent="0.25">
      <c r="A27" s="56" t="s">
        <v>85</v>
      </c>
      <c r="B27" s="44"/>
      <c r="C27" s="41" t="s">
        <v>55</v>
      </c>
      <c r="D27" s="42"/>
      <c r="E27" s="4"/>
      <c r="F27" s="56" t="str">
        <f>A27</f>
        <v>KW621</v>
      </c>
      <c r="G27" s="44"/>
      <c r="H27" s="41" t="str">
        <f>C27</f>
        <v/>
      </c>
      <c r="I27" s="42"/>
    </row>
    <row r="28" spans="1:13" s="1" customFormat="1" ht="30" customHeight="1" x14ac:dyDescent="0.25">
      <c r="A28" s="12" t="s">
        <v>4</v>
      </c>
      <c r="B28" s="37" t="s">
        <v>101</v>
      </c>
      <c r="C28" s="37"/>
      <c r="D28" s="38"/>
      <c r="E28" s="4"/>
      <c r="F28" s="12" t="s">
        <v>4</v>
      </c>
      <c r="G28" s="37" t="str">
        <f>B28</f>
        <v>27086, 27504</v>
      </c>
      <c r="H28" s="37"/>
      <c r="I28" s="38"/>
    </row>
    <row r="29" spans="1:13" ht="63.75" customHeight="1" x14ac:dyDescent="0.25">
      <c r="A29" s="33" t="s">
        <v>90</v>
      </c>
      <c r="B29" s="33"/>
      <c r="C29" s="33"/>
      <c r="D29" s="33"/>
      <c r="E29" s="2"/>
      <c r="F29" s="33" t="str">
        <f>A29</f>
        <v>Tall DEO - Plug</v>
      </c>
      <c r="G29" s="33"/>
      <c r="H29" s="33"/>
      <c r="I29" s="33"/>
    </row>
    <row r="30" spans="1:13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3" s="1" customFormat="1" ht="30" customHeight="1" x14ac:dyDescent="0.25">
      <c r="A31" s="11" t="s">
        <v>2</v>
      </c>
      <c r="B31" s="10"/>
      <c r="C31" s="11" t="s">
        <v>5</v>
      </c>
      <c r="D31" s="7" t="s">
        <v>56</v>
      </c>
      <c r="E31" s="4"/>
      <c r="F31" s="11" t="s">
        <v>2</v>
      </c>
      <c r="G31" s="10"/>
      <c r="H31" s="11" t="s">
        <v>5</v>
      </c>
      <c r="I31" s="7" t="str">
        <f>D31</f>
        <v>35U1F</v>
      </c>
    </row>
    <row r="32" spans="1:13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89</v>
      </c>
      <c r="E32" s="4"/>
      <c r="F32" s="8" t="s">
        <v>3</v>
      </c>
      <c r="G32" s="9">
        <v>12</v>
      </c>
      <c r="H32" s="11" t="s">
        <v>6</v>
      </c>
      <c r="I32" s="7" t="str">
        <f>D32</f>
        <v>DEO-U04</v>
      </c>
      <c r="K32" s="6" t="s">
        <v>8</v>
      </c>
      <c r="L32" s="6" t="s">
        <v>7</v>
      </c>
      <c r="M32" s="6" t="s">
        <v>65</v>
      </c>
    </row>
    <row r="33" spans="1:13" s="1" customFormat="1" ht="30" customHeight="1" x14ac:dyDescent="0.25">
      <c r="A33" s="34" t="s">
        <v>102</v>
      </c>
      <c r="B33" s="35"/>
      <c r="C33" s="35"/>
      <c r="D33" s="36"/>
      <c r="E33" s="5"/>
      <c r="F33" s="34" t="s">
        <v>102</v>
      </c>
      <c r="G33" s="35"/>
      <c r="H33" s="35"/>
      <c r="I33" s="36"/>
      <c r="K33" s="1">
        <v>2600</v>
      </c>
      <c r="L33" s="1">
        <v>80</v>
      </c>
      <c r="M33" s="1">
        <v>21</v>
      </c>
    </row>
    <row r="34" spans="1:13" s="1" customFormat="1" ht="30" customHeight="1" x14ac:dyDescent="0.25">
      <c r="A34" s="56" t="s">
        <v>85</v>
      </c>
      <c r="B34" s="44"/>
      <c r="C34" s="41" t="s">
        <v>55</v>
      </c>
      <c r="D34" s="42"/>
      <c r="E34" s="4"/>
      <c r="F34" s="56" t="str">
        <f>A34</f>
        <v>KW621</v>
      </c>
      <c r="G34" s="44"/>
      <c r="H34" s="41" t="str">
        <f>C34</f>
        <v/>
      </c>
      <c r="I34" s="42"/>
    </row>
    <row r="35" spans="1:13" s="1" customFormat="1" ht="30" customHeight="1" x14ac:dyDescent="0.25">
      <c r="A35" s="12" t="s">
        <v>4</v>
      </c>
      <c r="B35" s="37" t="s">
        <v>101</v>
      </c>
      <c r="C35" s="37"/>
      <c r="D35" s="38"/>
      <c r="E35" s="4"/>
      <c r="F35" s="12" t="s">
        <v>4</v>
      </c>
      <c r="G35" s="37" t="str">
        <f>B35</f>
        <v>27086, 27504</v>
      </c>
      <c r="H35" s="37"/>
      <c r="I35" s="38"/>
    </row>
    <row r="36" spans="1:13" ht="63.75" customHeight="1" x14ac:dyDescent="0.25">
      <c r="A36" s="33" t="s">
        <v>90</v>
      </c>
      <c r="B36" s="33"/>
      <c r="C36" s="33"/>
      <c r="D36" s="33"/>
      <c r="E36" s="2"/>
      <c r="F36" s="33" t="str">
        <f>A36</f>
        <v>Tall DEO - Plug</v>
      </c>
      <c r="G36" s="33"/>
      <c r="H36" s="33"/>
      <c r="I36" s="33"/>
    </row>
    <row r="37" spans="1:13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3" s="1" customFormat="1" ht="30" customHeight="1" x14ac:dyDescent="0.25">
      <c r="A38" s="11" t="s">
        <v>2</v>
      </c>
      <c r="B38" s="10"/>
      <c r="C38" s="11" t="s">
        <v>5</v>
      </c>
      <c r="D38" s="7" t="s">
        <v>56</v>
      </c>
      <c r="E38" s="4"/>
      <c r="F38" s="11" t="s">
        <v>2</v>
      </c>
      <c r="G38" s="10"/>
      <c r="H38" s="11" t="s">
        <v>5</v>
      </c>
      <c r="I38" s="7" t="str">
        <f>D38</f>
        <v>35U1F</v>
      </c>
    </row>
    <row r="39" spans="1:13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89</v>
      </c>
      <c r="E39" s="4"/>
      <c r="F39" s="8" t="s">
        <v>3</v>
      </c>
      <c r="G39" s="9">
        <v>13</v>
      </c>
      <c r="H39" s="11" t="s">
        <v>6</v>
      </c>
      <c r="I39" s="7" t="str">
        <f>D39</f>
        <v>DEO-U04</v>
      </c>
      <c r="K39" s="6" t="s">
        <v>8</v>
      </c>
      <c r="L39" s="6" t="s">
        <v>7</v>
      </c>
      <c r="M39" s="6" t="s">
        <v>65</v>
      </c>
    </row>
    <row r="40" spans="1:13" s="1" customFormat="1" ht="30" customHeight="1" x14ac:dyDescent="0.25">
      <c r="A40" s="34" t="s">
        <v>102</v>
      </c>
      <c r="B40" s="35"/>
      <c r="C40" s="35"/>
      <c r="D40" s="36"/>
      <c r="E40" s="5"/>
      <c r="F40" s="34" t="s">
        <v>102</v>
      </c>
      <c r="G40" s="35"/>
      <c r="H40" s="35"/>
      <c r="I40" s="36"/>
      <c r="K40" s="1">
        <v>2600</v>
      </c>
      <c r="L40" s="1">
        <v>80</v>
      </c>
      <c r="M40" s="1">
        <v>21</v>
      </c>
    </row>
    <row r="41" spans="1:13" s="1" customFormat="1" ht="30" customHeight="1" x14ac:dyDescent="0.25">
      <c r="A41" s="56" t="s">
        <v>85</v>
      </c>
      <c r="B41" s="44"/>
      <c r="C41" s="41" t="s">
        <v>55</v>
      </c>
      <c r="D41" s="42"/>
      <c r="E41" s="4"/>
      <c r="F41" s="56" t="str">
        <f>A41</f>
        <v>KW621</v>
      </c>
      <c r="G41" s="44"/>
      <c r="H41" s="41" t="str">
        <f>C41</f>
        <v/>
      </c>
      <c r="I41" s="42"/>
    </row>
    <row r="42" spans="1:13" s="1" customFormat="1" ht="30" customHeight="1" x14ac:dyDescent="0.25">
      <c r="A42" s="12" t="s">
        <v>4</v>
      </c>
      <c r="B42" s="37" t="s">
        <v>101</v>
      </c>
      <c r="C42" s="37"/>
      <c r="D42" s="38"/>
      <c r="E42" s="4"/>
      <c r="F42" s="12" t="s">
        <v>4</v>
      </c>
      <c r="G42" s="37" t="str">
        <f>B42</f>
        <v>27086, 27504</v>
      </c>
      <c r="H42" s="37"/>
      <c r="I42" s="38"/>
    </row>
    <row r="43" spans="1:13" ht="63.75" customHeight="1" x14ac:dyDescent="0.25">
      <c r="A43" s="33" t="s">
        <v>90</v>
      </c>
      <c r="B43" s="33"/>
      <c r="C43" s="33"/>
      <c r="D43" s="33"/>
      <c r="E43" s="2"/>
      <c r="F43" s="33" t="str">
        <f>A43</f>
        <v>Tall DEO - Plug</v>
      </c>
      <c r="G43" s="33"/>
      <c r="H43" s="33"/>
      <c r="I43" s="33"/>
    </row>
    <row r="44" spans="1:13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3" s="1" customFormat="1" ht="30" customHeight="1" x14ac:dyDescent="0.25">
      <c r="A45" s="11" t="s">
        <v>2</v>
      </c>
      <c r="B45" s="10"/>
      <c r="C45" s="11" t="s">
        <v>5</v>
      </c>
      <c r="D45" s="7" t="s">
        <v>56</v>
      </c>
      <c r="E45" s="4"/>
      <c r="F45" s="11" t="s">
        <v>2</v>
      </c>
      <c r="G45" s="10"/>
      <c r="H45" s="11" t="s">
        <v>5</v>
      </c>
      <c r="I45" s="7" t="str">
        <f>D45</f>
        <v>35U1F</v>
      </c>
    </row>
    <row r="46" spans="1:13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89</v>
      </c>
      <c r="E46" s="4"/>
      <c r="F46" s="8" t="s">
        <v>3</v>
      </c>
      <c r="G46" s="9">
        <v>14</v>
      </c>
      <c r="H46" s="11" t="s">
        <v>6</v>
      </c>
      <c r="I46" s="7" t="str">
        <f>D46</f>
        <v>DEO-U04</v>
      </c>
      <c r="K46" s="6" t="s">
        <v>8</v>
      </c>
      <c r="L46" s="6" t="s">
        <v>7</v>
      </c>
      <c r="M46" s="6" t="s">
        <v>65</v>
      </c>
    </row>
    <row r="47" spans="1:13" s="1" customFormat="1" ht="30" customHeight="1" x14ac:dyDescent="0.25">
      <c r="A47" s="34" t="s">
        <v>102</v>
      </c>
      <c r="B47" s="35"/>
      <c r="C47" s="35"/>
      <c r="D47" s="36"/>
      <c r="E47" s="5"/>
      <c r="F47" s="34" t="s">
        <v>103</v>
      </c>
      <c r="G47" s="35"/>
      <c r="H47" s="35"/>
      <c r="I47" s="36"/>
      <c r="K47" s="1">
        <v>2600</v>
      </c>
      <c r="L47" s="1">
        <v>80</v>
      </c>
      <c r="M47" s="1">
        <v>21</v>
      </c>
    </row>
    <row r="48" spans="1:13" s="1" customFormat="1" ht="30" customHeight="1" x14ac:dyDescent="0.25">
      <c r="A48" s="56" t="s">
        <v>85</v>
      </c>
      <c r="B48" s="44"/>
      <c r="C48" s="41" t="s">
        <v>55</v>
      </c>
      <c r="D48" s="42"/>
      <c r="E48" s="4"/>
      <c r="F48" s="56" t="str">
        <f>A48</f>
        <v>KW621</v>
      </c>
      <c r="G48" s="44"/>
      <c r="H48" s="41" t="str">
        <f>C48</f>
        <v/>
      </c>
      <c r="I48" s="42"/>
    </row>
    <row r="49" spans="1:9" s="1" customFormat="1" ht="30" customHeight="1" x14ac:dyDescent="0.25">
      <c r="A49" s="12" t="s">
        <v>4</v>
      </c>
      <c r="B49" s="37" t="s">
        <v>101</v>
      </c>
      <c r="C49" s="37"/>
      <c r="D49" s="38"/>
      <c r="E49" s="4"/>
      <c r="F49" s="12" t="s">
        <v>4</v>
      </c>
      <c r="G49" s="37" t="str">
        <f>B49</f>
        <v>27086, 27504</v>
      </c>
      <c r="H49" s="37"/>
      <c r="I49" s="38"/>
    </row>
  </sheetData>
  <mergeCells count="70">
    <mergeCell ref="B49:D49"/>
    <mergeCell ref="G49:I49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B35:D35"/>
    <mergeCell ref="G35:I35"/>
    <mergeCell ref="A36:D36"/>
    <mergeCell ref="F36:I3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A27:B27"/>
    <mergeCell ref="C27:D27"/>
    <mergeCell ref="F27:G27"/>
    <mergeCell ref="H27:I27"/>
    <mergeCell ref="B28:D28"/>
    <mergeCell ref="G28:I28"/>
    <mergeCell ref="B21:D21"/>
    <mergeCell ref="G21:I21"/>
    <mergeCell ref="A22:D22"/>
    <mergeCell ref="F22:I22"/>
    <mergeCell ref="A26:D26"/>
    <mergeCell ref="F26:I26"/>
    <mergeCell ref="A15:D15"/>
    <mergeCell ref="F15:I15"/>
    <mergeCell ref="A19:D19"/>
    <mergeCell ref="F19:I19"/>
    <mergeCell ref="A20:B20"/>
    <mergeCell ref="C20:D20"/>
    <mergeCell ref="F20:G20"/>
    <mergeCell ref="H20:I20"/>
    <mergeCell ref="A13:B13"/>
    <mergeCell ref="C13:D13"/>
    <mergeCell ref="F13:G13"/>
    <mergeCell ref="H13:I13"/>
    <mergeCell ref="B14:D14"/>
    <mergeCell ref="G14:I14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B7:D7"/>
    <mergeCell ref="G7:I7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B050"/>
  </sheetPr>
  <dimension ref="A1:M7"/>
  <sheetViews>
    <sheetView view="pageBreakPreview" zoomScaleNormal="100" zoomScaleSheetLayoutView="100" workbookViewId="0">
      <selection activeCell="F16" sqref="F16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3" ht="63.75" customHeight="1" x14ac:dyDescent="0.25">
      <c r="A1" s="33" t="s">
        <v>54</v>
      </c>
      <c r="B1" s="33"/>
      <c r="C1" s="33"/>
      <c r="D1" s="33"/>
      <c r="E1" s="2"/>
      <c r="F1" s="47" t="str">
        <f>A1</f>
        <v>Oval DEO - Stopper</v>
      </c>
      <c r="G1" s="47"/>
      <c r="H1" s="47"/>
      <c r="I1" s="47"/>
    </row>
    <row r="2" spans="1:13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6" t="s">
        <v>0</v>
      </c>
      <c r="G2" s="16"/>
      <c r="H2" s="16" t="s">
        <v>1</v>
      </c>
      <c r="I2" s="16"/>
    </row>
    <row r="3" spans="1:13" s="1" customFormat="1" ht="30" customHeight="1" x14ac:dyDescent="0.25">
      <c r="A3" s="11" t="s">
        <v>2</v>
      </c>
      <c r="B3" s="10"/>
      <c r="C3" s="11" t="s">
        <v>5</v>
      </c>
      <c r="D3" s="7" t="s">
        <v>56</v>
      </c>
      <c r="E3" s="4"/>
      <c r="F3" s="16" t="s">
        <v>2</v>
      </c>
      <c r="G3" s="16"/>
      <c r="H3" s="16" t="s">
        <v>5</v>
      </c>
      <c r="I3" s="13" t="str">
        <f>D3</f>
        <v>35U1F</v>
      </c>
    </row>
    <row r="4" spans="1:13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57</v>
      </c>
      <c r="E4" s="4"/>
      <c r="F4" s="14" t="s">
        <v>3</v>
      </c>
      <c r="G4" s="15">
        <v>5</v>
      </c>
      <c r="H4" s="16" t="s">
        <v>6</v>
      </c>
      <c r="I4" s="13" t="str">
        <f>D4</f>
        <v>DEO-M01</v>
      </c>
      <c r="K4" s="6" t="s">
        <v>8</v>
      </c>
      <c r="L4" s="6" t="s">
        <v>7</v>
      </c>
      <c r="M4" s="6" t="s">
        <v>65</v>
      </c>
    </row>
    <row r="5" spans="1:13" s="1" customFormat="1" ht="30" customHeight="1" x14ac:dyDescent="0.25">
      <c r="A5" s="34" t="s">
        <v>59</v>
      </c>
      <c r="B5" s="35"/>
      <c r="C5" s="35"/>
      <c r="D5" s="36"/>
      <c r="E5" s="5"/>
      <c r="F5" s="48" t="s">
        <v>40</v>
      </c>
      <c r="G5" s="48"/>
      <c r="H5" s="48"/>
      <c r="I5" s="48"/>
      <c r="K5" s="1">
        <v>1000</v>
      </c>
      <c r="L5" s="1">
        <v>189</v>
      </c>
      <c r="M5" s="1">
        <v>21</v>
      </c>
    </row>
    <row r="6" spans="1:13" s="1" customFormat="1" ht="30" customHeight="1" x14ac:dyDescent="0.25">
      <c r="A6" s="56" t="s">
        <v>58</v>
      </c>
      <c r="B6" s="44"/>
      <c r="C6" s="41" t="s">
        <v>55</v>
      </c>
      <c r="D6" s="42"/>
      <c r="E6" s="4"/>
      <c r="F6" s="46" t="str">
        <f>A6</f>
        <v>Silo 8</v>
      </c>
      <c r="G6" s="46"/>
      <c r="H6" s="46" t="str">
        <f>C6</f>
        <v/>
      </c>
      <c r="I6" s="46"/>
    </row>
    <row r="7" spans="1:13" s="1" customFormat="1" ht="30" customHeight="1" x14ac:dyDescent="0.25">
      <c r="A7" s="12" t="s">
        <v>4</v>
      </c>
      <c r="B7" s="37">
        <v>24389</v>
      </c>
      <c r="C7" s="37"/>
      <c r="D7" s="38"/>
      <c r="E7" s="4"/>
      <c r="F7" s="16" t="s">
        <v>4</v>
      </c>
      <c r="G7" s="45">
        <f>B7</f>
        <v>24389</v>
      </c>
      <c r="H7" s="45"/>
      <c r="I7" s="45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70C0"/>
  </sheetPr>
  <dimension ref="A1:L7"/>
  <sheetViews>
    <sheetView view="pageBreakPreview" zoomScaleNormal="100" zoomScaleSheetLayoutView="100" workbookViewId="0">
      <selection activeCell="A8" sqref="A8:D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34</v>
      </c>
      <c r="B1" s="33"/>
      <c r="C1" s="33"/>
      <c r="D1" s="33"/>
      <c r="E1" s="2"/>
      <c r="F1" s="47" t="str">
        <f>A1</f>
        <v>Oval DEO - Cap</v>
      </c>
      <c r="G1" s="47"/>
      <c r="H1" s="47"/>
      <c r="I1" s="4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6" t="s">
        <v>0</v>
      </c>
      <c r="G2" s="16"/>
      <c r="H2" s="16" t="s">
        <v>1</v>
      </c>
      <c r="I2" s="16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63</v>
      </c>
      <c r="E3" s="4"/>
      <c r="F3" s="16" t="s">
        <v>2</v>
      </c>
      <c r="G3" s="16"/>
      <c r="H3" s="16" t="s">
        <v>5</v>
      </c>
      <c r="I3" s="13" t="str">
        <f>D3</f>
        <v>35U1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64</v>
      </c>
      <c r="E4" s="4"/>
      <c r="F4" s="14" t="s">
        <v>3</v>
      </c>
      <c r="G4" s="15">
        <v>3</v>
      </c>
      <c r="H4" s="16" t="s">
        <v>6</v>
      </c>
      <c r="I4" s="13" t="str">
        <f>D4</f>
        <v>DEO-C04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67</v>
      </c>
      <c r="B5" s="35"/>
      <c r="C5" s="35"/>
      <c r="D5" s="36"/>
      <c r="E5" s="5"/>
      <c r="F5" s="48" t="s">
        <v>67</v>
      </c>
      <c r="G5" s="48"/>
      <c r="H5" s="48"/>
      <c r="I5" s="48"/>
      <c r="K5" s="1">
        <v>700</v>
      </c>
      <c r="L5" s="1">
        <v>20</v>
      </c>
    </row>
    <row r="6" spans="1:12" s="1" customFormat="1" ht="30" customHeight="1" x14ac:dyDescent="0.25">
      <c r="A6" s="43" t="s">
        <v>77</v>
      </c>
      <c r="B6" s="44"/>
      <c r="C6" s="44" t="s">
        <v>81</v>
      </c>
      <c r="D6" s="42"/>
      <c r="E6" s="4"/>
      <c r="F6" s="46" t="str">
        <f>A6</f>
        <v>P814</v>
      </c>
      <c r="G6" s="46"/>
      <c r="H6" s="46" t="str">
        <f>C6</f>
        <v>Green</v>
      </c>
      <c r="I6" s="46"/>
    </row>
    <row r="7" spans="1:12" s="1" customFormat="1" ht="30" customHeight="1" x14ac:dyDescent="0.25">
      <c r="A7" s="12" t="s">
        <v>4</v>
      </c>
      <c r="B7" s="37">
        <v>26724</v>
      </c>
      <c r="C7" s="37"/>
      <c r="D7" s="38"/>
      <c r="E7" s="4"/>
      <c r="F7" s="16" t="s">
        <v>4</v>
      </c>
      <c r="G7" s="45">
        <f>B7</f>
        <v>26724</v>
      </c>
      <c r="H7" s="45"/>
      <c r="I7" s="45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70C0"/>
  </sheetPr>
  <dimension ref="A1:L7"/>
  <sheetViews>
    <sheetView view="pageBreakPreview" zoomScaleNormal="100" zoomScaleSheetLayoutView="100" workbookViewId="0">
      <selection activeCell="C11" sqref="C1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36</v>
      </c>
      <c r="B1" s="33"/>
      <c r="C1" s="33"/>
      <c r="D1" s="33"/>
      <c r="E1" s="2"/>
      <c r="F1" s="52" t="str">
        <f>A1</f>
        <v>Oval DEO - Inner Dome</v>
      </c>
      <c r="G1" s="52"/>
      <c r="H1" s="52"/>
      <c r="I1" s="5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30" t="s">
        <v>0</v>
      </c>
      <c r="G2" s="30"/>
      <c r="H2" s="30" t="s">
        <v>1</v>
      </c>
      <c r="I2" s="3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63</v>
      </c>
      <c r="E3" s="4"/>
      <c r="F3" s="30" t="s">
        <v>2</v>
      </c>
      <c r="G3" s="30"/>
      <c r="H3" s="30" t="s">
        <v>5</v>
      </c>
      <c r="I3" s="29" t="str">
        <f>D3</f>
        <v>35U1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61</v>
      </c>
      <c r="E4" s="4"/>
      <c r="F4" s="21" t="s">
        <v>3</v>
      </c>
      <c r="G4" s="22">
        <v>8</v>
      </c>
      <c r="H4" s="30" t="s">
        <v>6</v>
      </c>
      <c r="I4" s="29" t="str">
        <f>D4</f>
        <v>DEO-D03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62</v>
      </c>
      <c r="B5" s="35"/>
      <c r="C5" s="35"/>
      <c r="D5" s="36"/>
      <c r="E5" s="5"/>
      <c r="F5" s="53" t="s">
        <v>39</v>
      </c>
      <c r="G5" s="53"/>
      <c r="H5" s="53"/>
      <c r="I5" s="53"/>
      <c r="K5" s="1">
        <v>500</v>
      </c>
      <c r="L5" s="1">
        <v>80</v>
      </c>
    </row>
    <row r="6" spans="1:12" s="1" customFormat="1" ht="30" customHeight="1" x14ac:dyDescent="0.25">
      <c r="A6" s="43" t="s">
        <v>45</v>
      </c>
      <c r="B6" s="44"/>
      <c r="C6" s="44" t="s">
        <v>60</v>
      </c>
      <c r="D6" s="42"/>
      <c r="E6" s="4"/>
      <c r="F6" s="55" t="str">
        <f>A6</f>
        <v>PP6331</v>
      </c>
      <c r="G6" s="55"/>
      <c r="H6" s="55" t="str">
        <f>C6</f>
        <v>Clear</v>
      </c>
      <c r="I6" s="55"/>
    </row>
    <row r="7" spans="1:12" s="1" customFormat="1" ht="30" customHeight="1" x14ac:dyDescent="0.25">
      <c r="A7" s="12" t="s">
        <v>4</v>
      </c>
      <c r="B7" s="37">
        <v>24387</v>
      </c>
      <c r="C7" s="37"/>
      <c r="D7" s="38"/>
      <c r="E7" s="4"/>
      <c r="F7" s="30" t="s">
        <v>4</v>
      </c>
      <c r="G7" s="51">
        <f>B7</f>
        <v>24387</v>
      </c>
      <c r="H7" s="51"/>
      <c r="I7" s="5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L378"/>
  <sheetViews>
    <sheetView view="pageBreakPreview" topLeftCell="A366" zoomScaleNormal="100" zoomScaleSheetLayoutView="100" workbookViewId="0">
      <selection activeCell="F372" sqref="F372:I37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34</v>
      </c>
      <c r="B1" s="33"/>
      <c r="C1" s="33"/>
      <c r="D1" s="33"/>
      <c r="E1" s="2"/>
      <c r="F1" s="33" t="str">
        <f>A1</f>
        <v>Oval DEO - Cap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4" t="s">
        <v>0</v>
      </c>
      <c r="G2" s="23"/>
      <c r="H2" s="24" t="s">
        <v>1</v>
      </c>
      <c r="I2" s="23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87</v>
      </c>
      <c r="E3" s="4"/>
      <c r="F3" s="24" t="s">
        <v>2</v>
      </c>
      <c r="G3" s="23"/>
      <c r="H3" s="24" t="s">
        <v>5</v>
      </c>
      <c r="I3" s="7" t="str">
        <f>D3</f>
        <v>19B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88</v>
      </c>
      <c r="E4" s="4"/>
      <c r="F4" s="8" t="s">
        <v>3</v>
      </c>
      <c r="G4" s="9">
        <v>55</v>
      </c>
      <c r="H4" s="24" t="s">
        <v>6</v>
      </c>
      <c r="I4" s="7" t="str">
        <f>D4</f>
        <v>DEO-C07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48</v>
      </c>
      <c r="B5" s="35"/>
      <c r="C5" s="35"/>
      <c r="D5" s="36"/>
      <c r="E5" s="5"/>
      <c r="F5" s="34" t="s">
        <v>48</v>
      </c>
      <c r="G5" s="35"/>
      <c r="H5" s="35"/>
      <c r="I5" s="36"/>
      <c r="K5" s="1">
        <v>700</v>
      </c>
      <c r="L5" s="1">
        <v>20</v>
      </c>
    </row>
    <row r="6" spans="1:12" s="1" customFormat="1" ht="30" customHeight="1" x14ac:dyDescent="0.25">
      <c r="A6" s="43" t="s">
        <v>85</v>
      </c>
      <c r="B6" s="44"/>
      <c r="C6" s="44" t="s">
        <v>81</v>
      </c>
      <c r="D6" s="42"/>
      <c r="E6" s="4"/>
      <c r="F6" s="43" t="str">
        <f>A6</f>
        <v>KW621</v>
      </c>
      <c r="G6" s="44"/>
      <c r="H6" s="44" t="str">
        <f>C6</f>
        <v>Green</v>
      </c>
      <c r="I6" s="42"/>
    </row>
    <row r="7" spans="1:12" s="1" customFormat="1" ht="30" customHeight="1" x14ac:dyDescent="0.25">
      <c r="A7" s="12" t="s">
        <v>4</v>
      </c>
      <c r="B7" s="37">
        <v>27087</v>
      </c>
      <c r="C7" s="37"/>
      <c r="D7" s="38"/>
      <c r="E7" s="4"/>
      <c r="F7" s="12" t="s">
        <v>4</v>
      </c>
      <c r="G7" s="37">
        <f>B7</f>
        <v>27087</v>
      </c>
      <c r="H7" s="37"/>
      <c r="I7" s="38"/>
    </row>
    <row r="8" spans="1:12" ht="63.75" customHeight="1" x14ac:dyDescent="0.25">
      <c r="A8" s="33" t="s">
        <v>34</v>
      </c>
      <c r="B8" s="33"/>
      <c r="C8" s="33"/>
      <c r="D8" s="33"/>
      <c r="E8" s="2"/>
      <c r="F8" s="33" t="str">
        <f>A8</f>
        <v>Oval DEO - Cap</v>
      </c>
      <c r="G8" s="33"/>
      <c r="H8" s="33"/>
      <c r="I8" s="33"/>
    </row>
    <row r="9" spans="1:12" s="1" customFormat="1" ht="30" customHeight="1" x14ac:dyDescent="0.25">
      <c r="A9" s="24" t="s">
        <v>0</v>
      </c>
      <c r="B9" s="23"/>
      <c r="C9" s="24" t="s">
        <v>1</v>
      </c>
      <c r="D9" s="23"/>
      <c r="E9" s="3"/>
      <c r="F9" s="24" t="s">
        <v>0</v>
      </c>
      <c r="G9" s="23"/>
      <c r="H9" s="24" t="s">
        <v>1</v>
      </c>
      <c r="I9" s="23"/>
    </row>
    <row r="10" spans="1:12" s="1" customFormat="1" ht="30" customHeight="1" x14ac:dyDescent="0.25">
      <c r="A10" s="24" t="s">
        <v>2</v>
      </c>
      <c r="B10" s="23"/>
      <c r="C10" s="24" t="s">
        <v>5</v>
      </c>
      <c r="D10" s="7" t="s">
        <v>87</v>
      </c>
      <c r="E10" s="4"/>
      <c r="F10" s="24" t="s">
        <v>2</v>
      </c>
      <c r="G10" s="23"/>
      <c r="H10" s="24" t="s">
        <v>5</v>
      </c>
      <c r="I10" s="7" t="str">
        <f>D10</f>
        <v>19B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88</v>
      </c>
      <c r="E11" s="4"/>
      <c r="F11" s="8" t="s">
        <v>3</v>
      </c>
      <c r="G11" s="9">
        <v>56</v>
      </c>
      <c r="H11" s="24" t="s">
        <v>6</v>
      </c>
      <c r="I11" s="7" t="str">
        <f>D11</f>
        <v>DEO-C07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48</v>
      </c>
      <c r="B12" s="35"/>
      <c r="C12" s="35"/>
      <c r="D12" s="36"/>
      <c r="E12" s="5"/>
      <c r="F12" s="34" t="s">
        <v>48</v>
      </c>
      <c r="G12" s="35"/>
      <c r="H12" s="35"/>
      <c r="I12" s="36"/>
      <c r="K12" s="1">
        <v>700</v>
      </c>
      <c r="L12" s="1">
        <v>20</v>
      </c>
    </row>
    <row r="13" spans="1:12" s="1" customFormat="1" ht="30" customHeight="1" x14ac:dyDescent="0.25">
      <c r="A13" s="43" t="s">
        <v>85</v>
      </c>
      <c r="B13" s="44"/>
      <c r="C13" s="44" t="s">
        <v>81</v>
      </c>
      <c r="D13" s="42"/>
      <c r="E13" s="4"/>
      <c r="F13" s="43" t="str">
        <f>A13</f>
        <v>KW621</v>
      </c>
      <c r="G13" s="44"/>
      <c r="H13" s="44" t="str">
        <f>C13</f>
        <v>Green</v>
      </c>
      <c r="I13" s="42"/>
    </row>
    <row r="14" spans="1:12" s="1" customFormat="1" ht="30" customHeight="1" x14ac:dyDescent="0.25">
      <c r="A14" s="12" t="s">
        <v>4</v>
      </c>
      <c r="B14" s="37">
        <v>27087</v>
      </c>
      <c r="C14" s="37"/>
      <c r="D14" s="38"/>
      <c r="E14" s="4"/>
      <c r="F14" s="12" t="s">
        <v>4</v>
      </c>
      <c r="G14" s="37">
        <f>B14</f>
        <v>27087</v>
      </c>
      <c r="H14" s="37"/>
      <c r="I14" s="38"/>
    </row>
    <row r="15" spans="1:12" ht="63.75" customHeight="1" x14ac:dyDescent="0.25">
      <c r="A15" s="33" t="s">
        <v>34</v>
      </c>
      <c r="B15" s="33"/>
      <c r="C15" s="33"/>
      <c r="D15" s="33"/>
      <c r="E15" s="2"/>
      <c r="F15" s="33" t="str">
        <f>A15</f>
        <v>Oval DEO - Cap</v>
      </c>
      <c r="G15" s="33"/>
      <c r="H15" s="33"/>
      <c r="I15" s="33"/>
    </row>
    <row r="16" spans="1:12" s="1" customFormat="1" ht="30" customHeight="1" x14ac:dyDescent="0.25">
      <c r="A16" s="24" t="s">
        <v>0</v>
      </c>
      <c r="B16" s="23"/>
      <c r="C16" s="24" t="s">
        <v>1</v>
      </c>
      <c r="D16" s="23"/>
      <c r="E16" s="3"/>
      <c r="F16" s="24" t="s">
        <v>0</v>
      </c>
      <c r="G16" s="23"/>
      <c r="H16" s="24" t="s">
        <v>1</v>
      </c>
      <c r="I16" s="23"/>
    </row>
    <row r="17" spans="1:12" s="1" customFormat="1" ht="30" customHeight="1" x14ac:dyDescent="0.25">
      <c r="A17" s="24" t="s">
        <v>2</v>
      </c>
      <c r="B17" s="23"/>
      <c r="C17" s="24" t="s">
        <v>5</v>
      </c>
      <c r="D17" s="7" t="s">
        <v>87</v>
      </c>
      <c r="E17" s="4"/>
      <c r="F17" s="24" t="s">
        <v>2</v>
      </c>
      <c r="G17" s="23"/>
      <c r="H17" s="24" t="s">
        <v>5</v>
      </c>
      <c r="I17" s="7" t="str">
        <f>D17</f>
        <v>19B</v>
      </c>
    </row>
    <row r="18" spans="1:12" s="1" customFormat="1" ht="53.25" customHeight="1" x14ac:dyDescent="0.25">
      <c r="A18" s="8" t="s">
        <v>3</v>
      </c>
      <c r="B18" s="9">
        <v>3</v>
      </c>
      <c r="C18" s="24" t="s">
        <v>6</v>
      </c>
      <c r="D18" s="7" t="s">
        <v>88</v>
      </c>
      <c r="E18" s="4"/>
      <c r="F18" s="8" t="s">
        <v>3</v>
      </c>
      <c r="G18" s="9">
        <v>57</v>
      </c>
      <c r="H18" s="24" t="s">
        <v>6</v>
      </c>
      <c r="I18" s="7" t="str">
        <f>D18</f>
        <v>DEO-C07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48</v>
      </c>
      <c r="B19" s="35"/>
      <c r="C19" s="35"/>
      <c r="D19" s="36"/>
      <c r="E19" s="5"/>
      <c r="F19" s="34" t="s">
        <v>48</v>
      </c>
      <c r="G19" s="35"/>
      <c r="H19" s="35"/>
      <c r="I19" s="36"/>
      <c r="K19" s="1">
        <v>700</v>
      </c>
      <c r="L19" s="1">
        <v>20</v>
      </c>
    </row>
    <row r="20" spans="1:12" s="1" customFormat="1" ht="30" customHeight="1" x14ac:dyDescent="0.25">
      <c r="A20" s="43" t="s">
        <v>85</v>
      </c>
      <c r="B20" s="44"/>
      <c r="C20" s="44" t="s">
        <v>81</v>
      </c>
      <c r="D20" s="42"/>
      <c r="E20" s="4"/>
      <c r="F20" s="43" t="str">
        <f>A20</f>
        <v>KW621</v>
      </c>
      <c r="G20" s="44"/>
      <c r="H20" s="44" t="str">
        <f>C20</f>
        <v>Green</v>
      </c>
      <c r="I20" s="42"/>
    </row>
    <row r="21" spans="1:12" s="1" customFormat="1" ht="30" customHeight="1" x14ac:dyDescent="0.25">
      <c r="A21" s="12" t="s">
        <v>4</v>
      </c>
      <c r="B21" s="37">
        <v>27087</v>
      </c>
      <c r="C21" s="37"/>
      <c r="D21" s="38"/>
      <c r="E21" s="4"/>
      <c r="F21" s="12" t="s">
        <v>4</v>
      </c>
      <c r="G21" s="37">
        <f>B21</f>
        <v>27087</v>
      </c>
      <c r="H21" s="37"/>
      <c r="I21" s="38"/>
    </row>
    <row r="22" spans="1:12" ht="63.75" customHeight="1" x14ac:dyDescent="0.25">
      <c r="A22" s="33" t="s">
        <v>34</v>
      </c>
      <c r="B22" s="33"/>
      <c r="C22" s="33"/>
      <c r="D22" s="33"/>
      <c r="E22" s="2"/>
      <c r="F22" s="33" t="str">
        <f>A22</f>
        <v>Oval DEO - Cap</v>
      </c>
      <c r="G22" s="33"/>
      <c r="H22" s="33"/>
      <c r="I22" s="33"/>
    </row>
    <row r="23" spans="1:12" s="1" customFormat="1" ht="30" customHeight="1" x14ac:dyDescent="0.25">
      <c r="A23" s="24" t="s">
        <v>0</v>
      </c>
      <c r="B23" s="23"/>
      <c r="C23" s="24" t="s">
        <v>1</v>
      </c>
      <c r="D23" s="23"/>
      <c r="E23" s="3"/>
      <c r="F23" s="24" t="s">
        <v>0</v>
      </c>
      <c r="G23" s="23"/>
      <c r="H23" s="24" t="s">
        <v>1</v>
      </c>
      <c r="I23" s="23"/>
    </row>
    <row r="24" spans="1:12" s="1" customFormat="1" ht="30" customHeight="1" x14ac:dyDescent="0.25">
      <c r="A24" s="24" t="s">
        <v>2</v>
      </c>
      <c r="B24" s="23"/>
      <c r="C24" s="24" t="s">
        <v>5</v>
      </c>
      <c r="D24" s="7" t="s">
        <v>87</v>
      </c>
      <c r="E24" s="4"/>
      <c r="F24" s="24" t="s">
        <v>2</v>
      </c>
      <c r="G24" s="23"/>
      <c r="H24" s="24" t="s">
        <v>5</v>
      </c>
      <c r="I24" s="7" t="str">
        <f>D24</f>
        <v>19B</v>
      </c>
    </row>
    <row r="25" spans="1:12" s="1" customFormat="1" ht="53.25" customHeight="1" x14ac:dyDescent="0.25">
      <c r="A25" s="8" t="s">
        <v>3</v>
      </c>
      <c r="B25" s="9">
        <v>4</v>
      </c>
      <c r="C25" s="24" t="s">
        <v>6</v>
      </c>
      <c r="D25" s="7" t="s">
        <v>88</v>
      </c>
      <c r="E25" s="4"/>
      <c r="F25" s="8" t="s">
        <v>3</v>
      </c>
      <c r="G25" s="9">
        <v>58</v>
      </c>
      <c r="H25" s="24" t="s">
        <v>6</v>
      </c>
      <c r="I25" s="7" t="str">
        <f>D25</f>
        <v>DEO-C07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48</v>
      </c>
      <c r="B26" s="35"/>
      <c r="C26" s="35"/>
      <c r="D26" s="36"/>
      <c r="E26" s="5"/>
      <c r="F26" s="34" t="s">
        <v>48</v>
      </c>
      <c r="G26" s="35"/>
      <c r="H26" s="35"/>
      <c r="I26" s="36"/>
      <c r="K26" s="1">
        <v>700</v>
      </c>
      <c r="L26" s="1">
        <v>20</v>
      </c>
    </row>
    <row r="27" spans="1:12" s="1" customFormat="1" ht="30" customHeight="1" x14ac:dyDescent="0.25">
      <c r="A27" s="43" t="s">
        <v>85</v>
      </c>
      <c r="B27" s="44"/>
      <c r="C27" s="44" t="s">
        <v>81</v>
      </c>
      <c r="D27" s="42"/>
      <c r="E27" s="4"/>
      <c r="F27" s="43" t="str">
        <f>A27</f>
        <v>KW621</v>
      </c>
      <c r="G27" s="44"/>
      <c r="H27" s="44" t="str">
        <f>C27</f>
        <v>Green</v>
      </c>
      <c r="I27" s="42"/>
    </row>
    <row r="28" spans="1:12" s="1" customFormat="1" ht="30" customHeight="1" x14ac:dyDescent="0.25">
      <c r="A28" s="12" t="s">
        <v>4</v>
      </c>
      <c r="B28" s="37">
        <v>27087</v>
      </c>
      <c r="C28" s="37"/>
      <c r="D28" s="38"/>
      <c r="E28" s="4"/>
      <c r="F28" s="12" t="s">
        <v>4</v>
      </c>
      <c r="G28" s="37">
        <f>B28</f>
        <v>27087</v>
      </c>
      <c r="H28" s="37"/>
      <c r="I28" s="38"/>
    </row>
    <row r="29" spans="1:12" ht="63.75" customHeight="1" x14ac:dyDescent="0.25">
      <c r="A29" s="33" t="s">
        <v>34</v>
      </c>
      <c r="B29" s="33"/>
      <c r="C29" s="33"/>
      <c r="D29" s="33"/>
      <c r="E29" s="2"/>
      <c r="F29" s="33" t="str">
        <f>A29</f>
        <v>Oval DEO - Cap</v>
      </c>
      <c r="G29" s="33"/>
      <c r="H29" s="33"/>
      <c r="I29" s="33"/>
    </row>
    <row r="30" spans="1:12" s="1" customFormat="1" ht="30" customHeight="1" x14ac:dyDescent="0.25">
      <c r="A30" s="24" t="s">
        <v>0</v>
      </c>
      <c r="B30" s="23"/>
      <c r="C30" s="24" t="s">
        <v>1</v>
      </c>
      <c r="D30" s="23"/>
      <c r="E30" s="3"/>
      <c r="F30" s="24" t="s">
        <v>0</v>
      </c>
      <c r="G30" s="23"/>
      <c r="H30" s="24" t="s">
        <v>1</v>
      </c>
      <c r="I30" s="23"/>
    </row>
    <row r="31" spans="1:12" s="1" customFormat="1" ht="30" customHeight="1" x14ac:dyDescent="0.25">
      <c r="A31" s="24" t="s">
        <v>2</v>
      </c>
      <c r="B31" s="23"/>
      <c r="C31" s="24" t="s">
        <v>5</v>
      </c>
      <c r="D31" s="7" t="s">
        <v>87</v>
      </c>
      <c r="E31" s="4"/>
      <c r="F31" s="24" t="s">
        <v>2</v>
      </c>
      <c r="G31" s="23"/>
      <c r="H31" s="24" t="s">
        <v>5</v>
      </c>
      <c r="I31" s="7" t="str">
        <f>D31</f>
        <v>19B</v>
      </c>
    </row>
    <row r="32" spans="1:12" s="1" customFormat="1" ht="53.25" customHeight="1" x14ac:dyDescent="0.25">
      <c r="A32" s="8" t="s">
        <v>3</v>
      </c>
      <c r="B32" s="9">
        <v>5</v>
      </c>
      <c r="C32" s="24" t="s">
        <v>6</v>
      </c>
      <c r="D32" s="7" t="s">
        <v>88</v>
      </c>
      <c r="E32" s="4"/>
      <c r="F32" s="8" t="s">
        <v>3</v>
      </c>
      <c r="G32" s="9">
        <v>59</v>
      </c>
      <c r="H32" s="24" t="s">
        <v>6</v>
      </c>
      <c r="I32" s="7" t="str">
        <f>D32</f>
        <v>DEO-C07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48</v>
      </c>
      <c r="B33" s="35"/>
      <c r="C33" s="35"/>
      <c r="D33" s="36"/>
      <c r="E33" s="5"/>
      <c r="F33" s="34" t="s">
        <v>48</v>
      </c>
      <c r="G33" s="35"/>
      <c r="H33" s="35"/>
      <c r="I33" s="36"/>
      <c r="K33" s="1">
        <v>700</v>
      </c>
      <c r="L33" s="1">
        <v>20</v>
      </c>
    </row>
    <row r="34" spans="1:12" s="1" customFormat="1" ht="30" customHeight="1" x14ac:dyDescent="0.25">
      <c r="A34" s="43" t="s">
        <v>85</v>
      </c>
      <c r="B34" s="44"/>
      <c r="C34" s="44" t="s">
        <v>81</v>
      </c>
      <c r="D34" s="42"/>
      <c r="E34" s="4"/>
      <c r="F34" s="43" t="str">
        <f>A34</f>
        <v>KW621</v>
      </c>
      <c r="G34" s="44"/>
      <c r="H34" s="44" t="str">
        <f>C34</f>
        <v>Green</v>
      </c>
      <c r="I34" s="42"/>
    </row>
    <row r="35" spans="1:12" s="1" customFormat="1" ht="30" customHeight="1" x14ac:dyDescent="0.25">
      <c r="A35" s="12" t="s">
        <v>4</v>
      </c>
      <c r="B35" s="37">
        <v>27087</v>
      </c>
      <c r="C35" s="37"/>
      <c r="D35" s="38"/>
      <c r="E35" s="4"/>
      <c r="F35" s="12" t="s">
        <v>4</v>
      </c>
      <c r="G35" s="37">
        <f>B35</f>
        <v>27087</v>
      </c>
      <c r="H35" s="37"/>
      <c r="I35" s="38"/>
    </row>
    <row r="36" spans="1:12" ht="63.75" customHeight="1" x14ac:dyDescent="0.25">
      <c r="A36" s="33" t="s">
        <v>34</v>
      </c>
      <c r="B36" s="33"/>
      <c r="C36" s="33"/>
      <c r="D36" s="33"/>
      <c r="E36" s="2"/>
      <c r="F36" s="33" t="str">
        <f>A36</f>
        <v>Oval DEO - Cap</v>
      </c>
      <c r="G36" s="33"/>
      <c r="H36" s="33"/>
      <c r="I36" s="33"/>
    </row>
    <row r="37" spans="1:12" s="1" customFormat="1" ht="30" customHeight="1" x14ac:dyDescent="0.25">
      <c r="A37" s="24" t="s">
        <v>0</v>
      </c>
      <c r="B37" s="23"/>
      <c r="C37" s="24" t="s">
        <v>1</v>
      </c>
      <c r="D37" s="23"/>
      <c r="E37" s="3"/>
      <c r="F37" s="24" t="s">
        <v>0</v>
      </c>
      <c r="G37" s="23"/>
      <c r="H37" s="24" t="s">
        <v>1</v>
      </c>
      <c r="I37" s="23"/>
    </row>
    <row r="38" spans="1:12" s="1" customFormat="1" ht="30" customHeight="1" x14ac:dyDescent="0.25">
      <c r="A38" s="24" t="s">
        <v>2</v>
      </c>
      <c r="B38" s="23"/>
      <c r="C38" s="24" t="s">
        <v>5</v>
      </c>
      <c r="D38" s="7" t="s">
        <v>87</v>
      </c>
      <c r="E38" s="4"/>
      <c r="F38" s="24" t="s">
        <v>2</v>
      </c>
      <c r="G38" s="23"/>
      <c r="H38" s="24" t="s">
        <v>5</v>
      </c>
      <c r="I38" s="7" t="str">
        <f>D38</f>
        <v>19B</v>
      </c>
    </row>
    <row r="39" spans="1:12" s="1" customFormat="1" ht="53.25" customHeight="1" x14ac:dyDescent="0.25">
      <c r="A39" s="8" t="s">
        <v>3</v>
      </c>
      <c r="B39" s="9">
        <v>6</v>
      </c>
      <c r="C39" s="24" t="s">
        <v>6</v>
      </c>
      <c r="D39" s="7" t="s">
        <v>88</v>
      </c>
      <c r="E39" s="4"/>
      <c r="F39" s="8" t="s">
        <v>3</v>
      </c>
      <c r="G39" s="9">
        <v>60</v>
      </c>
      <c r="H39" s="24" t="s">
        <v>6</v>
      </c>
      <c r="I39" s="7" t="str">
        <f>D39</f>
        <v>DEO-C07</v>
      </c>
      <c r="K39" s="6" t="s">
        <v>8</v>
      </c>
      <c r="L39" s="6" t="s">
        <v>7</v>
      </c>
    </row>
    <row r="40" spans="1:12" s="1" customFormat="1" ht="30" customHeight="1" x14ac:dyDescent="0.25">
      <c r="A40" s="34" t="s">
        <v>48</v>
      </c>
      <c r="B40" s="35"/>
      <c r="C40" s="35"/>
      <c r="D40" s="36"/>
      <c r="E40" s="5"/>
      <c r="F40" s="34" t="s">
        <v>48</v>
      </c>
      <c r="G40" s="35"/>
      <c r="H40" s="35"/>
      <c r="I40" s="36"/>
      <c r="K40" s="1">
        <v>700</v>
      </c>
      <c r="L40" s="1">
        <v>20</v>
      </c>
    </row>
    <row r="41" spans="1:12" s="1" customFormat="1" ht="30" customHeight="1" x14ac:dyDescent="0.25">
      <c r="A41" s="43" t="s">
        <v>85</v>
      </c>
      <c r="B41" s="44"/>
      <c r="C41" s="44" t="s">
        <v>81</v>
      </c>
      <c r="D41" s="42"/>
      <c r="E41" s="4"/>
      <c r="F41" s="43" t="str">
        <f>A41</f>
        <v>KW621</v>
      </c>
      <c r="G41" s="44"/>
      <c r="H41" s="44" t="str">
        <f>C41</f>
        <v>Green</v>
      </c>
      <c r="I41" s="42"/>
    </row>
    <row r="42" spans="1:12" s="1" customFormat="1" ht="30" customHeight="1" x14ac:dyDescent="0.25">
      <c r="A42" s="12" t="s">
        <v>4</v>
      </c>
      <c r="B42" s="37">
        <v>27087</v>
      </c>
      <c r="C42" s="37"/>
      <c r="D42" s="38"/>
      <c r="E42" s="4"/>
      <c r="F42" s="12" t="s">
        <v>4</v>
      </c>
      <c r="G42" s="37">
        <f>B42</f>
        <v>27087</v>
      </c>
      <c r="H42" s="37"/>
      <c r="I42" s="38"/>
    </row>
    <row r="43" spans="1:12" ht="63.75" customHeight="1" x14ac:dyDescent="0.25">
      <c r="A43" s="33" t="s">
        <v>34</v>
      </c>
      <c r="B43" s="33"/>
      <c r="C43" s="33"/>
      <c r="D43" s="33"/>
      <c r="E43" s="2"/>
      <c r="F43" s="33" t="str">
        <f>A43</f>
        <v>Oval DEO - Cap</v>
      </c>
      <c r="G43" s="33"/>
      <c r="H43" s="33"/>
      <c r="I43" s="33"/>
    </row>
    <row r="44" spans="1:12" s="1" customFormat="1" ht="30" customHeight="1" x14ac:dyDescent="0.25">
      <c r="A44" s="24" t="s">
        <v>0</v>
      </c>
      <c r="B44" s="23"/>
      <c r="C44" s="24" t="s">
        <v>1</v>
      </c>
      <c r="D44" s="23"/>
      <c r="E44" s="3"/>
      <c r="F44" s="24" t="s">
        <v>0</v>
      </c>
      <c r="G44" s="23"/>
      <c r="H44" s="24" t="s">
        <v>1</v>
      </c>
      <c r="I44" s="23"/>
    </row>
    <row r="45" spans="1:12" s="1" customFormat="1" ht="30" customHeight="1" x14ac:dyDescent="0.25">
      <c r="A45" s="24" t="s">
        <v>2</v>
      </c>
      <c r="B45" s="23"/>
      <c r="C45" s="24" t="s">
        <v>5</v>
      </c>
      <c r="D45" s="7" t="s">
        <v>87</v>
      </c>
      <c r="E45" s="4"/>
      <c r="F45" s="24" t="s">
        <v>2</v>
      </c>
      <c r="G45" s="23"/>
      <c r="H45" s="24" t="s">
        <v>5</v>
      </c>
      <c r="I45" s="7" t="str">
        <f>D45</f>
        <v>19B</v>
      </c>
    </row>
    <row r="46" spans="1:12" s="1" customFormat="1" ht="53.25" customHeight="1" x14ac:dyDescent="0.25">
      <c r="A46" s="8" t="s">
        <v>3</v>
      </c>
      <c r="B46" s="9">
        <v>7</v>
      </c>
      <c r="C46" s="24" t="s">
        <v>6</v>
      </c>
      <c r="D46" s="7" t="s">
        <v>88</v>
      </c>
      <c r="E46" s="4"/>
      <c r="F46" s="8" t="s">
        <v>3</v>
      </c>
      <c r="G46" s="9">
        <v>61</v>
      </c>
      <c r="H46" s="24" t="s">
        <v>6</v>
      </c>
      <c r="I46" s="7" t="str">
        <f>D46</f>
        <v>DEO-C07</v>
      </c>
      <c r="K46" s="6" t="s">
        <v>8</v>
      </c>
      <c r="L46" s="6" t="s">
        <v>7</v>
      </c>
    </row>
    <row r="47" spans="1:12" s="1" customFormat="1" ht="30" customHeight="1" x14ac:dyDescent="0.25">
      <c r="A47" s="34" t="s">
        <v>48</v>
      </c>
      <c r="B47" s="35"/>
      <c r="C47" s="35"/>
      <c r="D47" s="36"/>
      <c r="E47" s="5"/>
      <c r="F47" s="34" t="s">
        <v>48</v>
      </c>
      <c r="G47" s="35"/>
      <c r="H47" s="35"/>
      <c r="I47" s="36"/>
      <c r="K47" s="1">
        <v>700</v>
      </c>
      <c r="L47" s="1">
        <v>20</v>
      </c>
    </row>
    <row r="48" spans="1:12" s="1" customFormat="1" ht="30" customHeight="1" x14ac:dyDescent="0.25">
      <c r="A48" s="43" t="s">
        <v>85</v>
      </c>
      <c r="B48" s="44"/>
      <c r="C48" s="44" t="s">
        <v>81</v>
      </c>
      <c r="D48" s="42"/>
      <c r="E48" s="4"/>
      <c r="F48" s="43" t="str">
        <f>A48</f>
        <v>KW621</v>
      </c>
      <c r="G48" s="44"/>
      <c r="H48" s="44" t="str">
        <f>C48</f>
        <v>Green</v>
      </c>
      <c r="I48" s="42"/>
    </row>
    <row r="49" spans="1:12" s="1" customFormat="1" ht="30" customHeight="1" x14ac:dyDescent="0.25">
      <c r="A49" s="12" t="s">
        <v>4</v>
      </c>
      <c r="B49" s="37">
        <v>27087</v>
      </c>
      <c r="C49" s="37"/>
      <c r="D49" s="38"/>
      <c r="E49" s="4"/>
      <c r="F49" s="12" t="s">
        <v>4</v>
      </c>
      <c r="G49" s="37">
        <f>B49</f>
        <v>27087</v>
      </c>
      <c r="H49" s="37"/>
      <c r="I49" s="38"/>
    </row>
    <row r="50" spans="1:12" ht="63.75" customHeight="1" x14ac:dyDescent="0.25">
      <c r="A50" s="33" t="s">
        <v>34</v>
      </c>
      <c r="B50" s="33"/>
      <c r="C50" s="33"/>
      <c r="D50" s="33"/>
      <c r="E50" s="2"/>
      <c r="F50" s="33" t="str">
        <f>A50</f>
        <v>Oval DEO - Cap</v>
      </c>
      <c r="G50" s="33"/>
      <c r="H50" s="33"/>
      <c r="I50" s="33"/>
    </row>
    <row r="51" spans="1:12" s="1" customFormat="1" ht="30" customHeight="1" x14ac:dyDescent="0.25">
      <c r="A51" s="24" t="s">
        <v>0</v>
      </c>
      <c r="B51" s="23"/>
      <c r="C51" s="24" t="s">
        <v>1</v>
      </c>
      <c r="D51" s="23"/>
      <c r="E51" s="3"/>
      <c r="F51" s="24" t="s">
        <v>0</v>
      </c>
      <c r="G51" s="23"/>
      <c r="H51" s="24" t="s">
        <v>1</v>
      </c>
      <c r="I51" s="23"/>
    </row>
    <row r="52" spans="1:12" s="1" customFormat="1" ht="30" customHeight="1" x14ac:dyDescent="0.25">
      <c r="A52" s="24" t="s">
        <v>2</v>
      </c>
      <c r="B52" s="23"/>
      <c r="C52" s="24" t="s">
        <v>5</v>
      </c>
      <c r="D52" s="7" t="s">
        <v>87</v>
      </c>
      <c r="E52" s="4"/>
      <c r="F52" s="24" t="s">
        <v>2</v>
      </c>
      <c r="G52" s="23"/>
      <c r="H52" s="24" t="s">
        <v>5</v>
      </c>
      <c r="I52" s="7" t="str">
        <f>D52</f>
        <v>19B</v>
      </c>
    </row>
    <row r="53" spans="1:12" s="1" customFormat="1" ht="53.25" customHeight="1" x14ac:dyDescent="0.25">
      <c r="A53" s="8" t="s">
        <v>3</v>
      </c>
      <c r="B53" s="9">
        <v>8</v>
      </c>
      <c r="C53" s="24" t="s">
        <v>6</v>
      </c>
      <c r="D53" s="7" t="s">
        <v>88</v>
      </c>
      <c r="E53" s="4"/>
      <c r="F53" s="8" t="s">
        <v>3</v>
      </c>
      <c r="G53" s="9">
        <v>62</v>
      </c>
      <c r="H53" s="24" t="s">
        <v>6</v>
      </c>
      <c r="I53" s="7" t="str">
        <f>D53</f>
        <v>DEO-C07</v>
      </c>
      <c r="K53" s="6" t="s">
        <v>8</v>
      </c>
      <c r="L53" s="6" t="s">
        <v>7</v>
      </c>
    </row>
    <row r="54" spans="1:12" s="1" customFormat="1" ht="30" customHeight="1" x14ac:dyDescent="0.25">
      <c r="A54" s="34" t="s">
        <v>48</v>
      </c>
      <c r="B54" s="35"/>
      <c r="C54" s="35"/>
      <c r="D54" s="36"/>
      <c r="E54" s="5"/>
      <c r="F54" s="34" t="s">
        <v>48</v>
      </c>
      <c r="G54" s="35"/>
      <c r="H54" s="35"/>
      <c r="I54" s="36"/>
      <c r="K54" s="1">
        <v>700</v>
      </c>
      <c r="L54" s="1">
        <v>20</v>
      </c>
    </row>
    <row r="55" spans="1:12" s="1" customFormat="1" ht="30" customHeight="1" x14ac:dyDescent="0.25">
      <c r="A55" s="43" t="s">
        <v>85</v>
      </c>
      <c r="B55" s="44"/>
      <c r="C55" s="44" t="s">
        <v>81</v>
      </c>
      <c r="D55" s="42"/>
      <c r="E55" s="4"/>
      <c r="F55" s="43" t="str">
        <f>A55</f>
        <v>KW621</v>
      </c>
      <c r="G55" s="44"/>
      <c r="H55" s="44" t="str">
        <f>C55</f>
        <v>Green</v>
      </c>
      <c r="I55" s="42"/>
    </row>
    <row r="56" spans="1:12" s="1" customFormat="1" ht="30" customHeight="1" x14ac:dyDescent="0.25">
      <c r="A56" s="12" t="s">
        <v>4</v>
      </c>
      <c r="B56" s="37">
        <v>27087</v>
      </c>
      <c r="C56" s="37"/>
      <c r="D56" s="38"/>
      <c r="E56" s="4"/>
      <c r="F56" s="12" t="s">
        <v>4</v>
      </c>
      <c r="G56" s="37">
        <f>B56</f>
        <v>27087</v>
      </c>
      <c r="H56" s="37"/>
      <c r="I56" s="38"/>
    </row>
    <row r="57" spans="1:12" ht="63.75" customHeight="1" x14ac:dyDescent="0.25">
      <c r="A57" s="33" t="s">
        <v>34</v>
      </c>
      <c r="B57" s="33"/>
      <c r="C57" s="33"/>
      <c r="D57" s="33"/>
      <c r="E57" s="2"/>
      <c r="F57" s="33" t="str">
        <f>A57</f>
        <v>Oval DEO - Cap</v>
      </c>
      <c r="G57" s="33"/>
      <c r="H57" s="33"/>
      <c r="I57" s="33"/>
    </row>
    <row r="58" spans="1:12" s="1" customFormat="1" ht="30" customHeight="1" x14ac:dyDescent="0.25">
      <c r="A58" s="24" t="s">
        <v>0</v>
      </c>
      <c r="B58" s="23"/>
      <c r="C58" s="24" t="s">
        <v>1</v>
      </c>
      <c r="D58" s="23"/>
      <c r="E58" s="3"/>
      <c r="F58" s="24" t="s">
        <v>0</v>
      </c>
      <c r="G58" s="23"/>
      <c r="H58" s="24" t="s">
        <v>1</v>
      </c>
      <c r="I58" s="23"/>
    </row>
    <row r="59" spans="1:12" s="1" customFormat="1" ht="30" customHeight="1" x14ac:dyDescent="0.25">
      <c r="A59" s="24" t="s">
        <v>2</v>
      </c>
      <c r="B59" s="23"/>
      <c r="C59" s="24" t="s">
        <v>5</v>
      </c>
      <c r="D59" s="7" t="s">
        <v>87</v>
      </c>
      <c r="E59" s="4"/>
      <c r="F59" s="24" t="s">
        <v>2</v>
      </c>
      <c r="G59" s="23"/>
      <c r="H59" s="24" t="s">
        <v>5</v>
      </c>
      <c r="I59" s="7" t="str">
        <f>D59</f>
        <v>19B</v>
      </c>
    </row>
    <row r="60" spans="1:12" s="1" customFormat="1" ht="53.25" customHeight="1" x14ac:dyDescent="0.25">
      <c r="A60" s="8" t="s">
        <v>3</v>
      </c>
      <c r="B60" s="9">
        <v>9</v>
      </c>
      <c r="C60" s="24" t="s">
        <v>6</v>
      </c>
      <c r="D60" s="7" t="s">
        <v>88</v>
      </c>
      <c r="E60" s="4"/>
      <c r="F60" s="8" t="s">
        <v>3</v>
      </c>
      <c r="G60" s="9">
        <v>63</v>
      </c>
      <c r="H60" s="24" t="s">
        <v>6</v>
      </c>
      <c r="I60" s="7" t="str">
        <f>D60</f>
        <v>DEO-C07</v>
      </c>
      <c r="K60" s="6" t="s">
        <v>8</v>
      </c>
      <c r="L60" s="6" t="s">
        <v>7</v>
      </c>
    </row>
    <row r="61" spans="1:12" s="1" customFormat="1" ht="30" customHeight="1" x14ac:dyDescent="0.25">
      <c r="A61" s="34" t="s">
        <v>48</v>
      </c>
      <c r="B61" s="35"/>
      <c r="C61" s="35"/>
      <c r="D61" s="36"/>
      <c r="E61" s="5"/>
      <c r="F61" s="34" t="s">
        <v>48</v>
      </c>
      <c r="G61" s="35"/>
      <c r="H61" s="35"/>
      <c r="I61" s="36"/>
      <c r="K61" s="1">
        <v>700</v>
      </c>
      <c r="L61" s="1">
        <v>20</v>
      </c>
    </row>
    <row r="62" spans="1:12" s="1" customFormat="1" ht="30" customHeight="1" x14ac:dyDescent="0.25">
      <c r="A62" s="43" t="s">
        <v>85</v>
      </c>
      <c r="B62" s="44"/>
      <c r="C62" s="44" t="s">
        <v>81</v>
      </c>
      <c r="D62" s="42"/>
      <c r="E62" s="4"/>
      <c r="F62" s="43" t="str">
        <f>A62</f>
        <v>KW621</v>
      </c>
      <c r="G62" s="44"/>
      <c r="H62" s="44" t="str">
        <f>C62</f>
        <v>Green</v>
      </c>
      <c r="I62" s="42"/>
    </row>
    <row r="63" spans="1:12" s="1" customFormat="1" ht="30" customHeight="1" x14ac:dyDescent="0.25">
      <c r="A63" s="12" t="s">
        <v>4</v>
      </c>
      <c r="B63" s="37">
        <v>27087</v>
      </c>
      <c r="C63" s="37"/>
      <c r="D63" s="38"/>
      <c r="E63" s="4"/>
      <c r="F63" s="12" t="s">
        <v>4</v>
      </c>
      <c r="G63" s="37">
        <f>B63</f>
        <v>27087</v>
      </c>
      <c r="H63" s="37"/>
      <c r="I63" s="38"/>
    </row>
    <row r="64" spans="1:12" ht="63.75" customHeight="1" x14ac:dyDescent="0.25">
      <c r="A64" s="33" t="s">
        <v>34</v>
      </c>
      <c r="B64" s="33"/>
      <c r="C64" s="33"/>
      <c r="D64" s="33"/>
      <c r="E64" s="2"/>
      <c r="F64" s="33" t="str">
        <f>A64</f>
        <v>Oval DEO - Cap</v>
      </c>
      <c r="G64" s="33"/>
      <c r="H64" s="33"/>
      <c r="I64" s="33"/>
    </row>
    <row r="65" spans="1:12" s="1" customFormat="1" ht="30" customHeight="1" x14ac:dyDescent="0.25">
      <c r="A65" s="24" t="s">
        <v>0</v>
      </c>
      <c r="B65" s="23"/>
      <c r="C65" s="24" t="s">
        <v>1</v>
      </c>
      <c r="D65" s="23"/>
      <c r="E65" s="3"/>
      <c r="F65" s="24" t="s">
        <v>0</v>
      </c>
      <c r="G65" s="23"/>
      <c r="H65" s="24" t="s">
        <v>1</v>
      </c>
      <c r="I65" s="23"/>
    </row>
    <row r="66" spans="1:12" s="1" customFormat="1" ht="30" customHeight="1" x14ac:dyDescent="0.25">
      <c r="A66" s="24" t="s">
        <v>2</v>
      </c>
      <c r="B66" s="23"/>
      <c r="C66" s="24" t="s">
        <v>5</v>
      </c>
      <c r="D66" s="7" t="s">
        <v>87</v>
      </c>
      <c r="E66" s="4"/>
      <c r="F66" s="24" t="s">
        <v>2</v>
      </c>
      <c r="G66" s="23"/>
      <c r="H66" s="24" t="s">
        <v>5</v>
      </c>
      <c r="I66" s="7" t="str">
        <f>D66</f>
        <v>19B</v>
      </c>
    </row>
    <row r="67" spans="1:12" s="1" customFormat="1" ht="53.25" customHeight="1" x14ac:dyDescent="0.25">
      <c r="A67" s="8" t="s">
        <v>3</v>
      </c>
      <c r="B67" s="9">
        <v>10</v>
      </c>
      <c r="C67" s="24" t="s">
        <v>6</v>
      </c>
      <c r="D67" s="7" t="s">
        <v>88</v>
      </c>
      <c r="E67" s="4"/>
      <c r="F67" s="8" t="s">
        <v>3</v>
      </c>
      <c r="G67" s="9">
        <v>64</v>
      </c>
      <c r="H67" s="24" t="s">
        <v>6</v>
      </c>
      <c r="I67" s="7" t="str">
        <f>D67</f>
        <v>DEO-C07</v>
      </c>
      <c r="K67" s="6" t="s">
        <v>8</v>
      </c>
      <c r="L67" s="6" t="s">
        <v>7</v>
      </c>
    </row>
    <row r="68" spans="1:12" s="1" customFormat="1" ht="30" customHeight="1" x14ac:dyDescent="0.25">
      <c r="A68" s="34" t="s">
        <v>48</v>
      </c>
      <c r="B68" s="35"/>
      <c r="C68" s="35"/>
      <c r="D68" s="36"/>
      <c r="E68" s="5"/>
      <c r="F68" s="34" t="s">
        <v>48</v>
      </c>
      <c r="G68" s="35"/>
      <c r="H68" s="35"/>
      <c r="I68" s="36"/>
      <c r="K68" s="1">
        <v>700</v>
      </c>
      <c r="L68" s="1">
        <v>20</v>
      </c>
    </row>
    <row r="69" spans="1:12" s="1" customFormat="1" ht="30" customHeight="1" x14ac:dyDescent="0.25">
      <c r="A69" s="43" t="s">
        <v>85</v>
      </c>
      <c r="B69" s="44"/>
      <c r="C69" s="44" t="s">
        <v>81</v>
      </c>
      <c r="D69" s="42"/>
      <c r="E69" s="4"/>
      <c r="F69" s="43" t="str">
        <f>A69</f>
        <v>KW621</v>
      </c>
      <c r="G69" s="44"/>
      <c r="H69" s="44" t="str">
        <f>C69</f>
        <v>Green</v>
      </c>
      <c r="I69" s="42"/>
    </row>
    <row r="70" spans="1:12" s="1" customFormat="1" ht="30" customHeight="1" x14ac:dyDescent="0.25">
      <c r="A70" s="12" t="s">
        <v>4</v>
      </c>
      <c r="B70" s="37">
        <v>27087</v>
      </c>
      <c r="C70" s="37"/>
      <c r="D70" s="38"/>
      <c r="E70" s="4"/>
      <c r="F70" s="12" t="s">
        <v>4</v>
      </c>
      <c r="G70" s="37">
        <f>B70</f>
        <v>27087</v>
      </c>
      <c r="H70" s="37"/>
      <c r="I70" s="38"/>
    </row>
    <row r="71" spans="1:12" ht="63.75" customHeight="1" x14ac:dyDescent="0.25">
      <c r="A71" s="33" t="s">
        <v>34</v>
      </c>
      <c r="B71" s="33"/>
      <c r="C71" s="33"/>
      <c r="D71" s="33"/>
      <c r="E71" s="2"/>
      <c r="F71" s="33" t="str">
        <f>A71</f>
        <v>Oval DEO - Cap</v>
      </c>
      <c r="G71" s="33"/>
      <c r="H71" s="33"/>
      <c r="I71" s="33"/>
    </row>
    <row r="72" spans="1:12" s="1" customFormat="1" ht="30" customHeight="1" x14ac:dyDescent="0.25">
      <c r="A72" s="24" t="s">
        <v>0</v>
      </c>
      <c r="B72" s="23"/>
      <c r="C72" s="24" t="s">
        <v>1</v>
      </c>
      <c r="D72" s="23"/>
      <c r="E72" s="3"/>
      <c r="F72" s="24" t="s">
        <v>0</v>
      </c>
      <c r="G72" s="23"/>
      <c r="H72" s="24" t="s">
        <v>1</v>
      </c>
      <c r="I72" s="23"/>
    </row>
    <row r="73" spans="1:12" s="1" customFormat="1" ht="30" customHeight="1" x14ac:dyDescent="0.25">
      <c r="A73" s="24" t="s">
        <v>2</v>
      </c>
      <c r="B73" s="23"/>
      <c r="C73" s="24" t="s">
        <v>5</v>
      </c>
      <c r="D73" s="7" t="s">
        <v>87</v>
      </c>
      <c r="E73" s="4"/>
      <c r="F73" s="24" t="s">
        <v>2</v>
      </c>
      <c r="G73" s="23"/>
      <c r="H73" s="24" t="s">
        <v>5</v>
      </c>
      <c r="I73" s="7" t="str">
        <f>D73</f>
        <v>19B</v>
      </c>
    </row>
    <row r="74" spans="1:12" s="1" customFormat="1" ht="53.25" customHeight="1" x14ac:dyDescent="0.25">
      <c r="A74" s="8" t="s">
        <v>3</v>
      </c>
      <c r="B74" s="9">
        <v>11</v>
      </c>
      <c r="C74" s="24" t="s">
        <v>6</v>
      </c>
      <c r="D74" s="7" t="s">
        <v>88</v>
      </c>
      <c r="E74" s="4"/>
      <c r="F74" s="8" t="s">
        <v>3</v>
      </c>
      <c r="G74" s="9">
        <v>65</v>
      </c>
      <c r="H74" s="24" t="s">
        <v>6</v>
      </c>
      <c r="I74" s="7" t="str">
        <f>D74</f>
        <v>DEO-C07</v>
      </c>
      <c r="K74" s="6" t="s">
        <v>8</v>
      </c>
      <c r="L74" s="6" t="s">
        <v>7</v>
      </c>
    </row>
    <row r="75" spans="1:12" s="1" customFormat="1" ht="30" customHeight="1" x14ac:dyDescent="0.25">
      <c r="A75" s="34" t="s">
        <v>48</v>
      </c>
      <c r="B75" s="35"/>
      <c r="C75" s="35"/>
      <c r="D75" s="36"/>
      <c r="E75" s="5"/>
      <c r="F75" s="34" t="s">
        <v>48</v>
      </c>
      <c r="G75" s="35"/>
      <c r="H75" s="35"/>
      <c r="I75" s="36"/>
      <c r="K75" s="1">
        <v>700</v>
      </c>
      <c r="L75" s="1">
        <v>20</v>
      </c>
    </row>
    <row r="76" spans="1:12" s="1" customFormat="1" ht="30" customHeight="1" x14ac:dyDescent="0.25">
      <c r="A76" s="43" t="s">
        <v>85</v>
      </c>
      <c r="B76" s="44"/>
      <c r="C76" s="44" t="s">
        <v>81</v>
      </c>
      <c r="D76" s="42"/>
      <c r="E76" s="4"/>
      <c r="F76" s="43" t="str">
        <f>A76</f>
        <v>KW621</v>
      </c>
      <c r="G76" s="44"/>
      <c r="H76" s="44" t="str">
        <f>C76</f>
        <v>Green</v>
      </c>
      <c r="I76" s="42"/>
    </row>
    <row r="77" spans="1:12" s="1" customFormat="1" ht="30" customHeight="1" x14ac:dyDescent="0.25">
      <c r="A77" s="12" t="s">
        <v>4</v>
      </c>
      <c r="B77" s="37">
        <v>27087</v>
      </c>
      <c r="C77" s="37"/>
      <c r="D77" s="38"/>
      <c r="E77" s="4"/>
      <c r="F77" s="12" t="s">
        <v>4</v>
      </c>
      <c r="G77" s="37">
        <f>B77</f>
        <v>27087</v>
      </c>
      <c r="H77" s="37"/>
      <c r="I77" s="38"/>
    </row>
    <row r="78" spans="1:12" ht="63.75" customHeight="1" x14ac:dyDescent="0.25">
      <c r="A78" s="33" t="s">
        <v>34</v>
      </c>
      <c r="B78" s="33"/>
      <c r="C78" s="33"/>
      <c r="D78" s="33"/>
      <c r="E78" s="2"/>
      <c r="F78" s="33" t="str">
        <f>A78</f>
        <v>Oval DEO - Cap</v>
      </c>
      <c r="G78" s="33"/>
      <c r="H78" s="33"/>
      <c r="I78" s="33"/>
    </row>
    <row r="79" spans="1:12" s="1" customFormat="1" ht="30" customHeight="1" x14ac:dyDescent="0.25">
      <c r="A79" s="24" t="s">
        <v>0</v>
      </c>
      <c r="B79" s="23"/>
      <c r="C79" s="24" t="s">
        <v>1</v>
      </c>
      <c r="D79" s="23"/>
      <c r="E79" s="3"/>
      <c r="F79" s="24" t="s">
        <v>0</v>
      </c>
      <c r="G79" s="23"/>
      <c r="H79" s="24" t="s">
        <v>1</v>
      </c>
      <c r="I79" s="23"/>
    </row>
    <row r="80" spans="1:12" s="1" customFormat="1" ht="30" customHeight="1" x14ac:dyDescent="0.25">
      <c r="A80" s="24" t="s">
        <v>2</v>
      </c>
      <c r="B80" s="23"/>
      <c r="C80" s="24" t="s">
        <v>5</v>
      </c>
      <c r="D80" s="7" t="s">
        <v>87</v>
      </c>
      <c r="E80" s="4"/>
      <c r="F80" s="24" t="s">
        <v>2</v>
      </c>
      <c r="G80" s="23"/>
      <c r="H80" s="24" t="s">
        <v>5</v>
      </c>
      <c r="I80" s="7" t="str">
        <f>D80</f>
        <v>19B</v>
      </c>
    </row>
    <row r="81" spans="1:12" s="1" customFormat="1" ht="53.25" customHeight="1" x14ac:dyDescent="0.25">
      <c r="A81" s="8" t="s">
        <v>3</v>
      </c>
      <c r="B81" s="9">
        <v>12</v>
      </c>
      <c r="C81" s="24" t="s">
        <v>6</v>
      </c>
      <c r="D81" s="7" t="s">
        <v>88</v>
      </c>
      <c r="E81" s="4"/>
      <c r="F81" s="8" t="s">
        <v>3</v>
      </c>
      <c r="G81" s="9">
        <v>66</v>
      </c>
      <c r="H81" s="24" t="s">
        <v>6</v>
      </c>
      <c r="I81" s="7" t="str">
        <f>D81</f>
        <v>DEO-C07</v>
      </c>
      <c r="K81" s="6" t="s">
        <v>8</v>
      </c>
      <c r="L81" s="6" t="s">
        <v>7</v>
      </c>
    </row>
    <row r="82" spans="1:12" s="1" customFormat="1" ht="30" customHeight="1" x14ac:dyDescent="0.25">
      <c r="A82" s="34" t="s">
        <v>48</v>
      </c>
      <c r="B82" s="35"/>
      <c r="C82" s="35"/>
      <c r="D82" s="36"/>
      <c r="E82" s="5"/>
      <c r="F82" s="34" t="s">
        <v>48</v>
      </c>
      <c r="G82" s="35"/>
      <c r="H82" s="35"/>
      <c r="I82" s="36"/>
      <c r="K82" s="1">
        <v>700</v>
      </c>
      <c r="L82" s="1">
        <v>20</v>
      </c>
    </row>
    <row r="83" spans="1:12" s="1" customFormat="1" ht="30" customHeight="1" x14ac:dyDescent="0.25">
      <c r="A83" s="43" t="s">
        <v>85</v>
      </c>
      <c r="B83" s="44"/>
      <c r="C83" s="44" t="s">
        <v>81</v>
      </c>
      <c r="D83" s="42"/>
      <c r="E83" s="4"/>
      <c r="F83" s="43" t="str">
        <f>A83</f>
        <v>KW621</v>
      </c>
      <c r="G83" s="44"/>
      <c r="H83" s="44" t="str">
        <f>C83</f>
        <v>Green</v>
      </c>
      <c r="I83" s="42"/>
    </row>
    <row r="84" spans="1:12" s="1" customFormat="1" ht="30" customHeight="1" x14ac:dyDescent="0.25">
      <c r="A84" s="12" t="s">
        <v>4</v>
      </c>
      <c r="B84" s="37">
        <v>27087</v>
      </c>
      <c r="C84" s="37"/>
      <c r="D84" s="38"/>
      <c r="E84" s="4"/>
      <c r="F84" s="12" t="s">
        <v>4</v>
      </c>
      <c r="G84" s="37">
        <f>B84</f>
        <v>27087</v>
      </c>
      <c r="H84" s="37"/>
      <c r="I84" s="38"/>
    </row>
    <row r="85" spans="1:12" ht="63.75" customHeight="1" x14ac:dyDescent="0.25">
      <c r="A85" s="33" t="s">
        <v>34</v>
      </c>
      <c r="B85" s="33"/>
      <c r="C85" s="33"/>
      <c r="D85" s="33"/>
      <c r="E85" s="2"/>
      <c r="F85" s="33" t="str">
        <f>A85</f>
        <v>Oval DEO - Cap</v>
      </c>
      <c r="G85" s="33"/>
      <c r="H85" s="33"/>
      <c r="I85" s="33"/>
    </row>
    <row r="86" spans="1:12" s="1" customFormat="1" ht="30" customHeight="1" x14ac:dyDescent="0.25">
      <c r="A86" s="24" t="s">
        <v>0</v>
      </c>
      <c r="B86" s="23"/>
      <c r="C86" s="24" t="s">
        <v>1</v>
      </c>
      <c r="D86" s="23"/>
      <c r="E86" s="3"/>
      <c r="F86" s="24" t="s">
        <v>0</v>
      </c>
      <c r="G86" s="23"/>
      <c r="H86" s="24" t="s">
        <v>1</v>
      </c>
      <c r="I86" s="23"/>
    </row>
    <row r="87" spans="1:12" s="1" customFormat="1" ht="30" customHeight="1" x14ac:dyDescent="0.25">
      <c r="A87" s="24" t="s">
        <v>2</v>
      </c>
      <c r="B87" s="23"/>
      <c r="C87" s="24" t="s">
        <v>5</v>
      </c>
      <c r="D87" s="7" t="s">
        <v>87</v>
      </c>
      <c r="E87" s="4"/>
      <c r="F87" s="24" t="s">
        <v>2</v>
      </c>
      <c r="G87" s="23"/>
      <c r="H87" s="24" t="s">
        <v>5</v>
      </c>
      <c r="I87" s="7" t="str">
        <f>D87</f>
        <v>19B</v>
      </c>
    </row>
    <row r="88" spans="1:12" s="1" customFormat="1" ht="53.25" customHeight="1" x14ac:dyDescent="0.25">
      <c r="A88" s="8" t="s">
        <v>3</v>
      </c>
      <c r="B88" s="9">
        <v>13</v>
      </c>
      <c r="C88" s="24" t="s">
        <v>6</v>
      </c>
      <c r="D88" s="7" t="s">
        <v>88</v>
      </c>
      <c r="E88" s="4"/>
      <c r="F88" s="8" t="s">
        <v>3</v>
      </c>
      <c r="G88" s="9">
        <v>67</v>
      </c>
      <c r="H88" s="24" t="s">
        <v>6</v>
      </c>
      <c r="I88" s="7" t="str">
        <f>D88</f>
        <v>DEO-C07</v>
      </c>
      <c r="K88" s="6" t="s">
        <v>8</v>
      </c>
      <c r="L88" s="6" t="s">
        <v>7</v>
      </c>
    </row>
    <row r="89" spans="1:12" s="1" customFormat="1" ht="30" customHeight="1" x14ac:dyDescent="0.25">
      <c r="A89" s="34" t="s">
        <v>48</v>
      </c>
      <c r="B89" s="35"/>
      <c r="C89" s="35"/>
      <c r="D89" s="36"/>
      <c r="E89" s="5"/>
      <c r="F89" s="34" t="s">
        <v>48</v>
      </c>
      <c r="G89" s="35"/>
      <c r="H89" s="35"/>
      <c r="I89" s="36"/>
      <c r="K89" s="1">
        <v>700</v>
      </c>
      <c r="L89" s="1">
        <v>20</v>
      </c>
    </row>
    <row r="90" spans="1:12" s="1" customFormat="1" ht="30" customHeight="1" x14ac:dyDescent="0.25">
      <c r="A90" s="43" t="s">
        <v>85</v>
      </c>
      <c r="B90" s="44"/>
      <c r="C90" s="44" t="s">
        <v>81</v>
      </c>
      <c r="D90" s="42"/>
      <c r="E90" s="4"/>
      <c r="F90" s="43" t="str">
        <f>A90</f>
        <v>KW621</v>
      </c>
      <c r="G90" s="44"/>
      <c r="H90" s="44" t="str">
        <f>C90</f>
        <v>Green</v>
      </c>
      <c r="I90" s="42"/>
    </row>
    <row r="91" spans="1:12" s="1" customFormat="1" ht="30" customHeight="1" x14ac:dyDescent="0.25">
      <c r="A91" s="12" t="s">
        <v>4</v>
      </c>
      <c r="B91" s="37">
        <v>27087</v>
      </c>
      <c r="C91" s="37"/>
      <c r="D91" s="38"/>
      <c r="E91" s="4"/>
      <c r="F91" s="12" t="s">
        <v>4</v>
      </c>
      <c r="G91" s="37">
        <f>B91</f>
        <v>27087</v>
      </c>
      <c r="H91" s="37"/>
      <c r="I91" s="38"/>
    </row>
    <row r="92" spans="1:12" ht="63.75" customHeight="1" x14ac:dyDescent="0.25">
      <c r="A92" s="33" t="s">
        <v>34</v>
      </c>
      <c r="B92" s="33"/>
      <c r="C92" s="33"/>
      <c r="D92" s="33"/>
      <c r="E92" s="2"/>
      <c r="F92" s="33" t="str">
        <f>A92</f>
        <v>Oval DEO - Cap</v>
      </c>
      <c r="G92" s="33"/>
      <c r="H92" s="33"/>
      <c r="I92" s="33"/>
    </row>
    <row r="93" spans="1:12" s="1" customFormat="1" ht="30" customHeight="1" x14ac:dyDescent="0.25">
      <c r="A93" s="24" t="s">
        <v>0</v>
      </c>
      <c r="B93" s="23"/>
      <c r="C93" s="24" t="s">
        <v>1</v>
      </c>
      <c r="D93" s="23"/>
      <c r="E93" s="3"/>
      <c r="F93" s="24" t="s">
        <v>0</v>
      </c>
      <c r="G93" s="23"/>
      <c r="H93" s="24" t="s">
        <v>1</v>
      </c>
      <c r="I93" s="23"/>
    </row>
    <row r="94" spans="1:12" s="1" customFormat="1" ht="30" customHeight="1" x14ac:dyDescent="0.25">
      <c r="A94" s="24" t="s">
        <v>2</v>
      </c>
      <c r="B94" s="23"/>
      <c r="C94" s="24" t="s">
        <v>5</v>
      </c>
      <c r="D94" s="7" t="s">
        <v>87</v>
      </c>
      <c r="E94" s="4"/>
      <c r="F94" s="24" t="s">
        <v>2</v>
      </c>
      <c r="G94" s="23"/>
      <c r="H94" s="24" t="s">
        <v>5</v>
      </c>
      <c r="I94" s="7" t="str">
        <f>D94</f>
        <v>19B</v>
      </c>
    </row>
    <row r="95" spans="1:12" s="1" customFormat="1" ht="53.25" customHeight="1" x14ac:dyDescent="0.25">
      <c r="A95" s="8" t="s">
        <v>3</v>
      </c>
      <c r="B95" s="9">
        <v>14</v>
      </c>
      <c r="C95" s="24" t="s">
        <v>6</v>
      </c>
      <c r="D95" s="7" t="s">
        <v>88</v>
      </c>
      <c r="E95" s="4"/>
      <c r="F95" s="8" t="s">
        <v>3</v>
      </c>
      <c r="G95" s="9">
        <v>68</v>
      </c>
      <c r="H95" s="24" t="s">
        <v>6</v>
      </c>
      <c r="I95" s="7" t="str">
        <f>D95</f>
        <v>DEO-C07</v>
      </c>
      <c r="K95" s="6" t="s">
        <v>8</v>
      </c>
      <c r="L95" s="6" t="s">
        <v>7</v>
      </c>
    </row>
    <row r="96" spans="1:12" s="1" customFormat="1" ht="30" customHeight="1" x14ac:dyDescent="0.25">
      <c r="A96" s="34" t="s">
        <v>48</v>
      </c>
      <c r="B96" s="35"/>
      <c r="C96" s="35"/>
      <c r="D96" s="36"/>
      <c r="E96" s="5"/>
      <c r="F96" s="34" t="s">
        <v>48</v>
      </c>
      <c r="G96" s="35"/>
      <c r="H96" s="35"/>
      <c r="I96" s="36"/>
      <c r="K96" s="1">
        <v>700</v>
      </c>
      <c r="L96" s="1">
        <v>20</v>
      </c>
    </row>
    <row r="97" spans="1:12" s="1" customFormat="1" ht="30" customHeight="1" x14ac:dyDescent="0.25">
      <c r="A97" s="43" t="s">
        <v>85</v>
      </c>
      <c r="B97" s="44"/>
      <c r="C97" s="44" t="s">
        <v>81</v>
      </c>
      <c r="D97" s="42"/>
      <c r="E97" s="4"/>
      <c r="F97" s="43" t="str">
        <f>A97</f>
        <v>KW621</v>
      </c>
      <c r="G97" s="44"/>
      <c r="H97" s="44" t="str">
        <f>C97</f>
        <v>Green</v>
      </c>
      <c r="I97" s="42"/>
    </row>
    <row r="98" spans="1:12" s="1" customFormat="1" ht="30" customHeight="1" x14ac:dyDescent="0.25">
      <c r="A98" s="12" t="s">
        <v>4</v>
      </c>
      <c r="B98" s="37">
        <v>27087</v>
      </c>
      <c r="C98" s="37"/>
      <c r="D98" s="38"/>
      <c r="E98" s="4"/>
      <c r="F98" s="12" t="s">
        <v>4</v>
      </c>
      <c r="G98" s="37">
        <f>B98</f>
        <v>27087</v>
      </c>
      <c r="H98" s="37"/>
      <c r="I98" s="38"/>
    </row>
    <row r="99" spans="1:12" ht="63.75" customHeight="1" x14ac:dyDescent="0.25">
      <c r="A99" s="33" t="s">
        <v>34</v>
      </c>
      <c r="B99" s="33"/>
      <c r="C99" s="33"/>
      <c r="D99" s="33"/>
      <c r="E99" s="2"/>
      <c r="F99" s="33" t="str">
        <f>A99</f>
        <v>Oval DEO - Cap</v>
      </c>
      <c r="G99" s="33"/>
      <c r="H99" s="33"/>
      <c r="I99" s="33"/>
    </row>
    <row r="100" spans="1:12" s="1" customFormat="1" ht="30" customHeight="1" x14ac:dyDescent="0.25">
      <c r="A100" s="24" t="s">
        <v>0</v>
      </c>
      <c r="B100" s="23"/>
      <c r="C100" s="24" t="s">
        <v>1</v>
      </c>
      <c r="D100" s="23"/>
      <c r="E100" s="3"/>
      <c r="F100" s="24" t="s">
        <v>0</v>
      </c>
      <c r="G100" s="23"/>
      <c r="H100" s="24" t="s">
        <v>1</v>
      </c>
      <c r="I100" s="23"/>
    </row>
    <row r="101" spans="1:12" s="1" customFormat="1" ht="30" customHeight="1" x14ac:dyDescent="0.25">
      <c r="A101" s="24" t="s">
        <v>2</v>
      </c>
      <c r="B101" s="23"/>
      <c r="C101" s="24" t="s">
        <v>5</v>
      </c>
      <c r="D101" s="7" t="s">
        <v>87</v>
      </c>
      <c r="E101" s="4"/>
      <c r="F101" s="24" t="s">
        <v>2</v>
      </c>
      <c r="G101" s="23"/>
      <c r="H101" s="24" t="s">
        <v>5</v>
      </c>
      <c r="I101" s="7" t="str">
        <f>D101</f>
        <v>19B</v>
      </c>
    </row>
    <row r="102" spans="1:12" s="1" customFormat="1" ht="53.25" customHeight="1" x14ac:dyDescent="0.25">
      <c r="A102" s="8" t="s">
        <v>3</v>
      </c>
      <c r="B102" s="9">
        <v>15</v>
      </c>
      <c r="C102" s="24" t="s">
        <v>6</v>
      </c>
      <c r="D102" s="7" t="s">
        <v>88</v>
      </c>
      <c r="E102" s="4"/>
      <c r="F102" s="8" t="s">
        <v>3</v>
      </c>
      <c r="G102" s="9">
        <v>69</v>
      </c>
      <c r="H102" s="24" t="s">
        <v>6</v>
      </c>
      <c r="I102" s="7" t="str">
        <f>D102</f>
        <v>DEO-C07</v>
      </c>
      <c r="K102" s="6" t="s">
        <v>8</v>
      </c>
      <c r="L102" s="6" t="s">
        <v>7</v>
      </c>
    </row>
    <row r="103" spans="1:12" s="1" customFormat="1" ht="30" customHeight="1" x14ac:dyDescent="0.25">
      <c r="A103" s="34" t="s">
        <v>48</v>
      </c>
      <c r="B103" s="35"/>
      <c r="C103" s="35"/>
      <c r="D103" s="36"/>
      <c r="E103" s="5"/>
      <c r="F103" s="34" t="s">
        <v>48</v>
      </c>
      <c r="G103" s="35"/>
      <c r="H103" s="35"/>
      <c r="I103" s="36"/>
      <c r="K103" s="1">
        <v>700</v>
      </c>
      <c r="L103" s="1">
        <v>20</v>
      </c>
    </row>
    <row r="104" spans="1:12" s="1" customFormat="1" ht="30" customHeight="1" x14ac:dyDescent="0.25">
      <c r="A104" s="43" t="s">
        <v>85</v>
      </c>
      <c r="B104" s="44"/>
      <c r="C104" s="44" t="s">
        <v>81</v>
      </c>
      <c r="D104" s="42"/>
      <c r="E104" s="4"/>
      <c r="F104" s="43" t="str">
        <f>A104</f>
        <v>KW621</v>
      </c>
      <c r="G104" s="44"/>
      <c r="H104" s="44" t="str">
        <f>C104</f>
        <v>Green</v>
      </c>
      <c r="I104" s="42"/>
    </row>
    <row r="105" spans="1:12" s="1" customFormat="1" ht="30" customHeight="1" x14ac:dyDescent="0.25">
      <c r="A105" s="12" t="s">
        <v>4</v>
      </c>
      <c r="B105" s="37">
        <v>27087</v>
      </c>
      <c r="C105" s="37"/>
      <c r="D105" s="38"/>
      <c r="E105" s="4"/>
      <c r="F105" s="12" t="s">
        <v>4</v>
      </c>
      <c r="G105" s="37">
        <f>B105</f>
        <v>27087</v>
      </c>
      <c r="H105" s="37"/>
      <c r="I105" s="38"/>
    </row>
    <row r="106" spans="1:12" ht="63.75" customHeight="1" x14ac:dyDescent="0.25">
      <c r="A106" s="33" t="s">
        <v>34</v>
      </c>
      <c r="B106" s="33"/>
      <c r="C106" s="33"/>
      <c r="D106" s="33"/>
      <c r="E106" s="2"/>
      <c r="F106" s="33" t="str">
        <f>A106</f>
        <v>Oval DEO - Cap</v>
      </c>
      <c r="G106" s="33"/>
      <c r="H106" s="33"/>
      <c r="I106" s="33"/>
    </row>
    <row r="107" spans="1:12" s="1" customFormat="1" ht="30" customHeight="1" x14ac:dyDescent="0.25">
      <c r="A107" s="24" t="s">
        <v>0</v>
      </c>
      <c r="B107" s="23"/>
      <c r="C107" s="24" t="s">
        <v>1</v>
      </c>
      <c r="D107" s="23"/>
      <c r="E107" s="3"/>
      <c r="F107" s="24" t="s">
        <v>0</v>
      </c>
      <c r="G107" s="23"/>
      <c r="H107" s="24" t="s">
        <v>1</v>
      </c>
      <c r="I107" s="23"/>
    </row>
    <row r="108" spans="1:12" s="1" customFormat="1" ht="30" customHeight="1" x14ac:dyDescent="0.25">
      <c r="A108" s="24" t="s">
        <v>2</v>
      </c>
      <c r="B108" s="23"/>
      <c r="C108" s="24" t="s">
        <v>5</v>
      </c>
      <c r="D108" s="7" t="s">
        <v>87</v>
      </c>
      <c r="E108" s="4"/>
      <c r="F108" s="24" t="s">
        <v>2</v>
      </c>
      <c r="G108" s="23"/>
      <c r="H108" s="24" t="s">
        <v>5</v>
      </c>
      <c r="I108" s="7" t="str">
        <f>D108</f>
        <v>19B</v>
      </c>
    </row>
    <row r="109" spans="1:12" s="1" customFormat="1" ht="53.25" customHeight="1" x14ac:dyDescent="0.25">
      <c r="A109" s="8" t="s">
        <v>3</v>
      </c>
      <c r="B109" s="9">
        <v>16</v>
      </c>
      <c r="C109" s="24" t="s">
        <v>6</v>
      </c>
      <c r="D109" s="7" t="s">
        <v>88</v>
      </c>
      <c r="E109" s="4"/>
      <c r="F109" s="8" t="s">
        <v>3</v>
      </c>
      <c r="G109" s="9">
        <v>70</v>
      </c>
      <c r="H109" s="24" t="s">
        <v>6</v>
      </c>
      <c r="I109" s="7" t="str">
        <f>D109</f>
        <v>DEO-C07</v>
      </c>
      <c r="K109" s="6" t="s">
        <v>8</v>
      </c>
      <c r="L109" s="6" t="s">
        <v>7</v>
      </c>
    </row>
    <row r="110" spans="1:12" s="1" customFormat="1" ht="30" customHeight="1" x14ac:dyDescent="0.25">
      <c r="A110" s="34" t="s">
        <v>48</v>
      </c>
      <c r="B110" s="35"/>
      <c r="C110" s="35"/>
      <c r="D110" s="36"/>
      <c r="E110" s="5"/>
      <c r="F110" s="34" t="s">
        <v>48</v>
      </c>
      <c r="G110" s="35"/>
      <c r="H110" s="35"/>
      <c r="I110" s="36"/>
      <c r="K110" s="1">
        <v>700</v>
      </c>
      <c r="L110" s="1">
        <v>20</v>
      </c>
    </row>
    <row r="111" spans="1:12" s="1" customFormat="1" ht="30" customHeight="1" x14ac:dyDescent="0.25">
      <c r="A111" s="43" t="s">
        <v>85</v>
      </c>
      <c r="B111" s="44"/>
      <c r="C111" s="44" t="s">
        <v>81</v>
      </c>
      <c r="D111" s="42"/>
      <c r="E111" s="4"/>
      <c r="F111" s="43" t="str">
        <f>A111</f>
        <v>KW621</v>
      </c>
      <c r="G111" s="44"/>
      <c r="H111" s="44" t="str">
        <f>C111</f>
        <v>Green</v>
      </c>
      <c r="I111" s="42"/>
    </row>
    <row r="112" spans="1:12" s="1" customFormat="1" ht="30" customHeight="1" x14ac:dyDescent="0.25">
      <c r="A112" s="12" t="s">
        <v>4</v>
      </c>
      <c r="B112" s="37">
        <v>27087</v>
      </c>
      <c r="C112" s="37"/>
      <c r="D112" s="38"/>
      <c r="E112" s="4"/>
      <c r="F112" s="12" t="s">
        <v>4</v>
      </c>
      <c r="G112" s="37">
        <f>B112</f>
        <v>27087</v>
      </c>
      <c r="H112" s="37"/>
      <c r="I112" s="38"/>
    </row>
    <row r="113" spans="1:12" ht="63.75" customHeight="1" x14ac:dyDescent="0.25">
      <c r="A113" s="33" t="s">
        <v>34</v>
      </c>
      <c r="B113" s="33"/>
      <c r="C113" s="33"/>
      <c r="D113" s="33"/>
      <c r="E113" s="2"/>
      <c r="F113" s="33" t="str">
        <f>A113</f>
        <v>Oval DEO - Cap</v>
      </c>
      <c r="G113" s="33"/>
      <c r="H113" s="33"/>
      <c r="I113" s="33"/>
    </row>
    <row r="114" spans="1:12" s="1" customFormat="1" ht="30" customHeight="1" x14ac:dyDescent="0.25">
      <c r="A114" s="24" t="s">
        <v>0</v>
      </c>
      <c r="B114" s="23"/>
      <c r="C114" s="24" t="s">
        <v>1</v>
      </c>
      <c r="D114" s="23"/>
      <c r="E114" s="3"/>
      <c r="F114" s="24" t="s">
        <v>0</v>
      </c>
      <c r="G114" s="23"/>
      <c r="H114" s="24" t="s">
        <v>1</v>
      </c>
      <c r="I114" s="23"/>
    </row>
    <row r="115" spans="1:12" s="1" customFormat="1" ht="30" customHeight="1" x14ac:dyDescent="0.25">
      <c r="A115" s="24" t="s">
        <v>2</v>
      </c>
      <c r="B115" s="23"/>
      <c r="C115" s="24" t="s">
        <v>5</v>
      </c>
      <c r="D115" s="7" t="s">
        <v>87</v>
      </c>
      <c r="E115" s="4"/>
      <c r="F115" s="24" t="s">
        <v>2</v>
      </c>
      <c r="G115" s="23"/>
      <c r="H115" s="24" t="s">
        <v>5</v>
      </c>
      <c r="I115" s="7" t="str">
        <f>D115</f>
        <v>19B</v>
      </c>
    </row>
    <row r="116" spans="1:12" s="1" customFormat="1" ht="53.25" customHeight="1" x14ac:dyDescent="0.25">
      <c r="A116" s="8" t="s">
        <v>3</v>
      </c>
      <c r="B116" s="9">
        <v>17</v>
      </c>
      <c r="C116" s="24" t="s">
        <v>6</v>
      </c>
      <c r="D116" s="7" t="s">
        <v>88</v>
      </c>
      <c r="E116" s="4"/>
      <c r="F116" s="8" t="s">
        <v>3</v>
      </c>
      <c r="G116" s="9">
        <v>71</v>
      </c>
      <c r="H116" s="24" t="s">
        <v>6</v>
      </c>
      <c r="I116" s="7" t="str">
        <f>D116</f>
        <v>DEO-C07</v>
      </c>
      <c r="K116" s="6" t="s">
        <v>8</v>
      </c>
      <c r="L116" s="6" t="s">
        <v>7</v>
      </c>
    </row>
    <row r="117" spans="1:12" s="1" customFormat="1" ht="30" customHeight="1" x14ac:dyDescent="0.25">
      <c r="A117" s="34" t="s">
        <v>48</v>
      </c>
      <c r="B117" s="35"/>
      <c r="C117" s="35"/>
      <c r="D117" s="36"/>
      <c r="E117" s="5"/>
      <c r="F117" s="34" t="s">
        <v>48</v>
      </c>
      <c r="G117" s="35"/>
      <c r="H117" s="35"/>
      <c r="I117" s="36"/>
      <c r="K117" s="1">
        <v>700</v>
      </c>
      <c r="L117" s="1">
        <v>20</v>
      </c>
    </row>
    <row r="118" spans="1:12" s="1" customFormat="1" ht="30" customHeight="1" x14ac:dyDescent="0.25">
      <c r="A118" s="43" t="s">
        <v>85</v>
      </c>
      <c r="B118" s="44"/>
      <c r="C118" s="44" t="s">
        <v>81</v>
      </c>
      <c r="D118" s="42"/>
      <c r="E118" s="4"/>
      <c r="F118" s="43" t="str">
        <f>A118</f>
        <v>KW621</v>
      </c>
      <c r="G118" s="44"/>
      <c r="H118" s="44" t="str">
        <f>C118</f>
        <v>Green</v>
      </c>
      <c r="I118" s="42"/>
    </row>
    <row r="119" spans="1:12" s="1" customFormat="1" ht="30" customHeight="1" x14ac:dyDescent="0.25">
      <c r="A119" s="12" t="s">
        <v>4</v>
      </c>
      <c r="B119" s="37">
        <v>27087</v>
      </c>
      <c r="C119" s="37"/>
      <c r="D119" s="38"/>
      <c r="E119" s="4"/>
      <c r="F119" s="12" t="s">
        <v>4</v>
      </c>
      <c r="G119" s="37">
        <f>B119</f>
        <v>27087</v>
      </c>
      <c r="H119" s="37"/>
      <c r="I119" s="38"/>
    </row>
    <row r="120" spans="1:12" ht="63.75" customHeight="1" x14ac:dyDescent="0.25">
      <c r="A120" s="33" t="s">
        <v>34</v>
      </c>
      <c r="B120" s="33"/>
      <c r="C120" s="33"/>
      <c r="D120" s="33"/>
      <c r="E120" s="2"/>
      <c r="F120" s="33" t="str">
        <f>A120</f>
        <v>Oval DEO - Cap</v>
      </c>
      <c r="G120" s="33"/>
      <c r="H120" s="33"/>
      <c r="I120" s="33"/>
    </row>
    <row r="121" spans="1:12" s="1" customFormat="1" ht="30" customHeight="1" x14ac:dyDescent="0.25">
      <c r="A121" s="24" t="s">
        <v>0</v>
      </c>
      <c r="B121" s="23"/>
      <c r="C121" s="24" t="s">
        <v>1</v>
      </c>
      <c r="D121" s="23"/>
      <c r="E121" s="3"/>
      <c r="F121" s="24" t="s">
        <v>0</v>
      </c>
      <c r="G121" s="23"/>
      <c r="H121" s="24" t="s">
        <v>1</v>
      </c>
      <c r="I121" s="23"/>
    </row>
    <row r="122" spans="1:12" s="1" customFormat="1" ht="30" customHeight="1" x14ac:dyDescent="0.25">
      <c r="A122" s="24" t="s">
        <v>2</v>
      </c>
      <c r="B122" s="23"/>
      <c r="C122" s="24" t="s">
        <v>5</v>
      </c>
      <c r="D122" s="7" t="s">
        <v>87</v>
      </c>
      <c r="E122" s="4"/>
      <c r="F122" s="24" t="s">
        <v>2</v>
      </c>
      <c r="G122" s="23"/>
      <c r="H122" s="24" t="s">
        <v>5</v>
      </c>
      <c r="I122" s="7" t="str">
        <f>D122</f>
        <v>19B</v>
      </c>
    </row>
    <row r="123" spans="1:12" s="1" customFormat="1" ht="53.25" customHeight="1" x14ac:dyDescent="0.25">
      <c r="A123" s="8" t="s">
        <v>3</v>
      </c>
      <c r="B123" s="9">
        <v>18</v>
      </c>
      <c r="C123" s="24" t="s">
        <v>6</v>
      </c>
      <c r="D123" s="7" t="s">
        <v>88</v>
      </c>
      <c r="E123" s="4"/>
      <c r="F123" s="8" t="s">
        <v>3</v>
      </c>
      <c r="G123" s="9">
        <v>72</v>
      </c>
      <c r="H123" s="24" t="s">
        <v>6</v>
      </c>
      <c r="I123" s="7" t="str">
        <f>D123</f>
        <v>DEO-C07</v>
      </c>
      <c r="K123" s="6" t="s">
        <v>8</v>
      </c>
      <c r="L123" s="6" t="s">
        <v>7</v>
      </c>
    </row>
    <row r="124" spans="1:12" s="1" customFormat="1" ht="30" customHeight="1" x14ac:dyDescent="0.25">
      <c r="A124" s="34" t="s">
        <v>48</v>
      </c>
      <c r="B124" s="35"/>
      <c r="C124" s="35"/>
      <c r="D124" s="36"/>
      <c r="E124" s="5"/>
      <c r="F124" s="34" t="s">
        <v>48</v>
      </c>
      <c r="G124" s="35"/>
      <c r="H124" s="35"/>
      <c r="I124" s="36"/>
      <c r="K124" s="1">
        <v>700</v>
      </c>
      <c r="L124" s="1">
        <v>20</v>
      </c>
    </row>
    <row r="125" spans="1:12" s="1" customFormat="1" ht="30" customHeight="1" x14ac:dyDescent="0.25">
      <c r="A125" s="43" t="s">
        <v>85</v>
      </c>
      <c r="B125" s="44"/>
      <c r="C125" s="44" t="s">
        <v>81</v>
      </c>
      <c r="D125" s="42"/>
      <c r="E125" s="4"/>
      <c r="F125" s="43" t="str">
        <f>A125</f>
        <v>KW621</v>
      </c>
      <c r="G125" s="44"/>
      <c r="H125" s="44" t="str">
        <f>C125</f>
        <v>Green</v>
      </c>
      <c r="I125" s="42"/>
    </row>
    <row r="126" spans="1:12" s="1" customFormat="1" ht="30" customHeight="1" x14ac:dyDescent="0.25">
      <c r="A126" s="12" t="s">
        <v>4</v>
      </c>
      <c r="B126" s="37">
        <v>27087</v>
      </c>
      <c r="C126" s="37"/>
      <c r="D126" s="38"/>
      <c r="E126" s="4"/>
      <c r="F126" s="12" t="s">
        <v>4</v>
      </c>
      <c r="G126" s="37">
        <f>B126</f>
        <v>27087</v>
      </c>
      <c r="H126" s="37"/>
      <c r="I126" s="38"/>
    </row>
    <row r="127" spans="1:12" ht="63.75" customHeight="1" x14ac:dyDescent="0.25">
      <c r="A127" s="33" t="s">
        <v>34</v>
      </c>
      <c r="B127" s="33"/>
      <c r="C127" s="33"/>
      <c r="D127" s="33"/>
      <c r="E127" s="2"/>
      <c r="F127" s="33" t="str">
        <f>A127</f>
        <v>Oval DEO - Cap</v>
      </c>
      <c r="G127" s="33"/>
      <c r="H127" s="33"/>
      <c r="I127" s="33"/>
    </row>
    <row r="128" spans="1:12" s="1" customFormat="1" ht="30" customHeight="1" x14ac:dyDescent="0.25">
      <c r="A128" s="24" t="s">
        <v>0</v>
      </c>
      <c r="B128" s="23"/>
      <c r="C128" s="24" t="s">
        <v>1</v>
      </c>
      <c r="D128" s="23"/>
      <c r="E128" s="3"/>
      <c r="F128" s="24" t="s">
        <v>0</v>
      </c>
      <c r="G128" s="23"/>
      <c r="H128" s="24" t="s">
        <v>1</v>
      </c>
      <c r="I128" s="23"/>
    </row>
    <row r="129" spans="1:12" s="1" customFormat="1" ht="30" customHeight="1" x14ac:dyDescent="0.25">
      <c r="A129" s="24" t="s">
        <v>2</v>
      </c>
      <c r="B129" s="23"/>
      <c r="C129" s="24" t="s">
        <v>5</v>
      </c>
      <c r="D129" s="7" t="s">
        <v>87</v>
      </c>
      <c r="E129" s="4"/>
      <c r="F129" s="24" t="s">
        <v>2</v>
      </c>
      <c r="G129" s="23"/>
      <c r="H129" s="24" t="s">
        <v>5</v>
      </c>
      <c r="I129" s="7" t="str">
        <f>D129</f>
        <v>19B</v>
      </c>
    </row>
    <row r="130" spans="1:12" s="1" customFormat="1" ht="53.25" customHeight="1" x14ac:dyDescent="0.25">
      <c r="A130" s="8" t="s">
        <v>3</v>
      </c>
      <c r="B130" s="9">
        <v>19</v>
      </c>
      <c r="C130" s="24" t="s">
        <v>6</v>
      </c>
      <c r="D130" s="7" t="s">
        <v>88</v>
      </c>
      <c r="E130" s="4"/>
      <c r="F130" s="8" t="s">
        <v>3</v>
      </c>
      <c r="G130" s="9">
        <v>73</v>
      </c>
      <c r="H130" s="24" t="s">
        <v>6</v>
      </c>
      <c r="I130" s="7" t="str">
        <f>D130</f>
        <v>DEO-C07</v>
      </c>
      <c r="K130" s="6" t="s">
        <v>8</v>
      </c>
      <c r="L130" s="6" t="s">
        <v>7</v>
      </c>
    </row>
    <row r="131" spans="1:12" s="1" customFormat="1" ht="30" customHeight="1" x14ac:dyDescent="0.25">
      <c r="A131" s="34" t="s">
        <v>48</v>
      </c>
      <c r="B131" s="35"/>
      <c r="C131" s="35"/>
      <c r="D131" s="36"/>
      <c r="E131" s="5"/>
      <c r="F131" s="34" t="s">
        <v>48</v>
      </c>
      <c r="G131" s="35"/>
      <c r="H131" s="35"/>
      <c r="I131" s="36"/>
      <c r="K131" s="1">
        <v>700</v>
      </c>
      <c r="L131" s="1">
        <v>20</v>
      </c>
    </row>
    <row r="132" spans="1:12" s="1" customFormat="1" ht="30" customHeight="1" x14ac:dyDescent="0.25">
      <c r="A132" s="43" t="s">
        <v>85</v>
      </c>
      <c r="B132" s="44"/>
      <c r="C132" s="44" t="s">
        <v>81</v>
      </c>
      <c r="D132" s="42"/>
      <c r="E132" s="4"/>
      <c r="F132" s="43" t="str">
        <f>A132</f>
        <v>KW621</v>
      </c>
      <c r="G132" s="44"/>
      <c r="H132" s="44" t="str">
        <f>C132</f>
        <v>Green</v>
      </c>
      <c r="I132" s="42"/>
    </row>
    <row r="133" spans="1:12" s="1" customFormat="1" ht="30" customHeight="1" x14ac:dyDescent="0.25">
      <c r="A133" s="12" t="s">
        <v>4</v>
      </c>
      <c r="B133" s="37">
        <v>27087</v>
      </c>
      <c r="C133" s="37"/>
      <c r="D133" s="38"/>
      <c r="E133" s="4"/>
      <c r="F133" s="12" t="s">
        <v>4</v>
      </c>
      <c r="G133" s="37">
        <f>B133</f>
        <v>27087</v>
      </c>
      <c r="H133" s="37"/>
      <c r="I133" s="38"/>
    </row>
    <row r="134" spans="1:12" ht="63.75" customHeight="1" x14ac:dyDescent="0.25">
      <c r="A134" s="33" t="s">
        <v>34</v>
      </c>
      <c r="B134" s="33"/>
      <c r="C134" s="33"/>
      <c r="D134" s="33"/>
      <c r="E134" s="2"/>
      <c r="F134" s="33" t="str">
        <f>A134</f>
        <v>Oval DEO - Cap</v>
      </c>
      <c r="G134" s="33"/>
      <c r="H134" s="33"/>
      <c r="I134" s="33"/>
    </row>
    <row r="135" spans="1:12" s="1" customFormat="1" ht="30" customHeight="1" x14ac:dyDescent="0.25">
      <c r="A135" s="24" t="s">
        <v>0</v>
      </c>
      <c r="B135" s="23"/>
      <c r="C135" s="24" t="s">
        <v>1</v>
      </c>
      <c r="D135" s="23"/>
      <c r="E135" s="3"/>
      <c r="F135" s="24" t="s">
        <v>0</v>
      </c>
      <c r="G135" s="23"/>
      <c r="H135" s="24" t="s">
        <v>1</v>
      </c>
      <c r="I135" s="23"/>
    </row>
    <row r="136" spans="1:12" s="1" customFormat="1" ht="30" customHeight="1" x14ac:dyDescent="0.25">
      <c r="A136" s="24" t="s">
        <v>2</v>
      </c>
      <c r="B136" s="23"/>
      <c r="C136" s="24" t="s">
        <v>5</v>
      </c>
      <c r="D136" s="7" t="s">
        <v>87</v>
      </c>
      <c r="E136" s="4"/>
      <c r="F136" s="24" t="s">
        <v>2</v>
      </c>
      <c r="G136" s="23"/>
      <c r="H136" s="24" t="s">
        <v>5</v>
      </c>
      <c r="I136" s="7" t="str">
        <f>D136</f>
        <v>19B</v>
      </c>
    </row>
    <row r="137" spans="1:12" s="1" customFormat="1" ht="53.25" customHeight="1" x14ac:dyDescent="0.25">
      <c r="A137" s="8" t="s">
        <v>3</v>
      </c>
      <c r="B137" s="9">
        <v>20</v>
      </c>
      <c r="C137" s="24" t="s">
        <v>6</v>
      </c>
      <c r="D137" s="7" t="s">
        <v>88</v>
      </c>
      <c r="E137" s="4"/>
      <c r="F137" s="8" t="s">
        <v>3</v>
      </c>
      <c r="G137" s="9">
        <v>74</v>
      </c>
      <c r="H137" s="24" t="s">
        <v>6</v>
      </c>
      <c r="I137" s="7" t="str">
        <f>D137</f>
        <v>DEO-C07</v>
      </c>
      <c r="K137" s="6" t="s">
        <v>8</v>
      </c>
      <c r="L137" s="6" t="s">
        <v>7</v>
      </c>
    </row>
    <row r="138" spans="1:12" s="1" customFormat="1" ht="30" customHeight="1" x14ac:dyDescent="0.25">
      <c r="A138" s="34" t="s">
        <v>48</v>
      </c>
      <c r="B138" s="35"/>
      <c r="C138" s="35"/>
      <c r="D138" s="36"/>
      <c r="E138" s="5"/>
      <c r="F138" s="34" t="s">
        <v>48</v>
      </c>
      <c r="G138" s="35"/>
      <c r="H138" s="35"/>
      <c r="I138" s="36"/>
      <c r="K138" s="1">
        <v>700</v>
      </c>
      <c r="L138" s="1">
        <v>20</v>
      </c>
    </row>
    <row r="139" spans="1:12" s="1" customFormat="1" ht="30" customHeight="1" x14ac:dyDescent="0.25">
      <c r="A139" s="43" t="s">
        <v>85</v>
      </c>
      <c r="B139" s="44"/>
      <c r="C139" s="44" t="s">
        <v>81</v>
      </c>
      <c r="D139" s="42"/>
      <c r="E139" s="4"/>
      <c r="F139" s="43" t="str">
        <f>A139</f>
        <v>KW621</v>
      </c>
      <c r="G139" s="44"/>
      <c r="H139" s="44" t="str">
        <f>C139</f>
        <v>Green</v>
      </c>
      <c r="I139" s="42"/>
    </row>
    <row r="140" spans="1:12" s="1" customFormat="1" ht="30" customHeight="1" x14ac:dyDescent="0.25">
      <c r="A140" s="12" t="s">
        <v>4</v>
      </c>
      <c r="B140" s="37">
        <v>27087</v>
      </c>
      <c r="C140" s="37"/>
      <c r="D140" s="38"/>
      <c r="E140" s="4"/>
      <c r="F140" s="12" t="s">
        <v>4</v>
      </c>
      <c r="G140" s="37">
        <f>B140</f>
        <v>27087</v>
      </c>
      <c r="H140" s="37"/>
      <c r="I140" s="38"/>
    </row>
    <row r="141" spans="1:12" ht="63.75" customHeight="1" x14ac:dyDescent="0.25">
      <c r="A141" s="33" t="s">
        <v>34</v>
      </c>
      <c r="B141" s="33"/>
      <c r="C141" s="33"/>
      <c r="D141" s="33"/>
      <c r="E141" s="2"/>
      <c r="F141" s="33" t="str">
        <f>A141</f>
        <v>Oval DEO - Cap</v>
      </c>
      <c r="G141" s="33"/>
      <c r="H141" s="33"/>
      <c r="I141" s="33"/>
    </row>
    <row r="142" spans="1:12" s="1" customFormat="1" ht="30" customHeight="1" x14ac:dyDescent="0.25">
      <c r="A142" s="24" t="s">
        <v>0</v>
      </c>
      <c r="B142" s="23"/>
      <c r="C142" s="24" t="s">
        <v>1</v>
      </c>
      <c r="D142" s="23"/>
      <c r="E142" s="3"/>
      <c r="F142" s="24" t="s">
        <v>0</v>
      </c>
      <c r="G142" s="23"/>
      <c r="H142" s="24" t="s">
        <v>1</v>
      </c>
      <c r="I142" s="23"/>
    </row>
    <row r="143" spans="1:12" s="1" customFormat="1" ht="30" customHeight="1" x14ac:dyDescent="0.25">
      <c r="A143" s="24" t="s">
        <v>2</v>
      </c>
      <c r="B143" s="23"/>
      <c r="C143" s="24" t="s">
        <v>5</v>
      </c>
      <c r="D143" s="7" t="s">
        <v>87</v>
      </c>
      <c r="E143" s="4"/>
      <c r="F143" s="24" t="s">
        <v>2</v>
      </c>
      <c r="G143" s="23"/>
      <c r="H143" s="24" t="s">
        <v>5</v>
      </c>
      <c r="I143" s="7" t="str">
        <f>D143</f>
        <v>19B</v>
      </c>
    </row>
    <row r="144" spans="1:12" s="1" customFormat="1" ht="53.25" customHeight="1" x14ac:dyDescent="0.25">
      <c r="A144" s="8" t="s">
        <v>3</v>
      </c>
      <c r="B144" s="9">
        <v>21</v>
      </c>
      <c r="C144" s="24" t="s">
        <v>6</v>
      </c>
      <c r="D144" s="7" t="s">
        <v>88</v>
      </c>
      <c r="E144" s="4"/>
      <c r="F144" s="8" t="s">
        <v>3</v>
      </c>
      <c r="G144" s="9">
        <v>75</v>
      </c>
      <c r="H144" s="24" t="s">
        <v>6</v>
      </c>
      <c r="I144" s="7" t="str">
        <f>D144</f>
        <v>DEO-C07</v>
      </c>
      <c r="K144" s="6" t="s">
        <v>8</v>
      </c>
      <c r="L144" s="6" t="s">
        <v>7</v>
      </c>
    </row>
    <row r="145" spans="1:12" s="1" customFormat="1" ht="30" customHeight="1" x14ac:dyDescent="0.25">
      <c r="A145" s="34" t="s">
        <v>48</v>
      </c>
      <c r="B145" s="35"/>
      <c r="C145" s="35"/>
      <c r="D145" s="36"/>
      <c r="E145" s="5"/>
      <c r="F145" s="34" t="s">
        <v>48</v>
      </c>
      <c r="G145" s="35"/>
      <c r="H145" s="35"/>
      <c r="I145" s="36"/>
      <c r="K145" s="1">
        <v>700</v>
      </c>
      <c r="L145" s="1">
        <v>20</v>
      </c>
    </row>
    <row r="146" spans="1:12" s="1" customFormat="1" ht="30" customHeight="1" x14ac:dyDescent="0.25">
      <c r="A146" s="43" t="s">
        <v>85</v>
      </c>
      <c r="B146" s="44"/>
      <c r="C146" s="44" t="s">
        <v>81</v>
      </c>
      <c r="D146" s="42"/>
      <c r="E146" s="4"/>
      <c r="F146" s="43" t="str">
        <f>A146</f>
        <v>KW621</v>
      </c>
      <c r="G146" s="44"/>
      <c r="H146" s="44" t="str">
        <f>C146</f>
        <v>Green</v>
      </c>
      <c r="I146" s="42"/>
    </row>
    <row r="147" spans="1:12" s="1" customFormat="1" ht="30" customHeight="1" x14ac:dyDescent="0.25">
      <c r="A147" s="12" t="s">
        <v>4</v>
      </c>
      <c r="B147" s="37">
        <v>27087</v>
      </c>
      <c r="C147" s="37"/>
      <c r="D147" s="38"/>
      <c r="E147" s="4"/>
      <c r="F147" s="12" t="s">
        <v>4</v>
      </c>
      <c r="G147" s="37">
        <f>B147</f>
        <v>27087</v>
      </c>
      <c r="H147" s="37"/>
      <c r="I147" s="38"/>
    </row>
    <row r="148" spans="1:12" ht="63.75" customHeight="1" x14ac:dyDescent="0.25">
      <c r="A148" s="33" t="s">
        <v>34</v>
      </c>
      <c r="B148" s="33"/>
      <c r="C148" s="33"/>
      <c r="D148" s="33"/>
      <c r="E148" s="2"/>
      <c r="F148" s="33" t="str">
        <f>A148</f>
        <v>Oval DEO - Cap</v>
      </c>
      <c r="G148" s="33"/>
      <c r="H148" s="33"/>
      <c r="I148" s="33"/>
    </row>
    <row r="149" spans="1:12" s="1" customFormat="1" ht="30" customHeight="1" x14ac:dyDescent="0.25">
      <c r="A149" s="24" t="s">
        <v>0</v>
      </c>
      <c r="B149" s="23"/>
      <c r="C149" s="24" t="s">
        <v>1</v>
      </c>
      <c r="D149" s="23"/>
      <c r="E149" s="3"/>
      <c r="F149" s="24" t="s">
        <v>0</v>
      </c>
      <c r="G149" s="23"/>
      <c r="H149" s="24" t="s">
        <v>1</v>
      </c>
      <c r="I149" s="23"/>
    </row>
    <row r="150" spans="1:12" s="1" customFormat="1" ht="30" customHeight="1" x14ac:dyDescent="0.25">
      <c r="A150" s="24" t="s">
        <v>2</v>
      </c>
      <c r="B150" s="23"/>
      <c r="C150" s="24" t="s">
        <v>5</v>
      </c>
      <c r="D150" s="7" t="s">
        <v>87</v>
      </c>
      <c r="E150" s="4"/>
      <c r="F150" s="24" t="s">
        <v>2</v>
      </c>
      <c r="G150" s="23"/>
      <c r="H150" s="24" t="s">
        <v>5</v>
      </c>
      <c r="I150" s="7" t="str">
        <f>D150</f>
        <v>19B</v>
      </c>
    </row>
    <row r="151" spans="1:12" s="1" customFormat="1" ht="53.25" customHeight="1" x14ac:dyDescent="0.25">
      <c r="A151" s="8" t="s">
        <v>3</v>
      </c>
      <c r="B151" s="9">
        <v>22</v>
      </c>
      <c r="C151" s="24" t="s">
        <v>6</v>
      </c>
      <c r="D151" s="7" t="s">
        <v>88</v>
      </c>
      <c r="E151" s="4"/>
      <c r="F151" s="8" t="s">
        <v>3</v>
      </c>
      <c r="G151" s="9">
        <v>76</v>
      </c>
      <c r="H151" s="24" t="s">
        <v>6</v>
      </c>
      <c r="I151" s="7" t="str">
        <f>D151</f>
        <v>DEO-C07</v>
      </c>
      <c r="K151" s="6" t="s">
        <v>8</v>
      </c>
      <c r="L151" s="6" t="s">
        <v>7</v>
      </c>
    </row>
    <row r="152" spans="1:12" s="1" customFormat="1" ht="30" customHeight="1" x14ac:dyDescent="0.25">
      <c r="A152" s="34" t="s">
        <v>48</v>
      </c>
      <c r="B152" s="35"/>
      <c r="C152" s="35"/>
      <c r="D152" s="36"/>
      <c r="E152" s="5"/>
      <c r="F152" s="34" t="s">
        <v>48</v>
      </c>
      <c r="G152" s="35"/>
      <c r="H152" s="35"/>
      <c r="I152" s="36"/>
      <c r="K152" s="1">
        <v>700</v>
      </c>
      <c r="L152" s="1">
        <v>20</v>
      </c>
    </row>
    <row r="153" spans="1:12" s="1" customFormat="1" ht="30" customHeight="1" x14ac:dyDescent="0.25">
      <c r="A153" s="43" t="s">
        <v>85</v>
      </c>
      <c r="B153" s="44"/>
      <c r="C153" s="44" t="s">
        <v>81</v>
      </c>
      <c r="D153" s="42"/>
      <c r="E153" s="4"/>
      <c r="F153" s="43" t="str">
        <f>A153</f>
        <v>KW621</v>
      </c>
      <c r="G153" s="44"/>
      <c r="H153" s="44" t="str">
        <f>C153</f>
        <v>Green</v>
      </c>
      <c r="I153" s="42"/>
    </row>
    <row r="154" spans="1:12" s="1" customFormat="1" ht="30" customHeight="1" x14ac:dyDescent="0.25">
      <c r="A154" s="12" t="s">
        <v>4</v>
      </c>
      <c r="B154" s="37">
        <v>27087</v>
      </c>
      <c r="C154" s="37"/>
      <c r="D154" s="38"/>
      <c r="E154" s="4"/>
      <c r="F154" s="12" t="s">
        <v>4</v>
      </c>
      <c r="G154" s="37">
        <f>B154</f>
        <v>27087</v>
      </c>
      <c r="H154" s="37"/>
      <c r="I154" s="38"/>
    </row>
    <row r="155" spans="1:12" ht="63.75" customHeight="1" x14ac:dyDescent="0.25">
      <c r="A155" s="33" t="s">
        <v>34</v>
      </c>
      <c r="B155" s="33"/>
      <c r="C155" s="33"/>
      <c r="D155" s="33"/>
      <c r="E155" s="2"/>
      <c r="F155" s="33" t="str">
        <f>A155</f>
        <v>Oval DEO - Cap</v>
      </c>
      <c r="G155" s="33"/>
      <c r="H155" s="33"/>
      <c r="I155" s="33"/>
    </row>
    <row r="156" spans="1:12" s="1" customFormat="1" ht="30" customHeight="1" x14ac:dyDescent="0.25">
      <c r="A156" s="24" t="s">
        <v>0</v>
      </c>
      <c r="B156" s="23"/>
      <c r="C156" s="24" t="s">
        <v>1</v>
      </c>
      <c r="D156" s="23"/>
      <c r="E156" s="3"/>
      <c r="F156" s="24" t="s">
        <v>0</v>
      </c>
      <c r="G156" s="23"/>
      <c r="H156" s="24" t="s">
        <v>1</v>
      </c>
      <c r="I156" s="23"/>
    </row>
    <row r="157" spans="1:12" s="1" customFormat="1" ht="30" customHeight="1" x14ac:dyDescent="0.25">
      <c r="A157" s="24" t="s">
        <v>2</v>
      </c>
      <c r="B157" s="23"/>
      <c r="C157" s="24" t="s">
        <v>5</v>
      </c>
      <c r="D157" s="7" t="s">
        <v>87</v>
      </c>
      <c r="E157" s="4"/>
      <c r="F157" s="24" t="s">
        <v>2</v>
      </c>
      <c r="G157" s="23"/>
      <c r="H157" s="24" t="s">
        <v>5</v>
      </c>
      <c r="I157" s="7" t="str">
        <f>D157</f>
        <v>19B</v>
      </c>
    </row>
    <row r="158" spans="1:12" s="1" customFormat="1" ht="53.25" customHeight="1" x14ac:dyDescent="0.25">
      <c r="A158" s="8" t="s">
        <v>3</v>
      </c>
      <c r="B158" s="9">
        <v>23</v>
      </c>
      <c r="C158" s="24" t="s">
        <v>6</v>
      </c>
      <c r="D158" s="7" t="s">
        <v>88</v>
      </c>
      <c r="E158" s="4"/>
      <c r="F158" s="8" t="s">
        <v>3</v>
      </c>
      <c r="G158" s="9">
        <v>77</v>
      </c>
      <c r="H158" s="24" t="s">
        <v>6</v>
      </c>
      <c r="I158" s="7" t="str">
        <f>D158</f>
        <v>DEO-C07</v>
      </c>
      <c r="K158" s="6" t="s">
        <v>8</v>
      </c>
      <c r="L158" s="6" t="s">
        <v>7</v>
      </c>
    </row>
    <row r="159" spans="1:12" s="1" customFormat="1" ht="30" customHeight="1" x14ac:dyDescent="0.25">
      <c r="A159" s="34" t="s">
        <v>48</v>
      </c>
      <c r="B159" s="35"/>
      <c r="C159" s="35"/>
      <c r="D159" s="36"/>
      <c r="E159" s="5"/>
      <c r="F159" s="34" t="s">
        <v>48</v>
      </c>
      <c r="G159" s="35"/>
      <c r="H159" s="35"/>
      <c r="I159" s="36"/>
      <c r="K159" s="1">
        <v>700</v>
      </c>
      <c r="L159" s="1">
        <v>20</v>
      </c>
    </row>
    <row r="160" spans="1:12" s="1" customFormat="1" ht="30" customHeight="1" x14ac:dyDescent="0.25">
      <c r="A160" s="43" t="s">
        <v>85</v>
      </c>
      <c r="B160" s="44"/>
      <c r="C160" s="44" t="s">
        <v>81</v>
      </c>
      <c r="D160" s="42"/>
      <c r="E160" s="4"/>
      <c r="F160" s="43" t="str">
        <f>A160</f>
        <v>KW621</v>
      </c>
      <c r="G160" s="44"/>
      <c r="H160" s="44" t="str">
        <f>C160</f>
        <v>Green</v>
      </c>
      <c r="I160" s="42"/>
    </row>
    <row r="161" spans="1:12" s="1" customFormat="1" ht="30" customHeight="1" x14ac:dyDescent="0.25">
      <c r="A161" s="12" t="s">
        <v>4</v>
      </c>
      <c r="B161" s="37">
        <v>27087</v>
      </c>
      <c r="C161" s="37"/>
      <c r="D161" s="38"/>
      <c r="E161" s="4"/>
      <c r="F161" s="12" t="s">
        <v>4</v>
      </c>
      <c r="G161" s="37">
        <f>B161</f>
        <v>27087</v>
      </c>
      <c r="H161" s="37"/>
      <c r="I161" s="38"/>
    </row>
    <row r="162" spans="1:12" ht="63.75" customHeight="1" x14ac:dyDescent="0.25">
      <c r="A162" s="33" t="s">
        <v>34</v>
      </c>
      <c r="B162" s="33"/>
      <c r="C162" s="33"/>
      <c r="D162" s="33"/>
      <c r="E162" s="2"/>
      <c r="F162" s="33" t="str">
        <f>A162</f>
        <v>Oval DEO - Cap</v>
      </c>
      <c r="G162" s="33"/>
      <c r="H162" s="33"/>
      <c r="I162" s="33"/>
    </row>
    <row r="163" spans="1:12" s="1" customFormat="1" ht="30" customHeight="1" x14ac:dyDescent="0.25">
      <c r="A163" s="24" t="s">
        <v>0</v>
      </c>
      <c r="B163" s="23"/>
      <c r="C163" s="24" t="s">
        <v>1</v>
      </c>
      <c r="D163" s="23"/>
      <c r="E163" s="3"/>
      <c r="F163" s="24" t="s">
        <v>0</v>
      </c>
      <c r="G163" s="23"/>
      <c r="H163" s="24" t="s">
        <v>1</v>
      </c>
      <c r="I163" s="23"/>
    </row>
    <row r="164" spans="1:12" s="1" customFormat="1" ht="30" customHeight="1" x14ac:dyDescent="0.25">
      <c r="A164" s="24" t="s">
        <v>2</v>
      </c>
      <c r="B164" s="23"/>
      <c r="C164" s="24" t="s">
        <v>5</v>
      </c>
      <c r="D164" s="7" t="s">
        <v>87</v>
      </c>
      <c r="E164" s="4"/>
      <c r="F164" s="24" t="s">
        <v>2</v>
      </c>
      <c r="G164" s="23"/>
      <c r="H164" s="24" t="s">
        <v>5</v>
      </c>
      <c r="I164" s="7" t="str">
        <f>D164</f>
        <v>19B</v>
      </c>
    </row>
    <row r="165" spans="1:12" s="1" customFormat="1" ht="53.25" customHeight="1" x14ac:dyDescent="0.25">
      <c r="A165" s="8" t="s">
        <v>3</v>
      </c>
      <c r="B165" s="9">
        <v>24</v>
      </c>
      <c r="C165" s="24" t="s">
        <v>6</v>
      </c>
      <c r="D165" s="7" t="s">
        <v>88</v>
      </c>
      <c r="E165" s="4"/>
      <c r="F165" s="8" t="s">
        <v>3</v>
      </c>
      <c r="G165" s="9">
        <v>78</v>
      </c>
      <c r="H165" s="24" t="s">
        <v>6</v>
      </c>
      <c r="I165" s="7" t="str">
        <f>D165</f>
        <v>DEO-C07</v>
      </c>
      <c r="K165" s="6" t="s">
        <v>8</v>
      </c>
      <c r="L165" s="6" t="s">
        <v>7</v>
      </c>
    </row>
    <row r="166" spans="1:12" s="1" customFormat="1" ht="30" customHeight="1" x14ac:dyDescent="0.25">
      <c r="A166" s="34" t="s">
        <v>48</v>
      </c>
      <c r="B166" s="35"/>
      <c r="C166" s="35"/>
      <c r="D166" s="36"/>
      <c r="E166" s="5"/>
      <c r="F166" s="34" t="s">
        <v>48</v>
      </c>
      <c r="G166" s="35"/>
      <c r="H166" s="35"/>
      <c r="I166" s="36"/>
      <c r="K166" s="1">
        <v>700</v>
      </c>
      <c r="L166" s="1">
        <v>20</v>
      </c>
    </row>
    <row r="167" spans="1:12" s="1" customFormat="1" ht="30" customHeight="1" x14ac:dyDescent="0.25">
      <c r="A167" s="43" t="s">
        <v>85</v>
      </c>
      <c r="B167" s="44"/>
      <c r="C167" s="44" t="s">
        <v>81</v>
      </c>
      <c r="D167" s="42"/>
      <c r="E167" s="4"/>
      <c r="F167" s="43" t="str">
        <f>A167</f>
        <v>KW621</v>
      </c>
      <c r="G167" s="44"/>
      <c r="H167" s="44" t="str">
        <f>C167</f>
        <v>Green</v>
      </c>
      <c r="I167" s="42"/>
    </row>
    <row r="168" spans="1:12" s="1" customFormat="1" ht="30" customHeight="1" x14ac:dyDescent="0.25">
      <c r="A168" s="12" t="s">
        <v>4</v>
      </c>
      <c r="B168" s="37">
        <v>27087</v>
      </c>
      <c r="C168" s="37"/>
      <c r="D168" s="38"/>
      <c r="E168" s="4"/>
      <c r="F168" s="12" t="s">
        <v>4</v>
      </c>
      <c r="G168" s="37">
        <f>B168</f>
        <v>27087</v>
      </c>
      <c r="H168" s="37"/>
      <c r="I168" s="38"/>
    </row>
    <row r="169" spans="1:12" ht="63.75" customHeight="1" x14ac:dyDescent="0.25">
      <c r="A169" s="33" t="s">
        <v>34</v>
      </c>
      <c r="B169" s="33"/>
      <c r="C169" s="33"/>
      <c r="D169" s="33"/>
      <c r="E169" s="2"/>
      <c r="F169" s="33" t="str">
        <f>A169</f>
        <v>Oval DEO - Cap</v>
      </c>
      <c r="G169" s="33"/>
      <c r="H169" s="33"/>
      <c r="I169" s="33"/>
    </row>
    <row r="170" spans="1:12" s="1" customFormat="1" ht="30" customHeight="1" x14ac:dyDescent="0.25">
      <c r="A170" s="24" t="s">
        <v>0</v>
      </c>
      <c r="B170" s="23"/>
      <c r="C170" s="24" t="s">
        <v>1</v>
      </c>
      <c r="D170" s="23"/>
      <c r="E170" s="3"/>
      <c r="F170" s="24" t="s">
        <v>0</v>
      </c>
      <c r="G170" s="23"/>
      <c r="H170" s="24" t="s">
        <v>1</v>
      </c>
      <c r="I170" s="23"/>
    </row>
    <row r="171" spans="1:12" s="1" customFormat="1" ht="30" customHeight="1" x14ac:dyDescent="0.25">
      <c r="A171" s="24" t="s">
        <v>2</v>
      </c>
      <c r="B171" s="23"/>
      <c r="C171" s="24" t="s">
        <v>5</v>
      </c>
      <c r="D171" s="7" t="s">
        <v>87</v>
      </c>
      <c r="E171" s="4"/>
      <c r="F171" s="24" t="s">
        <v>2</v>
      </c>
      <c r="G171" s="23"/>
      <c r="H171" s="24" t="s">
        <v>5</v>
      </c>
      <c r="I171" s="7" t="str">
        <f>D171</f>
        <v>19B</v>
      </c>
    </row>
    <row r="172" spans="1:12" s="1" customFormat="1" ht="53.25" customHeight="1" x14ac:dyDescent="0.25">
      <c r="A172" s="8" t="s">
        <v>3</v>
      </c>
      <c r="B172" s="9">
        <v>25</v>
      </c>
      <c r="C172" s="24" t="s">
        <v>6</v>
      </c>
      <c r="D172" s="7" t="s">
        <v>88</v>
      </c>
      <c r="E172" s="4"/>
      <c r="F172" s="8" t="s">
        <v>3</v>
      </c>
      <c r="G172" s="9">
        <v>79</v>
      </c>
      <c r="H172" s="24" t="s">
        <v>6</v>
      </c>
      <c r="I172" s="7" t="str">
        <f>D172</f>
        <v>DEO-C07</v>
      </c>
      <c r="K172" s="6" t="s">
        <v>8</v>
      </c>
      <c r="L172" s="6" t="s">
        <v>7</v>
      </c>
    </row>
    <row r="173" spans="1:12" s="1" customFormat="1" ht="30" customHeight="1" x14ac:dyDescent="0.25">
      <c r="A173" s="34" t="s">
        <v>48</v>
      </c>
      <c r="B173" s="35"/>
      <c r="C173" s="35"/>
      <c r="D173" s="36"/>
      <c r="E173" s="5"/>
      <c r="F173" s="34" t="s">
        <v>48</v>
      </c>
      <c r="G173" s="35"/>
      <c r="H173" s="35"/>
      <c r="I173" s="36"/>
      <c r="K173" s="1">
        <v>700</v>
      </c>
      <c r="L173" s="1">
        <v>20</v>
      </c>
    </row>
    <row r="174" spans="1:12" s="1" customFormat="1" ht="30" customHeight="1" x14ac:dyDescent="0.25">
      <c r="A174" s="43" t="s">
        <v>85</v>
      </c>
      <c r="B174" s="44"/>
      <c r="C174" s="44" t="s">
        <v>81</v>
      </c>
      <c r="D174" s="42"/>
      <c r="E174" s="4"/>
      <c r="F174" s="43" t="str">
        <f>A174</f>
        <v>KW621</v>
      </c>
      <c r="G174" s="44"/>
      <c r="H174" s="44" t="str">
        <f>C174</f>
        <v>Green</v>
      </c>
      <c r="I174" s="42"/>
    </row>
    <row r="175" spans="1:12" s="1" customFormat="1" ht="30" customHeight="1" x14ac:dyDescent="0.25">
      <c r="A175" s="12" t="s">
        <v>4</v>
      </c>
      <c r="B175" s="37">
        <v>27087</v>
      </c>
      <c r="C175" s="37"/>
      <c r="D175" s="38"/>
      <c r="E175" s="4"/>
      <c r="F175" s="12" t="s">
        <v>4</v>
      </c>
      <c r="G175" s="37">
        <f>B175</f>
        <v>27087</v>
      </c>
      <c r="H175" s="37"/>
      <c r="I175" s="38"/>
    </row>
    <row r="176" spans="1:12" ht="63.75" customHeight="1" x14ac:dyDescent="0.25">
      <c r="A176" s="33" t="s">
        <v>34</v>
      </c>
      <c r="B176" s="33"/>
      <c r="C176" s="33"/>
      <c r="D176" s="33"/>
      <c r="E176" s="2"/>
      <c r="F176" s="33" t="str">
        <f>A176</f>
        <v>Oval DEO - Cap</v>
      </c>
      <c r="G176" s="33"/>
      <c r="H176" s="33"/>
      <c r="I176" s="33"/>
    </row>
    <row r="177" spans="1:12" s="1" customFormat="1" ht="30" customHeight="1" x14ac:dyDescent="0.25">
      <c r="A177" s="24" t="s">
        <v>0</v>
      </c>
      <c r="B177" s="23"/>
      <c r="C177" s="24" t="s">
        <v>1</v>
      </c>
      <c r="D177" s="23"/>
      <c r="E177" s="3"/>
      <c r="F177" s="24" t="s">
        <v>0</v>
      </c>
      <c r="G177" s="23"/>
      <c r="H177" s="24" t="s">
        <v>1</v>
      </c>
      <c r="I177" s="23"/>
    </row>
    <row r="178" spans="1:12" s="1" customFormat="1" ht="30" customHeight="1" x14ac:dyDescent="0.25">
      <c r="A178" s="24" t="s">
        <v>2</v>
      </c>
      <c r="B178" s="23"/>
      <c r="C178" s="24" t="s">
        <v>5</v>
      </c>
      <c r="D178" s="7" t="s">
        <v>87</v>
      </c>
      <c r="E178" s="4"/>
      <c r="F178" s="24" t="s">
        <v>2</v>
      </c>
      <c r="G178" s="23"/>
      <c r="H178" s="24" t="s">
        <v>5</v>
      </c>
      <c r="I178" s="7" t="str">
        <f>D178</f>
        <v>19B</v>
      </c>
    </row>
    <row r="179" spans="1:12" s="1" customFormat="1" ht="53.25" customHeight="1" x14ac:dyDescent="0.25">
      <c r="A179" s="8" t="s">
        <v>3</v>
      </c>
      <c r="B179" s="9">
        <v>26</v>
      </c>
      <c r="C179" s="24" t="s">
        <v>6</v>
      </c>
      <c r="D179" s="7" t="s">
        <v>88</v>
      </c>
      <c r="E179" s="4"/>
      <c r="F179" s="8" t="s">
        <v>3</v>
      </c>
      <c r="G179" s="9">
        <v>80</v>
      </c>
      <c r="H179" s="24" t="s">
        <v>6</v>
      </c>
      <c r="I179" s="7" t="str">
        <f>D179</f>
        <v>DEO-C07</v>
      </c>
      <c r="K179" s="6" t="s">
        <v>8</v>
      </c>
      <c r="L179" s="6" t="s">
        <v>7</v>
      </c>
    </row>
    <row r="180" spans="1:12" s="1" customFormat="1" ht="30" customHeight="1" x14ac:dyDescent="0.25">
      <c r="A180" s="34" t="s">
        <v>48</v>
      </c>
      <c r="B180" s="35"/>
      <c r="C180" s="35"/>
      <c r="D180" s="36"/>
      <c r="E180" s="5"/>
      <c r="F180" s="34" t="s">
        <v>48</v>
      </c>
      <c r="G180" s="35"/>
      <c r="H180" s="35"/>
      <c r="I180" s="36"/>
      <c r="K180" s="1">
        <v>700</v>
      </c>
      <c r="L180" s="1">
        <v>20</v>
      </c>
    </row>
    <row r="181" spans="1:12" s="1" customFormat="1" ht="30" customHeight="1" x14ac:dyDescent="0.25">
      <c r="A181" s="43" t="s">
        <v>85</v>
      </c>
      <c r="B181" s="44"/>
      <c r="C181" s="44" t="s">
        <v>81</v>
      </c>
      <c r="D181" s="42"/>
      <c r="E181" s="4"/>
      <c r="F181" s="43" t="str">
        <f>A181</f>
        <v>KW621</v>
      </c>
      <c r="G181" s="44"/>
      <c r="H181" s="44" t="str">
        <f>C181</f>
        <v>Green</v>
      </c>
      <c r="I181" s="42"/>
    </row>
    <row r="182" spans="1:12" s="1" customFormat="1" ht="30" customHeight="1" x14ac:dyDescent="0.25">
      <c r="A182" s="12" t="s">
        <v>4</v>
      </c>
      <c r="B182" s="37">
        <v>27087</v>
      </c>
      <c r="C182" s="37"/>
      <c r="D182" s="38"/>
      <c r="E182" s="4"/>
      <c r="F182" s="12" t="s">
        <v>4</v>
      </c>
      <c r="G182" s="37">
        <f>B182</f>
        <v>27087</v>
      </c>
      <c r="H182" s="37"/>
      <c r="I182" s="38"/>
    </row>
    <row r="183" spans="1:12" ht="63.75" customHeight="1" x14ac:dyDescent="0.25">
      <c r="A183" s="33" t="s">
        <v>34</v>
      </c>
      <c r="B183" s="33"/>
      <c r="C183" s="33"/>
      <c r="D183" s="33"/>
      <c r="E183" s="2"/>
      <c r="F183" s="33" t="str">
        <f>A183</f>
        <v>Oval DEO - Cap</v>
      </c>
      <c r="G183" s="33"/>
      <c r="H183" s="33"/>
      <c r="I183" s="33"/>
    </row>
    <row r="184" spans="1:12" s="1" customFormat="1" ht="30" customHeight="1" x14ac:dyDescent="0.25">
      <c r="A184" s="24" t="s">
        <v>0</v>
      </c>
      <c r="B184" s="23"/>
      <c r="C184" s="24" t="s">
        <v>1</v>
      </c>
      <c r="D184" s="23"/>
      <c r="E184" s="3"/>
      <c r="F184" s="24" t="s">
        <v>0</v>
      </c>
      <c r="G184" s="23"/>
      <c r="H184" s="24" t="s">
        <v>1</v>
      </c>
      <c r="I184" s="23"/>
    </row>
    <row r="185" spans="1:12" s="1" customFormat="1" ht="30" customHeight="1" x14ac:dyDescent="0.25">
      <c r="A185" s="24" t="s">
        <v>2</v>
      </c>
      <c r="B185" s="23"/>
      <c r="C185" s="24" t="s">
        <v>5</v>
      </c>
      <c r="D185" s="7" t="s">
        <v>87</v>
      </c>
      <c r="E185" s="4"/>
      <c r="F185" s="24" t="s">
        <v>2</v>
      </c>
      <c r="G185" s="23"/>
      <c r="H185" s="24" t="s">
        <v>5</v>
      </c>
      <c r="I185" s="7" t="str">
        <f>D185</f>
        <v>19B</v>
      </c>
    </row>
    <row r="186" spans="1:12" s="1" customFormat="1" ht="53.25" customHeight="1" x14ac:dyDescent="0.25">
      <c r="A186" s="8" t="s">
        <v>3</v>
      </c>
      <c r="B186" s="9">
        <v>27</v>
      </c>
      <c r="C186" s="24" t="s">
        <v>6</v>
      </c>
      <c r="D186" s="7" t="s">
        <v>88</v>
      </c>
      <c r="E186" s="4"/>
      <c r="F186" s="8" t="s">
        <v>3</v>
      </c>
      <c r="G186" s="9">
        <v>81</v>
      </c>
      <c r="H186" s="24" t="s">
        <v>6</v>
      </c>
      <c r="I186" s="7" t="str">
        <f>D186</f>
        <v>DEO-C07</v>
      </c>
      <c r="K186" s="6" t="s">
        <v>8</v>
      </c>
      <c r="L186" s="6" t="s">
        <v>7</v>
      </c>
    </row>
    <row r="187" spans="1:12" s="1" customFormat="1" ht="30" customHeight="1" x14ac:dyDescent="0.25">
      <c r="A187" s="34" t="s">
        <v>48</v>
      </c>
      <c r="B187" s="35"/>
      <c r="C187" s="35"/>
      <c r="D187" s="36"/>
      <c r="E187" s="5"/>
      <c r="F187" s="34" t="s">
        <v>48</v>
      </c>
      <c r="G187" s="35"/>
      <c r="H187" s="35"/>
      <c r="I187" s="36"/>
      <c r="K187" s="1">
        <v>700</v>
      </c>
      <c r="L187" s="1">
        <v>20</v>
      </c>
    </row>
    <row r="188" spans="1:12" s="1" customFormat="1" ht="30" customHeight="1" x14ac:dyDescent="0.25">
      <c r="A188" s="43" t="s">
        <v>85</v>
      </c>
      <c r="B188" s="44"/>
      <c r="C188" s="44" t="s">
        <v>81</v>
      </c>
      <c r="D188" s="42"/>
      <c r="E188" s="4"/>
      <c r="F188" s="43" t="str">
        <f>A188</f>
        <v>KW621</v>
      </c>
      <c r="G188" s="44"/>
      <c r="H188" s="44" t="str">
        <f>C188</f>
        <v>Green</v>
      </c>
      <c r="I188" s="42"/>
    </row>
    <row r="189" spans="1:12" s="1" customFormat="1" ht="30" customHeight="1" x14ac:dyDescent="0.25">
      <c r="A189" s="12" t="s">
        <v>4</v>
      </c>
      <c r="B189" s="37">
        <v>27087</v>
      </c>
      <c r="C189" s="37"/>
      <c r="D189" s="38"/>
      <c r="E189" s="4"/>
      <c r="F189" s="12" t="s">
        <v>4</v>
      </c>
      <c r="G189" s="37">
        <f>B189</f>
        <v>27087</v>
      </c>
      <c r="H189" s="37"/>
      <c r="I189" s="38"/>
    </row>
    <row r="190" spans="1:12" ht="63.75" customHeight="1" x14ac:dyDescent="0.25">
      <c r="A190" s="33" t="s">
        <v>34</v>
      </c>
      <c r="B190" s="33"/>
      <c r="C190" s="33"/>
      <c r="D190" s="33"/>
      <c r="E190" s="2"/>
      <c r="F190" s="33" t="str">
        <f>A190</f>
        <v>Oval DEO - Cap</v>
      </c>
      <c r="G190" s="33"/>
      <c r="H190" s="33"/>
      <c r="I190" s="33"/>
    </row>
    <row r="191" spans="1:12" s="1" customFormat="1" ht="30" customHeight="1" x14ac:dyDescent="0.25">
      <c r="A191" s="24" t="s">
        <v>0</v>
      </c>
      <c r="B191" s="23"/>
      <c r="C191" s="24" t="s">
        <v>1</v>
      </c>
      <c r="D191" s="23"/>
      <c r="E191" s="3"/>
      <c r="F191" s="24" t="s">
        <v>0</v>
      </c>
      <c r="G191" s="23"/>
      <c r="H191" s="24" t="s">
        <v>1</v>
      </c>
      <c r="I191" s="23"/>
    </row>
    <row r="192" spans="1:12" s="1" customFormat="1" ht="30" customHeight="1" x14ac:dyDescent="0.25">
      <c r="A192" s="24" t="s">
        <v>2</v>
      </c>
      <c r="B192" s="23"/>
      <c r="C192" s="24" t="s">
        <v>5</v>
      </c>
      <c r="D192" s="7" t="s">
        <v>87</v>
      </c>
      <c r="E192" s="4"/>
      <c r="F192" s="24" t="s">
        <v>2</v>
      </c>
      <c r="G192" s="23"/>
      <c r="H192" s="24" t="s">
        <v>5</v>
      </c>
      <c r="I192" s="7" t="str">
        <f>D192</f>
        <v>19B</v>
      </c>
    </row>
    <row r="193" spans="1:12" s="1" customFormat="1" ht="53.25" customHeight="1" x14ac:dyDescent="0.25">
      <c r="A193" s="8" t="s">
        <v>3</v>
      </c>
      <c r="B193" s="9">
        <v>28</v>
      </c>
      <c r="C193" s="24" t="s">
        <v>6</v>
      </c>
      <c r="D193" s="7" t="s">
        <v>88</v>
      </c>
      <c r="E193" s="4"/>
      <c r="F193" s="8" t="s">
        <v>3</v>
      </c>
      <c r="G193" s="9">
        <v>82</v>
      </c>
      <c r="H193" s="24" t="s">
        <v>6</v>
      </c>
      <c r="I193" s="7" t="str">
        <f>D193</f>
        <v>DEO-C07</v>
      </c>
      <c r="K193" s="6" t="s">
        <v>8</v>
      </c>
      <c r="L193" s="6" t="s">
        <v>7</v>
      </c>
    </row>
    <row r="194" spans="1:12" s="1" customFormat="1" ht="30" customHeight="1" x14ac:dyDescent="0.25">
      <c r="A194" s="34" t="s">
        <v>48</v>
      </c>
      <c r="B194" s="35"/>
      <c r="C194" s="35"/>
      <c r="D194" s="36"/>
      <c r="E194" s="5"/>
      <c r="F194" s="34" t="s">
        <v>48</v>
      </c>
      <c r="G194" s="35"/>
      <c r="H194" s="35"/>
      <c r="I194" s="36"/>
      <c r="K194" s="1">
        <v>700</v>
      </c>
      <c r="L194" s="1">
        <v>20</v>
      </c>
    </row>
    <row r="195" spans="1:12" s="1" customFormat="1" ht="30" customHeight="1" x14ac:dyDescent="0.25">
      <c r="A195" s="43" t="s">
        <v>85</v>
      </c>
      <c r="B195" s="44"/>
      <c r="C195" s="44" t="s">
        <v>81</v>
      </c>
      <c r="D195" s="42"/>
      <c r="E195" s="4"/>
      <c r="F195" s="43" t="str">
        <f>A195</f>
        <v>KW621</v>
      </c>
      <c r="G195" s="44"/>
      <c r="H195" s="44" t="str">
        <f>C195</f>
        <v>Green</v>
      </c>
      <c r="I195" s="42"/>
    </row>
    <row r="196" spans="1:12" s="1" customFormat="1" ht="30" customHeight="1" x14ac:dyDescent="0.25">
      <c r="A196" s="12" t="s">
        <v>4</v>
      </c>
      <c r="B196" s="37">
        <v>27087</v>
      </c>
      <c r="C196" s="37"/>
      <c r="D196" s="38"/>
      <c r="E196" s="4"/>
      <c r="F196" s="12" t="s">
        <v>4</v>
      </c>
      <c r="G196" s="37">
        <f>B196</f>
        <v>27087</v>
      </c>
      <c r="H196" s="37"/>
      <c r="I196" s="38"/>
    </row>
    <row r="197" spans="1:12" ht="63.75" customHeight="1" x14ac:dyDescent="0.25">
      <c r="A197" s="33" t="s">
        <v>34</v>
      </c>
      <c r="B197" s="33"/>
      <c r="C197" s="33"/>
      <c r="D197" s="33"/>
      <c r="E197" s="2"/>
      <c r="F197" s="33" t="str">
        <f>A197</f>
        <v>Oval DEO - Cap</v>
      </c>
      <c r="G197" s="33"/>
      <c r="H197" s="33"/>
      <c r="I197" s="33"/>
    </row>
    <row r="198" spans="1:12" s="1" customFormat="1" ht="30" customHeight="1" x14ac:dyDescent="0.25">
      <c r="A198" s="24" t="s">
        <v>0</v>
      </c>
      <c r="B198" s="23"/>
      <c r="C198" s="24" t="s">
        <v>1</v>
      </c>
      <c r="D198" s="23"/>
      <c r="E198" s="3"/>
      <c r="F198" s="24" t="s">
        <v>0</v>
      </c>
      <c r="G198" s="23"/>
      <c r="H198" s="24" t="s">
        <v>1</v>
      </c>
      <c r="I198" s="23"/>
    </row>
    <row r="199" spans="1:12" s="1" customFormat="1" ht="30" customHeight="1" x14ac:dyDescent="0.25">
      <c r="A199" s="24" t="s">
        <v>2</v>
      </c>
      <c r="B199" s="23"/>
      <c r="C199" s="24" t="s">
        <v>5</v>
      </c>
      <c r="D199" s="7" t="s">
        <v>87</v>
      </c>
      <c r="E199" s="4"/>
      <c r="F199" s="24" t="s">
        <v>2</v>
      </c>
      <c r="G199" s="23"/>
      <c r="H199" s="24" t="s">
        <v>5</v>
      </c>
      <c r="I199" s="7" t="str">
        <f>D199</f>
        <v>19B</v>
      </c>
    </row>
    <row r="200" spans="1:12" s="1" customFormat="1" ht="53.25" customHeight="1" x14ac:dyDescent="0.25">
      <c r="A200" s="8" t="s">
        <v>3</v>
      </c>
      <c r="B200" s="9">
        <v>29</v>
      </c>
      <c r="C200" s="24" t="s">
        <v>6</v>
      </c>
      <c r="D200" s="7" t="s">
        <v>88</v>
      </c>
      <c r="E200" s="4"/>
      <c r="F200" s="8" t="s">
        <v>3</v>
      </c>
      <c r="G200" s="9">
        <v>83</v>
      </c>
      <c r="H200" s="24" t="s">
        <v>6</v>
      </c>
      <c r="I200" s="7" t="str">
        <f>D200</f>
        <v>DEO-C07</v>
      </c>
      <c r="K200" s="6" t="s">
        <v>8</v>
      </c>
      <c r="L200" s="6" t="s">
        <v>7</v>
      </c>
    </row>
    <row r="201" spans="1:12" s="1" customFormat="1" ht="30" customHeight="1" x14ac:dyDescent="0.25">
      <c r="A201" s="34" t="s">
        <v>48</v>
      </c>
      <c r="B201" s="35"/>
      <c r="C201" s="35"/>
      <c r="D201" s="36"/>
      <c r="E201" s="5"/>
      <c r="F201" s="34" t="s">
        <v>48</v>
      </c>
      <c r="G201" s="35"/>
      <c r="H201" s="35"/>
      <c r="I201" s="36"/>
      <c r="K201" s="1">
        <v>700</v>
      </c>
      <c r="L201" s="1">
        <v>20</v>
      </c>
    </row>
    <row r="202" spans="1:12" s="1" customFormat="1" ht="30" customHeight="1" x14ac:dyDescent="0.25">
      <c r="A202" s="43" t="s">
        <v>85</v>
      </c>
      <c r="B202" s="44"/>
      <c r="C202" s="44" t="s">
        <v>81</v>
      </c>
      <c r="D202" s="42"/>
      <c r="E202" s="4"/>
      <c r="F202" s="43" t="str">
        <f>A202</f>
        <v>KW621</v>
      </c>
      <c r="G202" s="44"/>
      <c r="H202" s="44" t="str">
        <f>C202</f>
        <v>Green</v>
      </c>
      <c r="I202" s="42"/>
    </row>
    <row r="203" spans="1:12" s="1" customFormat="1" ht="30" customHeight="1" x14ac:dyDescent="0.25">
      <c r="A203" s="12" t="s">
        <v>4</v>
      </c>
      <c r="B203" s="37">
        <v>27087</v>
      </c>
      <c r="C203" s="37"/>
      <c r="D203" s="38"/>
      <c r="E203" s="4"/>
      <c r="F203" s="12" t="s">
        <v>4</v>
      </c>
      <c r="G203" s="37">
        <f>B203</f>
        <v>27087</v>
      </c>
      <c r="H203" s="37"/>
      <c r="I203" s="38"/>
    </row>
    <row r="204" spans="1:12" ht="63.75" customHeight="1" x14ac:dyDescent="0.25">
      <c r="A204" s="33" t="s">
        <v>34</v>
      </c>
      <c r="B204" s="33"/>
      <c r="C204" s="33"/>
      <c r="D204" s="33"/>
      <c r="E204" s="2"/>
      <c r="F204" s="33" t="str">
        <f>A204</f>
        <v>Oval DEO - Cap</v>
      </c>
      <c r="G204" s="33"/>
      <c r="H204" s="33"/>
      <c r="I204" s="33"/>
    </row>
    <row r="205" spans="1:12" s="1" customFormat="1" ht="30" customHeight="1" x14ac:dyDescent="0.25">
      <c r="A205" s="24" t="s">
        <v>0</v>
      </c>
      <c r="B205" s="23"/>
      <c r="C205" s="24" t="s">
        <v>1</v>
      </c>
      <c r="D205" s="23"/>
      <c r="E205" s="3"/>
      <c r="F205" s="24" t="s">
        <v>0</v>
      </c>
      <c r="G205" s="23"/>
      <c r="H205" s="24" t="s">
        <v>1</v>
      </c>
      <c r="I205" s="23"/>
    </row>
    <row r="206" spans="1:12" s="1" customFormat="1" ht="30" customHeight="1" x14ac:dyDescent="0.25">
      <c r="A206" s="24" t="s">
        <v>2</v>
      </c>
      <c r="B206" s="23"/>
      <c r="C206" s="24" t="s">
        <v>5</v>
      </c>
      <c r="D206" s="7" t="s">
        <v>87</v>
      </c>
      <c r="E206" s="4"/>
      <c r="F206" s="24" t="s">
        <v>2</v>
      </c>
      <c r="G206" s="23"/>
      <c r="H206" s="24" t="s">
        <v>5</v>
      </c>
      <c r="I206" s="7" t="str">
        <f>D206</f>
        <v>19B</v>
      </c>
    </row>
    <row r="207" spans="1:12" s="1" customFormat="1" ht="53.25" customHeight="1" x14ac:dyDescent="0.25">
      <c r="A207" s="8" t="s">
        <v>3</v>
      </c>
      <c r="B207" s="9">
        <v>30</v>
      </c>
      <c r="C207" s="24" t="s">
        <v>6</v>
      </c>
      <c r="D207" s="7" t="s">
        <v>88</v>
      </c>
      <c r="E207" s="4"/>
      <c r="F207" s="8" t="s">
        <v>3</v>
      </c>
      <c r="G207" s="9">
        <v>84</v>
      </c>
      <c r="H207" s="24" t="s">
        <v>6</v>
      </c>
      <c r="I207" s="7" t="str">
        <f>D207</f>
        <v>DEO-C07</v>
      </c>
      <c r="K207" s="6" t="s">
        <v>8</v>
      </c>
      <c r="L207" s="6" t="s">
        <v>7</v>
      </c>
    </row>
    <row r="208" spans="1:12" s="1" customFormat="1" ht="30" customHeight="1" x14ac:dyDescent="0.25">
      <c r="A208" s="34" t="s">
        <v>48</v>
      </c>
      <c r="B208" s="35"/>
      <c r="C208" s="35"/>
      <c r="D208" s="36"/>
      <c r="E208" s="5"/>
      <c r="F208" s="34" t="s">
        <v>48</v>
      </c>
      <c r="G208" s="35"/>
      <c r="H208" s="35"/>
      <c r="I208" s="36"/>
      <c r="K208" s="1">
        <v>700</v>
      </c>
      <c r="L208" s="1">
        <v>20</v>
      </c>
    </row>
    <row r="209" spans="1:12" s="1" customFormat="1" ht="30" customHeight="1" x14ac:dyDescent="0.25">
      <c r="A209" s="43" t="s">
        <v>85</v>
      </c>
      <c r="B209" s="44"/>
      <c r="C209" s="44" t="s">
        <v>81</v>
      </c>
      <c r="D209" s="42"/>
      <c r="E209" s="4"/>
      <c r="F209" s="43" t="str">
        <f>A209</f>
        <v>KW621</v>
      </c>
      <c r="G209" s="44"/>
      <c r="H209" s="44" t="str">
        <f>C209</f>
        <v>Green</v>
      </c>
      <c r="I209" s="42"/>
    </row>
    <row r="210" spans="1:12" s="1" customFormat="1" ht="30" customHeight="1" x14ac:dyDescent="0.25">
      <c r="A210" s="12" t="s">
        <v>4</v>
      </c>
      <c r="B210" s="37">
        <v>27087</v>
      </c>
      <c r="C210" s="37"/>
      <c r="D210" s="38"/>
      <c r="E210" s="4"/>
      <c r="F210" s="12" t="s">
        <v>4</v>
      </c>
      <c r="G210" s="37">
        <f>B210</f>
        <v>27087</v>
      </c>
      <c r="H210" s="37"/>
      <c r="I210" s="38"/>
    </row>
    <row r="211" spans="1:12" ht="63.75" customHeight="1" x14ac:dyDescent="0.25">
      <c r="A211" s="33" t="s">
        <v>34</v>
      </c>
      <c r="B211" s="33"/>
      <c r="C211" s="33"/>
      <c r="D211" s="33"/>
      <c r="E211" s="2"/>
      <c r="F211" s="33" t="str">
        <f>A211</f>
        <v>Oval DEO - Cap</v>
      </c>
      <c r="G211" s="33"/>
      <c r="H211" s="33"/>
      <c r="I211" s="33"/>
    </row>
    <row r="212" spans="1:12" s="1" customFormat="1" ht="30" customHeight="1" x14ac:dyDescent="0.25">
      <c r="A212" s="24" t="s">
        <v>0</v>
      </c>
      <c r="B212" s="23"/>
      <c r="C212" s="24" t="s">
        <v>1</v>
      </c>
      <c r="D212" s="23"/>
      <c r="E212" s="3"/>
      <c r="F212" s="24" t="s">
        <v>0</v>
      </c>
      <c r="G212" s="23"/>
      <c r="H212" s="24" t="s">
        <v>1</v>
      </c>
      <c r="I212" s="23"/>
    </row>
    <row r="213" spans="1:12" s="1" customFormat="1" ht="30" customHeight="1" x14ac:dyDescent="0.25">
      <c r="A213" s="24" t="s">
        <v>2</v>
      </c>
      <c r="B213" s="23"/>
      <c r="C213" s="24" t="s">
        <v>5</v>
      </c>
      <c r="D213" s="7" t="s">
        <v>87</v>
      </c>
      <c r="E213" s="4"/>
      <c r="F213" s="24" t="s">
        <v>2</v>
      </c>
      <c r="G213" s="23"/>
      <c r="H213" s="24" t="s">
        <v>5</v>
      </c>
      <c r="I213" s="7" t="str">
        <f>D213</f>
        <v>19B</v>
      </c>
    </row>
    <row r="214" spans="1:12" s="1" customFormat="1" ht="53.25" customHeight="1" x14ac:dyDescent="0.25">
      <c r="A214" s="8" t="s">
        <v>3</v>
      </c>
      <c r="B214" s="9">
        <v>31</v>
      </c>
      <c r="C214" s="24" t="s">
        <v>6</v>
      </c>
      <c r="D214" s="7" t="s">
        <v>88</v>
      </c>
      <c r="E214" s="4"/>
      <c r="F214" s="8" t="s">
        <v>3</v>
      </c>
      <c r="G214" s="9">
        <v>85</v>
      </c>
      <c r="H214" s="24" t="s">
        <v>6</v>
      </c>
      <c r="I214" s="7" t="str">
        <f>D214</f>
        <v>DEO-C07</v>
      </c>
      <c r="K214" s="6" t="s">
        <v>8</v>
      </c>
      <c r="L214" s="6" t="s">
        <v>7</v>
      </c>
    </row>
    <row r="215" spans="1:12" s="1" customFormat="1" ht="30" customHeight="1" x14ac:dyDescent="0.25">
      <c r="A215" s="34" t="s">
        <v>48</v>
      </c>
      <c r="B215" s="35"/>
      <c r="C215" s="35"/>
      <c r="D215" s="36"/>
      <c r="E215" s="5"/>
      <c r="F215" s="34" t="s">
        <v>48</v>
      </c>
      <c r="G215" s="35"/>
      <c r="H215" s="35"/>
      <c r="I215" s="36"/>
      <c r="K215" s="1">
        <v>700</v>
      </c>
      <c r="L215" s="1">
        <v>20</v>
      </c>
    </row>
    <row r="216" spans="1:12" s="1" customFormat="1" ht="30" customHeight="1" x14ac:dyDescent="0.25">
      <c r="A216" s="43" t="s">
        <v>85</v>
      </c>
      <c r="B216" s="44"/>
      <c r="C216" s="44" t="s">
        <v>81</v>
      </c>
      <c r="D216" s="42"/>
      <c r="E216" s="4"/>
      <c r="F216" s="43" t="str">
        <f>A216</f>
        <v>KW621</v>
      </c>
      <c r="G216" s="44"/>
      <c r="H216" s="44" t="str">
        <f>C216</f>
        <v>Green</v>
      </c>
      <c r="I216" s="42"/>
    </row>
    <row r="217" spans="1:12" s="1" customFormat="1" ht="30" customHeight="1" x14ac:dyDescent="0.25">
      <c r="A217" s="12" t="s">
        <v>4</v>
      </c>
      <c r="B217" s="37">
        <v>27087</v>
      </c>
      <c r="C217" s="37"/>
      <c r="D217" s="38"/>
      <c r="E217" s="4"/>
      <c r="F217" s="12" t="s">
        <v>4</v>
      </c>
      <c r="G217" s="37">
        <f>B217</f>
        <v>27087</v>
      </c>
      <c r="H217" s="37"/>
      <c r="I217" s="38"/>
    </row>
    <row r="218" spans="1:12" ht="63.75" customHeight="1" x14ac:dyDescent="0.25">
      <c r="A218" s="33" t="s">
        <v>34</v>
      </c>
      <c r="B218" s="33"/>
      <c r="C218" s="33"/>
      <c r="D218" s="33"/>
      <c r="E218" s="2"/>
      <c r="F218" s="33" t="str">
        <f>A218</f>
        <v>Oval DEO - Cap</v>
      </c>
      <c r="G218" s="33"/>
      <c r="H218" s="33"/>
      <c r="I218" s="33"/>
    </row>
    <row r="219" spans="1:12" s="1" customFormat="1" ht="30" customHeight="1" x14ac:dyDescent="0.25">
      <c r="A219" s="24" t="s">
        <v>0</v>
      </c>
      <c r="B219" s="23"/>
      <c r="C219" s="24" t="s">
        <v>1</v>
      </c>
      <c r="D219" s="23"/>
      <c r="E219" s="3"/>
      <c r="F219" s="24" t="s">
        <v>0</v>
      </c>
      <c r="G219" s="23"/>
      <c r="H219" s="24" t="s">
        <v>1</v>
      </c>
      <c r="I219" s="23"/>
    </row>
    <row r="220" spans="1:12" s="1" customFormat="1" ht="30" customHeight="1" x14ac:dyDescent="0.25">
      <c r="A220" s="24" t="s">
        <v>2</v>
      </c>
      <c r="B220" s="23"/>
      <c r="C220" s="24" t="s">
        <v>5</v>
      </c>
      <c r="D220" s="7" t="s">
        <v>87</v>
      </c>
      <c r="E220" s="4"/>
      <c r="F220" s="24" t="s">
        <v>2</v>
      </c>
      <c r="G220" s="23"/>
      <c r="H220" s="24" t="s">
        <v>5</v>
      </c>
      <c r="I220" s="7" t="str">
        <f>D220</f>
        <v>19B</v>
      </c>
    </row>
    <row r="221" spans="1:12" s="1" customFormat="1" ht="53.25" customHeight="1" x14ac:dyDescent="0.25">
      <c r="A221" s="8" t="s">
        <v>3</v>
      </c>
      <c r="B221" s="9">
        <v>32</v>
      </c>
      <c r="C221" s="24" t="s">
        <v>6</v>
      </c>
      <c r="D221" s="7" t="s">
        <v>88</v>
      </c>
      <c r="E221" s="4"/>
      <c r="F221" s="8" t="s">
        <v>3</v>
      </c>
      <c r="G221" s="9">
        <v>86</v>
      </c>
      <c r="H221" s="24" t="s">
        <v>6</v>
      </c>
      <c r="I221" s="7" t="str">
        <f>D221</f>
        <v>DEO-C07</v>
      </c>
      <c r="K221" s="6" t="s">
        <v>8</v>
      </c>
      <c r="L221" s="6" t="s">
        <v>7</v>
      </c>
    </row>
    <row r="222" spans="1:12" s="1" customFormat="1" ht="30" customHeight="1" x14ac:dyDescent="0.25">
      <c r="A222" s="34" t="s">
        <v>48</v>
      </c>
      <c r="B222" s="35"/>
      <c r="C222" s="35"/>
      <c r="D222" s="36"/>
      <c r="E222" s="5"/>
      <c r="F222" s="34" t="s">
        <v>48</v>
      </c>
      <c r="G222" s="35"/>
      <c r="H222" s="35"/>
      <c r="I222" s="36"/>
      <c r="K222" s="1">
        <v>700</v>
      </c>
      <c r="L222" s="1">
        <v>20</v>
      </c>
    </row>
    <row r="223" spans="1:12" s="1" customFormat="1" ht="30" customHeight="1" x14ac:dyDescent="0.25">
      <c r="A223" s="43" t="s">
        <v>85</v>
      </c>
      <c r="B223" s="44"/>
      <c r="C223" s="44" t="s">
        <v>81</v>
      </c>
      <c r="D223" s="42"/>
      <c r="E223" s="4"/>
      <c r="F223" s="43" t="str">
        <f>A223</f>
        <v>KW621</v>
      </c>
      <c r="G223" s="44"/>
      <c r="H223" s="44" t="str">
        <f>C223</f>
        <v>Green</v>
      </c>
      <c r="I223" s="42"/>
    </row>
    <row r="224" spans="1:12" s="1" customFormat="1" ht="30" customHeight="1" x14ac:dyDescent="0.25">
      <c r="A224" s="12" t="s">
        <v>4</v>
      </c>
      <c r="B224" s="37">
        <v>27087</v>
      </c>
      <c r="C224" s="37"/>
      <c r="D224" s="38"/>
      <c r="E224" s="4"/>
      <c r="F224" s="12" t="s">
        <v>4</v>
      </c>
      <c r="G224" s="37">
        <f>B224</f>
        <v>27087</v>
      </c>
      <c r="H224" s="37"/>
      <c r="I224" s="38"/>
    </row>
    <row r="225" spans="1:12" ht="63.75" customHeight="1" x14ac:dyDescent="0.25">
      <c r="A225" s="33" t="s">
        <v>34</v>
      </c>
      <c r="B225" s="33"/>
      <c r="C225" s="33"/>
      <c r="D225" s="33"/>
      <c r="E225" s="2"/>
      <c r="F225" s="33" t="str">
        <f>A225</f>
        <v>Oval DEO - Cap</v>
      </c>
      <c r="G225" s="33"/>
      <c r="H225" s="33"/>
      <c r="I225" s="33"/>
    </row>
    <row r="226" spans="1:12" s="1" customFormat="1" ht="30" customHeight="1" x14ac:dyDescent="0.25">
      <c r="A226" s="24" t="s">
        <v>0</v>
      </c>
      <c r="B226" s="23"/>
      <c r="C226" s="24" t="s">
        <v>1</v>
      </c>
      <c r="D226" s="23"/>
      <c r="E226" s="3"/>
      <c r="F226" s="24" t="s">
        <v>0</v>
      </c>
      <c r="G226" s="23"/>
      <c r="H226" s="24" t="s">
        <v>1</v>
      </c>
      <c r="I226" s="23"/>
    </row>
    <row r="227" spans="1:12" s="1" customFormat="1" ht="30" customHeight="1" x14ac:dyDescent="0.25">
      <c r="A227" s="24" t="s">
        <v>2</v>
      </c>
      <c r="B227" s="23"/>
      <c r="C227" s="24" t="s">
        <v>5</v>
      </c>
      <c r="D227" s="7" t="s">
        <v>87</v>
      </c>
      <c r="E227" s="4"/>
      <c r="F227" s="24" t="s">
        <v>2</v>
      </c>
      <c r="G227" s="23"/>
      <c r="H227" s="24" t="s">
        <v>5</v>
      </c>
      <c r="I227" s="7" t="str">
        <f>D227</f>
        <v>19B</v>
      </c>
    </row>
    <row r="228" spans="1:12" s="1" customFormat="1" ht="53.25" customHeight="1" x14ac:dyDescent="0.25">
      <c r="A228" s="8" t="s">
        <v>3</v>
      </c>
      <c r="B228" s="9">
        <v>33</v>
      </c>
      <c r="C228" s="24" t="s">
        <v>6</v>
      </c>
      <c r="D228" s="7" t="s">
        <v>88</v>
      </c>
      <c r="E228" s="4"/>
      <c r="F228" s="8" t="s">
        <v>3</v>
      </c>
      <c r="G228" s="9">
        <v>87</v>
      </c>
      <c r="H228" s="24" t="s">
        <v>6</v>
      </c>
      <c r="I228" s="7" t="str">
        <f>D228</f>
        <v>DEO-C07</v>
      </c>
      <c r="K228" s="6" t="s">
        <v>8</v>
      </c>
      <c r="L228" s="6" t="s">
        <v>7</v>
      </c>
    </row>
    <row r="229" spans="1:12" s="1" customFormat="1" ht="30" customHeight="1" x14ac:dyDescent="0.25">
      <c r="A229" s="34" t="s">
        <v>48</v>
      </c>
      <c r="B229" s="35"/>
      <c r="C229" s="35"/>
      <c r="D229" s="36"/>
      <c r="E229" s="5"/>
      <c r="F229" s="34" t="s">
        <v>48</v>
      </c>
      <c r="G229" s="35"/>
      <c r="H229" s="35"/>
      <c r="I229" s="36"/>
      <c r="K229" s="1">
        <v>700</v>
      </c>
      <c r="L229" s="1">
        <v>20</v>
      </c>
    </row>
    <row r="230" spans="1:12" s="1" customFormat="1" ht="30" customHeight="1" x14ac:dyDescent="0.25">
      <c r="A230" s="43" t="s">
        <v>85</v>
      </c>
      <c r="B230" s="44"/>
      <c r="C230" s="44" t="s">
        <v>81</v>
      </c>
      <c r="D230" s="42"/>
      <c r="E230" s="4"/>
      <c r="F230" s="43" t="str">
        <f>A230</f>
        <v>KW621</v>
      </c>
      <c r="G230" s="44"/>
      <c r="H230" s="44" t="str">
        <f>C230</f>
        <v>Green</v>
      </c>
      <c r="I230" s="42"/>
    </row>
    <row r="231" spans="1:12" s="1" customFormat="1" ht="30" customHeight="1" x14ac:dyDescent="0.25">
      <c r="A231" s="12" t="s">
        <v>4</v>
      </c>
      <c r="B231" s="37">
        <v>27087</v>
      </c>
      <c r="C231" s="37"/>
      <c r="D231" s="38"/>
      <c r="E231" s="4"/>
      <c r="F231" s="12" t="s">
        <v>4</v>
      </c>
      <c r="G231" s="37">
        <f>B231</f>
        <v>27087</v>
      </c>
      <c r="H231" s="37"/>
      <c r="I231" s="38"/>
    </row>
    <row r="232" spans="1:12" ht="63.75" customHeight="1" x14ac:dyDescent="0.25">
      <c r="A232" s="33" t="s">
        <v>34</v>
      </c>
      <c r="B232" s="33"/>
      <c r="C232" s="33"/>
      <c r="D232" s="33"/>
      <c r="E232" s="2"/>
      <c r="F232" s="33" t="str">
        <f>A232</f>
        <v>Oval DEO - Cap</v>
      </c>
      <c r="G232" s="33"/>
      <c r="H232" s="33"/>
      <c r="I232" s="33"/>
    </row>
    <row r="233" spans="1:12" s="1" customFormat="1" ht="30" customHeight="1" x14ac:dyDescent="0.25">
      <c r="A233" s="24" t="s">
        <v>0</v>
      </c>
      <c r="B233" s="23"/>
      <c r="C233" s="24" t="s">
        <v>1</v>
      </c>
      <c r="D233" s="23"/>
      <c r="E233" s="3"/>
      <c r="F233" s="24" t="s">
        <v>0</v>
      </c>
      <c r="G233" s="23"/>
      <c r="H233" s="24" t="s">
        <v>1</v>
      </c>
      <c r="I233" s="23"/>
    </row>
    <row r="234" spans="1:12" s="1" customFormat="1" ht="30" customHeight="1" x14ac:dyDescent="0.25">
      <c r="A234" s="24" t="s">
        <v>2</v>
      </c>
      <c r="B234" s="23"/>
      <c r="C234" s="24" t="s">
        <v>5</v>
      </c>
      <c r="D234" s="7" t="s">
        <v>87</v>
      </c>
      <c r="E234" s="4"/>
      <c r="F234" s="24" t="s">
        <v>2</v>
      </c>
      <c r="G234" s="23"/>
      <c r="H234" s="24" t="s">
        <v>5</v>
      </c>
      <c r="I234" s="7" t="str">
        <f>D234</f>
        <v>19B</v>
      </c>
    </row>
    <row r="235" spans="1:12" s="1" customFormat="1" ht="53.25" customHeight="1" x14ac:dyDescent="0.25">
      <c r="A235" s="8" t="s">
        <v>3</v>
      </c>
      <c r="B235" s="9">
        <v>34</v>
      </c>
      <c r="C235" s="24" t="s">
        <v>6</v>
      </c>
      <c r="D235" s="7" t="s">
        <v>88</v>
      </c>
      <c r="E235" s="4"/>
      <c r="F235" s="8" t="s">
        <v>3</v>
      </c>
      <c r="G235" s="9">
        <v>88</v>
      </c>
      <c r="H235" s="24" t="s">
        <v>6</v>
      </c>
      <c r="I235" s="7" t="str">
        <f>D235</f>
        <v>DEO-C07</v>
      </c>
      <c r="K235" s="6" t="s">
        <v>8</v>
      </c>
      <c r="L235" s="6" t="s">
        <v>7</v>
      </c>
    </row>
    <row r="236" spans="1:12" s="1" customFormat="1" ht="30" customHeight="1" x14ac:dyDescent="0.25">
      <c r="A236" s="34" t="s">
        <v>48</v>
      </c>
      <c r="B236" s="35"/>
      <c r="C236" s="35"/>
      <c r="D236" s="36"/>
      <c r="E236" s="5"/>
      <c r="F236" s="34" t="s">
        <v>48</v>
      </c>
      <c r="G236" s="35"/>
      <c r="H236" s="35"/>
      <c r="I236" s="36"/>
      <c r="K236" s="1">
        <v>700</v>
      </c>
      <c r="L236" s="1">
        <v>20</v>
      </c>
    </row>
    <row r="237" spans="1:12" s="1" customFormat="1" ht="30" customHeight="1" x14ac:dyDescent="0.25">
      <c r="A237" s="43" t="s">
        <v>85</v>
      </c>
      <c r="B237" s="44"/>
      <c r="C237" s="44" t="s">
        <v>81</v>
      </c>
      <c r="D237" s="42"/>
      <c r="E237" s="4"/>
      <c r="F237" s="43" t="str">
        <f>A237</f>
        <v>KW621</v>
      </c>
      <c r="G237" s="44"/>
      <c r="H237" s="44" t="str">
        <f>C237</f>
        <v>Green</v>
      </c>
      <c r="I237" s="42"/>
    </row>
    <row r="238" spans="1:12" s="1" customFormat="1" ht="30" customHeight="1" x14ac:dyDescent="0.25">
      <c r="A238" s="12" t="s">
        <v>4</v>
      </c>
      <c r="B238" s="37">
        <v>27087</v>
      </c>
      <c r="C238" s="37"/>
      <c r="D238" s="38"/>
      <c r="E238" s="4"/>
      <c r="F238" s="12" t="s">
        <v>4</v>
      </c>
      <c r="G238" s="37">
        <f>B238</f>
        <v>27087</v>
      </c>
      <c r="H238" s="37"/>
      <c r="I238" s="38"/>
    </row>
    <row r="239" spans="1:12" ht="63.75" customHeight="1" x14ac:dyDescent="0.25">
      <c r="A239" s="33" t="s">
        <v>34</v>
      </c>
      <c r="B239" s="33"/>
      <c r="C239" s="33"/>
      <c r="D239" s="33"/>
      <c r="E239" s="2"/>
      <c r="F239" s="33" t="str">
        <f>A239</f>
        <v>Oval DEO - Cap</v>
      </c>
      <c r="G239" s="33"/>
      <c r="H239" s="33"/>
      <c r="I239" s="33"/>
    </row>
    <row r="240" spans="1:12" s="1" customFormat="1" ht="30" customHeight="1" x14ac:dyDescent="0.25">
      <c r="A240" s="24" t="s">
        <v>0</v>
      </c>
      <c r="B240" s="23"/>
      <c r="C240" s="24" t="s">
        <v>1</v>
      </c>
      <c r="D240" s="23"/>
      <c r="E240" s="3"/>
      <c r="F240" s="24" t="s">
        <v>0</v>
      </c>
      <c r="G240" s="23"/>
      <c r="H240" s="24" t="s">
        <v>1</v>
      </c>
      <c r="I240" s="23"/>
    </row>
    <row r="241" spans="1:12" s="1" customFormat="1" ht="30" customHeight="1" x14ac:dyDescent="0.25">
      <c r="A241" s="24" t="s">
        <v>2</v>
      </c>
      <c r="B241" s="23"/>
      <c r="C241" s="24" t="s">
        <v>5</v>
      </c>
      <c r="D241" s="7" t="s">
        <v>87</v>
      </c>
      <c r="E241" s="4"/>
      <c r="F241" s="24" t="s">
        <v>2</v>
      </c>
      <c r="G241" s="23"/>
      <c r="H241" s="24" t="s">
        <v>5</v>
      </c>
      <c r="I241" s="7" t="str">
        <f>D241</f>
        <v>19B</v>
      </c>
    </row>
    <row r="242" spans="1:12" s="1" customFormat="1" ht="53.25" customHeight="1" x14ac:dyDescent="0.25">
      <c r="A242" s="8" t="s">
        <v>3</v>
      </c>
      <c r="B242" s="9">
        <v>35</v>
      </c>
      <c r="C242" s="24" t="s">
        <v>6</v>
      </c>
      <c r="D242" s="7" t="s">
        <v>88</v>
      </c>
      <c r="E242" s="4"/>
      <c r="F242" s="8" t="s">
        <v>3</v>
      </c>
      <c r="G242" s="9">
        <v>89</v>
      </c>
      <c r="H242" s="24" t="s">
        <v>6</v>
      </c>
      <c r="I242" s="7" t="str">
        <f>D242</f>
        <v>DEO-C07</v>
      </c>
      <c r="K242" s="6" t="s">
        <v>8</v>
      </c>
      <c r="L242" s="6" t="s">
        <v>7</v>
      </c>
    </row>
    <row r="243" spans="1:12" s="1" customFormat="1" ht="30" customHeight="1" x14ac:dyDescent="0.25">
      <c r="A243" s="34" t="s">
        <v>48</v>
      </c>
      <c r="B243" s="35"/>
      <c r="C243" s="35"/>
      <c r="D243" s="36"/>
      <c r="E243" s="5"/>
      <c r="F243" s="34" t="s">
        <v>48</v>
      </c>
      <c r="G243" s="35"/>
      <c r="H243" s="35"/>
      <c r="I243" s="36"/>
      <c r="K243" s="1">
        <v>700</v>
      </c>
      <c r="L243" s="1">
        <v>20</v>
      </c>
    </row>
    <row r="244" spans="1:12" s="1" customFormat="1" ht="30" customHeight="1" x14ac:dyDescent="0.25">
      <c r="A244" s="43" t="s">
        <v>85</v>
      </c>
      <c r="B244" s="44"/>
      <c r="C244" s="44" t="s">
        <v>81</v>
      </c>
      <c r="D244" s="42"/>
      <c r="E244" s="4"/>
      <c r="F244" s="43" t="str">
        <f>A244</f>
        <v>KW621</v>
      </c>
      <c r="G244" s="44"/>
      <c r="H244" s="44" t="str">
        <f>C244</f>
        <v>Green</v>
      </c>
      <c r="I244" s="42"/>
    </row>
    <row r="245" spans="1:12" s="1" customFormat="1" ht="30" customHeight="1" x14ac:dyDescent="0.25">
      <c r="A245" s="12" t="s">
        <v>4</v>
      </c>
      <c r="B245" s="37">
        <v>27087</v>
      </c>
      <c r="C245" s="37"/>
      <c r="D245" s="38"/>
      <c r="E245" s="4"/>
      <c r="F245" s="12" t="s">
        <v>4</v>
      </c>
      <c r="G245" s="37">
        <f>B245</f>
        <v>27087</v>
      </c>
      <c r="H245" s="37"/>
      <c r="I245" s="38"/>
    </row>
    <row r="246" spans="1:12" ht="63.75" customHeight="1" x14ac:dyDescent="0.25">
      <c r="A246" s="33" t="s">
        <v>34</v>
      </c>
      <c r="B246" s="33"/>
      <c r="C246" s="33"/>
      <c r="D246" s="33"/>
      <c r="E246" s="2"/>
      <c r="F246" s="33" t="str">
        <f>A246</f>
        <v>Oval DEO - Cap</v>
      </c>
      <c r="G246" s="33"/>
      <c r="H246" s="33"/>
      <c r="I246" s="33"/>
    </row>
    <row r="247" spans="1:12" s="1" customFormat="1" ht="30" customHeight="1" x14ac:dyDescent="0.25">
      <c r="A247" s="24" t="s">
        <v>0</v>
      </c>
      <c r="B247" s="23"/>
      <c r="C247" s="24" t="s">
        <v>1</v>
      </c>
      <c r="D247" s="23"/>
      <c r="E247" s="3"/>
      <c r="F247" s="24" t="s">
        <v>0</v>
      </c>
      <c r="G247" s="23"/>
      <c r="H247" s="24" t="s">
        <v>1</v>
      </c>
      <c r="I247" s="23"/>
    </row>
    <row r="248" spans="1:12" s="1" customFormat="1" ht="30" customHeight="1" x14ac:dyDescent="0.25">
      <c r="A248" s="24" t="s">
        <v>2</v>
      </c>
      <c r="B248" s="23"/>
      <c r="C248" s="24" t="s">
        <v>5</v>
      </c>
      <c r="D248" s="7" t="s">
        <v>87</v>
      </c>
      <c r="E248" s="4"/>
      <c r="F248" s="24" t="s">
        <v>2</v>
      </c>
      <c r="G248" s="23"/>
      <c r="H248" s="24" t="s">
        <v>5</v>
      </c>
      <c r="I248" s="7" t="str">
        <f>D248</f>
        <v>19B</v>
      </c>
    </row>
    <row r="249" spans="1:12" s="1" customFormat="1" ht="53.25" customHeight="1" x14ac:dyDescent="0.25">
      <c r="A249" s="8" t="s">
        <v>3</v>
      </c>
      <c r="B249" s="9">
        <v>36</v>
      </c>
      <c r="C249" s="24" t="s">
        <v>6</v>
      </c>
      <c r="D249" s="7" t="s">
        <v>88</v>
      </c>
      <c r="E249" s="4"/>
      <c r="F249" s="8" t="s">
        <v>3</v>
      </c>
      <c r="G249" s="9">
        <v>90</v>
      </c>
      <c r="H249" s="24" t="s">
        <v>6</v>
      </c>
      <c r="I249" s="7" t="str">
        <f>D249</f>
        <v>DEO-C07</v>
      </c>
      <c r="K249" s="6" t="s">
        <v>8</v>
      </c>
      <c r="L249" s="6" t="s">
        <v>7</v>
      </c>
    </row>
    <row r="250" spans="1:12" s="1" customFormat="1" ht="30" customHeight="1" x14ac:dyDescent="0.25">
      <c r="A250" s="34" t="s">
        <v>48</v>
      </c>
      <c r="B250" s="35"/>
      <c r="C250" s="35"/>
      <c r="D250" s="36"/>
      <c r="E250" s="5"/>
      <c r="F250" s="34" t="s">
        <v>48</v>
      </c>
      <c r="G250" s="35"/>
      <c r="H250" s="35"/>
      <c r="I250" s="36"/>
      <c r="K250" s="1">
        <v>700</v>
      </c>
      <c r="L250" s="1">
        <v>20</v>
      </c>
    </row>
    <row r="251" spans="1:12" s="1" customFormat="1" ht="30" customHeight="1" x14ac:dyDescent="0.25">
      <c r="A251" s="43" t="s">
        <v>85</v>
      </c>
      <c r="B251" s="44"/>
      <c r="C251" s="44" t="s">
        <v>81</v>
      </c>
      <c r="D251" s="42"/>
      <c r="E251" s="4"/>
      <c r="F251" s="43" t="str">
        <f>A251</f>
        <v>KW621</v>
      </c>
      <c r="G251" s="44"/>
      <c r="H251" s="44" t="str">
        <f>C251</f>
        <v>Green</v>
      </c>
      <c r="I251" s="42"/>
    </row>
    <row r="252" spans="1:12" s="1" customFormat="1" ht="30" customHeight="1" x14ac:dyDescent="0.25">
      <c r="A252" s="12" t="s">
        <v>4</v>
      </c>
      <c r="B252" s="37">
        <v>27087</v>
      </c>
      <c r="C252" s="37"/>
      <c r="D252" s="38"/>
      <c r="E252" s="4"/>
      <c r="F252" s="12" t="s">
        <v>4</v>
      </c>
      <c r="G252" s="37">
        <f>B252</f>
        <v>27087</v>
      </c>
      <c r="H252" s="37"/>
      <c r="I252" s="38"/>
    </row>
    <row r="253" spans="1:12" ht="63.75" customHeight="1" x14ac:dyDescent="0.25">
      <c r="A253" s="33" t="s">
        <v>34</v>
      </c>
      <c r="B253" s="33"/>
      <c r="C253" s="33"/>
      <c r="D253" s="33"/>
      <c r="E253" s="2"/>
      <c r="F253" s="33" t="str">
        <f>A253</f>
        <v>Oval DEO - Cap</v>
      </c>
      <c r="G253" s="33"/>
      <c r="H253" s="33"/>
      <c r="I253" s="33"/>
    </row>
    <row r="254" spans="1:12" s="1" customFormat="1" ht="30" customHeight="1" x14ac:dyDescent="0.25">
      <c r="A254" s="24" t="s">
        <v>0</v>
      </c>
      <c r="B254" s="23"/>
      <c r="C254" s="24" t="s">
        <v>1</v>
      </c>
      <c r="D254" s="23"/>
      <c r="E254" s="3"/>
      <c r="F254" s="24" t="s">
        <v>0</v>
      </c>
      <c r="G254" s="23"/>
      <c r="H254" s="24" t="s">
        <v>1</v>
      </c>
      <c r="I254" s="23"/>
    </row>
    <row r="255" spans="1:12" s="1" customFormat="1" ht="30" customHeight="1" x14ac:dyDescent="0.25">
      <c r="A255" s="24" t="s">
        <v>2</v>
      </c>
      <c r="B255" s="23"/>
      <c r="C255" s="24" t="s">
        <v>5</v>
      </c>
      <c r="D255" s="7" t="s">
        <v>87</v>
      </c>
      <c r="E255" s="4"/>
      <c r="F255" s="24" t="s">
        <v>2</v>
      </c>
      <c r="G255" s="23"/>
      <c r="H255" s="24" t="s">
        <v>5</v>
      </c>
      <c r="I255" s="7" t="str">
        <f>D255</f>
        <v>19B</v>
      </c>
    </row>
    <row r="256" spans="1:12" s="1" customFormat="1" ht="53.25" customHeight="1" x14ac:dyDescent="0.25">
      <c r="A256" s="8" t="s">
        <v>3</v>
      </c>
      <c r="B256" s="9">
        <v>37</v>
      </c>
      <c r="C256" s="24" t="s">
        <v>6</v>
      </c>
      <c r="D256" s="7" t="s">
        <v>88</v>
      </c>
      <c r="E256" s="4"/>
      <c r="F256" s="8" t="s">
        <v>3</v>
      </c>
      <c r="G256" s="9">
        <v>91</v>
      </c>
      <c r="H256" s="24" t="s">
        <v>6</v>
      </c>
      <c r="I256" s="7" t="str">
        <f>D256</f>
        <v>DEO-C07</v>
      </c>
      <c r="K256" s="6" t="s">
        <v>8</v>
      </c>
      <c r="L256" s="6" t="s">
        <v>7</v>
      </c>
    </row>
    <row r="257" spans="1:12" s="1" customFormat="1" ht="30" customHeight="1" x14ac:dyDescent="0.25">
      <c r="A257" s="34" t="s">
        <v>48</v>
      </c>
      <c r="B257" s="35"/>
      <c r="C257" s="35"/>
      <c r="D257" s="36"/>
      <c r="E257" s="5"/>
      <c r="F257" s="34" t="s">
        <v>48</v>
      </c>
      <c r="G257" s="35"/>
      <c r="H257" s="35"/>
      <c r="I257" s="36"/>
      <c r="K257" s="1">
        <v>700</v>
      </c>
      <c r="L257" s="1">
        <v>20</v>
      </c>
    </row>
    <row r="258" spans="1:12" s="1" customFormat="1" ht="30" customHeight="1" x14ac:dyDescent="0.25">
      <c r="A258" s="43" t="s">
        <v>85</v>
      </c>
      <c r="B258" s="44"/>
      <c r="C258" s="44" t="s">
        <v>81</v>
      </c>
      <c r="D258" s="42"/>
      <c r="E258" s="4"/>
      <c r="F258" s="43" t="str">
        <f>A258</f>
        <v>KW621</v>
      </c>
      <c r="G258" s="44"/>
      <c r="H258" s="44" t="str">
        <f>C258</f>
        <v>Green</v>
      </c>
      <c r="I258" s="42"/>
    </row>
    <row r="259" spans="1:12" s="1" customFormat="1" ht="30" customHeight="1" x14ac:dyDescent="0.25">
      <c r="A259" s="12" t="s">
        <v>4</v>
      </c>
      <c r="B259" s="37">
        <v>27087</v>
      </c>
      <c r="C259" s="37"/>
      <c r="D259" s="38"/>
      <c r="E259" s="4"/>
      <c r="F259" s="12" t="s">
        <v>4</v>
      </c>
      <c r="G259" s="37">
        <f>B259</f>
        <v>27087</v>
      </c>
      <c r="H259" s="37"/>
      <c r="I259" s="38"/>
    </row>
    <row r="260" spans="1:12" ht="63.75" customHeight="1" x14ac:dyDescent="0.25">
      <c r="A260" s="33" t="s">
        <v>34</v>
      </c>
      <c r="B260" s="33"/>
      <c r="C260" s="33"/>
      <c r="D260" s="33"/>
      <c r="E260" s="2"/>
      <c r="F260" s="33" t="str">
        <f>A260</f>
        <v>Oval DEO - Cap</v>
      </c>
      <c r="G260" s="33"/>
      <c r="H260" s="33"/>
      <c r="I260" s="33"/>
    </row>
    <row r="261" spans="1:12" s="1" customFormat="1" ht="30" customHeight="1" x14ac:dyDescent="0.25">
      <c r="A261" s="24" t="s">
        <v>0</v>
      </c>
      <c r="B261" s="23"/>
      <c r="C261" s="24" t="s">
        <v>1</v>
      </c>
      <c r="D261" s="23"/>
      <c r="E261" s="3"/>
      <c r="F261" s="24" t="s">
        <v>0</v>
      </c>
      <c r="G261" s="23"/>
      <c r="H261" s="24" t="s">
        <v>1</v>
      </c>
      <c r="I261" s="23"/>
    </row>
    <row r="262" spans="1:12" s="1" customFormat="1" ht="30" customHeight="1" x14ac:dyDescent="0.25">
      <c r="A262" s="24" t="s">
        <v>2</v>
      </c>
      <c r="B262" s="23"/>
      <c r="C262" s="24" t="s">
        <v>5</v>
      </c>
      <c r="D262" s="7" t="s">
        <v>87</v>
      </c>
      <c r="E262" s="4"/>
      <c r="F262" s="24" t="s">
        <v>2</v>
      </c>
      <c r="G262" s="23"/>
      <c r="H262" s="24" t="s">
        <v>5</v>
      </c>
      <c r="I262" s="7" t="str">
        <f>D262</f>
        <v>19B</v>
      </c>
    </row>
    <row r="263" spans="1:12" s="1" customFormat="1" ht="53.25" customHeight="1" x14ac:dyDescent="0.25">
      <c r="A263" s="8" t="s">
        <v>3</v>
      </c>
      <c r="B263" s="9">
        <v>38</v>
      </c>
      <c r="C263" s="24" t="s">
        <v>6</v>
      </c>
      <c r="D263" s="7" t="s">
        <v>88</v>
      </c>
      <c r="E263" s="4"/>
      <c r="F263" s="8" t="s">
        <v>3</v>
      </c>
      <c r="G263" s="9">
        <v>92</v>
      </c>
      <c r="H263" s="24" t="s">
        <v>6</v>
      </c>
      <c r="I263" s="7" t="str">
        <f>D263</f>
        <v>DEO-C07</v>
      </c>
      <c r="K263" s="6" t="s">
        <v>8</v>
      </c>
      <c r="L263" s="6" t="s">
        <v>7</v>
      </c>
    </row>
    <row r="264" spans="1:12" s="1" customFormat="1" ht="30" customHeight="1" x14ac:dyDescent="0.25">
      <c r="A264" s="34" t="s">
        <v>48</v>
      </c>
      <c r="B264" s="35"/>
      <c r="C264" s="35"/>
      <c r="D264" s="36"/>
      <c r="E264" s="5"/>
      <c r="F264" s="34" t="s">
        <v>48</v>
      </c>
      <c r="G264" s="35"/>
      <c r="H264" s="35"/>
      <c r="I264" s="36"/>
      <c r="K264" s="1">
        <v>700</v>
      </c>
      <c r="L264" s="1">
        <v>20</v>
      </c>
    </row>
    <row r="265" spans="1:12" s="1" customFormat="1" ht="30" customHeight="1" x14ac:dyDescent="0.25">
      <c r="A265" s="43" t="s">
        <v>85</v>
      </c>
      <c r="B265" s="44"/>
      <c r="C265" s="44" t="s">
        <v>81</v>
      </c>
      <c r="D265" s="42"/>
      <c r="E265" s="4"/>
      <c r="F265" s="43" t="str">
        <f>A265</f>
        <v>KW621</v>
      </c>
      <c r="G265" s="44"/>
      <c r="H265" s="44" t="str">
        <f>C265</f>
        <v>Green</v>
      </c>
      <c r="I265" s="42"/>
    </row>
    <row r="266" spans="1:12" s="1" customFormat="1" ht="30" customHeight="1" x14ac:dyDescent="0.25">
      <c r="A266" s="12" t="s">
        <v>4</v>
      </c>
      <c r="B266" s="37">
        <v>27087</v>
      </c>
      <c r="C266" s="37"/>
      <c r="D266" s="38"/>
      <c r="E266" s="4"/>
      <c r="F266" s="12" t="s">
        <v>4</v>
      </c>
      <c r="G266" s="37">
        <f>B266</f>
        <v>27087</v>
      </c>
      <c r="H266" s="37"/>
      <c r="I266" s="38"/>
    </row>
    <row r="267" spans="1:12" ht="63.75" customHeight="1" x14ac:dyDescent="0.25">
      <c r="A267" s="33" t="s">
        <v>34</v>
      </c>
      <c r="B267" s="33"/>
      <c r="C267" s="33"/>
      <c r="D267" s="33"/>
      <c r="E267" s="2"/>
      <c r="F267" s="33" t="str">
        <f>A267</f>
        <v>Oval DEO - Cap</v>
      </c>
      <c r="G267" s="33"/>
      <c r="H267" s="33"/>
      <c r="I267" s="33"/>
    </row>
    <row r="268" spans="1:12" s="1" customFormat="1" ht="30" customHeight="1" x14ac:dyDescent="0.25">
      <c r="A268" s="24" t="s">
        <v>0</v>
      </c>
      <c r="B268" s="23"/>
      <c r="C268" s="24" t="s">
        <v>1</v>
      </c>
      <c r="D268" s="23"/>
      <c r="E268" s="3"/>
      <c r="F268" s="24" t="s">
        <v>0</v>
      </c>
      <c r="G268" s="23"/>
      <c r="H268" s="24" t="s">
        <v>1</v>
      </c>
      <c r="I268" s="23"/>
    </row>
    <row r="269" spans="1:12" s="1" customFormat="1" ht="30" customHeight="1" x14ac:dyDescent="0.25">
      <c r="A269" s="24" t="s">
        <v>2</v>
      </c>
      <c r="B269" s="23"/>
      <c r="C269" s="24" t="s">
        <v>5</v>
      </c>
      <c r="D269" s="7" t="s">
        <v>87</v>
      </c>
      <c r="E269" s="4"/>
      <c r="F269" s="24" t="s">
        <v>2</v>
      </c>
      <c r="G269" s="23"/>
      <c r="H269" s="24" t="s">
        <v>5</v>
      </c>
      <c r="I269" s="7" t="str">
        <f>D269</f>
        <v>19B</v>
      </c>
    </row>
    <row r="270" spans="1:12" s="1" customFormat="1" ht="53.25" customHeight="1" x14ac:dyDescent="0.25">
      <c r="A270" s="8" t="s">
        <v>3</v>
      </c>
      <c r="B270" s="9">
        <v>39</v>
      </c>
      <c r="C270" s="24" t="s">
        <v>6</v>
      </c>
      <c r="D270" s="7" t="s">
        <v>88</v>
      </c>
      <c r="E270" s="4"/>
      <c r="F270" s="8" t="s">
        <v>3</v>
      </c>
      <c r="G270" s="9">
        <v>93</v>
      </c>
      <c r="H270" s="24" t="s">
        <v>6</v>
      </c>
      <c r="I270" s="7" t="str">
        <f>D270</f>
        <v>DEO-C07</v>
      </c>
      <c r="K270" s="6" t="s">
        <v>8</v>
      </c>
      <c r="L270" s="6" t="s">
        <v>7</v>
      </c>
    </row>
    <row r="271" spans="1:12" s="1" customFormat="1" ht="30" customHeight="1" x14ac:dyDescent="0.25">
      <c r="A271" s="34" t="s">
        <v>48</v>
      </c>
      <c r="B271" s="35"/>
      <c r="C271" s="35"/>
      <c r="D271" s="36"/>
      <c r="E271" s="5"/>
      <c r="F271" s="34" t="s">
        <v>48</v>
      </c>
      <c r="G271" s="35"/>
      <c r="H271" s="35"/>
      <c r="I271" s="36"/>
      <c r="K271" s="1">
        <v>700</v>
      </c>
      <c r="L271" s="1">
        <v>20</v>
      </c>
    </row>
    <row r="272" spans="1:12" s="1" customFormat="1" ht="30" customHeight="1" x14ac:dyDescent="0.25">
      <c r="A272" s="43" t="s">
        <v>85</v>
      </c>
      <c r="B272" s="44"/>
      <c r="C272" s="44" t="s">
        <v>81</v>
      </c>
      <c r="D272" s="42"/>
      <c r="E272" s="4"/>
      <c r="F272" s="43" t="str">
        <f>A272</f>
        <v>KW621</v>
      </c>
      <c r="G272" s="44"/>
      <c r="H272" s="44" t="str">
        <f>C272</f>
        <v>Green</v>
      </c>
      <c r="I272" s="42"/>
    </row>
    <row r="273" spans="1:12" s="1" customFormat="1" ht="30" customHeight="1" x14ac:dyDescent="0.25">
      <c r="A273" s="12" t="s">
        <v>4</v>
      </c>
      <c r="B273" s="37">
        <v>27087</v>
      </c>
      <c r="C273" s="37"/>
      <c r="D273" s="38"/>
      <c r="E273" s="4"/>
      <c r="F273" s="12" t="s">
        <v>4</v>
      </c>
      <c r="G273" s="37">
        <f>B273</f>
        <v>27087</v>
      </c>
      <c r="H273" s="37"/>
      <c r="I273" s="38"/>
    </row>
    <row r="274" spans="1:12" ht="63.75" customHeight="1" x14ac:dyDescent="0.25">
      <c r="A274" s="33" t="s">
        <v>34</v>
      </c>
      <c r="B274" s="33"/>
      <c r="C274" s="33"/>
      <c r="D274" s="33"/>
      <c r="E274" s="2"/>
      <c r="F274" s="33" t="str">
        <f>A274</f>
        <v>Oval DEO - Cap</v>
      </c>
      <c r="G274" s="33"/>
      <c r="H274" s="33"/>
      <c r="I274" s="33"/>
    </row>
    <row r="275" spans="1:12" s="1" customFormat="1" ht="30" customHeight="1" x14ac:dyDescent="0.25">
      <c r="A275" s="24" t="s">
        <v>0</v>
      </c>
      <c r="B275" s="23"/>
      <c r="C275" s="24" t="s">
        <v>1</v>
      </c>
      <c r="D275" s="23"/>
      <c r="E275" s="3"/>
      <c r="F275" s="24" t="s">
        <v>0</v>
      </c>
      <c r="G275" s="23"/>
      <c r="H275" s="24" t="s">
        <v>1</v>
      </c>
      <c r="I275" s="23"/>
    </row>
    <row r="276" spans="1:12" s="1" customFormat="1" ht="30" customHeight="1" x14ac:dyDescent="0.25">
      <c r="A276" s="24" t="s">
        <v>2</v>
      </c>
      <c r="B276" s="23"/>
      <c r="C276" s="24" t="s">
        <v>5</v>
      </c>
      <c r="D276" s="7" t="s">
        <v>87</v>
      </c>
      <c r="E276" s="4"/>
      <c r="F276" s="24" t="s">
        <v>2</v>
      </c>
      <c r="G276" s="23"/>
      <c r="H276" s="24" t="s">
        <v>5</v>
      </c>
      <c r="I276" s="7" t="str">
        <f>D276</f>
        <v>19B</v>
      </c>
    </row>
    <row r="277" spans="1:12" s="1" customFormat="1" ht="53.25" customHeight="1" x14ac:dyDescent="0.25">
      <c r="A277" s="8" t="s">
        <v>3</v>
      </c>
      <c r="B277" s="9">
        <v>40</v>
      </c>
      <c r="C277" s="24" t="s">
        <v>6</v>
      </c>
      <c r="D277" s="7" t="s">
        <v>88</v>
      </c>
      <c r="E277" s="4"/>
      <c r="F277" s="8" t="s">
        <v>3</v>
      </c>
      <c r="G277" s="9">
        <v>94</v>
      </c>
      <c r="H277" s="24" t="s">
        <v>6</v>
      </c>
      <c r="I277" s="7" t="str">
        <f>D277</f>
        <v>DEO-C07</v>
      </c>
      <c r="K277" s="6" t="s">
        <v>8</v>
      </c>
      <c r="L277" s="6" t="s">
        <v>7</v>
      </c>
    </row>
    <row r="278" spans="1:12" s="1" customFormat="1" ht="30" customHeight="1" x14ac:dyDescent="0.25">
      <c r="A278" s="34" t="s">
        <v>48</v>
      </c>
      <c r="B278" s="35"/>
      <c r="C278" s="35"/>
      <c r="D278" s="36"/>
      <c r="E278" s="5"/>
      <c r="F278" s="34" t="s">
        <v>48</v>
      </c>
      <c r="G278" s="35"/>
      <c r="H278" s="35"/>
      <c r="I278" s="36"/>
      <c r="K278" s="1">
        <v>700</v>
      </c>
      <c r="L278" s="1">
        <v>20</v>
      </c>
    </row>
    <row r="279" spans="1:12" s="1" customFormat="1" ht="30" customHeight="1" x14ac:dyDescent="0.25">
      <c r="A279" s="43" t="s">
        <v>85</v>
      </c>
      <c r="B279" s="44"/>
      <c r="C279" s="44" t="s">
        <v>81</v>
      </c>
      <c r="D279" s="42"/>
      <c r="E279" s="4"/>
      <c r="F279" s="43" t="str">
        <f>A279</f>
        <v>KW621</v>
      </c>
      <c r="G279" s="44"/>
      <c r="H279" s="44" t="str">
        <f>C279</f>
        <v>Green</v>
      </c>
      <c r="I279" s="42"/>
    </row>
    <row r="280" spans="1:12" s="1" customFormat="1" ht="30" customHeight="1" x14ac:dyDescent="0.25">
      <c r="A280" s="12" t="s">
        <v>4</v>
      </c>
      <c r="B280" s="37">
        <v>27087</v>
      </c>
      <c r="C280" s="37"/>
      <c r="D280" s="38"/>
      <c r="E280" s="4"/>
      <c r="F280" s="12" t="s">
        <v>4</v>
      </c>
      <c r="G280" s="37">
        <f>B280</f>
        <v>27087</v>
      </c>
      <c r="H280" s="37"/>
      <c r="I280" s="38"/>
    </row>
    <row r="281" spans="1:12" ht="63.75" customHeight="1" x14ac:dyDescent="0.25">
      <c r="A281" s="33" t="s">
        <v>34</v>
      </c>
      <c r="B281" s="33"/>
      <c r="C281" s="33"/>
      <c r="D281" s="33"/>
      <c r="E281" s="2"/>
      <c r="F281" s="33" t="str">
        <f>A281</f>
        <v>Oval DEO - Cap</v>
      </c>
      <c r="G281" s="33"/>
      <c r="H281" s="33"/>
      <c r="I281" s="33"/>
    </row>
    <row r="282" spans="1:12" s="1" customFormat="1" ht="30" customHeight="1" x14ac:dyDescent="0.25">
      <c r="A282" s="24" t="s">
        <v>0</v>
      </c>
      <c r="B282" s="23"/>
      <c r="C282" s="24" t="s">
        <v>1</v>
      </c>
      <c r="D282" s="23"/>
      <c r="E282" s="3"/>
      <c r="F282" s="24" t="s">
        <v>0</v>
      </c>
      <c r="G282" s="23"/>
      <c r="H282" s="24" t="s">
        <v>1</v>
      </c>
      <c r="I282" s="23"/>
    </row>
    <row r="283" spans="1:12" s="1" customFormat="1" ht="30" customHeight="1" x14ac:dyDescent="0.25">
      <c r="A283" s="24" t="s">
        <v>2</v>
      </c>
      <c r="B283" s="23"/>
      <c r="C283" s="24" t="s">
        <v>5</v>
      </c>
      <c r="D283" s="7" t="s">
        <v>87</v>
      </c>
      <c r="E283" s="4"/>
      <c r="F283" s="24" t="s">
        <v>2</v>
      </c>
      <c r="G283" s="23"/>
      <c r="H283" s="24" t="s">
        <v>5</v>
      </c>
      <c r="I283" s="7" t="str">
        <f>D283</f>
        <v>19B</v>
      </c>
    </row>
    <row r="284" spans="1:12" s="1" customFormat="1" ht="53.25" customHeight="1" x14ac:dyDescent="0.25">
      <c r="A284" s="8" t="s">
        <v>3</v>
      </c>
      <c r="B284" s="9">
        <v>41</v>
      </c>
      <c r="C284" s="24" t="s">
        <v>6</v>
      </c>
      <c r="D284" s="7" t="s">
        <v>88</v>
      </c>
      <c r="E284" s="4"/>
      <c r="F284" s="8" t="s">
        <v>3</v>
      </c>
      <c r="G284" s="9">
        <v>95</v>
      </c>
      <c r="H284" s="24" t="s">
        <v>6</v>
      </c>
      <c r="I284" s="7" t="str">
        <f>D284</f>
        <v>DEO-C07</v>
      </c>
      <c r="K284" s="6" t="s">
        <v>8</v>
      </c>
      <c r="L284" s="6" t="s">
        <v>7</v>
      </c>
    </row>
    <row r="285" spans="1:12" s="1" customFormat="1" ht="30" customHeight="1" x14ac:dyDescent="0.25">
      <c r="A285" s="34" t="s">
        <v>48</v>
      </c>
      <c r="B285" s="35"/>
      <c r="C285" s="35"/>
      <c r="D285" s="36"/>
      <c r="E285" s="5"/>
      <c r="F285" s="34" t="s">
        <v>48</v>
      </c>
      <c r="G285" s="35"/>
      <c r="H285" s="35"/>
      <c r="I285" s="36"/>
      <c r="K285" s="1">
        <v>700</v>
      </c>
      <c r="L285" s="1">
        <v>20</v>
      </c>
    </row>
    <row r="286" spans="1:12" s="1" customFormat="1" ht="30" customHeight="1" x14ac:dyDescent="0.25">
      <c r="A286" s="43" t="s">
        <v>85</v>
      </c>
      <c r="B286" s="44"/>
      <c r="C286" s="44" t="s">
        <v>81</v>
      </c>
      <c r="D286" s="42"/>
      <c r="E286" s="4"/>
      <c r="F286" s="43" t="str">
        <f>A286</f>
        <v>KW621</v>
      </c>
      <c r="G286" s="44"/>
      <c r="H286" s="44" t="str">
        <f>C286</f>
        <v>Green</v>
      </c>
      <c r="I286" s="42"/>
    </row>
    <row r="287" spans="1:12" s="1" customFormat="1" ht="30" customHeight="1" x14ac:dyDescent="0.25">
      <c r="A287" s="12" t="s">
        <v>4</v>
      </c>
      <c r="B287" s="37">
        <v>27087</v>
      </c>
      <c r="C287" s="37"/>
      <c r="D287" s="38"/>
      <c r="E287" s="4"/>
      <c r="F287" s="12" t="s">
        <v>4</v>
      </c>
      <c r="G287" s="37">
        <f>B287</f>
        <v>27087</v>
      </c>
      <c r="H287" s="37"/>
      <c r="I287" s="38"/>
    </row>
    <row r="288" spans="1:12" ht="63.75" customHeight="1" x14ac:dyDescent="0.25">
      <c r="A288" s="33" t="s">
        <v>34</v>
      </c>
      <c r="B288" s="33"/>
      <c r="C288" s="33"/>
      <c r="D288" s="33"/>
      <c r="E288" s="2"/>
      <c r="F288" s="33" t="str">
        <f>A288</f>
        <v>Oval DEO - Cap</v>
      </c>
      <c r="G288" s="33"/>
      <c r="H288" s="33"/>
      <c r="I288" s="33"/>
    </row>
    <row r="289" spans="1:12" s="1" customFormat="1" ht="30" customHeight="1" x14ac:dyDescent="0.25">
      <c r="A289" s="24" t="s">
        <v>0</v>
      </c>
      <c r="B289" s="23"/>
      <c r="C289" s="24" t="s">
        <v>1</v>
      </c>
      <c r="D289" s="23"/>
      <c r="E289" s="3"/>
      <c r="F289" s="24" t="s">
        <v>0</v>
      </c>
      <c r="G289" s="23"/>
      <c r="H289" s="24" t="s">
        <v>1</v>
      </c>
      <c r="I289" s="23"/>
    </row>
    <row r="290" spans="1:12" s="1" customFormat="1" ht="30" customHeight="1" x14ac:dyDescent="0.25">
      <c r="A290" s="24" t="s">
        <v>2</v>
      </c>
      <c r="B290" s="23"/>
      <c r="C290" s="24" t="s">
        <v>5</v>
      </c>
      <c r="D290" s="7" t="s">
        <v>87</v>
      </c>
      <c r="E290" s="4"/>
      <c r="F290" s="24" t="s">
        <v>2</v>
      </c>
      <c r="G290" s="23"/>
      <c r="H290" s="24" t="s">
        <v>5</v>
      </c>
      <c r="I290" s="7" t="str">
        <f>D290</f>
        <v>19B</v>
      </c>
    </row>
    <row r="291" spans="1:12" s="1" customFormat="1" ht="53.25" customHeight="1" x14ac:dyDescent="0.25">
      <c r="A291" s="8" t="s">
        <v>3</v>
      </c>
      <c r="B291" s="9">
        <v>42</v>
      </c>
      <c r="C291" s="24" t="s">
        <v>6</v>
      </c>
      <c r="D291" s="7" t="s">
        <v>88</v>
      </c>
      <c r="E291" s="4"/>
      <c r="F291" s="8" t="s">
        <v>3</v>
      </c>
      <c r="G291" s="9">
        <v>96</v>
      </c>
      <c r="H291" s="24" t="s">
        <v>6</v>
      </c>
      <c r="I291" s="7" t="str">
        <f>D291</f>
        <v>DEO-C07</v>
      </c>
      <c r="K291" s="6" t="s">
        <v>8</v>
      </c>
      <c r="L291" s="6" t="s">
        <v>7</v>
      </c>
    </row>
    <row r="292" spans="1:12" s="1" customFormat="1" ht="30" customHeight="1" x14ac:dyDescent="0.25">
      <c r="A292" s="34" t="s">
        <v>48</v>
      </c>
      <c r="B292" s="35"/>
      <c r="C292" s="35"/>
      <c r="D292" s="36"/>
      <c r="E292" s="5"/>
      <c r="F292" s="34" t="s">
        <v>48</v>
      </c>
      <c r="G292" s="35"/>
      <c r="H292" s="35"/>
      <c r="I292" s="36"/>
      <c r="K292" s="1">
        <v>700</v>
      </c>
      <c r="L292" s="1">
        <v>20</v>
      </c>
    </row>
    <row r="293" spans="1:12" s="1" customFormat="1" ht="30" customHeight="1" x14ac:dyDescent="0.25">
      <c r="A293" s="43" t="s">
        <v>85</v>
      </c>
      <c r="B293" s="44"/>
      <c r="C293" s="44" t="s">
        <v>81</v>
      </c>
      <c r="D293" s="42"/>
      <c r="E293" s="4"/>
      <c r="F293" s="43" t="str">
        <f>A293</f>
        <v>KW621</v>
      </c>
      <c r="G293" s="44"/>
      <c r="H293" s="44" t="str">
        <f>C293</f>
        <v>Green</v>
      </c>
      <c r="I293" s="42"/>
    </row>
    <row r="294" spans="1:12" s="1" customFormat="1" ht="30" customHeight="1" x14ac:dyDescent="0.25">
      <c r="A294" s="12" t="s">
        <v>4</v>
      </c>
      <c r="B294" s="37">
        <v>27087</v>
      </c>
      <c r="C294" s="37"/>
      <c r="D294" s="38"/>
      <c r="E294" s="4"/>
      <c r="F294" s="12" t="s">
        <v>4</v>
      </c>
      <c r="G294" s="37">
        <f>B294</f>
        <v>27087</v>
      </c>
      <c r="H294" s="37"/>
      <c r="I294" s="38"/>
    </row>
    <row r="295" spans="1:12" ht="63.75" customHeight="1" x14ac:dyDescent="0.25">
      <c r="A295" s="33" t="s">
        <v>34</v>
      </c>
      <c r="B295" s="33"/>
      <c r="C295" s="33"/>
      <c r="D295" s="33"/>
      <c r="E295" s="2"/>
      <c r="F295" s="33" t="str">
        <f>A295</f>
        <v>Oval DEO - Cap</v>
      </c>
      <c r="G295" s="33"/>
      <c r="H295" s="33"/>
      <c r="I295" s="33"/>
    </row>
    <row r="296" spans="1:12" s="1" customFormat="1" ht="30" customHeight="1" x14ac:dyDescent="0.25">
      <c r="A296" s="24" t="s">
        <v>0</v>
      </c>
      <c r="B296" s="23"/>
      <c r="C296" s="24" t="s">
        <v>1</v>
      </c>
      <c r="D296" s="23"/>
      <c r="E296" s="3"/>
      <c r="F296" s="24" t="s">
        <v>0</v>
      </c>
      <c r="G296" s="23"/>
      <c r="H296" s="24" t="s">
        <v>1</v>
      </c>
      <c r="I296" s="23"/>
    </row>
    <row r="297" spans="1:12" s="1" customFormat="1" ht="30" customHeight="1" x14ac:dyDescent="0.25">
      <c r="A297" s="24" t="s">
        <v>2</v>
      </c>
      <c r="B297" s="23"/>
      <c r="C297" s="24" t="s">
        <v>5</v>
      </c>
      <c r="D297" s="7" t="s">
        <v>87</v>
      </c>
      <c r="E297" s="4"/>
      <c r="F297" s="24" t="s">
        <v>2</v>
      </c>
      <c r="G297" s="23"/>
      <c r="H297" s="24" t="s">
        <v>5</v>
      </c>
      <c r="I297" s="7" t="str">
        <f>D297</f>
        <v>19B</v>
      </c>
    </row>
    <row r="298" spans="1:12" s="1" customFormat="1" ht="53.25" customHeight="1" x14ac:dyDescent="0.25">
      <c r="A298" s="8" t="s">
        <v>3</v>
      </c>
      <c r="B298" s="9">
        <v>43</v>
      </c>
      <c r="C298" s="24" t="s">
        <v>6</v>
      </c>
      <c r="D298" s="7" t="s">
        <v>88</v>
      </c>
      <c r="E298" s="4"/>
      <c r="F298" s="8" t="s">
        <v>3</v>
      </c>
      <c r="G298" s="9">
        <v>97</v>
      </c>
      <c r="H298" s="24" t="s">
        <v>6</v>
      </c>
      <c r="I298" s="7" t="str">
        <f>D298</f>
        <v>DEO-C07</v>
      </c>
      <c r="K298" s="6" t="s">
        <v>8</v>
      </c>
      <c r="L298" s="6" t="s">
        <v>7</v>
      </c>
    </row>
    <row r="299" spans="1:12" s="1" customFormat="1" ht="30" customHeight="1" x14ac:dyDescent="0.25">
      <c r="A299" s="34" t="s">
        <v>48</v>
      </c>
      <c r="B299" s="35"/>
      <c r="C299" s="35"/>
      <c r="D299" s="36"/>
      <c r="E299" s="5"/>
      <c r="F299" s="34" t="s">
        <v>48</v>
      </c>
      <c r="G299" s="35"/>
      <c r="H299" s="35"/>
      <c r="I299" s="36"/>
      <c r="K299" s="1">
        <v>700</v>
      </c>
      <c r="L299" s="1">
        <v>20</v>
      </c>
    </row>
    <row r="300" spans="1:12" s="1" customFormat="1" ht="30" customHeight="1" x14ac:dyDescent="0.25">
      <c r="A300" s="43" t="s">
        <v>85</v>
      </c>
      <c r="B300" s="44"/>
      <c r="C300" s="44" t="s">
        <v>81</v>
      </c>
      <c r="D300" s="42"/>
      <c r="E300" s="4"/>
      <c r="F300" s="43" t="str">
        <f>A300</f>
        <v>KW621</v>
      </c>
      <c r="G300" s="44"/>
      <c r="H300" s="44" t="str">
        <f>C300</f>
        <v>Green</v>
      </c>
      <c r="I300" s="42"/>
    </row>
    <row r="301" spans="1:12" s="1" customFormat="1" ht="30" customHeight="1" x14ac:dyDescent="0.25">
      <c r="A301" s="12" t="s">
        <v>4</v>
      </c>
      <c r="B301" s="37">
        <v>27087</v>
      </c>
      <c r="C301" s="37"/>
      <c r="D301" s="38"/>
      <c r="E301" s="4"/>
      <c r="F301" s="12" t="s">
        <v>4</v>
      </c>
      <c r="G301" s="37">
        <f>B301</f>
        <v>27087</v>
      </c>
      <c r="H301" s="37"/>
      <c r="I301" s="38"/>
    </row>
    <row r="302" spans="1:12" ht="63.75" customHeight="1" x14ac:dyDescent="0.25">
      <c r="A302" s="33" t="s">
        <v>34</v>
      </c>
      <c r="B302" s="33"/>
      <c r="C302" s="33"/>
      <c r="D302" s="33"/>
      <c r="E302" s="2"/>
      <c r="F302" s="33" t="str">
        <f>A302</f>
        <v>Oval DEO - Cap</v>
      </c>
      <c r="G302" s="33"/>
      <c r="H302" s="33"/>
      <c r="I302" s="33"/>
    </row>
    <row r="303" spans="1:12" s="1" customFormat="1" ht="30" customHeight="1" x14ac:dyDescent="0.25">
      <c r="A303" s="24" t="s">
        <v>0</v>
      </c>
      <c r="B303" s="23"/>
      <c r="C303" s="24" t="s">
        <v>1</v>
      </c>
      <c r="D303" s="23"/>
      <c r="E303" s="3"/>
      <c r="F303" s="24" t="s">
        <v>0</v>
      </c>
      <c r="G303" s="23"/>
      <c r="H303" s="24" t="s">
        <v>1</v>
      </c>
      <c r="I303" s="23"/>
    </row>
    <row r="304" spans="1:12" s="1" customFormat="1" ht="30" customHeight="1" x14ac:dyDescent="0.25">
      <c r="A304" s="24" t="s">
        <v>2</v>
      </c>
      <c r="B304" s="23"/>
      <c r="C304" s="24" t="s">
        <v>5</v>
      </c>
      <c r="D304" s="7" t="s">
        <v>87</v>
      </c>
      <c r="E304" s="4"/>
      <c r="F304" s="24" t="s">
        <v>2</v>
      </c>
      <c r="G304" s="23"/>
      <c r="H304" s="24" t="s">
        <v>5</v>
      </c>
      <c r="I304" s="7" t="str">
        <f>D304</f>
        <v>19B</v>
      </c>
    </row>
    <row r="305" spans="1:12" s="1" customFormat="1" ht="53.25" customHeight="1" x14ac:dyDescent="0.25">
      <c r="A305" s="8" t="s">
        <v>3</v>
      </c>
      <c r="B305" s="9">
        <v>44</v>
      </c>
      <c r="C305" s="24" t="s">
        <v>6</v>
      </c>
      <c r="D305" s="7" t="s">
        <v>88</v>
      </c>
      <c r="E305" s="4"/>
      <c r="F305" s="8" t="s">
        <v>3</v>
      </c>
      <c r="G305" s="9">
        <v>98</v>
      </c>
      <c r="H305" s="24" t="s">
        <v>6</v>
      </c>
      <c r="I305" s="7" t="str">
        <f>D305</f>
        <v>DEO-C07</v>
      </c>
      <c r="K305" s="6" t="s">
        <v>8</v>
      </c>
      <c r="L305" s="6" t="s">
        <v>7</v>
      </c>
    </row>
    <row r="306" spans="1:12" s="1" customFormat="1" ht="30" customHeight="1" x14ac:dyDescent="0.25">
      <c r="A306" s="34" t="s">
        <v>48</v>
      </c>
      <c r="B306" s="35"/>
      <c r="C306" s="35"/>
      <c r="D306" s="36"/>
      <c r="E306" s="5"/>
      <c r="F306" s="34" t="s">
        <v>48</v>
      </c>
      <c r="G306" s="35"/>
      <c r="H306" s="35"/>
      <c r="I306" s="36"/>
      <c r="K306" s="1">
        <v>700</v>
      </c>
      <c r="L306" s="1">
        <v>20</v>
      </c>
    </row>
    <row r="307" spans="1:12" s="1" customFormat="1" ht="30" customHeight="1" x14ac:dyDescent="0.25">
      <c r="A307" s="43" t="s">
        <v>85</v>
      </c>
      <c r="B307" s="44"/>
      <c r="C307" s="44" t="s">
        <v>81</v>
      </c>
      <c r="D307" s="42"/>
      <c r="E307" s="4"/>
      <c r="F307" s="43" t="str">
        <f>A307</f>
        <v>KW621</v>
      </c>
      <c r="G307" s="44"/>
      <c r="H307" s="44" t="str">
        <f>C307</f>
        <v>Green</v>
      </c>
      <c r="I307" s="42"/>
    </row>
    <row r="308" spans="1:12" s="1" customFormat="1" ht="30" customHeight="1" x14ac:dyDescent="0.25">
      <c r="A308" s="12" t="s">
        <v>4</v>
      </c>
      <c r="B308" s="37">
        <v>27087</v>
      </c>
      <c r="C308" s="37"/>
      <c r="D308" s="38"/>
      <c r="E308" s="4"/>
      <c r="F308" s="12" t="s">
        <v>4</v>
      </c>
      <c r="G308" s="37">
        <f>B308</f>
        <v>27087</v>
      </c>
      <c r="H308" s="37"/>
      <c r="I308" s="38"/>
    </row>
    <row r="309" spans="1:12" ht="63.75" customHeight="1" x14ac:dyDescent="0.25">
      <c r="A309" s="33" t="s">
        <v>34</v>
      </c>
      <c r="B309" s="33"/>
      <c r="C309" s="33"/>
      <c r="D309" s="33"/>
      <c r="E309" s="2"/>
      <c r="F309" s="33" t="str">
        <f>A309</f>
        <v>Oval DEO - Cap</v>
      </c>
      <c r="G309" s="33"/>
      <c r="H309" s="33"/>
      <c r="I309" s="33"/>
    </row>
    <row r="310" spans="1:12" s="1" customFormat="1" ht="30" customHeight="1" x14ac:dyDescent="0.25">
      <c r="A310" s="24" t="s">
        <v>0</v>
      </c>
      <c r="B310" s="23"/>
      <c r="C310" s="24" t="s">
        <v>1</v>
      </c>
      <c r="D310" s="23"/>
      <c r="E310" s="3"/>
      <c r="F310" s="24" t="s">
        <v>0</v>
      </c>
      <c r="G310" s="23"/>
      <c r="H310" s="24" t="s">
        <v>1</v>
      </c>
      <c r="I310" s="23"/>
    </row>
    <row r="311" spans="1:12" s="1" customFormat="1" ht="30" customHeight="1" x14ac:dyDescent="0.25">
      <c r="A311" s="24" t="s">
        <v>2</v>
      </c>
      <c r="B311" s="23"/>
      <c r="C311" s="24" t="s">
        <v>5</v>
      </c>
      <c r="D311" s="7" t="s">
        <v>87</v>
      </c>
      <c r="E311" s="4"/>
      <c r="F311" s="24" t="s">
        <v>2</v>
      </c>
      <c r="G311" s="23"/>
      <c r="H311" s="24" t="s">
        <v>5</v>
      </c>
      <c r="I311" s="7" t="str">
        <f>D311</f>
        <v>19B</v>
      </c>
    </row>
    <row r="312" spans="1:12" s="1" customFormat="1" ht="53.25" customHeight="1" x14ac:dyDescent="0.25">
      <c r="A312" s="8" t="s">
        <v>3</v>
      </c>
      <c r="B312" s="9">
        <v>45</v>
      </c>
      <c r="C312" s="24" t="s">
        <v>6</v>
      </c>
      <c r="D312" s="7" t="s">
        <v>88</v>
      </c>
      <c r="E312" s="4"/>
      <c r="F312" s="8" t="s">
        <v>3</v>
      </c>
      <c r="G312" s="9">
        <v>99</v>
      </c>
      <c r="H312" s="24" t="s">
        <v>6</v>
      </c>
      <c r="I312" s="7" t="str">
        <f>D312</f>
        <v>DEO-C07</v>
      </c>
      <c r="K312" s="6" t="s">
        <v>8</v>
      </c>
      <c r="L312" s="6" t="s">
        <v>7</v>
      </c>
    </row>
    <row r="313" spans="1:12" s="1" customFormat="1" ht="30" customHeight="1" x14ac:dyDescent="0.25">
      <c r="A313" s="34" t="s">
        <v>48</v>
      </c>
      <c r="B313" s="35"/>
      <c r="C313" s="35"/>
      <c r="D313" s="36"/>
      <c r="E313" s="5"/>
      <c r="F313" s="34" t="s">
        <v>48</v>
      </c>
      <c r="G313" s="35"/>
      <c r="H313" s="35"/>
      <c r="I313" s="36"/>
      <c r="K313" s="1">
        <v>700</v>
      </c>
      <c r="L313" s="1">
        <v>20</v>
      </c>
    </row>
    <row r="314" spans="1:12" s="1" customFormat="1" ht="30" customHeight="1" x14ac:dyDescent="0.25">
      <c r="A314" s="43" t="s">
        <v>85</v>
      </c>
      <c r="B314" s="44"/>
      <c r="C314" s="44" t="s">
        <v>81</v>
      </c>
      <c r="D314" s="42"/>
      <c r="E314" s="4"/>
      <c r="F314" s="43" t="str">
        <f>A314</f>
        <v>KW621</v>
      </c>
      <c r="G314" s="44"/>
      <c r="H314" s="44" t="str">
        <f>C314</f>
        <v>Green</v>
      </c>
      <c r="I314" s="42"/>
    </row>
    <row r="315" spans="1:12" s="1" customFormat="1" ht="30" customHeight="1" x14ac:dyDescent="0.25">
      <c r="A315" s="12" t="s">
        <v>4</v>
      </c>
      <c r="B315" s="37">
        <v>27087</v>
      </c>
      <c r="C315" s="37"/>
      <c r="D315" s="38"/>
      <c r="E315" s="4"/>
      <c r="F315" s="12" t="s">
        <v>4</v>
      </c>
      <c r="G315" s="37">
        <f>B315</f>
        <v>27087</v>
      </c>
      <c r="H315" s="37"/>
      <c r="I315" s="38"/>
    </row>
    <row r="316" spans="1:12" ht="63.75" customHeight="1" x14ac:dyDescent="0.25">
      <c r="A316" s="33" t="s">
        <v>34</v>
      </c>
      <c r="B316" s="33"/>
      <c r="C316" s="33"/>
      <c r="D316" s="33"/>
      <c r="E316" s="2"/>
      <c r="F316" s="33" t="str">
        <f>A316</f>
        <v>Oval DEO - Cap</v>
      </c>
      <c r="G316" s="33"/>
      <c r="H316" s="33"/>
      <c r="I316" s="33"/>
    </row>
    <row r="317" spans="1:12" s="1" customFormat="1" ht="30" customHeight="1" x14ac:dyDescent="0.25">
      <c r="A317" s="24" t="s">
        <v>0</v>
      </c>
      <c r="B317" s="23"/>
      <c r="C317" s="24" t="s">
        <v>1</v>
      </c>
      <c r="D317" s="23"/>
      <c r="E317" s="3"/>
      <c r="F317" s="24" t="s">
        <v>0</v>
      </c>
      <c r="G317" s="23"/>
      <c r="H317" s="24" t="s">
        <v>1</v>
      </c>
      <c r="I317" s="23"/>
    </row>
    <row r="318" spans="1:12" s="1" customFormat="1" ht="30" customHeight="1" x14ac:dyDescent="0.25">
      <c r="A318" s="24" t="s">
        <v>2</v>
      </c>
      <c r="B318" s="23"/>
      <c r="C318" s="24" t="s">
        <v>5</v>
      </c>
      <c r="D318" s="7" t="s">
        <v>87</v>
      </c>
      <c r="E318" s="4"/>
      <c r="F318" s="24" t="s">
        <v>2</v>
      </c>
      <c r="G318" s="23"/>
      <c r="H318" s="24" t="s">
        <v>5</v>
      </c>
      <c r="I318" s="7" t="str">
        <f>D318</f>
        <v>19B</v>
      </c>
    </row>
    <row r="319" spans="1:12" s="1" customFormat="1" ht="53.25" customHeight="1" x14ac:dyDescent="0.25">
      <c r="A319" s="8" t="s">
        <v>3</v>
      </c>
      <c r="B319" s="9">
        <v>46</v>
      </c>
      <c r="C319" s="24" t="s">
        <v>6</v>
      </c>
      <c r="D319" s="7" t="s">
        <v>88</v>
      </c>
      <c r="E319" s="4"/>
      <c r="F319" s="8" t="s">
        <v>3</v>
      </c>
      <c r="G319" s="9">
        <v>100</v>
      </c>
      <c r="H319" s="24" t="s">
        <v>6</v>
      </c>
      <c r="I319" s="7" t="str">
        <f>D319</f>
        <v>DEO-C07</v>
      </c>
      <c r="K319" s="6" t="s">
        <v>8</v>
      </c>
      <c r="L319" s="6" t="s">
        <v>7</v>
      </c>
    </row>
    <row r="320" spans="1:12" s="1" customFormat="1" ht="30" customHeight="1" x14ac:dyDescent="0.25">
      <c r="A320" s="34" t="s">
        <v>48</v>
      </c>
      <c r="B320" s="35"/>
      <c r="C320" s="35"/>
      <c r="D320" s="36"/>
      <c r="E320" s="5"/>
      <c r="F320" s="34" t="s">
        <v>48</v>
      </c>
      <c r="G320" s="35"/>
      <c r="H320" s="35"/>
      <c r="I320" s="36"/>
      <c r="K320" s="1">
        <v>700</v>
      </c>
      <c r="L320" s="1">
        <v>20</v>
      </c>
    </row>
    <row r="321" spans="1:12" s="1" customFormat="1" ht="30" customHeight="1" x14ac:dyDescent="0.25">
      <c r="A321" s="43" t="s">
        <v>85</v>
      </c>
      <c r="B321" s="44"/>
      <c r="C321" s="44" t="s">
        <v>81</v>
      </c>
      <c r="D321" s="42"/>
      <c r="E321" s="4"/>
      <c r="F321" s="43" t="str">
        <f>A321</f>
        <v>KW621</v>
      </c>
      <c r="G321" s="44"/>
      <c r="H321" s="44" t="str">
        <f>C321</f>
        <v>Green</v>
      </c>
      <c r="I321" s="42"/>
    </row>
    <row r="322" spans="1:12" s="1" customFormat="1" ht="30" customHeight="1" x14ac:dyDescent="0.25">
      <c r="A322" s="12" t="s">
        <v>4</v>
      </c>
      <c r="B322" s="37">
        <v>27087</v>
      </c>
      <c r="C322" s="37"/>
      <c r="D322" s="38"/>
      <c r="E322" s="4"/>
      <c r="F322" s="12" t="s">
        <v>4</v>
      </c>
      <c r="G322" s="37">
        <f>B322</f>
        <v>27087</v>
      </c>
      <c r="H322" s="37"/>
      <c r="I322" s="38"/>
    </row>
    <row r="323" spans="1:12" ht="63.75" customHeight="1" x14ac:dyDescent="0.25">
      <c r="A323" s="33" t="s">
        <v>34</v>
      </c>
      <c r="B323" s="33"/>
      <c r="C323" s="33"/>
      <c r="D323" s="33"/>
      <c r="E323" s="2"/>
      <c r="F323" s="33" t="str">
        <f>A323</f>
        <v>Oval DEO - Cap</v>
      </c>
      <c r="G323" s="33"/>
      <c r="H323" s="33"/>
      <c r="I323" s="33"/>
    </row>
    <row r="324" spans="1:12" s="1" customFormat="1" ht="30" customHeight="1" x14ac:dyDescent="0.25">
      <c r="A324" s="24" t="s">
        <v>0</v>
      </c>
      <c r="B324" s="23"/>
      <c r="C324" s="24" t="s">
        <v>1</v>
      </c>
      <c r="D324" s="23"/>
      <c r="E324" s="3"/>
      <c r="F324" s="24" t="s">
        <v>0</v>
      </c>
      <c r="G324" s="23"/>
      <c r="H324" s="24" t="s">
        <v>1</v>
      </c>
      <c r="I324" s="23"/>
    </row>
    <row r="325" spans="1:12" s="1" customFormat="1" ht="30" customHeight="1" x14ac:dyDescent="0.25">
      <c r="A325" s="24" t="s">
        <v>2</v>
      </c>
      <c r="B325" s="23"/>
      <c r="C325" s="24" t="s">
        <v>5</v>
      </c>
      <c r="D325" s="7" t="s">
        <v>87</v>
      </c>
      <c r="E325" s="4"/>
      <c r="F325" s="24" t="s">
        <v>2</v>
      </c>
      <c r="G325" s="23"/>
      <c r="H325" s="24" t="s">
        <v>5</v>
      </c>
      <c r="I325" s="7" t="str">
        <f>D325</f>
        <v>19B</v>
      </c>
    </row>
    <row r="326" spans="1:12" s="1" customFormat="1" ht="53.25" customHeight="1" x14ac:dyDescent="0.25">
      <c r="A326" s="8" t="s">
        <v>3</v>
      </c>
      <c r="B326" s="9">
        <v>47</v>
      </c>
      <c r="C326" s="24" t="s">
        <v>6</v>
      </c>
      <c r="D326" s="7" t="s">
        <v>88</v>
      </c>
      <c r="E326" s="4"/>
      <c r="F326" s="8" t="s">
        <v>3</v>
      </c>
      <c r="G326" s="9">
        <v>101</v>
      </c>
      <c r="H326" s="24" t="s">
        <v>6</v>
      </c>
      <c r="I326" s="7" t="str">
        <f>D326</f>
        <v>DEO-C07</v>
      </c>
      <c r="K326" s="6" t="s">
        <v>8</v>
      </c>
      <c r="L326" s="6" t="s">
        <v>7</v>
      </c>
    </row>
    <row r="327" spans="1:12" s="1" customFormat="1" ht="30" customHeight="1" x14ac:dyDescent="0.25">
      <c r="A327" s="34" t="s">
        <v>48</v>
      </c>
      <c r="B327" s="35"/>
      <c r="C327" s="35"/>
      <c r="D327" s="36"/>
      <c r="E327" s="5"/>
      <c r="F327" s="34" t="s">
        <v>48</v>
      </c>
      <c r="G327" s="35"/>
      <c r="H327" s="35"/>
      <c r="I327" s="36"/>
      <c r="K327" s="1">
        <v>700</v>
      </c>
      <c r="L327" s="1">
        <v>20</v>
      </c>
    </row>
    <row r="328" spans="1:12" s="1" customFormat="1" ht="30" customHeight="1" x14ac:dyDescent="0.25">
      <c r="A328" s="43" t="s">
        <v>85</v>
      </c>
      <c r="B328" s="44"/>
      <c r="C328" s="44" t="s">
        <v>81</v>
      </c>
      <c r="D328" s="42"/>
      <c r="E328" s="4"/>
      <c r="F328" s="43" t="str">
        <f>A328</f>
        <v>KW621</v>
      </c>
      <c r="G328" s="44"/>
      <c r="H328" s="44" t="str">
        <f>C328</f>
        <v>Green</v>
      </c>
      <c r="I328" s="42"/>
    </row>
    <row r="329" spans="1:12" s="1" customFormat="1" ht="30" customHeight="1" x14ac:dyDescent="0.25">
      <c r="A329" s="12" t="s">
        <v>4</v>
      </c>
      <c r="B329" s="37">
        <v>27087</v>
      </c>
      <c r="C329" s="37"/>
      <c r="D329" s="38"/>
      <c r="E329" s="4"/>
      <c r="F329" s="12" t="s">
        <v>4</v>
      </c>
      <c r="G329" s="37">
        <f>B329</f>
        <v>27087</v>
      </c>
      <c r="H329" s="37"/>
      <c r="I329" s="38"/>
    </row>
    <row r="330" spans="1:12" ht="63.75" customHeight="1" x14ac:dyDescent="0.25">
      <c r="A330" s="33" t="s">
        <v>34</v>
      </c>
      <c r="B330" s="33"/>
      <c r="C330" s="33"/>
      <c r="D330" s="33"/>
      <c r="E330" s="2"/>
      <c r="F330" s="33" t="str">
        <f>A330</f>
        <v>Oval DEO - Cap</v>
      </c>
      <c r="G330" s="33"/>
      <c r="H330" s="33"/>
      <c r="I330" s="33"/>
    </row>
    <row r="331" spans="1:12" s="1" customFormat="1" ht="30" customHeight="1" x14ac:dyDescent="0.25">
      <c r="A331" s="24" t="s">
        <v>0</v>
      </c>
      <c r="B331" s="23"/>
      <c r="C331" s="24" t="s">
        <v>1</v>
      </c>
      <c r="D331" s="23"/>
      <c r="E331" s="3"/>
      <c r="F331" s="24" t="s">
        <v>0</v>
      </c>
      <c r="G331" s="23"/>
      <c r="H331" s="24" t="s">
        <v>1</v>
      </c>
      <c r="I331" s="23"/>
    </row>
    <row r="332" spans="1:12" s="1" customFormat="1" ht="30" customHeight="1" x14ac:dyDescent="0.25">
      <c r="A332" s="24" t="s">
        <v>2</v>
      </c>
      <c r="B332" s="23"/>
      <c r="C332" s="24" t="s">
        <v>5</v>
      </c>
      <c r="D332" s="7" t="s">
        <v>87</v>
      </c>
      <c r="E332" s="4"/>
      <c r="F332" s="24" t="s">
        <v>2</v>
      </c>
      <c r="G332" s="23"/>
      <c r="H332" s="24" t="s">
        <v>5</v>
      </c>
      <c r="I332" s="7" t="str">
        <f>D332</f>
        <v>19B</v>
      </c>
    </row>
    <row r="333" spans="1:12" s="1" customFormat="1" ht="53.25" customHeight="1" x14ac:dyDescent="0.25">
      <c r="A333" s="8" t="s">
        <v>3</v>
      </c>
      <c r="B333" s="9">
        <v>48</v>
      </c>
      <c r="C333" s="24" t="s">
        <v>6</v>
      </c>
      <c r="D333" s="7" t="s">
        <v>88</v>
      </c>
      <c r="E333" s="4"/>
      <c r="F333" s="8" t="s">
        <v>3</v>
      </c>
      <c r="G333" s="9">
        <v>102</v>
      </c>
      <c r="H333" s="24" t="s">
        <v>6</v>
      </c>
      <c r="I333" s="7" t="str">
        <f>D333</f>
        <v>DEO-C07</v>
      </c>
      <c r="K333" s="6" t="s">
        <v>8</v>
      </c>
      <c r="L333" s="6" t="s">
        <v>7</v>
      </c>
    </row>
    <row r="334" spans="1:12" s="1" customFormat="1" ht="30" customHeight="1" x14ac:dyDescent="0.25">
      <c r="A334" s="34" t="s">
        <v>48</v>
      </c>
      <c r="B334" s="35"/>
      <c r="C334" s="35"/>
      <c r="D334" s="36"/>
      <c r="E334" s="5"/>
      <c r="F334" s="34" t="s">
        <v>48</v>
      </c>
      <c r="G334" s="35"/>
      <c r="H334" s="35"/>
      <c r="I334" s="36"/>
      <c r="K334" s="1">
        <v>700</v>
      </c>
      <c r="L334" s="1">
        <v>20</v>
      </c>
    </row>
    <row r="335" spans="1:12" s="1" customFormat="1" ht="30" customHeight="1" x14ac:dyDescent="0.25">
      <c r="A335" s="43" t="s">
        <v>85</v>
      </c>
      <c r="B335" s="44"/>
      <c r="C335" s="44" t="s">
        <v>81</v>
      </c>
      <c r="D335" s="42"/>
      <c r="E335" s="4"/>
      <c r="F335" s="43" t="str">
        <f>A335</f>
        <v>KW621</v>
      </c>
      <c r="G335" s="44"/>
      <c r="H335" s="44" t="str">
        <f>C335</f>
        <v>Green</v>
      </c>
      <c r="I335" s="42"/>
    </row>
    <row r="336" spans="1:12" s="1" customFormat="1" ht="30" customHeight="1" x14ac:dyDescent="0.25">
      <c r="A336" s="12" t="s">
        <v>4</v>
      </c>
      <c r="B336" s="37">
        <v>27087</v>
      </c>
      <c r="C336" s="37"/>
      <c r="D336" s="38"/>
      <c r="E336" s="4"/>
      <c r="F336" s="12" t="s">
        <v>4</v>
      </c>
      <c r="G336" s="37">
        <f>B336</f>
        <v>27087</v>
      </c>
      <c r="H336" s="37"/>
      <c r="I336" s="38"/>
    </row>
    <row r="337" spans="1:12" ht="63.75" customHeight="1" x14ac:dyDescent="0.25">
      <c r="A337" s="33" t="s">
        <v>34</v>
      </c>
      <c r="B337" s="33"/>
      <c r="C337" s="33"/>
      <c r="D337" s="33"/>
      <c r="E337" s="2"/>
      <c r="F337" s="33" t="str">
        <f>A337</f>
        <v>Oval DEO - Cap</v>
      </c>
      <c r="G337" s="33"/>
      <c r="H337" s="33"/>
      <c r="I337" s="33"/>
    </row>
    <row r="338" spans="1:12" s="1" customFormat="1" ht="30" customHeight="1" x14ac:dyDescent="0.25">
      <c r="A338" s="24" t="s">
        <v>0</v>
      </c>
      <c r="B338" s="23"/>
      <c r="C338" s="24" t="s">
        <v>1</v>
      </c>
      <c r="D338" s="23"/>
      <c r="E338" s="3"/>
      <c r="F338" s="24" t="s">
        <v>0</v>
      </c>
      <c r="G338" s="23"/>
      <c r="H338" s="24" t="s">
        <v>1</v>
      </c>
      <c r="I338" s="23"/>
    </row>
    <row r="339" spans="1:12" s="1" customFormat="1" ht="30" customHeight="1" x14ac:dyDescent="0.25">
      <c r="A339" s="24" t="s">
        <v>2</v>
      </c>
      <c r="B339" s="23"/>
      <c r="C339" s="24" t="s">
        <v>5</v>
      </c>
      <c r="D339" s="7" t="s">
        <v>87</v>
      </c>
      <c r="E339" s="4"/>
      <c r="F339" s="24" t="s">
        <v>2</v>
      </c>
      <c r="G339" s="23"/>
      <c r="H339" s="24" t="s">
        <v>5</v>
      </c>
      <c r="I339" s="7" t="str">
        <f>D339</f>
        <v>19B</v>
      </c>
    </row>
    <row r="340" spans="1:12" s="1" customFormat="1" ht="53.25" customHeight="1" x14ac:dyDescent="0.25">
      <c r="A340" s="8" t="s">
        <v>3</v>
      </c>
      <c r="B340" s="9">
        <v>49</v>
      </c>
      <c r="C340" s="24" t="s">
        <v>6</v>
      </c>
      <c r="D340" s="7" t="s">
        <v>88</v>
      </c>
      <c r="E340" s="4"/>
      <c r="F340" s="8" t="s">
        <v>3</v>
      </c>
      <c r="G340" s="9">
        <v>103</v>
      </c>
      <c r="H340" s="24" t="s">
        <v>6</v>
      </c>
      <c r="I340" s="7" t="str">
        <f>D340</f>
        <v>DEO-C07</v>
      </c>
      <c r="K340" s="6" t="s">
        <v>8</v>
      </c>
      <c r="L340" s="6" t="s">
        <v>7</v>
      </c>
    </row>
    <row r="341" spans="1:12" s="1" customFormat="1" ht="30" customHeight="1" x14ac:dyDescent="0.25">
      <c r="A341" s="34" t="s">
        <v>48</v>
      </c>
      <c r="B341" s="35"/>
      <c r="C341" s="35"/>
      <c r="D341" s="36"/>
      <c r="E341" s="5"/>
      <c r="F341" s="34" t="s">
        <v>48</v>
      </c>
      <c r="G341" s="35"/>
      <c r="H341" s="35"/>
      <c r="I341" s="36"/>
      <c r="K341" s="1">
        <v>700</v>
      </c>
      <c r="L341" s="1">
        <v>20</v>
      </c>
    </row>
    <row r="342" spans="1:12" s="1" customFormat="1" ht="30" customHeight="1" x14ac:dyDescent="0.25">
      <c r="A342" s="43" t="s">
        <v>85</v>
      </c>
      <c r="B342" s="44"/>
      <c r="C342" s="44" t="s">
        <v>81</v>
      </c>
      <c r="D342" s="42"/>
      <c r="E342" s="4"/>
      <c r="F342" s="43" t="str">
        <f>A342</f>
        <v>KW621</v>
      </c>
      <c r="G342" s="44"/>
      <c r="H342" s="44" t="str">
        <f>C342</f>
        <v>Green</v>
      </c>
      <c r="I342" s="42"/>
    </row>
    <row r="343" spans="1:12" s="1" customFormat="1" ht="30" customHeight="1" x14ac:dyDescent="0.25">
      <c r="A343" s="12" t="s">
        <v>4</v>
      </c>
      <c r="B343" s="37">
        <v>27087</v>
      </c>
      <c r="C343" s="37"/>
      <c r="D343" s="38"/>
      <c r="E343" s="4"/>
      <c r="F343" s="12" t="s">
        <v>4</v>
      </c>
      <c r="G343" s="37">
        <f>B343</f>
        <v>27087</v>
      </c>
      <c r="H343" s="37"/>
      <c r="I343" s="38"/>
    </row>
    <row r="344" spans="1:12" ht="63.75" customHeight="1" x14ac:dyDescent="0.25">
      <c r="A344" s="33" t="s">
        <v>34</v>
      </c>
      <c r="B344" s="33"/>
      <c r="C344" s="33"/>
      <c r="D344" s="33"/>
      <c r="E344" s="2"/>
      <c r="F344" s="33" t="str">
        <f>A344</f>
        <v>Oval DEO - Cap</v>
      </c>
      <c r="G344" s="33"/>
      <c r="H344" s="33"/>
      <c r="I344" s="33"/>
    </row>
    <row r="345" spans="1:12" s="1" customFormat="1" ht="30" customHeight="1" x14ac:dyDescent="0.25">
      <c r="A345" s="24" t="s">
        <v>0</v>
      </c>
      <c r="B345" s="23"/>
      <c r="C345" s="24" t="s">
        <v>1</v>
      </c>
      <c r="D345" s="23"/>
      <c r="E345" s="3"/>
      <c r="F345" s="24" t="s">
        <v>0</v>
      </c>
      <c r="G345" s="23"/>
      <c r="H345" s="24" t="s">
        <v>1</v>
      </c>
      <c r="I345" s="23"/>
    </row>
    <row r="346" spans="1:12" s="1" customFormat="1" ht="30" customHeight="1" x14ac:dyDescent="0.25">
      <c r="A346" s="24" t="s">
        <v>2</v>
      </c>
      <c r="B346" s="23"/>
      <c r="C346" s="24" t="s">
        <v>5</v>
      </c>
      <c r="D346" s="7" t="s">
        <v>87</v>
      </c>
      <c r="E346" s="4"/>
      <c r="F346" s="24" t="s">
        <v>2</v>
      </c>
      <c r="G346" s="23"/>
      <c r="H346" s="24" t="s">
        <v>5</v>
      </c>
      <c r="I346" s="7" t="str">
        <f>D346</f>
        <v>19B</v>
      </c>
    </row>
    <row r="347" spans="1:12" s="1" customFormat="1" ht="53.25" customHeight="1" x14ac:dyDescent="0.25">
      <c r="A347" s="8" t="s">
        <v>3</v>
      </c>
      <c r="B347" s="9">
        <v>50</v>
      </c>
      <c r="C347" s="24" t="s">
        <v>6</v>
      </c>
      <c r="D347" s="7" t="s">
        <v>88</v>
      </c>
      <c r="E347" s="4"/>
      <c r="F347" s="8" t="s">
        <v>3</v>
      </c>
      <c r="G347" s="9">
        <v>104</v>
      </c>
      <c r="H347" s="24" t="s">
        <v>6</v>
      </c>
      <c r="I347" s="7" t="str">
        <f>D347</f>
        <v>DEO-C07</v>
      </c>
      <c r="K347" s="6" t="s">
        <v>8</v>
      </c>
      <c r="L347" s="6" t="s">
        <v>7</v>
      </c>
    </row>
    <row r="348" spans="1:12" s="1" customFormat="1" ht="30" customHeight="1" x14ac:dyDescent="0.25">
      <c r="A348" s="34" t="s">
        <v>48</v>
      </c>
      <c r="B348" s="35"/>
      <c r="C348" s="35"/>
      <c r="D348" s="36"/>
      <c r="E348" s="5"/>
      <c r="F348" s="34" t="s">
        <v>48</v>
      </c>
      <c r="G348" s="35"/>
      <c r="H348" s="35"/>
      <c r="I348" s="36"/>
      <c r="K348" s="1">
        <v>700</v>
      </c>
      <c r="L348" s="1">
        <v>20</v>
      </c>
    </row>
    <row r="349" spans="1:12" s="1" customFormat="1" ht="30" customHeight="1" x14ac:dyDescent="0.25">
      <c r="A349" s="43" t="s">
        <v>85</v>
      </c>
      <c r="B349" s="44"/>
      <c r="C349" s="44" t="s">
        <v>81</v>
      </c>
      <c r="D349" s="42"/>
      <c r="E349" s="4"/>
      <c r="F349" s="43" t="str">
        <f>A349</f>
        <v>KW621</v>
      </c>
      <c r="G349" s="44"/>
      <c r="H349" s="44" t="str">
        <f>C349</f>
        <v>Green</v>
      </c>
      <c r="I349" s="42"/>
    </row>
    <row r="350" spans="1:12" s="1" customFormat="1" ht="30" customHeight="1" x14ac:dyDescent="0.25">
      <c r="A350" s="12" t="s">
        <v>4</v>
      </c>
      <c r="B350" s="37">
        <v>27087</v>
      </c>
      <c r="C350" s="37"/>
      <c r="D350" s="38"/>
      <c r="E350" s="4"/>
      <c r="F350" s="12" t="s">
        <v>4</v>
      </c>
      <c r="G350" s="37">
        <f>B350</f>
        <v>27087</v>
      </c>
      <c r="H350" s="37"/>
      <c r="I350" s="38"/>
    </row>
    <row r="351" spans="1:12" ht="63.75" customHeight="1" x14ac:dyDescent="0.25">
      <c r="A351" s="33" t="s">
        <v>34</v>
      </c>
      <c r="B351" s="33"/>
      <c r="C351" s="33"/>
      <c r="D351" s="33"/>
      <c r="E351" s="2"/>
      <c r="F351" s="33" t="str">
        <f>A351</f>
        <v>Oval DEO - Cap</v>
      </c>
      <c r="G351" s="33"/>
      <c r="H351" s="33"/>
      <c r="I351" s="33"/>
    </row>
    <row r="352" spans="1:12" s="1" customFormat="1" ht="30" customHeight="1" x14ac:dyDescent="0.25">
      <c r="A352" s="24" t="s">
        <v>0</v>
      </c>
      <c r="B352" s="23"/>
      <c r="C352" s="24" t="s">
        <v>1</v>
      </c>
      <c r="D352" s="23"/>
      <c r="E352" s="3"/>
      <c r="F352" s="24" t="s">
        <v>0</v>
      </c>
      <c r="G352" s="23"/>
      <c r="H352" s="24" t="s">
        <v>1</v>
      </c>
      <c r="I352" s="23"/>
    </row>
    <row r="353" spans="1:12" s="1" customFormat="1" ht="30" customHeight="1" x14ac:dyDescent="0.25">
      <c r="A353" s="24" t="s">
        <v>2</v>
      </c>
      <c r="B353" s="23"/>
      <c r="C353" s="24" t="s">
        <v>5</v>
      </c>
      <c r="D353" s="7" t="s">
        <v>87</v>
      </c>
      <c r="E353" s="4"/>
      <c r="F353" s="24" t="s">
        <v>2</v>
      </c>
      <c r="G353" s="23"/>
      <c r="H353" s="24" t="s">
        <v>5</v>
      </c>
      <c r="I353" s="7" t="str">
        <f>D353</f>
        <v>19B</v>
      </c>
    </row>
    <row r="354" spans="1:12" s="1" customFormat="1" ht="53.25" customHeight="1" x14ac:dyDescent="0.25">
      <c r="A354" s="8" t="s">
        <v>3</v>
      </c>
      <c r="B354" s="9">
        <v>51</v>
      </c>
      <c r="C354" s="24" t="s">
        <v>6</v>
      </c>
      <c r="D354" s="7" t="s">
        <v>88</v>
      </c>
      <c r="E354" s="4"/>
      <c r="F354" s="8" t="s">
        <v>3</v>
      </c>
      <c r="G354" s="9">
        <v>105</v>
      </c>
      <c r="H354" s="24" t="s">
        <v>6</v>
      </c>
      <c r="I354" s="7" t="str">
        <f>D354</f>
        <v>DEO-C07</v>
      </c>
      <c r="K354" s="6" t="s">
        <v>8</v>
      </c>
      <c r="L354" s="6" t="s">
        <v>7</v>
      </c>
    </row>
    <row r="355" spans="1:12" s="1" customFormat="1" ht="30" customHeight="1" x14ac:dyDescent="0.25">
      <c r="A355" s="34" t="s">
        <v>48</v>
      </c>
      <c r="B355" s="35"/>
      <c r="C355" s="35"/>
      <c r="D355" s="36"/>
      <c r="E355" s="5"/>
      <c r="F355" s="34" t="s">
        <v>48</v>
      </c>
      <c r="G355" s="35"/>
      <c r="H355" s="35"/>
      <c r="I355" s="36"/>
      <c r="K355" s="1">
        <v>700</v>
      </c>
      <c r="L355" s="1">
        <v>20</v>
      </c>
    </row>
    <row r="356" spans="1:12" s="1" customFormat="1" ht="30" customHeight="1" x14ac:dyDescent="0.25">
      <c r="A356" s="43" t="s">
        <v>85</v>
      </c>
      <c r="B356" s="44"/>
      <c r="C356" s="44" t="s">
        <v>81</v>
      </c>
      <c r="D356" s="42"/>
      <c r="E356" s="4"/>
      <c r="F356" s="43" t="str">
        <f>A356</f>
        <v>KW621</v>
      </c>
      <c r="G356" s="44"/>
      <c r="H356" s="44" t="str">
        <f>C356</f>
        <v>Green</v>
      </c>
      <c r="I356" s="42"/>
    </row>
    <row r="357" spans="1:12" s="1" customFormat="1" ht="30" customHeight="1" x14ac:dyDescent="0.25">
      <c r="A357" s="12" t="s">
        <v>4</v>
      </c>
      <c r="B357" s="37">
        <v>27087</v>
      </c>
      <c r="C357" s="37"/>
      <c r="D357" s="38"/>
      <c r="E357" s="4"/>
      <c r="F357" s="12" t="s">
        <v>4</v>
      </c>
      <c r="G357" s="37">
        <f>B357</f>
        <v>27087</v>
      </c>
      <c r="H357" s="37"/>
      <c r="I357" s="38"/>
    </row>
    <row r="358" spans="1:12" ht="63.75" customHeight="1" x14ac:dyDescent="0.25">
      <c r="A358" s="33" t="s">
        <v>34</v>
      </c>
      <c r="B358" s="33"/>
      <c r="C358" s="33"/>
      <c r="D358" s="33"/>
      <c r="E358" s="2"/>
      <c r="F358" s="33" t="str">
        <f>A358</f>
        <v>Oval DEO - Cap</v>
      </c>
      <c r="G358" s="33"/>
      <c r="H358" s="33"/>
      <c r="I358" s="33"/>
    </row>
    <row r="359" spans="1:12" s="1" customFormat="1" ht="30" customHeight="1" x14ac:dyDescent="0.25">
      <c r="A359" s="24" t="s">
        <v>0</v>
      </c>
      <c r="B359" s="23"/>
      <c r="C359" s="24" t="s">
        <v>1</v>
      </c>
      <c r="D359" s="23"/>
      <c r="E359" s="3"/>
      <c r="F359" s="24" t="s">
        <v>0</v>
      </c>
      <c r="G359" s="23"/>
      <c r="H359" s="24" t="s">
        <v>1</v>
      </c>
      <c r="I359" s="23"/>
    </row>
    <row r="360" spans="1:12" s="1" customFormat="1" ht="30" customHeight="1" x14ac:dyDescent="0.25">
      <c r="A360" s="24" t="s">
        <v>2</v>
      </c>
      <c r="B360" s="23"/>
      <c r="C360" s="24" t="s">
        <v>5</v>
      </c>
      <c r="D360" s="7" t="s">
        <v>87</v>
      </c>
      <c r="E360" s="4"/>
      <c r="F360" s="24" t="s">
        <v>2</v>
      </c>
      <c r="G360" s="23"/>
      <c r="H360" s="24" t="s">
        <v>5</v>
      </c>
      <c r="I360" s="7" t="str">
        <f>D360</f>
        <v>19B</v>
      </c>
    </row>
    <row r="361" spans="1:12" s="1" customFormat="1" ht="53.25" customHeight="1" x14ac:dyDescent="0.25">
      <c r="A361" s="8" t="s">
        <v>3</v>
      </c>
      <c r="B361" s="9">
        <v>52</v>
      </c>
      <c r="C361" s="24" t="s">
        <v>6</v>
      </c>
      <c r="D361" s="7" t="s">
        <v>88</v>
      </c>
      <c r="E361" s="4"/>
      <c r="F361" s="8" t="s">
        <v>3</v>
      </c>
      <c r="G361" s="9">
        <v>106</v>
      </c>
      <c r="H361" s="24" t="s">
        <v>6</v>
      </c>
      <c r="I361" s="7" t="str">
        <f>D361</f>
        <v>DEO-C07</v>
      </c>
      <c r="K361" s="6" t="s">
        <v>8</v>
      </c>
      <c r="L361" s="6" t="s">
        <v>7</v>
      </c>
    </row>
    <row r="362" spans="1:12" s="1" customFormat="1" ht="30" customHeight="1" x14ac:dyDescent="0.25">
      <c r="A362" s="34" t="s">
        <v>48</v>
      </c>
      <c r="B362" s="35"/>
      <c r="C362" s="35"/>
      <c r="D362" s="36"/>
      <c r="E362" s="5"/>
      <c r="F362" s="34" t="s">
        <v>48</v>
      </c>
      <c r="G362" s="35"/>
      <c r="H362" s="35"/>
      <c r="I362" s="36"/>
      <c r="K362" s="1">
        <v>700</v>
      </c>
      <c r="L362" s="1">
        <v>20</v>
      </c>
    </row>
    <row r="363" spans="1:12" s="1" customFormat="1" ht="30" customHeight="1" x14ac:dyDescent="0.25">
      <c r="A363" s="43" t="s">
        <v>85</v>
      </c>
      <c r="B363" s="44"/>
      <c r="C363" s="44" t="s">
        <v>81</v>
      </c>
      <c r="D363" s="42"/>
      <c r="E363" s="4"/>
      <c r="F363" s="43" t="str">
        <f>A363</f>
        <v>KW621</v>
      </c>
      <c r="G363" s="44"/>
      <c r="H363" s="44" t="str">
        <f>C363</f>
        <v>Green</v>
      </c>
      <c r="I363" s="42"/>
    </row>
    <row r="364" spans="1:12" s="1" customFormat="1" ht="30" customHeight="1" x14ac:dyDescent="0.25">
      <c r="A364" s="12" t="s">
        <v>4</v>
      </c>
      <c r="B364" s="37">
        <v>27087</v>
      </c>
      <c r="C364" s="37"/>
      <c r="D364" s="38"/>
      <c r="E364" s="4"/>
      <c r="F364" s="12" t="s">
        <v>4</v>
      </c>
      <c r="G364" s="37">
        <f>B364</f>
        <v>27087</v>
      </c>
      <c r="H364" s="37"/>
      <c r="I364" s="38"/>
    </row>
    <row r="365" spans="1:12" ht="63.75" customHeight="1" x14ac:dyDescent="0.25">
      <c r="A365" s="33" t="s">
        <v>34</v>
      </c>
      <c r="B365" s="33"/>
      <c r="C365" s="33"/>
      <c r="D365" s="33"/>
      <c r="E365" s="2"/>
      <c r="F365" s="33" t="str">
        <f>A365</f>
        <v>Oval DEO - Cap</v>
      </c>
      <c r="G365" s="33"/>
      <c r="H365" s="33"/>
      <c r="I365" s="33"/>
    </row>
    <row r="366" spans="1:12" s="1" customFormat="1" ht="30" customHeight="1" x14ac:dyDescent="0.25">
      <c r="A366" s="24" t="s">
        <v>0</v>
      </c>
      <c r="B366" s="23"/>
      <c r="C366" s="24" t="s">
        <v>1</v>
      </c>
      <c r="D366" s="23"/>
      <c r="E366" s="3"/>
      <c r="F366" s="24" t="s">
        <v>0</v>
      </c>
      <c r="G366" s="23"/>
      <c r="H366" s="24" t="s">
        <v>1</v>
      </c>
      <c r="I366" s="23"/>
    </row>
    <row r="367" spans="1:12" s="1" customFormat="1" ht="30" customHeight="1" x14ac:dyDescent="0.25">
      <c r="A367" s="24" t="s">
        <v>2</v>
      </c>
      <c r="B367" s="23"/>
      <c r="C367" s="24" t="s">
        <v>5</v>
      </c>
      <c r="D367" s="7" t="s">
        <v>87</v>
      </c>
      <c r="E367" s="4"/>
      <c r="F367" s="24" t="s">
        <v>2</v>
      </c>
      <c r="G367" s="23"/>
      <c r="H367" s="24" t="s">
        <v>5</v>
      </c>
      <c r="I367" s="7" t="str">
        <f>D367</f>
        <v>19B</v>
      </c>
    </row>
    <row r="368" spans="1:12" s="1" customFormat="1" ht="53.25" customHeight="1" x14ac:dyDescent="0.25">
      <c r="A368" s="8" t="s">
        <v>3</v>
      </c>
      <c r="B368" s="9">
        <v>53</v>
      </c>
      <c r="C368" s="24" t="s">
        <v>6</v>
      </c>
      <c r="D368" s="7" t="s">
        <v>88</v>
      </c>
      <c r="E368" s="4"/>
      <c r="F368" s="8" t="s">
        <v>3</v>
      </c>
      <c r="G368" s="9">
        <v>107</v>
      </c>
      <c r="H368" s="24" t="s">
        <v>6</v>
      </c>
      <c r="I368" s="7" t="str">
        <f>D368</f>
        <v>DEO-C07</v>
      </c>
      <c r="K368" s="6" t="s">
        <v>8</v>
      </c>
      <c r="L368" s="6" t="s">
        <v>7</v>
      </c>
    </row>
    <row r="369" spans="1:12" s="1" customFormat="1" ht="30" customHeight="1" x14ac:dyDescent="0.25">
      <c r="A369" s="34" t="s">
        <v>48</v>
      </c>
      <c r="B369" s="35"/>
      <c r="C369" s="35"/>
      <c r="D369" s="36"/>
      <c r="E369" s="5"/>
      <c r="F369" s="34" t="s">
        <v>48</v>
      </c>
      <c r="G369" s="35"/>
      <c r="H369" s="35"/>
      <c r="I369" s="36"/>
      <c r="K369" s="1">
        <v>700</v>
      </c>
      <c r="L369" s="1">
        <v>20</v>
      </c>
    </row>
    <row r="370" spans="1:12" s="1" customFormat="1" ht="30" customHeight="1" x14ac:dyDescent="0.25">
      <c r="A370" s="43" t="s">
        <v>85</v>
      </c>
      <c r="B370" s="44"/>
      <c r="C370" s="44" t="s">
        <v>81</v>
      </c>
      <c r="D370" s="42"/>
      <c r="E370" s="4"/>
      <c r="F370" s="43" t="str">
        <f>A370</f>
        <v>KW621</v>
      </c>
      <c r="G370" s="44"/>
      <c r="H370" s="44" t="str">
        <f>C370</f>
        <v>Green</v>
      </c>
      <c r="I370" s="42"/>
    </row>
    <row r="371" spans="1:12" s="1" customFormat="1" ht="30" customHeight="1" x14ac:dyDescent="0.25">
      <c r="A371" s="12" t="s">
        <v>4</v>
      </c>
      <c r="B371" s="37">
        <v>27087</v>
      </c>
      <c r="C371" s="37"/>
      <c r="D371" s="38"/>
      <c r="E371" s="4"/>
      <c r="F371" s="12" t="s">
        <v>4</v>
      </c>
      <c r="G371" s="37">
        <f>B371</f>
        <v>27087</v>
      </c>
      <c r="H371" s="37"/>
      <c r="I371" s="38"/>
    </row>
    <row r="372" spans="1:12" ht="63.75" customHeight="1" x14ac:dyDescent="0.25">
      <c r="A372" s="33" t="s">
        <v>34</v>
      </c>
      <c r="B372" s="33"/>
      <c r="C372" s="33"/>
      <c r="D372" s="33"/>
      <c r="E372" s="2"/>
      <c r="F372" s="33" t="str">
        <f>A372</f>
        <v>Oval DEO - Cap</v>
      </c>
      <c r="G372" s="33"/>
      <c r="H372" s="33"/>
      <c r="I372" s="33"/>
    </row>
    <row r="373" spans="1:12" s="1" customFormat="1" ht="30" customHeight="1" x14ac:dyDescent="0.25">
      <c r="A373" s="24" t="s">
        <v>0</v>
      </c>
      <c r="B373" s="23"/>
      <c r="C373" s="24" t="s">
        <v>1</v>
      </c>
      <c r="D373" s="23"/>
      <c r="E373" s="3"/>
      <c r="F373" s="24" t="s">
        <v>0</v>
      </c>
      <c r="G373" s="23"/>
      <c r="H373" s="24" t="s">
        <v>1</v>
      </c>
      <c r="I373" s="23"/>
    </row>
    <row r="374" spans="1:12" s="1" customFormat="1" ht="30" customHeight="1" x14ac:dyDescent="0.25">
      <c r="A374" s="24" t="s">
        <v>2</v>
      </c>
      <c r="B374" s="23"/>
      <c r="C374" s="24" t="s">
        <v>5</v>
      </c>
      <c r="D374" s="7" t="s">
        <v>87</v>
      </c>
      <c r="E374" s="4"/>
      <c r="F374" s="24" t="s">
        <v>2</v>
      </c>
      <c r="G374" s="23"/>
      <c r="H374" s="24" t="s">
        <v>5</v>
      </c>
      <c r="I374" s="7" t="str">
        <f>D374</f>
        <v>19B</v>
      </c>
    </row>
    <row r="375" spans="1:12" s="1" customFormat="1" ht="53.25" customHeight="1" x14ac:dyDescent="0.25">
      <c r="A375" s="8" t="s">
        <v>3</v>
      </c>
      <c r="B375" s="9">
        <v>54</v>
      </c>
      <c r="C375" s="24" t="s">
        <v>6</v>
      </c>
      <c r="D375" s="7" t="s">
        <v>88</v>
      </c>
      <c r="E375" s="4"/>
      <c r="F375" s="8" t="s">
        <v>3</v>
      </c>
      <c r="G375" s="9">
        <v>108</v>
      </c>
      <c r="H375" s="24" t="s">
        <v>6</v>
      </c>
      <c r="I375" s="7" t="str">
        <f>D375</f>
        <v>DEO-C07</v>
      </c>
      <c r="K375" s="6" t="s">
        <v>8</v>
      </c>
      <c r="L375" s="6" t="s">
        <v>7</v>
      </c>
    </row>
    <row r="376" spans="1:12" s="1" customFormat="1" ht="30" customHeight="1" x14ac:dyDescent="0.25">
      <c r="A376" s="34" t="s">
        <v>48</v>
      </c>
      <c r="B376" s="35"/>
      <c r="C376" s="35"/>
      <c r="D376" s="36"/>
      <c r="E376" s="5"/>
      <c r="F376" s="34" t="s">
        <v>48</v>
      </c>
      <c r="G376" s="35"/>
      <c r="H376" s="35"/>
      <c r="I376" s="36"/>
      <c r="K376" s="1">
        <v>700</v>
      </c>
      <c r="L376" s="1">
        <v>20</v>
      </c>
    </row>
    <row r="377" spans="1:12" s="1" customFormat="1" ht="30" customHeight="1" x14ac:dyDescent="0.25">
      <c r="A377" s="43" t="s">
        <v>85</v>
      </c>
      <c r="B377" s="44"/>
      <c r="C377" s="44" t="s">
        <v>81</v>
      </c>
      <c r="D377" s="42"/>
      <c r="E377" s="4"/>
      <c r="F377" s="43" t="str">
        <f>A377</f>
        <v>KW621</v>
      </c>
      <c r="G377" s="44"/>
      <c r="H377" s="44" t="str">
        <f>C377</f>
        <v>Green</v>
      </c>
      <c r="I377" s="42"/>
    </row>
    <row r="378" spans="1:12" s="1" customFormat="1" ht="30" customHeight="1" x14ac:dyDescent="0.25">
      <c r="A378" s="12" t="s">
        <v>4</v>
      </c>
      <c r="B378" s="37">
        <v>27087</v>
      </c>
      <c r="C378" s="37"/>
      <c r="D378" s="38"/>
      <c r="E378" s="4"/>
      <c r="F378" s="12" t="s">
        <v>4</v>
      </c>
      <c r="G378" s="37">
        <f>B378</f>
        <v>27087</v>
      </c>
      <c r="H378" s="37"/>
      <c r="I378" s="38"/>
    </row>
  </sheetData>
  <mergeCells count="540">
    <mergeCell ref="A13:B13"/>
    <mergeCell ref="C13:D13"/>
    <mergeCell ref="F13:G13"/>
    <mergeCell ref="H13:I13"/>
    <mergeCell ref="B14:D14"/>
    <mergeCell ref="G14:I14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B7:D7"/>
    <mergeCell ref="G7:I7"/>
    <mergeCell ref="B21:D21"/>
    <mergeCell ref="G21:I21"/>
    <mergeCell ref="A22:D22"/>
    <mergeCell ref="F22:I22"/>
    <mergeCell ref="A26:D26"/>
    <mergeCell ref="F26:I26"/>
    <mergeCell ref="A15:D15"/>
    <mergeCell ref="F15:I15"/>
    <mergeCell ref="A19:D19"/>
    <mergeCell ref="F19:I19"/>
    <mergeCell ref="A20:B20"/>
    <mergeCell ref="C20:D20"/>
    <mergeCell ref="F20:G20"/>
    <mergeCell ref="H20:I20"/>
    <mergeCell ref="A29:D29"/>
    <mergeCell ref="F29:I29"/>
    <mergeCell ref="A33:D33"/>
    <mergeCell ref="F33:I33"/>
    <mergeCell ref="A34:B34"/>
    <mergeCell ref="C34:D34"/>
    <mergeCell ref="F34:G34"/>
    <mergeCell ref="H34:I34"/>
    <mergeCell ref="A27:B27"/>
    <mergeCell ref="C27:D27"/>
    <mergeCell ref="F27:G27"/>
    <mergeCell ref="H27:I27"/>
    <mergeCell ref="B28:D28"/>
    <mergeCell ref="G28:I28"/>
    <mergeCell ref="A41:B41"/>
    <mergeCell ref="C41:D41"/>
    <mergeCell ref="F41:G41"/>
    <mergeCell ref="H41:I41"/>
    <mergeCell ref="B42:D42"/>
    <mergeCell ref="G42:I42"/>
    <mergeCell ref="B35:D35"/>
    <mergeCell ref="G35:I35"/>
    <mergeCell ref="A36:D36"/>
    <mergeCell ref="F36:I36"/>
    <mergeCell ref="A40:D40"/>
    <mergeCell ref="F40:I40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85:D85"/>
    <mergeCell ref="F85:I85"/>
    <mergeCell ref="A89:D89"/>
    <mergeCell ref="F89:I89"/>
    <mergeCell ref="A90:B90"/>
    <mergeCell ref="C90:D90"/>
    <mergeCell ref="F90:G90"/>
    <mergeCell ref="H90:I90"/>
    <mergeCell ref="A83:B83"/>
    <mergeCell ref="C83:D83"/>
    <mergeCell ref="F83:G83"/>
    <mergeCell ref="H83:I83"/>
    <mergeCell ref="B84:D84"/>
    <mergeCell ref="G84:I84"/>
    <mergeCell ref="A97:B97"/>
    <mergeCell ref="C97:D97"/>
    <mergeCell ref="F97:G97"/>
    <mergeCell ref="H97:I97"/>
    <mergeCell ref="B98:D98"/>
    <mergeCell ref="G98:I98"/>
    <mergeCell ref="B91:D91"/>
    <mergeCell ref="G91:I91"/>
    <mergeCell ref="A92:D92"/>
    <mergeCell ref="F92:I92"/>
    <mergeCell ref="A96:D96"/>
    <mergeCell ref="F96:I96"/>
    <mergeCell ref="B105:D105"/>
    <mergeCell ref="G105:I105"/>
    <mergeCell ref="A106:D106"/>
    <mergeCell ref="F106:I106"/>
    <mergeCell ref="A110:D110"/>
    <mergeCell ref="F110:I110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A113:D113"/>
    <mergeCell ref="F113:I113"/>
    <mergeCell ref="A117:D117"/>
    <mergeCell ref="F117:I117"/>
    <mergeCell ref="A118:B118"/>
    <mergeCell ref="C118:D118"/>
    <mergeCell ref="F118:G118"/>
    <mergeCell ref="H118:I118"/>
    <mergeCell ref="A111:B111"/>
    <mergeCell ref="C111:D111"/>
    <mergeCell ref="F111:G111"/>
    <mergeCell ref="H111:I111"/>
    <mergeCell ref="B112:D112"/>
    <mergeCell ref="G112:I112"/>
    <mergeCell ref="A125:B125"/>
    <mergeCell ref="C125:D125"/>
    <mergeCell ref="F125:G125"/>
    <mergeCell ref="H125:I125"/>
    <mergeCell ref="B126:D126"/>
    <mergeCell ref="G126:I126"/>
    <mergeCell ref="B119:D119"/>
    <mergeCell ref="G119:I119"/>
    <mergeCell ref="A120:D120"/>
    <mergeCell ref="F120:I120"/>
    <mergeCell ref="A124:D124"/>
    <mergeCell ref="F124:I124"/>
    <mergeCell ref="B133:D133"/>
    <mergeCell ref="G133:I133"/>
    <mergeCell ref="A134:D134"/>
    <mergeCell ref="F134:I134"/>
    <mergeCell ref="A138:D138"/>
    <mergeCell ref="F138:I138"/>
    <mergeCell ref="A127:D127"/>
    <mergeCell ref="F127:I127"/>
    <mergeCell ref="A131:D131"/>
    <mergeCell ref="F131:I131"/>
    <mergeCell ref="A132:B132"/>
    <mergeCell ref="C132:D132"/>
    <mergeCell ref="F132:G132"/>
    <mergeCell ref="H132:I132"/>
    <mergeCell ref="A141:D141"/>
    <mergeCell ref="F141:I141"/>
    <mergeCell ref="A145:D145"/>
    <mergeCell ref="F145:I145"/>
    <mergeCell ref="A146:B146"/>
    <mergeCell ref="C146:D146"/>
    <mergeCell ref="F146:G146"/>
    <mergeCell ref="H146:I146"/>
    <mergeCell ref="A139:B139"/>
    <mergeCell ref="C139:D139"/>
    <mergeCell ref="F139:G139"/>
    <mergeCell ref="H139:I139"/>
    <mergeCell ref="B140:D140"/>
    <mergeCell ref="G140:I140"/>
    <mergeCell ref="A153:B153"/>
    <mergeCell ref="C153:D153"/>
    <mergeCell ref="F153:G153"/>
    <mergeCell ref="H153:I153"/>
    <mergeCell ref="B154:D154"/>
    <mergeCell ref="G154:I154"/>
    <mergeCell ref="B147:D147"/>
    <mergeCell ref="G147:I147"/>
    <mergeCell ref="A148:D148"/>
    <mergeCell ref="F148:I148"/>
    <mergeCell ref="A152:D152"/>
    <mergeCell ref="F152:I152"/>
    <mergeCell ref="B161:D161"/>
    <mergeCell ref="G161:I161"/>
    <mergeCell ref="A162:D162"/>
    <mergeCell ref="F162:I162"/>
    <mergeCell ref="A166:D166"/>
    <mergeCell ref="F166:I166"/>
    <mergeCell ref="A155:D155"/>
    <mergeCell ref="F155:I155"/>
    <mergeCell ref="A159:D159"/>
    <mergeCell ref="F159:I159"/>
    <mergeCell ref="A160:B160"/>
    <mergeCell ref="C160:D160"/>
    <mergeCell ref="F160:G160"/>
    <mergeCell ref="H160:I160"/>
    <mergeCell ref="A169:D169"/>
    <mergeCell ref="F169:I169"/>
    <mergeCell ref="A173:D173"/>
    <mergeCell ref="F173:I173"/>
    <mergeCell ref="A174:B174"/>
    <mergeCell ref="C174:D174"/>
    <mergeCell ref="F174:G174"/>
    <mergeCell ref="H174:I174"/>
    <mergeCell ref="A167:B167"/>
    <mergeCell ref="C167:D167"/>
    <mergeCell ref="F167:G167"/>
    <mergeCell ref="H167:I167"/>
    <mergeCell ref="B168:D168"/>
    <mergeCell ref="G168:I168"/>
    <mergeCell ref="A181:B181"/>
    <mergeCell ref="C181:D181"/>
    <mergeCell ref="F181:G181"/>
    <mergeCell ref="H181:I181"/>
    <mergeCell ref="B182:D182"/>
    <mergeCell ref="G182:I182"/>
    <mergeCell ref="B175:D175"/>
    <mergeCell ref="G175:I175"/>
    <mergeCell ref="A176:D176"/>
    <mergeCell ref="F176:I176"/>
    <mergeCell ref="A180:D180"/>
    <mergeCell ref="F180:I180"/>
    <mergeCell ref="B189:D189"/>
    <mergeCell ref="G189:I189"/>
    <mergeCell ref="A190:D190"/>
    <mergeCell ref="F190:I190"/>
    <mergeCell ref="A194:D194"/>
    <mergeCell ref="F194:I194"/>
    <mergeCell ref="A183:D183"/>
    <mergeCell ref="F183:I183"/>
    <mergeCell ref="A187:D187"/>
    <mergeCell ref="F187:I187"/>
    <mergeCell ref="A188:B188"/>
    <mergeCell ref="C188:D188"/>
    <mergeCell ref="F188:G188"/>
    <mergeCell ref="H188:I188"/>
    <mergeCell ref="A197:D197"/>
    <mergeCell ref="F197:I197"/>
    <mergeCell ref="A201:D201"/>
    <mergeCell ref="F201:I201"/>
    <mergeCell ref="A202:B202"/>
    <mergeCell ref="C202:D202"/>
    <mergeCell ref="F202:G202"/>
    <mergeCell ref="H202:I202"/>
    <mergeCell ref="A195:B195"/>
    <mergeCell ref="C195:D195"/>
    <mergeCell ref="F195:G195"/>
    <mergeCell ref="H195:I195"/>
    <mergeCell ref="B196:D196"/>
    <mergeCell ref="G196:I196"/>
    <mergeCell ref="A209:B209"/>
    <mergeCell ref="C209:D209"/>
    <mergeCell ref="F209:G209"/>
    <mergeCell ref="H209:I209"/>
    <mergeCell ref="B210:D210"/>
    <mergeCell ref="G210:I210"/>
    <mergeCell ref="B203:D203"/>
    <mergeCell ref="G203:I203"/>
    <mergeCell ref="A204:D204"/>
    <mergeCell ref="F204:I204"/>
    <mergeCell ref="A208:D208"/>
    <mergeCell ref="F208:I208"/>
    <mergeCell ref="B217:D217"/>
    <mergeCell ref="G217:I217"/>
    <mergeCell ref="A218:D218"/>
    <mergeCell ref="F218:I218"/>
    <mergeCell ref="A222:D222"/>
    <mergeCell ref="F222:I222"/>
    <mergeCell ref="A211:D211"/>
    <mergeCell ref="F211:I211"/>
    <mergeCell ref="A215:D215"/>
    <mergeCell ref="F215:I215"/>
    <mergeCell ref="A216:B216"/>
    <mergeCell ref="C216:D216"/>
    <mergeCell ref="F216:G216"/>
    <mergeCell ref="H216:I216"/>
    <mergeCell ref="A225:D225"/>
    <mergeCell ref="F225:I225"/>
    <mergeCell ref="A229:D229"/>
    <mergeCell ref="F229:I229"/>
    <mergeCell ref="A230:B230"/>
    <mergeCell ref="C230:D230"/>
    <mergeCell ref="F230:G230"/>
    <mergeCell ref="H230:I230"/>
    <mergeCell ref="A223:B223"/>
    <mergeCell ref="C223:D223"/>
    <mergeCell ref="F223:G223"/>
    <mergeCell ref="H223:I223"/>
    <mergeCell ref="B224:D224"/>
    <mergeCell ref="G224:I224"/>
    <mergeCell ref="A237:B237"/>
    <mergeCell ref="C237:D237"/>
    <mergeCell ref="F237:G237"/>
    <mergeCell ref="H237:I237"/>
    <mergeCell ref="B238:D238"/>
    <mergeCell ref="G238:I238"/>
    <mergeCell ref="B231:D231"/>
    <mergeCell ref="G231:I231"/>
    <mergeCell ref="A232:D232"/>
    <mergeCell ref="F232:I232"/>
    <mergeCell ref="A236:D236"/>
    <mergeCell ref="F236:I236"/>
    <mergeCell ref="B245:D245"/>
    <mergeCell ref="G245:I245"/>
    <mergeCell ref="A246:D246"/>
    <mergeCell ref="F246:I246"/>
    <mergeCell ref="A250:D250"/>
    <mergeCell ref="F250:I250"/>
    <mergeCell ref="A239:D239"/>
    <mergeCell ref="F239:I239"/>
    <mergeCell ref="A243:D243"/>
    <mergeCell ref="F243:I243"/>
    <mergeCell ref="A244:B244"/>
    <mergeCell ref="C244:D244"/>
    <mergeCell ref="F244:G244"/>
    <mergeCell ref="H244:I244"/>
    <mergeCell ref="A253:D253"/>
    <mergeCell ref="F253:I253"/>
    <mergeCell ref="A257:D257"/>
    <mergeCell ref="F257:I257"/>
    <mergeCell ref="A258:B258"/>
    <mergeCell ref="C258:D258"/>
    <mergeCell ref="F258:G258"/>
    <mergeCell ref="H258:I258"/>
    <mergeCell ref="A251:B251"/>
    <mergeCell ref="C251:D251"/>
    <mergeCell ref="F251:G251"/>
    <mergeCell ref="H251:I251"/>
    <mergeCell ref="B252:D252"/>
    <mergeCell ref="G252:I252"/>
    <mergeCell ref="A265:B265"/>
    <mergeCell ref="C265:D265"/>
    <mergeCell ref="F265:G265"/>
    <mergeCell ref="H265:I265"/>
    <mergeCell ref="B266:D266"/>
    <mergeCell ref="G266:I266"/>
    <mergeCell ref="B259:D259"/>
    <mergeCell ref="G259:I259"/>
    <mergeCell ref="A260:D260"/>
    <mergeCell ref="F260:I260"/>
    <mergeCell ref="A264:D264"/>
    <mergeCell ref="F264:I264"/>
    <mergeCell ref="B273:D273"/>
    <mergeCell ref="G273:I273"/>
    <mergeCell ref="A274:D274"/>
    <mergeCell ref="F274:I274"/>
    <mergeCell ref="A278:D278"/>
    <mergeCell ref="F278:I278"/>
    <mergeCell ref="A267:D267"/>
    <mergeCell ref="F267:I267"/>
    <mergeCell ref="A271:D271"/>
    <mergeCell ref="F271:I271"/>
    <mergeCell ref="A272:B272"/>
    <mergeCell ref="C272:D272"/>
    <mergeCell ref="F272:G272"/>
    <mergeCell ref="H272:I272"/>
    <mergeCell ref="A281:D281"/>
    <mergeCell ref="F281:I281"/>
    <mergeCell ref="A285:D285"/>
    <mergeCell ref="F285:I285"/>
    <mergeCell ref="A286:B286"/>
    <mergeCell ref="C286:D286"/>
    <mergeCell ref="F286:G286"/>
    <mergeCell ref="H286:I286"/>
    <mergeCell ref="A279:B279"/>
    <mergeCell ref="C279:D279"/>
    <mergeCell ref="F279:G279"/>
    <mergeCell ref="H279:I279"/>
    <mergeCell ref="B280:D280"/>
    <mergeCell ref="G280:I280"/>
    <mergeCell ref="A293:B293"/>
    <mergeCell ref="C293:D293"/>
    <mergeCell ref="F293:G293"/>
    <mergeCell ref="H293:I293"/>
    <mergeCell ref="B294:D294"/>
    <mergeCell ref="G294:I294"/>
    <mergeCell ref="B287:D287"/>
    <mergeCell ref="G287:I287"/>
    <mergeCell ref="A288:D288"/>
    <mergeCell ref="F288:I288"/>
    <mergeCell ref="A292:D292"/>
    <mergeCell ref="F292:I292"/>
    <mergeCell ref="B301:D301"/>
    <mergeCell ref="G301:I301"/>
    <mergeCell ref="A302:D302"/>
    <mergeCell ref="F302:I302"/>
    <mergeCell ref="A306:D306"/>
    <mergeCell ref="F306:I306"/>
    <mergeCell ref="A295:D295"/>
    <mergeCell ref="F295:I295"/>
    <mergeCell ref="A299:D299"/>
    <mergeCell ref="F299:I299"/>
    <mergeCell ref="A300:B300"/>
    <mergeCell ref="C300:D300"/>
    <mergeCell ref="F300:G300"/>
    <mergeCell ref="H300:I300"/>
    <mergeCell ref="A309:D309"/>
    <mergeCell ref="F309:I309"/>
    <mergeCell ref="A313:D313"/>
    <mergeCell ref="F313:I313"/>
    <mergeCell ref="A314:B314"/>
    <mergeCell ref="C314:D314"/>
    <mergeCell ref="F314:G314"/>
    <mergeCell ref="H314:I314"/>
    <mergeCell ref="A307:B307"/>
    <mergeCell ref="C307:D307"/>
    <mergeCell ref="F307:G307"/>
    <mergeCell ref="H307:I307"/>
    <mergeCell ref="B308:D308"/>
    <mergeCell ref="G308:I308"/>
    <mergeCell ref="A321:B321"/>
    <mergeCell ref="C321:D321"/>
    <mergeCell ref="F321:G321"/>
    <mergeCell ref="H321:I321"/>
    <mergeCell ref="B322:D322"/>
    <mergeCell ref="G322:I322"/>
    <mergeCell ref="B315:D315"/>
    <mergeCell ref="G315:I315"/>
    <mergeCell ref="A316:D316"/>
    <mergeCell ref="F316:I316"/>
    <mergeCell ref="A320:D320"/>
    <mergeCell ref="F320:I320"/>
    <mergeCell ref="B329:D329"/>
    <mergeCell ref="G329:I329"/>
    <mergeCell ref="A330:D330"/>
    <mergeCell ref="F330:I330"/>
    <mergeCell ref="A334:D334"/>
    <mergeCell ref="F334:I334"/>
    <mergeCell ref="A323:D323"/>
    <mergeCell ref="F323:I323"/>
    <mergeCell ref="A327:D327"/>
    <mergeCell ref="F327:I327"/>
    <mergeCell ref="A328:B328"/>
    <mergeCell ref="C328:D328"/>
    <mergeCell ref="F328:G328"/>
    <mergeCell ref="H328:I328"/>
    <mergeCell ref="A337:D337"/>
    <mergeCell ref="F337:I337"/>
    <mergeCell ref="A341:D341"/>
    <mergeCell ref="F341:I341"/>
    <mergeCell ref="A342:B342"/>
    <mergeCell ref="C342:D342"/>
    <mergeCell ref="F342:G342"/>
    <mergeCell ref="H342:I342"/>
    <mergeCell ref="A335:B335"/>
    <mergeCell ref="C335:D335"/>
    <mergeCell ref="F335:G335"/>
    <mergeCell ref="H335:I335"/>
    <mergeCell ref="B336:D336"/>
    <mergeCell ref="G336:I336"/>
    <mergeCell ref="A349:B349"/>
    <mergeCell ref="C349:D349"/>
    <mergeCell ref="F349:G349"/>
    <mergeCell ref="H349:I349"/>
    <mergeCell ref="B350:D350"/>
    <mergeCell ref="G350:I350"/>
    <mergeCell ref="B343:D343"/>
    <mergeCell ref="G343:I343"/>
    <mergeCell ref="A344:D344"/>
    <mergeCell ref="F344:I344"/>
    <mergeCell ref="A348:D348"/>
    <mergeCell ref="F348:I348"/>
    <mergeCell ref="B357:D357"/>
    <mergeCell ref="G357:I357"/>
    <mergeCell ref="A358:D358"/>
    <mergeCell ref="F358:I358"/>
    <mergeCell ref="A362:D362"/>
    <mergeCell ref="F362:I362"/>
    <mergeCell ref="A351:D351"/>
    <mergeCell ref="F351:I351"/>
    <mergeCell ref="A355:D355"/>
    <mergeCell ref="F355:I355"/>
    <mergeCell ref="A356:B356"/>
    <mergeCell ref="C356:D356"/>
    <mergeCell ref="F356:G356"/>
    <mergeCell ref="H356:I356"/>
    <mergeCell ref="A365:D365"/>
    <mergeCell ref="F365:I365"/>
    <mergeCell ref="A369:D369"/>
    <mergeCell ref="F369:I369"/>
    <mergeCell ref="A370:B370"/>
    <mergeCell ref="C370:D370"/>
    <mergeCell ref="F370:G370"/>
    <mergeCell ref="H370:I370"/>
    <mergeCell ref="A363:B363"/>
    <mergeCell ref="C363:D363"/>
    <mergeCell ref="F363:G363"/>
    <mergeCell ref="H363:I363"/>
    <mergeCell ref="B364:D364"/>
    <mergeCell ref="G364:I364"/>
    <mergeCell ref="A377:B377"/>
    <mergeCell ref="C377:D377"/>
    <mergeCell ref="F377:G377"/>
    <mergeCell ref="H377:I377"/>
    <mergeCell ref="B378:D378"/>
    <mergeCell ref="G378:I378"/>
    <mergeCell ref="B371:D371"/>
    <mergeCell ref="G371:I371"/>
    <mergeCell ref="A372:D372"/>
    <mergeCell ref="F372:I372"/>
    <mergeCell ref="A376:D376"/>
    <mergeCell ref="F376:I376"/>
  </mergeCells>
  <pageMargins left="0.19685039370078741" right="0" top="0.19685039370078741" bottom="0.19685039370078741" header="0" footer="0"/>
  <pageSetup scale="93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L280"/>
  <sheetViews>
    <sheetView view="pageBreakPreview" topLeftCell="A268" zoomScaleNormal="100" zoomScaleSheetLayoutView="100" workbookViewId="0">
      <selection activeCell="C4" sqref="C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91</v>
      </c>
      <c r="B1" s="33"/>
      <c r="C1" s="33"/>
      <c r="D1" s="33"/>
      <c r="E1" s="2"/>
      <c r="F1" s="33" t="str">
        <f>A1</f>
        <v>Tall DEO - Screw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92</v>
      </c>
      <c r="E3" s="4"/>
      <c r="F3" s="11" t="s">
        <v>2</v>
      </c>
      <c r="G3" s="10"/>
      <c r="H3" s="11" t="s">
        <v>5</v>
      </c>
      <c r="I3" s="7" t="str">
        <f>D3</f>
        <v>21A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94</v>
      </c>
      <c r="E4" s="4"/>
      <c r="F4" s="8" t="s">
        <v>3</v>
      </c>
      <c r="G4" s="9">
        <v>41</v>
      </c>
      <c r="H4" s="11" t="s">
        <v>6</v>
      </c>
      <c r="I4" s="7" t="str">
        <f>D4</f>
        <v>DEO-S03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93</v>
      </c>
      <c r="B5" s="35"/>
      <c r="C5" s="35"/>
      <c r="D5" s="36"/>
      <c r="E5" s="5"/>
      <c r="F5" s="34" t="s">
        <v>93</v>
      </c>
      <c r="G5" s="35"/>
      <c r="H5" s="35"/>
      <c r="I5" s="36"/>
      <c r="K5" s="1">
        <v>1100</v>
      </c>
      <c r="L5" s="1">
        <v>16</v>
      </c>
    </row>
    <row r="6" spans="1:12" s="1" customFormat="1" ht="30" customHeight="1" x14ac:dyDescent="0.25">
      <c r="A6" s="39" t="s">
        <v>85</v>
      </c>
      <c r="B6" s="40"/>
      <c r="C6" s="41" t="s">
        <v>81</v>
      </c>
      <c r="D6" s="42"/>
      <c r="E6" s="4"/>
      <c r="F6" s="39" t="str">
        <f>A6</f>
        <v>KW621</v>
      </c>
      <c r="G6" s="40"/>
      <c r="H6" s="41" t="str">
        <f>C6</f>
        <v>Green</v>
      </c>
      <c r="I6" s="42"/>
    </row>
    <row r="7" spans="1:12" s="1" customFormat="1" ht="30" customHeight="1" x14ac:dyDescent="0.25">
      <c r="A7" s="12" t="s">
        <v>4</v>
      </c>
      <c r="B7" s="37">
        <v>27087</v>
      </c>
      <c r="C7" s="37"/>
      <c r="D7" s="38"/>
      <c r="E7" s="4"/>
      <c r="F7" s="12" t="s">
        <v>4</v>
      </c>
      <c r="G7" s="37">
        <f>B7</f>
        <v>27087</v>
      </c>
      <c r="H7" s="37"/>
      <c r="I7" s="38"/>
    </row>
    <row r="8" spans="1:12" ht="63.75" customHeight="1" x14ac:dyDescent="0.25">
      <c r="A8" s="33" t="s">
        <v>91</v>
      </c>
      <c r="B8" s="33"/>
      <c r="C8" s="33"/>
      <c r="D8" s="33"/>
      <c r="E8" s="2"/>
      <c r="F8" s="33" t="str">
        <f>A8</f>
        <v>Tall DEO - Screw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92</v>
      </c>
      <c r="E10" s="4"/>
      <c r="F10" s="11" t="s">
        <v>2</v>
      </c>
      <c r="G10" s="10"/>
      <c r="H10" s="11" t="s">
        <v>5</v>
      </c>
      <c r="I10" s="7" t="str">
        <f>D10</f>
        <v>21A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94</v>
      </c>
      <c r="E11" s="4"/>
      <c r="F11" s="8" t="s">
        <v>3</v>
      </c>
      <c r="G11" s="9">
        <v>42</v>
      </c>
      <c r="H11" s="11" t="s">
        <v>6</v>
      </c>
      <c r="I11" s="7" t="str">
        <f>D11</f>
        <v>DEO-S03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93</v>
      </c>
      <c r="B12" s="35"/>
      <c r="C12" s="35"/>
      <c r="D12" s="36"/>
      <c r="E12" s="5"/>
      <c r="F12" s="34" t="s">
        <v>93</v>
      </c>
      <c r="G12" s="35"/>
      <c r="H12" s="35"/>
      <c r="I12" s="36"/>
      <c r="K12" s="1">
        <v>1100</v>
      </c>
      <c r="L12" s="1">
        <v>16</v>
      </c>
    </row>
    <row r="13" spans="1:12" s="1" customFormat="1" ht="30" customHeight="1" x14ac:dyDescent="0.25">
      <c r="A13" s="39" t="s">
        <v>85</v>
      </c>
      <c r="B13" s="40"/>
      <c r="C13" s="41" t="s">
        <v>81</v>
      </c>
      <c r="D13" s="42"/>
      <c r="E13" s="4"/>
      <c r="F13" s="39" t="str">
        <f>A13</f>
        <v>KW621</v>
      </c>
      <c r="G13" s="40"/>
      <c r="H13" s="41" t="str">
        <f>C13</f>
        <v>Green</v>
      </c>
      <c r="I13" s="42"/>
    </row>
    <row r="14" spans="1:12" s="1" customFormat="1" ht="30" customHeight="1" x14ac:dyDescent="0.25">
      <c r="A14" s="12" t="s">
        <v>4</v>
      </c>
      <c r="B14" s="37">
        <v>27087</v>
      </c>
      <c r="C14" s="37"/>
      <c r="D14" s="38"/>
      <c r="E14" s="4"/>
      <c r="F14" s="12" t="s">
        <v>4</v>
      </c>
      <c r="G14" s="37">
        <f>B14</f>
        <v>27087</v>
      </c>
      <c r="H14" s="37"/>
      <c r="I14" s="38"/>
    </row>
    <row r="15" spans="1:12" ht="63.75" customHeight="1" x14ac:dyDescent="0.25">
      <c r="A15" s="33" t="s">
        <v>91</v>
      </c>
      <c r="B15" s="33"/>
      <c r="C15" s="33"/>
      <c r="D15" s="33"/>
      <c r="E15" s="2"/>
      <c r="F15" s="33" t="str">
        <f>A15</f>
        <v>Tall DEO - Screw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92</v>
      </c>
      <c r="E17" s="4"/>
      <c r="F17" s="11" t="s">
        <v>2</v>
      </c>
      <c r="G17" s="10"/>
      <c r="H17" s="11" t="s">
        <v>5</v>
      </c>
      <c r="I17" s="7" t="str">
        <f>D17</f>
        <v>21A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94</v>
      </c>
      <c r="E18" s="4"/>
      <c r="F18" s="8" t="s">
        <v>3</v>
      </c>
      <c r="G18" s="9">
        <v>43</v>
      </c>
      <c r="H18" s="11" t="s">
        <v>6</v>
      </c>
      <c r="I18" s="7" t="str">
        <f>D18</f>
        <v>DEO-S03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93</v>
      </c>
      <c r="B19" s="35"/>
      <c r="C19" s="35"/>
      <c r="D19" s="36"/>
      <c r="E19" s="5"/>
      <c r="F19" s="34" t="s">
        <v>93</v>
      </c>
      <c r="G19" s="35"/>
      <c r="H19" s="35"/>
      <c r="I19" s="36"/>
      <c r="K19" s="1">
        <v>1100</v>
      </c>
      <c r="L19" s="1">
        <v>16</v>
      </c>
    </row>
    <row r="20" spans="1:12" s="1" customFormat="1" ht="30" customHeight="1" x14ac:dyDescent="0.25">
      <c r="A20" s="39" t="s">
        <v>85</v>
      </c>
      <c r="B20" s="40"/>
      <c r="C20" s="41" t="s">
        <v>81</v>
      </c>
      <c r="D20" s="42"/>
      <c r="E20" s="4"/>
      <c r="F20" s="39" t="str">
        <f>A20</f>
        <v>KW621</v>
      </c>
      <c r="G20" s="40"/>
      <c r="H20" s="41" t="str">
        <f>C20</f>
        <v>Green</v>
      </c>
      <c r="I20" s="42"/>
    </row>
    <row r="21" spans="1:12" s="1" customFormat="1" ht="30" customHeight="1" x14ac:dyDescent="0.25">
      <c r="A21" s="12" t="s">
        <v>4</v>
      </c>
      <c r="B21" s="37">
        <v>27087</v>
      </c>
      <c r="C21" s="37"/>
      <c r="D21" s="38"/>
      <c r="E21" s="4"/>
      <c r="F21" s="12" t="s">
        <v>4</v>
      </c>
      <c r="G21" s="37">
        <f>B21</f>
        <v>27087</v>
      </c>
      <c r="H21" s="37"/>
      <c r="I21" s="38"/>
    </row>
    <row r="22" spans="1:12" ht="63.75" customHeight="1" x14ac:dyDescent="0.25">
      <c r="A22" s="33" t="s">
        <v>91</v>
      </c>
      <c r="B22" s="33"/>
      <c r="C22" s="33"/>
      <c r="D22" s="33"/>
      <c r="E22" s="2"/>
      <c r="F22" s="33" t="str">
        <f>A22</f>
        <v>Tall DEO - Screw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92</v>
      </c>
      <c r="E24" s="4"/>
      <c r="F24" s="11" t="s">
        <v>2</v>
      </c>
      <c r="G24" s="10"/>
      <c r="H24" s="11" t="s">
        <v>5</v>
      </c>
      <c r="I24" s="7" t="str">
        <f>D24</f>
        <v>21A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94</v>
      </c>
      <c r="E25" s="4"/>
      <c r="F25" s="8" t="s">
        <v>3</v>
      </c>
      <c r="G25" s="9">
        <v>44</v>
      </c>
      <c r="H25" s="11" t="s">
        <v>6</v>
      </c>
      <c r="I25" s="7" t="str">
        <f>D25</f>
        <v>DEO-S03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93</v>
      </c>
      <c r="B26" s="35"/>
      <c r="C26" s="35"/>
      <c r="D26" s="36"/>
      <c r="E26" s="5"/>
      <c r="F26" s="34" t="s">
        <v>93</v>
      </c>
      <c r="G26" s="35"/>
      <c r="H26" s="35"/>
      <c r="I26" s="36"/>
      <c r="K26" s="1">
        <v>1100</v>
      </c>
      <c r="L26" s="1">
        <v>16</v>
      </c>
    </row>
    <row r="27" spans="1:12" s="1" customFormat="1" ht="30" customHeight="1" x14ac:dyDescent="0.25">
      <c r="A27" s="39" t="s">
        <v>85</v>
      </c>
      <c r="B27" s="40"/>
      <c r="C27" s="41" t="s">
        <v>81</v>
      </c>
      <c r="D27" s="42"/>
      <c r="E27" s="4"/>
      <c r="F27" s="39" t="str">
        <f>A27</f>
        <v>KW621</v>
      </c>
      <c r="G27" s="40"/>
      <c r="H27" s="41" t="str">
        <f>C27</f>
        <v>Green</v>
      </c>
      <c r="I27" s="42"/>
    </row>
    <row r="28" spans="1:12" s="1" customFormat="1" ht="30" customHeight="1" x14ac:dyDescent="0.25">
      <c r="A28" s="12" t="s">
        <v>4</v>
      </c>
      <c r="B28" s="37">
        <v>27087</v>
      </c>
      <c r="C28" s="37"/>
      <c r="D28" s="38"/>
      <c r="E28" s="4"/>
      <c r="F28" s="12" t="s">
        <v>4</v>
      </c>
      <c r="G28" s="37">
        <f>B28</f>
        <v>27087</v>
      </c>
      <c r="H28" s="37"/>
      <c r="I28" s="38"/>
    </row>
    <row r="29" spans="1:12" ht="63.75" customHeight="1" x14ac:dyDescent="0.25">
      <c r="A29" s="33" t="s">
        <v>91</v>
      </c>
      <c r="B29" s="33"/>
      <c r="C29" s="33"/>
      <c r="D29" s="33"/>
      <c r="E29" s="2"/>
      <c r="F29" s="33" t="str">
        <f>A29</f>
        <v>Tall DEO - Screw</v>
      </c>
      <c r="G29" s="33"/>
      <c r="H29" s="33"/>
      <c r="I29" s="33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92</v>
      </c>
      <c r="E31" s="4"/>
      <c r="F31" s="11" t="s">
        <v>2</v>
      </c>
      <c r="G31" s="10"/>
      <c r="H31" s="11" t="s">
        <v>5</v>
      </c>
      <c r="I31" s="7" t="str">
        <f>D31</f>
        <v>21A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94</v>
      </c>
      <c r="E32" s="4"/>
      <c r="F32" s="8" t="s">
        <v>3</v>
      </c>
      <c r="G32" s="9">
        <v>45</v>
      </c>
      <c r="H32" s="11" t="s">
        <v>6</v>
      </c>
      <c r="I32" s="7" t="str">
        <f>D32</f>
        <v>DEO-S03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93</v>
      </c>
      <c r="B33" s="35"/>
      <c r="C33" s="35"/>
      <c r="D33" s="36"/>
      <c r="E33" s="5"/>
      <c r="F33" s="34" t="s">
        <v>93</v>
      </c>
      <c r="G33" s="35"/>
      <c r="H33" s="35"/>
      <c r="I33" s="36"/>
      <c r="K33" s="1">
        <v>1100</v>
      </c>
      <c r="L33" s="1">
        <v>16</v>
      </c>
    </row>
    <row r="34" spans="1:12" s="1" customFormat="1" ht="30" customHeight="1" x14ac:dyDescent="0.25">
      <c r="A34" s="39" t="s">
        <v>85</v>
      </c>
      <c r="B34" s="40"/>
      <c r="C34" s="41" t="s">
        <v>81</v>
      </c>
      <c r="D34" s="42"/>
      <c r="E34" s="4"/>
      <c r="F34" s="39" t="str">
        <f>A34</f>
        <v>KW621</v>
      </c>
      <c r="G34" s="40"/>
      <c r="H34" s="41" t="str">
        <f>C34</f>
        <v>Green</v>
      </c>
      <c r="I34" s="42"/>
    </row>
    <row r="35" spans="1:12" s="1" customFormat="1" ht="30" customHeight="1" x14ac:dyDescent="0.25">
      <c r="A35" s="12" t="s">
        <v>4</v>
      </c>
      <c r="B35" s="37">
        <v>27087</v>
      </c>
      <c r="C35" s="37"/>
      <c r="D35" s="38"/>
      <c r="E35" s="4"/>
      <c r="F35" s="12" t="s">
        <v>4</v>
      </c>
      <c r="G35" s="37">
        <f>B35</f>
        <v>27087</v>
      </c>
      <c r="H35" s="37"/>
      <c r="I35" s="38"/>
    </row>
    <row r="36" spans="1:12" ht="63.75" customHeight="1" x14ac:dyDescent="0.25">
      <c r="A36" s="33" t="s">
        <v>91</v>
      </c>
      <c r="B36" s="33"/>
      <c r="C36" s="33"/>
      <c r="D36" s="33"/>
      <c r="E36" s="2"/>
      <c r="F36" s="33" t="str">
        <f>A36</f>
        <v>Tall DEO - Screw</v>
      </c>
      <c r="G36" s="33"/>
      <c r="H36" s="33"/>
      <c r="I36" s="33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92</v>
      </c>
      <c r="E38" s="4"/>
      <c r="F38" s="11" t="s">
        <v>2</v>
      </c>
      <c r="G38" s="10"/>
      <c r="H38" s="11" t="s">
        <v>5</v>
      </c>
      <c r="I38" s="7" t="str">
        <f>D38</f>
        <v>21A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94</v>
      </c>
      <c r="E39" s="4"/>
      <c r="F39" s="8" t="s">
        <v>3</v>
      </c>
      <c r="G39" s="9">
        <v>46</v>
      </c>
      <c r="H39" s="11" t="s">
        <v>6</v>
      </c>
      <c r="I39" s="7" t="str">
        <f>D39</f>
        <v>DEO-S03</v>
      </c>
      <c r="K39" s="6" t="s">
        <v>8</v>
      </c>
      <c r="L39" s="6" t="s">
        <v>7</v>
      </c>
    </row>
    <row r="40" spans="1:12" s="1" customFormat="1" ht="30" customHeight="1" x14ac:dyDescent="0.25">
      <c r="A40" s="34" t="s">
        <v>93</v>
      </c>
      <c r="B40" s="35"/>
      <c r="C40" s="35"/>
      <c r="D40" s="36"/>
      <c r="E40" s="5"/>
      <c r="F40" s="34" t="s">
        <v>93</v>
      </c>
      <c r="G40" s="35"/>
      <c r="H40" s="35"/>
      <c r="I40" s="36"/>
      <c r="K40" s="1">
        <v>1100</v>
      </c>
      <c r="L40" s="1">
        <v>16</v>
      </c>
    </row>
    <row r="41" spans="1:12" s="1" customFormat="1" ht="30" customHeight="1" x14ac:dyDescent="0.25">
      <c r="A41" s="39" t="s">
        <v>85</v>
      </c>
      <c r="B41" s="40"/>
      <c r="C41" s="41" t="s">
        <v>81</v>
      </c>
      <c r="D41" s="42"/>
      <c r="E41" s="4"/>
      <c r="F41" s="39" t="str">
        <f>A41</f>
        <v>KW621</v>
      </c>
      <c r="G41" s="40"/>
      <c r="H41" s="41" t="str">
        <f>C41</f>
        <v>Green</v>
      </c>
      <c r="I41" s="42"/>
    </row>
    <row r="42" spans="1:12" s="1" customFormat="1" ht="30" customHeight="1" x14ac:dyDescent="0.25">
      <c r="A42" s="12" t="s">
        <v>4</v>
      </c>
      <c r="B42" s="37">
        <v>27087</v>
      </c>
      <c r="C42" s="37"/>
      <c r="D42" s="38"/>
      <c r="E42" s="4"/>
      <c r="F42" s="12" t="s">
        <v>4</v>
      </c>
      <c r="G42" s="37">
        <f>B42</f>
        <v>27087</v>
      </c>
      <c r="H42" s="37"/>
      <c r="I42" s="38"/>
    </row>
    <row r="43" spans="1:12" ht="63.75" customHeight="1" x14ac:dyDescent="0.25">
      <c r="A43" s="33" t="s">
        <v>91</v>
      </c>
      <c r="B43" s="33"/>
      <c r="C43" s="33"/>
      <c r="D43" s="33"/>
      <c r="E43" s="2"/>
      <c r="F43" s="33" t="str">
        <f>A43</f>
        <v>Tall DEO - Screw</v>
      </c>
      <c r="G43" s="33"/>
      <c r="H43" s="33"/>
      <c r="I43" s="33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92</v>
      </c>
      <c r="E45" s="4"/>
      <c r="F45" s="11" t="s">
        <v>2</v>
      </c>
      <c r="G45" s="10"/>
      <c r="H45" s="11" t="s">
        <v>5</v>
      </c>
      <c r="I45" s="7" t="str">
        <f>D45</f>
        <v>21A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94</v>
      </c>
      <c r="E46" s="4"/>
      <c r="F46" s="8" t="s">
        <v>3</v>
      </c>
      <c r="G46" s="9">
        <v>47</v>
      </c>
      <c r="H46" s="11" t="s">
        <v>6</v>
      </c>
      <c r="I46" s="7" t="str">
        <f>D46</f>
        <v>DEO-S03</v>
      </c>
      <c r="K46" s="6" t="s">
        <v>8</v>
      </c>
      <c r="L46" s="6" t="s">
        <v>7</v>
      </c>
    </row>
    <row r="47" spans="1:12" s="1" customFormat="1" ht="30" customHeight="1" x14ac:dyDescent="0.25">
      <c r="A47" s="34" t="s">
        <v>93</v>
      </c>
      <c r="B47" s="35"/>
      <c r="C47" s="35"/>
      <c r="D47" s="36"/>
      <c r="E47" s="5"/>
      <c r="F47" s="34" t="s">
        <v>93</v>
      </c>
      <c r="G47" s="35"/>
      <c r="H47" s="35"/>
      <c r="I47" s="36"/>
      <c r="K47" s="1">
        <v>1100</v>
      </c>
      <c r="L47" s="1">
        <v>16</v>
      </c>
    </row>
    <row r="48" spans="1:12" s="1" customFormat="1" ht="30" customHeight="1" x14ac:dyDescent="0.25">
      <c r="A48" s="39" t="s">
        <v>85</v>
      </c>
      <c r="B48" s="40"/>
      <c r="C48" s="41" t="s">
        <v>81</v>
      </c>
      <c r="D48" s="42"/>
      <c r="E48" s="4"/>
      <c r="F48" s="39" t="str">
        <f>A48</f>
        <v>KW621</v>
      </c>
      <c r="G48" s="40"/>
      <c r="H48" s="41" t="str">
        <f>C48</f>
        <v>Green</v>
      </c>
      <c r="I48" s="42"/>
    </row>
    <row r="49" spans="1:12" s="1" customFormat="1" ht="30" customHeight="1" x14ac:dyDescent="0.25">
      <c r="A49" s="12" t="s">
        <v>4</v>
      </c>
      <c r="B49" s="37">
        <v>27087</v>
      </c>
      <c r="C49" s="37"/>
      <c r="D49" s="38"/>
      <c r="E49" s="4"/>
      <c r="F49" s="12" t="s">
        <v>4</v>
      </c>
      <c r="G49" s="37">
        <f>B49</f>
        <v>27087</v>
      </c>
      <c r="H49" s="37"/>
      <c r="I49" s="38"/>
    </row>
    <row r="50" spans="1:12" ht="63.75" customHeight="1" x14ac:dyDescent="0.25">
      <c r="A50" s="33" t="s">
        <v>91</v>
      </c>
      <c r="B50" s="33"/>
      <c r="C50" s="33"/>
      <c r="D50" s="33"/>
      <c r="E50" s="2"/>
      <c r="F50" s="33" t="str">
        <f>A50</f>
        <v>Tall DEO - Screw</v>
      </c>
      <c r="G50" s="33"/>
      <c r="H50" s="33"/>
      <c r="I50" s="33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92</v>
      </c>
      <c r="E52" s="4"/>
      <c r="F52" s="11" t="s">
        <v>2</v>
      </c>
      <c r="G52" s="10"/>
      <c r="H52" s="11" t="s">
        <v>5</v>
      </c>
      <c r="I52" s="7" t="str">
        <f>D52</f>
        <v>21A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94</v>
      </c>
      <c r="E53" s="4"/>
      <c r="F53" s="8" t="s">
        <v>3</v>
      </c>
      <c r="G53" s="9">
        <v>48</v>
      </c>
      <c r="H53" s="11" t="s">
        <v>6</v>
      </c>
      <c r="I53" s="7" t="str">
        <f>D53</f>
        <v>DEO-S03</v>
      </c>
      <c r="K53" s="6" t="s">
        <v>8</v>
      </c>
      <c r="L53" s="6" t="s">
        <v>7</v>
      </c>
    </row>
    <row r="54" spans="1:12" s="1" customFormat="1" ht="30" customHeight="1" x14ac:dyDescent="0.25">
      <c r="A54" s="34" t="s">
        <v>93</v>
      </c>
      <c r="B54" s="35"/>
      <c r="C54" s="35"/>
      <c r="D54" s="36"/>
      <c r="E54" s="5"/>
      <c r="F54" s="34" t="s">
        <v>93</v>
      </c>
      <c r="G54" s="35"/>
      <c r="H54" s="35"/>
      <c r="I54" s="36"/>
      <c r="K54" s="1">
        <v>1100</v>
      </c>
      <c r="L54" s="1">
        <v>16</v>
      </c>
    </row>
    <row r="55" spans="1:12" s="1" customFormat="1" ht="30" customHeight="1" x14ac:dyDescent="0.25">
      <c r="A55" s="39" t="s">
        <v>85</v>
      </c>
      <c r="B55" s="40"/>
      <c r="C55" s="41" t="s">
        <v>81</v>
      </c>
      <c r="D55" s="42"/>
      <c r="E55" s="4"/>
      <c r="F55" s="39" t="str">
        <f>A55</f>
        <v>KW621</v>
      </c>
      <c r="G55" s="40"/>
      <c r="H55" s="41" t="str">
        <f>C55</f>
        <v>Green</v>
      </c>
      <c r="I55" s="42"/>
    </row>
    <row r="56" spans="1:12" s="1" customFormat="1" ht="30" customHeight="1" x14ac:dyDescent="0.25">
      <c r="A56" s="12" t="s">
        <v>4</v>
      </c>
      <c r="B56" s="37">
        <v>27087</v>
      </c>
      <c r="C56" s="37"/>
      <c r="D56" s="38"/>
      <c r="E56" s="4"/>
      <c r="F56" s="12" t="s">
        <v>4</v>
      </c>
      <c r="G56" s="37">
        <f>B56</f>
        <v>27087</v>
      </c>
      <c r="H56" s="37"/>
      <c r="I56" s="38"/>
    </row>
    <row r="57" spans="1:12" ht="63.75" customHeight="1" x14ac:dyDescent="0.25">
      <c r="A57" s="33" t="s">
        <v>91</v>
      </c>
      <c r="B57" s="33"/>
      <c r="C57" s="33"/>
      <c r="D57" s="33"/>
      <c r="E57" s="2"/>
      <c r="F57" s="33" t="str">
        <f>A57</f>
        <v>Tall DEO - Screw</v>
      </c>
      <c r="G57" s="33"/>
      <c r="H57" s="33"/>
      <c r="I57" s="33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92</v>
      </c>
      <c r="E59" s="4"/>
      <c r="F59" s="11" t="s">
        <v>2</v>
      </c>
      <c r="G59" s="10"/>
      <c r="H59" s="11" t="s">
        <v>5</v>
      </c>
      <c r="I59" s="7" t="str">
        <f>D59</f>
        <v>21A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94</v>
      </c>
      <c r="E60" s="4"/>
      <c r="F60" s="8" t="s">
        <v>3</v>
      </c>
      <c r="G60" s="9">
        <v>49</v>
      </c>
      <c r="H60" s="11" t="s">
        <v>6</v>
      </c>
      <c r="I60" s="7" t="str">
        <f>D60</f>
        <v>DEO-S03</v>
      </c>
      <c r="K60" s="6" t="s">
        <v>8</v>
      </c>
      <c r="L60" s="6" t="s">
        <v>7</v>
      </c>
    </row>
    <row r="61" spans="1:12" s="1" customFormat="1" ht="30" customHeight="1" x14ac:dyDescent="0.25">
      <c r="A61" s="34" t="s">
        <v>93</v>
      </c>
      <c r="B61" s="35"/>
      <c r="C61" s="35"/>
      <c r="D61" s="36"/>
      <c r="E61" s="5"/>
      <c r="F61" s="34" t="s">
        <v>93</v>
      </c>
      <c r="G61" s="35"/>
      <c r="H61" s="35"/>
      <c r="I61" s="36"/>
      <c r="K61" s="1">
        <v>1100</v>
      </c>
      <c r="L61" s="1">
        <v>16</v>
      </c>
    </row>
    <row r="62" spans="1:12" s="1" customFormat="1" ht="30" customHeight="1" x14ac:dyDescent="0.25">
      <c r="A62" s="39" t="s">
        <v>85</v>
      </c>
      <c r="B62" s="40"/>
      <c r="C62" s="41" t="s">
        <v>81</v>
      </c>
      <c r="D62" s="42"/>
      <c r="E62" s="4"/>
      <c r="F62" s="39" t="str">
        <f>A62</f>
        <v>KW621</v>
      </c>
      <c r="G62" s="40"/>
      <c r="H62" s="41" t="str">
        <f>C62</f>
        <v>Green</v>
      </c>
      <c r="I62" s="42"/>
    </row>
    <row r="63" spans="1:12" s="1" customFormat="1" ht="30" customHeight="1" x14ac:dyDescent="0.25">
      <c r="A63" s="12" t="s">
        <v>4</v>
      </c>
      <c r="B63" s="37">
        <v>27087</v>
      </c>
      <c r="C63" s="37"/>
      <c r="D63" s="38"/>
      <c r="E63" s="4"/>
      <c r="F63" s="12" t="s">
        <v>4</v>
      </c>
      <c r="G63" s="37">
        <f>B63</f>
        <v>27087</v>
      </c>
      <c r="H63" s="37"/>
      <c r="I63" s="38"/>
    </row>
    <row r="64" spans="1:12" ht="63.75" customHeight="1" x14ac:dyDescent="0.25">
      <c r="A64" s="33" t="s">
        <v>91</v>
      </c>
      <c r="B64" s="33"/>
      <c r="C64" s="33"/>
      <c r="D64" s="33"/>
      <c r="E64" s="2"/>
      <c r="F64" s="33" t="str">
        <f>A64</f>
        <v>Tall DEO - Screw</v>
      </c>
      <c r="G64" s="33"/>
      <c r="H64" s="33"/>
      <c r="I64" s="33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92</v>
      </c>
      <c r="E66" s="4"/>
      <c r="F66" s="11" t="s">
        <v>2</v>
      </c>
      <c r="G66" s="10"/>
      <c r="H66" s="11" t="s">
        <v>5</v>
      </c>
      <c r="I66" s="7" t="str">
        <f>D66</f>
        <v>21A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94</v>
      </c>
      <c r="E67" s="4"/>
      <c r="F67" s="8" t="s">
        <v>3</v>
      </c>
      <c r="G67" s="9">
        <v>50</v>
      </c>
      <c r="H67" s="11" t="s">
        <v>6</v>
      </c>
      <c r="I67" s="7" t="str">
        <f>D67</f>
        <v>DEO-S03</v>
      </c>
      <c r="K67" s="6" t="s">
        <v>8</v>
      </c>
      <c r="L67" s="6" t="s">
        <v>7</v>
      </c>
    </row>
    <row r="68" spans="1:12" s="1" customFormat="1" ht="30" customHeight="1" x14ac:dyDescent="0.25">
      <c r="A68" s="34" t="s">
        <v>93</v>
      </c>
      <c r="B68" s="35"/>
      <c r="C68" s="35"/>
      <c r="D68" s="36"/>
      <c r="E68" s="5"/>
      <c r="F68" s="34" t="s">
        <v>93</v>
      </c>
      <c r="G68" s="35"/>
      <c r="H68" s="35"/>
      <c r="I68" s="36"/>
      <c r="K68" s="1">
        <v>1100</v>
      </c>
      <c r="L68" s="1">
        <v>16</v>
      </c>
    </row>
    <row r="69" spans="1:12" s="1" customFormat="1" ht="30" customHeight="1" x14ac:dyDescent="0.25">
      <c r="A69" s="39" t="s">
        <v>85</v>
      </c>
      <c r="B69" s="40"/>
      <c r="C69" s="41" t="s">
        <v>81</v>
      </c>
      <c r="D69" s="42"/>
      <c r="E69" s="4"/>
      <c r="F69" s="39" t="str">
        <f>A69</f>
        <v>KW621</v>
      </c>
      <c r="G69" s="40"/>
      <c r="H69" s="41" t="str">
        <f>C69</f>
        <v>Green</v>
      </c>
      <c r="I69" s="42"/>
    </row>
    <row r="70" spans="1:12" s="1" customFormat="1" ht="30" customHeight="1" x14ac:dyDescent="0.25">
      <c r="A70" s="12" t="s">
        <v>4</v>
      </c>
      <c r="B70" s="37">
        <v>27087</v>
      </c>
      <c r="C70" s="37"/>
      <c r="D70" s="38"/>
      <c r="E70" s="4"/>
      <c r="F70" s="12" t="s">
        <v>4</v>
      </c>
      <c r="G70" s="37">
        <f>B70</f>
        <v>27087</v>
      </c>
      <c r="H70" s="37"/>
      <c r="I70" s="38"/>
    </row>
    <row r="71" spans="1:12" ht="63.75" customHeight="1" x14ac:dyDescent="0.25">
      <c r="A71" s="33" t="s">
        <v>91</v>
      </c>
      <c r="B71" s="33"/>
      <c r="C71" s="33"/>
      <c r="D71" s="33"/>
      <c r="E71" s="2"/>
      <c r="F71" s="33" t="str">
        <f>A71</f>
        <v>Tall DEO - Screw</v>
      </c>
      <c r="G71" s="33"/>
      <c r="H71" s="33"/>
      <c r="I71" s="33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92</v>
      </c>
      <c r="E73" s="4"/>
      <c r="F73" s="11" t="s">
        <v>2</v>
      </c>
      <c r="G73" s="10"/>
      <c r="H73" s="11" t="s">
        <v>5</v>
      </c>
      <c r="I73" s="7" t="str">
        <f>D73</f>
        <v>21A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94</v>
      </c>
      <c r="E74" s="4"/>
      <c r="F74" s="8" t="s">
        <v>3</v>
      </c>
      <c r="G74" s="9">
        <v>51</v>
      </c>
      <c r="H74" s="11" t="s">
        <v>6</v>
      </c>
      <c r="I74" s="7" t="str">
        <f>D74</f>
        <v>DEO-S03</v>
      </c>
      <c r="K74" s="6" t="s">
        <v>8</v>
      </c>
      <c r="L74" s="6" t="s">
        <v>7</v>
      </c>
    </row>
    <row r="75" spans="1:12" s="1" customFormat="1" ht="30" customHeight="1" x14ac:dyDescent="0.25">
      <c r="A75" s="34" t="s">
        <v>93</v>
      </c>
      <c r="B75" s="35"/>
      <c r="C75" s="35"/>
      <c r="D75" s="36"/>
      <c r="E75" s="5"/>
      <c r="F75" s="34" t="s">
        <v>93</v>
      </c>
      <c r="G75" s="35"/>
      <c r="H75" s="35"/>
      <c r="I75" s="36"/>
      <c r="K75" s="1">
        <v>1100</v>
      </c>
      <c r="L75" s="1">
        <v>16</v>
      </c>
    </row>
    <row r="76" spans="1:12" s="1" customFormat="1" ht="30" customHeight="1" x14ac:dyDescent="0.25">
      <c r="A76" s="39" t="s">
        <v>85</v>
      </c>
      <c r="B76" s="40"/>
      <c r="C76" s="41" t="s">
        <v>81</v>
      </c>
      <c r="D76" s="42"/>
      <c r="E76" s="4"/>
      <c r="F76" s="39" t="str">
        <f>A76</f>
        <v>KW621</v>
      </c>
      <c r="G76" s="40"/>
      <c r="H76" s="41" t="str">
        <f>C76</f>
        <v>Green</v>
      </c>
      <c r="I76" s="42"/>
    </row>
    <row r="77" spans="1:12" s="1" customFormat="1" ht="30" customHeight="1" x14ac:dyDescent="0.25">
      <c r="A77" s="12" t="s">
        <v>4</v>
      </c>
      <c r="B77" s="37">
        <v>27087</v>
      </c>
      <c r="C77" s="37"/>
      <c r="D77" s="38"/>
      <c r="E77" s="4"/>
      <c r="F77" s="12" t="s">
        <v>4</v>
      </c>
      <c r="G77" s="37">
        <f>B77</f>
        <v>27087</v>
      </c>
      <c r="H77" s="37"/>
      <c r="I77" s="38"/>
    </row>
    <row r="78" spans="1:12" ht="63.75" customHeight="1" x14ac:dyDescent="0.25">
      <c r="A78" s="33" t="s">
        <v>91</v>
      </c>
      <c r="B78" s="33"/>
      <c r="C78" s="33"/>
      <c r="D78" s="33"/>
      <c r="E78" s="2"/>
      <c r="F78" s="33" t="str">
        <f>A78</f>
        <v>Tall DEO - Screw</v>
      </c>
      <c r="G78" s="33"/>
      <c r="H78" s="33"/>
      <c r="I78" s="33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92</v>
      </c>
      <c r="E80" s="4"/>
      <c r="F80" s="11" t="s">
        <v>2</v>
      </c>
      <c r="G80" s="10"/>
      <c r="H80" s="11" t="s">
        <v>5</v>
      </c>
      <c r="I80" s="7" t="str">
        <f>D80</f>
        <v>21A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94</v>
      </c>
      <c r="E81" s="4"/>
      <c r="F81" s="8" t="s">
        <v>3</v>
      </c>
      <c r="G81" s="9">
        <v>52</v>
      </c>
      <c r="H81" s="11" t="s">
        <v>6</v>
      </c>
      <c r="I81" s="7" t="str">
        <f>D81</f>
        <v>DEO-S03</v>
      </c>
      <c r="K81" s="6" t="s">
        <v>8</v>
      </c>
      <c r="L81" s="6" t="s">
        <v>7</v>
      </c>
    </row>
    <row r="82" spans="1:12" s="1" customFormat="1" ht="30" customHeight="1" x14ac:dyDescent="0.25">
      <c r="A82" s="34" t="s">
        <v>93</v>
      </c>
      <c r="B82" s="35"/>
      <c r="C82" s="35"/>
      <c r="D82" s="36"/>
      <c r="E82" s="5"/>
      <c r="F82" s="34" t="s">
        <v>93</v>
      </c>
      <c r="G82" s="35"/>
      <c r="H82" s="35"/>
      <c r="I82" s="36"/>
      <c r="K82" s="1">
        <v>1100</v>
      </c>
      <c r="L82" s="1">
        <v>16</v>
      </c>
    </row>
    <row r="83" spans="1:12" s="1" customFormat="1" ht="30" customHeight="1" x14ac:dyDescent="0.25">
      <c r="A83" s="39" t="s">
        <v>85</v>
      </c>
      <c r="B83" s="40"/>
      <c r="C83" s="41" t="s">
        <v>81</v>
      </c>
      <c r="D83" s="42"/>
      <c r="E83" s="4"/>
      <c r="F83" s="39" t="str">
        <f>A83</f>
        <v>KW621</v>
      </c>
      <c r="G83" s="40"/>
      <c r="H83" s="41" t="str">
        <f>C83</f>
        <v>Green</v>
      </c>
      <c r="I83" s="42"/>
    </row>
    <row r="84" spans="1:12" s="1" customFormat="1" ht="30" customHeight="1" x14ac:dyDescent="0.25">
      <c r="A84" s="12" t="s">
        <v>4</v>
      </c>
      <c r="B84" s="37">
        <v>27087</v>
      </c>
      <c r="C84" s="37"/>
      <c r="D84" s="38"/>
      <c r="E84" s="4"/>
      <c r="F84" s="12" t="s">
        <v>4</v>
      </c>
      <c r="G84" s="37">
        <f>B84</f>
        <v>27087</v>
      </c>
      <c r="H84" s="37"/>
      <c r="I84" s="38"/>
    </row>
    <row r="85" spans="1:12" ht="63.75" customHeight="1" x14ac:dyDescent="0.25">
      <c r="A85" s="33" t="s">
        <v>91</v>
      </c>
      <c r="B85" s="33"/>
      <c r="C85" s="33"/>
      <c r="D85" s="33"/>
      <c r="E85" s="2"/>
      <c r="F85" s="33" t="str">
        <f>A85</f>
        <v>Tall DEO - Screw</v>
      </c>
      <c r="G85" s="33"/>
      <c r="H85" s="33"/>
      <c r="I85" s="33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92</v>
      </c>
      <c r="E87" s="4"/>
      <c r="F87" s="11" t="s">
        <v>2</v>
      </c>
      <c r="G87" s="10"/>
      <c r="H87" s="11" t="s">
        <v>5</v>
      </c>
      <c r="I87" s="7" t="str">
        <f>D87</f>
        <v>21A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94</v>
      </c>
      <c r="E88" s="4"/>
      <c r="F88" s="8" t="s">
        <v>3</v>
      </c>
      <c r="G88" s="9">
        <v>53</v>
      </c>
      <c r="H88" s="11" t="s">
        <v>6</v>
      </c>
      <c r="I88" s="7" t="str">
        <f>D88</f>
        <v>DEO-S03</v>
      </c>
      <c r="K88" s="6" t="s">
        <v>8</v>
      </c>
      <c r="L88" s="6" t="s">
        <v>7</v>
      </c>
    </row>
    <row r="89" spans="1:12" s="1" customFormat="1" ht="30" customHeight="1" x14ac:dyDescent="0.25">
      <c r="A89" s="34" t="s">
        <v>93</v>
      </c>
      <c r="B89" s="35"/>
      <c r="C89" s="35"/>
      <c r="D89" s="36"/>
      <c r="E89" s="5"/>
      <c r="F89" s="34" t="s">
        <v>93</v>
      </c>
      <c r="G89" s="35"/>
      <c r="H89" s="35"/>
      <c r="I89" s="36"/>
      <c r="K89" s="1">
        <v>1100</v>
      </c>
      <c r="L89" s="1">
        <v>16</v>
      </c>
    </row>
    <row r="90" spans="1:12" s="1" customFormat="1" ht="30" customHeight="1" x14ac:dyDescent="0.25">
      <c r="A90" s="39" t="s">
        <v>85</v>
      </c>
      <c r="B90" s="40"/>
      <c r="C90" s="41" t="s">
        <v>81</v>
      </c>
      <c r="D90" s="42"/>
      <c r="E90" s="4"/>
      <c r="F90" s="39" t="str">
        <f>A90</f>
        <v>KW621</v>
      </c>
      <c r="G90" s="40"/>
      <c r="H90" s="41" t="str">
        <f>C90</f>
        <v>Green</v>
      </c>
      <c r="I90" s="42"/>
    </row>
    <row r="91" spans="1:12" s="1" customFormat="1" ht="30" customHeight="1" x14ac:dyDescent="0.25">
      <c r="A91" s="12" t="s">
        <v>4</v>
      </c>
      <c r="B91" s="37">
        <v>27087</v>
      </c>
      <c r="C91" s="37"/>
      <c r="D91" s="38"/>
      <c r="E91" s="4"/>
      <c r="F91" s="12" t="s">
        <v>4</v>
      </c>
      <c r="G91" s="37">
        <f>B91</f>
        <v>27087</v>
      </c>
      <c r="H91" s="37"/>
      <c r="I91" s="38"/>
    </row>
    <row r="92" spans="1:12" ht="63.75" customHeight="1" x14ac:dyDescent="0.25">
      <c r="A92" s="33" t="s">
        <v>91</v>
      </c>
      <c r="B92" s="33"/>
      <c r="C92" s="33"/>
      <c r="D92" s="33"/>
      <c r="E92" s="2"/>
      <c r="F92" s="33" t="str">
        <f>A92</f>
        <v>Tall DEO - Screw</v>
      </c>
      <c r="G92" s="33"/>
      <c r="H92" s="33"/>
      <c r="I92" s="33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92</v>
      </c>
      <c r="E94" s="4"/>
      <c r="F94" s="11" t="s">
        <v>2</v>
      </c>
      <c r="G94" s="10"/>
      <c r="H94" s="11" t="s">
        <v>5</v>
      </c>
      <c r="I94" s="7" t="str">
        <f>D94</f>
        <v>21A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94</v>
      </c>
      <c r="E95" s="4"/>
      <c r="F95" s="8" t="s">
        <v>3</v>
      </c>
      <c r="G95" s="9">
        <v>54</v>
      </c>
      <c r="H95" s="11" t="s">
        <v>6</v>
      </c>
      <c r="I95" s="7" t="str">
        <f>D95</f>
        <v>DEO-S03</v>
      </c>
      <c r="K95" s="6" t="s">
        <v>8</v>
      </c>
      <c r="L95" s="6" t="s">
        <v>7</v>
      </c>
    </row>
    <row r="96" spans="1:12" s="1" customFormat="1" ht="30" customHeight="1" x14ac:dyDescent="0.25">
      <c r="A96" s="34" t="s">
        <v>93</v>
      </c>
      <c r="B96" s="35"/>
      <c r="C96" s="35"/>
      <c r="D96" s="36"/>
      <c r="E96" s="5"/>
      <c r="F96" s="34" t="s">
        <v>93</v>
      </c>
      <c r="G96" s="35"/>
      <c r="H96" s="35"/>
      <c r="I96" s="36"/>
      <c r="K96" s="1">
        <v>1100</v>
      </c>
      <c r="L96" s="1">
        <v>16</v>
      </c>
    </row>
    <row r="97" spans="1:12" s="1" customFormat="1" ht="30" customHeight="1" x14ac:dyDescent="0.25">
      <c r="A97" s="39" t="s">
        <v>85</v>
      </c>
      <c r="B97" s="40"/>
      <c r="C97" s="41" t="s">
        <v>81</v>
      </c>
      <c r="D97" s="42"/>
      <c r="E97" s="4"/>
      <c r="F97" s="39" t="str">
        <f>A97</f>
        <v>KW621</v>
      </c>
      <c r="G97" s="40"/>
      <c r="H97" s="41" t="str">
        <f>C97</f>
        <v>Green</v>
      </c>
      <c r="I97" s="42"/>
    </row>
    <row r="98" spans="1:12" s="1" customFormat="1" ht="30" customHeight="1" x14ac:dyDescent="0.25">
      <c r="A98" s="12" t="s">
        <v>4</v>
      </c>
      <c r="B98" s="37">
        <v>27087</v>
      </c>
      <c r="C98" s="37"/>
      <c r="D98" s="38"/>
      <c r="E98" s="4"/>
      <c r="F98" s="12" t="s">
        <v>4</v>
      </c>
      <c r="G98" s="37">
        <f>B98</f>
        <v>27087</v>
      </c>
      <c r="H98" s="37"/>
      <c r="I98" s="38"/>
    </row>
    <row r="99" spans="1:12" ht="63.75" customHeight="1" x14ac:dyDescent="0.25">
      <c r="A99" s="33" t="s">
        <v>91</v>
      </c>
      <c r="B99" s="33"/>
      <c r="C99" s="33"/>
      <c r="D99" s="33"/>
      <c r="E99" s="2"/>
      <c r="F99" s="33" t="str">
        <f>A99</f>
        <v>Tall DEO - Screw</v>
      </c>
      <c r="G99" s="33"/>
      <c r="H99" s="33"/>
      <c r="I99" s="33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92</v>
      </c>
      <c r="E101" s="4"/>
      <c r="F101" s="11" t="s">
        <v>2</v>
      </c>
      <c r="G101" s="10"/>
      <c r="H101" s="11" t="s">
        <v>5</v>
      </c>
      <c r="I101" s="7" t="str">
        <f>D101</f>
        <v>21A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94</v>
      </c>
      <c r="E102" s="4"/>
      <c r="F102" s="8" t="s">
        <v>3</v>
      </c>
      <c r="G102" s="9">
        <v>55</v>
      </c>
      <c r="H102" s="11" t="s">
        <v>6</v>
      </c>
      <c r="I102" s="7" t="str">
        <f>D102</f>
        <v>DEO-S03</v>
      </c>
      <c r="K102" s="6" t="s">
        <v>8</v>
      </c>
      <c r="L102" s="6" t="s">
        <v>7</v>
      </c>
    </row>
    <row r="103" spans="1:12" s="1" customFormat="1" ht="30" customHeight="1" x14ac:dyDescent="0.25">
      <c r="A103" s="34" t="s">
        <v>93</v>
      </c>
      <c r="B103" s="35"/>
      <c r="C103" s="35"/>
      <c r="D103" s="36"/>
      <c r="E103" s="5"/>
      <c r="F103" s="34" t="s">
        <v>93</v>
      </c>
      <c r="G103" s="35"/>
      <c r="H103" s="35"/>
      <c r="I103" s="36"/>
      <c r="K103" s="1">
        <v>1100</v>
      </c>
      <c r="L103" s="1">
        <v>16</v>
      </c>
    </row>
    <row r="104" spans="1:12" s="1" customFormat="1" ht="30" customHeight="1" x14ac:dyDescent="0.25">
      <c r="A104" s="39" t="s">
        <v>85</v>
      </c>
      <c r="B104" s="40"/>
      <c r="C104" s="41" t="s">
        <v>81</v>
      </c>
      <c r="D104" s="42"/>
      <c r="E104" s="4"/>
      <c r="F104" s="39" t="str">
        <f>A104</f>
        <v>KW621</v>
      </c>
      <c r="G104" s="40"/>
      <c r="H104" s="41" t="str">
        <f>C104</f>
        <v>Green</v>
      </c>
      <c r="I104" s="42"/>
    </row>
    <row r="105" spans="1:12" s="1" customFormat="1" ht="30" customHeight="1" x14ac:dyDescent="0.25">
      <c r="A105" s="12" t="s">
        <v>4</v>
      </c>
      <c r="B105" s="37">
        <v>27087</v>
      </c>
      <c r="C105" s="37"/>
      <c r="D105" s="38"/>
      <c r="E105" s="4"/>
      <c r="F105" s="12" t="s">
        <v>4</v>
      </c>
      <c r="G105" s="37">
        <f>B105</f>
        <v>27087</v>
      </c>
      <c r="H105" s="37"/>
      <c r="I105" s="38"/>
    </row>
    <row r="106" spans="1:12" ht="63.75" customHeight="1" x14ac:dyDescent="0.25">
      <c r="A106" s="33" t="s">
        <v>91</v>
      </c>
      <c r="B106" s="33"/>
      <c r="C106" s="33"/>
      <c r="D106" s="33"/>
      <c r="E106" s="2"/>
      <c r="F106" s="33" t="str">
        <f>A106</f>
        <v>Tall DEO - Screw</v>
      </c>
      <c r="G106" s="33"/>
      <c r="H106" s="33"/>
      <c r="I106" s="33"/>
    </row>
    <row r="107" spans="1:12" s="1" customFormat="1" ht="30" customHeight="1" x14ac:dyDescent="0.25">
      <c r="A107" s="11" t="s">
        <v>0</v>
      </c>
      <c r="B107" s="10"/>
      <c r="C107" s="11" t="s">
        <v>1</v>
      </c>
      <c r="D107" s="10"/>
      <c r="E107" s="3"/>
      <c r="F107" s="11" t="s">
        <v>0</v>
      </c>
      <c r="G107" s="10"/>
      <c r="H107" s="11" t="s">
        <v>1</v>
      </c>
      <c r="I107" s="10"/>
    </row>
    <row r="108" spans="1:12" s="1" customFormat="1" ht="30" customHeight="1" x14ac:dyDescent="0.25">
      <c r="A108" s="11" t="s">
        <v>2</v>
      </c>
      <c r="B108" s="10"/>
      <c r="C108" s="11" t="s">
        <v>5</v>
      </c>
      <c r="D108" s="7" t="s">
        <v>92</v>
      </c>
      <c r="E108" s="4"/>
      <c r="F108" s="11" t="s">
        <v>2</v>
      </c>
      <c r="G108" s="10"/>
      <c r="H108" s="11" t="s">
        <v>5</v>
      </c>
      <c r="I108" s="7" t="str">
        <f>D108</f>
        <v>21A</v>
      </c>
    </row>
    <row r="109" spans="1:12" s="1" customFormat="1" ht="53.25" customHeight="1" x14ac:dyDescent="0.25">
      <c r="A109" s="8" t="s">
        <v>3</v>
      </c>
      <c r="B109" s="9">
        <v>16</v>
      </c>
      <c r="C109" s="11" t="s">
        <v>6</v>
      </c>
      <c r="D109" s="7" t="s">
        <v>94</v>
      </c>
      <c r="E109" s="4"/>
      <c r="F109" s="8" t="s">
        <v>3</v>
      </c>
      <c r="G109" s="9">
        <v>56</v>
      </c>
      <c r="H109" s="11" t="s">
        <v>6</v>
      </c>
      <c r="I109" s="7" t="str">
        <f>D109</f>
        <v>DEO-S03</v>
      </c>
      <c r="K109" s="6" t="s">
        <v>8</v>
      </c>
      <c r="L109" s="6" t="s">
        <v>7</v>
      </c>
    </row>
    <row r="110" spans="1:12" s="1" customFormat="1" ht="30" customHeight="1" x14ac:dyDescent="0.25">
      <c r="A110" s="34" t="s">
        <v>93</v>
      </c>
      <c r="B110" s="35"/>
      <c r="C110" s="35"/>
      <c r="D110" s="36"/>
      <c r="E110" s="5"/>
      <c r="F110" s="34" t="s">
        <v>93</v>
      </c>
      <c r="G110" s="35"/>
      <c r="H110" s="35"/>
      <c r="I110" s="36"/>
      <c r="K110" s="1">
        <v>1100</v>
      </c>
      <c r="L110" s="1">
        <v>16</v>
      </c>
    </row>
    <row r="111" spans="1:12" s="1" customFormat="1" ht="30" customHeight="1" x14ac:dyDescent="0.25">
      <c r="A111" s="39" t="s">
        <v>85</v>
      </c>
      <c r="B111" s="40"/>
      <c r="C111" s="41" t="s">
        <v>81</v>
      </c>
      <c r="D111" s="42"/>
      <c r="E111" s="4"/>
      <c r="F111" s="39" t="str">
        <f>A111</f>
        <v>KW621</v>
      </c>
      <c r="G111" s="40"/>
      <c r="H111" s="41" t="str">
        <f>C111</f>
        <v>Green</v>
      </c>
      <c r="I111" s="42"/>
    </row>
    <row r="112" spans="1:12" s="1" customFormat="1" ht="30" customHeight="1" x14ac:dyDescent="0.25">
      <c r="A112" s="12" t="s">
        <v>4</v>
      </c>
      <c r="B112" s="37">
        <v>27087</v>
      </c>
      <c r="C112" s="37"/>
      <c r="D112" s="38"/>
      <c r="E112" s="4"/>
      <c r="F112" s="12" t="s">
        <v>4</v>
      </c>
      <c r="G112" s="37">
        <f>B112</f>
        <v>27087</v>
      </c>
      <c r="H112" s="37"/>
      <c r="I112" s="38"/>
    </row>
    <row r="113" spans="1:12" ht="63.75" customHeight="1" x14ac:dyDescent="0.25">
      <c r="A113" s="33" t="s">
        <v>91</v>
      </c>
      <c r="B113" s="33"/>
      <c r="C113" s="33"/>
      <c r="D113" s="33"/>
      <c r="E113" s="2"/>
      <c r="F113" s="33" t="str">
        <f>A113</f>
        <v>Tall DEO - Screw</v>
      </c>
      <c r="G113" s="33"/>
      <c r="H113" s="33"/>
      <c r="I113" s="33"/>
    </row>
    <row r="114" spans="1:12" s="1" customFormat="1" ht="30" customHeight="1" x14ac:dyDescent="0.25">
      <c r="A114" s="11" t="s">
        <v>0</v>
      </c>
      <c r="B114" s="10"/>
      <c r="C114" s="11" t="s">
        <v>1</v>
      </c>
      <c r="D114" s="10"/>
      <c r="E114" s="3"/>
      <c r="F114" s="11" t="s">
        <v>0</v>
      </c>
      <c r="G114" s="10"/>
      <c r="H114" s="11" t="s">
        <v>1</v>
      </c>
      <c r="I114" s="10"/>
    </row>
    <row r="115" spans="1:12" s="1" customFormat="1" ht="30" customHeight="1" x14ac:dyDescent="0.25">
      <c r="A115" s="11" t="s">
        <v>2</v>
      </c>
      <c r="B115" s="10"/>
      <c r="C115" s="11" t="s">
        <v>5</v>
      </c>
      <c r="D115" s="7" t="s">
        <v>92</v>
      </c>
      <c r="E115" s="4"/>
      <c r="F115" s="11" t="s">
        <v>2</v>
      </c>
      <c r="G115" s="10"/>
      <c r="H115" s="11" t="s">
        <v>5</v>
      </c>
      <c r="I115" s="7" t="str">
        <f>D115</f>
        <v>21A</v>
      </c>
    </row>
    <row r="116" spans="1:12" s="1" customFormat="1" ht="53.25" customHeight="1" x14ac:dyDescent="0.25">
      <c r="A116" s="8" t="s">
        <v>3</v>
      </c>
      <c r="B116" s="9">
        <v>17</v>
      </c>
      <c r="C116" s="11" t="s">
        <v>6</v>
      </c>
      <c r="D116" s="7" t="s">
        <v>94</v>
      </c>
      <c r="E116" s="4"/>
      <c r="F116" s="8" t="s">
        <v>3</v>
      </c>
      <c r="G116" s="9">
        <v>57</v>
      </c>
      <c r="H116" s="11" t="s">
        <v>6</v>
      </c>
      <c r="I116" s="7" t="str">
        <f>D116</f>
        <v>DEO-S03</v>
      </c>
      <c r="K116" s="6" t="s">
        <v>8</v>
      </c>
      <c r="L116" s="6" t="s">
        <v>7</v>
      </c>
    </row>
    <row r="117" spans="1:12" s="1" customFormat="1" ht="30" customHeight="1" x14ac:dyDescent="0.25">
      <c r="A117" s="34" t="s">
        <v>93</v>
      </c>
      <c r="B117" s="35"/>
      <c r="C117" s="35"/>
      <c r="D117" s="36"/>
      <c r="E117" s="5"/>
      <c r="F117" s="34" t="s">
        <v>93</v>
      </c>
      <c r="G117" s="35"/>
      <c r="H117" s="35"/>
      <c r="I117" s="36"/>
      <c r="K117" s="1">
        <v>1100</v>
      </c>
      <c r="L117" s="1">
        <v>16</v>
      </c>
    </row>
    <row r="118" spans="1:12" s="1" customFormat="1" ht="30" customHeight="1" x14ac:dyDescent="0.25">
      <c r="A118" s="39" t="s">
        <v>85</v>
      </c>
      <c r="B118" s="40"/>
      <c r="C118" s="41" t="s">
        <v>81</v>
      </c>
      <c r="D118" s="42"/>
      <c r="E118" s="4"/>
      <c r="F118" s="39" t="str">
        <f>A118</f>
        <v>KW621</v>
      </c>
      <c r="G118" s="40"/>
      <c r="H118" s="41" t="str">
        <f>C118</f>
        <v>Green</v>
      </c>
      <c r="I118" s="42"/>
    </row>
    <row r="119" spans="1:12" s="1" customFormat="1" ht="30" customHeight="1" x14ac:dyDescent="0.25">
      <c r="A119" s="12" t="s">
        <v>4</v>
      </c>
      <c r="B119" s="37">
        <v>27087</v>
      </c>
      <c r="C119" s="37"/>
      <c r="D119" s="38"/>
      <c r="E119" s="4"/>
      <c r="F119" s="12" t="s">
        <v>4</v>
      </c>
      <c r="G119" s="37">
        <f>B119</f>
        <v>27087</v>
      </c>
      <c r="H119" s="37"/>
      <c r="I119" s="38"/>
    </row>
    <row r="120" spans="1:12" ht="63.75" customHeight="1" x14ac:dyDescent="0.25">
      <c r="A120" s="33" t="s">
        <v>91</v>
      </c>
      <c r="B120" s="33"/>
      <c r="C120" s="33"/>
      <c r="D120" s="33"/>
      <c r="E120" s="2"/>
      <c r="F120" s="33" t="str">
        <f>A120</f>
        <v>Tall DEO - Screw</v>
      </c>
      <c r="G120" s="33"/>
      <c r="H120" s="33"/>
      <c r="I120" s="33"/>
    </row>
    <row r="121" spans="1:12" s="1" customFormat="1" ht="30" customHeight="1" x14ac:dyDescent="0.25">
      <c r="A121" s="11" t="s">
        <v>0</v>
      </c>
      <c r="B121" s="10"/>
      <c r="C121" s="11" t="s">
        <v>1</v>
      </c>
      <c r="D121" s="10"/>
      <c r="E121" s="3"/>
      <c r="F121" s="11" t="s">
        <v>0</v>
      </c>
      <c r="G121" s="10"/>
      <c r="H121" s="11" t="s">
        <v>1</v>
      </c>
      <c r="I121" s="10"/>
    </row>
    <row r="122" spans="1:12" s="1" customFormat="1" ht="30" customHeight="1" x14ac:dyDescent="0.25">
      <c r="A122" s="11" t="s">
        <v>2</v>
      </c>
      <c r="B122" s="10"/>
      <c r="C122" s="11" t="s">
        <v>5</v>
      </c>
      <c r="D122" s="7" t="s">
        <v>92</v>
      </c>
      <c r="E122" s="4"/>
      <c r="F122" s="11" t="s">
        <v>2</v>
      </c>
      <c r="G122" s="10"/>
      <c r="H122" s="11" t="s">
        <v>5</v>
      </c>
      <c r="I122" s="7" t="str">
        <f>D122</f>
        <v>21A</v>
      </c>
    </row>
    <row r="123" spans="1:12" s="1" customFormat="1" ht="53.25" customHeight="1" x14ac:dyDescent="0.25">
      <c r="A123" s="8" t="s">
        <v>3</v>
      </c>
      <c r="B123" s="9">
        <v>18</v>
      </c>
      <c r="C123" s="11" t="s">
        <v>6</v>
      </c>
      <c r="D123" s="7" t="s">
        <v>94</v>
      </c>
      <c r="E123" s="4"/>
      <c r="F123" s="8" t="s">
        <v>3</v>
      </c>
      <c r="G123" s="9">
        <v>58</v>
      </c>
      <c r="H123" s="11" t="s">
        <v>6</v>
      </c>
      <c r="I123" s="7" t="str">
        <f>D123</f>
        <v>DEO-S03</v>
      </c>
      <c r="K123" s="6" t="s">
        <v>8</v>
      </c>
      <c r="L123" s="6" t="s">
        <v>7</v>
      </c>
    </row>
    <row r="124" spans="1:12" s="1" customFormat="1" ht="30" customHeight="1" x14ac:dyDescent="0.25">
      <c r="A124" s="34" t="s">
        <v>93</v>
      </c>
      <c r="B124" s="35"/>
      <c r="C124" s="35"/>
      <c r="D124" s="36"/>
      <c r="E124" s="5"/>
      <c r="F124" s="34" t="s">
        <v>93</v>
      </c>
      <c r="G124" s="35"/>
      <c r="H124" s="35"/>
      <c r="I124" s="36"/>
      <c r="K124" s="1">
        <v>1100</v>
      </c>
      <c r="L124" s="1">
        <v>16</v>
      </c>
    </row>
    <row r="125" spans="1:12" s="1" customFormat="1" ht="30" customHeight="1" x14ac:dyDescent="0.25">
      <c r="A125" s="39" t="s">
        <v>85</v>
      </c>
      <c r="B125" s="40"/>
      <c r="C125" s="41" t="s">
        <v>81</v>
      </c>
      <c r="D125" s="42"/>
      <c r="E125" s="4"/>
      <c r="F125" s="39" t="str">
        <f>A125</f>
        <v>KW621</v>
      </c>
      <c r="G125" s="40"/>
      <c r="H125" s="41" t="str">
        <f>C125</f>
        <v>Green</v>
      </c>
      <c r="I125" s="42"/>
    </row>
    <row r="126" spans="1:12" s="1" customFormat="1" ht="30" customHeight="1" x14ac:dyDescent="0.25">
      <c r="A126" s="12" t="s">
        <v>4</v>
      </c>
      <c r="B126" s="37">
        <v>27087</v>
      </c>
      <c r="C126" s="37"/>
      <c r="D126" s="38"/>
      <c r="E126" s="4"/>
      <c r="F126" s="12" t="s">
        <v>4</v>
      </c>
      <c r="G126" s="37">
        <f>B126</f>
        <v>27087</v>
      </c>
      <c r="H126" s="37"/>
      <c r="I126" s="38"/>
    </row>
    <row r="127" spans="1:12" ht="63.75" customHeight="1" x14ac:dyDescent="0.25">
      <c r="A127" s="33" t="s">
        <v>91</v>
      </c>
      <c r="B127" s="33"/>
      <c r="C127" s="33"/>
      <c r="D127" s="33"/>
      <c r="E127" s="2"/>
      <c r="F127" s="33" t="str">
        <f>A127</f>
        <v>Tall DEO - Screw</v>
      </c>
      <c r="G127" s="33"/>
      <c r="H127" s="33"/>
      <c r="I127" s="33"/>
    </row>
    <row r="128" spans="1:12" s="1" customFormat="1" ht="30" customHeight="1" x14ac:dyDescent="0.25">
      <c r="A128" s="11" t="s">
        <v>0</v>
      </c>
      <c r="B128" s="10"/>
      <c r="C128" s="11" t="s">
        <v>1</v>
      </c>
      <c r="D128" s="10"/>
      <c r="E128" s="3"/>
      <c r="F128" s="11" t="s">
        <v>0</v>
      </c>
      <c r="G128" s="10"/>
      <c r="H128" s="11" t="s">
        <v>1</v>
      </c>
      <c r="I128" s="10"/>
    </row>
    <row r="129" spans="1:12" s="1" customFormat="1" ht="30" customHeight="1" x14ac:dyDescent="0.25">
      <c r="A129" s="11" t="s">
        <v>2</v>
      </c>
      <c r="B129" s="10"/>
      <c r="C129" s="11" t="s">
        <v>5</v>
      </c>
      <c r="D129" s="7" t="s">
        <v>92</v>
      </c>
      <c r="E129" s="4"/>
      <c r="F129" s="11" t="s">
        <v>2</v>
      </c>
      <c r="G129" s="10"/>
      <c r="H129" s="11" t="s">
        <v>5</v>
      </c>
      <c r="I129" s="7" t="str">
        <f>D129</f>
        <v>21A</v>
      </c>
    </row>
    <row r="130" spans="1:12" s="1" customFormat="1" ht="53.25" customHeight="1" x14ac:dyDescent="0.25">
      <c r="A130" s="8" t="s">
        <v>3</v>
      </c>
      <c r="B130" s="9">
        <v>19</v>
      </c>
      <c r="C130" s="11" t="s">
        <v>6</v>
      </c>
      <c r="D130" s="7" t="s">
        <v>94</v>
      </c>
      <c r="E130" s="4"/>
      <c r="F130" s="8" t="s">
        <v>3</v>
      </c>
      <c r="G130" s="9">
        <v>59</v>
      </c>
      <c r="H130" s="11" t="s">
        <v>6</v>
      </c>
      <c r="I130" s="7" t="str">
        <f>D130</f>
        <v>DEO-S03</v>
      </c>
      <c r="K130" s="6" t="s">
        <v>8</v>
      </c>
      <c r="L130" s="6" t="s">
        <v>7</v>
      </c>
    </row>
    <row r="131" spans="1:12" s="1" customFormat="1" ht="30" customHeight="1" x14ac:dyDescent="0.25">
      <c r="A131" s="34" t="s">
        <v>93</v>
      </c>
      <c r="B131" s="35"/>
      <c r="C131" s="35"/>
      <c r="D131" s="36"/>
      <c r="E131" s="5"/>
      <c r="F131" s="34" t="s">
        <v>93</v>
      </c>
      <c r="G131" s="35"/>
      <c r="H131" s="35"/>
      <c r="I131" s="36"/>
      <c r="K131" s="1">
        <v>1100</v>
      </c>
      <c r="L131" s="1">
        <v>16</v>
      </c>
    </row>
    <row r="132" spans="1:12" s="1" customFormat="1" ht="30" customHeight="1" x14ac:dyDescent="0.25">
      <c r="A132" s="39" t="s">
        <v>85</v>
      </c>
      <c r="B132" s="40"/>
      <c r="C132" s="41" t="s">
        <v>81</v>
      </c>
      <c r="D132" s="42"/>
      <c r="E132" s="4"/>
      <c r="F132" s="39" t="str">
        <f>A132</f>
        <v>KW621</v>
      </c>
      <c r="G132" s="40"/>
      <c r="H132" s="41" t="str">
        <f>C132</f>
        <v>Green</v>
      </c>
      <c r="I132" s="42"/>
    </row>
    <row r="133" spans="1:12" s="1" customFormat="1" ht="30" customHeight="1" x14ac:dyDescent="0.25">
      <c r="A133" s="12" t="s">
        <v>4</v>
      </c>
      <c r="B133" s="37">
        <v>27087</v>
      </c>
      <c r="C133" s="37"/>
      <c r="D133" s="38"/>
      <c r="E133" s="4"/>
      <c r="F133" s="12" t="s">
        <v>4</v>
      </c>
      <c r="G133" s="37">
        <f>B133</f>
        <v>27087</v>
      </c>
      <c r="H133" s="37"/>
      <c r="I133" s="38"/>
    </row>
    <row r="134" spans="1:12" ht="63.75" customHeight="1" x14ac:dyDescent="0.25">
      <c r="A134" s="33" t="s">
        <v>91</v>
      </c>
      <c r="B134" s="33"/>
      <c r="C134" s="33"/>
      <c r="D134" s="33"/>
      <c r="E134" s="2"/>
      <c r="F134" s="33" t="str">
        <f>A134</f>
        <v>Tall DEO - Screw</v>
      </c>
      <c r="G134" s="33"/>
      <c r="H134" s="33"/>
      <c r="I134" s="33"/>
    </row>
    <row r="135" spans="1:12" s="1" customFormat="1" ht="30" customHeight="1" x14ac:dyDescent="0.25">
      <c r="A135" s="11" t="s">
        <v>0</v>
      </c>
      <c r="B135" s="10"/>
      <c r="C135" s="11" t="s">
        <v>1</v>
      </c>
      <c r="D135" s="10"/>
      <c r="E135" s="3"/>
      <c r="F135" s="11" t="s">
        <v>0</v>
      </c>
      <c r="G135" s="10"/>
      <c r="H135" s="11" t="s">
        <v>1</v>
      </c>
      <c r="I135" s="10"/>
    </row>
    <row r="136" spans="1:12" s="1" customFormat="1" ht="30" customHeight="1" x14ac:dyDescent="0.25">
      <c r="A136" s="11" t="s">
        <v>2</v>
      </c>
      <c r="B136" s="10"/>
      <c r="C136" s="11" t="s">
        <v>5</v>
      </c>
      <c r="D136" s="7" t="s">
        <v>92</v>
      </c>
      <c r="E136" s="4"/>
      <c r="F136" s="11" t="s">
        <v>2</v>
      </c>
      <c r="G136" s="10"/>
      <c r="H136" s="11" t="s">
        <v>5</v>
      </c>
      <c r="I136" s="7" t="str">
        <f>D136</f>
        <v>21A</v>
      </c>
    </row>
    <row r="137" spans="1:12" s="1" customFormat="1" ht="53.25" customHeight="1" x14ac:dyDescent="0.25">
      <c r="A137" s="8" t="s">
        <v>3</v>
      </c>
      <c r="B137" s="9">
        <v>20</v>
      </c>
      <c r="C137" s="11" t="s">
        <v>6</v>
      </c>
      <c r="D137" s="7" t="s">
        <v>94</v>
      </c>
      <c r="E137" s="4"/>
      <c r="F137" s="8" t="s">
        <v>3</v>
      </c>
      <c r="G137" s="9">
        <v>60</v>
      </c>
      <c r="H137" s="11" t="s">
        <v>6</v>
      </c>
      <c r="I137" s="7" t="str">
        <f>D137</f>
        <v>DEO-S03</v>
      </c>
      <c r="K137" s="6" t="s">
        <v>8</v>
      </c>
      <c r="L137" s="6" t="s">
        <v>7</v>
      </c>
    </row>
    <row r="138" spans="1:12" s="1" customFormat="1" ht="30" customHeight="1" x14ac:dyDescent="0.25">
      <c r="A138" s="34" t="s">
        <v>93</v>
      </c>
      <c r="B138" s="35"/>
      <c r="C138" s="35"/>
      <c r="D138" s="36"/>
      <c r="E138" s="5"/>
      <c r="F138" s="34" t="s">
        <v>93</v>
      </c>
      <c r="G138" s="35"/>
      <c r="H138" s="35"/>
      <c r="I138" s="36"/>
      <c r="K138" s="1">
        <v>1100</v>
      </c>
      <c r="L138" s="1">
        <v>16</v>
      </c>
    </row>
    <row r="139" spans="1:12" s="1" customFormat="1" ht="30" customHeight="1" x14ac:dyDescent="0.25">
      <c r="A139" s="39" t="s">
        <v>85</v>
      </c>
      <c r="B139" s="40"/>
      <c r="C139" s="41" t="s">
        <v>81</v>
      </c>
      <c r="D139" s="42"/>
      <c r="E139" s="4"/>
      <c r="F139" s="39" t="str">
        <f>A139</f>
        <v>KW621</v>
      </c>
      <c r="G139" s="40"/>
      <c r="H139" s="41" t="str">
        <f>C139</f>
        <v>Green</v>
      </c>
      <c r="I139" s="42"/>
    </row>
    <row r="140" spans="1:12" s="1" customFormat="1" ht="30" customHeight="1" x14ac:dyDescent="0.25">
      <c r="A140" s="12" t="s">
        <v>4</v>
      </c>
      <c r="B140" s="37">
        <v>27087</v>
      </c>
      <c r="C140" s="37"/>
      <c r="D140" s="38"/>
      <c r="E140" s="4"/>
      <c r="F140" s="12" t="s">
        <v>4</v>
      </c>
      <c r="G140" s="37">
        <f>B140</f>
        <v>27087</v>
      </c>
      <c r="H140" s="37"/>
      <c r="I140" s="38"/>
    </row>
    <row r="141" spans="1:12" ht="63.75" customHeight="1" x14ac:dyDescent="0.25">
      <c r="A141" s="33" t="s">
        <v>91</v>
      </c>
      <c r="B141" s="33"/>
      <c r="C141" s="33"/>
      <c r="D141" s="33"/>
      <c r="E141" s="2"/>
      <c r="F141" s="33" t="str">
        <f>A141</f>
        <v>Tall DEO - Screw</v>
      </c>
      <c r="G141" s="33"/>
      <c r="H141" s="33"/>
      <c r="I141" s="33"/>
    </row>
    <row r="142" spans="1:12" s="1" customFormat="1" ht="30" customHeight="1" x14ac:dyDescent="0.25">
      <c r="A142" s="11" t="s">
        <v>0</v>
      </c>
      <c r="B142" s="10"/>
      <c r="C142" s="11" t="s">
        <v>1</v>
      </c>
      <c r="D142" s="10"/>
      <c r="E142" s="3"/>
      <c r="F142" s="11" t="s">
        <v>0</v>
      </c>
      <c r="G142" s="10"/>
      <c r="H142" s="11" t="s">
        <v>1</v>
      </c>
      <c r="I142" s="10"/>
    </row>
    <row r="143" spans="1:12" s="1" customFormat="1" ht="30" customHeight="1" x14ac:dyDescent="0.25">
      <c r="A143" s="11" t="s">
        <v>2</v>
      </c>
      <c r="B143" s="10"/>
      <c r="C143" s="11" t="s">
        <v>5</v>
      </c>
      <c r="D143" s="7" t="s">
        <v>92</v>
      </c>
      <c r="E143" s="4"/>
      <c r="F143" s="11" t="s">
        <v>2</v>
      </c>
      <c r="G143" s="10"/>
      <c r="H143" s="11" t="s">
        <v>5</v>
      </c>
      <c r="I143" s="7" t="str">
        <f>D143</f>
        <v>21A</v>
      </c>
    </row>
    <row r="144" spans="1:12" s="1" customFormat="1" ht="53.25" customHeight="1" x14ac:dyDescent="0.25">
      <c r="A144" s="8" t="s">
        <v>3</v>
      </c>
      <c r="B144" s="9">
        <v>21</v>
      </c>
      <c r="C144" s="11" t="s">
        <v>6</v>
      </c>
      <c r="D144" s="7" t="s">
        <v>94</v>
      </c>
      <c r="E144" s="4"/>
      <c r="F144" s="8" t="s">
        <v>3</v>
      </c>
      <c r="G144" s="9">
        <v>61</v>
      </c>
      <c r="H144" s="11" t="s">
        <v>6</v>
      </c>
      <c r="I144" s="7" t="str">
        <f>D144</f>
        <v>DEO-S03</v>
      </c>
      <c r="K144" s="6" t="s">
        <v>8</v>
      </c>
      <c r="L144" s="6" t="s">
        <v>7</v>
      </c>
    </row>
    <row r="145" spans="1:12" s="1" customFormat="1" ht="30" customHeight="1" x14ac:dyDescent="0.25">
      <c r="A145" s="34" t="s">
        <v>93</v>
      </c>
      <c r="B145" s="35"/>
      <c r="C145" s="35"/>
      <c r="D145" s="36"/>
      <c r="E145" s="5"/>
      <c r="F145" s="34" t="s">
        <v>93</v>
      </c>
      <c r="G145" s="35"/>
      <c r="H145" s="35"/>
      <c r="I145" s="36"/>
      <c r="K145" s="1">
        <v>1100</v>
      </c>
      <c r="L145" s="1">
        <v>16</v>
      </c>
    </row>
    <row r="146" spans="1:12" s="1" customFormat="1" ht="30" customHeight="1" x14ac:dyDescent="0.25">
      <c r="A146" s="39" t="s">
        <v>85</v>
      </c>
      <c r="B146" s="40"/>
      <c r="C146" s="41" t="s">
        <v>81</v>
      </c>
      <c r="D146" s="42"/>
      <c r="E146" s="4"/>
      <c r="F146" s="39" t="str">
        <f>A146</f>
        <v>KW621</v>
      </c>
      <c r="G146" s="40"/>
      <c r="H146" s="41" t="str">
        <f>C146</f>
        <v>Green</v>
      </c>
      <c r="I146" s="42"/>
    </row>
    <row r="147" spans="1:12" s="1" customFormat="1" ht="30" customHeight="1" x14ac:dyDescent="0.25">
      <c r="A147" s="12" t="s">
        <v>4</v>
      </c>
      <c r="B147" s="37">
        <v>27087</v>
      </c>
      <c r="C147" s="37"/>
      <c r="D147" s="38"/>
      <c r="E147" s="4"/>
      <c r="F147" s="12" t="s">
        <v>4</v>
      </c>
      <c r="G147" s="37">
        <f>B147</f>
        <v>27087</v>
      </c>
      <c r="H147" s="37"/>
      <c r="I147" s="38"/>
    </row>
    <row r="148" spans="1:12" ht="63.75" customHeight="1" x14ac:dyDescent="0.25">
      <c r="A148" s="33" t="s">
        <v>91</v>
      </c>
      <c r="B148" s="33"/>
      <c r="C148" s="33"/>
      <c r="D148" s="33"/>
      <c r="E148" s="2"/>
      <c r="F148" s="33" t="str">
        <f>A148</f>
        <v>Tall DEO - Screw</v>
      </c>
      <c r="G148" s="33"/>
      <c r="H148" s="33"/>
      <c r="I148" s="33"/>
    </row>
    <row r="149" spans="1:12" s="1" customFormat="1" ht="30" customHeight="1" x14ac:dyDescent="0.25">
      <c r="A149" s="11" t="s">
        <v>0</v>
      </c>
      <c r="B149" s="10"/>
      <c r="C149" s="11" t="s">
        <v>1</v>
      </c>
      <c r="D149" s="10"/>
      <c r="E149" s="3"/>
      <c r="F149" s="11" t="s">
        <v>0</v>
      </c>
      <c r="G149" s="10"/>
      <c r="H149" s="11" t="s">
        <v>1</v>
      </c>
      <c r="I149" s="10"/>
    </row>
    <row r="150" spans="1:12" s="1" customFormat="1" ht="30" customHeight="1" x14ac:dyDescent="0.25">
      <c r="A150" s="11" t="s">
        <v>2</v>
      </c>
      <c r="B150" s="10"/>
      <c r="C150" s="11" t="s">
        <v>5</v>
      </c>
      <c r="D150" s="7" t="s">
        <v>92</v>
      </c>
      <c r="E150" s="4"/>
      <c r="F150" s="11" t="s">
        <v>2</v>
      </c>
      <c r="G150" s="10"/>
      <c r="H150" s="11" t="s">
        <v>5</v>
      </c>
      <c r="I150" s="7" t="str">
        <f>D150</f>
        <v>21A</v>
      </c>
    </row>
    <row r="151" spans="1:12" s="1" customFormat="1" ht="53.25" customHeight="1" x14ac:dyDescent="0.25">
      <c r="A151" s="8" t="s">
        <v>3</v>
      </c>
      <c r="B151" s="9">
        <v>22</v>
      </c>
      <c r="C151" s="11" t="s">
        <v>6</v>
      </c>
      <c r="D151" s="7" t="s">
        <v>94</v>
      </c>
      <c r="E151" s="4"/>
      <c r="F151" s="8" t="s">
        <v>3</v>
      </c>
      <c r="G151" s="9">
        <v>62</v>
      </c>
      <c r="H151" s="11" t="s">
        <v>6</v>
      </c>
      <c r="I151" s="7" t="str">
        <f>D151</f>
        <v>DEO-S03</v>
      </c>
      <c r="K151" s="6" t="s">
        <v>8</v>
      </c>
      <c r="L151" s="6" t="s">
        <v>7</v>
      </c>
    </row>
    <row r="152" spans="1:12" s="1" customFormat="1" ht="30" customHeight="1" x14ac:dyDescent="0.25">
      <c r="A152" s="34" t="s">
        <v>93</v>
      </c>
      <c r="B152" s="35"/>
      <c r="C152" s="35"/>
      <c r="D152" s="36"/>
      <c r="E152" s="5"/>
      <c r="F152" s="34" t="s">
        <v>93</v>
      </c>
      <c r="G152" s="35"/>
      <c r="H152" s="35"/>
      <c r="I152" s="36"/>
      <c r="K152" s="1">
        <v>1100</v>
      </c>
      <c r="L152" s="1">
        <v>16</v>
      </c>
    </row>
    <row r="153" spans="1:12" s="1" customFormat="1" ht="30" customHeight="1" x14ac:dyDescent="0.25">
      <c r="A153" s="39" t="s">
        <v>85</v>
      </c>
      <c r="B153" s="40"/>
      <c r="C153" s="41" t="s">
        <v>81</v>
      </c>
      <c r="D153" s="42"/>
      <c r="E153" s="4"/>
      <c r="F153" s="39" t="str">
        <f>A153</f>
        <v>KW621</v>
      </c>
      <c r="G153" s="40"/>
      <c r="H153" s="41" t="str">
        <f>C153</f>
        <v>Green</v>
      </c>
      <c r="I153" s="42"/>
    </row>
    <row r="154" spans="1:12" s="1" customFormat="1" ht="30" customHeight="1" x14ac:dyDescent="0.25">
      <c r="A154" s="12" t="s">
        <v>4</v>
      </c>
      <c r="B154" s="37">
        <v>27087</v>
      </c>
      <c r="C154" s="37"/>
      <c r="D154" s="38"/>
      <c r="E154" s="4"/>
      <c r="F154" s="12" t="s">
        <v>4</v>
      </c>
      <c r="G154" s="37">
        <f>B154</f>
        <v>27087</v>
      </c>
      <c r="H154" s="37"/>
      <c r="I154" s="38"/>
    </row>
    <row r="155" spans="1:12" ht="63.75" customHeight="1" x14ac:dyDescent="0.25">
      <c r="A155" s="33" t="s">
        <v>91</v>
      </c>
      <c r="B155" s="33"/>
      <c r="C155" s="33"/>
      <c r="D155" s="33"/>
      <c r="E155" s="2"/>
      <c r="F155" s="33" t="str">
        <f>A155</f>
        <v>Tall DEO - Screw</v>
      </c>
      <c r="G155" s="33"/>
      <c r="H155" s="33"/>
      <c r="I155" s="33"/>
    </row>
    <row r="156" spans="1:12" s="1" customFormat="1" ht="30" customHeight="1" x14ac:dyDescent="0.25">
      <c r="A156" s="11" t="s">
        <v>0</v>
      </c>
      <c r="B156" s="10"/>
      <c r="C156" s="11" t="s">
        <v>1</v>
      </c>
      <c r="D156" s="10"/>
      <c r="E156" s="3"/>
      <c r="F156" s="11" t="s">
        <v>0</v>
      </c>
      <c r="G156" s="10"/>
      <c r="H156" s="11" t="s">
        <v>1</v>
      </c>
      <c r="I156" s="10"/>
    </row>
    <row r="157" spans="1:12" s="1" customFormat="1" ht="30" customHeight="1" x14ac:dyDescent="0.25">
      <c r="A157" s="11" t="s">
        <v>2</v>
      </c>
      <c r="B157" s="10"/>
      <c r="C157" s="11" t="s">
        <v>5</v>
      </c>
      <c r="D157" s="7" t="s">
        <v>92</v>
      </c>
      <c r="E157" s="4"/>
      <c r="F157" s="11" t="s">
        <v>2</v>
      </c>
      <c r="G157" s="10"/>
      <c r="H157" s="11" t="s">
        <v>5</v>
      </c>
      <c r="I157" s="7" t="str">
        <f>D157</f>
        <v>21A</v>
      </c>
    </row>
    <row r="158" spans="1:12" s="1" customFormat="1" ht="53.25" customHeight="1" x14ac:dyDescent="0.25">
      <c r="A158" s="8" t="s">
        <v>3</v>
      </c>
      <c r="B158" s="9">
        <v>23</v>
      </c>
      <c r="C158" s="11" t="s">
        <v>6</v>
      </c>
      <c r="D158" s="7" t="s">
        <v>94</v>
      </c>
      <c r="E158" s="4"/>
      <c r="F158" s="8" t="s">
        <v>3</v>
      </c>
      <c r="G158" s="9">
        <v>63</v>
      </c>
      <c r="H158" s="11" t="s">
        <v>6</v>
      </c>
      <c r="I158" s="7" t="str">
        <f>D158</f>
        <v>DEO-S03</v>
      </c>
      <c r="K158" s="6" t="s">
        <v>8</v>
      </c>
      <c r="L158" s="6" t="s">
        <v>7</v>
      </c>
    </row>
    <row r="159" spans="1:12" s="1" customFormat="1" ht="30" customHeight="1" x14ac:dyDescent="0.25">
      <c r="A159" s="34" t="s">
        <v>93</v>
      </c>
      <c r="B159" s="35"/>
      <c r="C159" s="35"/>
      <c r="D159" s="36"/>
      <c r="E159" s="5"/>
      <c r="F159" s="34" t="s">
        <v>93</v>
      </c>
      <c r="G159" s="35"/>
      <c r="H159" s="35"/>
      <c r="I159" s="36"/>
      <c r="K159" s="1">
        <v>1100</v>
      </c>
      <c r="L159" s="1">
        <v>16</v>
      </c>
    </row>
    <row r="160" spans="1:12" s="1" customFormat="1" ht="30" customHeight="1" x14ac:dyDescent="0.25">
      <c r="A160" s="39" t="s">
        <v>85</v>
      </c>
      <c r="B160" s="40"/>
      <c r="C160" s="41" t="s">
        <v>81</v>
      </c>
      <c r="D160" s="42"/>
      <c r="E160" s="4"/>
      <c r="F160" s="39" t="str">
        <f>A160</f>
        <v>KW621</v>
      </c>
      <c r="G160" s="40"/>
      <c r="H160" s="41" t="str">
        <f>C160</f>
        <v>Green</v>
      </c>
      <c r="I160" s="42"/>
    </row>
    <row r="161" spans="1:12" s="1" customFormat="1" ht="30" customHeight="1" x14ac:dyDescent="0.25">
      <c r="A161" s="12" t="s">
        <v>4</v>
      </c>
      <c r="B161" s="37">
        <v>27087</v>
      </c>
      <c r="C161" s="37"/>
      <c r="D161" s="38"/>
      <c r="E161" s="4"/>
      <c r="F161" s="12" t="s">
        <v>4</v>
      </c>
      <c r="G161" s="37">
        <f>B161</f>
        <v>27087</v>
      </c>
      <c r="H161" s="37"/>
      <c r="I161" s="38"/>
    </row>
    <row r="162" spans="1:12" ht="63.75" customHeight="1" x14ac:dyDescent="0.25">
      <c r="A162" s="33" t="s">
        <v>91</v>
      </c>
      <c r="B162" s="33"/>
      <c r="C162" s="33"/>
      <c r="D162" s="33"/>
      <c r="E162" s="2"/>
      <c r="F162" s="33" t="str">
        <f>A162</f>
        <v>Tall DEO - Screw</v>
      </c>
      <c r="G162" s="33"/>
      <c r="H162" s="33"/>
      <c r="I162" s="33"/>
    </row>
    <row r="163" spans="1:12" s="1" customFormat="1" ht="30" customHeight="1" x14ac:dyDescent="0.25">
      <c r="A163" s="11" t="s">
        <v>0</v>
      </c>
      <c r="B163" s="10"/>
      <c r="C163" s="11" t="s">
        <v>1</v>
      </c>
      <c r="D163" s="10"/>
      <c r="E163" s="3"/>
      <c r="F163" s="11" t="s">
        <v>0</v>
      </c>
      <c r="G163" s="10"/>
      <c r="H163" s="11" t="s">
        <v>1</v>
      </c>
      <c r="I163" s="10"/>
    </row>
    <row r="164" spans="1:12" s="1" customFormat="1" ht="30" customHeight="1" x14ac:dyDescent="0.25">
      <c r="A164" s="11" t="s">
        <v>2</v>
      </c>
      <c r="B164" s="10"/>
      <c r="C164" s="11" t="s">
        <v>5</v>
      </c>
      <c r="D164" s="7" t="s">
        <v>92</v>
      </c>
      <c r="E164" s="4"/>
      <c r="F164" s="11" t="s">
        <v>2</v>
      </c>
      <c r="G164" s="10"/>
      <c r="H164" s="11" t="s">
        <v>5</v>
      </c>
      <c r="I164" s="7" t="str">
        <f>D164</f>
        <v>21A</v>
      </c>
    </row>
    <row r="165" spans="1:12" s="1" customFormat="1" ht="53.25" customHeight="1" x14ac:dyDescent="0.25">
      <c r="A165" s="8" t="s">
        <v>3</v>
      </c>
      <c r="B165" s="9">
        <v>24</v>
      </c>
      <c r="C165" s="11" t="s">
        <v>6</v>
      </c>
      <c r="D165" s="7" t="s">
        <v>94</v>
      </c>
      <c r="E165" s="4"/>
      <c r="F165" s="8" t="s">
        <v>3</v>
      </c>
      <c r="G165" s="9">
        <v>64</v>
      </c>
      <c r="H165" s="11" t="s">
        <v>6</v>
      </c>
      <c r="I165" s="7" t="str">
        <f>D165</f>
        <v>DEO-S03</v>
      </c>
      <c r="K165" s="6" t="s">
        <v>8</v>
      </c>
      <c r="L165" s="6" t="s">
        <v>7</v>
      </c>
    </row>
    <row r="166" spans="1:12" s="1" customFormat="1" ht="30" customHeight="1" x14ac:dyDescent="0.25">
      <c r="A166" s="34" t="s">
        <v>93</v>
      </c>
      <c r="B166" s="35"/>
      <c r="C166" s="35"/>
      <c r="D166" s="36"/>
      <c r="E166" s="5"/>
      <c r="F166" s="34" t="s">
        <v>93</v>
      </c>
      <c r="G166" s="35"/>
      <c r="H166" s="35"/>
      <c r="I166" s="36"/>
      <c r="K166" s="1">
        <v>1100</v>
      </c>
      <c r="L166" s="1">
        <v>16</v>
      </c>
    </row>
    <row r="167" spans="1:12" s="1" customFormat="1" ht="30" customHeight="1" x14ac:dyDescent="0.25">
      <c r="A167" s="39" t="s">
        <v>85</v>
      </c>
      <c r="B167" s="40"/>
      <c r="C167" s="41" t="s">
        <v>81</v>
      </c>
      <c r="D167" s="42"/>
      <c r="E167" s="4"/>
      <c r="F167" s="39" t="str">
        <f>A167</f>
        <v>KW621</v>
      </c>
      <c r="G167" s="40"/>
      <c r="H167" s="41" t="str">
        <f>C167</f>
        <v>Green</v>
      </c>
      <c r="I167" s="42"/>
    </row>
    <row r="168" spans="1:12" s="1" customFormat="1" ht="30" customHeight="1" x14ac:dyDescent="0.25">
      <c r="A168" s="12" t="s">
        <v>4</v>
      </c>
      <c r="B168" s="37">
        <v>27087</v>
      </c>
      <c r="C168" s="37"/>
      <c r="D168" s="38"/>
      <c r="E168" s="4"/>
      <c r="F168" s="12" t="s">
        <v>4</v>
      </c>
      <c r="G168" s="37">
        <f>B168</f>
        <v>27087</v>
      </c>
      <c r="H168" s="37"/>
      <c r="I168" s="38"/>
    </row>
    <row r="169" spans="1:12" ht="63.75" customHeight="1" x14ac:dyDescent="0.25">
      <c r="A169" s="33" t="s">
        <v>91</v>
      </c>
      <c r="B169" s="33"/>
      <c r="C169" s="33"/>
      <c r="D169" s="33"/>
      <c r="E169" s="2"/>
      <c r="F169" s="33" t="str">
        <f>A169</f>
        <v>Tall DEO - Screw</v>
      </c>
      <c r="G169" s="33"/>
      <c r="H169" s="33"/>
      <c r="I169" s="33"/>
    </row>
    <row r="170" spans="1:12" s="1" customFormat="1" ht="30" customHeight="1" x14ac:dyDescent="0.25">
      <c r="A170" s="11" t="s">
        <v>0</v>
      </c>
      <c r="B170" s="10"/>
      <c r="C170" s="11" t="s">
        <v>1</v>
      </c>
      <c r="D170" s="10"/>
      <c r="E170" s="3"/>
      <c r="F170" s="11" t="s">
        <v>0</v>
      </c>
      <c r="G170" s="10"/>
      <c r="H170" s="11" t="s">
        <v>1</v>
      </c>
      <c r="I170" s="10"/>
    </row>
    <row r="171" spans="1:12" s="1" customFormat="1" ht="30" customHeight="1" x14ac:dyDescent="0.25">
      <c r="A171" s="11" t="s">
        <v>2</v>
      </c>
      <c r="B171" s="10"/>
      <c r="C171" s="11" t="s">
        <v>5</v>
      </c>
      <c r="D171" s="7" t="s">
        <v>92</v>
      </c>
      <c r="E171" s="4"/>
      <c r="F171" s="11" t="s">
        <v>2</v>
      </c>
      <c r="G171" s="10"/>
      <c r="H171" s="11" t="s">
        <v>5</v>
      </c>
      <c r="I171" s="7" t="str">
        <f>D171</f>
        <v>21A</v>
      </c>
    </row>
    <row r="172" spans="1:12" s="1" customFormat="1" ht="53.25" customHeight="1" x14ac:dyDescent="0.25">
      <c r="A172" s="8" t="s">
        <v>3</v>
      </c>
      <c r="B172" s="9">
        <v>25</v>
      </c>
      <c r="C172" s="11" t="s">
        <v>6</v>
      </c>
      <c r="D172" s="7" t="s">
        <v>94</v>
      </c>
      <c r="E172" s="4"/>
      <c r="F172" s="8" t="s">
        <v>3</v>
      </c>
      <c r="G172" s="9">
        <v>65</v>
      </c>
      <c r="H172" s="11" t="s">
        <v>6</v>
      </c>
      <c r="I172" s="7" t="str">
        <f>D172</f>
        <v>DEO-S03</v>
      </c>
      <c r="K172" s="6" t="s">
        <v>8</v>
      </c>
      <c r="L172" s="6" t="s">
        <v>7</v>
      </c>
    </row>
    <row r="173" spans="1:12" s="1" customFormat="1" ht="30" customHeight="1" x14ac:dyDescent="0.25">
      <c r="A173" s="34" t="s">
        <v>93</v>
      </c>
      <c r="B173" s="35"/>
      <c r="C173" s="35"/>
      <c r="D173" s="36"/>
      <c r="E173" s="5"/>
      <c r="F173" s="34" t="s">
        <v>93</v>
      </c>
      <c r="G173" s="35"/>
      <c r="H173" s="35"/>
      <c r="I173" s="36"/>
      <c r="K173" s="1">
        <v>1100</v>
      </c>
      <c r="L173" s="1">
        <v>16</v>
      </c>
    </row>
    <row r="174" spans="1:12" s="1" customFormat="1" ht="30" customHeight="1" x14ac:dyDescent="0.25">
      <c r="A174" s="39" t="s">
        <v>85</v>
      </c>
      <c r="B174" s="40"/>
      <c r="C174" s="41" t="s">
        <v>81</v>
      </c>
      <c r="D174" s="42"/>
      <c r="E174" s="4"/>
      <c r="F174" s="39" t="str">
        <f>A174</f>
        <v>KW621</v>
      </c>
      <c r="G174" s="40"/>
      <c r="H174" s="41" t="str">
        <f>C174</f>
        <v>Green</v>
      </c>
      <c r="I174" s="42"/>
    </row>
    <row r="175" spans="1:12" s="1" customFormat="1" ht="30" customHeight="1" x14ac:dyDescent="0.25">
      <c r="A175" s="12" t="s">
        <v>4</v>
      </c>
      <c r="B175" s="37">
        <v>27087</v>
      </c>
      <c r="C175" s="37"/>
      <c r="D175" s="38"/>
      <c r="E175" s="4"/>
      <c r="F175" s="12" t="s">
        <v>4</v>
      </c>
      <c r="G175" s="37">
        <f>B175</f>
        <v>27087</v>
      </c>
      <c r="H175" s="37"/>
      <c r="I175" s="38"/>
    </row>
    <row r="176" spans="1:12" ht="63.75" customHeight="1" x14ac:dyDescent="0.25">
      <c r="A176" s="33" t="s">
        <v>91</v>
      </c>
      <c r="B176" s="33"/>
      <c r="C176" s="33"/>
      <c r="D176" s="33"/>
      <c r="E176" s="2"/>
      <c r="F176" s="33" t="str">
        <f>A176</f>
        <v>Tall DEO - Screw</v>
      </c>
      <c r="G176" s="33"/>
      <c r="H176" s="33"/>
      <c r="I176" s="33"/>
    </row>
    <row r="177" spans="1:12" s="1" customFormat="1" ht="30" customHeight="1" x14ac:dyDescent="0.25">
      <c r="A177" s="11" t="s">
        <v>0</v>
      </c>
      <c r="B177" s="10"/>
      <c r="C177" s="11" t="s">
        <v>1</v>
      </c>
      <c r="D177" s="10"/>
      <c r="E177" s="3"/>
      <c r="F177" s="11" t="s">
        <v>0</v>
      </c>
      <c r="G177" s="10"/>
      <c r="H177" s="11" t="s">
        <v>1</v>
      </c>
      <c r="I177" s="10"/>
    </row>
    <row r="178" spans="1:12" s="1" customFormat="1" ht="30" customHeight="1" x14ac:dyDescent="0.25">
      <c r="A178" s="11" t="s">
        <v>2</v>
      </c>
      <c r="B178" s="10"/>
      <c r="C178" s="11" t="s">
        <v>5</v>
      </c>
      <c r="D178" s="7" t="s">
        <v>92</v>
      </c>
      <c r="E178" s="4"/>
      <c r="F178" s="11" t="s">
        <v>2</v>
      </c>
      <c r="G178" s="10"/>
      <c r="H178" s="11" t="s">
        <v>5</v>
      </c>
      <c r="I178" s="7" t="str">
        <f>D178</f>
        <v>21A</v>
      </c>
    </row>
    <row r="179" spans="1:12" s="1" customFormat="1" ht="53.25" customHeight="1" x14ac:dyDescent="0.25">
      <c r="A179" s="8" t="s">
        <v>3</v>
      </c>
      <c r="B179" s="9">
        <v>26</v>
      </c>
      <c r="C179" s="11" t="s">
        <v>6</v>
      </c>
      <c r="D179" s="7" t="s">
        <v>94</v>
      </c>
      <c r="E179" s="4"/>
      <c r="F179" s="8" t="s">
        <v>3</v>
      </c>
      <c r="G179" s="9">
        <v>66</v>
      </c>
      <c r="H179" s="11" t="s">
        <v>6</v>
      </c>
      <c r="I179" s="7" t="str">
        <f>D179</f>
        <v>DEO-S03</v>
      </c>
      <c r="K179" s="6" t="s">
        <v>8</v>
      </c>
      <c r="L179" s="6" t="s">
        <v>7</v>
      </c>
    </row>
    <row r="180" spans="1:12" s="1" customFormat="1" ht="30" customHeight="1" x14ac:dyDescent="0.25">
      <c r="A180" s="34" t="s">
        <v>93</v>
      </c>
      <c r="B180" s="35"/>
      <c r="C180" s="35"/>
      <c r="D180" s="36"/>
      <c r="E180" s="5"/>
      <c r="F180" s="34" t="s">
        <v>93</v>
      </c>
      <c r="G180" s="35"/>
      <c r="H180" s="35"/>
      <c r="I180" s="36"/>
      <c r="K180" s="1">
        <v>1100</v>
      </c>
      <c r="L180" s="1">
        <v>16</v>
      </c>
    </row>
    <row r="181" spans="1:12" s="1" customFormat="1" ht="30" customHeight="1" x14ac:dyDescent="0.25">
      <c r="A181" s="39" t="s">
        <v>85</v>
      </c>
      <c r="B181" s="40"/>
      <c r="C181" s="41" t="s">
        <v>81</v>
      </c>
      <c r="D181" s="42"/>
      <c r="E181" s="4"/>
      <c r="F181" s="39" t="str">
        <f>A181</f>
        <v>KW621</v>
      </c>
      <c r="G181" s="40"/>
      <c r="H181" s="41" t="str">
        <f>C181</f>
        <v>Green</v>
      </c>
      <c r="I181" s="42"/>
    </row>
    <row r="182" spans="1:12" s="1" customFormat="1" ht="30" customHeight="1" x14ac:dyDescent="0.25">
      <c r="A182" s="12" t="s">
        <v>4</v>
      </c>
      <c r="B182" s="37">
        <v>27087</v>
      </c>
      <c r="C182" s="37"/>
      <c r="D182" s="38"/>
      <c r="E182" s="4"/>
      <c r="F182" s="12" t="s">
        <v>4</v>
      </c>
      <c r="G182" s="37">
        <f>B182</f>
        <v>27087</v>
      </c>
      <c r="H182" s="37"/>
      <c r="I182" s="38"/>
    </row>
    <row r="183" spans="1:12" ht="63.75" customHeight="1" x14ac:dyDescent="0.25">
      <c r="A183" s="33" t="s">
        <v>91</v>
      </c>
      <c r="B183" s="33"/>
      <c r="C183" s="33"/>
      <c r="D183" s="33"/>
      <c r="E183" s="2"/>
      <c r="F183" s="33" t="str">
        <f>A183</f>
        <v>Tall DEO - Screw</v>
      </c>
      <c r="G183" s="33"/>
      <c r="H183" s="33"/>
      <c r="I183" s="33"/>
    </row>
    <row r="184" spans="1:12" s="1" customFormat="1" ht="30" customHeight="1" x14ac:dyDescent="0.25">
      <c r="A184" s="11" t="s">
        <v>0</v>
      </c>
      <c r="B184" s="10"/>
      <c r="C184" s="11" t="s">
        <v>1</v>
      </c>
      <c r="D184" s="10"/>
      <c r="E184" s="3"/>
      <c r="F184" s="11" t="s">
        <v>0</v>
      </c>
      <c r="G184" s="10"/>
      <c r="H184" s="11" t="s">
        <v>1</v>
      </c>
      <c r="I184" s="10"/>
    </row>
    <row r="185" spans="1:12" s="1" customFormat="1" ht="30" customHeight="1" x14ac:dyDescent="0.25">
      <c r="A185" s="11" t="s">
        <v>2</v>
      </c>
      <c r="B185" s="10"/>
      <c r="C185" s="11" t="s">
        <v>5</v>
      </c>
      <c r="D185" s="7" t="s">
        <v>92</v>
      </c>
      <c r="E185" s="4"/>
      <c r="F185" s="11" t="s">
        <v>2</v>
      </c>
      <c r="G185" s="10"/>
      <c r="H185" s="11" t="s">
        <v>5</v>
      </c>
      <c r="I185" s="7" t="str">
        <f>D185</f>
        <v>21A</v>
      </c>
    </row>
    <row r="186" spans="1:12" s="1" customFormat="1" ht="53.25" customHeight="1" x14ac:dyDescent="0.25">
      <c r="A186" s="8" t="s">
        <v>3</v>
      </c>
      <c r="B186" s="9">
        <v>27</v>
      </c>
      <c r="C186" s="11" t="s">
        <v>6</v>
      </c>
      <c r="D186" s="7" t="s">
        <v>94</v>
      </c>
      <c r="E186" s="4"/>
      <c r="F186" s="8" t="s">
        <v>3</v>
      </c>
      <c r="G186" s="9">
        <v>67</v>
      </c>
      <c r="H186" s="11" t="s">
        <v>6</v>
      </c>
      <c r="I186" s="7" t="str">
        <f>D186</f>
        <v>DEO-S03</v>
      </c>
      <c r="K186" s="6" t="s">
        <v>8</v>
      </c>
      <c r="L186" s="6" t="s">
        <v>7</v>
      </c>
    </row>
    <row r="187" spans="1:12" s="1" customFormat="1" ht="30" customHeight="1" x14ac:dyDescent="0.25">
      <c r="A187" s="34" t="s">
        <v>93</v>
      </c>
      <c r="B187" s="35"/>
      <c r="C187" s="35"/>
      <c r="D187" s="36"/>
      <c r="E187" s="5"/>
      <c r="F187" s="34" t="s">
        <v>93</v>
      </c>
      <c r="G187" s="35"/>
      <c r="H187" s="35"/>
      <c r="I187" s="36"/>
      <c r="K187" s="1">
        <v>1100</v>
      </c>
      <c r="L187" s="1">
        <v>16</v>
      </c>
    </row>
    <row r="188" spans="1:12" s="1" customFormat="1" ht="30" customHeight="1" x14ac:dyDescent="0.25">
      <c r="A188" s="39" t="s">
        <v>85</v>
      </c>
      <c r="B188" s="40"/>
      <c r="C188" s="41" t="s">
        <v>81</v>
      </c>
      <c r="D188" s="42"/>
      <c r="E188" s="4"/>
      <c r="F188" s="39" t="str">
        <f>A188</f>
        <v>KW621</v>
      </c>
      <c r="G188" s="40"/>
      <c r="H188" s="41" t="str">
        <f>C188</f>
        <v>Green</v>
      </c>
      <c r="I188" s="42"/>
    </row>
    <row r="189" spans="1:12" s="1" customFormat="1" ht="30" customHeight="1" x14ac:dyDescent="0.25">
      <c r="A189" s="12" t="s">
        <v>4</v>
      </c>
      <c r="B189" s="37">
        <v>27087</v>
      </c>
      <c r="C189" s="37"/>
      <c r="D189" s="38"/>
      <c r="E189" s="4"/>
      <c r="F189" s="12" t="s">
        <v>4</v>
      </c>
      <c r="G189" s="37">
        <f>B189</f>
        <v>27087</v>
      </c>
      <c r="H189" s="37"/>
      <c r="I189" s="38"/>
    </row>
    <row r="190" spans="1:12" ht="63.75" customHeight="1" x14ac:dyDescent="0.25">
      <c r="A190" s="33" t="s">
        <v>91</v>
      </c>
      <c r="B190" s="33"/>
      <c r="C190" s="33"/>
      <c r="D190" s="33"/>
      <c r="E190" s="2"/>
      <c r="F190" s="33" t="str">
        <f>A190</f>
        <v>Tall DEO - Screw</v>
      </c>
      <c r="G190" s="33"/>
      <c r="H190" s="33"/>
      <c r="I190" s="33"/>
    </row>
    <row r="191" spans="1:12" s="1" customFormat="1" ht="30" customHeight="1" x14ac:dyDescent="0.25">
      <c r="A191" s="11" t="s">
        <v>0</v>
      </c>
      <c r="B191" s="10"/>
      <c r="C191" s="11" t="s">
        <v>1</v>
      </c>
      <c r="D191" s="10"/>
      <c r="E191" s="3"/>
      <c r="F191" s="11" t="s">
        <v>0</v>
      </c>
      <c r="G191" s="10"/>
      <c r="H191" s="11" t="s">
        <v>1</v>
      </c>
      <c r="I191" s="10"/>
    </row>
    <row r="192" spans="1:12" s="1" customFormat="1" ht="30" customHeight="1" x14ac:dyDescent="0.25">
      <c r="A192" s="11" t="s">
        <v>2</v>
      </c>
      <c r="B192" s="10"/>
      <c r="C192" s="11" t="s">
        <v>5</v>
      </c>
      <c r="D192" s="7" t="s">
        <v>92</v>
      </c>
      <c r="E192" s="4"/>
      <c r="F192" s="11" t="s">
        <v>2</v>
      </c>
      <c r="G192" s="10"/>
      <c r="H192" s="11" t="s">
        <v>5</v>
      </c>
      <c r="I192" s="7" t="str">
        <f>D192</f>
        <v>21A</v>
      </c>
    </row>
    <row r="193" spans="1:12" s="1" customFormat="1" ht="53.25" customHeight="1" x14ac:dyDescent="0.25">
      <c r="A193" s="8" t="s">
        <v>3</v>
      </c>
      <c r="B193" s="9">
        <v>28</v>
      </c>
      <c r="C193" s="11" t="s">
        <v>6</v>
      </c>
      <c r="D193" s="7" t="s">
        <v>94</v>
      </c>
      <c r="E193" s="4"/>
      <c r="F193" s="8" t="s">
        <v>3</v>
      </c>
      <c r="G193" s="9">
        <v>68</v>
      </c>
      <c r="H193" s="11" t="s">
        <v>6</v>
      </c>
      <c r="I193" s="7" t="str">
        <f>D193</f>
        <v>DEO-S03</v>
      </c>
      <c r="K193" s="6" t="s">
        <v>8</v>
      </c>
      <c r="L193" s="6" t="s">
        <v>7</v>
      </c>
    </row>
    <row r="194" spans="1:12" s="1" customFormat="1" ht="30" customHeight="1" x14ac:dyDescent="0.25">
      <c r="A194" s="34" t="s">
        <v>93</v>
      </c>
      <c r="B194" s="35"/>
      <c r="C194" s="35"/>
      <c r="D194" s="36"/>
      <c r="E194" s="5"/>
      <c r="F194" s="34" t="s">
        <v>93</v>
      </c>
      <c r="G194" s="35"/>
      <c r="H194" s="35"/>
      <c r="I194" s="36"/>
      <c r="K194" s="1">
        <v>1100</v>
      </c>
      <c r="L194" s="1">
        <v>16</v>
      </c>
    </row>
    <row r="195" spans="1:12" s="1" customFormat="1" ht="30" customHeight="1" x14ac:dyDescent="0.25">
      <c r="A195" s="39" t="s">
        <v>85</v>
      </c>
      <c r="B195" s="40"/>
      <c r="C195" s="41" t="s">
        <v>81</v>
      </c>
      <c r="D195" s="42"/>
      <c r="E195" s="4"/>
      <c r="F195" s="39" t="str">
        <f>A195</f>
        <v>KW621</v>
      </c>
      <c r="G195" s="40"/>
      <c r="H195" s="41" t="str">
        <f>C195</f>
        <v>Green</v>
      </c>
      <c r="I195" s="42"/>
    </row>
    <row r="196" spans="1:12" s="1" customFormat="1" ht="30" customHeight="1" x14ac:dyDescent="0.25">
      <c r="A196" s="12" t="s">
        <v>4</v>
      </c>
      <c r="B196" s="37">
        <v>27087</v>
      </c>
      <c r="C196" s="37"/>
      <c r="D196" s="38"/>
      <c r="E196" s="4"/>
      <c r="F196" s="12" t="s">
        <v>4</v>
      </c>
      <c r="G196" s="37">
        <f>B196</f>
        <v>27087</v>
      </c>
      <c r="H196" s="37"/>
      <c r="I196" s="38"/>
    </row>
    <row r="197" spans="1:12" ht="63.75" customHeight="1" x14ac:dyDescent="0.25">
      <c r="A197" s="33" t="s">
        <v>91</v>
      </c>
      <c r="B197" s="33"/>
      <c r="C197" s="33"/>
      <c r="D197" s="33"/>
      <c r="E197" s="2"/>
      <c r="F197" s="33" t="str">
        <f>A197</f>
        <v>Tall DEO - Screw</v>
      </c>
      <c r="G197" s="33"/>
      <c r="H197" s="33"/>
      <c r="I197" s="33"/>
    </row>
    <row r="198" spans="1:12" s="1" customFormat="1" ht="30" customHeight="1" x14ac:dyDescent="0.25">
      <c r="A198" s="11" t="s">
        <v>0</v>
      </c>
      <c r="B198" s="10"/>
      <c r="C198" s="11" t="s">
        <v>1</v>
      </c>
      <c r="D198" s="10"/>
      <c r="E198" s="3"/>
      <c r="F198" s="11" t="s">
        <v>0</v>
      </c>
      <c r="G198" s="10"/>
      <c r="H198" s="11" t="s">
        <v>1</v>
      </c>
      <c r="I198" s="10"/>
    </row>
    <row r="199" spans="1:12" s="1" customFormat="1" ht="30" customHeight="1" x14ac:dyDescent="0.25">
      <c r="A199" s="11" t="s">
        <v>2</v>
      </c>
      <c r="B199" s="10"/>
      <c r="C199" s="11" t="s">
        <v>5</v>
      </c>
      <c r="D199" s="7" t="s">
        <v>92</v>
      </c>
      <c r="E199" s="4"/>
      <c r="F199" s="11" t="s">
        <v>2</v>
      </c>
      <c r="G199" s="10"/>
      <c r="H199" s="11" t="s">
        <v>5</v>
      </c>
      <c r="I199" s="7" t="str">
        <f>D199</f>
        <v>21A</v>
      </c>
    </row>
    <row r="200" spans="1:12" s="1" customFormat="1" ht="53.25" customHeight="1" x14ac:dyDescent="0.25">
      <c r="A200" s="8" t="s">
        <v>3</v>
      </c>
      <c r="B200" s="9">
        <v>29</v>
      </c>
      <c r="C200" s="11" t="s">
        <v>6</v>
      </c>
      <c r="D200" s="7" t="s">
        <v>94</v>
      </c>
      <c r="E200" s="4"/>
      <c r="F200" s="8" t="s">
        <v>3</v>
      </c>
      <c r="G200" s="9">
        <v>69</v>
      </c>
      <c r="H200" s="11" t="s">
        <v>6</v>
      </c>
      <c r="I200" s="7" t="str">
        <f>D200</f>
        <v>DEO-S03</v>
      </c>
      <c r="K200" s="6" t="s">
        <v>8</v>
      </c>
      <c r="L200" s="6" t="s">
        <v>7</v>
      </c>
    </row>
    <row r="201" spans="1:12" s="1" customFormat="1" ht="30" customHeight="1" x14ac:dyDescent="0.25">
      <c r="A201" s="34" t="s">
        <v>93</v>
      </c>
      <c r="B201" s="35"/>
      <c r="C201" s="35"/>
      <c r="D201" s="36"/>
      <c r="E201" s="5"/>
      <c r="F201" s="34" t="s">
        <v>93</v>
      </c>
      <c r="G201" s="35"/>
      <c r="H201" s="35"/>
      <c r="I201" s="36"/>
      <c r="K201" s="1">
        <v>1100</v>
      </c>
      <c r="L201" s="1">
        <v>16</v>
      </c>
    </row>
    <row r="202" spans="1:12" s="1" customFormat="1" ht="30" customHeight="1" x14ac:dyDescent="0.25">
      <c r="A202" s="39" t="s">
        <v>85</v>
      </c>
      <c r="B202" s="40"/>
      <c r="C202" s="41" t="s">
        <v>81</v>
      </c>
      <c r="D202" s="42"/>
      <c r="E202" s="4"/>
      <c r="F202" s="39" t="str">
        <f>A202</f>
        <v>KW621</v>
      </c>
      <c r="G202" s="40"/>
      <c r="H202" s="41" t="str">
        <f>C202</f>
        <v>Green</v>
      </c>
      <c r="I202" s="42"/>
    </row>
    <row r="203" spans="1:12" s="1" customFormat="1" ht="30" customHeight="1" x14ac:dyDescent="0.25">
      <c r="A203" s="12" t="s">
        <v>4</v>
      </c>
      <c r="B203" s="37">
        <v>27087</v>
      </c>
      <c r="C203" s="37"/>
      <c r="D203" s="38"/>
      <c r="E203" s="4"/>
      <c r="F203" s="12" t="s">
        <v>4</v>
      </c>
      <c r="G203" s="37">
        <f>B203</f>
        <v>27087</v>
      </c>
      <c r="H203" s="37"/>
      <c r="I203" s="38"/>
    </row>
    <row r="204" spans="1:12" ht="63.75" customHeight="1" x14ac:dyDescent="0.25">
      <c r="A204" s="33" t="s">
        <v>91</v>
      </c>
      <c r="B204" s="33"/>
      <c r="C204" s="33"/>
      <c r="D204" s="33"/>
      <c r="E204" s="2"/>
      <c r="F204" s="33" t="str">
        <f>A204</f>
        <v>Tall DEO - Screw</v>
      </c>
      <c r="G204" s="33"/>
      <c r="H204" s="33"/>
      <c r="I204" s="33"/>
    </row>
    <row r="205" spans="1:12" s="1" customFormat="1" ht="30" customHeight="1" x14ac:dyDescent="0.25">
      <c r="A205" s="11" t="s">
        <v>0</v>
      </c>
      <c r="B205" s="10"/>
      <c r="C205" s="11" t="s">
        <v>1</v>
      </c>
      <c r="D205" s="10"/>
      <c r="E205" s="3"/>
      <c r="F205" s="11" t="s">
        <v>0</v>
      </c>
      <c r="G205" s="10"/>
      <c r="H205" s="11" t="s">
        <v>1</v>
      </c>
      <c r="I205" s="10"/>
    </row>
    <row r="206" spans="1:12" s="1" customFormat="1" ht="30" customHeight="1" x14ac:dyDescent="0.25">
      <c r="A206" s="11" t="s">
        <v>2</v>
      </c>
      <c r="B206" s="10"/>
      <c r="C206" s="11" t="s">
        <v>5</v>
      </c>
      <c r="D206" s="7" t="s">
        <v>92</v>
      </c>
      <c r="E206" s="4"/>
      <c r="F206" s="11" t="s">
        <v>2</v>
      </c>
      <c r="G206" s="10"/>
      <c r="H206" s="11" t="s">
        <v>5</v>
      </c>
      <c r="I206" s="7" t="str">
        <f>D206</f>
        <v>21A</v>
      </c>
    </row>
    <row r="207" spans="1:12" s="1" customFormat="1" ht="53.25" customHeight="1" x14ac:dyDescent="0.25">
      <c r="A207" s="8" t="s">
        <v>3</v>
      </c>
      <c r="B207" s="9">
        <v>30</v>
      </c>
      <c r="C207" s="11" t="s">
        <v>6</v>
      </c>
      <c r="D207" s="7" t="s">
        <v>94</v>
      </c>
      <c r="E207" s="4"/>
      <c r="F207" s="8" t="s">
        <v>3</v>
      </c>
      <c r="G207" s="9">
        <v>70</v>
      </c>
      <c r="H207" s="11" t="s">
        <v>6</v>
      </c>
      <c r="I207" s="7" t="str">
        <f>D207</f>
        <v>DEO-S03</v>
      </c>
      <c r="K207" s="6" t="s">
        <v>8</v>
      </c>
      <c r="L207" s="6" t="s">
        <v>7</v>
      </c>
    </row>
    <row r="208" spans="1:12" s="1" customFormat="1" ht="30" customHeight="1" x14ac:dyDescent="0.25">
      <c r="A208" s="34" t="s">
        <v>93</v>
      </c>
      <c r="B208" s="35"/>
      <c r="C208" s="35"/>
      <c r="D208" s="36"/>
      <c r="E208" s="5"/>
      <c r="F208" s="34" t="s">
        <v>93</v>
      </c>
      <c r="G208" s="35"/>
      <c r="H208" s="35"/>
      <c r="I208" s="36"/>
      <c r="K208" s="1">
        <v>1100</v>
      </c>
      <c r="L208" s="1">
        <v>16</v>
      </c>
    </row>
    <row r="209" spans="1:12" s="1" customFormat="1" ht="30" customHeight="1" x14ac:dyDescent="0.25">
      <c r="A209" s="39" t="s">
        <v>85</v>
      </c>
      <c r="B209" s="40"/>
      <c r="C209" s="41" t="s">
        <v>81</v>
      </c>
      <c r="D209" s="42"/>
      <c r="E209" s="4"/>
      <c r="F209" s="39" t="str">
        <f>A209</f>
        <v>KW621</v>
      </c>
      <c r="G209" s="40"/>
      <c r="H209" s="41" t="str">
        <f>C209</f>
        <v>Green</v>
      </c>
      <c r="I209" s="42"/>
    </row>
    <row r="210" spans="1:12" s="1" customFormat="1" ht="30" customHeight="1" x14ac:dyDescent="0.25">
      <c r="A210" s="12" t="s">
        <v>4</v>
      </c>
      <c r="B210" s="37">
        <v>27087</v>
      </c>
      <c r="C210" s="37"/>
      <c r="D210" s="38"/>
      <c r="E210" s="4"/>
      <c r="F210" s="12" t="s">
        <v>4</v>
      </c>
      <c r="G210" s="37">
        <f>B210</f>
        <v>27087</v>
      </c>
      <c r="H210" s="37"/>
      <c r="I210" s="38"/>
    </row>
    <row r="211" spans="1:12" ht="63.75" customHeight="1" x14ac:dyDescent="0.25">
      <c r="A211" s="33" t="s">
        <v>91</v>
      </c>
      <c r="B211" s="33"/>
      <c r="C211" s="33"/>
      <c r="D211" s="33"/>
      <c r="E211" s="2"/>
      <c r="F211" s="33" t="str">
        <f>A211</f>
        <v>Tall DEO - Screw</v>
      </c>
      <c r="G211" s="33"/>
      <c r="H211" s="33"/>
      <c r="I211" s="33"/>
    </row>
    <row r="212" spans="1:12" s="1" customFormat="1" ht="30" customHeight="1" x14ac:dyDescent="0.25">
      <c r="A212" s="11" t="s">
        <v>0</v>
      </c>
      <c r="B212" s="10"/>
      <c r="C212" s="11" t="s">
        <v>1</v>
      </c>
      <c r="D212" s="10"/>
      <c r="E212" s="3"/>
      <c r="F212" s="11" t="s">
        <v>0</v>
      </c>
      <c r="G212" s="10"/>
      <c r="H212" s="11" t="s">
        <v>1</v>
      </c>
      <c r="I212" s="10"/>
    </row>
    <row r="213" spans="1:12" s="1" customFormat="1" ht="30" customHeight="1" x14ac:dyDescent="0.25">
      <c r="A213" s="11" t="s">
        <v>2</v>
      </c>
      <c r="B213" s="10"/>
      <c r="C213" s="11" t="s">
        <v>5</v>
      </c>
      <c r="D213" s="7" t="s">
        <v>92</v>
      </c>
      <c r="E213" s="4"/>
      <c r="F213" s="11" t="s">
        <v>2</v>
      </c>
      <c r="G213" s="10"/>
      <c r="H213" s="11" t="s">
        <v>5</v>
      </c>
      <c r="I213" s="7" t="str">
        <f>D213</f>
        <v>21A</v>
      </c>
    </row>
    <row r="214" spans="1:12" s="1" customFormat="1" ht="53.25" customHeight="1" x14ac:dyDescent="0.25">
      <c r="A214" s="8" t="s">
        <v>3</v>
      </c>
      <c r="B214" s="9">
        <v>31</v>
      </c>
      <c r="C214" s="11" t="s">
        <v>6</v>
      </c>
      <c r="D214" s="7" t="s">
        <v>94</v>
      </c>
      <c r="E214" s="4"/>
      <c r="F214" s="8" t="s">
        <v>3</v>
      </c>
      <c r="G214" s="9">
        <v>71</v>
      </c>
      <c r="H214" s="11" t="s">
        <v>6</v>
      </c>
      <c r="I214" s="7" t="str">
        <f>D214</f>
        <v>DEO-S03</v>
      </c>
      <c r="K214" s="6" t="s">
        <v>8</v>
      </c>
      <c r="L214" s="6" t="s">
        <v>7</v>
      </c>
    </row>
    <row r="215" spans="1:12" s="1" customFormat="1" ht="30" customHeight="1" x14ac:dyDescent="0.25">
      <c r="A215" s="34" t="s">
        <v>93</v>
      </c>
      <c r="B215" s="35"/>
      <c r="C215" s="35"/>
      <c r="D215" s="36"/>
      <c r="E215" s="5"/>
      <c r="F215" s="34" t="s">
        <v>93</v>
      </c>
      <c r="G215" s="35"/>
      <c r="H215" s="35"/>
      <c r="I215" s="36"/>
      <c r="K215" s="1">
        <v>1100</v>
      </c>
      <c r="L215" s="1">
        <v>16</v>
      </c>
    </row>
    <row r="216" spans="1:12" s="1" customFormat="1" ht="30" customHeight="1" x14ac:dyDescent="0.25">
      <c r="A216" s="39" t="s">
        <v>85</v>
      </c>
      <c r="B216" s="40"/>
      <c r="C216" s="41" t="s">
        <v>81</v>
      </c>
      <c r="D216" s="42"/>
      <c r="E216" s="4"/>
      <c r="F216" s="39" t="str">
        <f>A216</f>
        <v>KW621</v>
      </c>
      <c r="G216" s="40"/>
      <c r="H216" s="41" t="str">
        <f>C216</f>
        <v>Green</v>
      </c>
      <c r="I216" s="42"/>
    </row>
    <row r="217" spans="1:12" s="1" customFormat="1" ht="30" customHeight="1" x14ac:dyDescent="0.25">
      <c r="A217" s="12" t="s">
        <v>4</v>
      </c>
      <c r="B217" s="37">
        <v>27087</v>
      </c>
      <c r="C217" s="37"/>
      <c r="D217" s="38"/>
      <c r="E217" s="4"/>
      <c r="F217" s="12" t="s">
        <v>4</v>
      </c>
      <c r="G217" s="37">
        <f>B217</f>
        <v>27087</v>
      </c>
      <c r="H217" s="37"/>
      <c r="I217" s="38"/>
    </row>
    <row r="218" spans="1:12" ht="63.75" customHeight="1" x14ac:dyDescent="0.25">
      <c r="A218" s="33" t="s">
        <v>91</v>
      </c>
      <c r="B218" s="33"/>
      <c r="C218" s="33"/>
      <c r="D218" s="33"/>
      <c r="E218" s="2"/>
      <c r="F218" s="33" t="str">
        <f>A218</f>
        <v>Tall DEO - Screw</v>
      </c>
      <c r="G218" s="33"/>
      <c r="H218" s="33"/>
      <c r="I218" s="33"/>
    </row>
    <row r="219" spans="1:12" s="1" customFormat="1" ht="30" customHeight="1" x14ac:dyDescent="0.25">
      <c r="A219" s="11" t="s">
        <v>0</v>
      </c>
      <c r="B219" s="10"/>
      <c r="C219" s="11" t="s">
        <v>1</v>
      </c>
      <c r="D219" s="10"/>
      <c r="E219" s="3"/>
      <c r="F219" s="11" t="s">
        <v>0</v>
      </c>
      <c r="G219" s="10"/>
      <c r="H219" s="11" t="s">
        <v>1</v>
      </c>
      <c r="I219" s="10"/>
    </row>
    <row r="220" spans="1:12" s="1" customFormat="1" ht="30" customHeight="1" x14ac:dyDescent="0.25">
      <c r="A220" s="11" t="s">
        <v>2</v>
      </c>
      <c r="B220" s="10"/>
      <c r="C220" s="11" t="s">
        <v>5</v>
      </c>
      <c r="D220" s="7" t="s">
        <v>92</v>
      </c>
      <c r="E220" s="4"/>
      <c r="F220" s="11" t="s">
        <v>2</v>
      </c>
      <c r="G220" s="10"/>
      <c r="H220" s="11" t="s">
        <v>5</v>
      </c>
      <c r="I220" s="7" t="str">
        <f>D220</f>
        <v>21A</v>
      </c>
    </row>
    <row r="221" spans="1:12" s="1" customFormat="1" ht="53.25" customHeight="1" x14ac:dyDescent="0.25">
      <c r="A221" s="8" t="s">
        <v>3</v>
      </c>
      <c r="B221" s="9">
        <v>32</v>
      </c>
      <c r="C221" s="11" t="s">
        <v>6</v>
      </c>
      <c r="D221" s="7" t="s">
        <v>94</v>
      </c>
      <c r="E221" s="4"/>
      <c r="F221" s="8" t="s">
        <v>3</v>
      </c>
      <c r="G221" s="9">
        <v>72</v>
      </c>
      <c r="H221" s="11" t="s">
        <v>6</v>
      </c>
      <c r="I221" s="7" t="str">
        <f>D221</f>
        <v>DEO-S03</v>
      </c>
      <c r="K221" s="6" t="s">
        <v>8</v>
      </c>
      <c r="L221" s="6" t="s">
        <v>7</v>
      </c>
    </row>
    <row r="222" spans="1:12" s="1" customFormat="1" ht="30" customHeight="1" x14ac:dyDescent="0.25">
      <c r="A222" s="34" t="s">
        <v>93</v>
      </c>
      <c r="B222" s="35"/>
      <c r="C222" s="35"/>
      <c r="D222" s="36"/>
      <c r="E222" s="5"/>
      <c r="F222" s="34" t="s">
        <v>93</v>
      </c>
      <c r="G222" s="35"/>
      <c r="H222" s="35"/>
      <c r="I222" s="36"/>
      <c r="K222" s="1">
        <v>1100</v>
      </c>
      <c r="L222" s="1">
        <v>16</v>
      </c>
    </row>
    <row r="223" spans="1:12" s="1" customFormat="1" ht="30" customHeight="1" x14ac:dyDescent="0.25">
      <c r="A223" s="39" t="s">
        <v>85</v>
      </c>
      <c r="B223" s="40"/>
      <c r="C223" s="41" t="s">
        <v>81</v>
      </c>
      <c r="D223" s="42"/>
      <c r="E223" s="4"/>
      <c r="F223" s="39" t="str">
        <f>A223</f>
        <v>KW621</v>
      </c>
      <c r="G223" s="40"/>
      <c r="H223" s="41" t="str">
        <f>C223</f>
        <v>Green</v>
      </c>
      <c r="I223" s="42"/>
    </row>
    <row r="224" spans="1:12" s="1" customFormat="1" ht="30" customHeight="1" x14ac:dyDescent="0.25">
      <c r="A224" s="12" t="s">
        <v>4</v>
      </c>
      <c r="B224" s="37">
        <v>27087</v>
      </c>
      <c r="C224" s="37"/>
      <c r="D224" s="38"/>
      <c r="E224" s="4"/>
      <c r="F224" s="12" t="s">
        <v>4</v>
      </c>
      <c r="G224" s="37">
        <f>B224</f>
        <v>27087</v>
      </c>
      <c r="H224" s="37"/>
      <c r="I224" s="38"/>
    </row>
    <row r="225" spans="1:12" ht="63.75" customHeight="1" x14ac:dyDescent="0.25">
      <c r="A225" s="33" t="s">
        <v>91</v>
      </c>
      <c r="B225" s="33"/>
      <c r="C225" s="33"/>
      <c r="D225" s="33"/>
      <c r="E225" s="2"/>
      <c r="F225" s="33" t="str">
        <f>A225</f>
        <v>Tall DEO - Screw</v>
      </c>
      <c r="G225" s="33"/>
      <c r="H225" s="33"/>
      <c r="I225" s="33"/>
    </row>
    <row r="226" spans="1:12" s="1" customFormat="1" ht="30" customHeight="1" x14ac:dyDescent="0.25">
      <c r="A226" s="11" t="s">
        <v>0</v>
      </c>
      <c r="B226" s="10"/>
      <c r="C226" s="11" t="s">
        <v>1</v>
      </c>
      <c r="D226" s="10"/>
      <c r="E226" s="3"/>
      <c r="F226" s="11" t="s">
        <v>0</v>
      </c>
      <c r="G226" s="10"/>
      <c r="H226" s="11" t="s">
        <v>1</v>
      </c>
      <c r="I226" s="10"/>
    </row>
    <row r="227" spans="1:12" s="1" customFormat="1" ht="30" customHeight="1" x14ac:dyDescent="0.25">
      <c r="A227" s="11" t="s">
        <v>2</v>
      </c>
      <c r="B227" s="10"/>
      <c r="C227" s="11" t="s">
        <v>5</v>
      </c>
      <c r="D227" s="7" t="s">
        <v>92</v>
      </c>
      <c r="E227" s="4"/>
      <c r="F227" s="11" t="s">
        <v>2</v>
      </c>
      <c r="G227" s="10"/>
      <c r="H227" s="11" t="s">
        <v>5</v>
      </c>
      <c r="I227" s="7" t="str">
        <f>D227</f>
        <v>21A</v>
      </c>
    </row>
    <row r="228" spans="1:12" s="1" customFormat="1" ht="53.25" customHeight="1" x14ac:dyDescent="0.25">
      <c r="A228" s="8" t="s">
        <v>3</v>
      </c>
      <c r="B228" s="9">
        <v>33</v>
      </c>
      <c r="C228" s="11" t="s">
        <v>6</v>
      </c>
      <c r="D228" s="7" t="s">
        <v>94</v>
      </c>
      <c r="E228" s="4"/>
      <c r="F228" s="8" t="s">
        <v>3</v>
      </c>
      <c r="G228" s="9">
        <v>73</v>
      </c>
      <c r="H228" s="11" t="s">
        <v>6</v>
      </c>
      <c r="I228" s="7" t="str">
        <f>D228</f>
        <v>DEO-S03</v>
      </c>
      <c r="K228" s="6" t="s">
        <v>8</v>
      </c>
      <c r="L228" s="6" t="s">
        <v>7</v>
      </c>
    </row>
    <row r="229" spans="1:12" s="1" customFormat="1" ht="30" customHeight="1" x14ac:dyDescent="0.25">
      <c r="A229" s="34" t="s">
        <v>93</v>
      </c>
      <c r="B229" s="35"/>
      <c r="C229" s="35"/>
      <c r="D229" s="36"/>
      <c r="E229" s="5"/>
      <c r="F229" s="34" t="s">
        <v>93</v>
      </c>
      <c r="G229" s="35"/>
      <c r="H229" s="35"/>
      <c r="I229" s="36"/>
      <c r="K229" s="1">
        <v>1100</v>
      </c>
      <c r="L229" s="1">
        <v>16</v>
      </c>
    </row>
    <row r="230" spans="1:12" s="1" customFormat="1" ht="30" customHeight="1" x14ac:dyDescent="0.25">
      <c r="A230" s="39" t="s">
        <v>85</v>
      </c>
      <c r="B230" s="40"/>
      <c r="C230" s="41" t="s">
        <v>81</v>
      </c>
      <c r="D230" s="42"/>
      <c r="E230" s="4"/>
      <c r="F230" s="39" t="str">
        <f>A230</f>
        <v>KW621</v>
      </c>
      <c r="G230" s="40"/>
      <c r="H230" s="41" t="str">
        <f>C230</f>
        <v>Green</v>
      </c>
      <c r="I230" s="42"/>
    </row>
    <row r="231" spans="1:12" s="1" customFormat="1" ht="30" customHeight="1" x14ac:dyDescent="0.25">
      <c r="A231" s="12" t="s">
        <v>4</v>
      </c>
      <c r="B231" s="37">
        <v>27087</v>
      </c>
      <c r="C231" s="37"/>
      <c r="D231" s="38"/>
      <c r="E231" s="4"/>
      <c r="F231" s="12" t="s">
        <v>4</v>
      </c>
      <c r="G231" s="37">
        <f>B231</f>
        <v>27087</v>
      </c>
      <c r="H231" s="37"/>
      <c r="I231" s="38"/>
    </row>
    <row r="232" spans="1:12" ht="63.75" customHeight="1" x14ac:dyDescent="0.25">
      <c r="A232" s="33" t="s">
        <v>91</v>
      </c>
      <c r="B232" s="33"/>
      <c r="C232" s="33"/>
      <c r="D232" s="33"/>
      <c r="E232" s="2"/>
      <c r="F232" s="33" t="str">
        <f>A232</f>
        <v>Tall DEO - Screw</v>
      </c>
      <c r="G232" s="33"/>
      <c r="H232" s="33"/>
      <c r="I232" s="33"/>
    </row>
    <row r="233" spans="1:12" s="1" customFormat="1" ht="30" customHeight="1" x14ac:dyDescent="0.25">
      <c r="A233" s="11" t="s">
        <v>0</v>
      </c>
      <c r="B233" s="10"/>
      <c r="C233" s="11" t="s">
        <v>1</v>
      </c>
      <c r="D233" s="10"/>
      <c r="E233" s="3"/>
      <c r="F233" s="11" t="s">
        <v>0</v>
      </c>
      <c r="G233" s="10"/>
      <c r="H233" s="11" t="s">
        <v>1</v>
      </c>
      <c r="I233" s="10"/>
    </row>
    <row r="234" spans="1:12" s="1" customFormat="1" ht="30" customHeight="1" x14ac:dyDescent="0.25">
      <c r="A234" s="11" t="s">
        <v>2</v>
      </c>
      <c r="B234" s="10"/>
      <c r="C234" s="11" t="s">
        <v>5</v>
      </c>
      <c r="D234" s="7" t="s">
        <v>92</v>
      </c>
      <c r="E234" s="4"/>
      <c r="F234" s="11" t="s">
        <v>2</v>
      </c>
      <c r="G234" s="10"/>
      <c r="H234" s="11" t="s">
        <v>5</v>
      </c>
      <c r="I234" s="7" t="str">
        <f>D234</f>
        <v>21A</v>
      </c>
    </row>
    <row r="235" spans="1:12" s="1" customFormat="1" ht="53.25" customHeight="1" x14ac:dyDescent="0.25">
      <c r="A235" s="8" t="s">
        <v>3</v>
      </c>
      <c r="B235" s="9">
        <v>34</v>
      </c>
      <c r="C235" s="11" t="s">
        <v>6</v>
      </c>
      <c r="D235" s="7" t="s">
        <v>94</v>
      </c>
      <c r="E235" s="4"/>
      <c r="F235" s="8" t="s">
        <v>3</v>
      </c>
      <c r="G235" s="9">
        <v>74</v>
      </c>
      <c r="H235" s="11" t="s">
        <v>6</v>
      </c>
      <c r="I235" s="7" t="str">
        <f>D235</f>
        <v>DEO-S03</v>
      </c>
      <c r="K235" s="6" t="s">
        <v>8</v>
      </c>
      <c r="L235" s="6" t="s">
        <v>7</v>
      </c>
    </row>
    <row r="236" spans="1:12" s="1" customFormat="1" ht="30" customHeight="1" x14ac:dyDescent="0.25">
      <c r="A236" s="34" t="s">
        <v>93</v>
      </c>
      <c r="B236" s="35"/>
      <c r="C236" s="35"/>
      <c r="D236" s="36"/>
      <c r="E236" s="5"/>
      <c r="F236" s="34" t="s">
        <v>93</v>
      </c>
      <c r="G236" s="35"/>
      <c r="H236" s="35"/>
      <c r="I236" s="36"/>
      <c r="K236" s="1">
        <v>1100</v>
      </c>
      <c r="L236" s="1">
        <v>16</v>
      </c>
    </row>
    <row r="237" spans="1:12" s="1" customFormat="1" ht="30" customHeight="1" x14ac:dyDescent="0.25">
      <c r="A237" s="39" t="s">
        <v>85</v>
      </c>
      <c r="B237" s="40"/>
      <c r="C237" s="41" t="s">
        <v>81</v>
      </c>
      <c r="D237" s="42"/>
      <c r="E237" s="4"/>
      <c r="F237" s="39" t="str">
        <f>A237</f>
        <v>KW621</v>
      </c>
      <c r="G237" s="40"/>
      <c r="H237" s="41" t="str">
        <f>C237</f>
        <v>Green</v>
      </c>
      <c r="I237" s="42"/>
    </row>
    <row r="238" spans="1:12" s="1" customFormat="1" ht="30" customHeight="1" x14ac:dyDescent="0.25">
      <c r="A238" s="12" t="s">
        <v>4</v>
      </c>
      <c r="B238" s="37">
        <v>27087</v>
      </c>
      <c r="C238" s="37"/>
      <c r="D238" s="38"/>
      <c r="E238" s="4"/>
      <c r="F238" s="12" t="s">
        <v>4</v>
      </c>
      <c r="G238" s="37">
        <f>B238</f>
        <v>27087</v>
      </c>
      <c r="H238" s="37"/>
      <c r="I238" s="38"/>
    </row>
    <row r="239" spans="1:12" ht="63.75" customHeight="1" x14ac:dyDescent="0.25">
      <c r="A239" s="33" t="s">
        <v>91</v>
      </c>
      <c r="B239" s="33"/>
      <c r="C239" s="33"/>
      <c r="D239" s="33"/>
      <c r="E239" s="2"/>
      <c r="F239" s="33" t="str">
        <f>A239</f>
        <v>Tall DEO - Screw</v>
      </c>
      <c r="G239" s="33"/>
      <c r="H239" s="33"/>
      <c r="I239" s="33"/>
    </row>
    <row r="240" spans="1:12" s="1" customFormat="1" ht="30" customHeight="1" x14ac:dyDescent="0.25">
      <c r="A240" s="11" t="s">
        <v>0</v>
      </c>
      <c r="B240" s="10"/>
      <c r="C240" s="11" t="s">
        <v>1</v>
      </c>
      <c r="D240" s="10"/>
      <c r="E240" s="3"/>
      <c r="F240" s="11" t="s">
        <v>0</v>
      </c>
      <c r="G240" s="10"/>
      <c r="H240" s="11" t="s">
        <v>1</v>
      </c>
      <c r="I240" s="10"/>
    </row>
    <row r="241" spans="1:12" s="1" customFormat="1" ht="30" customHeight="1" x14ac:dyDescent="0.25">
      <c r="A241" s="11" t="s">
        <v>2</v>
      </c>
      <c r="B241" s="10"/>
      <c r="C241" s="11" t="s">
        <v>5</v>
      </c>
      <c r="D241" s="7" t="s">
        <v>92</v>
      </c>
      <c r="E241" s="4"/>
      <c r="F241" s="11" t="s">
        <v>2</v>
      </c>
      <c r="G241" s="10"/>
      <c r="H241" s="11" t="s">
        <v>5</v>
      </c>
      <c r="I241" s="7" t="str">
        <f>D241</f>
        <v>21A</v>
      </c>
    </row>
    <row r="242" spans="1:12" s="1" customFormat="1" ht="53.25" customHeight="1" x14ac:dyDescent="0.25">
      <c r="A242" s="8" t="s">
        <v>3</v>
      </c>
      <c r="B242" s="9">
        <v>35</v>
      </c>
      <c r="C242" s="11" t="s">
        <v>6</v>
      </c>
      <c r="D242" s="7" t="s">
        <v>94</v>
      </c>
      <c r="E242" s="4"/>
      <c r="F242" s="8" t="s">
        <v>3</v>
      </c>
      <c r="G242" s="9">
        <v>75</v>
      </c>
      <c r="H242" s="11" t="s">
        <v>6</v>
      </c>
      <c r="I242" s="7" t="str">
        <f>D242</f>
        <v>DEO-S03</v>
      </c>
      <c r="K242" s="6" t="s">
        <v>8</v>
      </c>
      <c r="L242" s="6" t="s">
        <v>7</v>
      </c>
    </row>
    <row r="243" spans="1:12" s="1" customFormat="1" ht="30" customHeight="1" x14ac:dyDescent="0.25">
      <c r="A243" s="34" t="s">
        <v>93</v>
      </c>
      <c r="B243" s="35"/>
      <c r="C243" s="35"/>
      <c r="D243" s="36"/>
      <c r="E243" s="5"/>
      <c r="F243" s="34" t="s">
        <v>93</v>
      </c>
      <c r="G243" s="35"/>
      <c r="H243" s="35"/>
      <c r="I243" s="36"/>
      <c r="K243" s="1">
        <v>1100</v>
      </c>
      <c r="L243" s="1">
        <v>16</v>
      </c>
    </row>
    <row r="244" spans="1:12" s="1" customFormat="1" ht="30" customHeight="1" x14ac:dyDescent="0.25">
      <c r="A244" s="39" t="s">
        <v>85</v>
      </c>
      <c r="B244" s="40"/>
      <c r="C244" s="41" t="s">
        <v>81</v>
      </c>
      <c r="D244" s="42"/>
      <c r="E244" s="4"/>
      <c r="F244" s="39" t="str">
        <f>A244</f>
        <v>KW621</v>
      </c>
      <c r="G244" s="40"/>
      <c r="H244" s="41" t="str">
        <f>C244</f>
        <v>Green</v>
      </c>
      <c r="I244" s="42"/>
    </row>
    <row r="245" spans="1:12" s="1" customFormat="1" ht="30" customHeight="1" x14ac:dyDescent="0.25">
      <c r="A245" s="12" t="s">
        <v>4</v>
      </c>
      <c r="B245" s="37">
        <v>27087</v>
      </c>
      <c r="C245" s="37"/>
      <c r="D245" s="38"/>
      <c r="E245" s="4"/>
      <c r="F245" s="12" t="s">
        <v>4</v>
      </c>
      <c r="G245" s="37">
        <f>B245</f>
        <v>27087</v>
      </c>
      <c r="H245" s="37"/>
      <c r="I245" s="38"/>
    </row>
    <row r="246" spans="1:12" ht="63.75" customHeight="1" x14ac:dyDescent="0.25">
      <c r="A246" s="33" t="s">
        <v>91</v>
      </c>
      <c r="B246" s="33"/>
      <c r="C246" s="33"/>
      <c r="D246" s="33"/>
      <c r="E246" s="2"/>
      <c r="F246" s="33" t="str">
        <f>A246</f>
        <v>Tall DEO - Screw</v>
      </c>
      <c r="G246" s="33"/>
      <c r="H246" s="33"/>
      <c r="I246" s="33"/>
    </row>
    <row r="247" spans="1:12" s="1" customFormat="1" ht="30" customHeight="1" x14ac:dyDescent="0.25">
      <c r="A247" s="11" t="s">
        <v>0</v>
      </c>
      <c r="B247" s="10"/>
      <c r="C247" s="11" t="s">
        <v>1</v>
      </c>
      <c r="D247" s="10"/>
      <c r="E247" s="3"/>
      <c r="F247" s="11" t="s">
        <v>0</v>
      </c>
      <c r="G247" s="10"/>
      <c r="H247" s="11" t="s">
        <v>1</v>
      </c>
      <c r="I247" s="10"/>
    </row>
    <row r="248" spans="1:12" s="1" customFormat="1" ht="30" customHeight="1" x14ac:dyDescent="0.25">
      <c r="A248" s="11" t="s">
        <v>2</v>
      </c>
      <c r="B248" s="10"/>
      <c r="C248" s="11" t="s">
        <v>5</v>
      </c>
      <c r="D248" s="7" t="s">
        <v>92</v>
      </c>
      <c r="E248" s="4"/>
      <c r="F248" s="11" t="s">
        <v>2</v>
      </c>
      <c r="G248" s="10"/>
      <c r="H248" s="11" t="s">
        <v>5</v>
      </c>
      <c r="I248" s="7" t="str">
        <f>D248</f>
        <v>21A</v>
      </c>
    </row>
    <row r="249" spans="1:12" s="1" customFormat="1" ht="53.25" customHeight="1" x14ac:dyDescent="0.25">
      <c r="A249" s="8" t="s">
        <v>3</v>
      </c>
      <c r="B249" s="9">
        <v>36</v>
      </c>
      <c r="C249" s="11" t="s">
        <v>6</v>
      </c>
      <c r="D249" s="7" t="s">
        <v>94</v>
      </c>
      <c r="E249" s="4"/>
      <c r="F249" s="8" t="s">
        <v>3</v>
      </c>
      <c r="G249" s="9">
        <v>76</v>
      </c>
      <c r="H249" s="11" t="s">
        <v>6</v>
      </c>
      <c r="I249" s="7" t="str">
        <f>D249</f>
        <v>DEO-S03</v>
      </c>
      <c r="K249" s="6" t="s">
        <v>8</v>
      </c>
      <c r="L249" s="6" t="s">
        <v>7</v>
      </c>
    </row>
    <row r="250" spans="1:12" s="1" customFormat="1" ht="30" customHeight="1" x14ac:dyDescent="0.25">
      <c r="A250" s="34" t="s">
        <v>93</v>
      </c>
      <c r="B250" s="35"/>
      <c r="C250" s="35"/>
      <c r="D250" s="36"/>
      <c r="E250" s="5"/>
      <c r="F250" s="34" t="s">
        <v>93</v>
      </c>
      <c r="G250" s="35"/>
      <c r="H250" s="35"/>
      <c r="I250" s="36"/>
      <c r="K250" s="1">
        <v>1100</v>
      </c>
      <c r="L250" s="1">
        <v>16</v>
      </c>
    </row>
    <row r="251" spans="1:12" s="1" customFormat="1" ht="30" customHeight="1" x14ac:dyDescent="0.25">
      <c r="A251" s="39" t="s">
        <v>85</v>
      </c>
      <c r="B251" s="40"/>
      <c r="C251" s="41" t="s">
        <v>81</v>
      </c>
      <c r="D251" s="42"/>
      <c r="E251" s="4"/>
      <c r="F251" s="39" t="str">
        <f>A251</f>
        <v>KW621</v>
      </c>
      <c r="G251" s="40"/>
      <c r="H251" s="41" t="str">
        <f>C251</f>
        <v>Green</v>
      </c>
      <c r="I251" s="42"/>
    </row>
    <row r="252" spans="1:12" s="1" customFormat="1" ht="30" customHeight="1" x14ac:dyDescent="0.25">
      <c r="A252" s="12" t="s">
        <v>4</v>
      </c>
      <c r="B252" s="37">
        <v>27087</v>
      </c>
      <c r="C252" s="37"/>
      <c r="D252" s="38"/>
      <c r="E252" s="4"/>
      <c r="F252" s="12" t="s">
        <v>4</v>
      </c>
      <c r="G252" s="37">
        <f>B252</f>
        <v>27087</v>
      </c>
      <c r="H252" s="37"/>
      <c r="I252" s="38"/>
    </row>
    <row r="253" spans="1:12" ht="63.75" customHeight="1" x14ac:dyDescent="0.25">
      <c r="A253" s="33" t="s">
        <v>91</v>
      </c>
      <c r="B253" s="33"/>
      <c r="C253" s="33"/>
      <c r="D253" s="33"/>
      <c r="E253" s="2"/>
      <c r="F253" s="33" t="str">
        <f>A253</f>
        <v>Tall DEO - Screw</v>
      </c>
      <c r="G253" s="33"/>
      <c r="H253" s="33"/>
      <c r="I253" s="33"/>
    </row>
    <row r="254" spans="1:12" s="1" customFormat="1" ht="30" customHeight="1" x14ac:dyDescent="0.25">
      <c r="A254" s="11" t="s">
        <v>0</v>
      </c>
      <c r="B254" s="10"/>
      <c r="C254" s="11" t="s">
        <v>1</v>
      </c>
      <c r="D254" s="10"/>
      <c r="E254" s="3"/>
      <c r="F254" s="11" t="s">
        <v>0</v>
      </c>
      <c r="G254" s="10"/>
      <c r="H254" s="11" t="s">
        <v>1</v>
      </c>
      <c r="I254" s="10"/>
    </row>
    <row r="255" spans="1:12" s="1" customFormat="1" ht="30" customHeight="1" x14ac:dyDescent="0.25">
      <c r="A255" s="11" t="s">
        <v>2</v>
      </c>
      <c r="B255" s="10"/>
      <c r="C255" s="11" t="s">
        <v>5</v>
      </c>
      <c r="D255" s="7" t="s">
        <v>92</v>
      </c>
      <c r="E255" s="4"/>
      <c r="F255" s="11" t="s">
        <v>2</v>
      </c>
      <c r="G255" s="10"/>
      <c r="H255" s="11" t="s">
        <v>5</v>
      </c>
      <c r="I255" s="7" t="str">
        <f>D255</f>
        <v>21A</v>
      </c>
    </row>
    <row r="256" spans="1:12" s="1" customFormat="1" ht="53.25" customHeight="1" x14ac:dyDescent="0.25">
      <c r="A256" s="8" t="s">
        <v>3</v>
      </c>
      <c r="B256" s="9">
        <v>37</v>
      </c>
      <c r="C256" s="11" t="s">
        <v>6</v>
      </c>
      <c r="D256" s="7" t="s">
        <v>94</v>
      </c>
      <c r="E256" s="4"/>
      <c r="F256" s="8" t="s">
        <v>3</v>
      </c>
      <c r="G256" s="9">
        <v>77</v>
      </c>
      <c r="H256" s="11" t="s">
        <v>6</v>
      </c>
      <c r="I256" s="7" t="str">
        <f>D256</f>
        <v>DEO-S03</v>
      </c>
      <c r="K256" s="6" t="s">
        <v>8</v>
      </c>
      <c r="L256" s="6" t="s">
        <v>7</v>
      </c>
    </row>
    <row r="257" spans="1:12" s="1" customFormat="1" ht="30" customHeight="1" x14ac:dyDescent="0.25">
      <c r="A257" s="34" t="s">
        <v>93</v>
      </c>
      <c r="B257" s="35"/>
      <c r="C257" s="35"/>
      <c r="D257" s="36"/>
      <c r="E257" s="5"/>
      <c r="F257" s="34" t="s">
        <v>93</v>
      </c>
      <c r="G257" s="35"/>
      <c r="H257" s="35"/>
      <c r="I257" s="36"/>
      <c r="K257" s="1">
        <v>1100</v>
      </c>
      <c r="L257" s="1">
        <v>16</v>
      </c>
    </row>
    <row r="258" spans="1:12" s="1" customFormat="1" ht="30" customHeight="1" x14ac:dyDescent="0.25">
      <c r="A258" s="39" t="s">
        <v>85</v>
      </c>
      <c r="B258" s="40"/>
      <c r="C258" s="41" t="s">
        <v>81</v>
      </c>
      <c r="D258" s="42"/>
      <c r="E258" s="4"/>
      <c r="F258" s="39" t="str">
        <f>A258</f>
        <v>KW621</v>
      </c>
      <c r="G258" s="40"/>
      <c r="H258" s="41" t="str">
        <f>C258</f>
        <v>Green</v>
      </c>
      <c r="I258" s="42"/>
    </row>
    <row r="259" spans="1:12" s="1" customFormat="1" ht="30" customHeight="1" x14ac:dyDescent="0.25">
      <c r="A259" s="12" t="s">
        <v>4</v>
      </c>
      <c r="B259" s="37">
        <v>27087</v>
      </c>
      <c r="C259" s="37"/>
      <c r="D259" s="38"/>
      <c r="E259" s="4"/>
      <c r="F259" s="12" t="s">
        <v>4</v>
      </c>
      <c r="G259" s="37">
        <f>B259</f>
        <v>27087</v>
      </c>
      <c r="H259" s="37"/>
      <c r="I259" s="38"/>
    </row>
    <row r="260" spans="1:12" ht="63.75" customHeight="1" x14ac:dyDescent="0.25">
      <c r="A260" s="33" t="s">
        <v>91</v>
      </c>
      <c r="B260" s="33"/>
      <c r="C260" s="33"/>
      <c r="D260" s="33"/>
      <c r="E260" s="2"/>
      <c r="F260" s="33" t="str">
        <f>A260</f>
        <v>Tall DEO - Screw</v>
      </c>
      <c r="G260" s="33"/>
      <c r="H260" s="33"/>
      <c r="I260" s="33"/>
    </row>
    <row r="261" spans="1:12" s="1" customFormat="1" ht="30" customHeight="1" x14ac:dyDescent="0.25">
      <c r="A261" s="11" t="s">
        <v>0</v>
      </c>
      <c r="B261" s="10"/>
      <c r="C261" s="11" t="s">
        <v>1</v>
      </c>
      <c r="D261" s="10"/>
      <c r="E261" s="3"/>
      <c r="F261" s="11" t="s">
        <v>0</v>
      </c>
      <c r="G261" s="10"/>
      <c r="H261" s="11" t="s">
        <v>1</v>
      </c>
      <c r="I261" s="10"/>
    </row>
    <row r="262" spans="1:12" s="1" customFormat="1" ht="30" customHeight="1" x14ac:dyDescent="0.25">
      <c r="A262" s="11" t="s">
        <v>2</v>
      </c>
      <c r="B262" s="10"/>
      <c r="C262" s="11" t="s">
        <v>5</v>
      </c>
      <c r="D262" s="7" t="s">
        <v>92</v>
      </c>
      <c r="E262" s="4"/>
      <c r="F262" s="11" t="s">
        <v>2</v>
      </c>
      <c r="G262" s="10"/>
      <c r="H262" s="11" t="s">
        <v>5</v>
      </c>
      <c r="I262" s="7" t="str">
        <f>D262</f>
        <v>21A</v>
      </c>
    </row>
    <row r="263" spans="1:12" s="1" customFormat="1" ht="53.25" customHeight="1" x14ac:dyDescent="0.25">
      <c r="A263" s="8" t="s">
        <v>3</v>
      </c>
      <c r="B263" s="9">
        <v>38</v>
      </c>
      <c r="C263" s="11" t="s">
        <v>6</v>
      </c>
      <c r="D263" s="7" t="s">
        <v>94</v>
      </c>
      <c r="E263" s="4"/>
      <c r="F263" s="8" t="s">
        <v>3</v>
      </c>
      <c r="G263" s="9">
        <v>78</v>
      </c>
      <c r="H263" s="11" t="s">
        <v>6</v>
      </c>
      <c r="I263" s="7" t="str">
        <f>D263</f>
        <v>DEO-S03</v>
      </c>
      <c r="K263" s="6" t="s">
        <v>8</v>
      </c>
      <c r="L263" s="6" t="s">
        <v>7</v>
      </c>
    </row>
    <row r="264" spans="1:12" s="1" customFormat="1" ht="30" customHeight="1" x14ac:dyDescent="0.25">
      <c r="A264" s="34" t="s">
        <v>93</v>
      </c>
      <c r="B264" s="35"/>
      <c r="C264" s="35"/>
      <c r="D264" s="36"/>
      <c r="E264" s="5"/>
      <c r="F264" s="34" t="s">
        <v>93</v>
      </c>
      <c r="G264" s="35"/>
      <c r="H264" s="35"/>
      <c r="I264" s="36"/>
      <c r="K264" s="1">
        <v>1100</v>
      </c>
      <c r="L264" s="1">
        <v>16</v>
      </c>
    </row>
    <row r="265" spans="1:12" s="1" customFormat="1" ht="30" customHeight="1" x14ac:dyDescent="0.25">
      <c r="A265" s="39" t="s">
        <v>85</v>
      </c>
      <c r="B265" s="40"/>
      <c r="C265" s="41" t="s">
        <v>81</v>
      </c>
      <c r="D265" s="42"/>
      <c r="E265" s="4"/>
      <c r="F265" s="39" t="str">
        <f>A265</f>
        <v>KW621</v>
      </c>
      <c r="G265" s="40"/>
      <c r="H265" s="41" t="str">
        <f>C265</f>
        <v>Green</v>
      </c>
      <c r="I265" s="42"/>
    </row>
    <row r="266" spans="1:12" s="1" customFormat="1" ht="30" customHeight="1" x14ac:dyDescent="0.25">
      <c r="A266" s="12" t="s">
        <v>4</v>
      </c>
      <c r="B266" s="37">
        <v>27087</v>
      </c>
      <c r="C266" s="37"/>
      <c r="D266" s="38"/>
      <c r="E266" s="4"/>
      <c r="F266" s="12" t="s">
        <v>4</v>
      </c>
      <c r="G266" s="37">
        <f>B266</f>
        <v>27087</v>
      </c>
      <c r="H266" s="37"/>
      <c r="I266" s="38"/>
    </row>
    <row r="267" spans="1:12" ht="63.75" customHeight="1" x14ac:dyDescent="0.25">
      <c r="A267" s="33" t="s">
        <v>91</v>
      </c>
      <c r="B267" s="33"/>
      <c r="C267" s="33"/>
      <c r="D267" s="33"/>
      <c r="E267" s="2"/>
      <c r="F267" s="33" t="str">
        <f>A267</f>
        <v>Tall DEO - Screw</v>
      </c>
      <c r="G267" s="33"/>
      <c r="H267" s="33"/>
      <c r="I267" s="33"/>
    </row>
    <row r="268" spans="1:12" s="1" customFormat="1" ht="30" customHeight="1" x14ac:dyDescent="0.25">
      <c r="A268" s="11" t="s">
        <v>0</v>
      </c>
      <c r="B268" s="10"/>
      <c r="C268" s="11" t="s">
        <v>1</v>
      </c>
      <c r="D268" s="10"/>
      <c r="E268" s="3"/>
      <c r="F268" s="11" t="s">
        <v>0</v>
      </c>
      <c r="G268" s="10"/>
      <c r="H268" s="11" t="s">
        <v>1</v>
      </c>
      <c r="I268" s="10"/>
    </row>
    <row r="269" spans="1:12" s="1" customFormat="1" ht="30" customHeight="1" x14ac:dyDescent="0.25">
      <c r="A269" s="11" t="s">
        <v>2</v>
      </c>
      <c r="B269" s="10"/>
      <c r="C269" s="11" t="s">
        <v>5</v>
      </c>
      <c r="D269" s="7" t="s">
        <v>92</v>
      </c>
      <c r="E269" s="4"/>
      <c r="F269" s="11" t="s">
        <v>2</v>
      </c>
      <c r="G269" s="10"/>
      <c r="H269" s="11" t="s">
        <v>5</v>
      </c>
      <c r="I269" s="7" t="str">
        <f>D269</f>
        <v>21A</v>
      </c>
    </row>
    <row r="270" spans="1:12" s="1" customFormat="1" ht="53.25" customHeight="1" x14ac:dyDescent="0.25">
      <c r="A270" s="8" t="s">
        <v>3</v>
      </c>
      <c r="B270" s="9">
        <v>39</v>
      </c>
      <c r="C270" s="11" t="s">
        <v>6</v>
      </c>
      <c r="D270" s="7" t="s">
        <v>94</v>
      </c>
      <c r="E270" s="4"/>
      <c r="F270" s="8" t="s">
        <v>3</v>
      </c>
      <c r="G270" s="9">
        <v>79</v>
      </c>
      <c r="H270" s="11" t="s">
        <v>6</v>
      </c>
      <c r="I270" s="7" t="str">
        <f>D270</f>
        <v>DEO-S03</v>
      </c>
      <c r="K270" s="6" t="s">
        <v>8</v>
      </c>
      <c r="L270" s="6" t="s">
        <v>7</v>
      </c>
    </row>
    <row r="271" spans="1:12" s="1" customFormat="1" ht="30" customHeight="1" x14ac:dyDescent="0.25">
      <c r="A271" s="34" t="s">
        <v>93</v>
      </c>
      <c r="B271" s="35"/>
      <c r="C271" s="35"/>
      <c r="D271" s="36"/>
      <c r="E271" s="5"/>
      <c r="F271" s="34" t="s">
        <v>93</v>
      </c>
      <c r="G271" s="35"/>
      <c r="H271" s="35"/>
      <c r="I271" s="36"/>
      <c r="K271" s="1">
        <v>1100</v>
      </c>
      <c r="L271" s="1">
        <v>16</v>
      </c>
    </row>
    <row r="272" spans="1:12" s="1" customFormat="1" ht="30" customHeight="1" x14ac:dyDescent="0.25">
      <c r="A272" s="39" t="s">
        <v>85</v>
      </c>
      <c r="B272" s="40"/>
      <c r="C272" s="41" t="s">
        <v>81</v>
      </c>
      <c r="D272" s="42"/>
      <c r="E272" s="4"/>
      <c r="F272" s="39" t="str">
        <f>A272</f>
        <v>KW621</v>
      </c>
      <c r="G272" s="40"/>
      <c r="H272" s="41" t="str">
        <f>C272</f>
        <v>Green</v>
      </c>
      <c r="I272" s="42"/>
    </row>
    <row r="273" spans="1:12" s="1" customFormat="1" ht="30" customHeight="1" x14ac:dyDescent="0.25">
      <c r="A273" s="12" t="s">
        <v>4</v>
      </c>
      <c r="B273" s="37">
        <v>27087</v>
      </c>
      <c r="C273" s="37"/>
      <c r="D273" s="38"/>
      <c r="E273" s="4"/>
      <c r="F273" s="12" t="s">
        <v>4</v>
      </c>
      <c r="G273" s="37">
        <f>B273</f>
        <v>27087</v>
      </c>
      <c r="H273" s="37"/>
      <c r="I273" s="38"/>
    </row>
    <row r="274" spans="1:12" ht="63.75" customHeight="1" x14ac:dyDescent="0.25">
      <c r="A274" s="33" t="s">
        <v>91</v>
      </c>
      <c r="B274" s="33"/>
      <c r="C274" s="33"/>
      <c r="D274" s="33"/>
      <c r="E274" s="2"/>
      <c r="F274" s="33" t="str">
        <f>A274</f>
        <v>Tall DEO - Screw</v>
      </c>
      <c r="G274" s="33"/>
      <c r="H274" s="33"/>
      <c r="I274" s="33"/>
    </row>
    <row r="275" spans="1:12" s="1" customFormat="1" ht="30" customHeight="1" x14ac:dyDescent="0.25">
      <c r="A275" s="11" t="s">
        <v>0</v>
      </c>
      <c r="B275" s="10"/>
      <c r="C275" s="11" t="s">
        <v>1</v>
      </c>
      <c r="D275" s="10"/>
      <c r="E275" s="3"/>
      <c r="F275" s="11" t="s">
        <v>0</v>
      </c>
      <c r="G275" s="10"/>
      <c r="H275" s="11" t="s">
        <v>1</v>
      </c>
      <c r="I275" s="10"/>
    </row>
    <row r="276" spans="1:12" s="1" customFormat="1" ht="30" customHeight="1" x14ac:dyDescent="0.25">
      <c r="A276" s="11" t="s">
        <v>2</v>
      </c>
      <c r="B276" s="10"/>
      <c r="C276" s="11" t="s">
        <v>5</v>
      </c>
      <c r="D276" s="7" t="s">
        <v>92</v>
      </c>
      <c r="E276" s="4"/>
      <c r="F276" s="11" t="s">
        <v>2</v>
      </c>
      <c r="G276" s="10"/>
      <c r="H276" s="11" t="s">
        <v>5</v>
      </c>
      <c r="I276" s="7" t="str">
        <f>D276</f>
        <v>21A</v>
      </c>
    </row>
    <row r="277" spans="1:12" s="1" customFormat="1" ht="53.25" customHeight="1" x14ac:dyDescent="0.25">
      <c r="A277" s="8" t="s">
        <v>3</v>
      </c>
      <c r="B277" s="9">
        <v>40</v>
      </c>
      <c r="C277" s="11" t="s">
        <v>6</v>
      </c>
      <c r="D277" s="7" t="s">
        <v>94</v>
      </c>
      <c r="E277" s="4"/>
      <c r="F277" s="8" t="s">
        <v>3</v>
      </c>
      <c r="G277" s="9">
        <v>80</v>
      </c>
      <c r="H277" s="11" t="s">
        <v>6</v>
      </c>
      <c r="I277" s="7" t="str">
        <f>D277</f>
        <v>DEO-S03</v>
      </c>
      <c r="K277" s="6" t="s">
        <v>8</v>
      </c>
      <c r="L277" s="6" t="s">
        <v>7</v>
      </c>
    </row>
    <row r="278" spans="1:12" s="1" customFormat="1" ht="30" customHeight="1" x14ac:dyDescent="0.25">
      <c r="A278" s="34" t="s">
        <v>93</v>
      </c>
      <c r="B278" s="35"/>
      <c r="C278" s="35"/>
      <c r="D278" s="36"/>
      <c r="E278" s="5"/>
      <c r="F278" s="34" t="s">
        <v>93</v>
      </c>
      <c r="G278" s="35"/>
      <c r="H278" s="35"/>
      <c r="I278" s="36"/>
      <c r="K278" s="1">
        <v>1100</v>
      </c>
      <c r="L278" s="1">
        <v>16</v>
      </c>
    </row>
    <row r="279" spans="1:12" s="1" customFormat="1" ht="30" customHeight="1" x14ac:dyDescent="0.25">
      <c r="A279" s="39" t="s">
        <v>85</v>
      </c>
      <c r="B279" s="40"/>
      <c r="C279" s="41" t="s">
        <v>81</v>
      </c>
      <c r="D279" s="42"/>
      <c r="E279" s="4"/>
      <c r="F279" s="39" t="str">
        <f>A279</f>
        <v>KW621</v>
      </c>
      <c r="G279" s="40"/>
      <c r="H279" s="41" t="str">
        <f>C279</f>
        <v>Green</v>
      </c>
      <c r="I279" s="42"/>
    </row>
    <row r="280" spans="1:12" s="1" customFormat="1" ht="30" customHeight="1" x14ac:dyDescent="0.25">
      <c r="A280" s="12" t="s">
        <v>4</v>
      </c>
      <c r="B280" s="37">
        <v>27087</v>
      </c>
      <c r="C280" s="37"/>
      <c r="D280" s="38"/>
      <c r="E280" s="4"/>
      <c r="F280" s="12" t="s">
        <v>4</v>
      </c>
      <c r="G280" s="37">
        <f>B280</f>
        <v>27087</v>
      </c>
      <c r="H280" s="37"/>
      <c r="I280" s="38"/>
    </row>
  </sheetData>
  <mergeCells count="400">
    <mergeCell ref="A237:B237"/>
    <mergeCell ref="C237:D237"/>
    <mergeCell ref="F237:G237"/>
    <mergeCell ref="H237:I237"/>
    <mergeCell ref="B238:D238"/>
    <mergeCell ref="G238:I238"/>
    <mergeCell ref="B231:D231"/>
    <mergeCell ref="G231:I231"/>
    <mergeCell ref="A232:D232"/>
    <mergeCell ref="F232:I232"/>
    <mergeCell ref="A236:D236"/>
    <mergeCell ref="F236:I236"/>
    <mergeCell ref="A225:D225"/>
    <mergeCell ref="F225:I225"/>
    <mergeCell ref="A229:D229"/>
    <mergeCell ref="F229:I229"/>
    <mergeCell ref="A230:B230"/>
    <mergeCell ref="C230:D230"/>
    <mergeCell ref="F230:G230"/>
    <mergeCell ref="H230:I230"/>
    <mergeCell ref="A223:B223"/>
    <mergeCell ref="C223:D223"/>
    <mergeCell ref="F223:G223"/>
    <mergeCell ref="H223:I223"/>
    <mergeCell ref="B224:D224"/>
    <mergeCell ref="G224:I224"/>
    <mergeCell ref="B217:D217"/>
    <mergeCell ref="G217:I217"/>
    <mergeCell ref="A218:D218"/>
    <mergeCell ref="F218:I218"/>
    <mergeCell ref="A222:D222"/>
    <mergeCell ref="F222:I222"/>
    <mergeCell ref="A211:D211"/>
    <mergeCell ref="F211:I211"/>
    <mergeCell ref="A215:D215"/>
    <mergeCell ref="F215:I215"/>
    <mergeCell ref="A216:B216"/>
    <mergeCell ref="C216:D216"/>
    <mergeCell ref="F216:G216"/>
    <mergeCell ref="H216:I216"/>
    <mergeCell ref="A209:B209"/>
    <mergeCell ref="C209:D209"/>
    <mergeCell ref="F209:G209"/>
    <mergeCell ref="H209:I209"/>
    <mergeCell ref="B210:D210"/>
    <mergeCell ref="G210:I210"/>
    <mergeCell ref="B203:D203"/>
    <mergeCell ref="G203:I203"/>
    <mergeCell ref="A204:D204"/>
    <mergeCell ref="F204:I204"/>
    <mergeCell ref="A208:D208"/>
    <mergeCell ref="F208:I208"/>
    <mergeCell ref="A197:D197"/>
    <mergeCell ref="F197:I197"/>
    <mergeCell ref="A201:D201"/>
    <mergeCell ref="F201:I201"/>
    <mergeCell ref="A202:B202"/>
    <mergeCell ref="C202:D202"/>
    <mergeCell ref="F202:G202"/>
    <mergeCell ref="H202:I202"/>
    <mergeCell ref="A195:B195"/>
    <mergeCell ref="C195:D195"/>
    <mergeCell ref="F195:G195"/>
    <mergeCell ref="H195:I195"/>
    <mergeCell ref="B196:D196"/>
    <mergeCell ref="G196:I196"/>
    <mergeCell ref="B189:D189"/>
    <mergeCell ref="G189:I189"/>
    <mergeCell ref="A190:D190"/>
    <mergeCell ref="F190:I190"/>
    <mergeCell ref="A194:D194"/>
    <mergeCell ref="F194:I194"/>
    <mergeCell ref="A183:D183"/>
    <mergeCell ref="F183:I183"/>
    <mergeCell ref="A187:D187"/>
    <mergeCell ref="F187:I187"/>
    <mergeCell ref="A188:B188"/>
    <mergeCell ref="C188:D188"/>
    <mergeCell ref="F188:G188"/>
    <mergeCell ref="H188:I188"/>
    <mergeCell ref="A181:B181"/>
    <mergeCell ref="C181:D181"/>
    <mergeCell ref="F181:G181"/>
    <mergeCell ref="H181:I181"/>
    <mergeCell ref="B182:D182"/>
    <mergeCell ref="G182:I182"/>
    <mergeCell ref="B175:D175"/>
    <mergeCell ref="G175:I175"/>
    <mergeCell ref="A176:D176"/>
    <mergeCell ref="F176:I176"/>
    <mergeCell ref="A180:D180"/>
    <mergeCell ref="F180:I180"/>
    <mergeCell ref="A169:D169"/>
    <mergeCell ref="F169:I169"/>
    <mergeCell ref="A173:D173"/>
    <mergeCell ref="F173:I173"/>
    <mergeCell ref="A174:B174"/>
    <mergeCell ref="C174:D174"/>
    <mergeCell ref="F174:G174"/>
    <mergeCell ref="H174:I174"/>
    <mergeCell ref="A167:B167"/>
    <mergeCell ref="C167:D167"/>
    <mergeCell ref="F167:G167"/>
    <mergeCell ref="H167:I167"/>
    <mergeCell ref="B168:D168"/>
    <mergeCell ref="G168:I168"/>
    <mergeCell ref="B161:D161"/>
    <mergeCell ref="G161:I161"/>
    <mergeCell ref="A162:D162"/>
    <mergeCell ref="F162:I162"/>
    <mergeCell ref="A166:D166"/>
    <mergeCell ref="F166:I166"/>
    <mergeCell ref="A155:D155"/>
    <mergeCell ref="F155:I155"/>
    <mergeCell ref="A159:D159"/>
    <mergeCell ref="F159:I159"/>
    <mergeCell ref="A160:B160"/>
    <mergeCell ref="C160:D160"/>
    <mergeCell ref="F160:G160"/>
    <mergeCell ref="H160:I160"/>
    <mergeCell ref="A153:B153"/>
    <mergeCell ref="C153:D153"/>
    <mergeCell ref="F153:G153"/>
    <mergeCell ref="H153:I153"/>
    <mergeCell ref="B154:D154"/>
    <mergeCell ref="G154:I154"/>
    <mergeCell ref="B147:D147"/>
    <mergeCell ref="G147:I147"/>
    <mergeCell ref="A148:D148"/>
    <mergeCell ref="F148:I148"/>
    <mergeCell ref="A152:D152"/>
    <mergeCell ref="F152:I152"/>
    <mergeCell ref="A141:D141"/>
    <mergeCell ref="F141:I141"/>
    <mergeCell ref="A145:D145"/>
    <mergeCell ref="F145:I145"/>
    <mergeCell ref="A146:B146"/>
    <mergeCell ref="C146:D146"/>
    <mergeCell ref="F146:G146"/>
    <mergeCell ref="H146:I146"/>
    <mergeCell ref="A139:B139"/>
    <mergeCell ref="C139:D139"/>
    <mergeCell ref="F139:G139"/>
    <mergeCell ref="H139:I139"/>
    <mergeCell ref="B140:D140"/>
    <mergeCell ref="G140:I140"/>
    <mergeCell ref="B133:D133"/>
    <mergeCell ref="G133:I133"/>
    <mergeCell ref="A134:D134"/>
    <mergeCell ref="F134:I134"/>
    <mergeCell ref="A138:D138"/>
    <mergeCell ref="F138:I138"/>
    <mergeCell ref="A127:D127"/>
    <mergeCell ref="F127:I127"/>
    <mergeCell ref="A131:D131"/>
    <mergeCell ref="F131:I131"/>
    <mergeCell ref="A132:B132"/>
    <mergeCell ref="C132:D132"/>
    <mergeCell ref="F132:G132"/>
    <mergeCell ref="H132:I132"/>
    <mergeCell ref="A125:B125"/>
    <mergeCell ref="C125:D125"/>
    <mergeCell ref="F125:G125"/>
    <mergeCell ref="H125:I125"/>
    <mergeCell ref="B126:D126"/>
    <mergeCell ref="G126:I126"/>
    <mergeCell ref="B119:D119"/>
    <mergeCell ref="G119:I119"/>
    <mergeCell ref="A120:D120"/>
    <mergeCell ref="F120:I120"/>
    <mergeCell ref="A124:D124"/>
    <mergeCell ref="F124:I124"/>
    <mergeCell ref="A113:D113"/>
    <mergeCell ref="F113:I113"/>
    <mergeCell ref="A117:D117"/>
    <mergeCell ref="F117:I117"/>
    <mergeCell ref="A118:B118"/>
    <mergeCell ref="C118:D118"/>
    <mergeCell ref="F118:G118"/>
    <mergeCell ref="H118:I118"/>
    <mergeCell ref="A111:B111"/>
    <mergeCell ref="C111:D111"/>
    <mergeCell ref="F111:G111"/>
    <mergeCell ref="H111:I111"/>
    <mergeCell ref="B112:D112"/>
    <mergeCell ref="G112:I112"/>
    <mergeCell ref="B105:D105"/>
    <mergeCell ref="G105:I105"/>
    <mergeCell ref="A106:D106"/>
    <mergeCell ref="F106:I106"/>
    <mergeCell ref="A110:D110"/>
    <mergeCell ref="F110:I110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A97:B97"/>
    <mergeCell ref="C97:D97"/>
    <mergeCell ref="F97:G97"/>
    <mergeCell ref="H97:I97"/>
    <mergeCell ref="B98:D98"/>
    <mergeCell ref="G98:I98"/>
    <mergeCell ref="B91:D91"/>
    <mergeCell ref="G91:I91"/>
    <mergeCell ref="A92:D92"/>
    <mergeCell ref="F92:I92"/>
    <mergeCell ref="A96:D96"/>
    <mergeCell ref="F96:I96"/>
    <mergeCell ref="A85:D85"/>
    <mergeCell ref="F85:I85"/>
    <mergeCell ref="A89:D89"/>
    <mergeCell ref="F89:I89"/>
    <mergeCell ref="A90:B90"/>
    <mergeCell ref="C90:D90"/>
    <mergeCell ref="F90:G90"/>
    <mergeCell ref="H90:I9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A61:D61"/>
    <mergeCell ref="F61:I61"/>
    <mergeCell ref="A62:B62"/>
    <mergeCell ref="C62:D62"/>
    <mergeCell ref="F62:G62"/>
    <mergeCell ref="H62:I62"/>
    <mergeCell ref="A8:D8"/>
    <mergeCell ref="F8:I8"/>
    <mergeCell ref="A12:D12"/>
    <mergeCell ref="F12:I12"/>
    <mergeCell ref="A57:D57"/>
    <mergeCell ref="F57:I57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B35:D35"/>
    <mergeCell ref="G35:I35"/>
    <mergeCell ref="A36:D36"/>
    <mergeCell ref="F36:I3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A27:B27"/>
    <mergeCell ref="C27:D27"/>
    <mergeCell ref="F27:G27"/>
    <mergeCell ref="H27:I27"/>
    <mergeCell ref="B28:D28"/>
    <mergeCell ref="G28:I28"/>
    <mergeCell ref="B21:D21"/>
    <mergeCell ref="G21:I21"/>
    <mergeCell ref="A22:D22"/>
    <mergeCell ref="F22:I22"/>
    <mergeCell ref="A26:D26"/>
    <mergeCell ref="F26:I26"/>
    <mergeCell ref="A15:D15"/>
    <mergeCell ref="F15:I15"/>
    <mergeCell ref="A19:D19"/>
    <mergeCell ref="F19:I19"/>
    <mergeCell ref="A20:B20"/>
    <mergeCell ref="C20:D20"/>
    <mergeCell ref="F20:G20"/>
    <mergeCell ref="H20:I20"/>
    <mergeCell ref="A13:B13"/>
    <mergeCell ref="C13:D13"/>
    <mergeCell ref="F13:G13"/>
    <mergeCell ref="H13:I13"/>
    <mergeCell ref="B14:D14"/>
    <mergeCell ref="G14:I14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239:D239"/>
    <mergeCell ref="F239:I239"/>
    <mergeCell ref="A243:D243"/>
    <mergeCell ref="F243:I243"/>
    <mergeCell ref="A244:B244"/>
    <mergeCell ref="C244:D244"/>
    <mergeCell ref="F244:G244"/>
    <mergeCell ref="H244:I244"/>
    <mergeCell ref="B245:D245"/>
    <mergeCell ref="G245:I245"/>
    <mergeCell ref="A246:D246"/>
    <mergeCell ref="F246:I246"/>
    <mergeCell ref="A250:D250"/>
    <mergeCell ref="F250:I250"/>
    <mergeCell ref="A251:B251"/>
    <mergeCell ref="C251:D251"/>
    <mergeCell ref="F251:G251"/>
    <mergeCell ref="H251:I251"/>
    <mergeCell ref="B252:D252"/>
    <mergeCell ref="G252:I252"/>
    <mergeCell ref="A253:D253"/>
    <mergeCell ref="F253:I253"/>
    <mergeCell ref="A257:D257"/>
    <mergeCell ref="F257:I257"/>
    <mergeCell ref="A258:B258"/>
    <mergeCell ref="C258:D258"/>
    <mergeCell ref="F258:G258"/>
    <mergeCell ref="H258:I258"/>
    <mergeCell ref="B259:D259"/>
    <mergeCell ref="G259:I259"/>
    <mergeCell ref="A260:D260"/>
    <mergeCell ref="F260:I260"/>
    <mergeCell ref="A264:D264"/>
    <mergeCell ref="F264:I264"/>
    <mergeCell ref="A265:B265"/>
    <mergeCell ref="C265:D265"/>
    <mergeCell ref="F265:G265"/>
    <mergeCell ref="H265:I265"/>
    <mergeCell ref="B266:D266"/>
    <mergeCell ref="G266:I266"/>
    <mergeCell ref="A267:D267"/>
    <mergeCell ref="F267:I267"/>
    <mergeCell ref="A271:D271"/>
    <mergeCell ref="F271:I271"/>
    <mergeCell ref="A272:B272"/>
    <mergeCell ref="C272:D272"/>
    <mergeCell ref="F272:G272"/>
    <mergeCell ref="H272:I272"/>
    <mergeCell ref="B273:D273"/>
    <mergeCell ref="G273:I273"/>
    <mergeCell ref="A274:D274"/>
    <mergeCell ref="F274:I274"/>
    <mergeCell ref="A278:D278"/>
    <mergeCell ref="F278:I278"/>
    <mergeCell ref="A279:B279"/>
    <mergeCell ref="C279:D279"/>
    <mergeCell ref="F279:G279"/>
    <mergeCell ref="H279:I279"/>
    <mergeCell ref="B280:D280"/>
    <mergeCell ref="G280:I280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L1050"/>
  <sheetViews>
    <sheetView view="pageBreakPreview" topLeftCell="A1038" zoomScaleNormal="100" zoomScaleSheetLayoutView="100" workbookViewId="0">
      <selection activeCell="C4" sqref="C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3" t="s">
        <v>82</v>
      </c>
      <c r="B1" s="33"/>
      <c r="C1" s="33"/>
      <c r="D1" s="33"/>
      <c r="E1" s="2"/>
      <c r="F1" s="33" t="str">
        <f>A1</f>
        <v>Tall DEO - Barrel</v>
      </c>
      <c r="G1" s="33"/>
      <c r="H1" s="33"/>
      <c r="I1" s="33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83</v>
      </c>
      <c r="E3" s="4"/>
      <c r="F3" s="11" t="s">
        <v>2</v>
      </c>
      <c r="G3" s="10"/>
      <c r="H3" s="11" t="s">
        <v>5</v>
      </c>
      <c r="I3" s="7" t="str">
        <f>D3</f>
        <v>18B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84</v>
      </c>
      <c r="E4" s="4"/>
      <c r="F4" s="8" t="s">
        <v>3</v>
      </c>
      <c r="G4" s="9">
        <v>151</v>
      </c>
      <c r="H4" s="11" t="s">
        <v>6</v>
      </c>
      <c r="I4" s="7" t="str">
        <f>D4</f>
        <v>DEO-B06</v>
      </c>
      <c r="K4" s="6" t="s">
        <v>8</v>
      </c>
      <c r="L4" s="6" t="s">
        <v>7</v>
      </c>
    </row>
    <row r="5" spans="1:12" s="1" customFormat="1" ht="30" customHeight="1" x14ac:dyDescent="0.25">
      <c r="A5" s="34" t="s">
        <v>86</v>
      </c>
      <c r="B5" s="35"/>
      <c r="C5" s="35"/>
      <c r="D5" s="36"/>
      <c r="E5" s="5"/>
      <c r="F5" s="34" t="s">
        <v>86</v>
      </c>
      <c r="G5" s="35"/>
      <c r="H5" s="35"/>
      <c r="I5" s="36"/>
      <c r="K5" s="1">
        <v>165</v>
      </c>
      <c r="L5" s="1">
        <v>20</v>
      </c>
    </row>
    <row r="6" spans="1:12" s="1" customFormat="1" ht="30" customHeight="1" x14ac:dyDescent="0.25">
      <c r="A6" s="43" t="s">
        <v>85</v>
      </c>
      <c r="B6" s="44"/>
      <c r="C6" s="41" t="s">
        <v>81</v>
      </c>
      <c r="D6" s="42"/>
      <c r="E6" s="4"/>
      <c r="F6" s="43" t="str">
        <f>A6</f>
        <v>KW621</v>
      </c>
      <c r="G6" s="44"/>
      <c r="H6" s="41" t="str">
        <f>C6</f>
        <v>Green</v>
      </c>
      <c r="I6" s="42"/>
    </row>
    <row r="7" spans="1:12" s="1" customFormat="1" ht="30" customHeight="1" x14ac:dyDescent="0.25">
      <c r="A7" s="12" t="s">
        <v>4</v>
      </c>
      <c r="B7" s="37">
        <v>27087</v>
      </c>
      <c r="C7" s="37"/>
      <c r="D7" s="38"/>
      <c r="E7" s="4"/>
      <c r="F7" s="12" t="s">
        <v>4</v>
      </c>
      <c r="G7" s="37">
        <f>B7</f>
        <v>27087</v>
      </c>
      <c r="H7" s="37"/>
      <c r="I7" s="38"/>
    </row>
    <row r="8" spans="1:12" ht="63.75" customHeight="1" x14ac:dyDescent="0.25">
      <c r="A8" s="33" t="s">
        <v>82</v>
      </c>
      <c r="B8" s="33"/>
      <c r="C8" s="33"/>
      <c r="D8" s="33"/>
      <c r="E8" s="2"/>
      <c r="F8" s="33" t="str">
        <f>A8</f>
        <v>Tall DEO - Barrel</v>
      </c>
      <c r="G8" s="33"/>
      <c r="H8" s="33"/>
      <c r="I8" s="33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83</v>
      </c>
      <c r="E10" s="4"/>
      <c r="F10" s="11" t="s">
        <v>2</v>
      </c>
      <c r="G10" s="10"/>
      <c r="H10" s="11" t="s">
        <v>5</v>
      </c>
      <c r="I10" s="7" t="str">
        <f>D10</f>
        <v>18B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84</v>
      </c>
      <c r="E11" s="4"/>
      <c r="F11" s="8" t="s">
        <v>3</v>
      </c>
      <c r="G11" s="9">
        <v>152</v>
      </c>
      <c r="H11" s="11" t="s">
        <v>6</v>
      </c>
      <c r="I11" s="7" t="str">
        <f>D11</f>
        <v>DEO-B06</v>
      </c>
      <c r="K11" s="6" t="s">
        <v>8</v>
      </c>
      <c r="L11" s="6" t="s">
        <v>7</v>
      </c>
    </row>
    <row r="12" spans="1:12" s="1" customFormat="1" ht="30" customHeight="1" x14ac:dyDescent="0.25">
      <c r="A12" s="34" t="s">
        <v>86</v>
      </c>
      <c r="B12" s="35"/>
      <c r="C12" s="35"/>
      <c r="D12" s="36"/>
      <c r="E12" s="5"/>
      <c r="F12" s="34" t="s">
        <v>86</v>
      </c>
      <c r="G12" s="35"/>
      <c r="H12" s="35"/>
      <c r="I12" s="36"/>
      <c r="K12" s="1">
        <v>165</v>
      </c>
      <c r="L12" s="1">
        <v>20</v>
      </c>
    </row>
    <row r="13" spans="1:12" s="1" customFormat="1" ht="30" customHeight="1" x14ac:dyDescent="0.25">
      <c r="A13" s="43" t="s">
        <v>85</v>
      </c>
      <c r="B13" s="44"/>
      <c r="C13" s="41" t="s">
        <v>81</v>
      </c>
      <c r="D13" s="42"/>
      <c r="E13" s="4"/>
      <c r="F13" s="43" t="str">
        <f>A13</f>
        <v>KW621</v>
      </c>
      <c r="G13" s="44"/>
      <c r="H13" s="41" t="str">
        <f>C13</f>
        <v>Green</v>
      </c>
      <c r="I13" s="42"/>
    </row>
    <row r="14" spans="1:12" s="1" customFormat="1" ht="30" customHeight="1" x14ac:dyDescent="0.25">
      <c r="A14" s="12" t="s">
        <v>4</v>
      </c>
      <c r="B14" s="37">
        <v>27087</v>
      </c>
      <c r="C14" s="37"/>
      <c r="D14" s="38"/>
      <c r="E14" s="4"/>
      <c r="F14" s="12" t="s">
        <v>4</v>
      </c>
      <c r="G14" s="37">
        <f>B14</f>
        <v>27087</v>
      </c>
      <c r="H14" s="37"/>
      <c r="I14" s="38"/>
    </row>
    <row r="15" spans="1:12" ht="63.75" customHeight="1" x14ac:dyDescent="0.25">
      <c r="A15" s="33" t="s">
        <v>82</v>
      </c>
      <c r="B15" s="33"/>
      <c r="C15" s="33"/>
      <c r="D15" s="33"/>
      <c r="E15" s="2"/>
      <c r="F15" s="33" t="str">
        <f>A15</f>
        <v>Tall DEO - Barrel</v>
      </c>
      <c r="G15" s="33"/>
      <c r="H15" s="33"/>
      <c r="I15" s="33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83</v>
      </c>
      <c r="E17" s="4"/>
      <c r="F17" s="11" t="s">
        <v>2</v>
      </c>
      <c r="G17" s="10"/>
      <c r="H17" s="11" t="s">
        <v>5</v>
      </c>
      <c r="I17" s="7" t="str">
        <f>D17</f>
        <v>18B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84</v>
      </c>
      <c r="E18" s="4"/>
      <c r="F18" s="8" t="s">
        <v>3</v>
      </c>
      <c r="G18" s="9">
        <v>153</v>
      </c>
      <c r="H18" s="11" t="s">
        <v>6</v>
      </c>
      <c r="I18" s="7" t="str">
        <f>D18</f>
        <v>DEO-B06</v>
      </c>
      <c r="K18" s="6" t="s">
        <v>8</v>
      </c>
      <c r="L18" s="6" t="s">
        <v>7</v>
      </c>
    </row>
    <row r="19" spans="1:12" s="1" customFormat="1" ht="30" customHeight="1" x14ac:dyDescent="0.25">
      <c r="A19" s="34" t="s">
        <v>86</v>
      </c>
      <c r="B19" s="35"/>
      <c r="C19" s="35"/>
      <c r="D19" s="36"/>
      <c r="E19" s="5"/>
      <c r="F19" s="34" t="s">
        <v>86</v>
      </c>
      <c r="G19" s="35"/>
      <c r="H19" s="35"/>
      <c r="I19" s="36"/>
      <c r="K19" s="1">
        <v>165</v>
      </c>
      <c r="L19" s="1">
        <v>20</v>
      </c>
    </row>
    <row r="20" spans="1:12" s="1" customFormat="1" ht="30" customHeight="1" x14ac:dyDescent="0.25">
      <c r="A20" s="43" t="s">
        <v>85</v>
      </c>
      <c r="B20" s="44"/>
      <c r="C20" s="41" t="s">
        <v>81</v>
      </c>
      <c r="D20" s="42"/>
      <c r="E20" s="4"/>
      <c r="F20" s="43" t="str">
        <f>A20</f>
        <v>KW621</v>
      </c>
      <c r="G20" s="44"/>
      <c r="H20" s="41" t="str">
        <f>C20</f>
        <v>Green</v>
      </c>
      <c r="I20" s="42"/>
    </row>
    <row r="21" spans="1:12" s="1" customFormat="1" ht="30" customHeight="1" x14ac:dyDescent="0.25">
      <c r="A21" s="12" t="s">
        <v>4</v>
      </c>
      <c r="B21" s="37">
        <v>27087</v>
      </c>
      <c r="C21" s="37"/>
      <c r="D21" s="38"/>
      <c r="E21" s="4"/>
      <c r="F21" s="12" t="s">
        <v>4</v>
      </c>
      <c r="G21" s="37">
        <f>B21</f>
        <v>27087</v>
      </c>
      <c r="H21" s="37"/>
      <c r="I21" s="38"/>
    </row>
    <row r="22" spans="1:12" ht="63.75" customHeight="1" x14ac:dyDescent="0.25">
      <c r="A22" s="33" t="s">
        <v>82</v>
      </c>
      <c r="B22" s="33"/>
      <c r="C22" s="33"/>
      <c r="D22" s="33"/>
      <c r="E22" s="2"/>
      <c r="F22" s="33" t="str">
        <f>A22</f>
        <v>Tall DEO - Barrel</v>
      </c>
      <c r="G22" s="33"/>
      <c r="H22" s="33"/>
      <c r="I22" s="33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83</v>
      </c>
      <c r="E24" s="4"/>
      <c r="F24" s="11" t="s">
        <v>2</v>
      </c>
      <c r="G24" s="10"/>
      <c r="H24" s="11" t="s">
        <v>5</v>
      </c>
      <c r="I24" s="7" t="str">
        <f>D24</f>
        <v>18B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84</v>
      </c>
      <c r="E25" s="4"/>
      <c r="F25" s="8" t="s">
        <v>3</v>
      </c>
      <c r="G25" s="9">
        <v>154</v>
      </c>
      <c r="H25" s="11" t="s">
        <v>6</v>
      </c>
      <c r="I25" s="7" t="str">
        <f>D25</f>
        <v>DEO-B06</v>
      </c>
      <c r="K25" s="6" t="s">
        <v>8</v>
      </c>
      <c r="L25" s="6" t="s">
        <v>7</v>
      </c>
    </row>
    <row r="26" spans="1:12" s="1" customFormat="1" ht="30" customHeight="1" x14ac:dyDescent="0.25">
      <c r="A26" s="34" t="s">
        <v>86</v>
      </c>
      <c r="B26" s="35"/>
      <c r="C26" s="35"/>
      <c r="D26" s="36"/>
      <c r="E26" s="5"/>
      <c r="F26" s="34" t="s">
        <v>86</v>
      </c>
      <c r="G26" s="35"/>
      <c r="H26" s="35"/>
      <c r="I26" s="36"/>
      <c r="K26" s="1">
        <v>165</v>
      </c>
      <c r="L26" s="1">
        <v>20</v>
      </c>
    </row>
    <row r="27" spans="1:12" s="1" customFormat="1" ht="30" customHeight="1" x14ac:dyDescent="0.25">
      <c r="A27" s="43" t="s">
        <v>85</v>
      </c>
      <c r="B27" s="44"/>
      <c r="C27" s="41" t="s">
        <v>81</v>
      </c>
      <c r="D27" s="42"/>
      <c r="E27" s="4"/>
      <c r="F27" s="43" t="str">
        <f>A27</f>
        <v>KW621</v>
      </c>
      <c r="G27" s="44"/>
      <c r="H27" s="41" t="str">
        <f>C27</f>
        <v>Green</v>
      </c>
      <c r="I27" s="42"/>
    </row>
    <row r="28" spans="1:12" s="1" customFormat="1" ht="30" customHeight="1" x14ac:dyDescent="0.25">
      <c r="A28" s="12" t="s">
        <v>4</v>
      </c>
      <c r="B28" s="37">
        <v>27087</v>
      </c>
      <c r="C28" s="37"/>
      <c r="D28" s="38"/>
      <c r="E28" s="4"/>
      <c r="F28" s="12" t="s">
        <v>4</v>
      </c>
      <c r="G28" s="37">
        <f>B28</f>
        <v>27087</v>
      </c>
      <c r="H28" s="37"/>
      <c r="I28" s="38"/>
    </row>
    <row r="29" spans="1:12" ht="63.75" customHeight="1" x14ac:dyDescent="0.25">
      <c r="A29" s="33" t="s">
        <v>82</v>
      </c>
      <c r="B29" s="33"/>
      <c r="C29" s="33"/>
      <c r="D29" s="33"/>
      <c r="E29" s="2"/>
      <c r="F29" s="33" t="str">
        <f>A29</f>
        <v>Tall DEO - Barrel</v>
      </c>
      <c r="G29" s="33"/>
      <c r="H29" s="33"/>
      <c r="I29" s="33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83</v>
      </c>
      <c r="E31" s="4"/>
      <c r="F31" s="11" t="s">
        <v>2</v>
      </c>
      <c r="G31" s="10"/>
      <c r="H31" s="11" t="s">
        <v>5</v>
      </c>
      <c r="I31" s="7" t="str">
        <f>D31</f>
        <v>18B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84</v>
      </c>
      <c r="E32" s="4"/>
      <c r="F32" s="8" t="s">
        <v>3</v>
      </c>
      <c r="G32" s="9">
        <v>155</v>
      </c>
      <c r="H32" s="11" t="s">
        <v>6</v>
      </c>
      <c r="I32" s="7" t="str">
        <f>D32</f>
        <v>DEO-B06</v>
      </c>
      <c r="K32" s="6" t="s">
        <v>8</v>
      </c>
      <c r="L32" s="6" t="s">
        <v>7</v>
      </c>
    </row>
    <row r="33" spans="1:12" s="1" customFormat="1" ht="30" customHeight="1" x14ac:dyDescent="0.25">
      <c r="A33" s="34" t="s">
        <v>86</v>
      </c>
      <c r="B33" s="35"/>
      <c r="C33" s="35"/>
      <c r="D33" s="36"/>
      <c r="E33" s="5"/>
      <c r="F33" s="34" t="s">
        <v>86</v>
      </c>
      <c r="G33" s="35"/>
      <c r="H33" s="35"/>
      <c r="I33" s="36"/>
      <c r="K33" s="1">
        <v>165</v>
      </c>
      <c r="L33" s="1">
        <v>20</v>
      </c>
    </row>
    <row r="34" spans="1:12" s="1" customFormat="1" ht="30" customHeight="1" x14ac:dyDescent="0.25">
      <c r="A34" s="43" t="s">
        <v>85</v>
      </c>
      <c r="B34" s="44"/>
      <c r="C34" s="41" t="s">
        <v>81</v>
      </c>
      <c r="D34" s="42"/>
      <c r="E34" s="4"/>
      <c r="F34" s="43" t="str">
        <f>A34</f>
        <v>KW621</v>
      </c>
      <c r="G34" s="44"/>
      <c r="H34" s="41" t="str">
        <f>C34</f>
        <v>Green</v>
      </c>
      <c r="I34" s="42"/>
    </row>
    <row r="35" spans="1:12" s="1" customFormat="1" ht="30" customHeight="1" x14ac:dyDescent="0.25">
      <c r="A35" s="12" t="s">
        <v>4</v>
      </c>
      <c r="B35" s="37">
        <v>27087</v>
      </c>
      <c r="C35" s="37"/>
      <c r="D35" s="38"/>
      <c r="E35" s="4"/>
      <c r="F35" s="12" t="s">
        <v>4</v>
      </c>
      <c r="G35" s="37">
        <f>B35</f>
        <v>27087</v>
      </c>
      <c r="H35" s="37"/>
      <c r="I35" s="38"/>
    </row>
    <row r="36" spans="1:12" ht="63.75" customHeight="1" x14ac:dyDescent="0.25">
      <c r="A36" s="33" t="s">
        <v>82</v>
      </c>
      <c r="B36" s="33"/>
      <c r="C36" s="33"/>
      <c r="D36" s="33"/>
      <c r="E36" s="2"/>
      <c r="F36" s="33" t="str">
        <f>A36</f>
        <v>Tall DEO - Barrel</v>
      </c>
      <c r="G36" s="33"/>
      <c r="H36" s="33"/>
      <c r="I36" s="33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83</v>
      </c>
      <c r="E38" s="4"/>
      <c r="F38" s="11" t="s">
        <v>2</v>
      </c>
      <c r="G38" s="10"/>
      <c r="H38" s="11" t="s">
        <v>5</v>
      </c>
      <c r="I38" s="7" t="str">
        <f>D38</f>
        <v>18B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84</v>
      </c>
      <c r="E39" s="4"/>
      <c r="F39" s="8" t="s">
        <v>3</v>
      </c>
      <c r="G39" s="9">
        <v>156</v>
      </c>
      <c r="H39" s="11" t="s">
        <v>6</v>
      </c>
      <c r="I39" s="7" t="str">
        <f>D39</f>
        <v>DEO-B06</v>
      </c>
      <c r="K39" s="6" t="s">
        <v>8</v>
      </c>
      <c r="L39" s="6" t="s">
        <v>7</v>
      </c>
    </row>
    <row r="40" spans="1:12" s="1" customFormat="1" ht="30" customHeight="1" x14ac:dyDescent="0.25">
      <c r="A40" s="34" t="s">
        <v>86</v>
      </c>
      <c r="B40" s="35"/>
      <c r="C40" s="35"/>
      <c r="D40" s="36"/>
      <c r="E40" s="5"/>
      <c r="F40" s="34" t="s">
        <v>86</v>
      </c>
      <c r="G40" s="35"/>
      <c r="H40" s="35"/>
      <c r="I40" s="36"/>
      <c r="K40" s="1">
        <v>165</v>
      </c>
      <c r="L40" s="1">
        <v>20</v>
      </c>
    </row>
    <row r="41" spans="1:12" s="1" customFormat="1" ht="30" customHeight="1" x14ac:dyDescent="0.25">
      <c r="A41" s="43" t="s">
        <v>85</v>
      </c>
      <c r="B41" s="44"/>
      <c r="C41" s="41" t="s">
        <v>81</v>
      </c>
      <c r="D41" s="42"/>
      <c r="E41" s="4"/>
      <c r="F41" s="43" t="str">
        <f>A41</f>
        <v>KW621</v>
      </c>
      <c r="G41" s="44"/>
      <c r="H41" s="41" t="str">
        <f>C41</f>
        <v>Green</v>
      </c>
      <c r="I41" s="42"/>
    </row>
    <row r="42" spans="1:12" s="1" customFormat="1" ht="30" customHeight="1" x14ac:dyDescent="0.25">
      <c r="A42" s="12" t="s">
        <v>4</v>
      </c>
      <c r="B42" s="37">
        <v>27087</v>
      </c>
      <c r="C42" s="37"/>
      <c r="D42" s="38"/>
      <c r="E42" s="4"/>
      <c r="F42" s="12" t="s">
        <v>4</v>
      </c>
      <c r="G42" s="37">
        <f>B42</f>
        <v>27087</v>
      </c>
      <c r="H42" s="37"/>
      <c r="I42" s="38"/>
    </row>
    <row r="43" spans="1:12" ht="63.75" customHeight="1" x14ac:dyDescent="0.25">
      <c r="A43" s="33" t="s">
        <v>82</v>
      </c>
      <c r="B43" s="33"/>
      <c r="C43" s="33"/>
      <c r="D43" s="33"/>
      <c r="E43" s="2"/>
      <c r="F43" s="33" t="str">
        <f>A43</f>
        <v>Tall DEO - Barrel</v>
      </c>
      <c r="G43" s="33"/>
      <c r="H43" s="33"/>
      <c r="I43" s="33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83</v>
      </c>
      <c r="E45" s="4"/>
      <c r="F45" s="11" t="s">
        <v>2</v>
      </c>
      <c r="G45" s="10"/>
      <c r="H45" s="11" t="s">
        <v>5</v>
      </c>
      <c r="I45" s="7" t="str">
        <f>D45</f>
        <v>18B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84</v>
      </c>
      <c r="E46" s="4"/>
      <c r="F46" s="8" t="s">
        <v>3</v>
      </c>
      <c r="G46" s="9">
        <v>157</v>
      </c>
      <c r="H46" s="11" t="s">
        <v>6</v>
      </c>
      <c r="I46" s="7" t="str">
        <f>D46</f>
        <v>DEO-B06</v>
      </c>
      <c r="K46" s="6" t="s">
        <v>8</v>
      </c>
      <c r="L46" s="6" t="s">
        <v>7</v>
      </c>
    </row>
    <row r="47" spans="1:12" s="1" customFormat="1" ht="30" customHeight="1" x14ac:dyDescent="0.25">
      <c r="A47" s="34" t="s">
        <v>86</v>
      </c>
      <c r="B47" s="35"/>
      <c r="C47" s="35"/>
      <c r="D47" s="36"/>
      <c r="E47" s="5"/>
      <c r="F47" s="34" t="s">
        <v>86</v>
      </c>
      <c r="G47" s="35"/>
      <c r="H47" s="35"/>
      <c r="I47" s="36"/>
      <c r="K47" s="1">
        <v>165</v>
      </c>
      <c r="L47" s="1">
        <v>20</v>
      </c>
    </row>
    <row r="48" spans="1:12" s="1" customFormat="1" ht="30" customHeight="1" x14ac:dyDescent="0.25">
      <c r="A48" s="43" t="s">
        <v>85</v>
      </c>
      <c r="B48" s="44"/>
      <c r="C48" s="41" t="s">
        <v>81</v>
      </c>
      <c r="D48" s="42"/>
      <c r="E48" s="4"/>
      <c r="F48" s="43" t="str">
        <f>A48</f>
        <v>KW621</v>
      </c>
      <c r="G48" s="44"/>
      <c r="H48" s="41" t="str">
        <f>C48</f>
        <v>Green</v>
      </c>
      <c r="I48" s="42"/>
    </row>
    <row r="49" spans="1:12" s="1" customFormat="1" ht="30" customHeight="1" x14ac:dyDescent="0.25">
      <c r="A49" s="12" t="s">
        <v>4</v>
      </c>
      <c r="B49" s="37">
        <v>27087</v>
      </c>
      <c r="C49" s="37"/>
      <c r="D49" s="38"/>
      <c r="E49" s="4"/>
      <c r="F49" s="12" t="s">
        <v>4</v>
      </c>
      <c r="G49" s="37">
        <f>B49</f>
        <v>27087</v>
      </c>
      <c r="H49" s="37"/>
      <c r="I49" s="38"/>
    </row>
    <row r="50" spans="1:12" ht="63.75" customHeight="1" x14ac:dyDescent="0.25">
      <c r="A50" s="33" t="s">
        <v>82</v>
      </c>
      <c r="B50" s="33"/>
      <c r="C50" s="33"/>
      <c r="D50" s="33"/>
      <c r="E50" s="2"/>
      <c r="F50" s="33" t="str">
        <f>A50</f>
        <v>Tall DEO - Barrel</v>
      </c>
      <c r="G50" s="33"/>
      <c r="H50" s="33"/>
      <c r="I50" s="33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83</v>
      </c>
      <c r="E52" s="4"/>
      <c r="F52" s="11" t="s">
        <v>2</v>
      </c>
      <c r="G52" s="10"/>
      <c r="H52" s="11" t="s">
        <v>5</v>
      </c>
      <c r="I52" s="7" t="str">
        <f>D52</f>
        <v>18B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84</v>
      </c>
      <c r="E53" s="4"/>
      <c r="F53" s="8" t="s">
        <v>3</v>
      </c>
      <c r="G53" s="9">
        <v>158</v>
      </c>
      <c r="H53" s="11" t="s">
        <v>6</v>
      </c>
      <c r="I53" s="7" t="str">
        <f>D53</f>
        <v>DEO-B06</v>
      </c>
      <c r="K53" s="6" t="s">
        <v>8</v>
      </c>
      <c r="L53" s="6" t="s">
        <v>7</v>
      </c>
    </row>
    <row r="54" spans="1:12" s="1" customFormat="1" ht="30" customHeight="1" x14ac:dyDescent="0.25">
      <c r="A54" s="34" t="s">
        <v>86</v>
      </c>
      <c r="B54" s="35"/>
      <c r="C54" s="35"/>
      <c r="D54" s="36"/>
      <c r="E54" s="5"/>
      <c r="F54" s="34" t="s">
        <v>86</v>
      </c>
      <c r="G54" s="35"/>
      <c r="H54" s="35"/>
      <c r="I54" s="36"/>
      <c r="K54" s="1">
        <v>165</v>
      </c>
      <c r="L54" s="1">
        <v>20</v>
      </c>
    </row>
    <row r="55" spans="1:12" s="1" customFormat="1" ht="30" customHeight="1" x14ac:dyDescent="0.25">
      <c r="A55" s="43" t="s">
        <v>85</v>
      </c>
      <c r="B55" s="44"/>
      <c r="C55" s="41" t="s">
        <v>81</v>
      </c>
      <c r="D55" s="42"/>
      <c r="E55" s="4"/>
      <c r="F55" s="43" t="str">
        <f>A55</f>
        <v>KW621</v>
      </c>
      <c r="G55" s="44"/>
      <c r="H55" s="41" t="str">
        <f>C55</f>
        <v>Green</v>
      </c>
      <c r="I55" s="42"/>
    </row>
    <row r="56" spans="1:12" s="1" customFormat="1" ht="30" customHeight="1" x14ac:dyDescent="0.25">
      <c r="A56" s="12" t="s">
        <v>4</v>
      </c>
      <c r="B56" s="37">
        <v>27087</v>
      </c>
      <c r="C56" s="37"/>
      <c r="D56" s="38"/>
      <c r="E56" s="4"/>
      <c r="F56" s="12" t="s">
        <v>4</v>
      </c>
      <c r="G56" s="37">
        <f>B56</f>
        <v>27087</v>
      </c>
      <c r="H56" s="37"/>
      <c r="I56" s="38"/>
    </row>
    <row r="57" spans="1:12" ht="63.75" customHeight="1" x14ac:dyDescent="0.25">
      <c r="A57" s="33" t="s">
        <v>82</v>
      </c>
      <c r="B57" s="33"/>
      <c r="C57" s="33"/>
      <c r="D57" s="33"/>
      <c r="E57" s="2"/>
      <c r="F57" s="33" t="str">
        <f>A57</f>
        <v>Tall DEO - Barrel</v>
      </c>
      <c r="G57" s="33"/>
      <c r="H57" s="33"/>
      <c r="I57" s="33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83</v>
      </c>
      <c r="E59" s="4"/>
      <c r="F59" s="11" t="s">
        <v>2</v>
      </c>
      <c r="G59" s="10"/>
      <c r="H59" s="11" t="s">
        <v>5</v>
      </c>
      <c r="I59" s="7" t="str">
        <f>D59</f>
        <v>18B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84</v>
      </c>
      <c r="E60" s="4"/>
      <c r="F60" s="8" t="s">
        <v>3</v>
      </c>
      <c r="G60" s="9">
        <v>159</v>
      </c>
      <c r="H60" s="11" t="s">
        <v>6</v>
      </c>
      <c r="I60" s="7" t="str">
        <f>D60</f>
        <v>DEO-B06</v>
      </c>
      <c r="K60" s="6" t="s">
        <v>8</v>
      </c>
      <c r="L60" s="6" t="s">
        <v>7</v>
      </c>
    </row>
    <row r="61" spans="1:12" s="1" customFormat="1" ht="30" customHeight="1" x14ac:dyDescent="0.25">
      <c r="A61" s="34" t="s">
        <v>86</v>
      </c>
      <c r="B61" s="35"/>
      <c r="C61" s="35"/>
      <c r="D61" s="36"/>
      <c r="E61" s="5"/>
      <c r="F61" s="34" t="s">
        <v>86</v>
      </c>
      <c r="G61" s="35"/>
      <c r="H61" s="35"/>
      <c r="I61" s="36"/>
      <c r="K61" s="1">
        <v>165</v>
      </c>
      <c r="L61" s="1">
        <v>20</v>
      </c>
    </row>
    <row r="62" spans="1:12" s="1" customFormat="1" ht="30" customHeight="1" x14ac:dyDescent="0.25">
      <c r="A62" s="43" t="s">
        <v>85</v>
      </c>
      <c r="B62" s="44"/>
      <c r="C62" s="41" t="s">
        <v>81</v>
      </c>
      <c r="D62" s="42"/>
      <c r="E62" s="4"/>
      <c r="F62" s="43" t="str">
        <f>A62</f>
        <v>KW621</v>
      </c>
      <c r="G62" s="44"/>
      <c r="H62" s="41" t="str">
        <f>C62</f>
        <v>Green</v>
      </c>
      <c r="I62" s="42"/>
    </row>
    <row r="63" spans="1:12" s="1" customFormat="1" ht="30" customHeight="1" x14ac:dyDescent="0.25">
      <c r="A63" s="12" t="s">
        <v>4</v>
      </c>
      <c r="B63" s="37">
        <v>27087</v>
      </c>
      <c r="C63" s="37"/>
      <c r="D63" s="38"/>
      <c r="E63" s="4"/>
      <c r="F63" s="12" t="s">
        <v>4</v>
      </c>
      <c r="G63" s="37">
        <f>B63</f>
        <v>27087</v>
      </c>
      <c r="H63" s="37"/>
      <c r="I63" s="38"/>
    </row>
    <row r="64" spans="1:12" ht="63.75" customHeight="1" x14ac:dyDescent="0.25">
      <c r="A64" s="33" t="s">
        <v>82</v>
      </c>
      <c r="B64" s="33"/>
      <c r="C64" s="33"/>
      <c r="D64" s="33"/>
      <c r="E64" s="2"/>
      <c r="F64" s="33" t="str">
        <f>A64</f>
        <v>Tall DEO - Barrel</v>
      </c>
      <c r="G64" s="33"/>
      <c r="H64" s="33"/>
      <c r="I64" s="33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83</v>
      </c>
      <c r="E66" s="4"/>
      <c r="F66" s="11" t="s">
        <v>2</v>
      </c>
      <c r="G66" s="10"/>
      <c r="H66" s="11" t="s">
        <v>5</v>
      </c>
      <c r="I66" s="7" t="str">
        <f>D66</f>
        <v>18B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84</v>
      </c>
      <c r="E67" s="4"/>
      <c r="F67" s="8" t="s">
        <v>3</v>
      </c>
      <c r="G67" s="9">
        <v>160</v>
      </c>
      <c r="H67" s="11" t="s">
        <v>6</v>
      </c>
      <c r="I67" s="7" t="str">
        <f>D67</f>
        <v>DEO-B06</v>
      </c>
      <c r="K67" s="6" t="s">
        <v>8</v>
      </c>
      <c r="L67" s="6" t="s">
        <v>7</v>
      </c>
    </row>
    <row r="68" spans="1:12" s="1" customFormat="1" ht="30" customHeight="1" x14ac:dyDescent="0.25">
      <c r="A68" s="34" t="s">
        <v>86</v>
      </c>
      <c r="B68" s="35"/>
      <c r="C68" s="35"/>
      <c r="D68" s="36"/>
      <c r="E68" s="5"/>
      <c r="F68" s="34" t="s">
        <v>86</v>
      </c>
      <c r="G68" s="35"/>
      <c r="H68" s="35"/>
      <c r="I68" s="36"/>
      <c r="K68" s="1">
        <v>165</v>
      </c>
      <c r="L68" s="1">
        <v>20</v>
      </c>
    </row>
    <row r="69" spans="1:12" s="1" customFormat="1" ht="30" customHeight="1" x14ac:dyDescent="0.25">
      <c r="A69" s="43" t="s">
        <v>85</v>
      </c>
      <c r="B69" s="44"/>
      <c r="C69" s="41" t="s">
        <v>81</v>
      </c>
      <c r="D69" s="42"/>
      <c r="E69" s="4"/>
      <c r="F69" s="43" t="str">
        <f>A69</f>
        <v>KW621</v>
      </c>
      <c r="G69" s="44"/>
      <c r="H69" s="41" t="str">
        <f>C69</f>
        <v>Green</v>
      </c>
      <c r="I69" s="42"/>
    </row>
    <row r="70" spans="1:12" s="1" customFormat="1" ht="30" customHeight="1" x14ac:dyDescent="0.25">
      <c r="A70" s="12" t="s">
        <v>4</v>
      </c>
      <c r="B70" s="37">
        <v>27087</v>
      </c>
      <c r="C70" s="37"/>
      <c r="D70" s="38"/>
      <c r="E70" s="4"/>
      <c r="F70" s="12" t="s">
        <v>4</v>
      </c>
      <c r="G70" s="37">
        <f>B70</f>
        <v>27087</v>
      </c>
      <c r="H70" s="37"/>
      <c r="I70" s="38"/>
    </row>
    <row r="71" spans="1:12" ht="63.75" customHeight="1" x14ac:dyDescent="0.25">
      <c r="A71" s="33" t="s">
        <v>82</v>
      </c>
      <c r="B71" s="33"/>
      <c r="C71" s="33"/>
      <c r="D71" s="33"/>
      <c r="E71" s="2"/>
      <c r="F71" s="33" t="str">
        <f>A71</f>
        <v>Tall DEO - Barrel</v>
      </c>
      <c r="G71" s="33"/>
      <c r="H71" s="33"/>
      <c r="I71" s="33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83</v>
      </c>
      <c r="E73" s="4"/>
      <c r="F73" s="11" t="s">
        <v>2</v>
      </c>
      <c r="G73" s="10"/>
      <c r="H73" s="11" t="s">
        <v>5</v>
      </c>
      <c r="I73" s="7" t="str">
        <f>D73</f>
        <v>18B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84</v>
      </c>
      <c r="E74" s="4"/>
      <c r="F74" s="8" t="s">
        <v>3</v>
      </c>
      <c r="G74" s="9">
        <v>161</v>
      </c>
      <c r="H74" s="11" t="s">
        <v>6</v>
      </c>
      <c r="I74" s="7" t="str">
        <f>D74</f>
        <v>DEO-B06</v>
      </c>
      <c r="K74" s="6" t="s">
        <v>8</v>
      </c>
      <c r="L74" s="6" t="s">
        <v>7</v>
      </c>
    </row>
    <row r="75" spans="1:12" s="1" customFormat="1" ht="30" customHeight="1" x14ac:dyDescent="0.25">
      <c r="A75" s="34" t="s">
        <v>86</v>
      </c>
      <c r="B75" s="35"/>
      <c r="C75" s="35"/>
      <c r="D75" s="36"/>
      <c r="E75" s="5"/>
      <c r="F75" s="34" t="s">
        <v>86</v>
      </c>
      <c r="G75" s="35"/>
      <c r="H75" s="35"/>
      <c r="I75" s="36"/>
      <c r="K75" s="1">
        <v>165</v>
      </c>
      <c r="L75" s="1">
        <v>20</v>
      </c>
    </row>
    <row r="76" spans="1:12" s="1" customFormat="1" ht="30" customHeight="1" x14ac:dyDescent="0.25">
      <c r="A76" s="43" t="s">
        <v>85</v>
      </c>
      <c r="B76" s="44"/>
      <c r="C76" s="41" t="s">
        <v>81</v>
      </c>
      <c r="D76" s="42"/>
      <c r="E76" s="4"/>
      <c r="F76" s="43" t="str">
        <f>A76</f>
        <v>KW621</v>
      </c>
      <c r="G76" s="44"/>
      <c r="H76" s="41" t="str">
        <f>C76</f>
        <v>Green</v>
      </c>
      <c r="I76" s="42"/>
    </row>
    <row r="77" spans="1:12" s="1" customFormat="1" ht="30" customHeight="1" x14ac:dyDescent="0.25">
      <c r="A77" s="12" t="s">
        <v>4</v>
      </c>
      <c r="B77" s="37">
        <v>27087</v>
      </c>
      <c r="C77" s="37"/>
      <c r="D77" s="38"/>
      <c r="E77" s="4"/>
      <c r="F77" s="12" t="s">
        <v>4</v>
      </c>
      <c r="G77" s="37">
        <f>B77</f>
        <v>27087</v>
      </c>
      <c r="H77" s="37"/>
      <c r="I77" s="38"/>
    </row>
    <row r="78" spans="1:12" ht="63.75" customHeight="1" x14ac:dyDescent="0.25">
      <c r="A78" s="33" t="s">
        <v>82</v>
      </c>
      <c r="B78" s="33"/>
      <c r="C78" s="33"/>
      <c r="D78" s="33"/>
      <c r="E78" s="2"/>
      <c r="F78" s="33" t="str">
        <f>A78</f>
        <v>Tall DEO - Barrel</v>
      </c>
      <c r="G78" s="33"/>
      <c r="H78" s="33"/>
      <c r="I78" s="33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83</v>
      </c>
      <c r="E80" s="4"/>
      <c r="F80" s="11" t="s">
        <v>2</v>
      </c>
      <c r="G80" s="10"/>
      <c r="H80" s="11" t="s">
        <v>5</v>
      </c>
      <c r="I80" s="7" t="str">
        <f>D80</f>
        <v>18B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84</v>
      </c>
      <c r="E81" s="4"/>
      <c r="F81" s="8" t="s">
        <v>3</v>
      </c>
      <c r="G81" s="9">
        <v>162</v>
      </c>
      <c r="H81" s="11" t="s">
        <v>6</v>
      </c>
      <c r="I81" s="7" t="str">
        <f>D81</f>
        <v>DEO-B06</v>
      </c>
      <c r="K81" s="6" t="s">
        <v>8</v>
      </c>
      <c r="L81" s="6" t="s">
        <v>7</v>
      </c>
    </row>
    <row r="82" spans="1:12" s="1" customFormat="1" ht="30" customHeight="1" x14ac:dyDescent="0.25">
      <c r="A82" s="34" t="s">
        <v>86</v>
      </c>
      <c r="B82" s="35"/>
      <c r="C82" s="35"/>
      <c r="D82" s="36"/>
      <c r="E82" s="5"/>
      <c r="F82" s="34" t="s">
        <v>86</v>
      </c>
      <c r="G82" s="35"/>
      <c r="H82" s="35"/>
      <c r="I82" s="36"/>
      <c r="K82" s="1">
        <v>165</v>
      </c>
      <c r="L82" s="1">
        <v>20</v>
      </c>
    </row>
    <row r="83" spans="1:12" s="1" customFormat="1" ht="30" customHeight="1" x14ac:dyDescent="0.25">
      <c r="A83" s="43" t="s">
        <v>85</v>
      </c>
      <c r="B83" s="44"/>
      <c r="C83" s="41" t="s">
        <v>81</v>
      </c>
      <c r="D83" s="42"/>
      <c r="E83" s="4"/>
      <c r="F83" s="43" t="str">
        <f>A83</f>
        <v>KW621</v>
      </c>
      <c r="G83" s="44"/>
      <c r="H83" s="41" t="str">
        <f>C83</f>
        <v>Green</v>
      </c>
      <c r="I83" s="42"/>
    </row>
    <row r="84" spans="1:12" s="1" customFormat="1" ht="30" customHeight="1" x14ac:dyDescent="0.25">
      <c r="A84" s="12" t="s">
        <v>4</v>
      </c>
      <c r="B84" s="37">
        <v>27087</v>
      </c>
      <c r="C84" s="37"/>
      <c r="D84" s="38"/>
      <c r="E84" s="4"/>
      <c r="F84" s="12" t="s">
        <v>4</v>
      </c>
      <c r="G84" s="37">
        <f>B84</f>
        <v>27087</v>
      </c>
      <c r="H84" s="37"/>
      <c r="I84" s="38"/>
    </row>
    <row r="85" spans="1:12" ht="63.75" customHeight="1" x14ac:dyDescent="0.25">
      <c r="A85" s="33" t="s">
        <v>82</v>
      </c>
      <c r="B85" s="33"/>
      <c r="C85" s="33"/>
      <c r="D85" s="33"/>
      <c r="E85" s="2"/>
      <c r="F85" s="33" t="str">
        <f>A85</f>
        <v>Tall DEO - Barrel</v>
      </c>
      <c r="G85" s="33"/>
      <c r="H85" s="33"/>
      <c r="I85" s="33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83</v>
      </c>
      <c r="E87" s="4"/>
      <c r="F87" s="11" t="s">
        <v>2</v>
      </c>
      <c r="G87" s="10"/>
      <c r="H87" s="11" t="s">
        <v>5</v>
      </c>
      <c r="I87" s="7" t="str">
        <f>D87</f>
        <v>18B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84</v>
      </c>
      <c r="E88" s="4"/>
      <c r="F88" s="8" t="s">
        <v>3</v>
      </c>
      <c r="G88" s="9">
        <v>163</v>
      </c>
      <c r="H88" s="11" t="s">
        <v>6</v>
      </c>
      <c r="I88" s="7" t="str">
        <f>D88</f>
        <v>DEO-B06</v>
      </c>
      <c r="K88" s="6" t="s">
        <v>8</v>
      </c>
      <c r="L88" s="6" t="s">
        <v>7</v>
      </c>
    </row>
    <row r="89" spans="1:12" s="1" customFormat="1" ht="30" customHeight="1" x14ac:dyDescent="0.25">
      <c r="A89" s="34" t="s">
        <v>86</v>
      </c>
      <c r="B89" s="35"/>
      <c r="C89" s="35"/>
      <c r="D89" s="36"/>
      <c r="E89" s="5"/>
      <c r="F89" s="34" t="s">
        <v>86</v>
      </c>
      <c r="G89" s="35"/>
      <c r="H89" s="35"/>
      <c r="I89" s="36"/>
      <c r="K89" s="1">
        <v>165</v>
      </c>
      <c r="L89" s="1">
        <v>20</v>
      </c>
    </row>
    <row r="90" spans="1:12" s="1" customFormat="1" ht="30" customHeight="1" x14ac:dyDescent="0.25">
      <c r="A90" s="43" t="s">
        <v>85</v>
      </c>
      <c r="B90" s="44"/>
      <c r="C90" s="41" t="s">
        <v>81</v>
      </c>
      <c r="D90" s="42"/>
      <c r="E90" s="4"/>
      <c r="F90" s="43" t="str">
        <f>A90</f>
        <v>KW621</v>
      </c>
      <c r="G90" s="44"/>
      <c r="H90" s="41" t="str">
        <f>C90</f>
        <v>Green</v>
      </c>
      <c r="I90" s="42"/>
    </row>
    <row r="91" spans="1:12" s="1" customFormat="1" ht="30" customHeight="1" x14ac:dyDescent="0.25">
      <c r="A91" s="12" t="s">
        <v>4</v>
      </c>
      <c r="B91" s="37">
        <v>27087</v>
      </c>
      <c r="C91" s="37"/>
      <c r="D91" s="38"/>
      <c r="E91" s="4"/>
      <c r="F91" s="12" t="s">
        <v>4</v>
      </c>
      <c r="G91" s="37">
        <f>B91</f>
        <v>27087</v>
      </c>
      <c r="H91" s="37"/>
      <c r="I91" s="38"/>
    </row>
    <row r="92" spans="1:12" ht="63.75" customHeight="1" x14ac:dyDescent="0.25">
      <c r="A92" s="33" t="s">
        <v>82</v>
      </c>
      <c r="B92" s="33"/>
      <c r="C92" s="33"/>
      <c r="D92" s="33"/>
      <c r="E92" s="2"/>
      <c r="F92" s="33" t="str">
        <f>A92</f>
        <v>Tall DEO - Barrel</v>
      </c>
      <c r="G92" s="33"/>
      <c r="H92" s="33"/>
      <c r="I92" s="33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83</v>
      </c>
      <c r="E94" s="4"/>
      <c r="F94" s="11" t="s">
        <v>2</v>
      </c>
      <c r="G94" s="10"/>
      <c r="H94" s="11" t="s">
        <v>5</v>
      </c>
      <c r="I94" s="7" t="str">
        <f>D94</f>
        <v>18B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84</v>
      </c>
      <c r="E95" s="4"/>
      <c r="F95" s="8" t="s">
        <v>3</v>
      </c>
      <c r="G95" s="9">
        <v>164</v>
      </c>
      <c r="H95" s="11" t="s">
        <v>6</v>
      </c>
      <c r="I95" s="7" t="str">
        <f>D95</f>
        <v>DEO-B06</v>
      </c>
      <c r="K95" s="6" t="s">
        <v>8</v>
      </c>
      <c r="L95" s="6" t="s">
        <v>7</v>
      </c>
    </row>
    <row r="96" spans="1:12" s="1" customFormat="1" ht="30" customHeight="1" x14ac:dyDescent="0.25">
      <c r="A96" s="34" t="s">
        <v>86</v>
      </c>
      <c r="B96" s="35"/>
      <c r="C96" s="35"/>
      <c r="D96" s="36"/>
      <c r="E96" s="5"/>
      <c r="F96" s="34" t="s">
        <v>86</v>
      </c>
      <c r="G96" s="35"/>
      <c r="H96" s="35"/>
      <c r="I96" s="36"/>
      <c r="K96" s="1">
        <v>165</v>
      </c>
      <c r="L96" s="1">
        <v>20</v>
      </c>
    </row>
    <row r="97" spans="1:12" s="1" customFormat="1" ht="30" customHeight="1" x14ac:dyDescent="0.25">
      <c r="A97" s="43" t="s">
        <v>85</v>
      </c>
      <c r="B97" s="44"/>
      <c r="C97" s="41" t="s">
        <v>81</v>
      </c>
      <c r="D97" s="42"/>
      <c r="E97" s="4"/>
      <c r="F97" s="43" t="str">
        <f>A97</f>
        <v>KW621</v>
      </c>
      <c r="G97" s="44"/>
      <c r="H97" s="41" t="str">
        <f>C97</f>
        <v>Green</v>
      </c>
      <c r="I97" s="42"/>
    </row>
    <row r="98" spans="1:12" s="1" customFormat="1" ht="30" customHeight="1" x14ac:dyDescent="0.25">
      <c r="A98" s="12" t="s">
        <v>4</v>
      </c>
      <c r="B98" s="37">
        <v>27087</v>
      </c>
      <c r="C98" s="37"/>
      <c r="D98" s="38"/>
      <c r="E98" s="4"/>
      <c r="F98" s="12" t="s">
        <v>4</v>
      </c>
      <c r="G98" s="37">
        <f>B98</f>
        <v>27087</v>
      </c>
      <c r="H98" s="37"/>
      <c r="I98" s="38"/>
    </row>
    <row r="99" spans="1:12" ht="63.75" customHeight="1" x14ac:dyDescent="0.25">
      <c r="A99" s="33" t="s">
        <v>82</v>
      </c>
      <c r="B99" s="33"/>
      <c r="C99" s="33"/>
      <c r="D99" s="33"/>
      <c r="E99" s="2"/>
      <c r="F99" s="33" t="str">
        <f>A99</f>
        <v>Tall DEO - Barrel</v>
      </c>
      <c r="G99" s="33"/>
      <c r="H99" s="33"/>
      <c r="I99" s="33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83</v>
      </c>
      <c r="E101" s="4"/>
      <c r="F101" s="11" t="s">
        <v>2</v>
      </c>
      <c r="G101" s="10"/>
      <c r="H101" s="11" t="s">
        <v>5</v>
      </c>
      <c r="I101" s="7" t="str">
        <f>D101</f>
        <v>18B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84</v>
      </c>
      <c r="E102" s="4"/>
      <c r="F102" s="8" t="s">
        <v>3</v>
      </c>
      <c r="G102" s="9">
        <v>165</v>
      </c>
      <c r="H102" s="11" t="s">
        <v>6</v>
      </c>
      <c r="I102" s="7" t="str">
        <f>D102</f>
        <v>DEO-B06</v>
      </c>
      <c r="K102" s="6" t="s">
        <v>8</v>
      </c>
      <c r="L102" s="6" t="s">
        <v>7</v>
      </c>
    </row>
    <row r="103" spans="1:12" s="1" customFormat="1" ht="30" customHeight="1" x14ac:dyDescent="0.25">
      <c r="A103" s="34" t="s">
        <v>86</v>
      </c>
      <c r="B103" s="35"/>
      <c r="C103" s="35"/>
      <c r="D103" s="36"/>
      <c r="E103" s="5"/>
      <c r="F103" s="34" t="s">
        <v>86</v>
      </c>
      <c r="G103" s="35"/>
      <c r="H103" s="35"/>
      <c r="I103" s="36"/>
      <c r="K103" s="1">
        <v>165</v>
      </c>
      <c r="L103" s="1">
        <v>20</v>
      </c>
    </row>
    <row r="104" spans="1:12" s="1" customFormat="1" ht="30" customHeight="1" x14ac:dyDescent="0.25">
      <c r="A104" s="43" t="s">
        <v>85</v>
      </c>
      <c r="B104" s="44"/>
      <c r="C104" s="41" t="s">
        <v>81</v>
      </c>
      <c r="D104" s="42"/>
      <c r="E104" s="4"/>
      <c r="F104" s="43" t="str">
        <f>A104</f>
        <v>KW621</v>
      </c>
      <c r="G104" s="44"/>
      <c r="H104" s="41" t="str">
        <f>C104</f>
        <v>Green</v>
      </c>
      <c r="I104" s="42"/>
    </row>
    <row r="105" spans="1:12" s="1" customFormat="1" ht="30" customHeight="1" x14ac:dyDescent="0.25">
      <c r="A105" s="12" t="s">
        <v>4</v>
      </c>
      <c r="B105" s="37">
        <v>27087</v>
      </c>
      <c r="C105" s="37"/>
      <c r="D105" s="38"/>
      <c r="E105" s="4"/>
      <c r="F105" s="12" t="s">
        <v>4</v>
      </c>
      <c r="G105" s="37">
        <f>B105</f>
        <v>27087</v>
      </c>
      <c r="H105" s="37"/>
      <c r="I105" s="38"/>
    </row>
    <row r="106" spans="1:12" ht="63.75" customHeight="1" x14ac:dyDescent="0.25">
      <c r="A106" s="33" t="s">
        <v>82</v>
      </c>
      <c r="B106" s="33"/>
      <c r="C106" s="33"/>
      <c r="D106" s="33"/>
      <c r="E106" s="2"/>
      <c r="F106" s="33" t="str">
        <f>A106</f>
        <v>Tall DEO - Barrel</v>
      </c>
      <c r="G106" s="33"/>
      <c r="H106" s="33"/>
      <c r="I106" s="33"/>
    </row>
    <row r="107" spans="1:12" s="1" customFormat="1" ht="30" customHeight="1" x14ac:dyDescent="0.25">
      <c r="A107" s="11" t="s">
        <v>0</v>
      </c>
      <c r="B107" s="10"/>
      <c r="C107" s="11" t="s">
        <v>1</v>
      </c>
      <c r="D107" s="10"/>
      <c r="E107" s="3"/>
      <c r="F107" s="11" t="s">
        <v>0</v>
      </c>
      <c r="G107" s="10"/>
      <c r="H107" s="11" t="s">
        <v>1</v>
      </c>
      <c r="I107" s="10"/>
    </row>
    <row r="108" spans="1:12" s="1" customFormat="1" ht="30" customHeight="1" x14ac:dyDescent="0.25">
      <c r="A108" s="11" t="s">
        <v>2</v>
      </c>
      <c r="B108" s="10"/>
      <c r="C108" s="11" t="s">
        <v>5</v>
      </c>
      <c r="D108" s="7" t="s">
        <v>83</v>
      </c>
      <c r="E108" s="4"/>
      <c r="F108" s="11" t="s">
        <v>2</v>
      </c>
      <c r="G108" s="10"/>
      <c r="H108" s="11" t="s">
        <v>5</v>
      </c>
      <c r="I108" s="7" t="str">
        <f>D108</f>
        <v>18B</v>
      </c>
    </row>
    <row r="109" spans="1:12" s="1" customFormat="1" ht="53.25" customHeight="1" x14ac:dyDescent="0.25">
      <c r="A109" s="8" t="s">
        <v>3</v>
      </c>
      <c r="B109" s="9">
        <v>16</v>
      </c>
      <c r="C109" s="11" t="s">
        <v>6</v>
      </c>
      <c r="D109" s="7" t="s">
        <v>84</v>
      </c>
      <c r="E109" s="4"/>
      <c r="F109" s="8" t="s">
        <v>3</v>
      </c>
      <c r="G109" s="9">
        <v>166</v>
      </c>
      <c r="H109" s="11" t="s">
        <v>6</v>
      </c>
      <c r="I109" s="7" t="str">
        <f>D109</f>
        <v>DEO-B06</v>
      </c>
      <c r="K109" s="6" t="s">
        <v>8</v>
      </c>
      <c r="L109" s="6" t="s">
        <v>7</v>
      </c>
    </row>
    <row r="110" spans="1:12" s="1" customFormat="1" ht="30" customHeight="1" x14ac:dyDescent="0.25">
      <c r="A110" s="34" t="s">
        <v>86</v>
      </c>
      <c r="B110" s="35"/>
      <c r="C110" s="35"/>
      <c r="D110" s="36"/>
      <c r="E110" s="5"/>
      <c r="F110" s="34" t="s">
        <v>86</v>
      </c>
      <c r="G110" s="35"/>
      <c r="H110" s="35"/>
      <c r="I110" s="36"/>
      <c r="K110" s="1">
        <v>165</v>
      </c>
      <c r="L110" s="1">
        <v>20</v>
      </c>
    </row>
    <row r="111" spans="1:12" s="1" customFormat="1" ht="30" customHeight="1" x14ac:dyDescent="0.25">
      <c r="A111" s="43" t="s">
        <v>85</v>
      </c>
      <c r="B111" s="44"/>
      <c r="C111" s="41" t="s">
        <v>81</v>
      </c>
      <c r="D111" s="42"/>
      <c r="E111" s="4"/>
      <c r="F111" s="43" t="str">
        <f>A111</f>
        <v>KW621</v>
      </c>
      <c r="G111" s="44"/>
      <c r="H111" s="41" t="str">
        <f>C111</f>
        <v>Green</v>
      </c>
      <c r="I111" s="42"/>
    </row>
    <row r="112" spans="1:12" s="1" customFormat="1" ht="30" customHeight="1" x14ac:dyDescent="0.25">
      <c r="A112" s="12" t="s">
        <v>4</v>
      </c>
      <c r="B112" s="37">
        <v>27087</v>
      </c>
      <c r="C112" s="37"/>
      <c r="D112" s="38"/>
      <c r="E112" s="4"/>
      <c r="F112" s="12" t="s">
        <v>4</v>
      </c>
      <c r="G112" s="37">
        <f>B112</f>
        <v>27087</v>
      </c>
      <c r="H112" s="37"/>
      <c r="I112" s="38"/>
    </row>
    <row r="113" spans="1:12" ht="63.75" customHeight="1" x14ac:dyDescent="0.25">
      <c r="A113" s="33" t="s">
        <v>82</v>
      </c>
      <c r="B113" s="33"/>
      <c r="C113" s="33"/>
      <c r="D113" s="33"/>
      <c r="E113" s="2"/>
      <c r="F113" s="33" t="str">
        <f>A113</f>
        <v>Tall DEO - Barrel</v>
      </c>
      <c r="G113" s="33"/>
      <c r="H113" s="33"/>
      <c r="I113" s="33"/>
    </row>
    <row r="114" spans="1:12" s="1" customFormat="1" ht="30" customHeight="1" x14ac:dyDescent="0.25">
      <c r="A114" s="11" t="s">
        <v>0</v>
      </c>
      <c r="B114" s="10"/>
      <c r="C114" s="11" t="s">
        <v>1</v>
      </c>
      <c r="D114" s="10"/>
      <c r="E114" s="3"/>
      <c r="F114" s="11" t="s">
        <v>0</v>
      </c>
      <c r="G114" s="10"/>
      <c r="H114" s="11" t="s">
        <v>1</v>
      </c>
      <c r="I114" s="10"/>
    </row>
    <row r="115" spans="1:12" s="1" customFormat="1" ht="30" customHeight="1" x14ac:dyDescent="0.25">
      <c r="A115" s="11" t="s">
        <v>2</v>
      </c>
      <c r="B115" s="10"/>
      <c r="C115" s="11" t="s">
        <v>5</v>
      </c>
      <c r="D115" s="7" t="s">
        <v>83</v>
      </c>
      <c r="E115" s="4"/>
      <c r="F115" s="11" t="s">
        <v>2</v>
      </c>
      <c r="G115" s="10"/>
      <c r="H115" s="11" t="s">
        <v>5</v>
      </c>
      <c r="I115" s="7" t="str">
        <f>D115</f>
        <v>18B</v>
      </c>
    </row>
    <row r="116" spans="1:12" s="1" customFormat="1" ht="53.25" customHeight="1" x14ac:dyDescent="0.25">
      <c r="A116" s="8" t="s">
        <v>3</v>
      </c>
      <c r="B116" s="9">
        <v>17</v>
      </c>
      <c r="C116" s="11" t="s">
        <v>6</v>
      </c>
      <c r="D116" s="7" t="s">
        <v>84</v>
      </c>
      <c r="E116" s="4"/>
      <c r="F116" s="8" t="s">
        <v>3</v>
      </c>
      <c r="G116" s="9">
        <v>167</v>
      </c>
      <c r="H116" s="11" t="s">
        <v>6</v>
      </c>
      <c r="I116" s="7" t="str">
        <f>D116</f>
        <v>DEO-B06</v>
      </c>
      <c r="K116" s="6" t="s">
        <v>8</v>
      </c>
      <c r="L116" s="6" t="s">
        <v>7</v>
      </c>
    </row>
    <row r="117" spans="1:12" s="1" customFormat="1" ht="30" customHeight="1" x14ac:dyDescent="0.25">
      <c r="A117" s="34" t="s">
        <v>86</v>
      </c>
      <c r="B117" s="35"/>
      <c r="C117" s="35"/>
      <c r="D117" s="36"/>
      <c r="E117" s="5"/>
      <c r="F117" s="34" t="s">
        <v>86</v>
      </c>
      <c r="G117" s="35"/>
      <c r="H117" s="35"/>
      <c r="I117" s="36"/>
      <c r="K117" s="1">
        <v>165</v>
      </c>
      <c r="L117" s="1">
        <v>20</v>
      </c>
    </row>
    <row r="118" spans="1:12" s="1" customFormat="1" ht="30" customHeight="1" x14ac:dyDescent="0.25">
      <c r="A118" s="43" t="s">
        <v>85</v>
      </c>
      <c r="B118" s="44"/>
      <c r="C118" s="41" t="s">
        <v>81</v>
      </c>
      <c r="D118" s="42"/>
      <c r="E118" s="4"/>
      <c r="F118" s="43" t="str">
        <f>A118</f>
        <v>KW621</v>
      </c>
      <c r="G118" s="44"/>
      <c r="H118" s="41" t="str">
        <f>C118</f>
        <v>Green</v>
      </c>
      <c r="I118" s="42"/>
    </row>
    <row r="119" spans="1:12" s="1" customFormat="1" ht="30" customHeight="1" x14ac:dyDescent="0.25">
      <c r="A119" s="12" t="s">
        <v>4</v>
      </c>
      <c r="B119" s="37">
        <v>27087</v>
      </c>
      <c r="C119" s="37"/>
      <c r="D119" s="38"/>
      <c r="E119" s="4"/>
      <c r="F119" s="12" t="s">
        <v>4</v>
      </c>
      <c r="G119" s="37">
        <f>B119</f>
        <v>27087</v>
      </c>
      <c r="H119" s="37"/>
      <c r="I119" s="38"/>
    </row>
    <row r="120" spans="1:12" ht="63.75" customHeight="1" x14ac:dyDescent="0.25">
      <c r="A120" s="33" t="s">
        <v>82</v>
      </c>
      <c r="B120" s="33"/>
      <c r="C120" s="33"/>
      <c r="D120" s="33"/>
      <c r="E120" s="2"/>
      <c r="F120" s="33" t="str">
        <f>A120</f>
        <v>Tall DEO - Barrel</v>
      </c>
      <c r="G120" s="33"/>
      <c r="H120" s="33"/>
      <c r="I120" s="33"/>
    </row>
    <row r="121" spans="1:12" s="1" customFormat="1" ht="30" customHeight="1" x14ac:dyDescent="0.25">
      <c r="A121" s="11" t="s">
        <v>0</v>
      </c>
      <c r="B121" s="10"/>
      <c r="C121" s="11" t="s">
        <v>1</v>
      </c>
      <c r="D121" s="10"/>
      <c r="E121" s="3"/>
      <c r="F121" s="11" t="s">
        <v>0</v>
      </c>
      <c r="G121" s="10"/>
      <c r="H121" s="11" t="s">
        <v>1</v>
      </c>
      <c r="I121" s="10"/>
    </row>
    <row r="122" spans="1:12" s="1" customFormat="1" ht="30" customHeight="1" x14ac:dyDescent="0.25">
      <c r="A122" s="11" t="s">
        <v>2</v>
      </c>
      <c r="B122" s="10"/>
      <c r="C122" s="11" t="s">
        <v>5</v>
      </c>
      <c r="D122" s="7" t="s">
        <v>83</v>
      </c>
      <c r="E122" s="4"/>
      <c r="F122" s="11" t="s">
        <v>2</v>
      </c>
      <c r="G122" s="10"/>
      <c r="H122" s="11" t="s">
        <v>5</v>
      </c>
      <c r="I122" s="7" t="str">
        <f>D122</f>
        <v>18B</v>
      </c>
    </row>
    <row r="123" spans="1:12" s="1" customFormat="1" ht="53.25" customHeight="1" x14ac:dyDescent="0.25">
      <c r="A123" s="8" t="s">
        <v>3</v>
      </c>
      <c r="B123" s="9">
        <v>18</v>
      </c>
      <c r="C123" s="11" t="s">
        <v>6</v>
      </c>
      <c r="D123" s="7" t="s">
        <v>84</v>
      </c>
      <c r="E123" s="4"/>
      <c r="F123" s="8" t="s">
        <v>3</v>
      </c>
      <c r="G123" s="9">
        <v>168</v>
      </c>
      <c r="H123" s="11" t="s">
        <v>6</v>
      </c>
      <c r="I123" s="7" t="str">
        <f>D123</f>
        <v>DEO-B06</v>
      </c>
      <c r="K123" s="6" t="s">
        <v>8</v>
      </c>
      <c r="L123" s="6" t="s">
        <v>7</v>
      </c>
    </row>
    <row r="124" spans="1:12" s="1" customFormat="1" ht="30" customHeight="1" x14ac:dyDescent="0.25">
      <c r="A124" s="34" t="s">
        <v>86</v>
      </c>
      <c r="B124" s="35"/>
      <c r="C124" s="35"/>
      <c r="D124" s="36"/>
      <c r="E124" s="5"/>
      <c r="F124" s="34" t="s">
        <v>86</v>
      </c>
      <c r="G124" s="35"/>
      <c r="H124" s="35"/>
      <c r="I124" s="36"/>
      <c r="K124" s="1">
        <v>165</v>
      </c>
      <c r="L124" s="1">
        <v>20</v>
      </c>
    </row>
    <row r="125" spans="1:12" s="1" customFormat="1" ht="30" customHeight="1" x14ac:dyDescent="0.25">
      <c r="A125" s="43" t="s">
        <v>85</v>
      </c>
      <c r="B125" s="44"/>
      <c r="C125" s="41" t="s">
        <v>81</v>
      </c>
      <c r="D125" s="42"/>
      <c r="E125" s="4"/>
      <c r="F125" s="43" t="str">
        <f>A125</f>
        <v>KW621</v>
      </c>
      <c r="G125" s="44"/>
      <c r="H125" s="41" t="str">
        <f>C125</f>
        <v>Green</v>
      </c>
      <c r="I125" s="42"/>
    </row>
    <row r="126" spans="1:12" s="1" customFormat="1" ht="30" customHeight="1" x14ac:dyDescent="0.25">
      <c r="A126" s="12" t="s">
        <v>4</v>
      </c>
      <c r="B126" s="37">
        <v>27087</v>
      </c>
      <c r="C126" s="37"/>
      <c r="D126" s="38"/>
      <c r="E126" s="4"/>
      <c r="F126" s="12" t="s">
        <v>4</v>
      </c>
      <c r="G126" s="37">
        <f>B126</f>
        <v>27087</v>
      </c>
      <c r="H126" s="37"/>
      <c r="I126" s="38"/>
    </row>
    <row r="127" spans="1:12" ht="63.75" customHeight="1" x14ac:dyDescent="0.25">
      <c r="A127" s="33" t="s">
        <v>82</v>
      </c>
      <c r="B127" s="33"/>
      <c r="C127" s="33"/>
      <c r="D127" s="33"/>
      <c r="E127" s="2"/>
      <c r="F127" s="33" t="str">
        <f>A127</f>
        <v>Tall DEO - Barrel</v>
      </c>
      <c r="G127" s="33"/>
      <c r="H127" s="33"/>
      <c r="I127" s="33"/>
    </row>
    <row r="128" spans="1:12" s="1" customFormat="1" ht="30" customHeight="1" x14ac:dyDescent="0.25">
      <c r="A128" s="11" t="s">
        <v>0</v>
      </c>
      <c r="B128" s="10"/>
      <c r="C128" s="11" t="s">
        <v>1</v>
      </c>
      <c r="D128" s="10"/>
      <c r="E128" s="3"/>
      <c r="F128" s="11" t="s">
        <v>0</v>
      </c>
      <c r="G128" s="10"/>
      <c r="H128" s="11" t="s">
        <v>1</v>
      </c>
      <c r="I128" s="10"/>
    </row>
    <row r="129" spans="1:12" s="1" customFormat="1" ht="30" customHeight="1" x14ac:dyDescent="0.25">
      <c r="A129" s="11" t="s">
        <v>2</v>
      </c>
      <c r="B129" s="10"/>
      <c r="C129" s="11" t="s">
        <v>5</v>
      </c>
      <c r="D129" s="7" t="s">
        <v>83</v>
      </c>
      <c r="E129" s="4"/>
      <c r="F129" s="11" t="s">
        <v>2</v>
      </c>
      <c r="G129" s="10"/>
      <c r="H129" s="11" t="s">
        <v>5</v>
      </c>
      <c r="I129" s="7" t="str">
        <f>D129</f>
        <v>18B</v>
      </c>
    </row>
    <row r="130" spans="1:12" s="1" customFormat="1" ht="53.25" customHeight="1" x14ac:dyDescent="0.25">
      <c r="A130" s="8" t="s">
        <v>3</v>
      </c>
      <c r="B130" s="9">
        <v>19</v>
      </c>
      <c r="C130" s="11" t="s">
        <v>6</v>
      </c>
      <c r="D130" s="7" t="s">
        <v>84</v>
      </c>
      <c r="E130" s="4"/>
      <c r="F130" s="8" t="s">
        <v>3</v>
      </c>
      <c r="G130" s="9">
        <v>169</v>
      </c>
      <c r="H130" s="11" t="s">
        <v>6</v>
      </c>
      <c r="I130" s="7" t="str">
        <f>D130</f>
        <v>DEO-B06</v>
      </c>
      <c r="K130" s="6" t="s">
        <v>8</v>
      </c>
      <c r="L130" s="6" t="s">
        <v>7</v>
      </c>
    </row>
    <row r="131" spans="1:12" s="1" customFormat="1" ht="30" customHeight="1" x14ac:dyDescent="0.25">
      <c r="A131" s="34" t="s">
        <v>86</v>
      </c>
      <c r="B131" s="35"/>
      <c r="C131" s="35"/>
      <c r="D131" s="36"/>
      <c r="E131" s="5"/>
      <c r="F131" s="34" t="s">
        <v>86</v>
      </c>
      <c r="G131" s="35"/>
      <c r="H131" s="35"/>
      <c r="I131" s="36"/>
      <c r="K131" s="1">
        <v>165</v>
      </c>
      <c r="L131" s="1">
        <v>20</v>
      </c>
    </row>
    <row r="132" spans="1:12" s="1" customFormat="1" ht="30" customHeight="1" x14ac:dyDescent="0.25">
      <c r="A132" s="43" t="s">
        <v>85</v>
      </c>
      <c r="B132" s="44"/>
      <c r="C132" s="41" t="s">
        <v>81</v>
      </c>
      <c r="D132" s="42"/>
      <c r="E132" s="4"/>
      <c r="F132" s="43" t="str">
        <f>A132</f>
        <v>KW621</v>
      </c>
      <c r="G132" s="44"/>
      <c r="H132" s="41" t="str">
        <f>C132</f>
        <v>Green</v>
      </c>
      <c r="I132" s="42"/>
    </row>
    <row r="133" spans="1:12" s="1" customFormat="1" ht="30" customHeight="1" x14ac:dyDescent="0.25">
      <c r="A133" s="12" t="s">
        <v>4</v>
      </c>
      <c r="B133" s="37">
        <v>27087</v>
      </c>
      <c r="C133" s="37"/>
      <c r="D133" s="38"/>
      <c r="E133" s="4"/>
      <c r="F133" s="12" t="s">
        <v>4</v>
      </c>
      <c r="G133" s="37">
        <f>B133</f>
        <v>27087</v>
      </c>
      <c r="H133" s="37"/>
      <c r="I133" s="38"/>
    </row>
    <row r="134" spans="1:12" ht="63.75" customHeight="1" x14ac:dyDescent="0.25">
      <c r="A134" s="33" t="s">
        <v>82</v>
      </c>
      <c r="B134" s="33"/>
      <c r="C134" s="33"/>
      <c r="D134" s="33"/>
      <c r="E134" s="2"/>
      <c r="F134" s="33" t="str">
        <f>A134</f>
        <v>Tall DEO - Barrel</v>
      </c>
      <c r="G134" s="33"/>
      <c r="H134" s="33"/>
      <c r="I134" s="33"/>
    </row>
    <row r="135" spans="1:12" s="1" customFormat="1" ht="30" customHeight="1" x14ac:dyDescent="0.25">
      <c r="A135" s="11" t="s">
        <v>0</v>
      </c>
      <c r="B135" s="10"/>
      <c r="C135" s="11" t="s">
        <v>1</v>
      </c>
      <c r="D135" s="10"/>
      <c r="E135" s="3"/>
      <c r="F135" s="11" t="s">
        <v>0</v>
      </c>
      <c r="G135" s="10"/>
      <c r="H135" s="11" t="s">
        <v>1</v>
      </c>
      <c r="I135" s="10"/>
    </row>
    <row r="136" spans="1:12" s="1" customFormat="1" ht="30" customHeight="1" x14ac:dyDescent="0.25">
      <c r="A136" s="11" t="s">
        <v>2</v>
      </c>
      <c r="B136" s="10"/>
      <c r="C136" s="11" t="s">
        <v>5</v>
      </c>
      <c r="D136" s="7" t="s">
        <v>83</v>
      </c>
      <c r="E136" s="4"/>
      <c r="F136" s="11" t="s">
        <v>2</v>
      </c>
      <c r="G136" s="10"/>
      <c r="H136" s="11" t="s">
        <v>5</v>
      </c>
      <c r="I136" s="7" t="str">
        <f>D136</f>
        <v>18B</v>
      </c>
    </row>
    <row r="137" spans="1:12" s="1" customFormat="1" ht="53.25" customHeight="1" x14ac:dyDescent="0.25">
      <c r="A137" s="8" t="s">
        <v>3</v>
      </c>
      <c r="B137" s="9">
        <v>20</v>
      </c>
      <c r="C137" s="11" t="s">
        <v>6</v>
      </c>
      <c r="D137" s="7" t="s">
        <v>84</v>
      </c>
      <c r="E137" s="4"/>
      <c r="F137" s="8" t="s">
        <v>3</v>
      </c>
      <c r="G137" s="9">
        <v>170</v>
      </c>
      <c r="H137" s="11" t="s">
        <v>6</v>
      </c>
      <c r="I137" s="7" t="str">
        <f>D137</f>
        <v>DEO-B06</v>
      </c>
      <c r="K137" s="6" t="s">
        <v>8</v>
      </c>
      <c r="L137" s="6" t="s">
        <v>7</v>
      </c>
    </row>
    <row r="138" spans="1:12" s="1" customFormat="1" ht="30" customHeight="1" x14ac:dyDescent="0.25">
      <c r="A138" s="34" t="s">
        <v>86</v>
      </c>
      <c r="B138" s="35"/>
      <c r="C138" s="35"/>
      <c r="D138" s="36"/>
      <c r="E138" s="5"/>
      <c r="F138" s="34" t="s">
        <v>86</v>
      </c>
      <c r="G138" s="35"/>
      <c r="H138" s="35"/>
      <c r="I138" s="36"/>
      <c r="K138" s="1">
        <v>165</v>
      </c>
      <c r="L138" s="1">
        <v>20</v>
      </c>
    </row>
    <row r="139" spans="1:12" s="1" customFormat="1" ht="30" customHeight="1" x14ac:dyDescent="0.25">
      <c r="A139" s="43" t="s">
        <v>85</v>
      </c>
      <c r="B139" s="44"/>
      <c r="C139" s="41" t="s">
        <v>81</v>
      </c>
      <c r="D139" s="42"/>
      <c r="E139" s="4"/>
      <c r="F139" s="43" t="str">
        <f>A139</f>
        <v>KW621</v>
      </c>
      <c r="G139" s="44"/>
      <c r="H139" s="41" t="str">
        <f>C139</f>
        <v>Green</v>
      </c>
      <c r="I139" s="42"/>
    </row>
    <row r="140" spans="1:12" s="1" customFormat="1" ht="30" customHeight="1" x14ac:dyDescent="0.25">
      <c r="A140" s="12" t="s">
        <v>4</v>
      </c>
      <c r="B140" s="37">
        <v>27087</v>
      </c>
      <c r="C140" s="37"/>
      <c r="D140" s="38"/>
      <c r="E140" s="4"/>
      <c r="F140" s="12" t="s">
        <v>4</v>
      </c>
      <c r="G140" s="37">
        <f>B140</f>
        <v>27087</v>
      </c>
      <c r="H140" s="37"/>
      <c r="I140" s="38"/>
    </row>
    <row r="141" spans="1:12" ht="63.75" customHeight="1" x14ac:dyDescent="0.25">
      <c r="A141" s="33" t="s">
        <v>82</v>
      </c>
      <c r="B141" s="33"/>
      <c r="C141" s="33"/>
      <c r="D141" s="33"/>
      <c r="E141" s="2"/>
      <c r="F141" s="33" t="str">
        <f>A141</f>
        <v>Tall DEO - Barrel</v>
      </c>
      <c r="G141" s="33"/>
      <c r="H141" s="33"/>
      <c r="I141" s="33"/>
    </row>
    <row r="142" spans="1:12" s="1" customFormat="1" ht="30" customHeight="1" x14ac:dyDescent="0.25">
      <c r="A142" s="11" t="s">
        <v>0</v>
      </c>
      <c r="B142" s="10"/>
      <c r="C142" s="11" t="s">
        <v>1</v>
      </c>
      <c r="D142" s="10"/>
      <c r="E142" s="3"/>
      <c r="F142" s="11" t="s">
        <v>0</v>
      </c>
      <c r="G142" s="10"/>
      <c r="H142" s="11" t="s">
        <v>1</v>
      </c>
      <c r="I142" s="10"/>
    </row>
    <row r="143" spans="1:12" s="1" customFormat="1" ht="30" customHeight="1" x14ac:dyDescent="0.25">
      <c r="A143" s="11" t="s">
        <v>2</v>
      </c>
      <c r="B143" s="10"/>
      <c r="C143" s="11" t="s">
        <v>5</v>
      </c>
      <c r="D143" s="7" t="s">
        <v>83</v>
      </c>
      <c r="E143" s="4"/>
      <c r="F143" s="11" t="s">
        <v>2</v>
      </c>
      <c r="G143" s="10"/>
      <c r="H143" s="11" t="s">
        <v>5</v>
      </c>
      <c r="I143" s="7" t="str">
        <f>D143</f>
        <v>18B</v>
      </c>
    </row>
    <row r="144" spans="1:12" s="1" customFormat="1" ht="53.25" customHeight="1" x14ac:dyDescent="0.25">
      <c r="A144" s="8" t="s">
        <v>3</v>
      </c>
      <c r="B144" s="9">
        <v>21</v>
      </c>
      <c r="C144" s="11" t="s">
        <v>6</v>
      </c>
      <c r="D144" s="7" t="s">
        <v>84</v>
      </c>
      <c r="E144" s="4"/>
      <c r="F144" s="8" t="s">
        <v>3</v>
      </c>
      <c r="G144" s="9">
        <v>171</v>
      </c>
      <c r="H144" s="11" t="s">
        <v>6</v>
      </c>
      <c r="I144" s="7" t="str">
        <f>D144</f>
        <v>DEO-B06</v>
      </c>
      <c r="K144" s="6" t="s">
        <v>8</v>
      </c>
      <c r="L144" s="6" t="s">
        <v>7</v>
      </c>
    </row>
    <row r="145" spans="1:12" s="1" customFormat="1" ht="30" customHeight="1" x14ac:dyDescent="0.25">
      <c r="A145" s="34" t="s">
        <v>86</v>
      </c>
      <c r="B145" s="35"/>
      <c r="C145" s="35"/>
      <c r="D145" s="36"/>
      <c r="E145" s="5"/>
      <c r="F145" s="34" t="s">
        <v>86</v>
      </c>
      <c r="G145" s="35"/>
      <c r="H145" s="35"/>
      <c r="I145" s="36"/>
      <c r="K145" s="1">
        <v>165</v>
      </c>
      <c r="L145" s="1">
        <v>20</v>
      </c>
    </row>
    <row r="146" spans="1:12" s="1" customFormat="1" ht="30" customHeight="1" x14ac:dyDescent="0.25">
      <c r="A146" s="43" t="s">
        <v>85</v>
      </c>
      <c r="B146" s="44"/>
      <c r="C146" s="41" t="s">
        <v>81</v>
      </c>
      <c r="D146" s="42"/>
      <c r="E146" s="4"/>
      <c r="F146" s="43" t="str">
        <f>A146</f>
        <v>KW621</v>
      </c>
      <c r="G146" s="44"/>
      <c r="H146" s="41" t="str">
        <f>C146</f>
        <v>Green</v>
      </c>
      <c r="I146" s="42"/>
    </row>
    <row r="147" spans="1:12" s="1" customFormat="1" ht="30" customHeight="1" x14ac:dyDescent="0.25">
      <c r="A147" s="12" t="s">
        <v>4</v>
      </c>
      <c r="B147" s="37">
        <v>27087</v>
      </c>
      <c r="C147" s="37"/>
      <c r="D147" s="38"/>
      <c r="E147" s="4"/>
      <c r="F147" s="12" t="s">
        <v>4</v>
      </c>
      <c r="G147" s="37">
        <f>B147</f>
        <v>27087</v>
      </c>
      <c r="H147" s="37"/>
      <c r="I147" s="38"/>
    </row>
    <row r="148" spans="1:12" ht="63.75" customHeight="1" x14ac:dyDescent="0.25">
      <c r="A148" s="33" t="s">
        <v>82</v>
      </c>
      <c r="B148" s="33"/>
      <c r="C148" s="33"/>
      <c r="D148" s="33"/>
      <c r="E148" s="2"/>
      <c r="F148" s="33" t="str">
        <f>A148</f>
        <v>Tall DEO - Barrel</v>
      </c>
      <c r="G148" s="33"/>
      <c r="H148" s="33"/>
      <c r="I148" s="33"/>
    </row>
    <row r="149" spans="1:12" s="1" customFormat="1" ht="30" customHeight="1" x14ac:dyDescent="0.25">
      <c r="A149" s="11" t="s">
        <v>0</v>
      </c>
      <c r="B149" s="10"/>
      <c r="C149" s="11" t="s">
        <v>1</v>
      </c>
      <c r="D149" s="10"/>
      <c r="E149" s="3"/>
      <c r="F149" s="11" t="s">
        <v>0</v>
      </c>
      <c r="G149" s="10"/>
      <c r="H149" s="11" t="s">
        <v>1</v>
      </c>
      <c r="I149" s="10"/>
    </row>
    <row r="150" spans="1:12" s="1" customFormat="1" ht="30" customHeight="1" x14ac:dyDescent="0.25">
      <c r="A150" s="11" t="s">
        <v>2</v>
      </c>
      <c r="B150" s="10"/>
      <c r="C150" s="11" t="s">
        <v>5</v>
      </c>
      <c r="D150" s="7" t="s">
        <v>83</v>
      </c>
      <c r="E150" s="4"/>
      <c r="F150" s="11" t="s">
        <v>2</v>
      </c>
      <c r="G150" s="10"/>
      <c r="H150" s="11" t="s">
        <v>5</v>
      </c>
      <c r="I150" s="7" t="str">
        <f>D150</f>
        <v>18B</v>
      </c>
    </row>
    <row r="151" spans="1:12" s="1" customFormat="1" ht="53.25" customHeight="1" x14ac:dyDescent="0.25">
      <c r="A151" s="8" t="s">
        <v>3</v>
      </c>
      <c r="B151" s="9">
        <v>22</v>
      </c>
      <c r="C151" s="11" t="s">
        <v>6</v>
      </c>
      <c r="D151" s="7" t="s">
        <v>84</v>
      </c>
      <c r="E151" s="4"/>
      <c r="F151" s="8" t="s">
        <v>3</v>
      </c>
      <c r="G151" s="9">
        <v>172</v>
      </c>
      <c r="H151" s="11" t="s">
        <v>6</v>
      </c>
      <c r="I151" s="7" t="str">
        <f>D151</f>
        <v>DEO-B06</v>
      </c>
      <c r="K151" s="6" t="s">
        <v>8</v>
      </c>
      <c r="L151" s="6" t="s">
        <v>7</v>
      </c>
    </row>
    <row r="152" spans="1:12" s="1" customFormat="1" ht="30" customHeight="1" x14ac:dyDescent="0.25">
      <c r="A152" s="34" t="s">
        <v>86</v>
      </c>
      <c r="B152" s="35"/>
      <c r="C152" s="35"/>
      <c r="D152" s="36"/>
      <c r="E152" s="5"/>
      <c r="F152" s="34" t="s">
        <v>86</v>
      </c>
      <c r="G152" s="35"/>
      <c r="H152" s="35"/>
      <c r="I152" s="36"/>
      <c r="K152" s="1">
        <v>165</v>
      </c>
      <c r="L152" s="1">
        <v>20</v>
      </c>
    </row>
    <row r="153" spans="1:12" s="1" customFormat="1" ht="30" customHeight="1" x14ac:dyDescent="0.25">
      <c r="A153" s="43" t="s">
        <v>85</v>
      </c>
      <c r="B153" s="44"/>
      <c r="C153" s="41" t="s">
        <v>81</v>
      </c>
      <c r="D153" s="42"/>
      <c r="E153" s="4"/>
      <c r="F153" s="43" t="str">
        <f>A153</f>
        <v>KW621</v>
      </c>
      <c r="G153" s="44"/>
      <c r="H153" s="41" t="str">
        <f>C153</f>
        <v>Green</v>
      </c>
      <c r="I153" s="42"/>
    </row>
    <row r="154" spans="1:12" s="1" customFormat="1" ht="30" customHeight="1" x14ac:dyDescent="0.25">
      <c r="A154" s="12" t="s">
        <v>4</v>
      </c>
      <c r="B154" s="37">
        <v>27087</v>
      </c>
      <c r="C154" s="37"/>
      <c r="D154" s="38"/>
      <c r="E154" s="4"/>
      <c r="F154" s="12" t="s">
        <v>4</v>
      </c>
      <c r="G154" s="37">
        <f>B154</f>
        <v>27087</v>
      </c>
      <c r="H154" s="37"/>
      <c r="I154" s="38"/>
    </row>
    <row r="155" spans="1:12" ht="63.75" customHeight="1" x14ac:dyDescent="0.25">
      <c r="A155" s="33" t="s">
        <v>82</v>
      </c>
      <c r="B155" s="33"/>
      <c r="C155" s="33"/>
      <c r="D155" s="33"/>
      <c r="E155" s="2"/>
      <c r="F155" s="33" t="str">
        <f>A155</f>
        <v>Tall DEO - Barrel</v>
      </c>
      <c r="G155" s="33"/>
      <c r="H155" s="33"/>
      <c r="I155" s="33"/>
    </row>
    <row r="156" spans="1:12" s="1" customFormat="1" ht="30" customHeight="1" x14ac:dyDescent="0.25">
      <c r="A156" s="11" t="s">
        <v>0</v>
      </c>
      <c r="B156" s="10"/>
      <c r="C156" s="11" t="s">
        <v>1</v>
      </c>
      <c r="D156" s="10"/>
      <c r="E156" s="3"/>
      <c r="F156" s="11" t="s">
        <v>0</v>
      </c>
      <c r="G156" s="10"/>
      <c r="H156" s="11" t="s">
        <v>1</v>
      </c>
      <c r="I156" s="10"/>
    </row>
    <row r="157" spans="1:12" s="1" customFormat="1" ht="30" customHeight="1" x14ac:dyDescent="0.25">
      <c r="A157" s="11" t="s">
        <v>2</v>
      </c>
      <c r="B157" s="10"/>
      <c r="C157" s="11" t="s">
        <v>5</v>
      </c>
      <c r="D157" s="7" t="s">
        <v>83</v>
      </c>
      <c r="E157" s="4"/>
      <c r="F157" s="11" t="s">
        <v>2</v>
      </c>
      <c r="G157" s="10"/>
      <c r="H157" s="11" t="s">
        <v>5</v>
      </c>
      <c r="I157" s="7" t="str">
        <f>D157</f>
        <v>18B</v>
      </c>
    </row>
    <row r="158" spans="1:12" s="1" customFormat="1" ht="53.25" customHeight="1" x14ac:dyDescent="0.25">
      <c r="A158" s="8" t="s">
        <v>3</v>
      </c>
      <c r="B158" s="9">
        <v>23</v>
      </c>
      <c r="C158" s="11" t="s">
        <v>6</v>
      </c>
      <c r="D158" s="7" t="s">
        <v>84</v>
      </c>
      <c r="E158" s="4"/>
      <c r="F158" s="8" t="s">
        <v>3</v>
      </c>
      <c r="G158" s="9">
        <v>173</v>
      </c>
      <c r="H158" s="11" t="s">
        <v>6</v>
      </c>
      <c r="I158" s="7" t="str">
        <f>D158</f>
        <v>DEO-B06</v>
      </c>
      <c r="K158" s="6" t="s">
        <v>8</v>
      </c>
      <c r="L158" s="6" t="s">
        <v>7</v>
      </c>
    </row>
    <row r="159" spans="1:12" s="1" customFormat="1" ht="30" customHeight="1" x14ac:dyDescent="0.25">
      <c r="A159" s="34" t="s">
        <v>86</v>
      </c>
      <c r="B159" s="35"/>
      <c r="C159" s="35"/>
      <c r="D159" s="36"/>
      <c r="E159" s="5"/>
      <c r="F159" s="34" t="s">
        <v>86</v>
      </c>
      <c r="G159" s="35"/>
      <c r="H159" s="35"/>
      <c r="I159" s="36"/>
      <c r="K159" s="1">
        <v>165</v>
      </c>
      <c r="L159" s="1">
        <v>20</v>
      </c>
    </row>
    <row r="160" spans="1:12" s="1" customFormat="1" ht="30" customHeight="1" x14ac:dyDescent="0.25">
      <c r="A160" s="43" t="s">
        <v>85</v>
      </c>
      <c r="B160" s="44"/>
      <c r="C160" s="41" t="s">
        <v>81</v>
      </c>
      <c r="D160" s="42"/>
      <c r="E160" s="4"/>
      <c r="F160" s="43" t="str">
        <f>A160</f>
        <v>KW621</v>
      </c>
      <c r="G160" s="44"/>
      <c r="H160" s="41" t="str">
        <f>C160</f>
        <v>Green</v>
      </c>
      <c r="I160" s="42"/>
    </row>
    <row r="161" spans="1:12" s="1" customFormat="1" ht="30" customHeight="1" x14ac:dyDescent="0.25">
      <c r="A161" s="12" t="s">
        <v>4</v>
      </c>
      <c r="B161" s="37">
        <v>27087</v>
      </c>
      <c r="C161" s="37"/>
      <c r="D161" s="38"/>
      <c r="E161" s="4"/>
      <c r="F161" s="12" t="s">
        <v>4</v>
      </c>
      <c r="G161" s="37">
        <f>B161</f>
        <v>27087</v>
      </c>
      <c r="H161" s="37"/>
      <c r="I161" s="38"/>
    </row>
    <row r="162" spans="1:12" ht="63.75" customHeight="1" x14ac:dyDescent="0.25">
      <c r="A162" s="33" t="s">
        <v>82</v>
      </c>
      <c r="B162" s="33"/>
      <c r="C162" s="33"/>
      <c r="D162" s="33"/>
      <c r="E162" s="2"/>
      <c r="F162" s="33" t="str">
        <f>A162</f>
        <v>Tall DEO - Barrel</v>
      </c>
      <c r="G162" s="33"/>
      <c r="H162" s="33"/>
      <c r="I162" s="33"/>
    </row>
    <row r="163" spans="1:12" s="1" customFormat="1" ht="30" customHeight="1" x14ac:dyDescent="0.25">
      <c r="A163" s="11" t="s">
        <v>0</v>
      </c>
      <c r="B163" s="10"/>
      <c r="C163" s="11" t="s">
        <v>1</v>
      </c>
      <c r="D163" s="10"/>
      <c r="E163" s="3"/>
      <c r="F163" s="11" t="s">
        <v>0</v>
      </c>
      <c r="G163" s="10"/>
      <c r="H163" s="11" t="s">
        <v>1</v>
      </c>
      <c r="I163" s="10"/>
    </row>
    <row r="164" spans="1:12" s="1" customFormat="1" ht="30" customHeight="1" x14ac:dyDescent="0.25">
      <c r="A164" s="11" t="s">
        <v>2</v>
      </c>
      <c r="B164" s="10"/>
      <c r="C164" s="11" t="s">
        <v>5</v>
      </c>
      <c r="D164" s="7" t="s">
        <v>83</v>
      </c>
      <c r="E164" s="4"/>
      <c r="F164" s="11" t="s">
        <v>2</v>
      </c>
      <c r="G164" s="10"/>
      <c r="H164" s="11" t="s">
        <v>5</v>
      </c>
      <c r="I164" s="7" t="str">
        <f>D164</f>
        <v>18B</v>
      </c>
    </row>
    <row r="165" spans="1:12" s="1" customFormat="1" ht="53.25" customHeight="1" x14ac:dyDescent="0.25">
      <c r="A165" s="8" t="s">
        <v>3</v>
      </c>
      <c r="B165" s="9">
        <v>24</v>
      </c>
      <c r="C165" s="11" t="s">
        <v>6</v>
      </c>
      <c r="D165" s="7" t="s">
        <v>84</v>
      </c>
      <c r="E165" s="4"/>
      <c r="F165" s="8" t="s">
        <v>3</v>
      </c>
      <c r="G165" s="9">
        <v>174</v>
      </c>
      <c r="H165" s="11" t="s">
        <v>6</v>
      </c>
      <c r="I165" s="7" t="str">
        <f>D165</f>
        <v>DEO-B06</v>
      </c>
      <c r="K165" s="6" t="s">
        <v>8</v>
      </c>
      <c r="L165" s="6" t="s">
        <v>7</v>
      </c>
    </row>
    <row r="166" spans="1:12" s="1" customFormat="1" ht="30" customHeight="1" x14ac:dyDescent="0.25">
      <c r="A166" s="34" t="s">
        <v>86</v>
      </c>
      <c r="B166" s="35"/>
      <c r="C166" s="35"/>
      <c r="D166" s="36"/>
      <c r="E166" s="5"/>
      <c r="F166" s="34" t="s">
        <v>86</v>
      </c>
      <c r="G166" s="35"/>
      <c r="H166" s="35"/>
      <c r="I166" s="36"/>
      <c r="K166" s="1">
        <v>165</v>
      </c>
      <c r="L166" s="1">
        <v>20</v>
      </c>
    </row>
    <row r="167" spans="1:12" s="1" customFormat="1" ht="30" customHeight="1" x14ac:dyDescent="0.25">
      <c r="A167" s="43" t="s">
        <v>85</v>
      </c>
      <c r="B167" s="44"/>
      <c r="C167" s="41" t="s">
        <v>81</v>
      </c>
      <c r="D167" s="42"/>
      <c r="E167" s="4"/>
      <c r="F167" s="43" t="str">
        <f>A167</f>
        <v>KW621</v>
      </c>
      <c r="G167" s="44"/>
      <c r="H167" s="41" t="str">
        <f>C167</f>
        <v>Green</v>
      </c>
      <c r="I167" s="42"/>
    </row>
    <row r="168" spans="1:12" s="1" customFormat="1" ht="30" customHeight="1" x14ac:dyDescent="0.25">
      <c r="A168" s="12" t="s">
        <v>4</v>
      </c>
      <c r="B168" s="37">
        <v>27087</v>
      </c>
      <c r="C168" s="37"/>
      <c r="D168" s="38"/>
      <c r="E168" s="4"/>
      <c r="F168" s="12" t="s">
        <v>4</v>
      </c>
      <c r="G168" s="37">
        <f>B168</f>
        <v>27087</v>
      </c>
      <c r="H168" s="37"/>
      <c r="I168" s="38"/>
    </row>
    <row r="169" spans="1:12" ht="63.75" customHeight="1" x14ac:dyDescent="0.25">
      <c r="A169" s="33" t="s">
        <v>82</v>
      </c>
      <c r="B169" s="33"/>
      <c r="C169" s="33"/>
      <c r="D169" s="33"/>
      <c r="E169" s="2"/>
      <c r="F169" s="33" t="str">
        <f>A169</f>
        <v>Tall DEO - Barrel</v>
      </c>
      <c r="G169" s="33"/>
      <c r="H169" s="33"/>
      <c r="I169" s="33"/>
    </row>
    <row r="170" spans="1:12" s="1" customFormat="1" ht="30" customHeight="1" x14ac:dyDescent="0.25">
      <c r="A170" s="11" t="s">
        <v>0</v>
      </c>
      <c r="B170" s="10"/>
      <c r="C170" s="11" t="s">
        <v>1</v>
      </c>
      <c r="D170" s="10"/>
      <c r="E170" s="3"/>
      <c r="F170" s="11" t="s">
        <v>0</v>
      </c>
      <c r="G170" s="10"/>
      <c r="H170" s="11" t="s">
        <v>1</v>
      </c>
      <c r="I170" s="10"/>
    </row>
    <row r="171" spans="1:12" s="1" customFormat="1" ht="30" customHeight="1" x14ac:dyDescent="0.25">
      <c r="A171" s="11" t="s">
        <v>2</v>
      </c>
      <c r="B171" s="10"/>
      <c r="C171" s="11" t="s">
        <v>5</v>
      </c>
      <c r="D171" s="7" t="s">
        <v>83</v>
      </c>
      <c r="E171" s="4"/>
      <c r="F171" s="11" t="s">
        <v>2</v>
      </c>
      <c r="G171" s="10"/>
      <c r="H171" s="11" t="s">
        <v>5</v>
      </c>
      <c r="I171" s="7" t="str">
        <f>D171</f>
        <v>18B</v>
      </c>
    </row>
    <row r="172" spans="1:12" s="1" customFormat="1" ht="53.25" customHeight="1" x14ac:dyDescent="0.25">
      <c r="A172" s="8" t="s">
        <v>3</v>
      </c>
      <c r="B172" s="9">
        <v>25</v>
      </c>
      <c r="C172" s="11" t="s">
        <v>6</v>
      </c>
      <c r="D172" s="7" t="s">
        <v>84</v>
      </c>
      <c r="E172" s="4"/>
      <c r="F172" s="8" t="s">
        <v>3</v>
      </c>
      <c r="G172" s="9">
        <v>175</v>
      </c>
      <c r="H172" s="11" t="s">
        <v>6</v>
      </c>
      <c r="I172" s="7" t="str">
        <f>D172</f>
        <v>DEO-B06</v>
      </c>
      <c r="K172" s="6" t="s">
        <v>8</v>
      </c>
      <c r="L172" s="6" t="s">
        <v>7</v>
      </c>
    </row>
    <row r="173" spans="1:12" s="1" customFormat="1" ht="30" customHeight="1" x14ac:dyDescent="0.25">
      <c r="A173" s="34" t="s">
        <v>86</v>
      </c>
      <c r="B173" s="35"/>
      <c r="C173" s="35"/>
      <c r="D173" s="36"/>
      <c r="E173" s="5"/>
      <c r="F173" s="34" t="s">
        <v>86</v>
      </c>
      <c r="G173" s="35"/>
      <c r="H173" s="35"/>
      <c r="I173" s="36"/>
      <c r="K173" s="1">
        <v>165</v>
      </c>
      <c r="L173" s="1">
        <v>20</v>
      </c>
    </row>
    <row r="174" spans="1:12" s="1" customFormat="1" ht="30" customHeight="1" x14ac:dyDescent="0.25">
      <c r="A174" s="43" t="s">
        <v>85</v>
      </c>
      <c r="B174" s="44"/>
      <c r="C174" s="41" t="s">
        <v>81</v>
      </c>
      <c r="D174" s="42"/>
      <c r="E174" s="4"/>
      <c r="F174" s="43" t="str">
        <f>A174</f>
        <v>KW621</v>
      </c>
      <c r="G174" s="44"/>
      <c r="H174" s="41" t="str">
        <f>C174</f>
        <v>Green</v>
      </c>
      <c r="I174" s="42"/>
    </row>
    <row r="175" spans="1:12" s="1" customFormat="1" ht="30" customHeight="1" x14ac:dyDescent="0.25">
      <c r="A175" s="12" t="s">
        <v>4</v>
      </c>
      <c r="B175" s="37">
        <v>27087</v>
      </c>
      <c r="C175" s="37"/>
      <c r="D175" s="38"/>
      <c r="E175" s="4"/>
      <c r="F175" s="12" t="s">
        <v>4</v>
      </c>
      <c r="G175" s="37">
        <f>B175</f>
        <v>27087</v>
      </c>
      <c r="H175" s="37"/>
      <c r="I175" s="38"/>
    </row>
    <row r="176" spans="1:12" ht="63.75" customHeight="1" x14ac:dyDescent="0.25">
      <c r="A176" s="33" t="s">
        <v>82</v>
      </c>
      <c r="B176" s="33"/>
      <c r="C176" s="33"/>
      <c r="D176" s="33"/>
      <c r="E176" s="2"/>
      <c r="F176" s="33" t="str">
        <f>A176</f>
        <v>Tall DEO - Barrel</v>
      </c>
      <c r="G176" s="33"/>
      <c r="H176" s="33"/>
      <c r="I176" s="33"/>
    </row>
    <row r="177" spans="1:12" s="1" customFormat="1" ht="30" customHeight="1" x14ac:dyDescent="0.25">
      <c r="A177" s="11" t="s">
        <v>0</v>
      </c>
      <c r="B177" s="10"/>
      <c r="C177" s="11" t="s">
        <v>1</v>
      </c>
      <c r="D177" s="10"/>
      <c r="E177" s="3"/>
      <c r="F177" s="11" t="s">
        <v>0</v>
      </c>
      <c r="G177" s="10"/>
      <c r="H177" s="11" t="s">
        <v>1</v>
      </c>
      <c r="I177" s="10"/>
    </row>
    <row r="178" spans="1:12" s="1" customFormat="1" ht="30" customHeight="1" x14ac:dyDescent="0.25">
      <c r="A178" s="11" t="s">
        <v>2</v>
      </c>
      <c r="B178" s="10"/>
      <c r="C178" s="11" t="s">
        <v>5</v>
      </c>
      <c r="D178" s="7" t="s">
        <v>83</v>
      </c>
      <c r="E178" s="4"/>
      <c r="F178" s="11" t="s">
        <v>2</v>
      </c>
      <c r="G178" s="10"/>
      <c r="H178" s="11" t="s">
        <v>5</v>
      </c>
      <c r="I178" s="7" t="str">
        <f>D178</f>
        <v>18B</v>
      </c>
    </row>
    <row r="179" spans="1:12" s="1" customFormat="1" ht="53.25" customHeight="1" x14ac:dyDescent="0.25">
      <c r="A179" s="8" t="s">
        <v>3</v>
      </c>
      <c r="B179" s="9">
        <v>26</v>
      </c>
      <c r="C179" s="11" t="s">
        <v>6</v>
      </c>
      <c r="D179" s="7" t="s">
        <v>84</v>
      </c>
      <c r="E179" s="4"/>
      <c r="F179" s="8" t="s">
        <v>3</v>
      </c>
      <c r="G179" s="9">
        <v>176</v>
      </c>
      <c r="H179" s="11" t="s">
        <v>6</v>
      </c>
      <c r="I179" s="7" t="str">
        <f>D179</f>
        <v>DEO-B06</v>
      </c>
      <c r="K179" s="6" t="s">
        <v>8</v>
      </c>
      <c r="L179" s="6" t="s">
        <v>7</v>
      </c>
    </row>
    <row r="180" spans="1:12" s="1" customFormat="1" ht="30" customHeight="1" x14ac:dyDescent="0.25">
      <c r="A180" s="34" t="s">
        <v>86</v>
      </c>
      <c r="B180" s="35"/>
      <c r="C180" s="35"/>
      <c r="D180" s="36"/>
      <c r="E180" s="5"/>
      <c r="F180" s="34" t="s">
        <v>86</v>
      </c>
      <c r="G180" s="35"/>
      <c r="H180" s="35"/>
      <c r="I180" s="36"/>
      <c r="K180" s="1">
        <v>165</v>
      </c>
      <c r="L180" s="1">
        <v>20</v>
      </c>
    </row>
    <row r="181" spans="1:12" s="1" customFormat="1" ht="30" customHeight="1" x14ac:dyDescent="0.25">
      <c r="A181" s="43" t="s">
        <v>85</v>
      </c>
      <c r="B181" s="44"/>
      <c r="C181" s="41" t="s">
        <v>81</v>
      </c>
      <c r="D181" s="42"/>
      <c r="E181" s="4"/>
      <c r="F181" s="43" t="str">
        <f>A181</f>
        <v>KW621</v>
      </c>
      <c r="G181" s="44"/>
      <c r="H181" s="41" t="str">
        <f>C181</f>
        <v>Green</v>
      </c>
      <c r="I181" s="42"/>
    </row>
    <row r="182" spans="1:12" s="1" customFormat="1" ht="30" customHeight="1" x14ac:dyDescent="0.25">
      <c r="A182" s="12" t="s">
        <v>4</v>
      </c>
      <c r="B182" s="37">
        <v>27087</v>
      </c>
      <c r="C182" s="37"/>
      <c r="D182" s="38"/>
      <c r="E182" s="4"/>
      <c r="F182" s="12" t="s">
        <v>4</v>
      </c>
      <c r="G182" s="37">
        <f>B182</f>
        <v>27087</v>
      </c>
      <c r="H182" s="37"/>
      <c r="I182" s="38"/>
    </row>
    <row r="183" spans="1:12" ht="63.75" customHeight="1" x14ac:dyDescent="0.25">
      <c r="A183" s="33" t="s">
        <v>82</v>
      </c>
      <c r="B183" s="33"/>
      <c r="C183" s="33"/>
      <c r="D183" s="33"/>
      <c r="E183" s="2"/>
      <c r="F183" s="33" t="str">
        <f>A183</f>
        <v>Tall DEO - Barrel</v>
      </c>
      <c r="G183" s="33"/>
      <c r="H183" s="33"/>
      <c r="I183" s="33"/>
    </row>
    <row r="184" spans="1:12" s="1" customFormat="1" ht="30" customHeight="1" x14ac:dyDescent="0.25">
      <c r="A184" s="11" t="s">
        <v>0</v>
      </c>
      <c r="B184" s="10"/>
      <c r="C184" s="11" t="s">
        <v>1</v>
      </c>
      <c r="D184" s="10"/>
      <c r="E184" s="3"/>
      <c r="F184" s="11" t="s">
        <v>0</v>
      </c>
      <c r="G184" s="10"/>
      <c r="H184" s="11" t="s">
        <v>1</v>
      </c>
      <c r="I184" s="10"/>
    </row>
    <row r="185" spans="1:12" s="1" customFormat="1" ht="30" customHeight="1" x14ac:dyDescent="0.25">
      <c r="A185" s="11" t="s">
        <v>2</v>
      </c>
      <c r="B185" s="10"/>
      <c r="C185" s="11" t="s">
        <v>5</v>
      </c>
      <c r="D185" s="7" t="s">
        <v>83</v>
      </c>
      <c r="E185" s="4"/>
      <c r="F185" s="11" t="s">
        <v>2</v>
      </c>
      <c r="G185" s="10"/>
      <c r="H185" s="11" t="s">
        <v>5</v>
      </c>
      <c r="I185" s="7" t="str">
        <f>D185</f>
        <v>18B</v>
      </c>
    </row>
    <row r="186" spans="1:12" s="1" customFormat="1" ht="53.25" customHeight="1" x14ac:dyDescent="0.25">
      <c r="A186" s="8" t="s">
        <v>3</v>
      </c>
      <c r="B186" s="9">
        <v>27</v>
      </c>
      <c r="C186" s="11" t="s">
        <v>6</v>
      </c>
      <c r="D186" s="7" t="s">
        <v>84</v>
      </c>
      <c r="E186" s="4"/>
      <c r="F186" s="8" t="s">
        <v>3</v>
      </c>
      <c r="G186" s="9">
        <v>177</v>
      </c>
      <c r="H186" s="11" t="s">
        <v>6</v>
      </c>
      <c r="I186" s="7" t="str">
        <f>D186</f>
        <v>DEO-B06</v>
      </c>
      <c r="K186" s="6" t="s">
        <v>8</v>
      </c>
      <c r="L186" s="6" t="s">
        <v>7</v>
      </c>
    </row>
    <row r="187" spans="1:12" s="1" customFormat="1" ht="30" customHeight="1" x14ac:dyDescent="0.25">
      <c r="A187" s="34" t="s">
        <v>86</v>
      </c>
      <c r="B187" s="35"/>
      <c r="C187" s="35"/>
      <c r="D187" s="36"/>
      <c r="E187" s="5"/>
      <c r="F187" s="34" t="s">
        <v>86</v>
      </c>
      <c r="G187" s="35"/>
      <c r="H187" s="35"/>
      <c r="I187" s="36"/>
      <c r="K187" s="1">
        <v>165</v>
      </c>
      <c r="L187" s="1">
        <v>20</v>
      </c>
    </row>
    <row r="188" spans="1:12" s="1" customFormat="1" ht="30" customHeight="1" x14ac:dyDescent="0.25">
      <c r="A188" s="43" t="s">
        <v>85</v>
      </c>
      <c r="B188" s="44"/>
      <c r="C188" s="41" t="s">
        <v>81</v>
      </c>
      <c r="D188" s="42"/>
      <c r="E188" s="4"/>
      <c r="F188" s="43" t="str">
        <f>A188</f>
        <v>KW621</v>
      </c>
      <c r="G188" s="44"/>
      <c r="H188" s="41" t="str">
        <f>C188</f>
        <v>Green</v>
      </c>
      <c r="I188" s="42"/>
    </row>
    <row r="189" spans="1:12" s="1" customFormat="1" ht="30" customHeight="1" x14ac:dyDescent="0.25">
      <c r="A189" s="12" t="s">
        <v>4</v>
      </c>
      <c r="B189" s="37">
        <v>27087</v>
      </c>
      <c r="C189" s="37"/>
      <c r="D189" s="38"/>
      <c r="E189" s="4"/>
      <c r="F189" s="12" t="s">
        <v>4</v>
      </c>
      <c r="G189" s="37">
        <f>B189</f>
        <v>27087</v>
      </c>
      <c r="H189" s="37"/>
      <c r="I189" s="38"/>
    </row>
    <row r="190" spans="1:12" ht="63.75" customHeight="1" x14ac:dyDescent="0.25">
      <c r="A190" s="33" t="s">
        <v>82</v>
      </c>
      <c r="B190" s="33"/>
      <c r="C190" s="33"/>
      <c r="D190" s="33"/>
      <c r="E190" s="2"/>
      <c r="F190" s="33" t="str">
        <f>A190</f>
        <v>Tall DEO - Barrel</v>
      </c>
      <c r="G190" s="33"/>
      <c r="H190" s="33"/>
      <c r="I190" s="33"/>
    </row>
    <row r="191" spans="1:12" s="1" customFormat="1" ht="30" customHeight="1" x14ac:dyDescent="0.25">
      <c r="A191" s="11" t="s">
        <v>0</v>
      </c>
      <c r="B191" s="10"/>
      <c r="C191" s="11" t="s">
        <v>1</v>
      </c>
      <c r="D191" s="10"/>
      <c r="E191" s="3"/>
      <c r="F191" s="11" t="s">
        <v>0</v>
      </c>
      <c r="G191" s="10"/>
      <c r="H191" s="11" t="s">
        <v>1</v>
      </c>
      <c r="I191" s="10"/>
    </row>
    <row r="192" spans="1:12" s="1" customFormat="1" ht="30" customHeight="1" x14ac:dyDescent="0.25">
      <c r="A192" s="11" t="s">
        <v>2</v>
      </c>
      <c r="B192" s="10"/>
      <c r="C192" s="11" t="s">
        <v>5</v>
      </c>
      <c r="D192" s="7" t="s">
        <v>83</v>
      </c>
      <c r="E192" s="4"/>
      <c r="F192" s="11" t="s">
        <v>2</v>
      </c>
      <c r="G192" s="10"/>
      <c r="H192" s="11" t="s">
        <v>5</v>
      </c>
      <c r="I192" s="7" t="str">
        <f>D192</f>
        <v>18B</v>
      </c>
    </row>
    <row r="193" spans="1:12" s="1" customFormat="1" ht="53.25" customHeight="1" x14ac:dyDescent="0.25">
      <c r="A193" s="8" t="s">
        <v>3</v>
      </c>
      <c r="B193" s="9">
        <v>28</v>
      </c>
      <c r="C193" s="11" t="s">
        <v>6</v>
      </c>
      <c r="D193" s="7" t="s">
        <v>84</v>
      </c>
      <c r="E193" s="4"/>
      <c r="F193" s="8" t="s">
        <v>3</v>
      </c>
      <c r="G193" s="9">
        <v>178</v>
      </c>
      <c r="H193" s="11" t="s">
        <v>6</v>
      </c>
      <c r="I193" s="7" t="str">
        <f>D193</f>
        <v>DEO-B06</v>
      </c>
      <c r="K193" s="6" t="s">
        <v>8</v>
      </c>
      <c r="L193" s="6" t="s">
        <v>7</v>
      </c>
    </row>
    <row r="194" spans="1:12" s="1" customFormat="1" ht="30" customHeight="1" x14ac:dyDescent="0.25">
      <c r="A194" s="34" t="s">
        <v>86</v>
      </c>
      <c r="B194" s="35"/>
      <c r="C194" s="35"/>
      <c r="D194" s="36"/>
      <c r="E194" s="5"/>
      <c r="F194" s="34" t="s">
        <v>86</v>
      </c>
      <c r="G194" s="35"/>
      <c r="H194" s="35"/>
      <c r="I194" s="36"/>
      <c r="K194" s="1">
        <v>165</v>
      </c>
      <c r="L194" s="1">
        <v>20</v>
      </c>
    </row>
    <row r="195" spans="1:12" s="1" customFormat="1" ht="30" customHeight="1" x14ac:dyDescent="0.25">
      <c r="A195" s="43" t="s">
        <v>85</v>
      </c>
      <c r="B195" s="44"/>
      <c r="C195" s="41" t="s">
        <v>81</v>
      </c>
      <c r="D195" s="42"/>
      <c r="E195" s="4"/>
      <c r="F195" s="43" t="str">
        <f>A195</f>
        <v>KW621</v>
      </c>
      <c r="G195" s="44"/>
      <c r="H195" s="41" t="str">
        <f>C195</f>
        <v>Green</v>
      </c>
      <c r="I195" s="42"/>
    </row>
    <row r="196" spans="1:12" s="1" customFormat="1" ht="30" customHeight="1" x14ac:dyDescent="0.25">
      <c r="A196" s="12" t="s">
        <v>4</v>
      </c>
      <c r="B196" s="37">
        <v>27087</v>
      </c>
      <c r="C196" s="37"/>
      <c r="D196" s="38"/>
      <c r="E196" s="4"/>
      <c r="F196" s="12" t="s">
        <v>4</v>
      </c>
      <c r="G196" s="37">
        <f>B196</f>
        <v>27087</v>
      </c>
      <c r="H196" s="37"/>
      <c r="I196" s="38"/>
    </row>
    <row r="197" spans="1:12" ht="63.75" customHeight="1" x14ac:dyDescent="0.25">
      <c r="A197" s="33" t="s">
        <v>82</v>
      </c>
      <c r="B197" s="33"/>
      <c r="C197" s="33"/>
      <c r="D197" s="33"/>
      <c r="E197" s="2"/>
      <c r="F197" s="33" t="str">
        <f>A197</f>
        <v>Tall DEO - Barrel</v>
      </c>
      <c r="G197" s="33"/>
      <c r="H197" s="33"/>
      <c r="I197" s="33"/>
    </row>
    <row r="198" spans="1:12" s="1" customFormat="1" ht="30" customHeight="1" x14ac:dyDescent="0.25">
      <c r="A198" s="11" t="s">
        <v>0</v>
      </c>
      <c r="B198" s="10"/>
      <c r="C198" s="11" t="s">
        <v>1</v>
      </c>
      <c r="D198" s="10"/>
      <c r="E198" s="3"/>
      <c r="F198" s="11" t="s">
        <v>0</v>
      </c>
      <c r="G198" s="10"/>
      <c r="H198" s="11" t="s">
        <v>1</v>
      </c>
      <c r="I198" s="10"/>
    </row>
    <row r="199" spans="1:12" s="1" customFormat="1" ht="30" customHeight="1" x14ac:dyDescent="0.25">
      <c r="A199" s="11" t="s">
        <v>2</v>
      </c>
      <c r="B199" s="10"/>
      <c r="C199" s="11" t="s">
        <v>5</v>
      </c>
      <c r="D199" s="7" t="s">
        <v>83</v>
      </c>
      <c r="E199" s="4"/>
      <c r="F199" s="11" t="s">
        <v>2</v>
      </c>
      <c r="G199" s="10"/>
      <c r="H199" s="11" t="s">
        <v>5</v>
      </c>
      <c r="I199" s="7" t="str">
        <f>D199</f>
        <v>18B</v>
      </c>
    </row>
    <row r="200" spans="1:12" s="1" customFormat="1" ht="53.25" customHeight="1" x14ac:dyDescent="0.25">
      <c r="A200" s="8" t="s">
        <v>3</v>
      </c>
      <c r="B200" s="9">
        <v>29</v>
      </c>
      <c r="C200" s="11" t="s">
        <v>6</v>
      </c>
      <c r="D200" s="7" t="s">
        <v>84</v>
      </c>
      <c r="E200" s="4"/>
      <c r="F200" s="8" t="s">
        <v>3</v>
      </c>
      <c r="G200" s="9">
        <v>179</v>
      </c>
      <c r="H200" s="11" t="s">
        <v>6</v>
      </c>
      <c r="I200" s="7" t="str">
        <f>D200</f>
        <v>DEO-B06</v>
      </c>
      <c r="K200" s="6" t="s">
        <v>8</v>
      </c>
      <c r="L200" s="6" t="s">
        <v>7</v>
      </c>
    </row>
    <row r="201" spans="1:12" s="1" customFormat="1" ht="30" customHeight="1" x14ac:dyDescent="0.25">
      <c r="A201" s="34" t="s">
        <v>86</v>
      </c>
      <c r="B201" s="35"/>
      <c r="C201" s="35"/>
      <c r="D201" s="36"/>
      <c r="E201" s="5"/>
      <c r="F201" s="34" t="s">
        <v>86</v>
      </c>
      <c r="G201" s="35"/>
      <c r="H201" s="35"/>
      <c r="I201" s="36"/>
      <c r="K201" s="1">
        <v>165</v>
      </c>
      <c r="L201" s="1">
        <v>20</v>
      </c>
    </row>
    <row r="202" spans="1:12" s="1" customFormat="1" ht="30" customHeight="1" x14ac:dyDescent="0.25">
      <c r="A202" s="43" t="s">
        <v>85</v>
      </c>
      <c r="B202" s="44"/>
      <c r="C202" s="41" t="s">
        <v>81</v>
      </c>
      <c r="D202" s="42"/>
      <c r="E202" s="4"/>
      <c r="F202" s="43" t="str">
        <f>A202</f>
        <v>KW621</v>
      </c>
      <c r="G202" s="44"/>
      <c r="H202" s="41" t="str">
        <f>C202</f>
        <v>Green</v>
      </c>
      <c r="I202" s="42"/>
    </row>
    <row r="203" spans="1:12" s="1" customFormat="1" ht="30" customHeight="1" x14ac:dyDescent="0.25">
      <c r="A203" s="12" t="s">
        <v>4</v>
      </c>
      <c r="B203" s="37">
        <v>27087</v>
      </c>
      <c r="C203" s="37"/>
      <c r="D203" s="38"/>
      <c r="E203" s="4"/>
      <c r="F203" s="12" t="s">
        <v>4</v>
      </c>
      <c r="G203" s="37">
        <f>B203</f>
        <v>27087</v>
      </c>
      <c r="H203" s="37"/>
      <c r="I203" s="38"/>
    </row>
    <row r="204" spans="1:12" ht="63.75" customHeight="1" x14ac:dyDescent="0.25">
      <c r="A204" s="33" t="s">
        <v>82</v>
      </c>
      <c r="B204" s="33"/>
      <c r="C204" s="33"/>
      <c r="D204" s="33"/>
      <c r="E204" s="2"/>
      <c r="F204" s="33" t="str">
        <f>A204</f>
        <v>Tall DEO - Barrel</v>
      </c>
      <c r="G204" s="33"/>
      <c r="H204" s="33"/>
      <c r="I204" s="33"/>
    </row>
    <row r="205" spans="1:12" s="1" customFormat="1" ht="30" customHeight="1" x14ac:dyDescent="0.25">
      <c r="A205" s="11" t="s">
        <v>0</v>
      </c>
      <c r="B205" s="10"/>
      <c r="C205" s="11" t="s">
        <v>1</v>
      </c>
      <c r="D205" s="10"/>
      <c r="E205" s="3"/>
      <c r="F205" s="11" t="s">
        <v>0</v>
      </c>
      <c r="G205" s="10"/>
      <c r="H205" s="11" t="s">
        <v>1</v>
      </c>
      <c r="I205" s="10"/>
    </row>
    <row r="206" spans="1:12" s="1" customFormat="1" ht="30" customHeight="1" x14ac:dyDescent="0.25">
      <c r="A206" s="11" t="s">
        <v>2</v>
      </c>
      <c r="B206" s="10"/>
      <c r="C206" s="11" t="s">
        <v>5</v>
      </c>
      <c r="D206" s="7" t="s">
        <v>83</v>
      </c>
      <c r="E206" s="4"/>
      <c r="F206" s="11" t="s">
        <v>2</v>
      </c>
      <c r="G206" s="10"/>
      <c r="H206" s="11" t="s">
        <v>5</v>
      </c>
      <c r="I206" s="7" t="str">
        <f>D206</f>
        <v>18B</v>
      </c>
    </row>
    <row r="207" spans="1:12" s="1" customFormat="1" ht="53.25" customHeight="1" x14ac:dyDescent="0.25">
      <c r="A207" s="8" t="s">
        <v>3</v>
      </c>
      <c r="B207" s="9">
        <v>30</v>
      </c>
      <c r="C207" s="11" t="s">
        <v>6</v>
      </c>
      <c r="D207" s="7" t="s">
        <v>84</v>
      </c>
      <c r="E207" s="4"/>
      <c r="F207" s="8" t="s">
        <v>3</v>
      </c>
      <c r="G207" s="9">
        <v>180</v>
      </c>
      <c r="H207" s="11" t="s">
        <v>6</v>
      </c>
      <c r="I207" s="7" t="str">
        <f>D207</f>
        <v>DEO-B06</v>
      </c>
      <c r="K207" s="6" t="s">
        <v>8</v>
      </c>
      <c r="L207" s="6" t="s">
        <v>7</v>
      </c>
    </row>
    <row r="208" spans="1:12" s="1" customFormat="1" ht="30" customHeight="1" x14ac:dyDescent="0.25">
      <c r="A208" s="34" t="s">
        <v>86</v>
      </c>
      <c r="B208" s="35"/>
      <c r="C208" s="35"/>
      <c r="D208" s="36"/>
      <c r="E208" s="5"/>
      <c r="F208" s="34" t="s">
        <v>86</v>
      </c>
      <c r="G208" s="35"/>
      <c r="H208" s="35"/>
      <c r="I208" s="36"/>
      <c r="K208" s="1">
        <v>165</v>
      </c>
      <c r="L208" s="1">
        <v>20</v>
      </c>
    </row>
    <row r="209" spans="1:12" s="1" customFormat="1" ht="30" customHeight="1" x14ac:dyDescent="0.25">
      <c r="A209" s="43" t="s">
        <v>85</v>
      </c>
      <c r="B209" s="44"/>
      <c r="C209" s="41" t="s">
        <v>81</v>
      </c>
      <c r="D209" s="42"/>
      <c r="E209" s="4"/>
      <c r="F209" s="43" t="str">
        <f>A209</f>
        <v>KW621</v>
      </c>
      <c r="G209" s="44"/>
      <c r="H209" s="41" t="str">
        <f>C209</f>
        <v>Green</v>
      </c>
      <c r="I209" s="42"/>
    </row>
    <row r="210" spans="1:12" s="1" customFormat="1" ht="30" customHeight="1" x14ac:dyDescent="0.25">
      <c r="A210" s="12" t="s">
        <v>4</v>
      </c>
      <c r="B210" s="37">
        <v>27087</v>
      </c>
      <c r="C210" s="37"/>
      <c r="D210" s="38"/>
      <c r="E210" s="4"/>
      <c r="F210" s="12" t="s">
        <v>4</v>
      </c>
      <c r="G210" s="37">
        <f>B210</f>
        <v>27087</v>
      </c>
      <c r="H210" s="37"/>
      <c r="I210" s="38"/>
    </row>
    <row r="211" spans="1:12" ht="63.75" customHeight="1" x14ac:dyDescent="0.25">
      <c r="A211" s="33" t="s">
        <v>82</v>
      </c>
      <c r="B211" s="33"/>
      <c r="C211" s="33"/>
      <c r="D211" s="33"/>
      <c r="E211" s="2"/>
      <c r="F211" s="33" t="str">
        <f>A211</f>
        <v>Tall DEO - Barrel</v>
      </c>
      <c r="G211" s="33"/>
      <c r="H211" s="33"/>
      <c r="I211" s="33"/>
    </row>
    <row r="212" spans="1:12" s="1" customFormat="1" ht="30" customHeight="1" x14ac:dyDescent="0.25">
      <c r="A212" s="11" t="s">
        <v>0</v>
      </c>
      <c r="B212" s="10"/>
      <c r="C212" s="11" t="s">
        <v>1</v>
      </c>
      <c r="D212" s="10"/>
      <c r="E212" s="3"/>
      <c r="F212" s="11" t="s">
        <v>0</v>
      </c>
      <c r="G212" s="10"/>
      <c r="H212" s="11" t="s">
        <v>1</v>
      </c>
      <c r="I212" s="10"/>
    </row>
    <row r="213" spans="1:12" s="1" customFormat="1" ht="30" customHeight="1" x14ac:dyDescent="0.25">
      <c r="A213" s="11" t="s">
        <v>2</v>
      </c>
      <c r="B213" s="10"/>
      <c r="C213" s="11" t="s">
        <v>5</v>
      </c>
      <c r="D213" s="7" t="s">
        <v>83</v>
      </c>
      <c r="E213" s="4"/>
      <c r="F213" s="11" t="s">
        <v>2</v>
      </c>
      <c r="G213" s="10"/>
      <c r="H213" s="11" t="s">
        <v>5</v>
      </c>
      <c r="I213" s="7" t="str">
        <f>D213</f>
        <v>18B</v>
      </c>
    </row>
    <row r="214" spans="1:12" s="1" customFormat="1" ht="53.25" customHeight="1" x14ac:dyDescent="0.25">
      <c r="A214" s="8" t="s">
        <v>3</v>
      </c>
      <c r="B214" s="9">
        <v>31</v>
      </c>
      <c r="C214" s="11" t="s">
        <v>6</v>
      </c>
      <c r="D214" s="7" t="s">
        <v>84</v>
      </c>
      <c r="E214" s="4"/>
      <c r="F214" s="8" t="s">
        <v>3</v>
      </c>
      <c r="G214" s="9">
        <v>181</v>
      </c>
      <c r="H214" s="11" t="s">
        <v>6</v>
      </c>
      <c r="I214" s="7" t="str">
        <f>D214</f>
        <v>DEO-B06</v>
      </c>
      <c r="K214" s="6" t="s">
        <v>8</v>
      </c>
      <c r="L214" s="6" t="s">
        <v>7</v>
      </c>
    </row>
    <row r="215" spans="1:12" s="1" customFormat="1" ht="30" customHeight="1" x14ac:dyDescent="0.25">
      <c r="A215" s="34" t="s">
        <v>86</v>
      </c>
      <c r="B215" s="35"/>
      <c r="C215" s="35"/>
      <c r="D215" s="36"/>
      <c r="E215" s="5"/>
      <c r="F215" s="34" t="s">
        <v>86</v>
      </c>
      <c r="G215" s="35"/>
      <c r="H215" s="35"/>
      <c r="I215" s="36"/>
      <c r="K215" s="1">
        <v>165</v>
      </c>
      <c r="L215" s="1">
        <v>20</v>
      </c>
    </row>
    <row r="216" spans="1:12" s="1" customFormat="1" ht="30" customHeight="1" x14ac:dyDescent="0.25">
      <c r="A216" s="43" t="s">
        <v>85</v>
      </c>
      <c r="B216" s="44"/>
      <c r="C216" s="41" t="s">
        <v>81</v>
      </c>
      <c r="D216" s="42"/>
      <c r="E216" s="4"/>
      <c r="F216" s="43" t="str">
        <f>A216</f>
        <v>KW621</v>
      </c>
      <c r="G216" s="44"/>
      <c r="H216" s="41" t="str">
        <f>C216</f>
        <v>Green</v>
      </c>
      <c r="I216" s="42"/>
    </row>
    <row r="217" spans="1:12" s="1" customFormat="1" ht="30" customHeight="1" x14ac:dyDescent="0.25">
      <c r="A217" s="12" t="s">
        <v>4</v>
      </c>
      <c r="B217" s="37">
        <v>27087</v>
      </c>
      <c r="C217" s="37"/>
      <c r="D217" s="38"/>
      <c r="E217" s="4"/>
      <c r="F217" s="12" t="s">
        <v>4</v>
      </c>
      <c r="G217" s="37">
        <f>B217</f>
        <v>27087</v>
      </c>
      <c r="H217" s="37"/>
      <c r="I217" s="38"/>
    </row>
    <row r="218" spans="1:12" ht="63.75" customHeight="1" x14ac:dyDescent="0.25">
      <c r="A218" s="33" t="s">
        <v>82</v>
      </c>
      <c r="B218" s="33"/>
      <c r="C218" s="33"/>
      <c r="D218" s="33"/>
      <c r="E218" s="2"/>
      <c r="F218" s="33" t="str">
        <f>A218</f>
        <v>Tall DEO - Barrel</v>
      </c>
      <c r="G218" s="33"/>
      <c r="H218" s="33"/>
      <c r="I218" s="33"/>
    </row>
    <row r="219" spans="1:12" s="1" customFormat="1" ht="30" customHeight="1" x14ac:dyDescent="0.25">
      <c r="A219" s="11" t="s">
        <v>0</v>
      </c>
      <c r="B219" s="10"/>
      <c r="C219" s="11" t="s">
        <v>1</v>
      </c>
      <c r="D219" s="10"/>
      <c r="E219" s="3"/>
      <c r="F219" s="11" t="s">
        <v>0</v>
      </c>
      <c r="G219" s="10"/>
      <c r="H219" s="11" t="s">
        <v>1</v>
      </c>
      <c r="I219" s="10"/>
    </row>
    <row r="220" spans="1:12" s="1" customFormat="1" ht="30" customHeight="1" x14ac:dyDescent="0.25">
      <c r="A220" s="11" t="s">
        <v>2</v>
      </c>
      <c r="B220" s="10"/>
      <c r="C220" s="11" t="s">
        <v>5</v>
      </c>
      <c r="D220" s="7" t="s">
        <v>83</v>
      </c>
      <c r="E220" s="4"/>
      <c r="F220" s="11" t="s">
        <v>2</v>
      </c>
      <c r="G220" s="10"/>
      <c r="H220" s="11" t="s">
        <v>5</v>
      </c>
      <c r="I220" s="7" t="str">
        <f>D220</f>
        <v>18B</v>
      </c>
    </row>
    <row r="221" spans="1:12" s="1" customFormat="1" ht="53.25" customHeight="1" x14ac:dyDescent="0.25">
      <c r="A221" s="8" t="s">
        <v>3</v>
      </c>
      <c r="B221" s="9">
        <v>32</v>
      </c>
      <c r="C221" s="11" t="s">
        <v>6</v>
      </c>
      <c r="D221" s="7" t="s">
        <v>84</v>
      </c>
      <c r="E221" s="4"/>
      <c r="F221" s="8" t="s">
        <v>3</v>
      </c>
      <c r="G221" s="9">
        <v>182</v>
      </c>
      <c r="H221" s="11" t="s">
        <v>6</v>
      </c>
      <c r="I221" s="7" t="str">
        <f>D221</f>
        <v>DEO-B06</v>
      </c>
      <c r="K221" s="6" t="s">
        <v>8</v>
      </c>
      <c r="L221" s="6" t="s">
        <v>7</v>
      </c>
    </row>
    <row r="222" spans="1:12" s="1" customFormat="1" ht="30" customHeight="1" x14ac:dyDescent="0.25">
      <c r="A222" s="34" t="s">
        <v>86</v>
      </c>
      <c r="B222" s="35"/>
      <c r="C222" s="35"/>
      <c r="D222" s="36"/>
      <c r="E222" s="5"/>
      <c r="F222" s="34" t="s">
        <v>86</v>
      </c>
      <c r="G222" s="35"/>
      <c r="H222" s="35"/>
      <c r="I222" s="36"/>
      <c r="K222" s="1">
        <v>165</v>
      </c>
      <c r="L222" s="1">
        <v>20</v>
      </c>
    </row>
    <row r="223" spans="1:12" s="1" customFormat="1" ht="30" customHeight="1" x14ac:dyDescent="0.25">
      <c r="A223" s="43" t="s">
        <v>85</v>
      </c>
      <c r="B223" s="44"/>
      <c r="C223" s="41" t="s">
        <v>81</v>
      </c>
      <c r="D223" s="42"/>
      <c r="E223" s="4"/>
      <c r="F223" s="43" t="str">
        <f>A223</f>
        <v>KW621</v>
      </c>
      <c r="G223" s="44"/>
      <c r="H223" s="41" t="str">
        <f>C223</f>
        <v>Green</v>
      </c>
      <c r="I223" s="42"/>
    </row>
    <row r="224" spans="1:12" s="1" customFormat="1" ht="30" customHeight="1" x14ac:dyDescent="0.25">
      <c r="A224" s="12" t="s">
        <v>4</v>
      </c>
      <c r="B224" s="37">
        <v>27087</v>
      </c>
      <c r="C224" s="37"/>
      <c r="D224" s="38"/>
      <c r="E224" s="4"/>
      <c r="F224" s="12" t="s">
        <v>4</v>
      </c>
      <c r="G224" s="37">
        <f>B224</f>
        <v>27087</v>
      </c>
      <c r="H224" s="37"/>
      <c r="I224" s="38"/>
    </row>
    <row r="225" spans="1:12" ht="63.75" customHeight="1" x14ac:dyDescent="0.25">
      <c r="A225" s="33" t="s">
        <v>82</v>
      </c>
      <c r="B225" s="33"/>
      <c r="C225" s="33"/>
      <c r="D225" s="33"/>
      <c r="E225" s="2"/>
      <c r="F225" s="33" t="str">
        <f>A225</f>
        <v>Tall DEO - Barrel</v>
      </c>
      <c r="G225" s="33"/>
      <c r="H225" s="33"/>
      <c r="I225" s="33"/>
    </row>
    <row r="226" spans="1:12" s="1" customFormat="1" ht="30" customHeight="1" x14ac:dyDescent="0.25">
      <c r="A226" s="11" t="s">
        <v>0</v>
      </c>
      <c r="B226" s="10"/>
      <c r="C226" s="11" t="s">
        <v>1</v>
      </c>
      <c r="D226" s="10"/>
      <c r="E226" s="3"/>
      <c r="F226" s="11" t="s">
        <v>0</v>
      </c>
      <c r="G226" s="10"/>
      <c r="H226" s="11" t="s">
        <v>1</v>
      </c>
      <c r="I226" s="10"/>
    </row>
    <row r="227" spans="1:12" s="1" customFormat="1" ht="30" customHeight="1" x14ac:dyDescent="0.25">
      <c r="A227" s="11" t="s">
        <v>2</v>
      </c>
      <c r="B227" s="10"/>
      <c r="C227" s="11" t="s">
        <v>5</v>
      </c>
      <c r="D227" s="7" t="s">
        <v>83</v>
      </c>
      <c r="E227" s="4"/>
      <c r="F227" s="11" t="s">
        <v>2</v>
      </c>
      <c r="G227" s="10"/>
      <c r="H227" s="11" t="s">
        <v>5</v>
      </c>
      <c r="I227" s="7" t="str">
        <f>D227</f>
        <v>18B</v>
      </c>
    </row>
    <row r="228" spans="1:12" s="1" customFormat="1" ht="53.25" customHeight="1" x14ac:dyDescent="0.25">
      <c r="A228" s="8" t="s">
        <v>3</v>
      </c>
      <c r="B228" s="9">
        <v>33</v>
      </c>
      <c r="C228" s="11" t="s">
        <v>6</v>
      </c>
      <c r="D228" s="7" t="s">
        <v>84</v>
      </c>
      <c r="E228" s="4"/>
      <c r="F228" s="8" t="s">
        <v>3</v>
      </c>
      <c r="G228" s="9">
        <v>183</v>
      </c>
      <c r="H228" s="11" t="s">
        <v>6</v>
      </c>
      <c r="I228" s="7" t="str">
        <f>D228</f>
        <v>DEO-B06</v>
      </c>
      <c r="K228" s="6" t="s">
        <v>8</v>
      </c>
      <c r="L228" s="6" t="s">
        <v>7</v>
      </c>
    </row>
    <row r="229" spans="1:12" s="1" customFormat="1" ht="30" customHeight="1" x14ac:dyDescent="0.25">
      <c r="A229" s="34" t="s">
        <v>86</v>
      </c>
      <c r="B229" s="35"/>
      <c r="C229" s="35"/>
      <c r="D229" s="36"/>
      <c r="E229" s="5"/>
      <c r="F229" s="34" t="s">
        <v>86</v>
      </c>
      <c r="G229" s="35"/>
      <c r="H229" s="35"/>
      <c r="I229" s="36"/>
      <c r="K229" s="1">
        <v>165</v>
      </c>
      <c r="L229" s="1">
        <v>20</v>
      </c>
    </row>
    <row r="230" spans="1:12" s="1" customFormat="1" ht="30" customHeight="1" x14ac:dyDescent="0.25">
      <c r="A230" s="43" t="s">
        <v>85</v>
      </c>
      <c r="B230" s="44"/>
      <c r="C230" s="41" t="s">
        <v>81</v>
      </c>
      <c r="D230" s="42"/>
      <c r="E230" s="4"/>
      <c r="F230" s="43" t="str">
        <f>A230</f>
        <v>KW621</v>
      </c>
      <c r="G230" s="44"/>
      <c r="H230" s="41" t="str">
        <f>C230</f>
        <v>Green</v>
      </c>
      <c r="I230" s="42"/>
    </row>
    <row r="231" spans="1:12" s="1" customFormat="1" ht="30" customHeight="1" x14ac:dyDescent="0.25">
      <c r="A231" s="12" t="s">
        <v>4</v>
      </c>
      <c r="B231" s="37">
        <v>27087</v>
      </c>
      <c r="C231" s="37"/>
      <c r="D231" s="38"/>
      <c r="E231" s="4"/>
      <c r="F231" s="12" t="s">
        <v>4</v>
      </c>
      <c r="G231" s="37">
        <f>B231</f>
        <v>27087</v>
      </c>
      <c r="H231" s="37"/>
      <c r="I231" s="38"/>
    </row>
    <row r="232" spans="1:12" ht="63.75" customHeight="1" x14ac:dyDescent="0.25">
      <c r="A232" s="33" t="s">
        <v>82</v>
      </c>
      <c r="B232" s="33"/>
      <c r="C232" s="33"/>
      <c r="D232" s="33"/>
      <c r="E232" s="2"/>
      <c r="F232" s="33" t="str">
        <f>A232</f>
        <v>Tall DEO - Barrel</v>
      </c>
      <c r="G232" s="33"/>
      <c r="H232" s="33"/>
      <c r="I232" s="33"/>
    </row>
    <row r="233" spans="1:12" s="1" customFormat="1" ht="30" customHeight="1" x14ac:dyDescent="0.25">
      <c r="A233" s="11" t="s">
        <v>0</v>
      </c>
      <c r="B233" s="10"/>
      <c r="C233" s="11" t="s">
        <v>1</v>
      </c>
      <c r="D233" s="10"/>
      <c r="E233" s="3"/>
      <c r="F233" s="11" t="s">
        <v>0</v>
      </c>
      <c r="G233" s="10"/>
      <c r="H233" s="11" t="s">
        <v>1</v>
      </c>
      <c r="I233" s="10"/>
    </row>
    <row r="234" spans="1:12" s="1" customFormat="1" ht="30" customHeight="1" x14ac:dyDescent="0.25">
      <c r="A234" s="11" t="s">
        <v>2</v>
      </c>
      <c r="B234" s="10"/>
      <c r="C234" s="11" t="s">
        <v>5</v>
      </c>
      <c r="D234" s="7" t="s">
        <v>83</v>
      </c>
      <c r="E234" s="4"/>
      <c r="F234" s="11" t="s">
        <v>2</v>
      </c>
      <c r="G234" s="10"/>
      <c r="H234" s="11" t="s">
        <v>5</v>
      </c>
      <c r="I234" s="7" t="str">
        <f>D234</f>
        <v>18B</v>
      </c>
    </row>
    <row r="235" spans="1:12" s="1" customFormat="1" ht="53.25" customHeight="1" x14ac:dyDescent="0.25">
      <c r="A235" s="8" t="s">
        <v>3</v>
      </c>
      <c r="B235" s="9">
        <v>34</v>
      </c>
      <c r="C235" s="11" t="s">
        <v>6</v>
      </c>
      <c r="D235" s="7" t="s">
        <v>84</v>
      </c>
      <c r="E235" s="4"/>
      <c r="F235" s="8" t="s">
        <v>3</v>
      </c>
      <c r="G235" s="9">
        <v>184</v>
      </c>
      <c r="H235" s="11" t="s">
        <v>6</v>
      </c>
      <c r="I235" s="7" t="str">
        <f>D235</f>
        <v>DEO-B06</v>
      </c>
      <c r="K235" s="6" t="s">
        <v>8</v>
      </c>
      <c r="L235" s="6" t="s">
        <v>7</v>
      </c>
    </row>
    <row r="236" spans="1:12" s="1" customFormat="1" ht="30" customHeight="1" x14ac:dyDescent="0.25">
      <c r="A236" s="34" t="s">
        <v>86</v>
      </c>
      <c r="B236" s="35"/>
      <c r="C236" s="35"/>
      <c r="D236" s="36"/>
      <c r="E236" s="5"/>
      <c r="F236" s="34" t="s">
        <v>86</v>
      </c>
      <c r="G236" s="35"/>
      <c r="H236" s="35"/>
      <c r="I236" s="36"/>
      <c r="K236" s="1">
        <v>165</v>
      </c>
      <c r="L236" s="1">
        <v>20</v>
      </c>
    </row>
    <row r="237" spans="1:12" s="1" customFormat="1" ht="30" customHeight="1" x14ac:dyDescent="0.25">
      <c r="A237" s="43" t="s">
        <v>85</v>
      </c>
      <c r="B237" s="44"/>
      <c r="C237" s="41" t="s">
        <v>81</v>
      </c>
      <c r="D237" s="42"/>
      <c r="E237" s="4"/>
      <c r="F237" s="43" t="str">
        <f>A237</f>
        <v>KW621</v>
      </c>
      <c r="G237" s="44"/>
      <c r="H237" s="41" t="str">
        <f>C237</f>
        <v>Green</v>
      </c>
      <c r="I237" s="42"/>
    </row>
    <row r="238" spans="1:12" s="1" customFormat="1" ht="30" customHeight="1" x14ac:dyDescent="0.25">
      <c r="A238" s="12" t="s">
        <v>4</v>
      </c>
      <c r="B238" s="37">
        <v>27087</v>
      </c>
      <c r="C238" s="37"/>
      <c r="D238" s="38"/>
      <c r="E238" s="4"/>
      <c r="F238" s="12" t="s">
        <v>4</v>
      </c>
      <c r="G238" s="37">
        <f>B238</f>
        <v>27087</v>
      </c>
      <c r="H238" s="37"/>
      <c r="I238" s="38"/>
    </row>
    <row r="239" spans="1:12" ht="63.75" customHeight="1" x14ac:dyDescent="0.25">
      <c r="A239" s="33" t="s">
        <v>82</v>
      </c>
      <c r="B239" s="33"/>
      <c r="C239" s="33"/>
      <c r="D239" s="33"/>
      <c r="E239" s="2"/>
      <c r="F239" s="33" t="str">
        <f>A239</f>
        <v>Tall DEO - Barrel</v>
      </c>
      <c r="G239" s="33"/>
      <c r="H239" s="33"/>
      <c r="I239" s="33"/>
    </row>
    <row r="240" spans="1:12" s="1" customFormat="1" ht="30" customHeight="1" x14ac:dyDescent="0.25">
      <c r="A240" s="11" t="s">
        <v>0</v>
      </c>
      <c r="B240" s="10"/>
      <c r="C240" s="11" t="s">
        <v>1</v>
      </c>
      <c r="D240" s="10"/>
      <c r="E240" s="3"/>
      <c r="F240" s="11" t="s">
        <v>0</v>
      </c>
      <c r="G240" s="10"/>
      <c r="H240" s="11" t="s">
        <v>1</v>
      </c>
      <c r="I240" s="10"/>
    </row>
    <row r="241" spans="1:12" s="1" customFormat="1" ht="30" customHeight="1" x14ac:dyDescent="0.25">
      <c r="A241" s="11" t="s">
        <v>2</v>
      </c>
      <c r="B241" s="10"/>
      <c r="C241" s="11" t="s">
        <v>5</v>
      </c>
      <c r="D241" s="7" t="s">
        <v>83</v>
      </c>
      <c r="E241" s="4"/>
      <c r="F241" s="11" t="s">
        <v>2</v>
      </c>
      <c r="G241" s="10"/>
      <c r="H241" s="11" t="s">
        <v>5</v>
      </c>
      <c r="I241" s="7" t="str">
        <f>D241</f>
        <v>18B</v>
      </c>
    </row>
    <row r="242" spans="1:12" s="1" customFormat="1" ht="53.25" customHeight="1" x14ac:dyDescent="0.25">
      <c r="A242" s="8" t="s">
        <v>3</v>
      </c>
      <c r="B242" s="9">
        <v>35</v>
      </c>
      <c r="C242" s="11" t="s">
        <v>6</v>
      </c>
      <c r="D242" s="7" t="s">
        <v>84</v>
      </c>
      <c r="E242" s="4"/>
      <c r="F242" s="8" t="s">
        <v>3</v>
      </c>
      <c r="G242" s="9">
        <v>185</v>
      </c>
      <c r="H242" s="11" t="s">
        <v>6</v>
      </c>
      <c r="I242" s="7" t="str">
        <f>D242</f>
        <v>DEO-B06</v>
      </c>
      <c r="K242" s="6" t="s">
        <v>8</v>
      </c>
      <c r="L242" s="6" t="s">
        <v>7</v>
      </c>
    </row>
    <row r="243" spans="1:12" s="1" customFormat="1" ht="30" customHeight="1" x14ac:dyDescent="0.25">
      <c r="A243" s="34" t="s">
        <v>86</v>
      </c>
      <c r="B243" s="35"/>
      <c r="C243" s="35"/>
      <c r="D243" s="36"/>
      <c r="E243" s="5"/>
      <c r="F243" s="34" t="s">
        <v>86</v>
      </c>
      <c r="G243" s="35"/>
      <c r="H243" s="35"/>
      <c r="I243" s="36"/>
      <c r="K243" s="1">
        <v>165</v>
      </c>
      <c r="L243" s="1">
        <v>20</v>
      </c>
    </row>
    <row r="244" spans="1:12" s="1" customFormat="1" ht="30" customHeight="1" x14ac:dyDescent="0.25">
      <c r="A244" s="43" t="s">
        <v>85</v>
      </c>
      <c r="B244" s="44"/>
      <c r="C244" s="41" t="s">
        <v>81</v>
      </c>
      <c r="D244" s="42"/>
      <c r="E244" s="4"/>
      <c r="F244" s="43" t="str">
        <f>A244</f>
        <v>KW621</v>
      </c>
      <c r="G244" s="44"/>
      <c r="H244" s="41" t="str">
        <f>C244</f>
        <v>Green</v>
      </c>
      <c r="I244" s="42"/>
    </row>
    <row r="245" spans="1:12" s="1" customFormat="1" ht="30" customHeight="1" x14ac:dyDescent="0.25">
      <c r="A245" s="12" t="s">
        <v>4</v>
      </c>
      <c r="B245" s="37">
        <v>27087</v>
      </c>
      <c r="C245" s="37"/>
      <c r="D245" s="38"/>
      <c r="E245" s="4"/>
      <c r="F245" s="12" t="s">
        <v>4</v>
      </c>
      <c r="G245" s="37">
        <f>B245</f>
        <v>27087</v>
      </c>
      <c r="H245" s="37"/>
      <c r="I245" s="38"/>
    </row>
    <row r="246" spans="1:12" ht="63.75" customHeight="1" x14ac:dyDescent="0.25">
      <c r="A246" s="33" t="s">
        <v>82</v>
      </c>
      <c r="B246" s="33"/>
      <c r="C246" s="33"/>
      <c r="D246" s="33"/>
      <c r="E246" s="2"/>
      <c r="F246" s="33" t="str">
        <f>A246</f>
        <v>Tall DEO - Barrel</v>
      </c>
      <c r="G246" s="33"/>
      <c r="H246" s="33"/>
      <c r="I246" s="33"/>
    </row>
    <row r="247" spans="1:12" s="1" customFormat="1" ht="30" customHeight="1" x14ac:dyDescent="0.25">
      <c r="A247" s="11" t="s">
        <v>0</v>
      </c>
      <c r="B247" s="10"/>
      <c r="C247" s="11" t="s">
        <v>1</v>
      </c>
      <c r="D247" s="10"/>
      <c r="E247" s="3"/>
      <c r="F247" s="11" t="s">
        <v>0</v>
      </c>
      <c r="G247" s="10"/>
      <c r="H247" s="11" t="s">
        <v>1</v>
      </c>
      <c r="I247" s="10"/>
    </row>
    <row r="248" spans="1:12" s="1" customFormat="1" ht="30" customHeight="1" x14ac:dyDescent="0.25">
      <c r="A248" s="11" t="s">
        <v>2</v>
      </c>
      <c r="B248" s="10"/>
      <c r="C248" s="11" t="s">
        <v>5</v>
      </c>
      <c r="D248" s="7" t="s">
        <v>83</v>
      </c>
      <c r="E248" s="4"/>
      <c r="F248" s="11" t="s">
        <v>2</v>
      </c>
      <c r="G248" s="10"/>
      <c r="H248" s="11" t="s">
        <v>5</v>
      </c>
      <c r="I248" s="7" t="str">
        <f>D248</f>
        <v>18B</v>
      </c>
    </row>
    <row r="249" spans="1:12" s="1" customFormat="1" ht="53.25" customHeight="1" x14ac:dyDescent="0.25">
      <c r="A249" s="8" t="s">
        <v>3</v>
      </c>
      <c r="B249" s="9">
        <v>36</v>
      </c>
      <c r="C249" s="11" t="s">
        <v>6</v>
      </c>
      <c r="D249" s="7" t="s">
        <v>84</v>
      </c>
      <c r="E249" s="4"/>
      <c r="F249" s="8" t="s">
        <v>3</v>
      </c>
      <c r="G249" s="9">
        <v>186</v>
      </c>
      <c r="H249" s="11" t="s">
        <v>6</v>
      </c>
      <c r="I249" s="7" t="str">
        <f>D249</f>
        <v>DEO-B06</v>
      </c>
      <c r="K249" s="6" t="s">
        <v>8</v>
      </c>
      <c r="L249" s="6" t="s">
        <v>7</v>
      </c>
    </row>
    <row r="250" spans="1:12" s="1" customFormat="1" ht="30" customHeight="1" x14ac:dyDescent="0.25">
      <c r="A250" s="34" t="s">
        <v>86</v>
      </c>
      <c r="B250" s="35"/>
      <c r="C250" s="35"/>
      <c r="D250" s="36"/>
      <c r="E250" s="5"/>
      <c r="F250" s="34" t="s">
        <v>86</v>
      </c>
      <c r="G250" s="35"/>
      <c r="H250" s="35"/>
      <c r="I250" s="36"/>
      <c r="K250" s="1">
        <v>165</v>
      </c>
      <c r="L250" s="1">
        <v>20</v>
      </c>
    </row>
    <row r="251" spans="1:12" s="1" customFormat="1" ht="30" customHeight="1" x14ac:dyDescent="0.25">
      <c r="A251" s="43" t="s">
        <v>85</v>
      </c>
      <c r="B251" s="44"/>
      <c r="C251" s="41" t="s">
        <v>81</v>
      </c>
      <c r="D251" s="42"/>
      <c r="E251" s="4"/>
      <c r="F251" s="43" t="str">
        <f>A251</f>
        <v>KW621</v>
      </c>
      <c r="G251" s="44"/>
      <c r="H251" s="41" t="str">
        <f>C251</f>
        <v>Green</v>
      </c>
      <c r="I251" s="42"/>
    </row>
    <row r="252" spans="1:12" s="1" customFormat="1" ht="30" customHeight="1" x14ac:dyDescent="0.25">
      <c r="A252" s="12" t="s">
        <v>4</v>
      </c>
      <c r="B252" s="37">
        <v>27087</v>
      </c>
      <c r="C252" s="37"/>
      <c r="D252" s="38"/>
      <c r="E252" s="4"/>
      <c r="F252" s="12" t="s">
        <v>4</v>
      </c>
      <c r="G252" s="37">
        <f>B252</f>
        <v>27087</v>
      </c>
      <c r="H252" s="37"/>
      <c r="I252" s="38"/>
    </row>
    <row r="253" spans="1:12" ht="63.75" customHeight="1" x14ac:dyDescent="0.25">
      <c r="A253" s="33" t="s">
        <v>82</v>
      </c>
      <c r="B253" s="33"/>
      <c r="C253" s="33"/>
      <c r="D253" s="33"/>
      <c r="E253" s="2"/>
      <c r="F253" s="33" t="str">
        <f>A253</f>
        <v>Tall DEO - Barrel</v>
      </c>
      <c r="G253" s="33"/>
      <c r="H253" s="33"/>
      <c r="I253" s="33"/>
    </row>
    <row r="254" spans="1:12" s="1" customFormat="1" ht="30" customHeight="1" x14ac:dyDescent="0.25">
      <c r="A254" s="11" t="s">
        <v>0</v>
      </c>
      <c r="B254" s="10"/>
      <c r="C254" s="11" t="s">
        <v>1</v>
      </c>
      <c r="D254" s="10"/>
      <c r="E254" s="3"/>
      <c r="F254" s="11" t="s">
        <v>0</v>
      </c>
      <c r="G254" s="10"/>
      <c r="H254" s="11" t="s">
        <v>1</v>
      </c>
      <c r="I254" s="10"/>
    </row>
    <row r="255" spans="1:12" s="1" customFormat="1" ht="30" customHeight="1" x14ac:dyDescent="0.25">
      <c r="A255" s="11" t="s">
        <v>2</v>
      </c>
      <c r="B255" s="10"/>
      <c r="C255" s="11" t="s">
        <v>5</v>
      </c>
      <c r="D255" s="7" t="s">
        <v>83</v>
      </c>
      <c r="E255" s="4"/>
      <c r="F255" s="11" t="s">
        <v>2</v>
      </c>
      <c r="G255" s="10"/>
      <c r="H255" s="11" t="s">
        <v>5</v>
      </c>
      <c r="I255" s="7" t="str">
        <f>D255</f>
        <v>18B</v>
      </c>
    </row>
    <row r="256" spans="1:12" s="1" customFormat="1" ht="53.25" customHeight="1" x14ac:dyDescent="0.25">
      <c r="A256" s="8" t="s">
        <v>3</v>
      </c>
      <c r="B256" s="9">
        <v>37</v>
      </c>
      <c r="C256" s="11" t="s">
        <v>6</v>
      </c>
      <c r="D256" s="7" t="s">
        <v>84</v>
      </c>
      <c r="E256" s="4"/>
      <c r="F256" s="8" t="s">
        <v>3</v>
      </c>
      <c r="G256" s="9">
        <v>187</v>
      </c>
      <c r="H256" s="11" t="s">
        <v>6</v>
      </c>
      <c r="I256" s="7" t="str">
        <f>D256</f>
        <v>DEO-B06</v>
      </c>
      <c r="K256" s="6" t="s">
        <v>8</v>
      </c>
      <c r="L256" s="6" t="s">
        <v>7</v>
      </c>
    </row>
    <row r="257" spans="1:12" s="1" customFormat="1" ht="30" customHeight="1" x14ac:dyDescent="0.25">
      <c r="A257" s="34" t="s">
        <v>86</v>
      </c>
      <c r="B257" s="35"/>
      <c r="C257" s="35"/>
      <c r="D257" s="36"/>
      <c r="E257" s="5"/>
      <c r="F257" s="34" t="s">
        <v>86</v>
      </c>
      <c r="G257" s="35"/>
      <c r="H257" s="35"/>
      <c r="I257" s="36"/>
      <c r="K257" s="1">
        <v>165</v>
      </c>
      <c r="L257" s="1">
        <v>20</v>
      </c>
    </row>
    <row r="258" spans="1:12" s="1" customFormat="1" ht="30" customHeight="1" x14ac:dyDescent="0.25">
      <c r="A258" s="43" t="s">
        <v>85</v>
      </c>
      <c r="B258" s="44"/>
      <c r="C258" s="41" t="s">
        <v>81</v>
      </c>
      <c r="D258" s="42"/>
      <c r="E258" s="4"/>
      <c r="F258" s="43" t="str">
        <f>A258</f>
        <v>KW621</v>
      </c>
      <c r="G258" s="44"/>
      <c r="H258" s="41" t="str">
        <f>C258</f>
        <v>Green</v>
      </c>
      <c r="I258" s="42"/>
    </row>
    <row r="259" spans="1:12" s="1" customFormat="1" ht="30" customHeight="1" x14ac:dyDescent="0.25">
      <c r="A259" s="12" t="s">
        <v>4</v>
      </c>
      <c r="B259" s="37">
        <v>27087</v>
      </c>
      <c r="C259" s="37"/>
      <c r="D259" s="38"/>
      <c r="E259" s="4"/>
      <c r="F259" s="12" t="s">
        <v>4</v>
      </c>
      <c r="G259" s="37">
        <f>B259</f>
        <v>27087</v>
      </c>
      <c r="H259" s="37"/>
      <c r="I259" s="38"/>
    </row>
    <row r="260" spans="1:12" ht="63.75" customHeight="1" x14ac:dyDescent="0.25">
      <c r="A260" s="33" t="s">
        <v>82</v>
      </c>
      <c r="B260" s="33"/>
      <c r="C260" s="33"/>
      <c r="D260" s="33"/>
      <c r="E260" s="2"/>
      <c r="F260" s="33" t="str">
        <f>A260</f>
        <v>Tall DEO - Barrel</v>
      </c>
      <c r="G260" s="33"/>
      <c r="H260" s="33"/>
      <c r="I260" s="33"/>
    </row>
    <row r="261" spans="1:12" s="1" customFormat="1" ht="30" customHeight="1" x14ac:dyDescent="0.25">
      <c r="A261" s="11" t="s">
        <v>0</v>
      </c>
      <c r="B261" s="10"/>
      <c r="C261" s="11" t="s">
        <v>1</v>
      </c>
      <c r="D261" s="10"/>
      <c r="E261" s="3"/>
      <c r="F261" s="11" t="s">
        <v>0</v>
      </c>
      <c r="G261" s="10"/>
      <c r="H261" s="11" t="s">
        <v>1</v>
      </c>
      <c r="I261" s="10"/>
    </row>
    <row r="262" spans="1:12" s="1" customFormat="1" ht="30" customHeight="1" x14ac:dyDescent="0.25">
      <c r="A262" s="11" t="s">
        <v>2</v>
      </c>
      <c r="B262" s="10"/>
      <c r="C262" s="11" t="s">
        <v>5</v>
      </c>
      <c r="D262" s="7" t="s">
        <v>83</v>
      </c>
      <c r="E262" s="4"/>
      <c r="F262" s="11" t="s">
        <v>2</v>
      </c>
      <c r="G262" s="10"/>
      <c r="H262" s="11" t="s">
        <v>5</v>
      </c>
      <c r="I262" s="7" t="str">
        <f>D262</f>
        <v>18B</v>
      </c>
    </row>
    <row r="263" spans="1:12" s="1" customFormat="1" ht="53.25" customHeight="1" x14ac:dyDescent="0.25">
      <c r="A263" s="8" t="s">
        <v>3</v>
      </c>
      <c r="B263" s="9">
        <v>38</v>
      </c>
      <c r="C263" s="11" t="s">
        <v>6</v>
      </c>
      <c r="D263" s="7" t="s">
        <v>84</v>
      </c>
      <c r="E263" s="4"/>
      <c r="F263" s="8" t="s">
        <v>3</v>
      </c>
      <c r="G263" s="9">
        <v>188</v>
      </c>
      <c r="H263" s="11" t="s">
        <v>6</v>
      </c>
      <c r="I263" s="7" t="str">
        <f>D263</f>
        <v>DEO-B06</v>
      </c>
      <c r="K263" s="6" t="s">
        <v>8</v>
      </c>
      <c r="L263" s="6" t="s">
        <v>7</v>
      </c>
    </row>
    <row r="264" spans="1:12" s="1" customFormat="1" ht="30" customHeight="1" x14ac:dyDescent="0.25">
      <c r="A264" s="34" t="s">
        <v>86</v>
      </c>
      <c r="B264" s="35"/>
      <c r="C264" s="35"/>
      <c r="D264" s="36"/>
      <c r="E264" s="5"/>
      <c r="F264" s="34" t="s">
        <v>86</v>
      </c>
      <c r="G264" s="35"/>
      <c r="H264" s="35"/>
      <c r="I264" s="36"/>
      <c r="K264" s="1">
        <v>165</v>
      </c>
      <c r="L264" s="1">
        <v>20</v>
      </c>
    </row>
    <row r="265" spans="1:12" s="1" customFormat="1" ht="30" customHeight="1" x14ac:dyDescent="0.25">
      <c r="A265" s="43" t="s">
        <v>85</v>
      </c>
      <c r="B265" s="44"/>
      <c r="C265" s="41" t="s">
        <v>81</v>
      </c>
      <c r="D265" s="42"/>
      <c r="E265" s="4"/>
      <c r="F265" s="43" t="str">
        <f>A265</f>
        <v>KW621</v>
      </c>
      <c r="G265" s="44"/>
      <c r="H265" s="41" t="str">
        <f>C265</f>
        <v>Green</v>
      </c>
      <c r="I265" s="42"/>
    </row>
    <row r="266" spans="1:12" s="1" customFormat="1" ht="30" customHeight="1" x14ac:dyDescent="0.25">
      <c r="A266" s="12" t="s">
        <v>4</v>
      </c>
      <c r="B266" s="37">
        <v>27087</v>
      </c>
      <c r="C266" s="37"/>
      <c r="D266" s="38"/>
      <c r="E266" s="4"/>
      <c r="F266" s="12" t="s">
        <v>4</v>
      </c>
      <c r="G266" s="37">
        <f>B266</f>
        <v>27087</v>
      </c>
      <c r="H266" s="37"/>
      <c r="I266" s="38"/>
    </row>
    <row r="267" spans="1:12" ht="63.75" customHeight="1" x14ac:dyDescent="0.25">
      <c r="A267" s="33" t="s">
        <v>82</v>
      </c>
      <c r="B267" s="33"/>
      <c r="C267" s="33"/>
      <c r="D267" s="33"/>
      <c r="E267" s="2"/>
      <c r="F267" s="33" t="str">
        <f>A267</f>
        <v>Tall DEO - Barrel</v>
      </c>
      <c r="G267" s="33"/>
      <c r="H267" s="33"/>
      <c r="I267" s="33"/>
    </row>
    <row r="268" spans="1:12" s="1" customFormat="1" ht="30" customHeight="1" x14ac:dyDescent="0.25">
      <c r="A268" s="11" t="s">
        <v>0</v>
      </c>
      <c r="B268" s="10"/>
      <c r="C268" s="11" t="s">
        <v>1</v>
      </c>
      <c r="D268" s="10"/>
      <c r="E268" s="3"/>
      <c r="F268" s="11" t="s">
        <v>0</v>
      </c>
      <c r="G268" s="10"/>
      <c r="H268" s="11" t="s">
        <v>1</v>
      </c>
      <c r="I268" s="10"/>
    </row>
    <row r="269" spans="1:12" s="1" customFormat="1" ht="30" customHeight="1" x14ac:dyDescent="0.25">
      <c r="A269" s="11" t="s">
        <v>2</v>
      </c>
      <c r="B269" s="10"/>
      <c r="C269" s="11" t="s">
        <v>5</v>
      </c>
      <c r="D269" s="7" t="s">
        <v>83</v>
      </c>
      <c r="E269" s="4"/>
      <c r="F269" s="11" t="s">
        <v>2</v>
      </c>
      <c r="G269" s="10"/>
      <c r="H269" s="11" t="s">
        <v>5</v>
      </c>
      <c r="I269" s="7" t="str">
        <f>D269</f>
        <v>18B</v>
      </c>
    </row>
    <row r="270" spans="1:12" s="1" customFormat="1" ht="53.25" customHeight="1" x14ac:dyDescent="0.25">
      <c r="A270" s="8" t="s">
        <v>3</v>
      </c>
      <c r="B270" s="9">
        <v>39</v>
      </c>
      <c r="C270" s="11" t="s">
        <v>6</v>
      </c>
      <c r="D270" s="7" t="s">
        <v>84</v>
      </c>
      <c r="E270" s="4"/>
      <c r="F270" s="8" t="s">
        <v>3</v>
      </c>
      <c r="G270" s="9">
        <v>189</v>
      </c>
      <c r="H270" s="11" t="s">
        <v>6</v>
      </c>
      <c r="I270" s="7" t="str">
        <f>D270</f>
        <v>DEO-B06</v>
      </c>
      <c r="K270" s="6" t="s">
        <v>8</v>
      </c>
      <c r="L270" s="6" t="s">
        <v>7</v>
      </c>
    </row>
    <row r="271" spans="1:12" s="1" customFormat="1" ht="30" customHeight="1" x14ac:dyDescent="0.25">
      <c r="A271" s="34" t="s">
        <v>86</v>
      </c>
      <c r="B271" s="35"/>
      <c r="C271" s="35"/>
      <c r="D271" s="36"/>
      <c r="E271" s="5"/>
      <c r="F271" s="34" t="s">
        <v>86</v>
      </c>
      <c r="G271" s="35"/>
      <c r="H271" s="35"/>
      <c r="I271" s="36"/>
      <c r="K271" s="1">
        <v>165</v>
      </c>
      <c r="L271" s="1">
        <v>20</v>
      </c>
    </row>
    <row r="272" spans="1:12" s="1" customFormat="1" ht="30" customHeight="1" x14ac:dyDescent="0.25">
      <c r="A272" s="43" t="s">
        <v>85</v>
      </c>
      <c r="B272" s="44"/>
      <c r="C272" s="41" t="s">
        <v>81</v>
      </c>
      <c r="D272" s="42"/>
      <c r="E272" s="4"/>
      <c r="F272" s="43" t="str">
        <f>A272</f>
        <v>KW621</v>
      </c>
      <c r="G272" s="44"/>
      <c r="H272" s="41" t="str">
        <f>C272</f>
        <v>Green</v>
      </c>
      <c r="I272" s="42"/>
    </row>
    <row r="273" spans="1:12" s="1" customFormat="1" ht="30" customHeight="1" x14ac:dyDescent="0.25">
      <c r="A273" s="12" t="s">
        <v>4</v>
      </c>
      <c r="B273" s="37">
        <v>27087</v>
      </c>
      <c r="C273" s="37"/>
      <c r="D273" s="38"/>
      <c r="E273" s="4"/>
      <c r="F273" s="12" t="s">
        <v>4</v>
      </c>
      <c r="G273" s="37">
        <f>B273</f>
        <v>27087</v>
      </c>
      <c r="H273" s="37"/>
      <c r="I273" s="38"/>
    </row>
    <row r="274" spans="1:12" ht="63.75" customHeight="1" x14ac:dyDescent="0.25">
      <c r="A274" s="33" t="s">
        <v>82</v>
      </c>
      <c r="B274" s="33"/>
      <c r="C274" s="33"/>
      <c r="D274" s="33"/>
      <c r="E274" s="2"/>
      <c r="F274" s="33" t="str">
        <f>A274</f>
        <v>Tall DEO - Barrel</v>
      </c>
      <c r="G274" s="33"/>
      <c r="H274" s="33"/>
      <c r="I274" s="33"/>
    </row>
    <row r="275" spans="1:12" s="1" customFormat="1" ht="30" customHeight="1" x14ac:dyDescent="0.25">
      <c r="A275" s="11" t="s">
        <v>0</v>
      </c>
      <c r="B275" s="10"/>
      <c r="C275" s="11" t="s">
        <v>1</v>
      </c>
      <c r="D275" s="10"/>
      <c r="E275" s="3"/>
      <c r="F275" s="11" t="s">
        <v>0</v>
      </c>
      <c r="G275" s="10"/>
      <c r="H275" s="11" t="s">
        <v>1</v>
      </c>
      <c r="I275" s="10"/>
    </row>
    <row r="276" spans="1:12" s="1" customFormat="1" ht="30" customHeight="1" x14ac:dyDescent="0.25">
      <c r="A276" s="11" t="s">
        <v>2</v>
      </c>
      <c r="B276" s="10"/>
      <c r="C276" s="11" t="s">
        <v>5</v>
      </c>
      <c r="D276" s="7" t="s">
        <v>83</v>
      </c>
      <c r="E276" s="4"/>
      <c r="F276" s="11" t="s">
        <v>2</v>
      </c>
      <c r="G276" s="10"/>
      <c r="H276" s="11" t="s">
        <v>5</v>
      </c>
      <c r="I276" s="7" t="str">
        <f>D276</f>
        <v>18B</v>
      </c>
    </row>
    <row r="277" spans="1:12" s="1" customFormat="1" ht="53.25" customHeight="1" x14ac:dyDescent="0.25">
      <c r="A277" s="8" t="s">
        <v>3</v>
      </c>
      <c r="B277" s="9">
        <v>40</v>
      </c>
      <c r="C277" s="11" t="s">
        <v>6</v>
      </c>
      <c r="D277" s="7" t="s">
        <v>84</v>
      </c>
      <c r="E277" s="4"/>
      <c r="F277" s="8" t="s">
        <v>3</v>
      </c>
      <c r="G277" s="9">
        <v>190</v>
      </c>
      <c r="H277" s="11" t="s">
        <v>6</v>
      </c>
      <c r="I277" s="7" t="str">
        <f>D277</f>
        <v>DEO-B06</v>
      </c>
      <c r="K277" s="6" t="s">
        <v>8</v>
      </c>
      <c r="L277" s="6" t="s">
        <v>7</v>
      </c>
    </row>
    <row r="278" spans="1:12" s="1" customFormat="1" ht="30" customHeight="1" x14ac:dyDescent="0.25">
      <c r="A278" s="34" t="s">
        <v>86</v>
      </c>
      <c r="B278" s="35"/>
      <c r="C278" s="35"/>
      <c r="D278" s="36"/>
      <c r="E278" s="5"/>
      <c r="F278" s="34" t="s">
        <v>86</v>
      </c>
      <c r="G278" s="35"/>
      <c r="H278" s="35"/>
      <c r="I278" s="36"/>
      <c r="K278" s="1">
        <v>165</v>
      </c>
      <c r="L278" s="1">
        <v>20</v>
      </c>
    </row>
    <row r="279" spans="1:12" s="1" customFormat="1" ht="30" customHeight="1" x14ac:dyDescent="0.25">
      <c r="A279" s="43" t="s">
        <v>85</v>
      </c>
      <c r="B279" s="44"/>
      <c r="C279" s="41" t="s">
        <v>81</v>
      </c>
      <c r="D279" s="42"/>
      <c r="E279" s="4"/>
      <c r="F279" s="43" t="str">
        <f>A279</f>
        <v>KW621</v>
      </c>
      <c r="G279" s="44"/>
      <c r="H279" s="41" t="str">
        <f>C279</f>
        <v>Green</v>
      </c>
      <c r="I279" s="42"/>
    </row>
    <row r="280" spans="1:12" s="1" customFormat="1" ht="30" customHeight="1" x14ac:dyDescent="0.25">
      <c r="A280" s="12" t="s">
        <v>4</v>
      </c>
      <c r="B280" s="37">
        <v>27087</v>
      </c>
      <c r="C280" s="37"/>
      <c r="D280" s="38"/>
      <c r="E280" s="4"/>
      <c r="F280" s="12" t="s">
        <v>4</v>
      </c>
      <c r="G280" s="37">
        <f>B280</f>
        <v>27087</v>
      </c>
      <c r="H280" s="37"/>
      <c r="I280" s="38"/>
    </row>
    <row r="281" spans="1:12" ht="63.75" customHeight="1" x14ac:dyDescent="0.25">
      <c r="A281" s="33" t="s">
        <v>82</v>
      </c>
      <c r="B281" s="33"/>
      <c r="C281" s="33"/>
      <c r="D281" s="33"/>
      <c r="E281" s="2"/>
      <c r="F281" s="33" t="str">
        <f>A281</f>
        <v>Tall DEO - Barrel</v>
      </c>
      <c r="G281" s="33"/>
      <c r="H281" s="33"/>
      <c r="I281" s="33"/>
    </row>
    <row r="282" spans="1:12" s="1" customFormat="1" ht="30" customHeight="1" x14ac:dyDescent="0.25">
      <c r="A282" s="11" t="s">
        <v>0</v>
      </c>
      <c r="B282" s="10"/>
      <c r="C282" s="11" t="s">
        <v>1</v>
      </c>
      <c r="D282" s="10"/>
      <c r="E282" s="3"/>
      <c r="F282" s="11" t="s">
        <v>0</v>
      </c>
      <c r="G282" s="10"/>
      <c r="H282" s="11" t="s">
        <v>1</v>
      </c>
      <c r="I282" s="10"/>
    </row>
    <row r="283" spans="1:12" s="1" customFormat="1" ht="30" customHeight="1" x14ac:dyDescent="0.25">
      <c r="A283" s="11" t="s">
        <v>2</v>
      </c>
      <c r="B283" s="10"/>
      <c r="C283" s="11" t="s">
        <v>5</v>
      </c>
      <c r="D283" s="7" t="s">
        <v>83</v>
      </c>
      <c r="E283" s="4"/>
      <c r="F283" s="11" t="s">
        <v>2</v>
      </c>
      <c r="G283" s="10"/>
      <c r="H283" s="11" t="s">
        <v>5</v>
      </c>
      <c r="I283" s="7" t="str">
        <f>D283</f>
        <v>18B</v>
      </c>
    </row>
    <row r="284" spans="1:12" s="1" customFormat="1" ht="53.25" customHeight="1" x14ac:dyDescent="0.25">
      <c r="A284" s="8" t="s">
        <v>3</v>
      </c>
      <c r="B284" s="9">
        <v>41</v>
      </c>
      <c r="C284" s="11" t="s">
        <v>6</v>
      </c>
      <c r="D284" s="7" t="s">
        <v>84</v>
      </c>
      <c r="E284" s="4"/>
      <c r="F284" s="8" t="s">
        <v>3</v>
      </c>
      <c r="G284" s="9">
        <v>191</v>
      </c>
      <c r="H284" s="11" t="s">
        <v>6</v>
      </c>
      <c r="I284" s="7" t="str">
        <f>D284</f>
        <v>DEO-B06</v>
      </c>
      <c r="K284" s="6" t="s">
        <v>8</v>
      </c>
      <c r="L284" s="6" t="s">
        <v>7</v>
      </c>
    </row>
    <row r="285" spans="1:12" s="1" customFormat="1" ht="30" customHeight="1" x14ac:dyDescent="0.25">
      <c r="A285" s="34" t="s">
        <v>86</v>
      </c>
      <c r="B285" s="35"/>
      <c r="C285" s="35"/>
      <c r="D285" s="36"/>
      <c r="E285" s="5"/>
      <c r="F285" s="34" t="s">
        <v>86</v>
      </c>
      <c r="G285" s="35"/>
      <c r="H285" s="35"/>
      <c r="I285" s="36"/>
      <c r="K285" s="1">
        <v>165</v>
      </c>
      <c r="L285" s="1">
        <v>20</v>
      </c>
    </row>
    <row r="286" spans="1:12" s="1" customFormat="1" ht="30" customHeight="1" x14ac:dyDescent="0.25">
      <c r="A286" s="43" t="s">
        <v>85</v>
      </c>
      <c r="B286" s="44"/>
      <c r="C286" s="41" t="s">
        <v>81</v>
      </c>
      <c r="D286" s="42"/>
      <c r="E286" s="4"/>
      <c r="F286" s="43" t="str">
        <f>A286</f>
        <v>KW621</v>
      </c>
      <c r="G286" s="44"/>
      <c r="H286" s="41" t="str">
        <f>C286</f>
        <v>Green</v>
      </c>
      <c r="I286" s="42"/>
    </row>
    <row r="287" spans="1:12" s="1" customFormat="1" ht="30" customHeight="1" x14ac:dyDescent="0.25">
      <c r="A287" s="12" t="s">
        <v>4</v>
      </c>
      <c r="B287" s="37">
        <v>27087</v>
      </c>
      <c r="C287" s="37"/>
      <c r="D287" s="38"/>
      <c r="E287" s="4"/>
      <c r="F287" s="12" t="s">
        <v>4</v>
      </c>
      <c r="G287" s="37">
        <f>B287</f>
        <v>27087</v>
      </c>
      <c r="H287" s="37"/>
      <c r="I287" s="38"/>
    </row>
    <row r="288" spans="1:12" ht="63.75" customHeight="1" x14ac:dyDescent="0.25">
      <c r="A288" s="33" t="s">
        <v>82</v>
      </c>
      <c r="B288" s="33"/>
      <c r="C288" s="33"/>
      <c r="D288" s="33"/>
      <c r="E288" s="2"/>
      <c r="F288" s="33" t="str">
        <f>A288</f>
        <v>Tall DEO - Barrel</v>
      </c>
      <c r="G288" s="33"/>
      <c r="H288" s="33"/>
      <c r="I288" s="33"/>
    </row>
    <row r="289" spans="1:12" s="1" customFormat="1" ht="30" customHeight="1" x14ac:dyDescent="0.25">
      <c r="A289" s="11" t="s">
        <v>0</v>
      </c>
      <c r="B289" s="10"/>
      <c r="C289" s="11" t="s">
        <v>1</v>
      </c>
      <c r="D289" s="10"/>
      <c r="E289" s="3"/>
      <c r="F289" s="11" t="s">
        <v>0</v>
      </c>
      <c r="G289" s="10"/>
      <c r="H289" s="11" t="s">
        <v>1</v>
      </c>
      <c r="I289" s="10"/>
    </row>
    <row r="290" spans="1:12" s="1" customFormat="1" ht="30" customHeight="1" x14ac:dyDescent="0.25">
      <c r="A290" s="11" t="s">
        <v>2</v>
      </c>
      <c r="B290" s="10"/>
      <c r="C290" s="11" t="s">
        <v>5</v>
      </c>
      <c r="D290" s="7" t="s">
        <v>83</v>
      </c>
      <c r="E290" s="4"/>
      <c r="F290" s="11" t="s">
        <v>2</v>
      </c>
      <c r="G290" s="10"/>
      <c r="H290" s="11" t="s">
        <v>5</v>
      </c>
      <c r="I290" s="7" t="str">
        <f>D290</f>
        <v>18B</v>
      </c>
    </row>
    <row r="291" spans="1:12" s="1" customFormat="1" ht="53.25" customHeight="1" x14ac:dyDescent="0.25">
      <c r="A291" s="8" t="s">
        <v>3</v>
      </c>
      <c r="B291" s="9">
        <v>42</v>
      </c>
      <c r="C291" s="11" t="s">
        <v>6</v>
      </c>
      <c r="D291" s="7" t="s">
        <v>84</v>
      </c>
      <c r="E291" s="4"/>
      <c r="F291" s="8" t="s">
        <v>3</v>
      </c>
      <c r="G291" s="9">
        <v>192</v>
      </c>
      <c r="H291" s="11" t="s">
        <v>6</v>
      </c>
      <c r="I291" s="7" t="str">
        <f>D291</f>
        <v>DEO-B06</v>
      </c>
      <c r="K291" s="6" t="s">
        <v>8</v>
      </c>
      <c r="L291" s="6" t="s">
        <v>7</v>
      </c>
    </row>
    <row r="292" spans="1:12" s="1" customFormat="1" ht="30" customHeight="1" x14ac:dyDescent="0.25">
      <c r="A292" s="34" t="s">
        <v>86</v>
      </c>
      <c r="B292" s="35"/>
      <c r="C292" s="35"/>
      <c r="D292" s="36"/>
      <c r="E292" s="5"/>
      <c r="F292" s="34" t="s">
        <v>86</v>
      </c>
      <c r="G292" s="35"/>
      <c r="H292" s="35"/>
      <c r="I292" s="36"/>
      <c r="K292" s="1">
        <v>165</v>
      </c>
      <c r="L292" s="1">
        <v>20</v>
      </c>
    </row>
    <row r="293" spans="1:12" s="1" customFormat="1" ht="30" customHeight="1" x14ac:dyDescent="0.25">
      <c r="A293" s="43" t="s">
        <v>85</v>
      </c>
      <c r="B293" s="44"/>
      <c r="C293" s="41" t="s">
        <v>81</v>
      </c>
      <c r="D293" s="42"/>
      <c r="E293" s="4"/>
      <c r="F293" s="43" t="str">
        <f>A293</f>
        <v>KW621</v>
      </c>
      <c r="G293" s="44"/>
      <c r="H293" s="41" t="str">
        <f>C293</f>
        <v>Green</v>
      </c>
      <c r="I293" s="42"/>
    </row>
    <row r="294" spans="1:12" s="1" customFormat="1" ht="30" customHeight="1" x14ac:dyDescent="0.25">
      <c r="A294" s="12" t="s">
        <v>4</v>
      </c>
      <c r="B294" s="37">
        <v>27087</v>
      </c>
      <c r="C294" s="37"/>
      <c r="D294" s="38"/>
      <c r="E294" s="4"/>
      <c r="F294" s="12" t="s">
        <v>4</v>
      </c>
      <c r="G294" s="37">
        <f>B294</f>
        <v>27087</v>
      </c>
      <c r="H294" s="37"/>
      <c r="I294" s="38"/>
    </row>
    <row r="295" spans="1:12" ht="63.75" customHeight="1" x14ac:dyDescent="0.25">
      <c r="A295" s="33" t="s">
        <v>82</v>
      </c>
      <c r="B295" s="33"/>
      <c r="C295" s="33"/>
      <c r="D295" s="33"/>
      <c r="E295" s="2"/>
      <c r="F295" s="33" t="str">
        <f>A295</f>
        <v>Tall DEO - Barrel</v>
      </c>
      <c r="G295" s="33"/>
      <c r="H295" s="33"/>
      <c r="I295" s="33"/>
    </row>
    <row r="296" spans="1:12" s="1" customFormat="1" ht="30" customHeight="1" x14ac:dyDescent="0.25">
      <c r="A296" s="11" t="s">
        <v>0</v>
      </c>
      <c r="B296" s="10"/>
      <c r="C296" s="11" t="s">
        <v>1</v>
      </c>
      <c r="D296" s="10"/>
      <c r="E296" s="3"/>
      <c r="F296" s="11" t="s">
        <v>0</v>
      </c>
      <c r="G296" s="10"/>
      <c r="H296" s="11" t="s">
        <v>1</v>
      </c>
      <c r="I296" s="10"/>
    </row>
    <row r="297" spans="1:12" s="1" customFormat="1" ht="30" customHeight="1" x14ac:dyDescent="0.25">
      <c r="A297" s="11" t="s">
        <v>2</v>
      </c>
      <c r="B297" s="10"/>
      <c r="C297" s="11" t="s">
        <v>5</v>
      </c>
      <c r="D297" s="7" t="s">
        <v>83</v>
      </c>
      <c r="E297" s="4"/>
      <c r="F297" s="11" t="s">
        <v>2</v>
      </c>
      <c r="G297" s="10"/>
      <c r="H297" s="11" t="s">
        <v>5</v>
      </c>
      <c r="I297" s="7" t="str">
        <f>D297</f>
        <v>18B</v>
      </c>
    </row>
    <row r="298" spans="1:12" s="1" customFormat="1" ht="53.25" customHeight="1" x14ac:dyDescent="0.25">
      <c r="A298" s="8" t="s">
        <v>3</v>
      </c>
      <c r="B298" s="9">
        <v>43</v>
      </c>
      <c r="C298" s="11" t="s">
        <v>6</v>
      </c>
      <c r="D298" s="7" t="s">
        <v>84</v>
      </c>
      <c r="E298" s="4"/>
      <c r="F298" s="8" t="s">
        <v>3</v>
      </c>
      <c r="G298" s="9">
        <v>193</v>
      </c>
      <c r="H298" s="11" t="s">
        <v>6</v>
      </c>
      <c r="I298" s="7" t="str">
        <f>D298</f>
        <v>DEO-B06</v>
      </c>
      <c r="K298" s="6" t="s">
        <v>8</v>
      </c>
      <c r="L298" s="6" t="s">
        <v>7</v>
      </c>
    </row>
    <row r="299" spans="1:12" s="1" customFormat="1" ht="30" customHeight="1" x14ac:dyDescent="0.25">
      <c r="A299" s="34" t="s">
        <v>86</v>
      </c>
      <c r="B299" s="35"/>
      <c r="C299" s="35"/>
      <c r="D299" s="36"/>
      <c r="E299" s="5"/>
      <c r="F299" s="34" t="s">
        <v>86</v>
      </c>
      <c r="G299" s="35"/>
      <c r="H299" s="35"/>
      <c r="I299" s="36"/>
      <c r="K299" s="1">
        <v>165</v>
      </c>
      <c r="L299" s="1">
        <v>20</v>
      </c>
    </row>
    <row r="300" spans="1:12" s="1" customFormat="1" ht="30" customHeight="1" x14ac:dyDescent="0.25">
      <c r="A300" s="43" t="s">
        <v>85</v>
      </c>
      <c r="B300" s="44"/>
      <c r="C300" s="41" t="s">
        <v>81</v>
      </c>
      <c r="D300" s="42"/>
      <c r="E300" s="4"/>
      <c r="F300" s="43" t="str">
        <f>A300</f>
        <v>KW621</v>
      </c>
      <c r="G300" s="44"/>
      <c r="H300" s="41" t="str">
        <f>C300</f>
        <v>Green</v>
      </c>
      <c r="I300" s="42"/>
    </row>
    <row r="301" spans="1:12" s="1" customFormat="1" ht="30" customHeight="1" x14ac:dyDescent="0.25">
      <c r="A301" s="12" t="s">
        <v>4</v>
      </c>
      <c r="B301" s="37">
        <v>27087</v>
      </c>
      <c r="C301" s="37"/>
      <c r="D301" s="38"/>
      <c r="E301" s="4"/>
      <c r="F301" s="12" t="s">
        <v>4</v>
      </c>
      <c r="G301" s="37">
        <f>B301</f>
        <v>27087</v>
      </c>
      <c r="H301" s="37"/>
      <c r="I301" s="38"/>
    </row>
    <row r="302" spans="1:12" ht="63.75" customHeight="1" x14ac:dyDescent="0.25">
      <c r="A302" s="33" t="s">
        <v>82</v>
      </c>
      <c r="B302" s="33"/>
      <c r="C302" s="33"/>
      <c r="D302" s="33"/>
      <c r="E302" s="2"/>
      <c r="F302" s="33" t="str">
        <f>A302</f>
        <v>Tall DEO - Barrel</v>
      </c>
      <c r="G302" s="33"/>
      <c r="H302" s="33"/>
      <c r="I302" s="33"/>
    </row>
    <row r="303" spans="1:12" s="1" customFormat="1" ht="30" customHeight="1" x14ac:dyDescent="0.25">
      <c r="A303" s="11" t="s">
        <v>0</v>
      </c>
      <c r="B303" s="10"/>
      <c r="C303" s="11" t="s">
        <v>1</v>
      </c>
      <c r="D303" s="10"/>
      <c r="E303" s="3"/>
      <c r="F303" s="11" t="s">
        <v>0</v>
      </c>
      <c r="G303" s="10"/>
      <c r="H303" s="11" t="s">
        <v>1</v>
      </c>
      <c r="I303" s="10"/>
    </row>
    <row r="304" spans="1:12" s="1" customFormat="1" ht="30" customHeight="1" x14ac:dyDescent="0.25">
      <c r="A304" s="11" t="s">
        <v>2</v>
      </c>
      <c r="B304" s="10"/>
      <c r="C304" s="11" t="s">
        <v>5</v>
      </c>
      <c r="D304" s="7" t="s">
        <v>83</v>
      </c>
      <c r="E304" s="4"/>
      <c r="F304" s="11" t="s">
        <v>2</v>
      </c>
      <c r="G304" s="10"/>
      <c r="H304" s="11" t="s">
        <v>5</v>
      </c>
      <c r="I304" s="7" t="str">
        <f>D304</f>
        <v>18B</v>
      </c>
    </row>
    <row r="305" spans="1:12" s="1" customFormat="1" ht="53.25" customHeight="1" x14ac:dyDescent="0.25">
      <c r="A305" s="8" t="s">
        <v>3</v>
      </c>
      <c r="B305" s="9">
        <v>44</v>
      </c>
      <c r="C305" s="11" t="s">
        <v>6</v>
      </c>
      <c r="D305" s="7" t="s">
        <v>84</v>
      </c>
      <c r="E305" s="4"/>
      <c r="F305" s="8" t="s">
        <v>3</v>
      </c>
      <c r="G305" s="9">
        <v>194</v>
      </c>
      <c r="H305" s="11" t="s">
        <v>6</v>
      </c>
      <c r="I305" s="7" t="str">
        <f>D305</f>
        <v>DEO-B06</v>
      </c>
      <c r="K305" s="6" t="s">
        <v>8</v>
      </c>
      <c r="L305" s="6" t="s">
        <v>7</v>
      </c>
    </row>
    <row r="306" spans="1:12" s="1" customFormat="1" ht="30" customHeight="1" x14ac:dyDescent="0.25">
      <c r="A306" s="34" t="s">
        <v>86</v>
      </c>
      <c r="B306" s="35"/>
      <c r="C306" s="35"/>
      <c r="D306" s="36"/>
      <c r="E306" s="5"/>
      <c r="F306" s="34" t="s">
        <v>86</v>
      </c>
      <c r="G306" s="35"/>
      <c r="H306" s="35"/>
      <c r="I306" s="36"/>
      <c r="K306" s="1">
        <v>165</v>
      </c>
      <c r="L306" s="1">
        <v>20</v>
      </c>
    </row>
    <row r="307" spans="1:12" s="1" customFormat="1" ht="30" customHeight="1" x14ac:dyDescent="0.25">
      <c r="A307" s="43" t="s">
        <v>85</v>
      </c>
      <c r="B307" s="44"/>
      <c r="C307" s="41" t="s">
        <v>81</v>
      </c>
      <c r="D307" s="42"/>
      <c r="E307" s="4"/>
      <c r="F307" s="43" t="str">
        <f>A307</f>
        <v>KW621</v>
      </c>
      <c r="G307" s="44"/>
      <c r="H307" s="41" t="str">
        <f>C307</f>
        <v>Green</v>
      </c>
      <c r="I307" s="42"/>
    </row>
    <row r="308" spans="1:12" s="1" customFormat="1" ht="30" customHeight="1" x14ac:dyDescent="0.25">
      <c r="A308" s="12" t="s">
        <v>4</v>
      </c>
      <c r="B308" s="37">
        <v>27087</v>
      </c>
      <c r="C308" s="37"/>
      <c r="D308" s="38"/>
      <c r="E308" s="4"/>
      <c r="F308" s="12" t="s">
        <v>4</v>
      </c>
      <c r="G308" s="37">
        <f>B308</f>
        <v>27087</v>
      </c>
      <c r="H308" s="37"/>
      <c r="I308" s="38"/>
    </row>
    <row r="309" spans="1:12" ht="63.75" customHeight="1" x14ac:dyDescent="0.25">
      <c r="A309" s="33" t="s">
        <v>82</v>
      </c>
      <c r="B309" s="33"/>
      <c r="C309" s="33"/>
      <c r="D309" s="33"/>
      <c r="E309" s="2"/>
      <c r="F309" s="33" t="str">
        <f>A309</f>
        <v>Tall DEO - Barrel</v>
      </c>
      <c r="G309" s="33"/>
      <c r="H309" s="33"/>
      <c r="I309" s="33"/>
    </row>
    <row r="310" spans="1:12" s="1" customFormat="1" ht="30" customHeight="1" x14ac:dyDescent="0.25">
      <c r="A310" s="11" t="s">
        <v>0</v>
      </c>
      <c r="B310" s="10"/>
      <c r="C310" s="11" t="s">
        <v>1</v>
      </c>
      <c r="D310" s="10"/>
      <c r="E310" s="3"/>
      <c r="F310" s="11" t="s">
        <v>0</v>
      </c>
      <c r="G310" s="10"/>
      <c r="H310" s="11" t="s">
        <v>1</v>
      </c>
      <c r="I310" s="10"/>
    </row>
    <row r="311" spans="1:12" s="1" customFormat="1" ht="30" customHeight="1" x14ac:dyDescent="0.25">
      <c r="A311" s="11" t="s">
        <v>2</v>
      </c>
      <c r="B311" s="10"/>
      <c r="C311" s="11" t="s">
        <v>5</v>
      </c>
      <c r="D311" s="7" t="s">
        <v>83</v>
      </c>
      <c r="E311" s="4"/>
      <c r="F311" s="11" t="s">
        <v>2</v>
      </c>
      <c r="G311" s="10"/>
      <c r="H311" s="11" t="s">
        <v>5</v>
      </c>
      <c r="I311" s="7" t="str">
        <f>D311</f>
        <v>18B</v>
      </c>
    </row>
    <row r="312" spans="1:12" s="1" customFormat="1" ht="53.25" customHeight="1" x14ac:dyDescent="0.25">
      <c r="A312" s="8" t="s">
        <v>3</v>
      </c>
      <c r="B312" s="9">
        <v>45</v>
      </c>
      <c r="C312" s="11" t="s">
        <v>6</v>
      </c>
      <c r="D312" s="7" t="s">
        <v>84</v>
      </c>
      <c r="E312" s="4"/>
      <c r="F312" s="8" t="s">
        <v>3</v>
      </c>
      <c r="G312" s="9">
        <v>195</v>
      </c>
      <c r="H312" s="11" t="s">
        <v>6</v>
      </c>
      <c r="I312" s="7" t="str">
        <f>D312</f>
        <v>DEO-B06</v>
      </c>
      <c r="K312" s="6" t="s">
        <v>8</v>
      </c>
      <c r="L312" s="6" t="s">
        <v>7</v>
      </c>
    </row>
    <row r="313" spans="1:12" s="1" customFormat="1" ht="30" customHeight="1" x14ac:dyDescent="0.25">
      <c r="A313" s="34" t="s">
        <v>86</v>
      </c>
      <c r="B313" s="35"/>
      <c r="C313" s="35"/>
      <c r="D313" s="36"/>
      <c r="E313" s="5"/>
      <c r="F313" s="34" t="s">
        <v>86</v>
      </c>
      <c r="G313" s="35"/>
      <c r="H313" s="35"/>
      <c r="I313" s="36"/>
      <c r="K313" s="1">
        <v>165</v>
      </c>
      <c r="L313" s="1">
        <v>20</v>
      </c>
    </row>
    <row r="314" spans="1:12" s="1" customFormat="1" ht="30" customHeight="1" x14ac:dyDescent="0.25">
      <c r="A314" s="43" t="s">
        <v>85</v>
      </c>
      <c r="B314" s="44"/>
      <c r="C314" s="41" t="s">
        <v>81</v>
      </c>
      <c r="D314" s="42"/>
      <c r="E314" s="4"/>
      <c r="F314" s="43" t="str">
        <f>A314</f>
        <v>KW621</v>
      </c>
      <c r="G314" s="44"/>
      <c r="H314" s="41" t="str">
        <f>C314</f>
        <v>Green</v>
      </c>
      <c r="I314" s="42"/>
    </row>
    <row r="315" spans="1:12" s="1" customFormat="1" ht="30" customHeight="1" x14ac:dyDescent="0.25">
      <c r="A315" s="12" t="s">
        <v>4</v>
      </c>
      <c r="B315" s="37">
        <v>27087</v>
      </c>
      <c r="C315" s="37"/>
      <c r="D315" s="38"/>
      <c r="E315" s="4"/>
      <c r="F315" s="12" t="s">
        <v>4</v>
      </c>
      <c r="G315" s="37">
        <f>B315</f>
        <v>27087</v>
      </c>
      <c r="H315" s="37"/>
      <c r="I315" s="38"/>
    </row>
    <row r="316" spans="1:12" ht="63.75" customHeight="1" x14ac:dyDescent="0.25">
      <c r="A316" s="33" t="s">
        <v>82</v>
      </c>
      <c r="B316" s="33"/>
      <c r="C316" s="33"/>
      <c r="D316" s="33"/>
      <c r="E316" s="2"/>
      <c r="F316" s="33" t="str">
        <f>A316</f>
        <v>Tall DEO - Barrel</v>
      </c>
      <c r="G316" s="33"/>
      <c r="H316" s="33"/>
      <c r="I316" s="33"/>
    </row>
    <row r="317" spans="1:12" s="1" customFormat="1" ht="30" customHeight="1" x14ac:dyDescent="0.25">
      <c r="A317" s="11" t="s">
        <v>0</v>
      </c>
      <c r="B317" s="10"/>
      <c r="C317" s="11" t="s">
        <v>1</v>
      </c>
      <c r="D317" s="10"/>
      <c r="E317" s="3"/>
      <c r="F317" s="11" t="s">
        <v>0</v>
      </c>
      <c r="G317" s="10"/>
      <c r="H317" s="11" t="s">
        <v>1</v>
      </c>
      <c r="I317" s="10"/>
    </row>
    <row r="318" spans="1:12" s="1" customFormat="1" ht="30" customHeight="1" x14ac:dyDescent="0.25">
      <c r="A318" s="11" t="s">
        <v>2</v>
      </c>
      <c r="B318" s="10"/>
      <c r="C318" s="11" t="s">
        <v>5</v>
      </c>
      <c r="D318" s="7" t="s">
        <v>83</v>
      </c>
      <c r="E318" s="4"/>
      <c r="F318" s="11" t="s">
        <v>2</v>
      </c>
      <c r="G318" s="10"/>
      <c r="H318" s="11" t="s">
        <v>5</v>
      </c>
      <c r="I318" s="7" t="str">
        <f>D318</f>
        <v>18B</v>
      </c>
    </row>
    <row r="319" spans="1:12" s="1" customFormat="1" ht="53.25" customHeight="1" x14ac:dyDescent="0.25">
      <c r="A319" s="8" t="s">
        <v>3</v>
      </c>
      <c r="B319" s="9">
        <v>46</v>
      </c>
      <c r="C319" s="11" t="s">
        <v>6</v>
      </c>
      <c r="D319" s="7" t="s">
        <v>84</v>
      </c>
      <c r="E319" s="4"/>
      <c r="F319" s="8" t="s">
        <v>3</v>
      </c>
      <c r="G319" s="9">
        <v>196</v>
      </c>
      <c r="H319" s="11" t="s">
        <v>6</v>
      </c>
      <c r="I319" s="7" t="str">
        <f>D319</f>
        <v>DEO-B06</v>
      </c>
      <c r="K319" s="6" t="s">
        <v>8</v>
      </c>
      <c r="L319" s="6" t="s">
        <v>7</v>
      </c>
    </row>
    <row r="320" spans="1:12" s="1" customFormat="1" ht="30" customHeight="1" x14ac:dyDescent="0.25">
      <c r="A320" s="34" t="s">
        <v>86</v>
      </c>
      <c r="B320" s="35"/>
      <c r="C320" s="35"/>
      <c r="D320" s="36"/>
      <c r="E320" s="5"/>
      <c r="F320" s="34" t="s">
        <v>86</v>
      </c>
      <c r="G320" s="35"/>
      <c r="H320" s="35"/>
      <c r="I320" s="36"/>
      <c r="K320" s="1">
        <v>165</v>
      </c>
      <c r="L320" s="1">
        <v>20</v>
      </c>
    </row>
    <row r="321" spans="1:12" s="1" customFormat="1" ht="30" customHeight="1" x14ac:dyDescent="0.25">
      <c r="A321" s="43" t="s">
        <v>85</v>
      </c>
      <c r="B321" s="44"/>
      <c r="C321" s="41" t="s">
        <v>81</v>
      </c>
      <c r="D321" s="42"/>
      <c r="E321" s="4"/>
      <c r="F321" s="43" t="str">
        <f>A321</f>
        <v>KW621</v>
      </c>
      <c r="G321" s="44"/>
      <c r="H321" s="41" t="str">
        <f>C321</f>
        <v>Green</v>
      </c>
      <c r="I321" s="42"/>
    </row>
    <row r="322" spans="1:12" s="1" customFormat="1" ht="30" customHeight="1" x14ac:dyDescent="0.25">
      <c r="A322" s="12" t="s">
        <v>4</v>
      </c>
      <c r="B322" s="37">
        <v>27087</v>
      </c>
      <c r="C322" s="37"/>
      <c r="D322" s="38"/>
      <c r="E322" s="4"/>
      <c r="F322" s="12" t="s">
        <v>4</v>
      </c>
      <c r="G322" s="37">
        <f>B322</f>
        <v>27087</v>
      </c>
      <c r="H322" s="37"/>
      <c r="I322" s="38"/>
    </row>
    <row r="323" spans="1:12" ht="63.75" customHeight="1" x14ac:dyDescent="0.25">
      <c r="A323" s="33" t="s">
        <v>82</v>
      </c>
      <c r="B323" s="33"/>
      <c r="C323" s="33"/>
      <c r="D323" s="33"/>
      <c r="E323" s="2"/>
      <c r="F323" s="33" t="str">
        <f>A323</f>
        <v>Tall DEO - Barrel</v>
      </c>
      <c r="G323" s="33"/>
      <c r="H323" s="33"/>
      <c r="I323" s="33"/>
    </row>
    <row r="324" spans="1:12" s="1" customFormat="1" ht="30" customHeight="1" x14ac:dyDescent="0.25">
      <c r="A324" s="11" t="s">
        <v>0</v>
      </c>
      <c r="B324" s="10"/>
      <c r="C324" s="11" t="s">
        <v>1</v>
      </c>
      <c r="D324" s="10"/>
      <c r="E324" s="3"/>
      <c r="F324" s="11" t="s">
        <v>0</v>
      </c>
      <c r="G324" s="10"/>
      <c r="H324" s="11" t="s">
        <v>1</v>
      </c>
      <c r="I324" s="10"/>
    </row>
    <row r="325" spans="1:12" s="1" customFormat="1" ht="30" customHeight="1" x14ac:dyDescent="0.25">
      <c r="A325" s="11" t="s">
        <v>2</v>
      </c>
      <c r="B325" s="10"/>
      <c r="C325" s="11" t="s">
        <v>5</v>
      </c>
      <c r="D325" s="7" t="s">
        <v>83</v>
      </c>
      <c r="E325" s="4"/>
      <c r="F325" s="11" t="s">
        <v>2</v>
      </c>
      <c r="G325" s="10"/>
      <c r="H325" s="11" t="s">
        <v>5</v>
      </c>
      <c r="I325" s="7" t="str">
        <f>D325</f>
        <v>18B</v>
      </c>
    </row>
    <row r="326" spans="1:12" s="1" customFormat="1" ht="53.25" customHeight="1" x14ac:dyDescent="0.25">
      <c r="A326" s="8" t="s">
        <v>3</v>
      </c>
      <c r="B326" s="9">
        <v>47</v>
      </c>
      <c r="C326" s="11" t="s">
        <v>6</v>
      </c>
      <c r="D326" s="7" t="s">
        <v>84</v>
      </c>
      <c r="E326" s="4"/>
      <c r="F326" s="8" t="s">
        <v>3</v>
      </c>
      <c r="G326" s="9">
        <v>197</v>
      </c>
      <c r="H326" s="11" t="s">
        <v>6</v>
      </c>
      <c r="I326" s="7" t="str">
        <f>D326</f>
        <v>DEO-B06</v>
      </c>
      <c r="K326" s="6" t="s">
        <v>8</v>
      </c>
      <c r="L326" s="6" t="s">
        <v>7</v>
      </c>
    </row>
    <row r="327" spans="1:12" s="1" customFormat="1" ht="30" customHeight="1" x14ac:dyDescent="0.25">
      <c r="A327" s="34" t="s">
        <v>86</v>
      </c>
      <c r="B327" s="35"/>
      <c r="C327" s="35"/>
      <c r="D327" s="36"/>
      <c r="E327" s="5"/>
      <c r="F327" s="34" t="s">
        <v>86</v>
      </c>
      <c r="G327" s="35"/>
      <c r="H327" s="35"/>
      <c r="I327" s="36"/>
      <c r="K327" s="1">
        <v>165</v>
      </c>
      <c r="L327" s="1">
        <v>20</v>
      </c>
    </row>
    <row r="328" spans="1:12" s="1" customFormat="1" ht="30" customHeight="1" x14ac:dyDescent="0.25">
      <c r="A328" s="43" t="s">
        <v>85</v>
      </c>
      <c r="B328" s="44"/>
      <c r="C328" s="41" t="s">
        <v>81</v>
      </c>
      <c r="D328" s="42"/>
      <c r="E328" s="4"/>
      <c r="F328" s="43" t="str">
        <f>A328</f>
        <v>KW621</v>
      </c>
      <c r="G328" s="44"/>
      <c r="H328" s="41" t="str">
        <f>C328</f>
        <v>Green</v>
      </c>
      <c r="I328" s="42"/>
    </row>
    <row r="329" spans="1:12" s="1" customFormat="1" ht="30" customHeight="1" x14ac:dyDescent="0.25">
      <c r="A329" s="12" t="s">
        <v>4</v>
      </c>
      <c r="B329" s="37">
        <v>27087</v>
      </c>
      <c r="C329" s="37"/>
      <c r="D329" s="38"/>
      <c r="E329" s="4"/>
      <c r="F329" s="12" t="s">
        <v>4</v>
      </c>
      <c r="G329" s="37">
        <f>B329</f>
        <v>27087</v>
      </c>
      <c r="H329" s="37"/>
      <c r="I329" s="38"/>
    </row>
    <row r="330" spans="1:12" ht="63.75" customHeight="1" x14ac:dyDescent="0.25">
      <c r="A330" s="33" t="s">
        <v>82</v>
      </c>
      <c r="B330" s="33"/>
      <c r="C330" s="33"/>
      <c r="D330" s="33"/>
      <c r="E330" s="2"/>
      <c r="F330" s="33" t="str">
        <f>A330</f>
        <v>Tall DEO - Barrel</v>
      </c>
      <c r="G330" s="33"/>
      <c r="H330" s="33"/>
      <c r="I330" s="33"/>
    </row>
    <row r="331" spans="1:12" s="1" customFormat="1" ht="30" customHeight="1" x14ac:dyDescent="0.25">
      <c r="A331" s="11" t="s">
        <v>0</v>
      </c>
      <c r="B331" s="10"/>
      <c r="C331" s="11" t="s">
        <v>1</v>
      </c>
      <c r="D331" s="10"/>
      <c r="E331" s="3"/>
      <c r="F331" s="11" t="s">
        <v>0</v>
      </c>
      <c r="G331" s="10"/>
      <c r="H331" s="11" t="s">
        <v>1</v>
      </c>
      <c r="I331" s="10"/>
    </row>
    <row r="332" spans="1:12" s="1" customFormat="1" ht="30" customHeight="1" x14ac:dyDescent="0.25">
      <c r="A332" s="11" t="s">
        <v>2</v>
      </c>
      <c r="B332" s="10"/>
      <c r="C332" s="11" t="s">
        <v>5</v>
      </c>
      <c r="D332" s="7" t="s">
        <v>83</v>
      </c>
      <c r="E332" s="4"/>
      <c r="F332" s="11" t="s">
        <v>2</v>
      </c>
      <c r="G332" s="10"/>
      <c r="H332" s="11" t="s">
        <v>5</v>
      </c>
      <c r="I332" s="7" t="str">
        <f>D332</f>
        <v>18B</v>
      </c>
    </row>
    <row r="333" spans="1:12" s="1" customFormat="1" ht="53.25" customHeight="1" x14ac:dyDescent="0.25">
      <c r="A333" s="8" t="s">
        <v>3</v>
      </c>
      <c r="B333" s="9">
        <v>48</v>
      </c>
      <c r="C333" s="11" t="s">
        <v>6</v>
      </c>
      <c r="D333" s="7" t="s">
        <v>84</v>
      </c>
      <c r="E333" s="4"/>
      <c r="F333" s="8" t="s">
        <v>3</v>
      </c>
      <c r="G333" s="9">
        <v>198</v>
      </c>
      <c r="H333" s="11" t="s">
        <v>6</v>
      </c>
      <c r="I333" s="7" t="str">
        <f>D333</f>
        <v>DEO-B06</v>
      </c>
      <c r="K333" s="6" t="s">
        <v>8</v>
      </c>
      <c r="L333" s="6" t="s">
        <v>7</v>
      </c>
    </row>
    <row r="334" spans="1:12" s="1" customFormat="1" ht="30" customHeight="1" x14ac:dyDescent="0.25">
      <c r="A334" s="34" t="s">
        <v>86</v>
      </c>
      <c r="B334" s="35"/>
      <c r="C334" s="35"/>
      <c r="D334" s="36"/>
      <c r="E334" s="5"/>
      <c r="F334" s="34" t="s">
        <v>86</v>
      </c>
      <c r="G334" s="35"/>
      <c r="H334" s="35"/>
      <c r="I334" s="36"/>
      <c r="K334" s="1">
        <v>165</v>
      </c>
      <c r="L334" s="1">
        <v>20</v>
      </c>
    </row>
    <row r="335" spans="1:12" s="1" customFormat="1" ht="30" customHeight="1" x14ac:dyDescent="0.25">
      <c r="A335" s="43" t="s">
        <v>85</v>
      </c>
      <c r="B335" s="44"/>
      <c r="C335" s="41" t="s">
        <v>81</v>
      </c>
      <c r="D335" s="42"/>
      <c r="E335" s="4"/>
      <c r="F335" s="43" t="str">
        <f>A335</f>
        <v>KW621</v>
      </c>
      <c r="G335" s="44"/>
      <c r="H335" s="41" t="str">
        <f>C335</f>
        <v>Green</v>
      </c>
      <c r="I335" s="42"/>
    </row>
    <row r="336" spans="1:12" s="1" customFormat="1" ht="30" customHeight="1" x14ac:dyDescent="0.25">
      <c r="A336" s="12" t="s">
        <v>4</v>
      </c>
      <c r="B336" s="37">
        <v>27087</v>
      </c>
      <c r="C336" s="37"/>
      <c r="D336" s="38"/>
      <c r="E336" s="4"/>
      <c r="F336" s="12" t="s">
        <v>4</v>
      </c>
      <c r="G336" s="37">
        <f>B336</f>
        <v>27087</v>
      </c>
      <c r="H336" s="37"/>
      <c r="I336" s="38"/>
    </row>
    <row r="337" spans="1:12" ht="63.75" customHeight="1" x14ac:dyDescent="0.25">
      <c r="A337" s="33" t="s">
        <v>82</v>
      </c>
      <c r="B337" s="33"/>
      <c r="C337" s="33"/>
      <c r="D337" s="33"/>
      <c r="E337" s="2"/>
      <c r="F337" s="33" t="str">
        <f>A337</f>
        <v>Tall DEO - Barrel</v>
      </c>
      <c r="G337" s="33"/>
      <c r="H337" s="33"/>
      <c r="I337" s="33"/>
    </row>
    <row r="338" spans="1:12" s="1" customFormat="1" ht="30" customHeight="1" x14ac:dyDescent="0.25">
      <c r="A338" s="11" t="s">
        <v>0</v>
      </c>
      <c r="B338" s="10"/>
      <c r="C338" s="11" t="s">
        <v>1</v>
      </c>
      <c r="D338" s="10"/>
      <c r="E338" s="3"/>
      <c r="F338" s="11" t="s">
        <v>0</v>
      </c>
      <c r="G338" s="10"/>
      <c r="H338" s="11" t="s">
        <v>1</v>
      </c>
      <c r="I338" s="10"/>
    </row>
    <row r="339" spans="1:12" s="1" customFormat="1" ht="30" customHeight="1" x14ac:dyDescent="0.25">
      <c r="A339" s="11" t="s">
        <v>2</v>
      </c>
      <c r="B339" s="10"/>
      <c r="C339" s="11" t="s">
        <v>5</v>
      </c>
      <c r="D339" s="7" t="s">
        <v>83</v>
      </c>
      <c r="E339" s="4"/>
      <c r="F339" s="11" t="s">
        <v>2</v>
      </c>
      <c r="G339" s="10"/>
      <c r="H339" s="11" t="s">
        <v>5</v>
      </c>
      <c r="I339" s="7" t="str">
        <f>D339</f>
        <v>18B</v>
      </c>
    </row>
    <row r="340" spans="1:12" s="1" customFormat="1" ht="53.25" customHeight="1" x14ac:dyDescent="0.25">
      <c r="A340" s="8" t="s">
        <v>3</v>
      </c>
      <c r="B340" s="9">
        <v>49</v>
      </c>
      <c r="C340" s="11" t="s">
        <v>6</v>
      </c>
      <c r="D340" s="7" t="s">
        <v>84</v>
      </c>
      <c r="E340" s="4"/>
      <c r="F340" s="8" t="s">
        <v>3</v>
      </c>
      <c r="G340" s="9">
        <v>199</v>
      </c>
      <c r="H340" s="11" t="s">
        <v>6</v>
      </c>
      <c r="I340" s="7" t="str">
        <f>D340</f>
        <v>DEO-B06</v>
      </c>
      <c r="K340" s="6" t="s">
        <v>8</v>
      </c>
      <c r="L340" s="6" t="s">
        <v>7</v>
      </c>
    </row>
    <row r="341" spans="1:12" s="1" customFormat="1" ht="30" customHeight="1" x14ac:dyDescent="0.25">
      <c r="A341" s="34" t="s">
        <v>86</v>
      </c>
      <c r="B341" s="35"/>
      <c r="C341" s="35"/>
      <c r="D341" s="36"/>
      <c r="E341" s="5"/>
      <c r="F341" s="34" t="s">
        <v>86</v>
      </c>
      <c r="G341" s="35"/>
      <c r="H341" s="35"/>
      <c r="I341" s="36"/>
      <c r="K341" s="1">
        <v>165</v>
      </c>
      <c r="L341" s="1">
        <v>20</v>
      </c>
    </row>
    <row r="342" spans="1:12" s="1" customFormat="1" ht="30" customHeight="1" x14ac:dyDescent="0.25">
      <c r="A342" s="43" t="s">
        <v>85</v>
      </c>
      <c r="B342" s="44"/>
      <c r="C342" s="41" t="s">
        <v>81</v>
      </c>
      <c r="D342" s="42"/>
      <c r="E342" s="4"/>
      <c r="F342" s="43" t="str">
        <f>A342</f>
        <v>KW621</v>
      </c>
      <c r="G342" s="44"/>
      <c r="H342" s="41" t="str">
        <f>C342</f>
        <v>Green</v>
      </c>
      <c r="I342" s="42"/>
    </row>
    <row r="343" spans="1:12" s="1" customFormat="1" ht="30" customHeight="1" x14ac:dyDescent="0.25">
      <c r="A343" s="12" t="s">
        <v>4</v>
      </c>
      <c r="B343" s="37">
        <v>27087</v>
      </c>
      <c r="C343" s="37"/>
      <c r="D343" s="38"/>
      <c r="E343" s="4"/>
      <c r="F343" s="12" t="s">
        <v>4</v>
      </c>
      <c r="G343" s="37">
        <f>B343</f>
        <v>27087</v>
      </c>
      <c r="H343" s="37"/>
      <c r="I343" s="38"/>
    </row>
    <row r="344" spans="1:12" ht="63.75" customHeight="1" x14ac:dyDescent="0.25">
      <c r="A344" s="33" t="s">
        <v>82</v>
      </c>
      <c r="B344" s="33"/>
      <c r="C344" s="33"/>
      <c r="D344" s="33"/>
      <c r="E344" s="2"/>
      <c r="F344" s="33" t="str">
        <f>A344</f>
        <v>Tall DEO - Barrel</v>
      </c>
      <c r="G344" s="33"/>
      <c r="H344" s="33"/>
      <c r="I344" s="33"/>
    </row>
    <row r="345" spans="1:12" s="1" customFormat="1" ht="30" customHeight="1" x14ac:dyDescent="0.25">
      <c r="A345" s="11" t="s">
        <v>0</v>
      </c>
      <c r="B345" s="10"/>
      <c r="C345" s="11" t="s">
        <v>1</v>
      </c>
      <c r="D345" s="10"/>
      <c r="E345" s="3"/>
      <c r="F345" s="11" t="s">
        <v>0</v>
      </c>
      <c r="G345" s="10"/>
      <c r="H345" s="11" t="s">
        <v>1</v>
      </c>
      <c r="I345" s="10"/>
    </row>
    <row r="346" spans="1:12" s="1" customFormat="1" ht="30" customHeight="1" x14ac:dyDescent="0.25">
      <c r="A346" s="11" t="s">
        <v>2</v>
      </c>
      <c r="B346" s="10"/>
      <c r="C346" s="11" t="s">
        <v>5</v>
      </c>
      <c r="D346" s="7" t="s">
        <v>83</v>
      </c>
      <c r="E346" s="4"/>
      <c r="F346" s="11" t="s">
        <v>2</v>
      </c>
      <c r="G346" s="10"/>
      <c r="H346" s="11" t="s">
        <v>5</v>
      </c>
      <c r="I346" s="7" t="str">
        <f>D346</f>
        <v>18B</v>
      </c>
    </row>
    <row r="347" spans="1:12" s="1" customFormat="1" ht="53.25" customHeight="1" x14ac:dyDescent="0.25">
      <c r="A347" s="8" t="s">
        <v>3</v>
      </c>
      <c r="B347" s="9">
        <v>50</v>
      </c>
      <c r="C347" s="11" t="s">
        <v>6</v>
      </c>
      <c r="D347" s="7" t="s">
        <v>84</v>
      </c>
      <c r="E347" s="4"/>
      <c r="F347" s="8" t="s">
        <v>3</v>
      </c>
      <c r="G347" s="9">
        <v>200</v>
      </c>
      <c r="H347" s="11" t="s">
        <v>6</v>
      </c>
      <c r="I347" s="7" t="str">
        <f>D347</f>
        <v>DEO-B06</v>
      </c>
      <c r="K347" s="6" t="s">
        <v>8</v>
      </c>
      <c r="L347" s="6" t="s">
        <v>7</v>
      </c>
    </row>
    <row r="348" spans="1:12" s="1" customFormat="1" ht="30" customHeight="1" x14ac:dyDescent="0.25">
      <c r="A348" s="34" t="s">
        <v>86</v>
      </c>
      <c r="B348" s="35"/>
      <c r="C348" s="35"/>
      <c r="D348" s="36"/>
      <c r="E348" s="5"/>
      <c r="F348" s="34" t="s">
        <v>86</v>
      </c>
      <c r="G348" s="35"/>
      <c r="H348" s="35"/>
      <c r="I348" s="36"/>
      <c r="K348" s="1">
        <v>165</v>
      </c>
      <c r="L348" s="1">
        <v>20</v>
      </c>
    </row>
    <row r="349" spans="1:12" s="1" customFormat="1" ht="30" customHeight="1" x14ac:dyDescent="0.25">
      <c r="A349" s="43" t="s">
        <v>85</v>
      </c>
      <c r="B349" s="44"/>
      <c r="C349" s="41" t="s">
        <v>81</v>
      </c>
      <c r="D349" s="42"/>
      <c r="E349" s="4"/>
      <c r="F349" s="43" t="str">
        <f>A349</f>
        <v>KW621</v>
      </c>
      <c r="G349" s="44"/>
      <c r="H349" s="41" t="str">
        <f>C349</f>
        <v>Green</v>
      </c>
      <c r="I349" s="42"/>
    </row>
    <row r="350" spans="1:12" s="1" customFormat="1" ht="30" customHeight="1" x14ac:dyDescent="0.25">
      <c r="A350" s="12" t="s">
        <v>4</v>
      </c>
      <c r="B350" s="37">
        <v>27087</v>
      </c>
      <c r="C350" s="37"/>
      <c r="D350" s="38"/>
      <c r="E350" s="4"/>
      <c r="F350" s="12" t="s">
        <v>4</v>
      </c>
      <c r="G350" s="37">
        <f>B350</f>
        <v>27087</v>
      </c>
      <c r="H350" s="37"/>
      <c r="I350" s="38"/>
    </row>
    <row r="351" spans="1:12" ht="63.75" customHeight="1" x14ac:dyDescent="0.25">
      <c r="A351" s="33" t="s">
        <v>82</v>
      </c>
      <c r="B351" s="33"/>
      <c r="C351" s="33"/>
      <c r="D351" s="33"/>
      <c r="E351" s="2"/>
      <c r="F351" s="33" t="str">
        <f>A351</f>
        <v>Tall DEO - Barrel</v>
      </c>
      <c r="G351" s="33"/>
      <c r="H351" s="33"/>
      <c r="I351" s="33"/>
    </row>
    <row r="352" spans="1:12" s="1" customFormat="1" ht="30" customHeight="1" x14ac:dyDescent="0.25">
      <c r="A352" s="11" t="s">
        <v>0</v>
      </c>
      <c r="B352" s="10"/>
      <c r="C352" s="11" t="s">
        <v>1</v>
      </c>
      <c r="D352" s="10"/>
      <c r="E352" s="3"/>
      <c r="F352" s="11" t="s">
        <v>0</v>
      </c>
      <c r="G352" s="10"/>
      <c r="H352" s="11" t="s">
        <v>1</v>
      </c>
      <c r="I352" s="10"/>
    </row>
    <row r="353" spans="1:12" s="1" customFormat="1" ht="30" customHeight="1" x14ac:dyDescent="0.25">
      <c r="A353" s="11" t="s">
        <v>2</v>
      </c>
      <c r="B353" s="10"/>
      <c r="C353" s="11" t="s">
        <v>5</v>
      </c>
      <c r="D353" s="7" t="s">
        <v>83</v>
      </c>
      <c r="E353" s="4"/>
      <c r="F353" s="11" t="s">
        <v>2</v>
      </c>
      <c r="G353" s="10"/>
      <c r="H353" s="11" t="s">
        <v>5</v>
      </c>
      <c r="I353" s="7" t="str">
        <f>D353</f>
        <v>18B</v>
      </c>
    </row>
    <row r="354" spans="1:12" s="1" customFormat="1" ht="53.25" customHeight="1" x14ac:dyDescent="0.25">
      <c r="A354" s="8" t="s">
        <v>3</v>
      </c>
      <c r="B354" s="9">
        <v>51</v>
      </c>
      <c r="C354" s="11" t="s">
        <v>6</v>
      </c>
      <c r="D354" s="7" t="s">
        <v>84</v>
      </c>
      <c r="E354" s="4"/>
      <c r="F354" s="8" t="s">
        <v>3</v>
      </c>
      <c r="G354" s="9">
        <v>201</v>
      </c>
      <c r="H354" s="11" t="s">
        <v>6</v>
      </c>
      <c r="I354" s="7" t="str">
        <f>D354</f>
        <v>DEO-B06</v>
      </c>
      <c r="K354" s="6" t="s">
        <v>8</v>
      </c>
      <c r="L354" s="6" t="s">
        <v>7</v>
      </c>
    </row>
    <row r="355" spans="1:12" s="1" customFormat="1" ht="30" customHeight="1" x14ac:dyDescent="0.25">
      <c r="A355" s="34" t="s">
        <v>86</v>
      </c>
      <c r="B355" s="35"/>
      <c r="C355" s="35"/>
      <c r="D355" s="36"/>
      <c r="E355" s="5"/>
      <c r="F355" s="34" t="s">
        <v>86</v>
      </c>
      <c r="G355" s="35"/>
      <c r="H355" s="35"/>
      <c r="I355" s="36"/>
      <c r="K355" s="1">
        <v>165</v>
      </c>
      <c r="L355" s="1">
        <v>20</v>
      </c>
    </row>
    <row r="356" spans="1:12" s="1" customFormat="1" ht="30" customHeight="1" x14ac:dyDescent="0.25">
      <c r="A356" s="43" t="s">
        <v>85</v>
      </c>
      <c r="B356" s="44"/>
      <c r="C356" s="41" t="s">
        <v>81</v>
      </c>
      <c r="D356" s="42"/>
      <c r="E356" s="4"/>
      <c r="F356" s="43" t="str">
        <f>A356</f>
        <v>KW621</v>
      </c>
      <c r="G356" s="44"/>
      <c r="H356" s="41" t="str">
        <f>C356</f>
        <v>Green</v>
      </c>
      <c r="I356" s="42"/>
    </row>
    <row r="357" spans="1:12" s="1" customFormat="1" ht="30" customHeight="1" x14ac:dyDescent="0.25">
      <c r="A357" s="12" t="s">
        <v>4</v>
      </c>
      <c r="B357" s="37">
        <v>27087</v>
      </c>
      <c r="C357" s="37"/>
      <c r="D357" s="38"/>
      <c r="E357" s="4"/>
      <c r="F357" s="12" t="s">
        <v>4</v>
      </c>
      <c r="G357" s="37">
        <f>B357</f>
        <v>27087</v>
      </c>
      <c r="H357" s="37"/>
      <c r="I357" s="38"/>
    </row>
    <row r="358" spans="1:12" ht="63.75" customHeight="1" x14ac:dyDescent="0.25">
      <c r="A358" s="33" t="s">
        <v>82</v>
      </c>
      <c r="B358" s="33"/>
      <c r="C358" s="33"/>
      <c r="D358" s="33"/>
      <c r="E358" s="2"/>
      <c r="F358" s="33" t="str">
        <f>A358</f>
        <v>Tall DEO - Barrel</v>
      </c>
      <c r="G358" s="33"/>
      <c r="H358" s="33"/>
      <c r="I358" s="33"/>
    </row>
    <row r="359" spans="1:12" s="1" customFormat="1" ht="30" customHeight="1" x14ac:dyDescent="0.25">
      <c r="A359" s="11" t="s">
        <v>0</v>
      </c>
      <c r="B359" s="10"/>
      <c r="C359" s="11" t="s">
        <v>1</v>
      </c>
      <c r="D359" s="10"/>
      <c r="E359" s="3"/>
      <c r="F359" s="11" t="s">
        <v>0</v>
      </c>
      <c r="G359" s="10"/>
      <c r="H359" s="11" t="s">
        <v>1</v>
      </c>
      <c r="I359" s="10"/>
    </row>
    <row r="360" spans="1:12" s="1" customFormat="1" ht="30" customHeight="1" x14ac:dyDescent="0.25">
      <c r="A360" s="11" t="s">
        <v>2</v>
      </c>
      <c r="B360" s="10"/>
      <c r="C360" s="11" t="s">
        <v>5</v>
      </c>
      <c r="D360" s="7" t="s">
        <v>83</v>
      </c>
      <c r="E360" s="4"/>
      <c r="F360" s="11" t="s">
        <v>2</v>
      </c>
      <c r="G360" s="10"/>
      <c r="H360" s="11" t="s">
        <v>5</v>
      </c>
      <c r="I360" s="7" t="str">
        <f>D360</f>
        <v>18B</v>
      </c>
    </row>
    <row r="361" spans="1:12" s="1" customFormat="1" ht="53.25" customHeight="1" x14ac:dyDescent="0.25">
      <c r="A361" s="8" t="s">
        <v>3</v>
      </c>
      <c r="B361" s="9">
        <v>52</v>
      </c>
      <c r="C361" s="11" t="s">
        <v>6</v>
      </c>
      <c r="D361" s="7" t="s">
        <v>84</v>
      </c>
      <c r="E361" s="4"/>
      <c r="F361" s="8" t="s">
        <v>3</v>
      </c>
      <c r="G361" s="9">
        <v>202</v>
      </c>
      <c r="H361" s="11" t="s">
        <v>6</v>
      </c>
      <c r="I361" s="7" t="str">
        <f>D361</f>
        <v>DEO-B06</v>
      </c>
      <c r="K361" s="6" t="s">
        <v>8</v>
      </c>
      <c r="L361" s="6" t="s">
        <v>7</v>
      </c>
    </row>
    <row r="362" spans="1:12" s="1" customFormat="1" ht="30" customHeight="1" x14ac:dyDescent="0.25">
      <c r="A362" s="34" t="s">
        <v>86</v>
      </c>
      <c r="B362" s="35"/>
      <c r="C362" s="35"/>
      <c r="D362" s="36"/>
      <c r="E362" s="5"/>
      <c r="F362" s="34" t="s">
        <v>86</v>
      </c>
      <c r="G362" s="35"/>
      <c r="H362" s="35"/>
      <c r="I362" s="36"/>
      <c r="K362" s="1">
        <v>165</v>
      </c>
      <c r="L362" s="1">
        <v>20</v>
      </c>
    </row>
    <row r="363" spans="1:12" s="1" customFormat="1" ht="30" customHeight="1" x14ac:dyDescent="0.25">
      <c r="A363" s="43" t="s">
        <v>85</v>
      </c>
      <c r="B363" s="44"/>
      <c r="C363" s="41" t="s">
        <v>81</v>
      </c>
      <c r="D363" s="42"/>
      <c r="E363" s="4"/>
      <c r="F363" s="43" t="str">
        <f>A363</f>
        <v>KW621</v>
      </c>
      <c r="G363" s="44"/>
      <c r="H363" s="41" t="str">
        <f>C363</f>
        <v>Green</v>
      </c>
      <c r="I363" s="42"/>
    </row>
    <row r="364" spans="1:12" s="1" customFormat="1" ht="30" customHeight="1" x14ac:dyDescent="0.25">
      <c r="A364" s="12" t="s">
        <v>4</v>
      </c>
      <c r="B364" s="37">
        <v>27087</v>
      </c>
      <c r="C364" s="37"/>
      <c r="D364" s="38"/>
      <c r="E364" s="4"/>
      <c r="F364" s="12" t="s">
        <v>4</v>
      </c>
      <c r="G364" s="37">
        <f>B364</f>
        <v>27087</v>
      </c>
      <c r="H364" s="37"/>
      <c r="I364" s="38"/>
    </row>
    <row r="365" spans="1:12" ht="63.75" customHeight="1" x14ac:dyDescent="0.25">
      <c r="A365" s="33" t="s">
        <v>82</v>
      </c>
      <c r="B365" s="33"/>
      <c r="C365" s="33"/>
      <c r="D365" s="33"/>
      <c r="E365" s="2"/>
      <c r="F365" s="33" t="str">
        <f>A365</f>
        <v>Tall DEO - Barrel</v>
      </c>
      <c r="G365" s="33"/>
      <c r="H365" s="33"/>
      <c r="I365" s="33"/>
    </row>
    <row r="366" spans="1:12" s="1" customFormat="1" ht="30" customHeight="1" x14ac:dyDescent="0.25">
      <c r="A366" s="11" t="s">
        <v>0</v>
      </c>
      <c r="B366" s="10"/>
      <c r="C366" s="11" t="s">
        <v>1</v>
      </c>
      <c r="D366" s="10"/>
      <c r="E366" s="3"/>
      <c r="F366" s="11" t="s">
        <v>0</v>
      </c>
      <c r="G366" s="10"/>
      <c r="H366" s="11" t="s">
        <v>1</v>
      </c>
      <c r="I366" s="10"/>
    </row>
    <row r="367" spans="1:12" s="1" customFormat="1" ht="30" customHeight="1" x14ac:dyDescent="0.25">
      <c r="A367" s="11" t="s">
        <v>2</v>
      </c>
      <c r="B367" s="10"/>
      <c r="C367" s="11" t="s">
        <v>5</v>
      </c>
      <c r="D367" s="7" t="s">
        <v>83</v>
      </c>
      <c r="E367" s="4"/>
      <c r="F367" s="11" t="s">
        <v>2</v>
      </c>
      <c r="G367" s="10"/>
      <c r="H367" s="11" t="s">
        <v>5</v>
      </c>
      <c r="I367" s="7" t="str">
        <f>D367</f>
        <v>18B</v>
      </c>
    </row>
    <row r="368" spans="1:12" s="1" customFormat="1" ht="53.25" customHeight="1" x14ac:dyDescent="0.25">
      <c r="A368" s="8" t="s">
        <v>3</v>
      </c>
      <c r="B368" s="9">
        <v>53</v>
      </c>
      <c r="C368" s="11" t="s">
        <v>6</v>
      </c>
      <c r="D368" s="7" t="s">
        <v>84</v>
      </c>
      <c r="E368" s="4"/>
      <c r="F368" s="8" t="s">
        <v>3</v>
      </c>
      <c r="G368" s="9">
        <v>203</v>
      </c>
      <c r="H368" s="11" t="s">
        <v>6</v>
      </c>
      <c r="I368" s="7" t="str">
        <f>D368</f>
        <v>DEO-B06</v>
      </c>
      <c r="K368" s="6" t="s">
        <v>8</v>
      </c>
      <c r="L368" s="6" t="s">
        <v>7</v>
      </c>
    </row>
    <row r="369" spans="1:12" s="1" customFormat="1" ht="30" customHeight="1" x14ac:dyDescent="0.25">
      <c r="A369" s="34" t="s">
        <v>86</v>
      </c>
      <c r="B369" s="35"/>
      <c r="C369" s="35"/>
      <c r="D369" s="36"/>
      <c r="E369" s="5"/>
      <c r="F369" s="34" t="s">
        <v>86</v>
      </c>
      <c r="G369" s="35"/>
      <c r="H369" s="35"/>
      <c r="I369" s="36"/>
      <c r="K369" s="1">
        <v>165</v>
      </c>
      <c r="L369" s="1">
        <v>20</v>
      </c>
    </row>
    <row r="370" spans="1:12" s="1" customFormat="1" ht="30" customHeight="1" x14ac:dyDescent="0.25">
      <c r="A370" s="43" t="s">
        <v>85</v>
      </c>
      <c r="B370" s="44"/>
      <c r="C370" s="41" t="s">
        <v>81</v>
      </c>
      <c r="D370" s="42"/>
      <c r="E370" s="4"/>
      <c r="F370" s="43" t="str">
        <f>A370</f>
        <v>KW621</v>
      </c>
      <c r="G370" s="44"/>
      <c r="H370" s="41" t="str">
        <f>C370</f>
        <v>Green</v>
      </c>
      <c r="I370" s="42"/>
    </row>
    <row r="371" spans="1:12" s="1" customFormat="1" ht="30" customHeight="1" x14ac:dyDescent="0.25">
      <c r="A371" s="12" t="s">
        <v>4</v>
      </c>
      <c r="B371" s="37">
        <v>27087</v>
      </c>
      <c r="C371" s="37"/>
      <c r="D371" s="38"/>
      <c r="E371" s="4"/>
      <c r="F371" s="12" t="s">
        <v>4</v>
      </c>
      <c r="G371" s="37">
        <f>B371</f>
        <v>27087</v>
      </c>
      <c r="H371" s="37"/>
      <c r="I371" s="38"/>
    </row>
    <row r="372" spans="1:12" ht="63.75" customHeight="1" x14ac:dyDescent="0.25">
      <c r="A372" s="33" t="s">
        <v>82</v>
      </c>
      <c r="B372" s="33"/>
      <c r="C372" s="33"/>
      <c r="D372" s="33"/>
      <c r="E372" s="2"/>
      <c r="F372" s="33" t="str">
        <f>A372</f>
        <v>Tall DEO - Barrel</v>
      </c>
      <c r="G372" s="33"/>
      <c r="H372" s="33"/>
      <c r="I372" s="33"/>
    </row>
    <row r="373" spans="1:12" s="1" customFormat="1" ht="30" customHeight="1" x14ac:dyDescent="0.25">
      <c r="A373" s="11" t="s">
        <v>0</v>
      </c>
      <c r="B373" s="10"/>
      <c r="C373" s="11" t="s">
        <v>1</v>
      </c>
      <c r="D373" s="10"/>
      <c r="E373" s="3"/>
      <c r="F373" s="11" t="s">
        <v>0</v>
      </c>
      <c r="G373" s="10"/>
      <c r="H373" s="11" t="s">
        <v>1</v>
      </c>
      <c r="I373" s="10"/>
    </row>
    <row r="374" spans="1:12" s="1" customFormat="1" ht="30" customHeight="1" x14ac:dyDescent="0.25">
      <c r="A374" s="11" t="s">
        <v>2</v>
      </c>
      <c r="B374" s="10"/>
      <c r="C374" s="11" t="s">
        <v>5</v>
      </c>
      <c r="D374" s="7" t="s">
        <v>83</v>
      </c>
      <c r="E374" s="4"/>
      <c r="F374" s="11" t="s">
        <v>2</v>
      </c>
      <c r="G374" s="10"/>
      <c r="H374" s="11" t="s">
        <v>5</v>
      </c>
      <c r="I374" s="7" t="str">
        <f>D374</f>
        <v>18B</v>
      </c>
    </row>
    <row r="375" spans="1:12" s="1" customFormat="1" ht="53.25" customHeight="1" x14ac:dyDescent="0.25">
      <c r="A375" s="8" t="s">
        <v>3</v>
      </c>
      <c r="B375" s="9">
        <v>54</v>
      </c>
      <c r="C375" s="11" t="s">
        <v>6</v>
      </c>
      <c r="D375" s="7" t="s">
        <v>84</v>
      </c>
      <c r="E375" s="4"/>
      <c r="F375" s="8" t="s">
        <v>3</v>
      </c>
      <c r="G375" s="9">
        <v>204</v>
      </c>
      <c r="H375" s="11" t="s">
        <v>6</v>
      </c>
      <c r="I375" s="7" t="str">
        <f>D375</f>
        <v>DEO-B06</v>
      </c>
      <c r="K375" s="6" t="s">
        <v>8</v>
      </c>
      <c r="L375" s="6" t="s">
        <v>7</v>
      </c>
    </row>
    <row r="376" spans="1:12" s="1" customFormat="1" ht="30" customHeight="1" x14ac:dyDescent="0.25">
      <c r="A376" s="34" t="s">
        <v>86</v>
      </c>
      <c r="B376" s="35"/>
      <c r="C376" s="35"/>
      <c r="D376" s="36"/>
      <c r="E376" s="5"/>
      <c r="F376" s="34" t="s">
        <v>86</v>
      </c>
      <c r="G376" s="35"/>
      <c r="H376" s="35"/>
      <c r="I376" s="36"/>
      <c r="K376" s="1">
        <v>165</v>
      </c>
      <c r="L376" s="1">
        <v>20</v>
      </c>
    </row>
    <row r="377" spans="1:12" s="1" customFormat="1" ht="30" customHeight="1" x14ac:dyDescent="0.25">
      <c r="A377" s="43" t="s">
        <v>85</v>
      </c>
      <c r="B377" s="44"/>
      <c r="C377" s="41" t="s">
        <v>81</v>
      </c>
      <c r="D377" s="42"/>
      <c r="E377" s="4"/>
      <c r="F377" s="43" t="str">
        <f>A377</f>
        <v>KW621</v>
      </c>
      <c r="G377" s="44"/>
      <c r="H377" s="41" t="str">
        <f>C377</f>
        <v>Green</v>
      </c>
      <c r="I377" s="42"/>
    </row>
    <row r="378" spans="1:12" s="1" customFormat="1" ht="30" customHeight="1" x14ac:dyDescent="0.25">
      <c r="A378" s="12" t="s">
        <v>4</v>
      </c>
      <c r="B378" s="37">
        <v>27087</v>
      </c>
      <c r="C378" s="37"/>
      <c r="D378" s="38"/>
      <c r="E378" s="4"/>
      <c r="F378" s="12" t="s">
        <v>4</v>
      </c>
      <c r="G378" s="37">
        <f>B378</f>
        <v>27087</v>
      </c>
      <c r="H378" s="37"/>
      <c r="I378" s="38"/>
    </row>
    <row r="379" spans="1:12" ht="63.75" customHeight="1" x14ac:dyDescent="0.25">
      <c r="A379" s="33" t="s">
        <v>82</v>
      </c>
      <c r="B379" s="33"/>
      <c r="C379" s="33"/>
      <c r="D379" s="33"/>
      <c r="E379" s="2"/>
      <c r="F379" s="33" t="str">
        <f>A379</f>
        <v>Tall DEO - Barrel</v>
      </c>
      <c r="G379" s="33"/>
      <c r="H379" s="33"/>
      <c r="I379" s="33"/>
    </row>
    <row r="380" spans="1:12" s="1" customFormat="1" ht="30" customHeight="1" x14ac:dyDescent="0.25">
      <c r="A380" s="11" t="s">
        <v>0</v>
      </c>
      <c r="B380" s="10"/>
      <c r="C380" s="11" t="s">
        <v>1</v>
      </c>
      <c r="D380" s="10"/>
      <c r="E380" s="3"/>
      <c r="F380" s="11" t="s">
        <v>0</v>
      </c>
      <c r="G380" s="10"/>
      <c r="H380" s="11" t="s">
        <v>1</v>
      </c>
      <c r="I380" s="10"/>
    </row>
    <row r="381" spans="1:12" s="1" customFormat="1" ht="30" customHeight="1" x14ac:dyDescent="0.25">
      <c r="A381" s="11" t="s">
        <v>2</v>
      </c>
      <c r="B381" s="10"/>
      <c r="C381" s="11" t="s">
        <v>5</v>
      </c>
      <c r="D381" s="7" t="s">
        <v>83</v>
      </c>
      <c r="E381" s="4"/>
      <c r="F381" s="11" t="s">
        <v>2</v>
      </c>
      <c r="G381" s="10"/>
      <c r="H381" s="11" t="s">
        <v>5</v>
      </c>
      <c r="I381" s="7" t="str">
        <f>D381</f>
        <v>18B</v>
      </c>
    </row>
    <row r="382" spans="1:12" s="1" customFormat="1" ht="53.25" customHeight="1" x14ac:dyDescent="0.25">
      <c r="A382" s="8" t="s">
        <v>3</v>
      </c>
      <c r="B382" s="9">
        <v>55</v>
      </c>
      <c r="C382" s="11" t="s">
        <v>6</v>
      </c>
      <c r="D382" s="7" t="s">
        <v>84</v>
      </c>
      <c r="E382" s="4"/>
      <c r="F382" s="8" t="s">
        <v>3</v>
      </c>
      <c r="G382" s="9">
        <v>205</v>
      </c>
      <c r="H382" s="11" t="s">
        <v>6</v>
      </c>
      <c r="I382" s="7" t="str">
        <f>D382</f>
        <v>DEO-B06</v>
      </c>
      <c r="K382" s="6" t="s">
        <v>8</v>
      </c>
      <c r="L382" s="6" t="s">
        <v>7</v>
      </c>
    </row>
    <row r="383" spans="1:12" s="1" customFormat="1" ht="30" customHeight="1" x14ac:dyDescent="0.25">
      <c r="A383" s="34" t="s">
        <v>86</v>
      </c>
      <c r="B383" s="35"/>
      <c r="C383" s="35"/>
      <c r="D383" s="36"/>
      <c r="E383" s="5"/>
      <c r="F383" s="34" t="s">
        <v>86</v>
      </c>
      <c r="G383" s="35"/>
      <c r="H383" s="35"/>
      <c r="I383" s="36"/>
      <c r="K383" s="1">
        <v>165</v>
      </c>
      <c r="L383" s="1">
        <v>20</v>
      </c>
    </row>
    <row r="384" spans="1:12" s="1" customFormat="1" ht="30" customHeight="1" x14ac:dyDescent="0.25">
      <c r="A384" s="43" t="s">
        <v>85</v>
      </c>
      <c r="B384" s="44"/>
      <c r="C384" s="41" t="s">
        <v>81</v>
      </c>
      <c r="D384" s="42"/>
      <c r="E384" s="4"/>
      <c r="F384" s="43" t="str">
        <f>A384</f>
        <v>KW621</v>
      </c>
      <c r="G384" s="44"/>
      <c r="H384" s="41" t="str">
        <f>C384</f>
        <v>Green</v>
      </c>
      <c r="I384" s="42"/>
    </row>
    <row r="385" spans="1:12" s="1" customFormat="1" ht="30" customHeight="1" x14ac:dyDescent="0.25">
      <c r="A385" s="12" t="s">
        <v>4</v>
      </c>
      <c r="B385" s="37">
        <v>27087</v>
      </c>
      <c r="C385" s="37"/>
      <c r="D385" s="38"/>
      <c r="E385" s="4"/>
      <c r="F385" s="12" t="s">
        <v>4</v>
      </c>
      <c r="G385" s="37">
        <f>B385</f>
        <v>27087</v>
      </c>
      <c r="H385" s="37"/>
      <c r="I385" s="38"/>
    </row>
    <row r="386" spans="1:12" ht="63.75" customHeight="1" x14ac:dyDescent="0.25">
      <c r="A386" s="33" t="s">
        <v>82</v>
      </c>
      <c r="B386" s="33"/>
      <c r="C386" s="33"/>
      <c r="D386" s="33"/>
      <c r="E386" s="2"/>
      <c r="F386" s="33" t="str">
        <f>A386</f>
        <v>Tall DEO - Barrel</v>
      </c>
      <c r="G386" s="33"/>
      <c r="H386" s="33"/>
      <c r="I386" s="33"/>
    </row>
    <row r="387" spans="1:12" s="1" customFormat="1" ht="30" customHeight="1" x14ac:dyDescent="0.25">
      <c r="A387" s="11" t="s">
        <v>0</v>
      </c>
      <c r="B387" s="10"/>
      <c r="C387" s="11" t="s">
        <v>1</v>
      </c>
      <c r="D387" s="10"/>
      <c r="E387" s="3"/>
      <c r="F387" s="11" t="s">
        <v>0</v>
      </c>
      <c r="G387" s="10"/>
      <c r="H387" s="11" t="s">
        <v>1</v>
      </c>
      <c r="I387" s="10"/>
    </row>
    <row r="388" spans="1:12" s="1" customFormat="1" ht="30" customHeight="1" x14ac:dyDescent="0.25">
      <c r="A388" s="11" t="s">
        <v>2</v>
      </c>
      <c r="B388" s="10"/>
      <c r="C388" s="11" t="s">
        <v>5</v>
      </c>
      <c r="D388" s="7" t="s">
        <v>83</v>
      </c>
      <c r="E388" s="4"/>
      <c r="F388" s="11" t="s">
        <v>2</v>
      </c>
      <c r="G388" s="10"/>
      <c r="H388" s="11" t="s">
        <v>5</v>
      </c>
      <c r="I388" s="7" t="str">
        <f>D388</f>
        <v>18B</v>
      </c>
    </row>
    <row r="389" spans="1:12" s="1" customFormat="1" ht="53.25" customHeight="1" x14ac:dyDescent="0.25">
      <c r="A389" s="8" t="s">
        <v>3</v>
      </c>
      <c r="B389" s="9">
        <v>56</v>
      </c>
      <c r="C389" s="11" t="s">
        <v>6</v>
      </c>
      <c r="D389" s="7" t="s">
        <v>84</v>
      </c>
      <c r="E389" s="4"/>
      <c r="F389" s="8" t="s">
        <v>3</v>
      </c>
      <c r="G389" s="9">
        <v>206</v>
      </c>
      <c r="H389" s="11" t="s">
        <v>6</v>
      </c>
      <c r="I389" s="7" t="str">
        <f>D389</f>
        <v>DEO-B06</v>
      </c>
      <c r="K389" s="6" t="s">
        <v>8</v>
      </c>
      <c r="L389" s="6" t="s">
        <v>7</v>
      </c>
    </row>
    <row r="390" spans="1:12" s="1" customFormat="1" ht="30" customHeight="1" x14ac:dyDescent="0.25">
      <c r="A390" s="34" t="s">
        <v>86</v>
      </c>
      <c r="B390" s="35"/>
      <c r="C390" s="35"/>
      <c r="D390" s="36"/>
      <c r="E390" s="5"/>
      <c r="F390" s="34" t="s">
        <v>86</v>
      </c>
      <c r="G390" s="35"/>
      <c r="H390" s="35"/>
      <c r="I390" s="36"/>
      <c r="K390" s="1">
        <v>165</v>
      </c>
      <c r="L390" s="1">
        <v>20</v>
      </c>
    </row>
    <row r="391" spans="1:12" s="1" customFormat="1" ht="30" customHeight="1" x14ac:dyDescent="0.25">
      <c r="A391" s="43" t="s">
        <v>85</v>
      </c>
      <c r="B391" s="44"/>
      <c r="C391" s="41" t="s">
        <v>81</v>
      </c>
      <c r="D391" s="42"/>
      <c r="E391" s="4"/>
      <c r="F391" s="43" t="str">
        <f>A391</f>
        <v>KW621</v>
      </c>
      <c r="G391" s="44"/>
      <c r="H391" s="41" t="str">
        <f>C391</f>
        <v>Green</v>
      </c>
      <c r="I391" s="42"/>
    </row>
    <row r="392" spans="1:12" s="1" customFormat="1" ht="30" customHeight="1" x14ac:dyDescent="0.25">
      <c r="A392" s="12" t="s">
        <v>4</v>
      </c>
      <c r="B392" s="37">
        <v>27087</v>
      </c>
      <c r="C392" s="37"/>
      <c r="D392" s="38"/>
      <c r="E392" s="4"/>
      <c r="F392" s="12" t="s">
        <v>4</v>
      </c>
      <c r="G392" s="37">
        <f>B392</f>
        <v>27087</v>
      </c>
      <c r="H392" s="37"/>
      <c r="I392" s="38"/>
    </row>
    <row r="393" spans="1:12" ht="63.75" customHeight="1" x14ac:dyDescent="0.25">
      <c r="A393" s="33" t="s">
        <v>82</v>
      </c>
      <c r="B393" s="33"/>
      <c r="C393" s="33"/>
      <c r="D393" s="33"/>
      <c r="E393" s="2"/>
      <c r="F393" s="33" t="str">
        <f>A393</f>
        <v>Tall DEO - Barrel</v>
      </c>
      <c r="G393" s="33"/>
      <c r="H393" s="33"/>
      <c r="I393" s="33"/>
    </row>
    <row r="394" spans="1:12" s="1" customFormat="1" ht="30" customHeight="1" x14ac:dyDescent="0.25">
      <c r="A394" s="11" t="s">
        <v>0</v>
      </c>
      <c r="B394" s="10"/>
      <c r="C394" s="11" t="s">
        <v>1</v>
      </c>
      <c r="D394" s="10"/>
      <c r="E394" s="3"/>
      <c r="F394" s="11" t="s">
        <v>0</v>
      </c>
      <c r="G394" s="10"/>
      <c r="H394" s="11" t="s">
        <v>1</v>
      </c>
      <c r="I394" s="10"/>
    </row>
    <row r="395" spans="1:12" s="1" customFormat="1" ht="30" customHeight="1" x14ac:dyDescent="0.25">
      <c r="A395" s="11" t="s">
        <v>2</v>
      </c>
      <c r="B395" s="10"/>
      <c r="C395" s="11" t="s">
        <v>5</v>
      </c>
      <c r="D395" s="7" t="s">
        <v>83</v>
      </c>
      <c r="E395" s="4"/>
      <c r="F395" s="11" t="s">
        <v>2</v>
      </c>
      <c r="G395" s="10"/>
      <c r="H395" s="11" t="s">
        <v>5</v>
      </c>
      <c r="I395" s="7" t="str">
        <f>D395</f>
        <v>18B</v>
      </c>
    </row>
    <row r="396" spans="1:12" s="1" customFormat="1" ht="53.25" customHeight="1" x14ac:dyDescent="0.25">
      <c r="A396" s="8" t="s">
        <v>3</v>
      </c>
      <c r="B396" s="9">
        <v>57</v>
      </c>
      <c r="C396" s="11" t="s">
        <v>6</v>
      </c>
      <c r="D396" s="7" t="s">
        <v>84</v>
      </c>
      <c r="E396" s="4"/>
      <c r="F396" s="8" t="s">
        <v>3</v>
      </c>
      <c r="G396" s="9">
        <v>207</v>
      </c>
      <c r="H396" s="11" t="s">
        <v>6</v>
      </c>
      <c r="I396" s="7" t="str">
        <f>D396</f>
        <v>DEO-B06</v>
      </c>
      <c r="K396" s="6" t="s">
        <v>8</v>
      </c>
      <c r="L396" s="6" t="s">
        <v>7</v>
      </c>
    </row>
    <row r="397" spans="1:12" s="1" customFormat="1" ht="30" customHeight="1" x14ac:dyDescent="0.25">
      <c r="A397" s="34" t="s">
        <v>86</v>
      </c>
      <c r="B397" s="35"/>
      <c r="C397" s="35"/>
      <c r="D397" s="36"/>
      <c r="E397" s="5"/>
      <c r="F397" s="34" t="s">
        <v>86</v>
      </c>
      <c r="G397" s="35"/>
      <c r="H397" s="35"/>
      <c r="I397" s="36"/>
      <c r="K397" s="1">
        <v>165</v>
      </c>
      <c r="L397" s="1">
        <v>20</v>
      </c>
    </row>
    <row r="398" spans="1:12" s="1" customFormat="1" ht="30" customHeight="1" x14ac:dyDescent="0.25">
      <c r="A398" s="43" t="s">
        <v>85</v>
      </c>
      <c r="B398" s="44"/>
      <c r="C398" s="41" t="s">
        <v>81</v>
      </c>
      <c r="D398" s="42"/>
      <c r="E398" s="4"/>
      <c r="F398" s="43" t="str">
        <f>A398</f>
        <v>KW621</v>
      </c>
      <c r="G398" s="44"/>
      <c r="H398" s="41" t="str">
        <f>C398</f>
        <v>Green</v>
      </c>
      <c r="I398" s="42"/>
    </row>
    <row r="399" spans="1:12" s="1" customFormat="1" ht="30" customHeight="1" x14ac:dyDescent="0.25">
      <c r="A399" s="12" t="s">
        <v>4</v>
      </c>
      <c r="B399" s="37">
        <v>27087</v>
      </c>
      <c r="C399" s="37"/>
      <c r="D399" s="38"/>
      <c r="E399" s="4"/>
      <c r="F399" s="12" t="s">
        <v>4</v>
      </c>
      <c r="G399" s="37">
        <f>B399</f>
        <v>27087</v>
      </c>
      <c r="H399" s="37"/>
      <c r="I399" s="38"/>
    </row>
    <row r="400" spans="1:12" ht="63.75" customHeight="1" x14ac:dyDescent="0.25">
      <c r="A400" s="33" t="s">
        <v>82</v>
      </c>
      <c r="B400" s="33"/>
      <c r="C400" s="33"/>
      <c r="D400" s="33"/>
      <c r="E400" s="2"/>
      <c r="F400" s="33" t="str">
        <f>A400</f>
        <v>Tall DEO - Barrel</v>
      </c>
      <c r="G400" s="33"/>
      <c r="H400" s="33"/>
      <c r="I400" s="33"/>
    </row>
    <row r="401" spans="1:12" s="1" customFormat="1" ht="30" customHeight="1" x14ac:dyDescent="0.25">
      <c r="A401" s="11" t="s">
        <v>0</v>
      </c>
      <c r="B401" s="10"/>
      <c r="C401" s="11" t="s">
        <v>1</v>
      </c>
      <c r="D401" s="10"/>
      <c r="E401" s="3"/>
      <c r="F401" s="11" t="s">
        <v>0</v>
      </c>
      <c r="G401" s="10"/>
      <c r="H401" s="11" t="s">
        <v>1</v>
      </c>
      <c r="I401" s="10"/>
    </row>
    <row r="402" spans="1:12" s="1" customFormat="1" ht="30" customHeight="1" x14ac:dyDescent="0.25">
      <c r="A402" s="11" t="s">
        <v>2</v>
      </c>
      <c r="B402" s="10"/>
      <c r="C402" s="11" t="s">
        <v>5</v>
      </c>
      <c r="D402" s="7" t="s">
        <v>83</v>
      </c>
      <c r="E402" s="4"/>
      <c r="F402" s="11" t="s">
        <v>2</v>
      </c>
      <c r="G402" s="10"/>
      <c r="H402" s="11" t="s">
        <v>5</v>
      </c>
      <c r="I402" s="7" t="str">
        <f>D402</f>
        <v>18B</v>
      </c>
    </row>
    <row r="403" spans="1:12" s="1" customFormat="1" ht="53.25" customHeight="1" x14ac:dyDescent="0.25">
      <c r="A403" s="8" t="s">
        <v>3</v>
      </c>
      <c r="B403" s="9">
        <v>58</v>
      </c>
      <c r="C403" s="11" t="s">
        <v>6</v>
      </c>
      <c r="D403" s="7" t="s">
        <v>84</v>
      </c>
      <c r="E403" s="4"/>
      <c r="F403" s="8" t="s">
        <v>3</v>
      </c>
      <c r="G403" s="9">
        <v>208</v>
      </c>
      <c r="H403" s="11" t="s">
        <v>6</v>
      </c>
      <c r="I403" s="7" t="str">
        <f>D403</f>
        <v>DEO-B06</v>
      </c>
      <c r="K403" s="6" t="s">
        <v>8</v>
      </c>
      <c r="L403" s="6" t="s">
        <v>7</v>
      </c>
    </row>
    <row r="404" spans="1:12" s="1" customFormat="1" ht="30" customHeight="1" x14ac:dyDescent="0.25">
      <c r="A404" s="34" t="s">
        <v>86</v>
      </c>
      <c r="B404" s="35"/>
      <c r="C404" s="35"/>
      <c r="D404" s="36"/>
      <c r="E404" s="5"/>
      <c r="F404" s="34" t="s">
        <v>86</v>
      </c>
      <c r="G404" s="35"/>
      <c r="H404" s="35"/>
      <c r="I404" s="36"/>
      <c r="K404" s="1">
        <v>165</v>
      </c>
      <c r="L404" s="1">
        <v>20</v>
      </c>
    </row>
    <row r="405" spans="1:12" s="1" customFormat="1" ht="30" customHeight="1" x14ac:dyDescent="0.25">
      <c r="A405" s="43" t="s">
        <v>85</v>
      </c>
      <c r="B405" s="44"/>
      <c r="C405" s="41" t="s">
        <v>81</v>
      </c>
      <c r="D405" s="42"/>
      <c r="E405" s="4"/>
      <c r="F405" s="43" t="str">
        <f>A405</f>
        <v>KW621</v>
      </c>
      <c r="G405" s="44"/>
      <c r="H405" s="41" t="str">
        <f>C405</f>
        <v>Green</v>
      </c>
      <c r="I405" s="42"/>
    </row>
    <row r="406" spans="1:12" s="1" customFormat="1" ht="30" customHeight="1" x14ac:dyDescent="0.25">
      <c r="A406" s="12" t="s">
        <v>4</v>
      </c>
      <c r="B406" s="37">
        <v>27087</v>
      </c>
      <c r="C406" s="37"/>
      <c r="D406" s="38"/>
      <c r="E406" s="4"/>
      <c r="F406" s="12" t="s">
        <v>4</v>
      </c>
      <c r="G406" s="37">
        <f>B406</f>
        <v>27087</v>
      </c>
      <c r="H406" s="37"/>
      <c r="I406" s="38"/>
    </row>
    <row r="407" spans="1:12" ht="63.75" customHeight="1" x14ac:dyDescent="0.25">
      <c r="A407" s="33" t="s">
        <v>82</v>
      </c>
      <c r="B407" s="33"/>
      <c r="C407" s="33"/>
      <c r="D407" s="33"/>
      <c r="E407" s="2"/>
      <c r="F407" s="33" t="str">
        <f>A407</f>
        <v>Tall DEO - Barrel</v>
      </c>
      <c r="G407" s="33"/>
      <c r="H407" s="33"/>
      <c r="I407" s="33"/>
    </row>
    <row r="408" spans="1:12" s="1" customFormat="1" ht="30" customHeight="1" x14ac:dyDescent="0.25">
      <c r="A408" s="11" t="s">
        <v>0</v>
      </c>
      <c r="B408" s="10"/>
      <c r="C408" s="11" t="s">
        <v>1</v>
      </c>
      <c r="D408" s="10"/>
      <c r="E408" s="3"/>
      <c r="F408" s="11" t="s">
        <v>0</v>
      </c>
      <c r="G408" s="10"/>
      <c r="H408" s="11" t="s">
        <v>1</v>
      </c>
      <c r="I408" s="10"/>
    </row>
    <row r="409" spans="1:12" s="1" customFormat="1" ht="30" customHeight="1" x14ac:dyDescent="0.25">
      <c r="A409" s="11" t="s">
        <v>2</v>
      </c>
      <c r="B409" s="10"/>
      <c r="C409" s="11" t="s">
        <v>5</v>
      </c>
      <c r="D409" s="7" t="s">
        <v>83</v>
      </c>
      <c r="E409" s="4"/>
      <c r="F409" s="11" t="s">
        <v>2</v>
      </c>
      <c r="G409" s="10"/>
      <c r="H409" s="11" t="s">
        <v>5</v>
      </c>
      <c r="I409" s="7" t="str">
        <f>D409</f>
        <v>18B</v>
      </c>
    </row>
    <row r="410" spans="1:12" s="1" customFormat="1" ht="53.25" customHeight="1" x14ac:dyDescent="0.25">
      <c r="A410" s="8" t="s">
        <v>3</v>
      </c>
      <c r="B410" s="9">
        <v>59</v>
      </c>
      <c r="C410" s="11" t="s">
        <v>6</v>
      </c>
      <c r="D410" s="7" t="s">
        <v>84</v>
      </c>
      <c r="E410" s="4"/>
      <c r="F410" s="8" t="s">
        <v>3</v>
      </c>
      <c r="G410" s="9">
        <v>209</v>
      </c>
      <c r="H410" s="11" t="s">
        <v>6</v>
      </c>
      <c r="I410" s="7" t="str">
        <f>D410</f>
        <v>DEO-B06</v>
      </c>
      <c r="K410" s="6" t="s">
        <v>8</v>
      </c>
      <c r="L410" s="6" t="s">
        <v>7</v>
      </c>
    </row>
    <row r="411" spans="1:12" s="1" customFormat="1" ht="30" customHeight="1" x14ac:dyDescent="0.25">
      <c r="A411" s="34" t="s">
        <v>86</v>
      </c>
      <c r="B411" s="35"/>
      <c r="C411" s="35"/>
      <c r="D411" s="36"/>
      <c r="E411" s="5"/>
      <c r="F411" s="34" t="s">
        <v>86</v>
      </c>
      <c r="G411" s="35"/>
      <c r="H411" s="35"/>
      <c r="I411" s="36"/>
      <c r="K411" s="1">
        <v>165</v>
      </c>
      <c r="L411" s="1">
        <v>20</v>
      </c>
    </row>
    <row r="412" spans="1:12" s="1" customFormat="1" ht="30" customHeight="1" x14ac:dyDescent="0.25">
      <c r="A412" s="43" t="s">
        <v>85</v>
      </c>
      <c r="B412" s="44"/>
      <c r="C412" s="41" t="s">
        <v>81</v>
      </c>
      <c r="D412" s="42"/>
      <c r="E412" s="4"/>
      <c r="F412" s="43" t="str">
        <f>A412</f>
        <v>KW621</v>
      </c>
      <c r="G412" s="44"/>
      <c r="H412" s="41" t="str">
        <f>C412</f>
        <v>Green</v>
      </c>
      <c r="I412" s="42"/>
    </row>
    <row r="413" spans="1:12" s="1" customFormat="1" ht="30" customHeight="1" x14ac:dyDescent="0.25">
      <c r="A413" s="12" t="s">
        <v>4</v>
      </c>
      <c r="B413" s="37">
        <v>27087</v>
      </c>
      <c r="C413" s="37"/>
      <c r="D413" s="38"/>
      <c r="E413" s="4"/>
      <c r="F413" s="12" t="s">
        <v>4</v>
      </c>
      <c r="G413" s="37">
        <f>B413</f>
        <v>27087</v>
      </c>
      <c r="H413" s="37"/>
      <c r="I413" s="38"/>
    </row>
    <row r="414" spans="1:12" ht="63.75" customHeight="1" x14ac:dyDescent="0.25">
      <c r="A414" s="33" t="s">
        <v>82</v>
      </c>
      <c r="B414" s="33"/>
      <c r="C414" s="33"/>
      <c r="D414" s="33"/>
      <c r="E414" s="2"/>
      <c r="F414" s="33" t="str">
        <f>A414</f>
        <v>Tall DEO - Barrel</v>
      </c>
      <c r="G414" s="33"/>
      <c r="H414" s="33"/>
      <c r="I414" s="33"/>
    </row>
    <row r="415" spans="1:12" s="1" customFormat="1" ht="30" customHeight="1" x14ac:dyDescent="0.25">
      <c r="A415" s="11" t="s">
        <v>0</v>
      </c>
      <c r="B415" s="10"/>
      <c r="C415" s="11" t="s">
        <v>1</v>
      </c>
      <c r="D415" s="10"/>
      <c r="E415" s="3"/>
      <c r="F415" s="11" t="s">
        <v>0</v>
      </c>
      <c r="G415" s="10"/>
      <c r="H415" s="11" t="s">
        <v>1</v>
      </c>
      <c r="I415" s="10"/>
    </row>
    <row r="416" spans="1:12" s="1" customFormat="1" ht="30" customHeight="1" x14ac:dyDescent="0.25">
      <c r="A416" s="11" t="s">
        <v>2</v>
      </c>
      <c r="B416" s="10"/>
      <c r="C416" s="11" t="s">
        <v>5</v>
      </c>
      <c r="D416" s="7" t="s">
        <v>83</v>
      </c>
      <c r="E416" s="4"/>
      <c r="F416" s="11" t="s">
        <v>2</v>
      </c>
      <c r="G416" s="10"/>
      <c r="H416" s="11" t="s">
        <v>5</v>
      </c>
      <c r="I416" s="7" t="str">
        <f>D416</f>
        <v>18B</v>
      </c>
    </row>
    <row r="417" spans="1:12" s="1" customFormat="1" ht="53.25" customHeight="1" x14ac:dyDescent="0.25">
      <c r="A417" s="8" t="s">
        <v>3</v>
      </c>
      <c r="B417" s="9">
        <v>60</v>
      </c>
      <c r="C417" s="11" t="s">
        <v>6</v>
      </c>
      <c r="D417" s="7" t="s">
        <v>84</v>
      </c>
      <c r="E417" s="4"/>
      <c r="F417" s="8" t="s">
        <v>3</v>
      </c>
      <c r="G417" s="9">
        <v>210</v>
      </c>
      <c r="H417" s="11" t="s">
        <v>6</v>
      </c>
      <c r="I417" s="7" t="str">
        <f>D417</f>
        <v>DEO-B06</v>
      </c>
      <c r="K417" s="6" t="s">
        <v>8</v>
      </c>
      <c r="L417" s="6" t="s">
        <v>7</v>
      </c>
    </row>
    <row r="418" spans="1:12" s="1" customFormat="1" ht="30" customHeight="1" x14ac:dyDescent="0.25">
      <c r="A418" s="34" t="s">
        <v>86</v>
      </c>
      <c r="B418" s="35"/>
      <c r="C418" s="35"/>
      <c r="D418" s="36"/>
      <c r="E418" s="5"/>
      <c r="F418" s="34" t="s">
        <v>86</v>
      </c>
      <c r="G418" s="35"/>
      <c r="H418" s="35"/>
      <c r="I418" s="36"/>
      <c r="K418" s="1">
        <v>165</v>
      </c>
      <c r="L418" s="1">
        <v>20</v>
      </c>
    </row>
    <row r="419" spans="1:12" s="1" customFormat="1" ht="30" customHeight="1" x14ac:dyDescent="0.25">
      <c r="A419" s="43" t="s">
        <v>85</v>
      </c>
      <c r="B419" s="44"/>
      <c r="C419" s="41" t="s">
        <v>81</v>
      </c>
      <c r="D419" s="42"/>
      <c r="E419" s="4"/>
      <c r="F419" s="43" t="str">
        <f>A419</f>
        <v>KW621</v>
      </c>
      <c r="G419" s="44"/>
      <c r="H419" s="41" t="str">
        <f>C419</f>
        <v>Green</v>
      </c>
      <c r="I419" s="42"/>
    </row>
    <row r="420" spans="1:12" s="1" customFormat="1" ht="30" customHeight="1" x14ac:dyDescent="0.25">
      <c r="A420" s="12" t="s">
        <v>4</v>
      </c>
      <c r="B420" s="37">
        <v>27087</v>
      </c>
      <c r="C420" s="37"/>
      <c r="D420" s="38"/>
      <c r="E420" s="4"/>
      <c r="F420" s="12" t="s">
        <v>4</v>
      </c>
      <c r="G420" s="37">
        <f>B420</f>
        <v>27087</v>
      </c>
      <c r="H420" s="37"/>
      <c r="I420" s="38"/>
    </row>
    <row r="421" spans="1:12" ht="63.75" customHeight="1" x14ac:dyDescent="0.25">
      <c r="A421" s="33" t="s">
        <v>82</v>
      </c>
      <c r="B421" s="33"/>
      <c r="C421" s="33"/>
      <c r="D421" s="33"/>
      <c r="E421" s="2"/>
      <c r="F421" s="33" t="str">
        <f>A421</f>
        <v>Tall DEO - Barrel</v>
      </c>
      <c r="G421" s="33"/>
      <c r="H421" s="33"/>
      <c r="I421" s="33"/>
    </row>
    <row r="422" spans="1:12" s="1" customFormat="1" ht="30" customHeight="1" x14ac:dyDescent="0.25">
      <c r="A422" s="11" t="s">
        <v>0</v>
      </c>
      <c r="B422" s="10"/>
      <c r="C422" s="11" t="s">
        <v>1</v>
      </c>
      <c r="D422" s="10"/>
      <c r="E422" s="3"/>
      <c r="F422" s="11" t="s">
        <v>0</v>
      </c>
      <c r="G422" s="10"/>
      <c r="H422" s="11" t="s">
        <v>1</v>
      </c>
      <c r="I422" s="10"/>
    </row>
    <row r="423" spans="1:12" s="1" customFormat="1" ht="30" customHeight="1" x14ac:dyDescent="0.25">
      <c r="A423" s="11" t="s">
        <v>2</v>
      </c>
      <c r="B423" s="10"/>
      <c r="C423" s="11" t="s">
        <v>5</v>
      </c>
      <c r="D423" s="7" t="s">
        <v>83</v>
      </c>
      <c r="E423" s="4"/>
      <c r="F423" s="11" t="s">
        <v>2</v>
      </c>
      <c r="G423" s="10"/>
      <c r="H423" s="11" t="s">
        <v>5</v>
      </c>
      <c r="I423" s="7" t="str">
        <f>D423</f>
        <v>18B</v>
      </c>
    </row>
    <row r="424" spans="1:12" s="1" customFormat="1" ht="53.25" customHeight="1" x14ac:dyDescent="0.25">
      <c r="A424" s="8" t="s">
        <v>3</v>
      </c>
      <c r="B424" s="9">
        <v>61</v>
      </c>
      <c r="C424" s="11" t="s">
        <v>6</v>
      </c>
      <c r="D424" s="7" t="s">
        <v>84</v>
      </c>
      <c r="E424" s="4"/>
      <c r="F424" s="8" t="s">
        <v>3</v>
      </c>
      <c r="G424" s="9">
        <v>211</v>
      </c>
      <c r="H424" s="11" t="s">
        <v>6</v>
      </c>
      <c r="I424" s="7" t="str">
        <f>D424</f>
        <v>DEO-B06</v>
      </c>
      <c r="K424" s="6" t="s">
        <v>8</v>
      </c>
      <c r="L424" s="6" t="s">
        <v>7</v>
      </c>
    </row>
    <row r="425" spans="1:12" s="1" customFormat="1" ht="30" customHeight="1" x14ac:dyDescent="0.25">
      <c r="A425" s="34" t="s">
        <v>86</v>
      </c>
      <c r="B425" s="35"/>
      <c r="C425" s="35"/>
      <c r="D425" s="36"/>
      <c r="E425" s="5"/>
      <c r="F425" s="34" t="s">
        <v>86</v>
      </c>
      <c r="G425" s="35"/>
      <c r="H425" s="35"/>
      <c r="I425" s="36"/>
      <c r="K425" s="1">
        <v>165</v>
      </c>
      <c r="L425" s="1">
        <v>20</v>
      </c>
    </row>
    <row r="426" spans="1:12" s="1" customFormat="1" ht="30" customHeight="1" x14ac:dyDescent="0.25">
      <c r="A426" s="43" t="s">
        <v>85</v>
      </c>
      <c r="B426" s="44"/>
      <c r="C426" s="41" t="s">
        <v>81</v>
      </c>
      <c r="D426" s="42"/>
      <c r="E426" s="4"/>
      <c r="F426" s="43" t="str">
        <f>A426</f>
        <v>KW621</v>
      </c>
      <c r="G426" s="44"/>
      <c r="H426" s="41" t="str">
        <f>C426</f>
        <v>Green</v>
      </c>
      <c r="I426" s="42"/>
    </row>
    <row r="427" spans="1:12" s="1" customFormat="1" ht="30" customHeight="1" x14ac:dyDescent="0.25">
      <c r="A427" s="12" t="s">
        <v>4</v>
      </c>
      <c r="B427" s="37">
        <v>27087</v>
      </c>
      <c r="C427" s="37"/>
      <c r="D427" s="38"/>
      <c r="E427" s="4"/>
      <c r="F427" s="12" t="s">
        <v>4</v>
      </c>
      <c r="G427" s="37">
        <f>B427</f>
        <v>27087</v>
      </c>
      <c r="H427" s="37"/>
      <c r="I427" s="38"/>
    </row>
    <row r="428" spans="1:12" ht="63.75" customHeight="1" x14ac:dyDescent="0.25">
      <c r="A428" s="33" t="s">
        <v>82</v>
      </c>
      <c r="B428" s="33"/>
      <c r="C428" s="33"/>
      <c r="D428" s="33"/>
      <c r="E428" s="2"/>
      <c r="F428" s="33" t="str">
        <f>A428</f>
        <v>Tall DEO - Barrel</v>
      </c>
      <c r="G428" s="33"/>
      <c r="H428" s="33"/>
      <c r="I428" s="33"/>
    </row>
    <row r="429" spans="1:12" s="1" customFormat="1" ht="30" customHeight="1" x14ac:dyDescent="0.25">
      <c r="A429" s="11" t="s">
        <v>0</v>
      </c>
      <c r="B429" s="10"/>
      <c r="C429" s="11" t="s">
        <v>1</v>
      </c>
      <c r="D429" s="10"/>
      <c r="E429" s="3"/>
      <c r="F429" s="11" t="s">
        <v>0</v>
      </c>
      <c r="G429" s="10"/>
      <c r="H429" s="11" t="s">
        <v>1</v>
      </c>
      <c r="I429" s="10"/>
    </row>
    <row r="430" spans="1:12" s="1" customFormat="1" ht="30" customHeight="1" x14ac:dyDescent="0.25">
      <c r="A430" s="11" t="s">
        <v>2</v>
      </c>
      <c r="B430" s="10"/>
      <c r="C430" s="11" t="s">
        <v>5</v>
      </c>
      <c r="D430" s="7" t="s">
        <v>83</v>
      </c>
      <c r="E430" s="4"/>
      <c r="F430" s="11" t="s">
        <v>2</v>
      </c>
      <c r="G430" s="10"/>
      <c r="H430" s="11" t="s">
        <v>5</v>
      </c>
      <c r="I430" s="7" t="str">
        <f>D430</f>
        <v>18B</v>
      </c>
    </row>
    <row r="431" spans="1:12" s="1" customFormat="1" ht="53.25" customHeight="1" x14ac:dyDescent="0.25">
      <c r="A431" s="8" t="s">
        <v>3</v>
      </c>
      <c r="B431" s="9">
        <v>62</v>
      </c>
      <c r="C431" s="11" t="s">
        <v>6</v>
      </c>
      <c r="D431" s="7" t="s">
        <v>84</v>
      </c>
      <c r="E431" s="4"/>
      <c r="F431" s="8" t="s">
        <v>3</v>
      </c>
      <c r="G431" s="9">
        <v>212</v>
      </c>
      <c r="H431" s="11" t="s">
        <v>6</v>
      </c>
      <c r="I431" s="7" t="str">
        <f>D431</f>
        <v>DEO-B06</v>
      </c>
      <c r="K431" s="6" t="s">
        <v>8</v>
      </c>
      <c r="L431" s="6" t="s">
        <v>7</v>
      </c>
    </row>
    <row r="432" spans="1:12" s="1" customFormat="1" ht="30" customHeight="1" x14ac:dyDescent="0.25">
      <c r="A432" s="34" t="s">
        <v>86</v>
      </c>
      <c r="B432" s="35"/>
      <c r="C432" s="35"/>
      <c r="D432" s="36"/>
      <c r="E432" s="5"/>
      <c r="F432" s="34" t="s">
        <v>86</v>
      </c>
      <c r="G432" s="35"/>
      <c r="H432" s="35"/>
      <c r="I432" s="36"/>
      <c r="K432" s="1">
        <v>165</v>
      </c>
      <c r="L432" s="1">
        <v>20</v>
      </c>
    </row>
    <row r="433" spans="1:12" s="1" customFormat="1" ht="30" customHeight="1" x14ac:dyDescent="0.25">
      <c r="A433" s="43" t="s">
        <v>85</v>
      </c>
      <c r="B433" s="44"/>
      <c r="C433" s="41" t="s">
        <v>81</v>
      </c>
      <c r="D433" s="42"/>
      <c r="E433" s="4"/>
      <c r="F433" s="43" t="str">
        <f>A433</f>
        <v>KW621</v>
      </c>
      <c r="G433" s="44"/>
      <c r="H433" s="41" t="str">
        <f>C433</f>
        <v>Green</v>
      </c>
      <c r="I433" s="42"/>
    </row>
    <row r="434" spans="1:12" s="1" customFormat="1" ht="30" customHeight="1" x14ac:dyDescent="0.25">
      <c r="A434" s="12" t="s">
        <v>4</v>
      </c>
      <c r="B434" s="37">
        <v>27087</v>
      </c>
      <c r="C434" s="37"/>
      <c r="D434" s="38"/>
      <c r="E434" s="4"/>
      <c r="F434" s="12" t="s">
        <v>4</v>
      </c>
      <c r="G434" s="37">
        <f>B434</f>
        <v>27087</v>
      </c>
      <c r="H434" s="37"/>
      <c r="I434" s="38"/>
    </row>
    <row r="435" spans="1:12" ht="63.75" customHeight="1" x14ac:dyDescent="0.25">
      <c r="A435" s="33" t="s">
        <v>82</v>
      </c>
      <c r="B435" s="33"/>
      <c r="C435" s="33"/>
      <c r="D435" s="33"/>
      <c r="E435" s="2"/>
      <c r="F435" s="33" t="str">
        <f>A435</f>
        <v>Tall DEO - Barrel</v>
      </c>
      <c r="G435" s="33"/>
      <c r="H435" s="33"/>
      <c r="I435" s="33"/>
    </row>
    <row r="436" spans="1:12" s="1" customFormat="1" ht="30" customHeight="1" x14ac:dyDescent="0.25">
      <c r="A436" s="11" t="s">
        <v>0</v>
      </c>
      <c r="B436" s="10"/>
      <c r="C436" s="11" t="s">
        <v>1</v>
      </c>
      <c r="D436" s="10"/>
      <c r="E436" s="3"/>
      <c r="F436" s="11" t="s">
        <v>0</v>
      </c>
      <c r="G436" s="10"/>
      <c r="H436" s="11" t="s">
        <v>1</v>
      </c>
      <c r="I436" s="10"/>
    </row>
    <row r="437" spans="1:12" s="1" customFormat="1" ht="30" customHeight="1" x14ac:dyDescent="0.25">
      <c r="A437" s="11" t="s">
        <v>2</v>
      </c>
      <c r="B437" s="10"/>
      <c r="C437" s="11" t="s">
        <v>5</v>
      </c>
      <c r="D437" s="7" t="s">
        <v>83</v>
      </c>
      <c r="E437" s="4"/>
      <c r="F437" s="11" t="s">
        <v>2</v>
      </c>
      <c r="G437" s="10"/>
      <c r="H437" s="11" t="s">
        <v>5</v>
      </c>
      <c r="I437" s="7" t="str">
        <f>D437</f>
        <v>18B</v>
      </c>
    </row>
    <row r="438" spans="1:12" s="1" customFormat="1" ht="53.25" customHeight="1" x14ac:dyDescent="0.25">
      <c r="A438" s="8" t="s">
        <v>3</v>
      </c>
      <c r="B438" s="9">
        <v>63</v>
      </c>
      <c r="C438" s="11" t="s">
        <v>6</v>
      </c>
      <c r="D438" s="7" t="s">
        <v>84</v>
      </c>
      <c r="E438" s="4"/>
      <c r="F438" s="8" t="s">
        <v>3</v>
      </c>
      <c r="G438" s="9">
        <v>213</v>
      </c>
      <c r="H438" s="11" t="s">
        <v>6</v>
      </c>
      <c r="I438" s="7" t="str">
        <f>D438</f>
        <v>DEO-B06</v>
      </c>
      <c r="K438" s="6" t="s">
        <v>8</v>
      </c>
      <c r="L438" s="6" t="s">
        <v>7</v>
      </c>
    </row>
    <row r="439" spans="1:12" s="1" customFormat="1" ht="30" customHeight="1" x14ac:dyDescent="0.25">
      <c r="A439" s="34" t="s">
        <v>86</v>
      </c>
      <c r="B439" s="35"/>
      <c r="C439" s="35"/>
      <c r="D439" s="36"/>
      <c r="E439" s="5"/>
      <c r="F439" s="34" t="s">
        <v>86</v>
      </c>
      <c r="G439" s="35"/>
      <c r="H439" s="35"/>
      <c r="I439" s="36"/>
      <c r="K439" s="1">
        <v>165</v>
      </c>
      <c r="L439" s="1">
        <v>20</v>
      </c>
    </row>
    <row r="440" spans="1:12" s="1" customFormat="1" ht="30" customHeight="1" x14ac:dyDescent="0.25">
      <c r="A440" s="43" t="s">
        <v>85</v>
      </c>
      <c r="B440" s="44"/>
      <c r="C440" s="41" t="s">
        <v>81</v>
      </c>
      <c r="D440" s="42"/>
      <c r="E440" s="4"/>
      <c r="F440" s="43" t="str">
        <f>A440</f>
        <v>KW621</v>
      </c>
      <c r="G440" s="44"/>
      <c r="H440" s="41" t="str">
        <f>C440</f>
        <v>Green</v>
      </c>
      <c r="I440" s="42"/>
    </row>
    <row r="441" spans="1:12" s="1" customFormat="1" ht="30" customHeight="1" x14ac:dyDescent="0.25">
      <c r="A441" s="12" t="s">
        <v>4</v>
      </c>
      <c r="B441" s="37">
        <v>27087</v>
      </c>
      <c r="C441" s="37"/>
      <c r="D441" s="38"/>
      <c r="E441" s="4"/>
      <c r="F441" s="12" t="s">
        <v>4</v>
      </c>
      <c r="G441" s="37">
        <f>B441</f>
        <v>27087</v>
      </c>
      <c r="H441" s="37"/>
      <c r="I441" s="38"/>
    </row>
    <row r="442" spans="1:12" ht="63.75" customHeight="1" x14ac:dyDescent="0.25">
      <c r="A442" s="33" t="s">
        <v>82</v>
      </c>
      <c r="B442" s="33"/>
      <c r="C442" s="33"/>
      <c r="D442" s="33"/>
      <c r="E442" s="2"/>
      <c r="F442" s="33" t="str">
        <f>A442</f>
        <v>Tall DEO - Barrel</v>
      </c>
      <c r="G442" s="33"/>
      <c r="H442" s="33"/>
      <c r="I442" s="33"/>
    </row>
    <row r="443" spans="1:12" s="1" customFormat="1" ht="30" customHeight="1" x14ac:dyDescent="0.25">
      <c r="A443" s="11" t="s">
        <v>0</v>
      </c>
      <c r="B443" s="10"/>
      <c r="C443" s="11" t="s">
        <v>1</v>
      </c>
      <c r="D443" s="10"/>
      <c r="E443" s="3"/>
      <c r="F443" s="11" t="s">
        <v>0</v>
      </c>
      <c r="G443" s="10"/>
      <c r="H443" s="11" t="s">
        <v>1</v>
      </c>
      <c r="I443" s="10"/>
    </row>
    <row r="444" spans="1:12" s="1" customFormat="1" ht="30" customHeight="1" x14ac:dyDescent="0.25">
      <c r="A444" s="11" t="s">
        <v>2</v>
      </c>
      <c r="B444" s="10"/>
      <c r="C444" s="11" t="s">
        <v>5</v>
      </c>
      <c r="D444" s="7" t="s">
        <v>83</v>
      </c>
      <c r="E444" s="4"/>
      <c r="F444" s="11" t="s">
        <v>2</v>
      </c>
      <c r="G444" s="10"/>
      <c r="H444" s="11" t="s">
        <v>5</v>
      </c>
      <c r="I444" s="7" t="str">
        <f>D444</f>
        <v>18B</v>
      </c>
    </row>
    <row r="445" spans="1:12" s="1" customFormat="1" ht="53.25" customHeight="1" x14ac:dyDescent="0.25">
      <c r="A445" s="8" t="s">
        <v>3</v>
      </c>
      <c r="B445" s="9">
        <v>64</v>
      </c>
      <c r="C445" s="11" t="s">
        <v>6</v>
      </c>
      <c r="D445" s="7" t="s">
        <v>84</v>
      </c>
      <c r="E445" s="4"/>
      <c r="F445" s="8" t="s">
        <v>3</v>
      </c>
      <c r="G445" s="9">
        <v>214</v>
      </c>
      <c r="H445" s="11" t="s">
        <v>6</v>
      </c>
      <c r="I445" s="7" t="str">
        <f>D445</f>
        <v>DEO-B06</v>
      </c>
      <c r="K445" s="6" t="s">
        <v>8</v>
      </c>
      <c r="L445" s="6" t="s">
        <v>7</v>
      </c>
    </row>
    <row r="446" spans="1:12" s="1" customFormat="1" ht="30" customHeight="1" x14ac:dyDescent="0.25">
      <c r="A446" s="34" t="s">
        <v>86</v>
      </c>
      <c r="B446" s="35"/>
      <c r="C446" s="35"/>
      <c r="D446" s="36"/>
      <c r="E446" s="5"/>
      <c r="F446" s="34" t="s">
        <v>86</v>
      </c>
      <c r="G446" s="35"/>
      <c r="H446" s="35"/>
      <c r="I446" s="36"/>
      <c r="K446" s="1">
        <v>165</v>
      </c>
      <c r="L446" s="1">
        <v>20</v>
      </c>
    </row>
    <row r="447" spans="1:12" s="1" customFormat="1" ht="30" customHeight="1" x14ac:dyDescent="0.25">
      <c r="A447" s="43" t="s">
        <v>85</v>
      </c>
      <c r="B447" s="44"/>
      <c r="C447" s="41" t="s">
        <v>81</v>
      </c>
      <c r="D447" s="42"/>
      <c r="E447" s="4"/>
      <c r="F447" s="43" t="str">
        <f>A447</f>
        <v>KW621</v>
      </c>
      <c r="G447" s="44"/>
      <c r="H447" s="41" t="str">
        <f>C447</f>
        <v>Green</v>
      </c>
      <c r="I447" s="42"/>
    </row>
    <row r="448" spans="1:12" s="1" customFormat="1" ht="30" customHeight="1" x14ac:dyDescent="0.25">
      <c r="A448" s="12" t="s">
        <v>4</v>
      </c>
      <c r="B448" s="37">
        <v>27087</v>
      </c>
      <c r="C448" s="37"/>
      <c r="D448" s="38"/>
      <c r="E448" s="4"/>
      <c r="F448" s="12" t="s">
        <v>4</v>
      </c>
      <c r="G448" s="37">
        <f>B448</f>
        <v>27087</v>
      </c>
      <c r="H448" s="37"/>
      <c r="I448" s="38"/>
    </row>
    <row r="449" spans="1:12" ht="63.75" customHeight="1" x14ac:dyDescent="0.25">
      <c r="A449" s="33" t="s">
        <v>82</v>
      </c>
      <c r="B449" s="33"/>
      <c r="C449" s="33"/>
      <c r="D449" s="33"/>
      <c r="E449" s="2"/>
      <c r="F449" s="33" t="str">
        <f>A449</f>
        <v>Tall DEO - Barrel</v>
      </c>
      <c r="G449" s="33"/>
      <c r="H449" s="33"/>
      <c r="I449" s="33"/>
    </row>
    <row r="450" spans="1:12" s="1" customFormat="1" ht="30" customHeight="1" x14ac:dyDescent="0.25">
      <c r="A450" s="11" t="s">
        <v>0</v>
      </c>
      <c r="B450" s="10"/>
      <c r="C450" s="11" t="s">
        <v>1</v>
      </c>
      <c r="D450" s="10"/>
      <c r="E450" s="3"/>
      <c r="F450" s="11" t="s">
        <v>0</v>
      </c>
      <c r="G450" s="10"/>
      <c r="H450" s="11" t="s">
        <v>1</v>
      </c>
      <c r="I450" s="10"/>
    </row>
    <row r="451" spans="1:12" s="1" customFormat="1" ht="30" customHeight="1" x14ac:dyDescent="0.25">
      <c r="A451" s="11" t="s">
        <v>2</v>
      </c>
      <c r="B451" s="10"/>
      <c r="C451" s="11" t="s">
        <v>5</v>
      </c>
      <c r="D451" s="7" t="s">
        <v>83</v>
      </c>
      <c r="E451" s="4"/>
      <c r="F451" s="11" t="s">
        <v>2</v>
      </c>
      <c r="G451" s="10"/>
      <c r="H451" s="11" t="s">
        <v>5</v>
      </c>
      <c r="I451" s="7" t="str">
        <f>D451</f>
        <v>18B</v>
      </c>
    </row>
    <row r="452" spans="1:12" s="1" customFormat="1" ht="53.25" customHeight="1" x14ac:dyDescent="0.25">
      <c r="A452" s="8" t="s">
        <v>3</v>
      </c>
      <c r="B452" s="9">
        <v>65</v>
      </c>
      <c r="C452" s="11" t="s">
        <v>6</v>
      </c>
      <c r="D452" s="7" t="s">
        <v>84</v>
      </c>
      <c r="E452" s="4"/>
      <c r="F452" s="8" t="s">
        <v>3</v>
      </c>
      <c r="G452" s="9">
        <v>215</v>
      </c>
      <c r="H452" s="11" t="s">
        <v>6</v>
      </c>
      <c r="I452" s="7" t="str">
        <f>D452</f>
        <v>DEO-B06</v>
      </c>
      <c r="K452" s="6" t="s">
        <v>8</v>
      </c>
      <c r="L452" s="6" t="s">
        <v>7</v>
      </c>
    </row>
    <row r="453" spans="1:12" s="1" customFormat="1" ht="30" customHeight="1" x14ac:dyDescent="0.25">
      <c r="A453" s="34" t="s">
        <v>86</v>
      </c>
      <c r="B453" s="35"/>
      <c r="C453" s="35"/>
      <c r="D453" s="36"/>
      <c r="E453" s="5"/>
      <c r="F453" s="34" t="s">
        <v>86</v>
      </c>
      <c r="G453" s="35"/>
      <c r="H453" s="35"/>
      <c r="I453" s="36"/>
      <c r="K453" s="1">
        <v>165</v>
      </c>
      <c r="L453" s="1">
        <v>20</v>
      </c>
    </row>
    <row r="454" spans="1:12" s="1" customFormat="1" ht="30" customHeight="1" x14ac:dyDescent="0.25">
      <c r="A454" s="43" t="s">
        <v>85</v>
      </c>
      <c r="B454" s="44"/>
      <c r="C454" s="41" t="s">
        <v>81</v>
      </c>
      <c r="D454" s="42"/>
      <c r="E454" s="4"/>
      <c r="F454" s="43" t="str">
        <f>A454</f>
        <v>KW621</v>
      </c>
      <c r="G454" s="44"/>
      <c r="H454" s="41" t="str">
        <f>C454</f>
        <v>Green</v>
      </c>
      <c r="I454" s="42"/>
    </row>
    <row r="455" spans="1:12" s="1" customFormat="1" ht="30" customHeight="1" x14ac:dyDescent="0.25">
      <c r="A455" s="12" t="s">
        <v>4</v>
      </c>
      <c r="B455" s="37">
        <v>27087</v>
      </c>
      <c r="C455" s="37"/>
      <c r="D455" s="38"/>
      <c r="E455" s="4"/>
      <c r="F455" s="12" t="s">
        <v>4</v>
      </c>
      <c r="G455" s="37">
        <f>B455</f>
        <v>27087</v>
      </c>
      <c r="H455" s="37"/>
      <c r="I455" s="38"/>
    </row>
    <row r="456" spans="1:12" ht="63.75" customHeight="1" x14ac:dyDescent="0.25">
      <c r="A456" s="33" t="s">
        <v>82</v>
      </c>
      <c r="B456" s="33"/>
      <c r="C456" s="33"/>
      <c r="D456" s="33"/>
      <c r="E456" s="2"/>
      <c r="F456" s="33" t="str">
        <f>A456</f>
        <v>Tall DEO - Barrel</v>
      </c>
      <c r="G456" s="33"/>
      <c r="H456" s="33"/>
      <c r="I456" s="33"/>
    </row>
    <row r="457" spans="1:12" s="1" customFormat="1" ht="30" customHeight="1" x14ac:dyDescent="0.25">
      <c r="A457" s="11" t="s">
        <v>0</v>
      </c>
      <c r="B457" s="10"/>
      <c r="C457" s="11" t="s">
        <v>1</v>
      </c>
      <c r="D457" s="10"/>
      <c r="E457" s="3"/>
      <c r="F457" s="11" t="s">
        <v>0</v>
      </c>
      <c r="G457" s="10"/>
      <c r="H457" s="11" t="s">
        <v>1</v>
      </c>
      <c r="I457" s="10"/>
    </row>
    <row r="458" spans="1:12" s="1" customFormat="1" ht="30" customHeight="1" x14ac:dyDescent="0.25">
      <c r="A458" s="11" t="s">
        <v>2</v>
      </c>
      <c r="B458" s="10"/>
      <c r="C458" s="11" t="s">
        <v>5</v>
      </c>
      <c r="D458" s="7" t="s">
        <v>83</v>
      </c>
      <c r="E458" s="4"/>
      <c r="F458" s="11" t="s">
        <v>2</v>
      </c>
      <c r="G458" s="10"/>
      <c r="H458" s="11" t="s">
        <v>5</v>
      </c>
      <c r="I458" s="7" t="str">
        <f>D458</f>
        <v>18B</v>
      </c>
    </row>
    <row r="459" spans="1:12" s="1" customFormat="1" ht="53.25" customHeight="1" x14ac:dyDescent="0.25">
      <c r="A459" s="8" t="s">
        <v>3</v>
      </c>
      <c r="B459" s="9">
        <v>66</v>
      </c>
      <c r="C459" s="11" t="s">
        <v>6</v>
      </c>
      <c r="D459" s="7" t="s">
        <v>84</v>
      </c>
      <c r="E459" s="4"/>
      <c r="F459" s="8" t="s">
        <v>3</v>
      </c>
      <c r="G459" s="9">
        <v>216</v>
      </c>
      <c r="H459" s="11" t="s">
        <v>6</v>
      </c>
      <c r="I459" s="7" t="str">
        <f>D459</f>
        <v>DEO-B06</v>
      </c>
      <c r="K459" s="6" t="s">
        <v>8</v>
      </c>
      <c r="L459" s="6" t="s">
        <v>7</v>
      </c>
    </row>
    <row r="460" spans="1:12" s="1" customFormat="1" ht="30" customHeight="1" x14ac:dyDescent="0.25">
      <c r="A460" s="34" t="s">
        <v>86</v>
      </c>
      <c r="B460" s="35"/>
      <c r="C460" s="35"/>
      <c r="D460" s="36"/>
      <c r="E460" s="5"/>
      <c r="F460" s="34" t="s">
        <v>86</v>
      </c>
      <c r="G460" s="35"/>
      <c r="H460" s="35"/>
      <c r="I460" s="36"/>
      <c r="K460" s="1">
        <v>165</v>
      </c>
      <c r="L460" s="1">
        <v>20</v>
      </c>
    </row>
    <row r="461" spans="1:12" s="1" customFormat="1" ht="30" customHeight="1" x14ac:dyDescent="0.25">
      <c r="A461" s="43" t="s">
        <v>85</v>
      </c>
      <c r="B461" s="44"/>
      <c r="C461" s="41" t="s">
        <v>81</v>
      </c>
      <c r="D461" s="42"/>
      <c r="E461" s="4"/>
      <c r="F461" s="43" t="str">
        <f>A461</f>
        <v>KW621</v>
      </c>
      <c r="G461" s="44"/>
      <c r="H461" s="41" t="str">
        <f>C461</f>
        <v>Green</v>
      </c>
      <c r="I461" s="42"/>
    </row>
    <row r="462" spans="1:12" s="1" customFormat="1" ht="30" customHeight="1" x14ac:dyDescent="0.25">
      <c r="A462" s="12" t="s">
        <v>4</v>
      </c>
      <c r="B462" s="37">
        <v>27087</v>
      </c>
      <c r="C462" s="37"/>
      <c r="D462" s="38"/>
      <c r="E462" s="4"/>
      <c r="F462" s="12" t="s">
        <v>4</v>
      </c>
      <c r="G462" s="37">
        <f>B462</f>
        <v>27087</v>
      </c>
      <c r="H462" s="37"/>
      <c r="I462" s="38"/>
    </row>
    <row r="463" spans="1:12" ht="63.75" customHeight="1" x14ac:dyDescent="0.25">
      <c r="A463" s="33" t="s">
        <v>82</v>
      </c>
      <c r="B463" s="33"/>
      <c r="C463" s="33"/>
      <c r="D463" s="33"/>
      <c r="E463" s="2"/>
      <c r="F463" s="33" t="str">
        <f>A463</f>
        <v>Tall DEO - Barrel</v>
      </c>
      <c r="G463" s="33"/>
      <c r="H463" s="33"/>
      <c r="I463" s="33"/>
    </row>
    <row r="464" spans="1:12" s="1" customFormat="1" ht="30" customHeight="1" x14ac:dyDescent="0.25">
      <c r="A464" s="11" t="s">
        <v>0</v>
      </c>
      <c r="B464" s="10"/>
      <c r="C464" s="11" t="s">
        <v>1</v>
      </c>
      <c r="D464" s="10"/>
      <c r="E464" s="3"/>
      <c r="F464" s="11" t="s">
        <v>0</v>
      </c>
      <c r="G464" s="10"/>
      <c r="H464" s="11" t="s">
        <v>1</v>
      </c>
      <c r="I464" s="10"/>
    </row>
    <row r="465" spans="1:12" s="1" customFormat="1" ht="30" customHeight="1" x14ac:dyDescent="0.25">
      <c r="A465" s="11" t="s">
        <v>2</v>
      </c>
      <c r="B465" s="10"/>
      <c r="C465" s="11" t="s">
        <v>5</v>
      </c>
      <c r="D465" s="7" t="s">
        <v>83</v>
      </c>
      <c r="E465" s="4"/>
      <c r="F465" s="11" t="s">
        <v>2</v>
      </c>
      <c r="G465" s="10"/>
      <c r="H465" s="11" t="s">
        <v>5</v>
      </c>
      <c r="I465" s="7" t="str">
        <f>D465</f>
        <v>18B</v>
      </c>
    </row>
    <row r="466" spans="1:12" s="1" customFormat="1" ht="53.25" customHeight="1" x14ac:dyDescent="0.25">
      <c r="A466" s="8" t="s">
        <v>3</v>
      </c>
      <c r="B466" s="9">
        <v>67</v>
      </c>
      <c r="C466" s="11" t="s">
        <v>6</v>
      </c>
      <c r="D466" s="7" t="s">
        <v>84</v>
      </c>
      <c r="E466" s="4"/>
      <c r="F466" s="8" t="s">
        <v>3</v>
      </c>
      <c r="G466" s="9">
        <v>217</v>
      </c>
      <c r="H466" s="11" t="s">
        <v>6</v>
      </c>
      <c r="I466" s="7" t="str">
        <f>D466</f>
        <v>DEO-B06</v>
      </c>
      <c r="K466" s="6" t="s">
        <v>8</v>
      </c>
      <c r="L466" s="6" t="s">
        <v>7</v>
      </c>
    </row>
    <row r="467" spans="1:12" s="1" customFormat="1" ht="30" customHeight="1" x14ac:dyDescent="0.25">
      <c r="A467" s="34" t="s">
        <v>86</v>
      </c>
      <c r="B467" s="35"/>
      <c r="C467" s="35"/>
      <c r="D467" s="36"/>
      <c r="E467" s="5"/>
      <c r="F467" s="34" t="s">
        <v>86</v>
      </c>
      <c r="G467" s="35"/>
      <c r="H467" s="35"/>
      <c r="I467" s="36"/>
      <c r="K467" s="1">
        <v>165</v>
      </c>
      <c r="L467" s="1">
        <v>20</v>
      </c>
    </row>
    <row r="468" spans="1:12" s="1" customFormat="1" ht="30" customHeight="1" x14ac:dyDescent="0.25">
      <c r="A468" s="43" t="s">
        <v>85</v>
      </c>
      <c r="B468" s="44"/>
      <c r="C468" s="41" t="s">
        <v>81</v>
      </c>
      <c r="D468" s="42"/>
      <c r="E468" s="4"/>
      <c r="F468" s="43" t="str">
        <f>A468</f>
        <v>KW621</v>
      </c>
      <c r="G468" s="44"/>
      <c r="H468" s="41" t="str">
        <f>C468</f>
        <v>Green</v>
      </c>
      <c r="I468" s="42"/>
    </row>
    <row r="469" spans="1:12" s="1" customFormat="1" ht="30" customHeight="1" x14ac:dyDescent="0.25">
      <c r="A469" s="12" t="s">
        <v>4</v>
      </c>
      <c r="B469" s="37">
        <v>27087</v>
      </c>
      <c r="C469" s="37"/>
      <c r="D469" s="38"/>
      <c r="E469" s="4"/>
      <c r="F469" s="12" t="s">
        <v>4</v>
      </c>
      <c r="G469" s="37">
        <f>B469</f>
        <v>27087</v>
      </c>
      <c r="H469" s="37"/>
      <c r="I469" s="38"/>
    </row>
    <row r="470" spans="1:12" ht="63.75" customHeight="1" x14ac:dyDescent="0.25">
      <c r="A470" s="33" t="s">
        <v>82</v>
      </c>
      <c r="B470" s="33"/>
      <c r="C470" s="33"/>
      <c r="D470" s="33"/>
      <c r="E470" s="2"/>
      <c r="F470" s="33" t="str">
        <f>A470</f>
        <v>Tall DEO - Barrel</v>
      </c>
      <c r="G470" s="33"/>
      <c r="H470" s="33"/>
      <c r="I470" s="33"/>
    </row>
    <row r="471" spans="1:12" s="1" customFormat="1" ht="30" customHeight="1" x14ac:dyDescent="0.25">
      <c r="A471" s="11" t="s">
        <v>0</v>
      </c>
      <c r="B471" s="10"/>
      <c r="C471" s="11" t="s">
        <v>1</v>
      </c>
      <c r="D471" s="10"/>
      <c r="E471" s="3"/>
      <c r="F471" s="11" t="s">
        <v>0</v>
      </c>
      <c r="G471" s="10"/>
      <c r="H471" s="11" t="s">
        <v>1</v>
      </c>
      <c r="I471" s="10"/>
    </row>
    <row r="472" spans="1:12" s="1" customFormat="1" ht="30" customHeight="1" x14ac:dyDescent="0.25">
      <c r="A472" s="11" t="s">
        <v>2</v>
      </c>
      <c r="B472" s="10"/>
      <c r="C472" s="11" t="s">
        <v>5</v>
      </c>
      <c r="D472" s="7" t="s">
        <v>83</v>
      </c>
      <c r="E472" s="4"/>
      <c r="F472" s="11" t="s">
        <v>2</v>
      </c>
      <c r="G472" s="10"/>
      <c r="H472" s="11" t="s">
        <v>5</v>
      </c>
      <c r="I472" s="7" t="str">
        <f>D472</f>
        <v>18B</v>
      </c>
    </row>
    <row r="473" spans="1:12" s="1" customFormat="1" ht="53.25" customHeight="1" x14ac:dyDescent="0.25">
      <c r="A473" s="8" t="s">
        <v>3</v>
      </c>
      <c r="B473" s="9">
        <v>68</v>
      </c>
      <c r="C473" s="11" t="s">
        <v>6</v>
      </c>
      <c r="D473" s="7" t="s">
        <v>84</v>
      </c>
      <c r="E473" s="4"/>
      <c r="F473" s="8" t="s">
        <v>3</v>
      </c>
      <c r="G473" s="9">
        <v>218</v>
      </c>
      <c r="H473" s="11" t="s">
        <v>6</v>
      </c>
      <c r="I473" s="7" t="str">
        <f>D473</f>
        <v>DEO-B06</v>
      </c>
      <c r="K473" s="6" t="s">
        <v>8</v>
      </c>
      <c r="L473" s="6" t="s">
        <v>7</v>
      </c>
    </row>
    <row r="474" spans="1:12" s="1" customFormat="1" ht="30" customHeight="1" x14ac:dyDescent="0.25">
      <c r="A474" s="34" t="s">
        <v>86</v>
      </c>
      <c r="B474" s="35"/>
      <c r="C474" s="35"/>
      <c r="D474" s="36"/>
      <c r="E474" s="5"/>
      <c r="F474" s="34" t="s">
        <v>86</v>
      </c>
      <c r="G474" s="35"/>
      <c r="H474" s="35"/>
      <c r="I474" s="36"/>
      <c r="K474" s="1">
        <v>165</v>
      </c>
      <c r="L474" s="1">
        <v>20</v>
      </c>
    </row>
    <row r="475" spans="1:12" s="1" customFormat="1" ht="30" customHeight="1" x14ac:dyDescent="0.25">
      <c r="A475" s="43" t="s">
        <v>85</v>
      </c>
      <c r="B475" s="44"/>
      <c r="C475" s="41" t="s">
        <v>81</v>
      </c>
      <c r="D475" s="42"/>
      <c r="E475" s="4"/>
      <c r="F475" s="43" t="str">
        <f>A475</f>
        <v>KW621</v>
      </c>
      <c r="G475" s="44"/>
      <c r="H475" s="41" t="str">
        <f>C475</f>
        <v>Green</v>
      </c>
      <c r="I475" s="42"/>
    </row>
    <row r="476" spans="1:12" s="1" customFormat="1" ht="30" customHeight="1" x14ac:dyDescent="0.25">
      <c r="A476" s="12" t="s">
        <v>4</v>
      </c>
      <c r="B476" s="37">
        <v>27087</v>
      </c>
      <c r="C476" s="37"/>
      <c r="D476" s="38"/>
      <c r="E476" s="4"/>
      <c r="F476" s="12" t="s">
        <v>4</v>
      </c>
      <c r="G476" s="37">
        <f>B476</f>
        <v>27087</v>
      </c>
      <c r="H476" s="37"/>
      <c r="I476" s="38"/>
    </row>
    <row r="477" spans="1:12" ht="63.75" customHeight="1" x14ac:dyDescent="0.25">
      <c r="A477" s="33" t="s">
        <v>82</v>
      </c>
      <c r="B477" s="33"/>
      <c r="C477" s="33"/>
      <c r="D477" s="33"/>
      <c r="E477" s="2"/>
      <c r="F477" s="33" t="str">
        <f>A477</f>
        <v>Tall DEO - Barrel</v>
      </c>
      <c r="G477" s="33"/>
      <c r="H477" s="33"/>
      <c r="I477" s="33"/>
    </row>
    <row r="478" spans="1:12" s="1" customFormat="1" ht="30" customHeight="1" x14ac:dyDescent="0.25">
      <c r="A478" s="11" t="s">
        <v>0</v>
      </c>
      <c r="B478" s="10"/>
      <c r="C478" s="11" t="s">
        <v>1</v>
      </c>
      <c r="D478" s="10"/>
      <c r="E478" s="3"/>
      <c r="F478" s="11" t="s">
        <v>0</v>
      </c>
      <c r="G478" s="10"/>
      <c r="H478" s="11" t="s">
        <v>1</v>
      </c>
      <c r="I478" s="10"/>
    </row>
    <row r="479" spans="1:12" s="1" customFormat="1" ht="30" customHeight="1" x14ac:dyDescent="0.25">
      <c r="A479" s="11" t="s">
        <v>2</v>
      </c>
      <c r="B479" s="10"/>
      <c r="C479" s="11" t="s">
        <v>5</v>
      </c>
      <c r="D479" s="7" t="s">
        <v>83</v>
      </c>
      <c r="E479" s="4"/>
      <c r="F479" s="11" t="s">
        <v>2</v>
      </c>
      <c r="G479" s="10"/>
      <c r="H479" s="11" t="s">
        <v>5</v>
      </c>
      <c r="I479" s="7" t="str">
        <f>D479</f>
        <v>18B</v>
      </c>
    </row>
    <row r="480" spans="1:12" s="1" customFormat="1" ht="53.25" customHeight="1" x14ac:dyDescent="0.25">
      <c r="A480" s="8" t="s">
        <v>3</v>
      </c>
      <c r="B480" s="9">
        <v>69</v>
      </c>
      <c r="C480" s="11" t="s">
        <v>6</v>
      </c>
      <c r="D480" s="7" t="s">
        <v>84</v>
      </c>
      <c r="E480" s="4"/>
      <c r="F480" s="8" t="s">
        <v>3</v>
      </c>
      <c r="G480" s="9">
        <v>219</v>
      </c>
      <c r="H480" s="11" t="s">
        <v>6</v>
      </c>
      <c r="I480" s="7" t="str">
        <f>D480</f>
        <v>DEO-B06</v>
      </c>
      <c r="K480" s="6" t="s">
        <v>8</v>
      </c>
      <c r="L480" s="6" t="s">
        <v>7</v>
      </c>
    </row>
    <row r="481" spans="1:12" s="1" customFormat="1" ht="30" customHeight="1" x14ac:dyDescent="0.25">
      <c r="A481" s="34" t="s">
        <v>86</v>
      </c>
      <c r="B481" s="35"/>
      <c r="C481" s="35"/>
      <c r="D481" s="36"/>
      <c r="E481" s="5"/>
      <c r="F481" s="34" t="s">
        <v>86</v>
      </c>
      <c r="G481" s="35"/>
      <c r="H481" s="35"/>
      <c r="I481" s="36"/>
      <c r="K481" s="1">
        <v>165</v>
      </c>
      <c r="L481" s="1">
        <v>20</v>
      </c>
    </row>
    <row r="482" spans="1:12" s="1" customFormat="1" ht="30" customHeight="1" x14ac:dyDescent="0.25">
      <c r="A482" s="43" t="s">
        <v>85</v>
      </c>
      <c r="B482" s="44"/>
      <c r="C482" s="41" t="s">
        <v>81</v>
      </c>
      <c r="D482" s="42"/>
      <c r="E482" s="4"/>
      <c r="F482" s="43" t="str">
        <f>A482</f>
        <v>KW621</v>
      </c>
      <c r="G482" s="44"/>
      <c r="H482" s="41" t="str">
        <f>C482</f>
        <v>Green</v>
      </c>
      <c r="I482" s="42"/>
    </row>
    <row r="483" spans="1:12" s="1" customFormat="1" ht="30" customHeight="1" x14ac:dyDescent="0.25">
      <c r="A483" s="12" t="s">
        <v>4</v>
      </c>
      <c r="B483" s="37">
        <v>27087</v>
      </c>
      <c r="C483" s="37"/>
      <c r="D483" s="38"/>
      <c r="E483" s="4"/>
      <c r="F483" s="12" t="s">
        <v>4</v>
      </c>
      <c r="G483" s="37">
        <f>B483</f>
        <v>27087</v>
      </c>
      <c r="H483" s="37"/>
      <c r="I483" s="38"/>
    </row>
    <row r="484" spans="1:12" ht="63.75" customHeight="1" x14ac:dyDescent="0.25">
      <c r="A484" s="33" t="s">
        <v>82</v>
      </c>
      <c r="B484" s="33"/>
      <c r="C484" s="33"/>
      <c r="D484" s="33"/>
      <c r="E484" s="2"/>
      <c r="F484" s="33" t="str">
        <f>A484</f>
        <v>Tall DEO - Barrel</v>
      </c>
      <c r="G484" s="33"/>
      <c r="H484" s="33"/>
      <c r="I484" s="33"/>
    </row>
    <row r="485" spans="1:12" s="1" customFormat="1" ht="30" customHeight="1" x14ac:dyDescent="0.25">
      <c r="A485" s="11" t="s">
        <v>0</v>
      </c>
      <c r="B485" s="10"/>
      <c r="C485" s="11" t="s">
        <v>1</v>
      </c>
      <c r="D485" s="10"/>
      <c r="E485" s="3"/>
      <c r="F485" s="11" t="s">
        <v>0</v>
      </c>
      <c r="G485" s="10"/>
      <c r="H485" s="11" t="s">
        <v>1</v>
      </c>
      <c r="I485" s="10"/>
    </row>
    <row r="486" spans="1:12" s="1" customFormat="1" ht="30" customHeight="1" x14ac:dyDescent="0.25">
      <c r="A486" s="11" t="s">
        <v>2</v>
      </c>
      <c r="B486" s="10"/>
      <c r="C486" s="11" t="s">
        <v>5</v>
      </c>
      <c r="D486" s="7" t="s">
        <v>83</v>
      </c>
      <c r="E486" s="4"/>
      <c r="F486" s="11" t="s">
        <v>2</v>
      </c>
      <c r="G486" s="10"/>
      <c r="H486" s="11" t="s">
        <v>5</v>
      </c>
      <c r="I486" s="7" t="str">
        <f>D486</f>
        <v>18B</v>
      </c>
    </row>
    <row r="487" spans="1:12" s="1" customFormat="1" ht="53.25" customHeight="1" x14ac:dyDescent="0.25">
      <c r="A487" s="8" t="s">
        <v>3</v>
      </c>
      <c r="B487" s="9">
        <v>70</v>
      </c>
      <c r="C487" s="11" t="s">
        <v>6</v>
      </c>
      <c r="D487" s="7" t="s">
        <v>84</v>
      </c>
      <c r="E487" s="4"/>
      <c r="F487" s="8" t="s">
        <v>3</v>
      </c>
      <c r="G487" s="9">
        <v>220</v>
      </c>
      <c r="H487" s="11" t="s">
        <v>6</v>
      </c>
      <c r="I487" s="7" t="str">
        <f>D487</f>
        <v>DEO-B06</v>
      </c>
      <c r="K487" s="6" t="s">
        <v>8</v>
      </c>
      <c r="L487" s="6" t="s">
        <v>7</v>
      </c>
    </row>
    <row r="488" spans="1:12" s="1" customFormat="1" ht="30" customHeight="1" x14ac:dyDescent="0.25">
      <c r="A488" s="34" t="s">
        <v>86</v>
      </c>
      <c r="B488" s="35"/>
      <c r="C488" s="35"/>
      <c r="D488" s="36"/>
      <c r="E488" s="5"/>
      <c r="F488" s="34" t="s">
        <v>86</v>
      </c>
      <c r="G488" s="35"/>
      <c r="H488" s="35"/>
      <c r="I488" s="36"/>
      <c r="K488" s="1">
        <v>165</v>
      </c>
      <c r="L488" s="1">
        <v>20</v>
      </c>
    </row>
    <row r="489" spans="1:12" s="1" customFormat="1" ht="30" customHeight="1" x14ac:dyDescent="0.25">
      <c r="A489" s="43" t="s">
        <v>85</v>
      </c>
      <c r="B489" s="44"/>
      <c r="C489" s="41" t="s">
        <v>81</v>
      </c>
      <c r="D489" s="42"/>
      <c r="E489" s="4"/>
      <c r="F489" s="43" t="str">
        <f>A489</f>
        <v>KW621</v>
      </c>
      <c r="G489" s="44"/>
      <c r="H489" s="41" t="str">
        <f>C489</f>
        <v>Green</v>
      </c>
      <c r="I489" s="42"/>
    </row>
    <row r="490" spans="1:12" s="1" customFormat="1" ht="30" customHeight="1" x14ac:dyDescent="0.25">
      <c r="A490" s="12" t="s">
        <v>4</v>
      </c>
      <c r="B490" s="37">
        <v>27087</v>
      </c>
      <c r="C490" s="37"/>
      <c r="D490" s="38"/>
      <c r="E490" s="4"/>
      <c r="F490" s="12" t="s">
        <v>4</v>
      </c>
      <c r="G490" s="37">
        <f>B490</f>
        <v>27087</v>
      </c>
      <c r="H490" s="37"/>
      <c r="I490" s="38"/>
    </row>
    <row r="491" spans="1:12" ht="63.75" customHeight="1" x14ac:dyDescent="0.25">
      <c r="A491" s="33" t="s">
        <v>82</v>
      </c>
      <c r="B491" s="33"/>
      <c r="C491" s="33"/>
      <c r="D491" s="33"/>
      <c r="E491" s="2"/>
      <c r="F491" s="33" t="str">
        <f>A491</f>
        <v>Tall DEO - Barrel</v>
      </c>
      <c r="G491" s="33"/>
      <c r="H491" s="33"/>
      <c r="I491" s="33"/>
    </row>
    <row r="492" spans="1:12" s="1" customFormat="1" ht="30" customHeight="1" x14ac:dyDescent="0.25">
      <c r="A492" s="11" t="s">
        <v>0</v>
      </c>
      <c r="B492" s="10"/>
      <c r="C492" s="11" t="s">
        <v>1</v>
      </c>
      <c r="D492" s="10"/>
      <c r="E492" s="3"/>
      <c r="F492" s="11" t="s">
        <v>0</v>
      </c>
      <c r="G492" s="10"/>
      <c r="H492" s="11" t="s">
        <v>1</v>
      </c>
      <c r="I492" s="10"/>
    </row>
    <row r="493" spans="1:12" s="1" customFormat="1" ht="30" customHeight="1" x14ac:dyDescent="0.25">
      <c r="A493" s="11" t="s">
        <v>2</v>
      </c>
      <c r="B493" s="10"/>
      <c r="C493" s="11" t="s">
        <v>5</v>
      </c>
      <c r="D493" s="7" t="s">
        <v>83</v>
      </c>
      <c r="E493" s="4"/>
      <c r="F493" s="11" t="s">
        <v>2</v>
      </c>
      <c r="G493" s="10"/>
      <c r="H493" s="11" t="s">
        <v>5</v>
      </c>
      <c r="I493" s="7" t="str">
        <f>D493</f>
        <v>18B</v>
      </c>
    </row>
    <row r="494" spans="1:12" s="1" customFormat="1" ht="53.25" customHeight="1" x14ac:dyDescent="0.25">
      <c r="A494" s="8" t="s">
        <v>3</v>
      </c>
      <c r="B494" s="9">
        <v>71</v>
      </c>
      <c r="C494" s="11" t="s">
        <v>6</v>
      </c>
      <c r="D494" s="7" t="s">
        <v>84</v>
      </c>
      <c r="E494" s="4"/>
      <c r="F494" s="8" t="s">
        <v>3</v>
      </c>
      <c r="G494" s="9">
        <v>221</v>
      </c>
      <c r="H494" s="11" t="s">
        <v>6</v>
      </c>
      <c r="I494" s="7" t="str">
        <f>D494</f>
        <v>DEO-B06</v>
      </c>
      <c r="K494" s="6" t="s">
        <v>8</v>
      </c>
      <c r="L494" s="6" t="s">
        <v>7</v>
      </c>
    </row>
    <row r="495" spans="1:12" s="1" customFormat="1" ht="30" customHeight="1" x14ac:dyDescent="0.25">
      <c r="A495" s="34" t="s">
        <v>86</v>
      </c>
      <c r="B495" s="35"/>
      <c r="C495" s="35"/>
      <c r="D495" s="36"/>
      <c r="E495" s="5"/>
      <c r="F495" s="34" t="s">
        <v>86</v>
      </c>
      <c r="G495" s="35"/>
      <c r="H495" s="35"/>
      <c r="I495" s="36"/>
      <c r="K495" s="1">
        <v>165</v>
      </c>
      <c r="L495" s="1">
        <v>20</v>
      </c>
    </row>
    <row r="496" spans="1:12" s="1" customFormat="1" ht="30" customHeight="1" x14ac:dyDescent="0.25">
      <c r="A496" s="43" t="s">
        <v>85</v>
      </c>
      <c r="B496" s="44"/>
      <c r="C496" s="41" t="s">
        <v>81</v>
      </c>
      <c r="D496" s="42"/>
      <c r="E496" s="4"/>
      <c r="F496" s="43" t="str">
        <f>A496</f>
        <v>KW621</v>
      </c>
      <c r="G496" s="44"/>
      <c r="H496" s="41" t="str">
        <f>C496</f>
        <v>Green</v>
      </c>
      <c r="I496" s="42"/>
    </row>
    <row r="497" spans="1:12" s="1" customFormat="1" ht="30" customHeight="1" x14ac:dyDescent="0.25">
      <c r="A497" s="12" t="s">
        <v>4</v>
      </c>
      <c r="B497" s="37">
        <v>27087</v>
      </c>
      <c r="C497" s="37"/>
      <c r="D497" s="38"/>
      <c r="E497" s="4"/>
      <c r="F497" s="12" t="s">
        <v>4</v>
      </c>
      <c r="G497" s="37">
        <f>B497</f>
        <v>27087</v>
      </c>
      <c r="H497" s="37"/>
      <c r="I497" s="38"/>
    </row>
    <row r="498" spans="1:12" ht="63.75" customHeight="1" x14ac:dyDescent="0.25">
      <c r="A498" s="33" t="s">
        <v>82</v>
      </c>
      <c r="B498" s="33"/>
      <c r="C498" s="33"/>
      <c r="D498" s="33"/>
      <c r="E498" s="2"/>
      <c r="F498" s="33" t="str">
        <f>A498</f>
        <v>Tall DEO - Barrel</v>
      </c>
      <c r="G498" s="33"/>
      <c r="H498" s="33"/>
      <c r="I498" s="33"/>
    </row>
    <row r="499" spans="1:12" s="1" customFormat="1" ht="30" customHeight="1" x14ac:dyDescent="0.25">
      <c r="A499" s="11" t="s">
        <v>0</v>
      </c>
      <c r="B499" s="10"/>
      <c r="C499" s="11" t="s">
        <v>1</v>
      </c>
      <c r="D499" s="10"/>
      <c r="E499" s="3"/>
      <c r="F499" s="11" t="s">
        <v>0</v>
      </c>
      <c r="G499" s="10"/>
      <c r="H499" s="11" t="s">
        <v>1</v>
      </c>
      <c r="I499" s="10"/>
    </row>
    <row r="500" spans="1:12" s="1" customFormat="1" ht="30" customHeight="1" x14ac:dyDescent="0.25">
      <c r="A500" s="11" t="s">
        <v>2</v>
      </c>
      <c r="B500" s="10"/>
      <c r="C500" s="11" t="s">
        <v>5</v>
      </c>
      <c r="D500" s="7" t="s">
        <v>83</v>
      </c>
      <c r="E500" s="4"/>
      <c r="F500" s="11" t="s">
        <v>2</v>
      </c>
      <c r="G500" s="10"/>
      <c r="H500" s="11" t="s">
        <v>5</v>
      </c>
      <c r="I500" s="7" t="str">
        <f>D500</f>
        <v>18B</v>
      </c>
    </row>
    <row r="501" spans="1:12" s="1" customFormat="1" ht="53.25" customHeight="1" x14ac:dyDescent="0.25">
      <c r="A501" s="8" t="s">
        <v>3</v>
      </c>
      <c r="B501" s="9">
        <v>72</v>
      </c>
      <c r="C501" s="11" t="s">
        <v>6</v>
      </c>
      <c r="D501" s="7" t="s">
        <v>84</v>
      </c>
      <c r="E501" s="4"/>
      <c r="F501" s="8" t="s">
        <v>3</v>
      </c>
      <c r="G501" s="9">
        <v>222</v>
      </c>
      <c r="H501" s="11" t="s">
        <v>6</v>
      </c>
      <c r="I501" s="7" t="str">
        <f>D501</f>
        <v>DEO-B06</v>
      </c>
      <c r="K501" s="6" t="s">
        <v>8</v>
      </c>
      <c r="L501" s="6" t="s">
        <v>7</v>
      </c>
    </row>
    <row r="502" spans="1:12" s="1" customFormat="1" ht="30" customHeight="1" x14ac:dyDescent="0.25">
      <c r="A502" s="34" t="s">
        <v>86</v>
      </c>
      <c r="B502" s="35"/>
      <c r="C502" s="35"/>
      <c r="D502" s="36"/>
      <c r="E502" s="5"/>
      <c r="F502" s="34" t="s">
        <v>86</v>
      </c>
      <c r="G502" s="35"/>
      <c r="H502" s="35"/>
      <c r="I502" s="36"/>
      <c r="K502" s="1">
        <v>165</v>
      </c>
      <c r="L502" s="1">
        <v>20</v>
      </c>
    </row>
    <row r="503" spans="1:12" s="1" customFormat="1" ht="30" customHeight="1" x14ac:dyDescent="0.25">
      <c r="A503" s="43" t="s">
        <v>85</v>
      </c>
      <c r="B503" s="44"/>
      <c r="C503" s="41" t="s">
        <v>81</v>
      </c>
      <c r="D503" s="42"/>
      <c r="E503" s="4"/>
      <c r="F503" s="43" t="str">
        <f>A503</f>
        <v>KW621</v>
      </c>
      <c r="G503" s="44"/>
      <c r="H503" s="41" t="str">
        <f>C503</f>
        <v>Green</v>
      </c>
      <c r="I503" s="42"/>
    </row>
    <row r="504" spans="1:12" s="1" customFormat="1" ht="30" customHeight="1" x14ac:dyDescent="0.25">
      <c r="A504" s="12" t="s">
        <v>4</v>
      </c>
      <c r="B504" s="37">
        <v>27087</v>
      </c>
      <c r="C504" s="37"/>
      <c r="D504" s="38"/>
      <c r="E504" s="4"/>
      <c r="F504" s="12" t="s">
        <v>4</v>
      </c>
      <c r="G504" s="37">
        <f>B504</f>
        <v>27087</v>
      </c>
      <c r="H504" s="37"/>
      <c r="I504" s="38"/>
    </row>
    <row r="505" spans="1:12" ht="63.75" customHeight="1" x14ac:dyDescent="0.25">
      <c r="A505" s="33" t="s">
        <v>82</v>
      </c>
      <c r="B505" s="33"/>
      <c r="C505" s="33"/>
      <c r="D505" s="33"/>
      <c r="E505" s="2"/>
      <c r="F505" s="33" t="str">
        <f>A505</f>
        <v>Tall DEO - Barrel</v>
      </c>
      <c r="G505" s="33"/>
      <c r="H505" s="33"/>
      <c r="I505" s="33"/>
    </row>
    <row r="506" spans="1:12" s="1" customFormat="1" ht="30" customHeight="1" x14ac:dyDescent="0.25">
      <c r="A506" s="11" t="s">
        <v>0</v>
      </c>
      <c r="B506" s="10"/>
      <c r="C506" s="11" t="s">
        <v>1</v>
      </c>
      <c r="D506" s="10"/>
      <c r="E506" s="3"/>
      <c r="F506" s="11" t="s">
        <v>0</v>
      </c>
      <c r="G506" s="10"/>
      <c r="H506" s="11" t="s">
        <v>1</v>
      </c>
      <c r="I506" s="10"/>
    </row>
    <row r="507" spans="1:12" s="1" customFormat="1" ht="30" customHeight="1" x14ac:dyDescent="0.25">
      <c r="A507" s="11" t="s">
        <v>2</v>
      </c>
      <c r="B507" s="10"/>
      <c r="C507" s="11" t="s">
        <v>5</v>
      </c>
      <c r="D507" s="7" t="s">
        <v>83</v>
      </c>
      <c r="E507" s="4"/>
      <c r="F507" s="11" t="s">
        <v>2</v>
      </c>
      <c r="G507" s="10"/>
      <c r="H507" s="11" t="s">
        <v>5</v>
      </c>
      <c r="I507" s="7" t="str">
        <f>D507</f>
        <v>18B</v>
      </c>
    </row>
    <row r="508" spans="1:12" s="1" customFormat="1" ht="53.25" customHeight="1" x14ac:dyDescent="0.25">
      <c r="A508" s="8" t="s">
        <v>3</v>
      </c>
      <c r="B508" s="9">
        <v>73</v>
      </c>
      <c r="C508" s="11" t="s">
        <v>6</v>
      </c>
      <c r="D508" s="7" t="s">
        <v>84</v>
      </c>
      <c r="E508" s="4"/>
      <c r="F508" s="8" t="s">
        <v>3</v>
      </c>
      <c r="G508" s="9">
        <v>223</v>
      </c>
      <c r="H508" s="11" t="s">
        <v>6</v>
      </c>
      <c r="I508" s="7" t="str">
        <f>D508</f>
        <v>DEO-B06</v>
      </c>
      <c r="K508" s="6" t="s">
        <v>8</v>
      </c>
      <c r="L508" s="6" t="s">
        <v>7</v>
      </c>
    </row>
    <row r="509" spans="1:12" s="1" customFormat="1" ht="30" customHeight="1" x14ac:dyDescent="0.25">
      <c r="A509" s="34" t="s">
        <v>86</v>
      </c>
      <c r="B509" s="35"/>
      <c r="C509" s="35"/>
      <c r="D509" s="36"/>
      <c r="E509" s="5"/>
      <c r="F509" s="34" t="s">
        <v>86</v>
      </c>
      <c r="G509" s="35"/>
      <c r="H509" s="35"/>
      <c r="I509" s="36"/>
      <c r="K509" s="1">
        <v>165</v>
      </c>
      <c r="L509" s="1">
        <v>20</v>
      </c>
    </row>
    <row r="510" spans="1:12" s="1" customFormat="1" ht="30" customHeight="1" x14ac:dyDescent="0.25">
      <c r="A510" s="43" t="s">
        <v>85</v>
      </c>
      <c r="B510" s="44"/>
      <c r="C510" s="41" t="s">
        <v>81</v>
      </c>
      <c r="D510" s="42"/>
      <c r="E510" s="4"/>
      <c r="F510" s="43" t="str">
        <f>A510</f>
        <v>KW621</v>
      </c>
      <c r="G510" s="44"/>
      <c r="H510" s="41" t="str">
        <f>C510</f>
        <v>Green</v>
      </c>
      <c r="I510" s="42"/>
    </row>
    <row r="511" spans="1:12" s="1" customFormat="1" ht="30" customHeight="1" x14ac:dyDescent="0.25">
      <c r="A511" s="12" t="s">
        <v>4</v>
      </c>
      <c r="B511" s="37">
        <v>27087</v>
      </c>
      <c r="C511" s="37"/>
      <c r="D511" s="38"/>
      <c r="E511" s="4"/>
      <c r="F511" s="12" t="s">
        <v>4</v>
      </c>
      <c r="G511" s="37">
        <f>B511</f>
        <v>27087</v>
      </c>
      <c r="H511" s="37"/>
      <c r="I511" s="38"/>
    </row>
    <row r="512" spans="1:12" ht="63.75" customHeight="1" x14ac:dyDescent="0.25">
      <c r="A512" s="33" t="s">
        <v>82</v>
      </c>
      <c r="B512" s="33"/>
      <c r="C512" s="33"/>
      <c r="D512" s="33"/>
      <c r="E512" s="2"/>
      <c r="F512" s="33" t="str">
        <f>A512</f>
        <v>Tall DEO - Barrel</v>
      </c>
      <c r="G512" s="33"/>
      <c r="H512" s="33"/>
      <c r="I512" s="33"/>
    </row>
    <row r="513" spans="1:12" s="1" customFormat="1" ht="30" customHeight="1" x14ac:dyDescent="0.25">
      <c r="A513" s="11" t="s">
        <v>0</v>
      </c>
      <c r="B513" s="10"/>
      <c r="C513" s="11" t="s">
        <v>1</v>
      </c>
      <c r="D513" s="10"/>
      <c r="E513" s="3"/>
      <c r="F513" s="11" t="s">
        <v>0</v>
      </c>
      <c r="G513" s="10"/>
      <c r="H513" s="11" t="s">
        <v>1</v>
      </c>
      <c r="I513" s="10"/>
    </row>
    <row r="514" spans="1:12" s="1" customFormat="1" ht="30" customHeight="1" x14ac:dyDescent="0.25">
      <c r="A514" s="11" t="s">
        <v>2</v>
      </c>
      <c r="B514" s="10"/>
      <c r="C514" s="11" t="s">
        <v>5</v>
      </c>
      <c r="D514" s="7" t="s">
        <v>83</v>
      </c>
      <c r="E514" s="4"/>
      <c r="F514" s="11" t="s">
        <v>2</v>
      </c>
      <c r="G514" s="10"/>
      <c r="H514" s="11" t="s">
        <v>5</v>
      </c>
      <c r="I514" s="7" t="str">
        <f>D514</f>
        <v>18B</v>
      </c>
    </row>
    <row r="515" spans="1:12" s="1" customFormat="1" ht="53.25" customHeight="1" x14ac:dyDescent="0.25">
      <c r="A515" s="8" t="s">
        <v>3</v>
      </c>
      <c r="B515" s="9">
        <v>74</v>
      </c>
      <c r="C515" s="11" t="s">
        <v>6</v>
      </c>
      <c r="D515" s="7" t="s">
        <v>84</v>
      </c>
      <c r="E515" s="4"/>
      <c r="F515" s="8" t="s">
        <v>3</v>
      </c>
      <c r="G515" s="9">
        <v>224</v>
      </c>
      <c r="H515" s="11" t="s">
        <v>6</v>
      </c>
      <c r="I515" s="7" t="str">
        <f>D515</f>
        <v>DEO-B06</v>
      </c>
      <c r="K515" s="6" t="s">
        <v>8</v>
      </c>
      <c r="L515" s="6" t="s">
        <v>7</v>
      </c>
    </row>
    <row r="516" spans="1:12" s="1" customFormat="1" ht="30" customHeight="1" x14ac:dyDescent="0.25">
      <c r="A516" s="34" t="s">
        <v>86</v>
      </c>
      <c r="B516" s="35"/>
      <c r="C516" s="35"/>
      <c r="D516" s="36"/>
      <c r="E516" s="5"/>
      <c r="F516" s="34" t="s">
        <v>86</v>
      </c>
      <c r="G516" s="35"/>
      <c r="H516" s="35"/>
      <c r="I516" s="36"/>
      <c r="K516" s="1">
        <v>165</v>
      </c>
      <c r="L516" s="1">
        <v>20</v>
      </c>
    </row>
    <row r="517" spans="1:12" s="1" customFormat="1" ht="30" customHeight="1" x14ac:dyDescent="0.25">
      <c r="A517" s="43" t="s">
        <v>85</v>
      </c>
      <c r="B517" s="44"/>
      <c r="C517" s="41" t="s">
        <v>81</v>
      </c>
      <c r="D517" s="42"/>
      <c r="E517" s="4"/>
      <c r="F517" s="43" t="str">
        <f>A517</f>
        <v>KW621</v>
      </c>
      <c r="G517" s="44"/>
      <c r="H517" s="41" t="str">
        <f>C517</f>
        <v>Green</v>
      </c>
      <c r="I517" s="42"/>
    </row>
    <row r="518" spans="1:12" s="1" customFormat="1" ht="30" customHeight="1" x14ac:dyDescent="0.25">
      <c r="A518" s="12" t="s">
        <v>4</v>
      </c>
      <c r="B518" s="37">
        <v>27087</v>
      </c>
      <c r="C518" s="37"/>
      <c r="D518" s="38"/>
      <c r="E518" s="4"/>
      <c r="F518" s="12" t="s">
        <v>4</v>
      </c>
      <c r="G518" s="37">
        <f>B518</f>
        <v>27087</v>
      </c>
      <c r="H518" s="37"/>
      <c r="I518" s="38"/>
    </row>
    <row r="519" spans="1:12" ht="63.75" customHeight="1" x14ac:dyDescent="0.25">
      <c r="A519" s="33" t="s">
        <v>82</v>
      </c>
      <c r="B519" s="33"/>
      <c r="C519" s="33"/>
      <c r="D519" s="33"/>
      <c r="E519" s="2"/>
      <c r="F519" s="33" t="str">
        <f>A519</f>
        <v>Tall DEO - Barrel</v>
      </c>
      <c r="G519" s="33"/>
      <c r="H519" s="33"/>
      <c r="I519" s="33"/>
    </row>
    <row r="520" spans="1:12" s="1" customFormat="1" ht="30" customHeight="1" x14ac:dyDescent="0.25">
      <c r="A520" s="11" t="s">
        <v>0</v>
      </c>
      <c r="B520" s="10"/>
      <c r="C520" s="11" t="s">
        <v>1</v>
      </c>
      <c r="D520" s="10"/>
      <c r="E520" s="3"/>
      <c r="F520" s="11" t="s">
        <v>0</v>
      </c>
      <c r="G520" s="10"/>
      <c r="H520" s="11" t="s">
        <v>1</v>
      </c>
      <c r="I520" s="10"/>
    </row>
    <row r="521" spans="1:12" s="1" customFormat="1" ht="30" customHeight="1" x14ac:dyDescent="0.25">
      <c r="A521" s="11" t="s">
        <v>2</v>
      </c>
      <c r="B521" s="10"/>
      <c r="C521" s="11" t="s">
        <v>5</v>
      </c>
      <c r="D521" s="7" t="s">
        <v>83</v>
      </c>
      <c r="E521" s="4"/>
      <c r="F521" s="11" t="s">
        <v>2</v>
      </c>
      <c r="G521" s="10"/>
      <c r="H521" s="11" t="s">
        <v>5</v>
      </c>
      <c r="I521" s="7" t="str">
        <f>D521</f>
        <v>18B</v>
      </c>
    </row>
    <row r="522" spans="1:12" s="1" customFormat="1" ht="53.25" customHeight="1" x14ac:dyDescent="0.25">
      <c r="A522" s="8" t="s">
        <v>3</v>
      </c>
      <c r="B522" s="9">
        <v>75</v>
      </c>
      <c r="C522" s="11" t="s">
        <v>6</v>
      </c>
      <c r="D522" s="7" t="s">
        <v>84</v>
      </c>
      <c r="E522" s="4"/>
      <c r="F522" s="8" t="s">
        <v>3</v>
      </c>
      <c r="G522" s="9">
        <v>225</v>
      </c>
      <c r="H522" s="11" t="s">
        <v>6</v>
      </c>
      <c r="I522" s="7" t="str">
        <f>D522</f>
        <v>DEO-B06</v>
      </c>
      <c r="K522" s="6" t="s">
        <v>8</v>
      </c>
      <c r="L522" s="6" t="s">
        <v>7</v>
      </c>
    </row>
    <row r="523" spans="1:12" s="1" customFormat="1" ht="30" customHeight="1" x14ac:dyDescent="0.25">
      <c r="A523" s="34" t="s">
        <v>86</v>
      </c>
      <c r="B523" s="35"/>
      <c r="C523" s="35"/>
      <c r="D523" s="36"/>
      <c r="E523" s="5"/>
      <c r="F523" s="34" t="s">
        <v>86</v>
      </c>
      <c r="G523" s="35"/>
      <c r="H523" s="35"/>
      <c r="I523" s="36"/>
      <c r="K523" s="1">
        <v>165</v>
      </c>
      <c r="L523" s="1">
        <v>20</v>
      </c>
    </row>
    <row r="524" spans="1:12" s="1" customFormat="1" ht="30" customHeight="1" x14ac:dyDescent="0.25">
      <c r="A524" s="43" t="s">
        <v>85</v>
      </c>
      <c r="B524" s="44"/>
      <c r="C524" s="41" t="s">
        <v>81</v>
      </c>
      <c r="D524" s="42"/>
      <c r="E524" s="4"/>
      <c r="F524" s="43" t="str">
        <f>A524</f>
        <v>KW621</v>
      </c>
      <c r="G524" s="44"/>
      <c r="H524" s="41" t="str">
        <f>C524</f>
        <v>Green</v>
      </c>
      <c r="I524" s="42"/>
    </row>
    <row r="525" spans="1:12" s="1" customFormat="1" ht="30" customHeight="1" x14ac:dyDescent="0.25">
      <c r="A525" s="12" t="s">
        <v>4</v>
      </c>
      <c r="B525" s="37">
        <v>27087</v>
      </c>
      <c r="C525" s="37"/>
      <c r="D525" s="38"/>
      <c r="E525" s="4"/>
      <c r="F525" s="12" t="s">
        <v>4</v>
      </c>
      <c r="G525" s="37">
        <f>B525</f>
        <v>27087</v>
      </c>
      <c r="H525" s="37"/>
      <c r="I525" s="38"/>
    </row>
    <row r="526" spans="1:12" ht="63.75" customHeight="1" x14ac:dyDescent="0.25">
      <c r="A526" s="33" t="s">
        <v>82</v>
      </c>
      <c r="B526" s="33"/>
      <c r="C526" s="33"/>
      <c r="D526" s="33"/>
      <c r="E526" s="2"/>
      <c r="F526" s="33" t="str">
        <f>A526</f>
        <v>Tall DEO - Barrel</v>
      </c>
      <c r="G526" s="33"/>
      <c r="H526" s="33"/>
      <c r="I526" s="33"/>
    </row>
    <row r="527" spans="1:12" s="1" customFormat="1" ht="30" customHeight="1" x14ac:dyDescent="0.25">
      <c r="A527" s="11" t="s">
        <v>0</v>
      </c>
      <c r="B527" s="10"/>
      <c r="C527" s="11" t="s">
        <v>1</v>
      </c>
      <c r="D527" s="10"/>
      <c r="E527" s="3"/>
      <c r="F527" s="11" t="s">
        <v>0</v>
      </c>
      <c r="G527" s="10"/>
      <c r="H527" s="11" t="s">
        <v>1</v>
      </c>
      <c r="I527" s="10"/>
    </row>
    <row r="528" spans="1:12" s="1" customFormat="1" ht="30" customHeight="1" x14ac:dyDescent="0.25">
      <c r="A528" s="11" t="s">
        <v>2</v>
      </c>
      <c r="B528" s="10"/>
      <c r="C528" s="11" t="s">
        <v>5</v>
      </c>
      <c r="D528" s="7" t="s">
        <v>83</v>
      </c>
      <c r="E528" s="4"/>
      <c r="F528" s="11" t="s">
        <v>2</v>
      </c>
      <c r="G528" s="10"/>
      <c r="H528" s="11" t="s">
        <v>5</v>
      </c>
      <c r="I528" s="7" t="str">
        <f>D528</f>
        <v>18B</v>
      </c>
    </row>
    <row r="529" spans="1:12" s="1" customFormat="1" ht="53.25" customHeight="1" x14ac:dyDescent="0.25">
      <c r="A529" s="8" t="s">
        <v>3</v>
      </c>
      <c r="B529" s="9">
        <v>76</v>
      </c>
      <c r="C529" s="11" t="s">
        <v>6</v>
      </c>
      <c r="D529" s="7" t="s">
        <v>84</v>
      </c>
      <c r="E529" s="4"/>
      <c r="F529" s="8" t="s">
        <v>3</v>
      </c>
      <c r="G529" s="9">
        <v>226</v>
      </c>
      <c r="H529" s="11" t="s">
        <v>6</v>
      </c>
      <c r="I529" s="7" t="str">
        <f>D529</f>
        <v>DEO-B06</v>
      </c>
      <c r="K529" s="6" t="s">
        <v>8</v>
      </c>
      <c r="L529" s="6" t="s">
        <v>7</v>
      </c>
    </row>
    <row r="530" spans="1:12" s="1" customFormat="1" ht="30" customHeight="1" x14ac:dyDescent="0.25">
      <c r="A530" s="34" t="s">
        <v>86</v>
      </c>
      <c r="B530" s="35"/>
      <c r="C530" s="35"/>
      <c r="D530" s="36"/>
      <c r="E530" s="5"/>
      <c r="F530" s="34" t="s">
        <v>86</v>
      </c>
      <c r="G530" s="35"/>
      <c r="H530" s="35"/>
      <c r="I530" s="36"/>
      <c r="K530" s="1">
        <v>165</v>
      </c>
      <c r="L530" s="1">
        <v>20</v>
      </c>
    </row>
    <row r="531" spans="1:12" s="1" customFormat="1" ht="30" customHeight="1" x14ac:dyDescent="0.25">
      <c r="A531" s="43" t="s">
        <v>85</v>
      </c>
      <c r="B531" s="44"/>
      <c r="C531" s="41" t="s">
        <v>81</v>
      </c>
      <c r="D531" s="42"/>
      <c r="E531" s="4"/>
      <c r="F531" s="43" t="str">
        <f>A531</f>
        <v>KW621</v>
      </c>
      <c r="G531" s="44"/>
      <c r="H531" s="41" t="str">
        <f>C531</f>
        <v>Green</v>
      </c>
      <c r="I531" s="42"/>
    </row>
    <row r="532" spans="1:12" s="1" customFormat="1" ht="30" customHeight="1" x14ac:dyDescent="0.25">
      <c r="A532" s="12" t="s">
        <v>4</v>
      </c>
      <c r="B532" s="37">
        <v>27087</v>
      </c>
      <c r="C532" s="37"/>
      <c r="D532" s="38"/>
      <c r="E532" s="4"/>
      <c r="F532" s="12" t="s">
        <v>4</v>
      </c>
      <c r="G532" s="37">
        <f>B532</f>
        <v>27087</v>
      </c>
      <c r="H532" s="37"/>
      <c r="I532" s="38"/>
    </row>
    <row r="533" spans="1:12" ht="63.75" customHeight="1" x14ac:dyDescent="0.25">
      <c r="A533" s="33" t="s">
        <v>82</v>
      </c>
      <c r="B533" s="33"/>
      <c r="C533" s="33"/>
      <c r="D533" s="33"/>
      <c r="E533" s="2"/>
      <c r="F533" s="33" t="str">
        <f>A533</f>
        <v>Tall DEO - Barrel</v>
      </c>
      <c r="G533" s="33"/>
      <c r="H533" s="33"/>
      <c r="I533" s="33"/>
    </row>
    <row r="534" spans="1:12" s="1" customFormat="1" ht="30" customHeight="1" x14ac:dyDescent="0.25">
      <c r="A534" s="11" t="s">
        <v>0</v>
      </c>
      <c r="B534" s="10"/>
      <c r="C534" s="11" t="s">
        <v>1</v>
      </c>
      <c r="D534" s="10"/>
      <c r="E534" s="3"/>
      <c r="F534" s="11" t="s">
        <v>0</v>
      </c>
      <c r="G534" s="10"/>
      <c r="H534" s="11" t="s">
        <v>1</v>
      </c>
      <c r="I534" s="10"/>
    </row>
    <row r="535" spans="1:12" s="1" customFormat="1" ht="30" customHeight="1" x14ac:dyDescent="0.25">
      <c r="A535" s="11" t="s">
        <v>2</v>
      </c>
      <c r="B535" s="10"/>
      <c r="C535" s="11" t="s">
        <v>5</v>
      </c>
      <c r="D535" s="7" t="s">
        <v>83</v>
      </c>
      <c r="E535" s="4"/>
      <c r="F535" s="11" t="s">
        <v>2</v>
      </c>
      <c r="G535" s="10"/>
      <c r="H535" s="11" t="s">
        <v>5</v>
      </c>
      <c r="I535" s="7" t="str">
        <f>D535</f>
        <v>18B</v>
      </c>
    </row>
    <row r="536" spans="1:12" s="1" customFormat="1" ht="53.25" customHeight="1" x14ac:dyDescent="0.25">
      <c r="A536" s="8" t="s">
        <v>3</v>
      </c>
      <c r="B536" s="9">
        <v>77</v>
      </c>
      <c r="C536" s="11" t="s">
        <v>6</v>
      </c>
      <c r="D536" s="7" t="s">
        <v>84</v>
      </c>
      <c r="E536" s="4"/>
      <c r="F536" s="8" t="s">
        <v>3</v>
      </c>
      <c r="G536" s="9">
        <v>227</v>
      </c>
      <c r="H536" s="11" t="s">
        <v>6</v>
      </c>
      <c r="I536" s="7" t="str">
        <f>D536</f>
        <v>DEO-B06</v>
      </c>
      <c r="K536" s="6" t="s">
        <v>8</v>
      </c>
      <c r="L536" s="6" t="s">
        <v>7</v>
      </c>
    </row>
    <row r="537" spans="1:12" s="1" customFormat="1" ht="30" customHeight="1" x14ac:dyDescent="0.25">
      <c r="A537" s="34" t="s">
        <v>86</v>
      </c>
      <c r="B537" s="35"/>
      <c r="C537" s="35"/>
      <c r="D537" s="36"/>
      <c r="E537" s="5"/>
      <c r="F537" s="34" t="s">
        <v>86</v>
      </c>
      <c r="G537" s="35"/>
      <c r="H537" s="35"/>
      <c r="I537" s="36"/>
      <c r="K537" s="1">
        <v>165</v>
      </c>
      <c r="L537" s="1">
        <v>20</v>
      </c>
    </row>
    <row r="538" spans="1:12" s="1" customFormat="1" ht="30" customHeight="1" x14ac:dyDescent="0.25">
      <c r="A538" s="43" t="s">
        <v>85</v>
      </c>
      <c r="B538" s="44"/>
      <c r="C538" s="41" t="s">
        <v>81</v>
      </c>
      <c r="D538" s="42"/>
      <c r="E538" s="4"/>
      <c r="F538" s="43" t="str">
        <f>A538</f>
        <v>KW621</v>
      </c>
      <c r="G538" s="44"/>
      <c r="H538" s="41" t="str">
        <f>C538</f>
        <v>Green</v>
      </c>
      <c r="I538" s="42"/>
    </row>
    <row r="539" spans="1:12" s="1" customFormat="1" ht="30" customHeight="1" x14ac:dyDescent="0.25">
      <c r="A539" s="12" t="s">
        <v>4</v>
      </c>
      <c r="B539" s="37">
        <v>27087</v>
      </c>
      <c r="C539" s="37"/>
      <c r="D539" s="38"/>
      <c r="E539" s="4"/>
      <c r="F539" s="12" t="s">
        <v>4</v>
      </c>
      <c r="G539" s="37">
        <f>B539</f>
        <v>27087</v>
      </c>
      <c r="H539" s="37"/>
      <c r="I539" s="38"/>
    </row>
    <row r="540" spans="1:12" ht="63.75" customHeight="1" x14ac:dyDescent="0.25">
      <c r="A540" s="33" t="s">
        <v>82</v>
      </c>
      <c r="B540" s="33"/>
      <c r="C540" s="33"/>
      <c r="D540" s="33"/>
      <c r="E540" s="2"/>
      <c r="F540" s="33" t="str">
        <f>A540</f>
        <v>Tall DEO - Barrel</v>
      </c>
      <c r="G540" s="33"/>
      <c r="H540" s="33"/>
      <c r="I540" s="33"/>
    </row>
    <row r="541" spans="1:12" s="1" customFormat="1" ht="30" customHeight="1" x14ac:dyDescent="0.25">
      <c r="A541" s="11" t="s">
        <v>0</v>
      </c>
      <c r="B541" s="10"/>
      <c r="C541" s="11" t="s">
        <v>1</v>
      </c>
      <c r="D541" s="10"/>
      <c r="E541" s="3"/>
      <c r="F541" s="11" t="s">
        <v>0</v>
      </c>
      <c r="G541" s="10"/>
      <c r="H541" s="11" t="s">
        <v>1</v>
      </c>
      <c r="I541" s="10"/>
    </row>
    <row r="542" spans="1:12" s="1" customFormat="1" ht="30" customHeight="1" x14ac:dyDescent="0.25">
      <c r="A542" s="11" t="s">
        <v>2</v>
      </c>
      <c r="B542" s="10"/>
      <c r="C542" s="11" t="s">
        <v>5</v>
      </c>
      <c r="D542" s="7" t="s">
        <v>83</v>
      </c>
      <c r="E542" s="4"/>
      <c r="F542" s="11" t="s">
        <v>2</v>
      </c>
      <c r="G542" s="10"/>
      <c r="H542" s="11" t="s">
        <v>5</v>
      </c>
      <c r="I542" s="7" t="str">
        <f>D542</f>
        <v>18B</v>
      </c>
    </row>
    <row r="543" spans="1:12" s="1" customFormat="1" ht="53.25" customHeight="1" x14ac:dyDescent="0.25">
      <c r="A543" s="8" t="s">
        <v>3</v>
      </c>
      <c r="B543" s="9">
        <v>78</v>
      </c>
      <c r="C543" s="11" t="s">
        <v>6</v>
      </c>
      <c r="D543" s="7" t="s">
        <v>84</v>
      </c>
      <c r="E543" s="4"/>
      <c r="F543" s="8" t="s">
        <v>3</v>
      </c>
      <c r="G543" s="9">
        <v>228</v>
      </c>
      <c r="H543" s="11" t="s">
        <v>6</v>
      </c>
      <c r="I543" s="7" t="str">
        <f>D543</f>
        <v>DEO-B06</v>
      </c>
      <c r="K543" s="6" t="s">
        <v>8</v>
      </c>
      <c r="L543" s="6" t="s">
        <v>7</v>
      </c>
    </row>
    <row r="544" spans="1:12" s="1" customFormat="1" ht="30" customHeight="1" x14ac:dyDescent="0.25">
      <c r="A544" s="34" t="s">
        <v>86</v>
      </c>
      <c r="B544" s="35"/>
      <c r="C544" s="35"/>
      <c r="D544" s="36"/>
      <c r="E544" s="5"/>
      <c r="F544" s="34" t="s">
        <v>86</v>
      </c>
      <c r="G544" s="35"/>
      <c r="H544" s="35"/>
      <c r="I544" s="36"/>
      <c r="K544" s="1">
        <v>165</v>
      </c>
      <c r="L544" s="1">
        <v>20</v>
      </c>
    </row>
    <row r="545" spans="1:12" s="1" customFormat="1" ht="30" customHeight="1" x14ac:dyDescent="0.25">
      <c r="A545" s="43" t="s">
        <v>85</v>
      </c>
      <c r="B545" s="44"/>
      <c r="C545" s="41" t="s">
        <v>81</v>
      </c>
      <c r="D545" s="42"/>
      <c r="E545" s="4"/>
      <c r="F545" s="43" t="str">
        <f>A545</f>
        <v>KW621</v>
      </c>
      <c r="G545" s="44"/>
      <c r="H545" s="41" t="str">
        <f>C545</f>
        <v>Green</v>
      </c>
      <c r="I545" s="42"/>
    </row>
    <row r="546" spans="1:12" s="1" customFormat="1" ht="30" customHeight="1" x14ac:dyDescent="0.25">
      <c r="A546" s="12" t="s">
        <v>4</v>
      </c>
      <c r="B546" s="37">
        <v>27087</v>
      </c>
      <c r="C546" s="37"/>
      <c r="D546" s="38"/>
      <c r="E546" s="4"/>
      <c r="F546" s="12" t="s">
        <v>4</v>
      </c>
      <c r="G546" s="37">
        <f>B546</f>
        <v>27087</v>
      </c>
      <c r="H546" s="37"/>
      <c r="I546" s="38"/>
    </row>
    <row r="547" spans="1:12" ht="63.75" customHeight="1" x14ac:dyDescent="0.25">
      <c r="A547" s="33" t="s">
        <v>82</v>
      </c>
      <c r="B547" s="33"/>
      <c r="C547" s="33"/>
      <c r="D547" s="33"/>
      <c r="E547" s="2"/>
      <c r="F547" s="33" t="str">
        <f>A547</f>
        <v>Tall DEO - Barrel</v>
      </c>
      <c r="G547" s="33"/>
      <c r="H547" s="33"/>
      <c r="I547" s="33"/>
    </row>
    <row r="548" spans="1:12" s="1" customFormat="1" ht="30" customHeight="1" x14ac:dyDescent="0.25">
      <c r="A548" s="11" t="s">
        <v>0</v>
      </c>
      <c r="B548" s="10"/>
      <c r="C548" s="11" t="s">
        <v>1</v>
      </c>
      <c r="D548" s="10"/>
      <c r="E548" s="3"/>
      <c r="F548" s="11" t="s">
        <v>0</v>
      </c>
      <c r="G548" s="10"/>
      <c r="H548" s="11" t="s">
        <v>1</v>
      </c>
      <c r="I548" s="10"/>
    </row>
    <row r="549" spans="1:12" s="1" customFormat="1" ht="30" customHeight="1" x14ac:dyDescent="0.25">
      <c r="A549" s="11" t="s">
        <v>2</v>
      </c>
      <c r="B549" s="10"/>
      <c r="C549" s="11" t="s">
        <v>5</v>
      </c>
      <c r="D549" s="7" t="s">
        <v>83</v>
      </c>
      <c r="E549" s="4"/>
      <c r="F549" s="11" t="s">
        <v>2</v>
      </c>
      <c r="G549" s="10"/>
      <c r="H549" s="11" t="s">
        <v>5</v>
      </c>
      <c r="I549" s="7" t="str">
        <f>D549</f>
        <v>18B</v>
      </c>
    </row>
    <row r="550" spans="1:12" s="1" customFormat="1" ht="53.25" customHeight="1" x14ac:dyDescent="0.25">
      <c r="A550" s="8" t="s">
        <v>3</v>
      </c>
      <c r="B550" s="9">
        <v>79</v>
      </c>
      <c r="C550" s="11" t="s">
        <v>6</v>
      </c>
      <c r="D550" s="7" t="s">
        <v>84</v>
      </c>
      <c r="E550" s="4"/>
      <c r="F550" s="8" t="s">
        <v>3</v>
      </c>
      <c r="G550" s="9">
        <v>229</v>
      </c>
      <c r="H550" s="11" t="s">
        <v>6</v>
      </c>
      <c r="I550" s="7" t="str">
        <f>D550</f>
        <v>DEO-B06</v>
      </c>
      <c r="K550" s="6" t="s">
        <v>8</v>
      </c>
      <c r="L550" s="6" t="s">
        <v>7</v>
      </c>
    </row>
    <row r="551" spans="1:12" s="1" customFormat="1" ht="30" customHeight="1" x14ac:dyDescent="0.25">
      <c r="A551" s="34" t="s">
        <v>86</v>
      </c>
      <c r="B551" s="35"/>
      <c r="C551" s="35"/>
      <c r="D551" s="36"/>
      <c r="E551" s="5"/>
      <c r="F551" s="34" t="s">
        <v>86</v>
      </c>
      <c r="G551" s="35"/>
      <c r="H551" s="35"/>
      <c r="I551" s="36"/>
      <c r="K551" s="1">
        <v>165</v>
      </c>
      <c r="L551" s="1">
        <v>20</v>
      </c>
    </row>
    <row r="552" spans="1:12" s="1" customFormat="1" ht="30" customHeight="1" x14ac:dyDescent="0.25">
      <c r="A552" s="43" t="s">
        <v>85</v>
      </c>
      <c r="B552" s="44"/>
      <c r="C552" s="41" t="s">
        <v>81</v>
      </c>
      <c r="D552" s="42"/>
      <c r="E552" s="4"/>
      <c r="F552" s="43" t="str">
        <f>A552</f>
        <v>KW621</v>
      </c>
      <c r="G552" s="44"/>
      <c r="H552" s="41" t="str">
        <f>C552</f>
        <v>Green</v>
      </c>
      <c r="I552" s="42"/>
    </row>
    <row r="553" spans="1:12" s="1" customFormat="1" ht="30" customHeight="1" x14ac:dyDescent="0.25">
      <c r="A553" s="12" t="s">
        <v>4</v>
      </c>
      <c r="B553" s="37">
        <v>27087</v>
      </c>
      <c r="C553" s="37"/>
      <c r="D553" s="38"/>
      <c r="E553" s="4"/>
      <c r="F553" s="12" t="s">
        <v>4</v>
      </c>
      <c r="G553" s="37">
        <f>B553</f>
        <v>27087</v>
      </c>
      <c r="H553" s="37"/>
      <c r="I553" s="38"/>
    </row>
    <row r="554" spans="1:12" ht="63.75" customHeight="1" x14ac:dyDescent="0.25">
      <c r="A554" s="33" t="s">
        <v>82</v>
      </c>
      <c r="B554" s="33"/>
      <c r="C554" s="33"/>
      <c r="D554" s="33"/>
      <c r="E554" s="2"/>
      <c r="F554" s="33" t="str">
        <f>A554</f>
        <v>Tall DEO - Barrel</v>
      </c>
      <c r="G554" s="33"/>
      <c r="H554" s="33"/>
      <c r="I554" s="33"/>
    </row>
    <row r="555" spans="1:12" s="1" customFormat="1" ht="30" customHeight="1" x14ac:dyDescent="0.25">
      <c r="A555" s="11" t="s">
        <v>0</v>
      </c>
      <c r="B555" s="10"/>
      <c r="C555" s="11" t="s">
        <v>1</v>
      </c>
      <c r="D555" s="10"/>
      <c r="E555" s="3"/>
      <c r="F555" s="11" t="s">
        <v>0</v>
      </c>
      <c r="G555" s="10"/>
      <c r="H555" s="11" t="s">
        <v>1</v>
      </c>
      <c r="I555" s="10"/>
    </row>
    <row r="556" spans="1:12" s="1" customFormat="1" ht="30" customHeight="1" x14ac:dyDescent="0.25">
      <c r="A556" s="11" t="s">
        <v>2</v>
      </c>
      <c r="B556" s="10"/>
      <c r="C556" s="11" t="s">
        <v>5</v>
      </c>
      <c r="D556" s="7" t="s">
        <v>83</v>
      </c>
      <c r="E556" s="4"/>
      <c r="F556" s="11" t="s">
        <v>2</v>
      </c>
      <c r="G556" s="10"/>
      <c r="H556" s="11" t="s">
        <v>5</v>
      </c>
      <c r="I556" s="7" t="str">
        <f>D556</f>
        <v>18B</v>
      </c>
    </row>
    <row r="557" spans="1:12" s="1" customFormat="1" ht="53.25" customHeight="1" x14ac:dyDescent="0.25">
      <c r="A557" s="8" t="s">
        <v>3</v>
      </c>
      <c r="B557" s="9">
        <v>80</v>
      </c>
      <c r="C557" s="11" t="s">
        <v>6</v>
      </c>
      <c r="D557" s="7" t="s">
        <v>84</v>
      </c>
      <c r="E557" s="4"/>
      <c r="F557" s="8" t="s">
        <v>3</v>
      </c>
      <c r="G557" s="9">
        <v>230</v>
      </c>
      <c r="H557" s="11" t="s">
        <v>6</v>
      </c>
      <c r="I557" s="7" t="str">
        <f>D557</f>
        <v>DEO-B06</v>
      </c>
      <c r="K557" s="6" t="s">
        <v>8</v>
      </c>
      <c r="L557" s="6" t="s">
        <v>7</v>
      </c>
    </row>
    <row r="558" spans="1:12" s="1" customFormat="1" ht="30" customHeight="1" x14ac:dyDescent="0.25">
      <c r="A558" s="34" t="s">
        <v>86</v>
      </c>
      <c r="B558" s="35"/>
      <c r="C558" s="35"/>
      <c r="D558" s="36"/>
      <c r="E558" s="5"/>
      <c r="F558" s="34" t="s">
        <v>86</v>
      </c>
      <c r="G558" s="35"/>
      <c r="H558" s="35"/>
      <c r="I558" s="36"/>
      <c r="K558" s="1">
        <v>165</v>
      </c>
      <c r="L558" s="1">
        <v>20</v>
      </c>
    </row>
    <row r="559" spans="1:12" s="1" customFormat="1" ht="30" customHeight="1" x14ac:dyDescent="0.25">
      <c r="A559" s="43" t="s">
        <v>85</v>
      </c>
      <c r="B559" s="44"/>
      <c r="C559" s="41" t="s">
        <v>81</v>
      </c>
      <c r="D559" s="42"/>
      <c r="E559" s="4"/>
      <c r="F559" s="43" t="str">
        <f>A559</f>
        <v>KW621</v>
      </c>
      <c r="G559" s="44"/>
      <c r="H559" s="41" t="str">
        <f>C559</f>
        <v>Green</v>
      </c>
      <c r="I559" s="42"/>
    </row>
    <row r="560" spans="1:12" s="1" customFormat="1" ht="30" customHeight="1" x14ac:dyDescent="0.25">
      <c r="A560" s="12" t="s">
        <v>4</v>
      </c>
      <c r="B560" s="37">
        <v>27087</v>
      </c>
      <c r="C560" s="37"/>
      <c r="D560" s="38"/>
      <c r="E560" s="4"/>
      <c r="F560" s="12" t="s">
        <v>4</v>
      </c>
      <c r="G560" s="37">
        <f>B560</f>
        <v>27087</v>
      </c>
      <c r="H560" s="37"/>
      <c r="I560" s="38"/>
    </row>
    <row r="561" spans="1:12" ht="63.75" customHeight="1" x14ac:dyDescent="0.25">
      <c r="A561" s="33" t="s">
        <v>82</v>
      </c>
      <c r="B561" s="33"/>
      <c r="C561" s="33"/>
      <c r="D561" s="33"/>
      <c r="E561" s="2"/>
      <c r="F561" s="33" t="str">
        <f>A561</f>
        <v>Tall DEO - Barrel</v>
      </c>
      <c r="G561" s="33"/>
      <c r="H561" s="33"/>
      <c r="I561" s="33"/>
    </row>
    <row r="562" spans="1:12" s="1" customFormat="1" ht="30" customHeight="1" x14ac:dyDescent="0.25">
      <c r="A562" s="11" t="s">
        <v>0</v>
      </c>
      <c r="B562" s="10"/>
      <c r="C562" s="11" t="s">
        <v>1</v>
      </c>
      <c r="D562" s="10"/>
      <c r="E562" s="3"/>
      <c r="F562" s="11" t="s">
        <v>0</v>
      </c>
      <c r="G562" s="10"/>
      <c r="H562" s="11" t="s">
        <v>1</v>
      </c>
      <c r="I562" s="10"/>
    </row>
    <row r="563" spans="1:12" s="1" customFormat="1" ht="30" customHeight="1" x14ac:dyDescent="0.25">
      <c r="A563" s="11" t="s">
        <v>2</v>
      </c>
      <c r="B563" s="10"/>
      <c r="C563" s="11" t="s">
        <v>5</v>
      </c>
      <c r="D563" s="7" t="s">
        <v>83</v>
      </c>
      <c r="E563" s="4"/>
      <c r="F563" s="11" t="s">
        <v>2</v>
      </c>
      <c r="G563" s="10"/>
      <c r="H563" s="11" t="s">
        <v>5</v>
      </c>
      <c r="I563" s="7" t="str">
        <f>D563</f>
        <v>18B</v>
      </c>
    </row>
    <row r="564" spans="1:12" s="1" customFormat="1" ht="53.25" customHeight="1" x14ac:dyDescent="0.25">
      <c r="A564" s="8" t="s">
        <v>3</v>
      </c>
      <c r="B564" s="9">
        <v>81</v>
      </c>
      <c r="C564" s="11" t="s">
        <v>6</v>
      </c>
      <c r="D564" s="7" t="s">
        <v>84</v>
      </c>
      <c r="E564" s="4"/>
      <c r="F564" s="8" t="s">
        <v>3</v>
      </c>
      <c r="G564" s="9">
        <v>231</v>
      </c>
      <c r="H564" s="11" t="s">
        <v>6</v>
      </c>
      <c r="I564" s="7" t="str">
        <f>D564</f>
        <v>DEO-B06</v>
      </c>
      <c r="K564" s="6" t="s">
        <v>8</v>
      </c>
      <c r="L564" s="6" t="s">
        <v>7</v>
      </c>
    </row>
    <row r="565" spans="1:12" s="1" customFormat="1" ht="30" customHeight="1" x14ac:dyDescent="0.25">
      <c r="A565" s="34" t="s">
        <v>86</v>
      </c>
      <c r="B565" s="35"/>
      <c r="C565" s="35"/>
      <c r="D565" s="36"/>
      <c r="E565" s="5"/>
      <c r="F565" s="34" t="s">
        <v>86</v>
      </c>
      <c r="G565" s="35"/>
      <c r="H565" s="35"/>
      <c r="I565" s="36"/>
      <c r="K565" s="1">
        <v>165</v>
      </c>
      <c r="L565" s="1">
        <v>20</v>
      </c>
    </row>
    <row r="566" spans="1:12" s="1" customFormat="1" ht="30" customHeight="1" x14ac:dyDescent="0.25">
      <c r="A566" s="43" t="s">
        <v>85</v>
      </c>
      <c r="B566" s="44"/>
      <c r="C566" s="41" t="s">
        <v>81</v>
      </c>
      <c r="D566" s="42"/>
      <c r="E566" s="4"/>
      <c r="F566" s="43" t="str">
        <f>A566</f>
        <v>KW621</v>
      </c>
      <c r="G566" s="44"/>
      <c r="H566" s="41" t="str">
        <f>C566</f>
        <v>Green</v>
      </c>
      <c r="I566" s="42"/>
    </row>
    <row r="567" spans="1:12" s="1" customFormat="1" ht="30" customHeight="1" x14ac:dyDescent="0.25">
      <c r="A567" s="12" t="s">
        <v>4</v>
      </c>
      <c r="B567" s="37">
        <v>27087</v>
      </c>
      <c r="C567" s="37"/>
      <c r="D567" s="38"/>
      <c r="E567" s="4"/>
      <c r="F567" s="12" t="s">
        <v>4</v>
      </c>
      <c r="G567" s="37">
        <f>B567</f>
        <v>27087</v>
      </c>
      <c r="H567" s="37"/>
      <c r="I567" s="38"/>
    </row>
    <row r="568" spans="1:12" ht="63.75" customHeight="1" x14ac:dyDescent="0.25">
      <c r="A568" s="33" t="s">
        <v>82</v>
      </c>
      <c r="B568" s="33"/>
      <c r="C568" s="33"/>
      <c r="D568" s="33"/>
      <c r="E568" s="2"/>
      <c r="F568" s="33" t="str">
        <f>A568</f>
        <v>Tall DEO - Barrel</v>
      </c>
      <c r="G568" s="33"/>
      <c r="H568" s="33"/>
      <c r="I568" s="33"/>
    </row>
    <row r="569" spans="1:12" s="1" customFormat="1" ht="30" customHeight="1" x14ac:dyDescent="0.25">
      <c r="A569" s="11" t="s">
        <v>0</v>
      </c>
      <c r="B569" s="10"/>
      <c r="C569" s="11" t="s">
        <v>1</v>
      </c>
      <c r="D569" s="10"/>
      <c r="E569" s="3"/>
      <c r="F569" s="11" t="s">
        <v>0</v>
      </c>
      <c r="G569" s="10"/>
      <c r="H569" s="11" t="s">
        <v>1</v>
      </c>
      <c r="I569" s="10"/>
    </row>
    <row r="570" spans="1:12" s="1" customFormat="1" ht="30" customHeight="1" x14ac:dyDescent="0.25">
      <c r="A570" s="11" t="s">
        <v>2</v>
      </c>
      <c r="B570" s="10"/>
      <c r="C570" s="11" t="s">
        <v>5</v>
      </c>
      <c r="D570" s="7" t="s">
        <v>83</v>
      </c>
      <c r="E570" s="4"/>
      <c r="F570" s="11" t="s">
        <v>2</v>
      </c>
      <c r="G570" s="10"/>
      <c r="H570" s="11" t="s">
        <v>5</v>
      </c>
      <c r="I570" s="7" t="str">
        <f>D570</f>
        <v>18B</v>
      </c>
    </row>
    <row r="571" spans="1:12" s="1" customFormat="1" ht="53.25" customHeight="1" x14ac:dyDescent="0.25">
      <c r="A571" s="8" t="s">
        <v>3</v>
      </c>
      <c r="B571" s="9">
        <v>82</v>
      </c>
      <c r="C571" s="11" t="s">
        <v>6</v>
      </c>
      <c r="D571" s="7" t="s">
        <v>84</v>
      </c>
      <c r="E571" s="4"/>
      <c r="F571" s="8" t="s">
        <v>3</v>
      </c>
      <c r="G571" s="9">
        <v>232</v>
      </c>
      <c r="H571" s="11" t="s">
        <v>6</v>
      </c>
      <c r="I571" s="7" t="str">
        <f>D571</f>
        <v>DEO-B06</v>
      </c>
      <c r="K571" s="6" t="s">
        <v>8</v>
      </c>
      <c r="L571" s="6" t="s">
        <v>7</v>
      </c>
    </row>
    <row r="572" spans="1:12" s="1" customFormat="1" ht="30" customHeight="1" x14ac:dyDescent="0.25">
      <c r="A572" s="34" t="s">
        <v>86</v>
      </c>
      <c r="B572" s="35"/>
      <c r="C572" s="35"/>
      <c r="D572" s="36"/>
      <c r="E572" s="5"/>
      <c r="F572" s="34" t="s">
        <v>86</v>
      </c>
      <c r="G572" s="35"/>
      <c r="H572" s="35"/>
      <c r="I572" s="36"/>
      <c r="K572" s="1">
        <v>165</v>
      </c>
      <c r="L572" s="1">
        <v>20</v>
      </c>
    </row>
    <row r="573" spans="1:12" s="1" customFormat="1" ht="30" customHeight="1" x14ac:dyDescent="0.25">
      <c r="A573" s="43" t="s">
        <v>85</v>
      </c>
      <c r="B573" s="44"/>
      <c r="C573" s="41" t="s">
        <v>81</v>
      </c>
      <c r="D573" s="42"/>
      <c r="E573" s="4"/>
      <c r="F573" s="43" t="str">
        <f>A573</f>
        <v>KW621</v>
      </c>
      <c r="G573" s="44"/>
      <c r="H573" s="41" t="str">
        <f>C573</f>
        <v>Green</v>
      </c>
      <c r="I573" s="42"/>
    </row>
    <row r="574" spans="1:12" s="1" customFormat="1" ht="30" customHeight="1" x14ac:dyDescent="0.25">
      <c r="A574" s="12" t="s">
        <v>4</v>
      </c>
      <c r="B574" s="37">
        <v>27087</v>
      </c>
      <c r="C574" s="37"/>
      <c r="D574" s="38"/>
      <c r="E574" s="4"/>
      <c r="F574" s="12" t="s">
        <v>4</v>
      </c>
      <c r="G574" s="37">
        <f>B574</f>
        <v>27087</v>
      </c>
      <c r="H574" s="37"/>
      <c r="I574" s="38"/>
    </row>
    <row r="575" spans="1:12" ht="63.75" customHeight="1" x14ac:dyDescent="0.25">
      <c r="A575" s="33" t="s">
        <v>82</v>
      </c>
      <c r="B575" s="33"/>
      <c r="C575" s="33"/>
      <c r="D575" s="33"/>
      <c r="E575" s="2"/>
      <c r="F575" s="33" t="str">
        <f>A575</f>
        <v>Tall DEO - Barrel</v>
      </c>
      <c r="G575" s="33"/>
      <c r="H575" s="33"/>
      <c r="I575" s="33"/>
    </row>
    <row r="576" spans="1:12" s="1" customFormat="1" ht="30" customHeight="1" x14ac:dyDescent="0.25">
      <c r="A576" s="11" t="s">
        <v>0</v>
      </c>
      <c r="B576" s="10"/>
      <c r="C576" s="11" t="s">
        <v>1</v>
      </c>
      <c r="D576" s="10"/>
      <c r="E576" s="3"/>
      <c r="F576" s="11" t="s">
        <v>0</v>
      </c>
      <c r="G576" s="10"/>
      <c r="H576" s="11" t="s">
        <v>1</v>
      </c>
      <c r="I576" s="10"/>
    </row>
    <row r="577" spans="1:12" s="1" customFormat="1" ht="30" customHeight="1" x14ac:dyDescent="0.25">
      <c r="A577" s="11" t="s">
        <v>2</v>
      </c>
      <c r="B577" s="10"/>
      <c r="C577" s="11" t="s">
        <v>5</v>
      </c>
      <c r="D577" s="7" t="s">
        <v>83</v>
      </c>
      <c r="E577" s="4"/>
      <c r="F577" s="11" t="s">
        <v>2</v>
      </c>
      <c r="G577" s="10"/>
      <c r="H577" s="11" t="s">
        <v>5</v>
      </c>
      <c r="I577" s="7" t="str">
        <f>D577</f>
        <v>18B</v>
      </c>
    </row>
    <row r="578" spans="1:12" s="1" customFormat="1" ht="53.25" customHeight="1" x14ac:dyDescent="0.25">
      <c r="A578" s="8" t="s">
        <v>3</v>
      </c>
      <c r="B578" s="9">
        <v>83</v>
      </c>
      <c r="C578" s="11" t="s">
        <v>6</v>
      </c>
      <c r="D578" s="7" t="s">
        <v>84</v>
      </c>
      <c r="E578" s="4"/>
      <c r="F578" s="8" t="s">
        <v>3</v>
      </c>
      <c r="G578" s="9">
        <v>233</v>
      </c>
      <c r="H578" s="11" t="s">
        <v>6</v>
      </c>
      <c r="I578" s="7" t="str">
        <f>D578</f>
        <v>DEO-B06</v>
      </c>
      <c r="K578" s="6" t="s">
        <v>8</v>
      </c>
      <c r="L578" s="6" t="s">
        <v>7</v>
      </c>
    </row>
    <row r="579" spans="1:12" s="1" customFormat="1" ht="30" customHeight="1" x14ac:dyDescent="0.25">
      <c r="A579" s="34" t="s">
        <v>86</v>
      </c>
      <c r="B579" s="35"/>
      <c r="C579" s="35"/>
      <c r="D579" s="36"/>
      <c r="E579" s="5"/>
      <c r="F579" s="34" t="s">
        <v>86</v>
      </c>
      <c r="G579" s="35"/>
      <c r="H579" s="35"/>
      <c r="I579" s="36"/>
      <c r="K579" s="1">
        <v>165</v>
      </c>
      <c r="L579" s="1">
        <v>20</v>
      </c>
    </row>
    <row r="580" spans="1:12" s="1" customFormat="1" ht="30" customHeight="1" x14ac:dyDescent="0.25">
      <c r="A580" s="43" t="s">
        <v>85</v>
      </c>
      <c r="B580" s="44"/>
      <c r="C580" s="41" t="s">
        <v>81</v>
      </c>
      <c r="D580" s="42"/>
      <c r="E580" s="4"/>
      <c r="F580" s="43" t="str">
        <f>A580</f>
        <v>KW621</v>
      </c>
      <c r="G580" s="44"/>
      <c r="H580" s="41" t="str">
        <f>C580</f>
        <v>Green</v>
      </c>
      <c r="I580" s="42"/>
    </row>
    <row r="581" spans="1:12" s="1" customFormat="1" ht="30" customHeight="1" x14ac:dyDescent="0.25">
      <c r="A581" s="12" t="s">
        <v>4</v>
      </c>
      <c r="B581" s="37">
        <v>27087</v>
      </c>
      <c r="C581" s="37"/>
      <c r="D581" s="38"/>
      <c r="E581" s="4"/>
      <c r="F581" s="12" t="s">
        <v>4</v>
      </c>
      <c r="G581" s="37">
        <f>B581</f>
        <v>27087</v>
      </c>
      <c r="H581" s="37"/>
      <c r="I581" s="38"/>
    </row>
    <row r="582" spans="1:12" ht="63.75" customHeight="1" x14ac:dyDescent="0.25">
      <c r="A582" s="33" t="s">
        <v>82</v>
      </c>
      <c r="B582" s="33"/>
      <c r="C582" s="33"/>
      <c r="D582" s="33"/>
      <c r="E582" s="2"/>
      <c r="F582" s="33" t="str">
        <f>A582</f>
        <v>Tall DEO - Barrel</v>
      </c>
      <c r="G582" s="33"/>
      <c r="H582" s="33"/>
      <c r="I582" s="33"/>
    </row>
    <row r="583" spans="1:12" s="1" customFormat="1" ht="30" customHeight="1" x14ac:dyDescent="0.25">
      <c r="A583" s="11" t="s">
        <v>0</v>
      </c>
      <c r="B583" s="10"/>
      <c r="C583" s="11" t="s">
        <v>1</v>
      </c>
      <c r="D583" s="10"/>
      <c r="E583" s="3"/>
      <c r="F583" s="11" t="s">
        <v>0</v>
      </c>
      <c r="G583" s="10"/>
      <c r="H583" s="11" t="s">
        <v>1</v>
      </c>
      <c r="I583" s="10"/>
    </row>
    <row r="584" spans="1:12" s="1" customFormat="1" ht="30" customHeight="1" x14ac:dyDescent="0.25">
      <c r="A584" s="11" t="s">
        <v>2</v>
      </c>
      <c r="B584" s="10"/>
      <c r="C584" s="11" t="s">
        <v>5</v>
      </c>
      <c r="D584" s="7" t="s">
        <v>83</v>
      </c>
      <c r="E584" s="4"/>
      <c r="F584" s="11" t="s">
        <v>2</v>
      </c>
      <c r="G584" s="10"/>
      <c r="H584" s="11" t="s">
        <v>5</v>
      </c>
      <c r="I584" s="7" t="str">
        <f>D584</f>
        <v>18B</v>
      </c>
    </row>
    <row r="585" spans="1:12" s="1" customFormat="1" ht="53.25" customHeight="1" x14ac:dyDescent="0.25">
      <c r="A585" s="8" t="s">
        <v>3</v>
      </c>
      <c r="B585" s="9">
        <v>84</v>
      </c>
      <c r="C585" s="11" t="s">
        <v>6</v>
      </c>
      <c r="D585" s="7" t="s">
        <v>84</v>
      </c>
      <c r="E585" s="4"/>
      <c r="F585" s="8" t="s">
        <v>3</v>
      </c>
      <c r="G585" s="9">
        <v>234</v>
      </c>
      <c r="H585" s="11" t="s">
        <v>6</v>
      </c>
      <c r="I585" s="7" t="str">
        <f>D585</f>
        <v>DEO-B06</v>
      </c>
      <c r="K585" s="6" t="s">
        <v>8</v>
      </c>
      <c r="L585" s="6" t="s">
        <v>7</v>
      </c>
    </row>
    <row r="586" spans="1:12" s="1" customFormat="1" ht="30" customHeight="1" x14ac:dyDescent="0.25">
      <c r="A586" s="34" t="s">
        <v>86</v>
      </c>
      <c r="B586" s="35"/>
      <c r="C586" s="35"/>
      <c r="D586" s="36"/>
      <c r="E586" s="5"/>
      <c r="F586" s="34" t="s">
        <v>86</v>
      </c>
      <c r="G586" s="35"/>
      <c r="H586" s="35"/>
      <c r="I586" s="36"/>
      <c r="K586" s="1">
        <v>165</v>
      </c>
      <c r="L586" s="1">
        <v>20</v>
      </c>
    </row>
    <row r="587" spans="1:12" s="1" customFormat="1" ht="30" customHeight="1" x14ac:dyDescent="0.25">
      <c r="A587" s="43" t="s">
        <v>85</v>
      </c>
      <c r="B587" s="44"/>
      <c r="C587" s="41" t="s">
        <v>81</v>
      </c>
      <c r="D587" s="42"/>
      <c r="E587" s="4"/>
      <c r="F587" s="43" t="str">
        <f>A587</f>
        <v>KW621</v>
      </c>
      <c r="G587" s="44"/>
      <c r="H587" s="41" t="str">
        <f>C587</f>
        <v>Green</v>
      </c>
      <c r="I587" s="42"/>
    </row>
    <row r="588" spans="1:12" s="1" customFormat="1" ht="30" customHeight="1" x14ac:dyDescent="0.25">
      <c r="A588" s="12" t="s">
        <v>4</v>
      </c>
      <c r="B588" s="37">
        <v>27087</v>
      </c>
      <c r="C588" s="37"/>
      <c r="D588" s="38"/>
      <c r="E588" s="4"/>
      <c r="F588" s="12" t="s">
        <v>4</v>
      </c>
      <c r="G588" s="37">
        <f>B588</f>
        <v>27087</v>
      </c>
      <c r="H588" s="37"/>
      <c r="I588" s="38"/>
    </row>
    <row r="589" spans="1:12" ht="63.75" customHeight="1" x14ac:dyDescent="0.25">
      <c r="A589" s="33" t="s">
        <v>82</v>
      </c>
      <c r="B589" s="33"/>
      <c r="C589" s="33"/>
      <c r="D589" s="33"/>
      <c r="E589" s="2"/>
      <c r="F589" s="33" t="str">
        <f>A589</f>
        <v>Tall DEO - Barrel</v>
      </c>
      <c r="G589" s="33"/>
      <c r="H589" s="33"/>
      <c r="I589" s="33"/>
    </row>
    <row r="590" spans="1:12" s="1" customFormat="1" ht="30" customHeight="1" x14ac:dyDescent="0.25">
      <c r="A590" s="11" t="s">
        <v>0</v>
      </c>
      <c r="B590" s="10"/>
      <c r="C590" s="11" t="s">
        <v>1</v>
      </c>
      <c r="D590" s="10"/>
      <c r="E590" s="3"/>
      <c r="F590" s="11" t="s">
        <v>0</v>
      </c>
      <c r="G590" s="10"/>
      <c r="H590" s="11" t="s">
        <v>1</v>
      </c>
      <c r="I590" s="10"/>
    </row>
    <row r="591" spans="1:12" s="1" customFormat="1" ht="30" customHeight="1" x14ac:dyDescent="0.25">
      <c r="A591" s="11" t="s">
        <v>2</v>
      </c>
      <c r="B591" s="10"/>
      <c r="C591" s="11" t="s">
        <v>5</v>
      </c>
      <c r="D591" s="7" t="s">
        <v>83</v>
      </c>
      <c r="E591" s="4"/>
      <c r="F591" s="11" t="s">
        <v>2</v>
      </c>
      <c r="G591" s="10"/>
      <c r="H591" s="11" t="s">
        <v>5</v>
      </c>
      <c r="I591" s="7" t="str">
        <f>D591</f>
        <v>18B</v>
      </c>
    </row>
    <row r="592" spans="1:12" s="1" customFormat="1" ht="53.25" customHeight="1" x14ac:dyDescent="0.25">
      <c r="A592" s="8" t="s">
        <v>3</v>
      </c>
      <c r="B592" s="9">
        <v>85</v>
      </c>
      <c r="C592" s="11" t="s">
        <v>6</v>
      </c>
      <c r="D592" s="7" t="s">
        <v>84</v>
      </c>
      <c r="E592" s="4"/>
      <c r="F592" s="8" t="s">
        <v>3</v>
      </c>
      <c r="G592" s="9">
        <v>235</v>
      </c>
      <c r="H592" s="11" t="s">
        <v>6</v>
      </c>
      <c r="I592" s="7" t="str">
        <f>D592</f>
        <v>DEO-B06</v>
      </c>
      <c r="K592" s="6" t="s">
        <v>8</v>
      </c>
      <c r="L592" s="6" t="s">
        <v>7</v>
      </c>
    </row>
    <row r="593" spans="1:12" s="1" customFormat="1" ht="30" customHeight="1" x14ac:dyDescent="0.25">
      <c r="A593" s="34" t="s">
        <v>86</v>
      </c>
      <c r="B593" s="35"/>
      <c r="C593" s="35"/>
      <c r="D593" s="36"/>
      <c r="E593" s="5"/>
      <c r="F593" s="34" t="s">
        <v>86</v>
      </c>
      <c r="G593" s="35"/>
      <c r="H593" s="35"/>
      <c r="I593" s="36"/>
      <c r="K593" s="1">
        <v>165</v>
      </c>
      <c r="L593" s="1">
        <v>20</v>
      </c>
    </row>
    <row r="594" spans="1:12" s="1" customFormat="1" ht="30" customHeight="1" x14ac:dyDescent="0.25">
      <c r="A594" s="43" t="s">
        <v>85</v>
      </c>
      <c r="B594" s="44"/>
      <c r="C594" s="41" t="s">
        <v>81</v>
      </c>
      <c r="D594" s="42"/>
      <c r="E594" s="4"/>
      <c r="F594" s="43" t="str">
        <f>A594</f>
        <v>KW621</v>
      </c>
      <c r="G594" s="44"/>
      <c r="H594" s="41" t="str">
        <f>C594</f>
        <v>Green</v>
      </c>
      <c r="I594" s="42"/>
    </row>
    <row r="595" spans="1:12" s="1" customFormat="1" ht="30" customHeight="1" x14ac:dyDescent="0.25">
      <c r="A595" s="12" t="s">
        <v>4</v>
      </c>
      <c r="B595" s="37">
        <v>27087</v>
      </c>
      <c r="C595" s="37"/>
      <c r="D595" s="38"/>
      <c r="E595" s="4"/>
      <c r="F595" s="12" t="s">
        <v>4</v>
      </c>
      <c r="G595" s="37">
        <f>B595</f>
        <v>27087</v>
      </c>
      <c r="H595" s="37"/>
      <c r="I595" s="38"/>
    </row>
    <row r="596" spans="1:12" ht="63.75" customHeight="1" x14ac:dyDescent="0.25">
      <c r="A596" s="33" t="s">
        <v>82</v>
      </c>
      <c r="B596" s="33"/>
      <c r="C596" s="33"/>
      <c r="D596" s="33"/>
      <c r="E596" s="2"/>
      <c r="F596" s="33" t="str">
        <f>A596</f>
        <v>Tall DEO - Barrel</v>
      </c>
      <c r="G596" s="33"/>
      <c r="H596" s="33"/>
      <c r="I596" s="33"/>
    </row>
    <row r="597" spans="1:12" s="1" customFormat="1" ht="30" customHeight="1" x14ac:dyDescent="0.25">
      <c r="A597" s="11" t="s">
        <v>0</v>
      </c>
      <c r="B597" s="10"/>
      <c r="C597" s="11" t="s">
        <v>1</v>
      </c>
      <c r="D597" s="10"/>
      <c r="E597" s="3"/>
      <c r="F597" s="11" t="s">
        <v>0</v>
      </c>
      <c r="G597" s="10"/>
      <c r="H597" s="11" t="s">
        <v>1</v>
      </c>
      <c r="I597" s="10"/>
    </row>
    <row r="598" spans="1:12" s="1" customFormat="1" ht="30" customHeight="1" x14ac:dyDescent="0.25">
      <c r="A598" s="11" t="s">
        <v>2</v>
      </c>
      <c r="B598" s="10"/>
      <c r="C598" s="11" t="s">
        <v>5</v>
      </c>
      <c r="D598" s="7" t="s">
        <v>83</v>
      </c>
      <c r="E598" s="4"/>
      <c r="F598" s="11" t="s">
        <v>2</v>
      </c>
      <c r="G598" s="10"/>
      <c r="H598" s="11" t="s">
        <v>5</v>
      </c>
      <c r="I598" s="7" t="str">
        <f>D598</f>
        <v>18B</v>
      </c>
    </row>
    <row r="599" spans="1:12" s="1" customFormat="1" ht="53.25" customHeight="1" x14ac:dyDescent="0.25">
      <c r="A599" s="8" t="s">
        <v>3</v>
      </c>
      <c r="B599" s="9">
        <v>86</v>
      </c>
      <c r="C599" s="11" t="s">
        <v>6</v>
      </c>
      <c r="D599" s="7" t="s">
        <v>84</v>
      </c>
      <c r="E599" s="4"/>
      <c r="F599" s="8" t="s">
        <v>3</v>
      </c>
      <c r="G599" s="9">
        <v>236</v>
      </c>
      <c r="H599" s="11" t="s">
        <v>6</v>
      </c>
      <c r="I599" s="7" t="str">
        <f>D599</f>
        <v>DEO-B06</v>
      </c>
      <c r="K599" s="6" t="s">
        <v>8</v>
      </c>
      <c r="L599" s="6" t="s">
        <v>7</v>
      </c>
    </row>
    <row r="600" spans="1:12" s="1" customFormat="1" ht="30" customHeight="1" x14ac:dyDescent="0.25">
      <c r="A600" s="34" t="s">
        <v>86</v>
      </c>
      <c r="B600" s="35"/>
      <c r="C600" s="35"/>
      <c r="D600" s="36"/>
      <c r="E600" s="5"/>
      <c r="F600" s="34" t="s">
        <v>86</v>
      </c>
      <c r="G600" s="35"/>
      <c r="H600" s="35"/>
      <c r="I600" s="36"/>
      <c r="K600" s="1">
        <v>165</v>
      </c>
      <c r="L600" s="1">
        <v>20</v>
      </c>
    </row>
    <row r="601" spans="1:12" s="1" customFormat="1" ht="30" customHeight="1" x14ac:dyDescent="0.25">
      <c r="A601" s="43" t="s">
        <v>85</v>
      </c>
      <c r="B601" s="44"/>
      <c r="C601" s="41" t="s">
        <v>81</v>
      </c>
      <c r="D601" s="42"/>
      <c r="E601" s="4"/>
      <c r="F601" s="43" t="str">
        <f>A601</f>
        <v>KW621</v>
      </c>
      <c r="G601" s="44"/>
      <c r="H601" s="41" t="str">
        <f>C601</f>
        <v>Green</v>
      </c>
      <c r="I601" s="42"/>
    </row>
    <row r="602" spans="1:12" s="1" customFormat="1" ht="30" customHeight="1" x14ac:dyDescent="0.25">
      <c r="A602" s="12" t="s">
        <v>4</v>
      </c>
      <c r="B602" s="37">
        <v>27087</v>
      </c>
      <c r="C602" s="37"/>
      <c r="D602" s="38"/>
      <c r="E602" s="4"/>
      <c r="F602" s="12" t="s">
        <v>4</v>
      </c>
      <c r="G602" s="37">
        <f>B602</f>
        <v>27087</v>
      </c>
      <c r="H602" s="37"/>
      <c r="I602" s="38"/>
    </row>
    <row r="603" spans="1:12" ht="63.75" customHeight="1" x14ac:dyDescent="0.25">
      <c r="A603" s="33" t="s">
        <v>82</v>
      </c>
      <c r="B603" s="33"/>
      <c r="C603" s="33"/>
      <c r="D603" s="33"/>
      <c r="E603" s="2"/>
      <c r="F603" s="33" t="str">
        <f>A603</f>
        <v>Tall DEO - Barrel</v>
      </c>
      <c r="G603" s="33"/>
      <c r="H603" s="33"/>
      <c r="I603" s="33"/>
    </row>
    <row r="604" spans="1:12" s="1" customFormat="1" ht="30" customHeight="1" x14ac:dyDescent="0.25">
      <c r="A604" s="11" t="s">
        <v>0</v>
      </c>
      <c r="B604" s="10"/>
      <c r="C604" s="11" t="s">
        <v>1</v>
      </c>
      <c r="D604" s="10"/>
      <c r="E604" s="3"/>
      <c r="F604" s="11" t="s">
        <v>0</v>
      </c>
      <c r="G604" s="10"/>
      <c r="H604" s="11" t="s">
        <v>1</v>
      </c>
      <c r="I604" s="10"/>
    </row>
    <row r="605" spans="1:12" s="1" customFormat="1" ht="30" customHeight="1" x14ac:dyDescent="0.25">
      <c r="A605" s="11" t="s">
        <v>2</v>
      </c>
      <c r="B605" s="10"/>
      <c r="C605" s="11" t="s">
        <v>5</v>
      </c>
      <c r="D605" s="7" t="s">
        <v>83</v>
      </c>
      <c r="E605" s="4"/>
      <c r="F605" s="11" t="s">
        <v>2</v>
      </c>
      <c r="G605" s="10"/>
      <c r="H605" s="11" t="s">
        <v>5</v>
      </c>
      <c r="I605" s="7" t="str">
        <f>D605</f>
        <v>18B</v>
      </c>
    </row>
    <row r="606" spans="1:12" s="1" customFormat="1" ht="53.25" customHeight="1" x14ac:dyDescent="0.25">
      <c r="A606" s="8" t="s">
        <v>3</v>
      </c>
      <c r="B606" s="9">
        <v>87</v>
      </c>
      <c r="C606" s="11" t="s">
        <v>6</v>
      </c>
      <c r="D606" s="7" t="s">
        <v>84</v>
      </c>
      <c r="E606" s="4"/>
      <c r="F606" s="8" t="s">
        <v>3</v>
      </c>
      <c r="G606" s="9">
        <v>237</v>
      </c>
      <c r="H606" s="11" t="s">
        <v>6</v>
      </c>
      <c r="I606" s="7" t="str">
        <f>D606</f>
        <v>DEO-B06</v>
      </c>
      <c r="K606" s="6" t="s">
        <v>8</v>
      </c>
      <c r="L606" s="6" t="s">
        <v>7</v>
      </c>
    </row>
    <row r="607" spans="1:12" s="1" customFormat="1" ht="30" customHeight="1" x14ac:dyDescent="0.25">
      <c r="A607" s="34" t="s">
        <v>86</v>
      </c>
      <c r="B607" s="35"/>
      <c r="C607" s="35"/>
      <c r="D607" s="36"/>
      <c r="E607" s="5"/>
      <c r="F607" s="34" t="s">
        <v>86</v>
      </c>
      <c r="G607" s="35"/>
      <c r="H607" s="35"/>
      <c r="I607" s="36"/>
      <c r="K607" s="1">
        <v>165</v>
      </c>
      <c r="L607" s="1">
        <v>20</v>
      </c>
    </row>
    <row r="608" spans="1:12" s="1" customFormat="1" ht="30" customHeight="1" x14ac:dyDescent="0.25">
      <c r="A608" s="43" t="s">
        <v>85</v>
      </c>
      <c r="B608" s="44"/>
      <c r="C608" s="41" t="s">
        <v>81</v>
      </c>
      <c r="D608" s="42"/>
      <c r="E608" s="4"/>
      <c r="F608" s="43" t="str">
        <f>A608</f>
        <v>KW621</v>
      </c>
      <c r="G608" s="44"/>
      <c r="H608" s="41" t="str">
        <f>C608</f>
        <v>Green</v>
      </c>
      <c r="I608" s="42"/>
    </row>
    <row r="609" spans="1:12" s="1" customFormat="1" ht="30" customHeight="1" x14ac:dyDescent="0.25">
      <c r="A609" s="12" t="s">
        <v>4</v>
      </c>
      <c r="B609" s="37">
        <v>27087</v>
      </c>
      <c r="C609" s="37"/>
      <c r="D609" s="38"/>
      <c r="E609" s="4"/>
      <c r="F609" s="12" t="s">
        <v>4</v>
      </c>
      <c r="G609" s="37">
        <f>B609</f>
        <v>27087</v>
      </c>
      <c r="H609" s="37"/>
      <c r="I609" s="38"/>
    </row>
    <row r="610" spans="1:12" ht="63.75" customHeight="1" x14ac:dyDescent="0.25">
      <c r="A610" s="33" t="s">
        <v>82</v>
      </c>
      <c r="B610" s="33"/>
      <c r="C610" s="33"/>
      <c r="D610" s="33"/>
      <c r="E610" s="2"/>
      <c r="F610" s="33" t="str">
        <f>A610</f>
        <v>Tall DEO - Barrel</v>
      </c>
      <c r="G610" s="33"/>
      <c r="H610" s="33"/>
      <c r="I610" s="33"/>
    </row>
    <row r="611" spans="1:12" s="1" customFormat="1" ht="30" customHeight="1" x14ac:dyDescent="0.25">
      <c r="A611" s="11" t="s">
        <v>0</v>
      </c>
      <c r="B611" s="10"/>
      <c r="C611" s="11" t="s">
        <v>1</v>
      </c>
      <c r="D611" s="10"/>
      <c r="E611" s="3"/>
      <c r="F611" s="11" t="s">
        <v>0</v>
      </c>
      <c r="G611" s="10"/>
      <c r="H611" s="11" t="s">
        <v>1</v>
      </c>
      <c r="I611" s="10"/>
    </row>
    <row r="612" spans="1:12" s="1" customFormat="1" ht="30" customHeight="1" x14ac:dyDescent="0.25">
      <c r="A612" s="11" t="s">
        <v>2</v>
      </c>
      <c r="B612" s="10"/>
      <c r="C612" s="11" t="s">
        <v>5</v>
      </c>
      <c r="D612" s="7" t="s">
        <v>83</v>
      </c>
      <c r="E612" s="4"/>
      <c r="F612" s="11" t="s">
        <v>2</v>
      </c>
      <c r="G612" s="10"/>
      <c r="H612" s="11" t="s">
        <v>5</v>
      </c>
      <c r="I612" s="7" t="str">
        <f>D612</f>
        <v>18B</v>
      </c>
    </row>
    <row r="613" spans="1:12" s="1" customFormat="1" ht="53.25" customHeight="1" x14ac:dyDescent="0.25">
      <c r="A613" s="8" t="s">
        <v>3</v>
      </c>
      <c r="B613" s="9">
        <v>88</v>
      </c>
      <c r="C613" s="11" t="s">
        <v>6</v>
      </c>
      <c r="D613" s="7" t="s">
        <v>84</v>
      </c>
      <c r="E613" s="4"/>
      <c r="F613" s="8" t="s">
        <v>3</v>
      </c>
      <c r="G613" s="9">
        <v>238</v>
      </c>
      <c r="H613" s="11" t="s">
        <v>6</v>
      </c>
      <c r="I613" s="7" t="str">
        <f>D613</f>
        <v>DEO-B06</v>
      </c>
      <c r="K613" s="6" t="s">
        <v>8</v>
      </c>
      <c r="L613" s="6" t="s">
        <v>7</v>
      </c>
    </row>
    <row r="614" spans="1:12" s="1" customFormat="1" ht="30" customHeight="1" x14ac:dyDescent="0.25">
      <c r="A614" s="34" t="s">
        <v>86</v>
      </c>
      <c r="B614" s="35"/>
      <c r="C614" s="35"/>
      <c r="D614" s="36"/>
      <c r="E614" s="5"/>
      <c r="F614" s="34" t="s">
        <v>86</v>
      </c>
      <c r="G614" s="35"/>
      <c r="H614" s="35"/>
      <c r="I614" s="36"/>
      <c r="K614" s="1">
        <v>165</v>
      </c>
      <c r="L614" s="1">
        <v>20</v>
      </c>
    </row>
    <row r="615" spans="1:12" s="1" customFormat="1" ht="30" customHeight="1" x14ac:dyDescent="0.25">
      <c r="A615" s="43" t="s">
        <v>85</v>
      </c>
      <c r="B615" s="44"/>
      <c r="C615" s="41" t="s">
        <v>81</v>
      </c>
      <c r="D615" s="42"/>
      <c r="E615" s="4"/>
      <c r="F615" s="43" t="str">
        <f>A615</f>
        <v>KW621</v>
      </c>
      <c r="G615" s="44"/>
      <c r="H615" s="41" t="str">
        <f>C615</f>
        <v>Green</v>
      </c>
      <c r="I615" s="42"/>
    </row>
    <row r="616" spans="1:12" s="1" customFormat="1" ht="30" customHeight="1" x14ac:dyDescent="0.25">
      <c r="A616" s="12" t="s">
        <v>4</v>
      </c>
      <c r="B616" s="37">
        <v>27087</v>
      </c>
      <c r="C616" s="37"/>
      <c r="D616" s="38"/>
      <c r="E616" s="4"/>
      <c r="F616" s="12" t="s">
        <v>4</v>
      </c>
      <c r="G616" s="37">
        <f>B616</f>
        <v>27087</v>
      </c>
      <c r="H616" s="37"/>
      <c r="I616" s="38"/>
    </row>
    <row r="617" spans="1:12" ht="63.75" customHeight="1" x14ac:dyDescent="0.25">
      <c r="A617" s="33" t="s">
        <v>82</v>
      </c>
      <c r="B617" s="33"/>
      <c r="C617" s="33"/>
      <c r="D617" s="33"/>
      <c r="E617" s="2"/>
      <c r="F617" s="33" t="str">
        <f>A617</f>
        <v>Tall DEO - Barrel</v>
      </c>
      <c r="G617" s="33"/>
      <c r="H617" s="33"/>
      <c r="I617" s="33"/>
    </row>
    <row r="618" spans="1:12" s="1" customFormat="1" ht="30" customHeight="1" x14ac:dyDescent="0.25">
      <c r="A618" s="11" t="s">
        <v>0</v>
      </c>
      <c r="B618" s="10"/>
      <c r="C618" s="11" t="s">
        <v>1</v>
      </c>
      <c r="D618" s="10"/>
      <c r="E618" s="3"/>
      <c r="F618" s="11" t="s">
        <v>0</v>
      </c>
      <c r="G618" s="10"/>
      <c r="H618" s="11" t="s">
        <v>1</v>
      </c>
      <c r="I618" s="10"/>
    </row>
    <row r="619" spans="1:12" s="1" customFormat="1" ht="30" customHeight="1" x14ac:dyDescent="0.25">
      <c r="A619" s="11" t="s">
        <v>2</v>
      </c>
      <c r="B619" s="10"/>
      <c r="C619" s="11" t="s">
        <v>5</v>
      </c>
      <c r="D619" s="7" t="s">
        <v>83</v>
      </c>
      <c r="E619" s="4"/>
      <c r="F619" s="11" t="s">
        <v>2</v>
      </c>
      <c r="G619" s="10"/>
      <c r="H619" s="11" t="s">
        <v>5</v>
      </c>
      <c r="I619" s="7" t="str">
        <f>D619</f>
        <v>18B</v>
      </c>
    </row>
    <row r="620" spans="1:12" s="1" customFormat="1" ht="53.25" customHeight="1" x14ac:dyDescent="0.25">
      <c r="A620" s="8" t="s">
        <v>3</v>
      </c>
      <c r="B620" s="9">
        <v>89</v>
      </c>
      <c r="C620" s="11" t="s">
        <v>6</v>
      </c>
      <c r="D620" s="7" t="s">
        <v>84</v>
      </c>
      <c r="E620" s="4"/>
      <c r="F620" s="8" t="s">
        <v>3</v>
      </c>
      <c r="G620" s="9">
        <v>239</v>
      </c>
      <c r="H620" s="11" t="s">
        <v>6</v>
      </c>
      <c r="I620" s="7" t="str">
        <f>D620</f>
        <v>DEO-B06</v>
      </c>
      <c r="K620" s="6" t="s">
        <v>8</v>
      </c>
      <c r="L620" s="6" t="s">
        <v>7</v>
      </c>
    </row>
    <row r="621" spans="1:12" s="1" customFormat="1" ht="30" customHeight="1" x14ac:dyDescent="0.25">
      <c r="A621" s="34" t="s">
        <v>86</v>
      </c>
      <c r="B621" s="35"/>
      <c r="C621" s="35"/>
      <c r="D621" s="36"/>
      <c r="E621" s="5"/>
      <c r="F621" s="34" t="s">
        <v>86</v>
      </c>
      <c r="G621" s="35"/>
      <c r="H621" s="35"/>
      <c r="I621" s="36"/>
      <c r="K621" s="1">
        <v>165</v>
      </c>
      <c r="L621" s="1">
        <v>20</v>
      </c>
    </row>
    <row r="622" spans="1:12" s="1" customFormat="1" ht="30" customHeight="1" x14ac:dyDescent="0.25">
      <c r="A622" s="43" t="s">
        <v>85</v>
      </c>
      <c r="B622" s="44"/>
      <c r="C622" s="41" t="s">
        <v>81</v>
      </c>
      <c r="D622" s="42"/>
      <c r="E622" s="4"/>
      <c r="F622" s="43" t="str">
        <f>A622</f>
        <v>KW621</v>
      </c>
      <c r="G622" s="44"/>
      <c r="H622" s="41" t="str">
        <f>C622</f>
        <v>Green</v>
      </c>
      <c r="I622" s="42"/>
    </row>
    <row r="623" spans="1:12" s="1" customFormat="1" ht="30" customHeight="1" x14ac:dyDescent="0.25">
      <c r="A623" s="12" t="s">
        <v>4</v>
      </c>
      <c r="B623" s="37">
        <v>27087</v>
      </c>
      <c r="C623" s="37"/>
      <c r="D623" s="38"/>
      <c r="E623" s="4"/>
      <c r="F623" s="12" t="s">
        <v>4</v>
      </c>
      <c r="G623" s="37">
        <f>B623</f>
        <v>27087</v>
      </c>
      <c r="H623" s="37"/>
      <c r="I623" s="38"/>
    </row>
    <row r="624" spans="1:12" ht="63.75" customHeight="1" x14ac:dyDescent="0.25">
      <c r="A624" s="33" t="s">
        <v>82</v>
      </c>
      <c r="B624" s="33"/>
      <c r="C624" s="33"/>
      <c r="D624" s="33"/>
      <c r="E624" s="2"/>
      <c r="F624" s="33" t="str">
        <f>A624</f>
        <v>Tall DEO - Barrel</v>
      </c>
      <c r="G624" s="33"/>
      <c r="H624" s="33"/>
      <c r="I624" s="33"/>
    </row>
    <row r="625" spans="1:12" s="1" customFormat="1" ht="30" customHeight="1" x14ac:dyDescent="0.25">
      <c r="A625" s="11" t="s">
        <v>0</v>
      </c>
      <c r="B625" s="10"/>
      <c r="C625" s="11" t="s">
        <v>1</v>
      </c>
      <c r="D625" s="10"/>
      <c r="E625" s="3"/>
      <c r="F625" s="11" t="s">
        <v>0</v>
      </c>
      <c r="G625" s="10"/>
      <c r="H625" s="11" t="s">
        <v>1</v>
      </c>
      <c r="I625" s="10"/>
    </row>
    <row r="626" spans="1:12" s="1" customFormat="1" ht="30" customHeight="1" x14ac:dyDescent="0.25">
      <c r="A626" s="11" t="s">
        <v>2</v>
      </c>
      <c r="B626" s="10"/>
      <c r="C626" s="11" t="s">
        <v>5</v>
      </c>
      <c r="D626" s="7" t="s">
        <v>83</v>
      </c>
      <c r="E626" s="4"/>
      <c r="F626" s="11" t="s">
        <v>2</v>
      </c>
      <c r="G626" s="10"/>
      <c r="H626" s="11" t="s">
        <v>5</v>
      </c>
      <c r="I626" s="7" t="str">
        <f>D626</f>
        <v>18B</v>
      </c>
    </row>
    <row r="627" spans="1:12" s="1" customFormat="1" ht="53.25" customHeight="1" x14ac:dyDescent="0.25">
      <c r="A627" s="8" t="s">
        <v>3</v>
      </c>
      <c r="B627" s="9">
        <v>90</v>
      </c>
      <c r="C627" s="11" t="s">
        <v>6</v>
      </c>
      <c r="D627" s="7" t="s">
        <v>84</v>
      </c>
      <c r="E627" s="4"/>
      <c r="F627" s="8" t="s">
        <v>3</v>
      </c>
      <c r="G627" s="9">
        <v>240</v>
      </c>
      <c r="H627" s="11" t="s">
        <v>6</v>
      </c>
      <c r="I627" s="7" t="str">
        <f>D627</f>
        <v>DEO-B06</v>
      </c>
      <c r="K627" s="6" t="s">
        <v>8</v>
      </c>
      <c r="L627" s="6" t="s">
        <v>7</v>
      </c>
    </row>
    <row r="628" spans="1:12" s="1" customFormat="1" ht="30" customHeight="1" x14ac:dyDescent="0.25">
      <c r="A628" s="34" t="s">
        <v>86</v>
      </c>
      <c r="B628" s="35"/>
      <c r="C628" s="35"/>
      <c r="D628" s="36"/>
      <c r="E628" s="5"/>
      <c r="F628" s="34" t="s">
        <v>86</v>
      </c>
      <c r="G628" s="35"/>
      <c r="H628" s="35"/>
      <c r="I628" s="36"/>
      <c r="K628" s="1">
        <v>165</v>
      </c>
      <c r="L628" s="1">
        <v>20</v>
      </c>
    </row>
    <row r="629" spans="1:12" s="1" customFormat="1" ht="30" customHeight="1" x14ac:dyDescent="0.25">
      <c r="A629" s="43" t="s">
        <v>85</v>
      </c>
      <c r="B629" s="44"/>
      <c r="C629" s="41" t="s">
        <v>81</v>
      </c>
      <c r="D629" s="42"/>
      <c r="E629" s="4"/>
      <c r="F629" s="43" t="str">
        <f>A629</f>
        <v>KW621</v>
      </c>
      <c r="G629" s="44"/>
      <c r="H629" s="41" t="str">
        <f>C629</f>
        <v>Green</v>
      </c>
      <c r="I629" s="42"/>
    </row>
    <row r="630" spans="1:12" s="1" customFormat="1" ht="30" customHeight="1" x14ac:dyDescent="0.25">
      <c r="A630" s="12" t="s">
        <v>4</v>
      </c>
      <c r="B630" s="37">
        <v>27087</v>
      </c>
      <c r="C630" s="37"/>
      <c r="D630" s="38"/>
      <c r="E630" s="4"/>
      <c r="F630" s="12" t="s">
        <v>4</v>
      </c>
      <c r="G630" s="37">
        <f>B630</f>
        <v>27087</v>
      </c>
      <c r="H630" s="37"/>
      <c r="I630" s="38"/>
    </row>
    <row r="631" spans="1:12" ht="63.75" customHeight="1" x14ac:dyDescent="0.25">
      <c r="A631" s="33" t="s">
        <v>82</v>
      </c>
      <c r="B631" s="33"/>
      <c r="C631" s="33"/>
      <c r="D631" s="33"/>
      <c r="E631" s="2"/>
      <c r="F631" s="33" t="str">
        <f>A631</f>
        <v>Tall DEO - Barrel</v>
      </c>
      <c r="G631" s="33"/>
      <c r="H631" s="33"/>
      <c r="I631" s="33"/>
    </row>
    <row r="632" spans="1:12" s="1" customFormat="1" ht="30" customHeight="1" x14ac:dyDescent="0.25">
      <c r="A632" s="11" t="s">
        <v>0</v>
      </c>
      <c r="B632" s="10"/>
      <c r="C632" s="11" t="s">
        <v>1</v>
      </c>
      <c r="D632" s="10"/>
      <c r="E632" s="3"/>
      <c r="F632" s="11" t="s">
        <v>0</v>
      </c>
      <c r="G632" s="10"/>
      <c r="H632" s="11" t="s">
        <v>1</v>
      </c>
      <c r="I632" s="10"/>
    </row>
    <row r="633" spans="1:12" s="1" customFormat="1" ht="30" customHeight="1" x14ac:dyDescent="0.25">
      <c r="A633" s="11" t="s">
        <v>2</v>
      </c>
      <c r="B633" s="10"/>
      <c r="C633" s="11" t="s">
        <v>5</v>
      </c>
      <c r="D633" s="7" t="s">
        <v>83</v>
      </c>
      <c r="E633" s="4"/>
      <c r="F633" s="11" t="s">
        <v>2</v>
      </c>
      <c r="G633" s="10"/>
      <c r="H633" s="11" t="s">
        <v>5</v>
      </c>
      <c r="I633" s="7" t="str">
        <f>D633</f>
        <v>18B</v>
      </c>
    </row>
    <row r="634" spans="1:12" s="1" customFormat="1" ht="53.25" customHeight="1" x14ac:dyDescent="0.25">
      <c r="A634" s="8" t="s">
        <v>3</v>
      </c>
      <c r="B634" s="9">
        <v>91</v>
      </c>
      <c r="C634" s="11" t="s">
        <v>6</v>
      </c>
      <c r="D634" s="7" t="s">
        <v>84</v>
      </c>
      <c r="E634" s="4"/>
      <c r="F634" s="8" t="s">
        <v>3</v>
      </c>
      <c r="G634" s="9">
        <v>241</v>
      </c>
      <c r="H634" s="11" t="s">
        <v>6</v>
      </c>
      <c r="I634" s="7" t="str">
        <f>D634</f>
        <v>DEO-B06</v>
      </c>
      <c r="K634" s="6" t="s">
        <v>8</v>
      </c>
      <c r="L634" s="6" t="s">
        <v>7</v>
      </c>
    </row>
    <row r="635" spans="1:12" s="1" customFormat="1" ht="30" customHeight="1" x14ac:dyDescent="0.25">
      <c r="A635" s="34" t="s">
        <v>86</v>
      </c>
      <c r="B635" s="35"/>
      <c r="C635" s="35"/>
      <c r="D635" s="36"/>
      <c r="E635" s="5"/>
      <c r="F635" s="34" t="s">
        <v>86</v>
      </c>
      <c r="G635" s="35"/>
      <c r="H635" s="35"/>
      <c r="I635" s="36"/>
      <c r="K635" s="1">
        <v>165</v>
      </c>
      <c r="L635" s="1">
        <v>20</v>
      </c>
    </row>
    <row r="636" spans="1:12" s="1" customFormat="1" ht="30" customHeight="1" x14ac:dyDescent="0.25">
      <c r="A636" s="43" t="s">
        <v>85</v>
      </c>
      <c r="B636" s="44"/>
      <c r="C636" s="41" t="s">
        <v>81</v>
      </c>
      <c r="D636" s="42"/>
      <c r="E636" s="4"/>
      <c r="F636" s="43" t="str">
        <f>A636</f>
        <v>KW621</v>
      </c>
      <c r="G636" s="44"/>
      <c r="H636" s="41" t="str">
        <f>C636</f>
        <v>Green</v>
      </c>
      <c r="I636" s="42"/>
    </row>
    <row r="637" spans="1:12" s="1" customFormat="1" ht="30" customHeight="1" x14ac:dyDescent="0.25">
      <c r="A637" s="12" t="s">
        <v>4</v>
      </c>
      <c r="B637" s="37">
        <v>27087</v>
      </c>
      <c r="C637" s="37"/>
      <c r="D637" s="38"/>
      <c r="E637" s="4"/>
      <c r="F637" s="12" t="s">
        <v>4</v>
      </c>
      <c r="G637" s="37">
        <f>B637</f>
        <v>27087</v>
      </c>
      <c r="H637" s="37"/>
      <c r="I637" s="38"/>
    </row>
    <row r="638" spans="1:12" ht="63.75" customHeight="1" x14ac:dyDescent="0.25">
      <c r="A638" s="33" t="s">
        <v>82</v>
      </c>
      <c r="B638" s="33"/>
      <c r="C638" s="33"/>
      <c r="D638" s="33"/>
      <c r="E638" s="2"/>
      <c r="F638" s="33" t="str">
        <f>A638</f>
        <v>Tall DEO - Barrel</v>
      </c>
      <c r="G638" s="33"/>
      <c r="H638" s="33"/>
      <c r="I638" s="33"/>
    </row>
    <row r="639" spans="1:12" s="1" customFormat="1" ht="30" customHeight="1" x14ac:dyDescent="0.25">
      <c r="A639" s="11" t="s">
        <v>0</v>
      </c>
      <c r="B639" s="10"/>
      <c r="C639" s="11" t="s">
        <v>1</v>
      </c>
      <c r="D639" s="10"/>
      <c r="E639" s="3"/>
      <c r="F639" s="11" t="s">
        <v>0</v>
      </c>
      <c r="G639" s="10"/>
      <c r="H639" s="11" t="s">
        <v>1</v>
      </c>
      <c r="I639" s="10"/>
    </row>
    <row r="640" spans="1:12" s="1" customFormat="1" ht="30" customHeight="1" x14ac:dyDescent="0.25">
      <c r="A640" s="11" t="s">
        <v>2</v>
      </c>
      <c r="B640" s="10"/>
      <c r="C640" s="11" t="s">
        <v>5</v>
      </c>
      <c r="D640" s="7" t="s">
        <v>83</v>
      </c>
      <c r="E640" s="4"/>
      <c r="F640" s="11" t="s">
        <v>2</v>
      </c>
      <c r="G640" s="10"/>
      <c r="H640" s="11" t="s">
        <v>5</v>
      </c>
      <c r="I640" s="7" t="str">
        <f>D640</f>
        <v>18B</v>
      </c>
    </row>
    <row r="641" spans="1:12" s="1" customFormat="1" ht="53.25" customHeight="1" x14ac:dyDescent="0.25">
      <c r="A641" s="8" t="s">
        <v>3</v>
      </c>
      <c r="B641" s="9">
        <v>92</v>
      </c>
      <c r="C641" s="11" t="s">
        <v>6</v>
      </c>
      <c r="D641" s="7" t="s">
        <v>84</v>
      </c>
      <c r="E641" s="4"/>
      <c r="F641" s="8" t="s">
        <v>3</v>
      </c>
      <c r="G641" s="9">
        <v>242</v>
      </c>
      <c r="H641" s="11" t="s">
        <v>6</v>
      </c>
      <c r="I641" s="7" t="str">
        <f>D641</f>
        <v>DEO-B06</v>
      </c>
      <c r="K641" s="6" t="s">
        <v>8</v>
      </c>
      <c r="L641" s="6" t="s">
        <v>7</v>
      </c>
    </row>
    <row r="642" spans="1:12" s="1" customFormat="1" ht="30" customHeight="1" x14ac:dyDescent="0.25">
      <c r="A642" s="34" t="s">
        <v>86</v>
      </c>
      <c r="B642" s="35"/>
      <c r="C642" s="35"/>
      <c r="D642" s="36"/>
      <c r="E642" s="5"/>
      <c r="F642" s="34" t="s">
        <v>86</v>
      </c>
      <c r="G642" s="35"/>
      <c r="H642" s="35"/>
      <c r="I642" s="36"/>
      <c r="K642" s="1">
        <v>165</v>
      </c>
      <c r="L642" s="1">
        <v>20</v>
      </c>
    </row>
    <row r="643" spans="1:12" s="1" customFormat="1" ht="30" customHeight="1" x14ac:dyDescent="0.25">
      <c r="A643" s="43" t="s">
        <v>85</v>
      </c>
      <c r="B643" s="44"/>
      <c r="C643" s="41" t="s">
        <v>81</v>
      </c>
      <c r="D643" s="42"/>
      <c r="E643" s="4"/>
      <c r="F643" s="43" t="str">
        <f>A643</f>
        <v>KW621</v>
      </c>
      <c r="G643" s="44"/>
      <c r="H643" s="41" t="str">
        <f>C643</f>
        <v>Green</v>
      </c>
      <c r="I643" s="42"/>
    </row>
    <row r="644" spans="1:12" s="1" customFormat="1" ht="30" customHeight="1" x14ac:dyDescent="0.25">
      <c r="A644" s="12" t="s">
        <v>4</v>
      </c>
      <c r="B644" s="37">
        <v>27087</v>
      </c>
      <c r="C644" s="37"/>
      <c r="D644" s="38"/>
      <c r="E644" s="4"/>
      <c r="F644" s="12" t="s">
        <v>4</v>
      </c>
      <c r="G644" s="37">
        <f>B644</f>
        <v>27087</v>
      </c>
      <c r="H644" s="37"/>
      <c r="I644" s="38"/>
    </row>
    <row r="645" spans="1:12" ht="63.75" customHeight="1" x14ac:dyDescent="0.25">
      <c r="A645" s="33" t="s">
        <v>82</v>
      </c>
      <c r="B645" s="33"/>
      <c r="C645" s="33"/>
      <c r="D645" s="33"/>
      <c r="E645" s="2"/>
      <c r="F645" s="33" t="str">
        <f>A645</f>
        <v>Tall DEO - Barrel</v>
      </c>
      <c r="G645" s="33"/>
      <c r="H645" s="33"/>
      <c r="I645" s="33"/>
    </row>
    <row r="646" spans="1:12" s="1" customFormat="1" ht="30" customHeight="1" x14ac:dyDescent="0.25">
      <c r="A646" s="11" t="s">
        <v>0</v>
      </c>
      <c r="B646" s="10"/>
      <c r="C646" s="11" t="s">
        <v>1</v>
      </c>
      <c r="D646" s="10"/>
      <c r="E646" s="3"/>
      <c r="F646" s="11" t="s">
        <v>0</v>
      </c>
      <c r="G646" s="10"/>
      <c r="H646" s="11" t="s">
        <v>1</v>
      </c>
      <c r="I646" s="10"/>
    </row>
    <row r="647" spans="1:12" s="1" customFormat="1" ht="30" customHeight="1" x14ac:dyDescent="0.25">
      <c r="A647" s="11" t="s">
        <v>2</v>
      </c>
      <c r="B647" s="10"/>
      <c r="C647" s="11" t="s">
        <v>5</v>
      </c>
      <c r="D647" s="7" t="s">
        <v>83</v>
      </c>
      <c r="E647" s="4"/>
      <c r="F647" s="11" t="s">
        <v>2</v>
      </c>
      <c r="G647" s="10"/>
      <c r="H647" s="11" t="s">
        <v>5</v>
      </c>
      <c r="I647" s="7" t="str">
        <f>D647</f>
        <v>18B</v>
      </c>
    </row>
    <row r="648" spans="1:12" s="1" customFormat="1" ht="53.25" customHeight="1" x14ac:dyDescent="0.25">
      <c r="A648" s="8" t="s">
        <v>3</v>
      </c>
      <c r="B648" s="9">
        <v>93</v>
      </c>
      <c r="C648" s="11" t="s">
        <v>6</v>
      </c>
      <c r="D648" s="7" t="s">
        <v>84</v>
      </c>
      <c r="E648" s="4"/>
      <c r="F648" s="8" t="s">
        <v>3</v>
      </c>
      <c r="G648" s="9">
        <v>243</v>
      </c>
      <c r="H648" s="11" t="s">
        <v>6</v>
      </c>
      <c r="I648" s="7" t="str">
        <f>D648</f>
        <v>DEO-B06</v>
      </c>
      <c r="K648" s="6" t="s">
        <v>8</v>
      </c>
      <c r="L648" s="6" t="s">
        <v>7</v>
      </c>
    </row>
    <row r="649" spans="1:12" s="1" customFormat="1" ht="30" customHeight="1" x14ac:dyDescent="0.25">
      <c r="A649" s="34" t="s">
        <v>86</v>
      </c>
      <c r="B649" s="35"/>
      <c r="C649" s="35"/>
      <c r="D649" s="36"/>
      <c r="E649" s="5"/>
      <c r="F649" s="34" t="s">
        <v>86</v>
      </c>
      <c r="G649" s="35"/>
      <c r="H649" s="35"/>
      <c r="I649" s="36"/>
      <c r="K649" s="1">
        <v>165</v>
      </c>
      <c r="L649" s="1">
        <v>20</v>
      </c>
    </row>
    <row r="650" spans="1:12" s="1" customFormat="1" ht="30" customHeight="1" x14ac:dyDescent="0.25">
      <c r="A650" s="43" t="s">
        <v>85</v>
      </c>
      <c r="B650" s="44"/>
      <c r="C650" s="41" t="s">
        <v>81</v>
      </c>
      <c r="D650" s="42"/>
      <c r="E650" s="4"/>
      <c r="F650" s="43" t="str">
        <f>A650</f>
        <v>KW621</v>
      </c>
      <c r="G650" s="44"/>
      <c r="H650" s="41" t="str">
        <f>C650</f>
        <v>Green</v>
      </c>
      <c r="I650" s="42"/>
    </row>
    <row r="651" spans="1:12" s="1" customFormat="1" ht="30" customHeight="1" x14ac:dyDescent="0.25">
      <c r="A651" s="12" t="s">
        <v>4</v>
      </c>
      <c r="B651" s="37">
        <v>27087</v>
      </c>
      <c r="C651" s="37"/>
      <c r="D651" s="38"/>
      <c r="E651" s="4"/>
      <c r="F651" s="12" t="s">
        <v>4</v>
      </c>
      <c r="G651" s="37">
        <f>B651</f>
        <v>27087</v>
      </c>
      <c r="H651" s="37"/>
      <c r="I651" s="38"/>
    </row>
    <row r="652" spans="1:12" ht="63.75" customHeight="1" x14ac:dyDescent="0.25">
      <c r="A652" s="33" t="s">
        <v>82</v>
      </c>
      <c r="B652" s="33"/>
      <c r="C652" s="33"/>
      <c r="D652" s="33"/>
      <c r="E652" s="2"/>
      <c r="F652" s="33" t="str">
        <f>A652</f>
        <v>Tall DEO - Barrel</v>
      </c>
      <c r="G652" s="33"/>
      <c r="H652" s="33"/>
      <c r="I652" s="33"/>
    </row>
    <row r="653" spans="1:12" s="1" customFormat="1" ht="30" customHeight="1" x14ac:dyDescent="0.25">
      <c r="A653" s="11" t="s">
        <v>0</v>
      </c>
      <c r="B653" s="10"/>
      <c r="C653" s="11" t="s">
        <v>1</v>
      </c>
      <c r="D653" s="10"/>
      <c r="E653" s="3"/>
      <c r="F653" s="11" t="s">
        <v>0</v>
      </c>
      <c r="G653" s="10"/>
      <c r="H653" s="11" t="s">
        <v>1</v>
      </c>
      <c r="I653" s="10"/>
    </row>
    <row r="654" spans="1:12" s="1" customFormat="1" ht="30" customHeight="1" x14ac:dyDescent="0.25">
      <c r="A654" s="11" t="s">
        <v>2</v>
      </c>
      <c r="B654" s="10"/>
      <c r="C654" s="11" t="s">
        <v>5</v>
      </c>
      <c r="D654" s="7" t="s">
        <v>83</v>
      </c>
      <c r="E654" s="4"/>
      <c r="F654" s="11" t="s">
        <v>2</v>
      </c>
      <c r="G654" s="10"/>
      <c r="H654" s="11" t="s">
        <v>5</v>
      </c>
      <c r="I654" s="7" t="str">
        <f>D654</f>
        <v>18B</v>
      </c>
    </row>
    <row r="655" spans="1:12" s="1" customFormat="1" ht="53.25" customHeight="1" x14ac:dyDescent="0.25">
      <c r="A655" s="8" t="s">
        <v>3</v>
      </c>
      <c r="B655" s="9">
        <v>94</v>
      </c>
      <c r="C655" s="11" t="s">
        <v>6</v>
      </c>
      <c r="D655" s="7" t="s">
        <v>84</v>
      </c>
      <c r="E655" s="4"/>
      <c r="F655" s="8" t="s">
        <v>3</v>
      </c>
      <c r="G655" s="9">
        <v>244</v>
      </c>
      <c r="H655" s="11" t="s">
        <v>6</v>
      </c>
      <c r="I655" s="7" t="str">
        <f>D655</f>
        <v>DEO-B06</v>
      </c>
      <c r="K655" s="6" t="s">
        <v>8</v>
      </c>
      <c r="L655" s="6" t="s">
        <v>7</v>
      </c>
    </row>
    <row r="656" spans="1:12" s="1" customFormat="1" ht="30" customHeight="1" x14ac:dyDescent="0.25">
      <c r="A656" s="34" t="s">
        <v>86</v>
      </c>
      <c r="B656" s="35"/>
      <c r="C656" s="35"/>
      <c r="D656" s="36"/>
      <c r="E656" s="5"/>
      <c r="F656" s="34" t="s">
        <v>86</v>
      </c>
      <c r="G656" s="35"/>
      <c r="H656" s="35"/>
      <c r="I656" s="36"/>
      <c r="K656" s="1">
        <v>165</v>
      </c>
      <c r="L656" s="1">
        <v>20</v>
      </c>
    </row>
    <row r="657" spans="1:12" s="1" customFormat="1" ht="30" customHeight="1" x14ac:dyDescent="0.25">
      <c r="A657" s="43" t="s">
        <v>85</v>
      </c>
      <c r="B657" s="44"/>
      <c r="C657" s="41" t="s">
        <v>81</v>
      </c>
      <c r="D657" s="42"/>
      <c r="E657" s="4"/>
      <c r="F657" s="43" t="str">
        <f>A657</f>
        <v>KW621</v>
      </c>
      <c r="G657" s="44"/>
      <c r="H657" s="41" t="str">
        <f>C657</f>
        <v>Green</v>
      </c>
      <c r="I657" s="42"/>
    </row>
    <row r="658" spans="1:12" s="1" customFormat="1" ht="30" customHeight="1" x14ac:dyDescent="0.25">
      <c r="A658" s="12" t="s">
        <v>4</v>
      </c>
      <c r="B658" s="37">
        <v>27087</v>
      </c>
      <c r="C658" s="37"/>
      <c r="D658" s="38"/>
      <c r="E658" s="4"/>
      <c r="F658" s="12" t="s">
        <v>4</v>
      </c>
      <c r="G658" s="37">
        <f>B658</f>
        <v>27087</v>
      </c>
      <c r="H658" s="37"/>
      <c r="I658" s="38"/>
    </row>
    <row r="659" spans="1:12" ht="63.75" customHeight="1" x14ac:dyDescent="0.25">
      <c r="A659" s="33" t="s">
        <v>82</v>
      </c>
      <c r="B659" s="33"/>
      <c r="C659" s="33"/>
      <c r="D659" s="33"/>
      <c r="E659" s="2"/>
      <c r="F659" s="33" t="str">
        <f>A659</f>
        <v>Tall DEO - Barrel</v>
      </c>
      <c r="G659" s="33"/>
      <c r="H659" s="33"/>
      <c r="I659" s="33"/>
    </row>
    <row r="660" spans="1:12" s="1" customFormat="1" ht="30" customHeight="1" x14ac:dyDescent="0.25">
      <c r="A660" s="11" t="s">
        <v>0</v>
      </c>
      <c r="B660" s="10"/>
      <c r="C660" s="11" t="s">
        <v>1</v>
      </c>
      <c r="D660" s="10"/>
      <c r="E660" s="3"/>
      <c r="F660" s="11" t="s">
        <v>0</v>
      </c>
      <c r="G660" s="10"/>
      <c r="H660" s="11" t="s">
        <v>1</v>
      </c>
      <c r="I660" s="10"/>
    </row>
    <row r="661" spans="1:12" s="1" customFormat="1" ht="30" customHeight="1" x14ac:dyDescent="0.25">
      <c r="A661" s="11" t="s">
        <v>2</v>
      </c>
      <c r="B661" s="10"/>
      <c r="C661" s="11" t="s">
        <v>5</v>
      </c>
      <c r="D661" s="7" t="s">
        <v>83</v>
      </c>
      <c r="E661" s="4"/>
      <c r="F661" s="11" t="s">
        <v>2</v>
      </c>
      <c r="G661" s="10"/>
      <c r="H661" s="11" t="s">
        <v>5</v>
      </c>
      <c r="I661" s="7" t="str">
        <f>D661</f>
        <v>18B</v>
      </c>
    </row>
    <row r="662" spans="1:12" s="1" customFormat="1" ht="53.25" customHeight="1" x14ac:dyDescent="0.25">
      <c r="A662" s="8" t="s">
        <v>3</v>
      </c>
      <c r="B662" s="9">
        <v>95</v>
      </c>
      <c r="C662" s="11" t="s">
        <v>6</v>
      </c>
      <c r="D662" s="7" t="s">
        <v>84</v>
      </c>
      <c r="E662" s="4"/>
      <c r="F662" s="8" t="s">
        <v>3</v>
      </c>
      <c r="G662" s="9">
        <v>245</v>
      </c>
      <c r="H662" s="11" t="s">
        <v>6</v>
      </c>
      <c r="I662" s="7" t="str">
        <f>D662</f>
        <v>DEO-B06</v>
      </c>
      <c r="K662" s="6" t="s">
        <v>8</v>
      </c>
      <c r="L662" s="6" t="s">
        <v>7</v>
      </c>
    </row>
    <row r="663" spans="1:12" s="1" customFormat="1" ht="30" customHeight="1" x14ac:dyDescent="0.25">
      <c r="A663" s="34" t="s">
        <v>86</v>
      </c>
      <c r="B663" s="35"/>
      <c r="C663" s="35"/>
      <c r="D663" s="36"/>
      <c r="E663" s="5"/>
      <c r="F663" s="34" t="s">
        <v>86</v>
      </c>
      <c r="G663" s="35"/>
      <c r="H663" s="35"/>
      <c r="I663" s="36"/>
      <c r="K663" s="1">
        <v>165</v>
      </c>
      <c r="L663" s="1">
        <v>20</v>
      </c>
    </row>
    <row r="664" spans="1:12" s="1" customFormat="1" ht="30" customHeight="1" x14ac:dyDescent="0.25">
      <c r="A664" s="43" t="s">
        <v>85</v>
      </c>
      <c r="B664" s="44"/>
      <c r="C664" s="41" t="s">
        <v>81</v>
      </c>
      <c r="D664" s="42"/>
      <c r="E664" s="4"/>
      <c r="F664" s="43" t="str">
        <f>A664</f>
        <v>KW621</v>
      </c>
      <c r="G664" s="44"/>
      <c r="H664" s="41" t="str">
        <f>C664</f>
        <v>Green</v>
      </c>
      <c r="I664" s="42"/>
    </row>
    <row r="665" spans="1:12" s="1" customFormat="1" ht="30" customHeight="1" x14ac:dyDescent="0.25">
      <c r="A665" s="12" t="s">
        <v>4</v>
      </c>
      <c r="B665" s="37">
        <v>27087</v>
      </c>
      <c r="C665" s="37"/>
      <c r="D665" s="38"/>
      <c r="E665" s="4"/>
      <c r="F665" s="12" t="s">
        <v>4</v>
      </c>
      <c r="G665" s="37">
        <f>B665</f>
        <v>27087</v>
      </c>
      <c r="H665" s="37"/>
      <c r="I665" s="38"/>
    </row>
    <row r="666" spans="1:12" ht="63.75" customHeight="1" x14ac:dyDescent="0.25">
      <c r="A666" s="33" t="s">
        <v>82</v>
      </c>
      <c r="B666" s="33"/>
      <c r="C666" s="33"/>
      <c r="D666" s="33"/>
      <c r="E666" s="2"/>
      <c r="F666" s="33" t="str">
        <f>A666</f>
        <v>Tall DEO - Barrel</v>
      </c>
      <c r="G666" s="33"/>
      <c r="H666" s="33"/>
      <c r="I666" s="33"/>
    </row>
    <row r="667" spans="1:12" s="1" customFormat="1" ht="30" customHeight="1" x14ac:dyDescent="0.25">
      <c r="A667" s="11" t="s">
        <v>0</v>
      </c>
      <c r="B667" s="10"/>
      <c r="C667" s="11" t="s">
        <v>1</v>
      </c>
      <c r="D667" s="10"/>
      <c r="E667" s="3"/>
      <c r="F667" s="11" t="s">
        <v>0</v>
      </c>
      <c r="G667" s="10"/>
      <c r="H667" s="11" t="s">
        <v>1</v>
      </c>
      <c r="I667" s="10"/>
    </row>
    <row r="668" spans="1:12" s="1" customFormat="1" ht="30" customHeight="1" x14ac:dyDescent="0.25">
      <c r="A668" s="11" t="s">
        <v>2</v>
      </c>
      <c r="B668" s="10"/>
      <c r="C668" s="11" t="s">
        <v>5</v>
      </c>
      <c r="D668" s="7" t="s">
        <v>83</v>
      </c>
      <c r="E668" s="4"/>
      <c r="F668" s="11" t="s">
        <v>2</v>
      </c>
      <c r="G668" s="10"/>
      <c r="H668" s="11" t="s">
        <v>5</v>
      </c>
      <c r="I668" s="7" t="str">
        <f>D668</f>
        <v>18B</v>
      </c>
    </row>
    <row r="669" spans="1:12" s="1" customFormat="1" ht="53.25" customHeight="1" x14ac:dyDescent="0.25">
      <c r="A669" s="8" t="s">
        <v>3</v>
      </c>
      <c r="B669" s="9">
        <v>96</v>
      </c>
      <c r="C669" s="11" t="s">
        <v>6</v>
      </c>
      <c r="D669" s="7" t="s">
        <v>84</v>
      </c>
      <c r="E669" s="4"/>
      <c r="F669" s="8" t="s">
        <v>3</v>
      </c>
      <c r="G669" s="9">
        <v>246</v>
      </c>
      <c r="H669" s="11" t="s">
        <v>6</v>
      </c>
      <c r="I669" s="7" t="str">
        <f>D669</f>
        <v>DEO-B06</v>
      </c>
      <c r="K669" s="6" t="s">
        <v>8</v>
      </c>
      <c r="L669" s="6" t="s">
        <v>7</v>
      </c>
    </row>
    <row r="670" spans="1:12" s="1" customFormat="1" ht="30" customHeight="1" x14ac:dyDescent="0.25">
      <c r="A670" s="34" t="s">
        <v>86</v>
      </c>
      <c r="B670" s="35"/>
      <c r="C670" s="35"/>
      <c r="D670" s="36"/>
      <c r="E670" s="5"/>
      <c r="F670" s="34" t="s">
        <v>86</v>
      </c>
      <c r="G670" s="35"/>
      <c r="H670" s="35"/>
      <c r="I670" s="36"/>
      <c r="K670" s="1">
        <v>165</v>
      </c>
      <c r="L670" s="1">
        <v>20</v>
      </c>
    </row>
    <row r="671" spans="1:12" s="1" customFormat="1" ht="30" customHeight="1" x14ac:dyDescent="0.25">
      <c r="A671" s="43" t="s">
        <v>85</v>
      </c>
      <c r="B671" s="44"/>
      <c r="C671" s="41" t="s">
        <v>81</v>
      </c>
      <c r="D671" s="42"/>
      <c r="E671" s="4"/>
      <c r="F671" s="43" t="str">
        <f>A671</f>
        <v>KW621</v>
      </c>
      <c r="G671" s="44"/>
      <c r="H671" s="41" t="str">
        <f>C671</f>
        <v>Green</v>
      </c>
      <c r="I671" s="42"/>
    </row>
    <row r="672" spans="1:12" s="1" customFormat="1" ht="30" customHeight="1" x14ac:dyDescent="0.25">
      <c r="A672" s="12" t="s">
        <v>4</v>
      </c>
      <c r="B672" s="37">
        <v>27087</v>
      </c>
      <c r="C672" s="37"/>
      <c r="D672" s="38"/>
      <c r="E672" s="4"/>
      <c r="F672" s="12" t="s">
        <v>4</v>
      </c>
      <c r="G672" s="37">
        <f>B672</f>
        <v>27087</v>
      </c>
      <c r="H672" s="37"/>
      <c r="I672" s="38"/>
    </row>
    <row r="673" spans="1:12" ht="63.75" customHeight="1" x14ac:dyDescent="0.25">
      <c r="A673" s="33" t="s">
        <v>82</v>
      </c>
      <c r="B673" s="33"/>
      <c r="C673" s="33"/>
      <c r="D673" s="33"/>
      <c r="E673" s="2"/>
      <c r="F673" s="33" t="str">
        <f>A673</f>
        <v>Tall DEO - Barrel</v>
      </c>
      <c r="G673" s="33"/>
      <c r="H673" s="33"/>
      <c r="I673" s="33"/>
    </row>
    <row r="674" spans="1:12" s="1" customFormat="1" ht="30" customHeight="1" x14ac:dyDescent="0.25">
      <c r="A674" s="11" t="s">
        <v>0</v>
      </c>
      <c r="B674" s="10"/>
      <c r="C674" s="11" t="s">
        <v>1</v>
      </c>
      <c r="D674" s="10"/>
      <c r="E674" s="3"/>
      <c r="F674" s="11" t="s">
        <v>0</v>
      </c>
      <c r="G674" s="10"/>
      <c r="H674" s="11" t="s">
        <v>1</v>
      </c>
      <c r="I674" s="10"/>
    </row>
    <row r="675" spans="1:12" s="1" customFormat="1" ht="30" customHeight="1" x14ac:dyDescent="0.25">
      <c r="A675" s="11" t="s">
        <v>2</v>
      </c>
      <c r="B675" s="10"/>
      <c r="C675" s="11" t="s">
        <v>5</v>
      </c>
      <c r="D675" s="7" t="s">
        <v>83</v>
      </c>
      <c r="E675" s="4"/>
      <c r="F675" s="11" t="s">
        <v>2</v>
      </c>
      <c r="G675" s="10"/>
      <c r="H675" s="11" t="s">
        <v>5</v>
      </c>
      <c r="I675" s="7" t="str">
        <f>D675</f>
        <v>18B</v>
      </c>
    </row>
    <row r="676" spans="1:12" s="1" customFormat="1" ht="53.25" customHeight="1" x14ac:dyDescent="0.25">
      <c r="A676" s="8" t="s">
        <v>3</v>
      </c>
      <c r="B676" s="9">
        <v>97</v>
      </c>
      <c r="C676" s="11" t="s">
        <v>6</v>
      </c>
      <c r="D676" s="7" t="s">
        <v>84</v>
      </c>
      <c r="E676" s="4"/>
      <c r="F676" s="8" t="s">
        <v>3</v>
      </c>
      <c r="G676" s="9">
        <v>247</v>
      </c>
      <c r="H676" s="11" t="s">
        <v>6</v>
      </c>
      <c r="I676" s="7" t="str">
        <f>D676</f>
        <v>DEO-B06</v>
      </c>
      <c r="K676" s="6" t="s">
        <v>8</v>
      </c>
      <c r="L676" s="6" t="s">
        <v>7</v>
      </c>
    </row>
    <row r="677" spans="1:12" s="1" customFormat="1" ht="30" customHeight="1" x14ac:dyDescent="0.25">
      <c r="A677" s="34" t="s">
        <v>86</v>
      </c>
      <c r="B677" s="35"/>
      <c r="C677" s="35"/>
      <c r="D677" s="36"/>
      <c r="E677" s="5"/>
      <c r="F677" s="34" t="s">
        <v>86</v>
      </c>
      <c r="G677" s="35"/>
      <c r="H677" s="35"/>
      <c r="I677" s="36"/>
      <c r="K677" s="1">
        <v>165</v>
      </c>
      <c r="L677" s="1">
        <v>20</v>
      </c>
    </row>
    <row r="678" spans="1:12" s="1" customFormat="1" ht="30" customHeight="1" x14ac:dyDescent="0.25">
      <c r="A678" s="43" t="s">
        <v>85</v>
      </c>
      <c r="B678" s="44"/>
      <c r="C678" s="41" t="s">
        <v>81</v>
      </c>
      <c r="D678" s="42"/>
      <c r="E678" s="4"/>
      <c r="F678" s="43" t="str">
        <f>A678</f>
        <v>KW621</v>
      </c>
      <c r="G678" s="44"/>
      <c r="H678" s="41" t="str">
        <f>C678</f>
        <v>Green</v>
      </c>
      <c r="I678" s="42"/>
    </row>
    <row r="679" spans="1:12" s="1" customFormat="1" ht="30" customHeight="1" x14ac:dyDescent="0.25">
      <c r="A679" s="12" t="s">
        <v>4</v>
      </c>
      <c r="B679" s="37">
        <v>27087</v>
      </c>
      <c r="C679" s="37"/>
      <c r="D679" s="38"/>
      <c r="E679" s="4"/>
      <c r="F679" s="12" t="s">
        <v>4</v>
      </c>
      <c r="G679" s="37">
        <f>B679</f>
        <v>27087</v>
      </c>
      <c r="H679" s="37"/>
      <c r="I679" s="38"/>
    </row>
    <row r="680" spans="1:12" ht="63.75" customHeight="1" x14ac:dyDescent="0.25">
      <c r="A680" s="33" t="s">
        <v>82</v>
      </c>
      <c r="B680" s="33"/>
      <c r="C680" s="33"/>
      <c r="D680" s="33"/>
      <c r="E680" s="2"/>
      <c r="F680" s="33" t="str">
        <f>A680</f>
        <v>Tall DEO - Barrel</v>
      </c>
      <c r="G680" s="33"/>
      <c r="H680" s="33"/>
      <c r="I680" s="33"/>
    </row>
    <row r="681" spans="1:12" s="1" customFormat="1" ht="30" customHeight="1" x14ac:dyDescent="0.25">
      <c r="A681" s="11" t="s">
        <v>0</v>
      </c>
      <c r="B681" s="10"/>
      <c r="C681" s="11" t="s">
        <v>1</v>
      </c>
      <c r="D681" s="10"/>
      <c r="E681" s="3"/>
      <c r="F681" s="11" t="s">
        <v>0</v>
      </c>
      <c r="G681" s="10"/>
      <c r="H681" s="11" t="s">
        <v>1</v>
      </c>
      <c r="I681" s="10"/>
    </row>
    <row r="682" spans="1:12" s="1" customFormat="1" ht="30" customHeight="1" x14ac:dyDescent="0.25">
      <c r="A682" s="11" t="s">
        <v>2</v>
      </c>
      <c r="B682" s="10"/>
      <c r="C682" s="11" t="s">
        <v>5</v>
      </c>
      <c r="D682" s="7" t="s">
        <v>83</v>
      </c>
      <c r="E682" s="4"/>
      <c r="F682" s="11" t="s">
        <v>2</v>
      </c>
      <c r="G682" s="10"/>
      <c r="H682" s="11" t="s">
        <v>5</v>
      </c>
      <c r="I682" s="7" t="str">
        <f>D682</f>
        <v>18B</v>
      </c>
    </row>
    <row r="683" spans="1:12" s="1" customFormat="1" ht="53.25" customHeight="1" x14ac:dyDescent="0.25">
      <c r="A683" s="8" t="s">
        <v>3</v>
      </c>
      <c r="B683" s="9">
        <v>98</v>
      </c>
      <c r="C683" s="11" t="s">
        <v>6</v>
      </c>
      <c r="D683" s="7" t="s">
        <v>84</v>
      </c>
      <c r="E683" s="4"/>
      <c r="F683" s="8" t="s">
        <v>3</v>
      </c>
      <c r="G683" s="9">
        <v>248</v>
      </c>
      <c r="H683" s="11" t="s">
        <v>6</v>
      </c>
      <c r="I683" s="7" t="str">
        <f>D683</f>
        <v>DEO-B06</v>
      </c>
      <c r="K683" s="6" t="s">
        <v>8</v>
      </c>
      <c r="L683" s="6" t="s">
        <v>7</v>
      </c>
    </row>
    <row r="684" spans="1:12" s="1" customFormat="1" ht="30" customHeight="1" x14ac:dyDescent="0.25">
      <c r="A684" s="34" t="s">
        <v>86</v>
      </c>
      <c r="B684" s="35"/>
      <c r="C684" s="35"/>
      <c r="D684" s="36"/>
      <c r="E684" s="5"/>
      <c r="F684" s="34" t="s">
        <v>86</v>
      </c>
      <c r="G684" s="35"/>
      <c r="H684" s="35"/>
      <c r="I684" s="36"/>
      <c r="K684" s="1">
        <v>165</v>
      </c>
      <c r="L684" s="1">
        <v>20</v>
      </c>
    </row>
    <row r="685" spans="1:12" s="1" customFormat="1" ht="30" customHeight="1" x14ac:dyDescent="0.25">
      <c r="A685" s="43" t="s">
        <v>85</v>
      </c>
      <c r="B685" s="44"/>
      <c r="C685" s="41" t="s">
        <v>81</v>
      </c>
      <c r="D685" s="42"/>
      <c r="E685" s="4"/>
      <c r="F685" s="43" t="str">
        <f>A685</f>
        <v>KW621</v>
      </c>
      <c r="G685" s="44"/>
      <c r="H685" s="41" t="str">
        <f>C685</f>
        <v>Green</v>
      </c>
      <c r="I685" s="42"/>
    </row>
    <row r="686" spans="1:12" s="1" customFormat="1" ht="30" customHeight="1" x14ac:dyDescent="0.25">
      <c r="A686" s="12" t="s">
        <v>4</v>
      </c>
      <c r="B686" s="37">
        <v>27087</v>
      </c>
      <c r="C686" s="37"/>
      <c r="D686" s="38"/>
      <c r="E686" s="4"/>
      <c r="F686" s="12" t="s">
        <v>4</v>
      </c>
      <c r="G686" s="37">
        <f>B686</f>
        <v>27087</v>
      </c>
      <c r="H686" s="37"/>
      <c r="I686" s="38"/>
    </row>
    <row r="687" spans="1:12" ht="63.75" customHeight="1" x14ac:dyDescent="0.25">
      <c r="A687" s="33" t="s">
        <v>82</v>
      </c>
      <c r="B687" s="33"/>
      <c r="C687" s="33"/>
      <c r="D687" s="33"/>
      <c r="E687" s="2"/>
      <c r="F687" s="33" t="str">
        <f>A687</f>
        <v>Tall DEO - Barrel</v>
      </c>
      <c r="G687" s="33"/>
      <c r="H687" s="33"/>
      <c r="I687" s="33"/>
    </row>
    <row r="688" spans="1:12" s="1" customFormat="1" ht="30" customHeight="1" x14ac:dyDescent="0.25">
      <c r="A688" s="11" t="s">
        <v>0</v>
      </c>
      <c r="B688" s="10"/>
      <c r="C688" s="11" t="s">
        <v>1</v>
      </c>
      <c r="D688" s="10"/>
      <c r="E688" s="3"/>
      <c r="F688" s="11" t="s">
        <v>0</v>
      </c>
      <c r="G688" s="10"/>
      <c r="H688" s="11" t="s">
        <v>1</v>
      </c>
      <c r="I688" s="10"/>
    </row>
    <row r="689" spans="1:12" s="1" customFormat="1" ht="30" customHeight="1" x14ac:dyDescent="0.25">
      <c r="A689" s="11" t="s">
        <v>2</v>
      </c>
      <c r="B689" s="10"/>
      <c r="C689" s="11" t="s">
        <v>5</v>
      </c>
      <c r="D689" s="7" t="s">
        <v>83</v>
      </c>
      <c r="E689" s="4"/>
      <c r="F689" s="11" t="s">
        <v>2</v>
      </c>
      <c r="G689" s="10"/>
      <c r="H689" s="11" t="s">
        <v>5</v>
      </c>
      <c r="I689" s="7" t="str">
        <f>D689</f>
        <v>18B</v>
      </c>
    </row>
    <row r="690" spans="1:12" s="1" customFormat="1" ht="53.25" customHeight="1" x14ac:dyDescent="0.25">
      <c r="A690" s="8" t="s">
        <v>3</v>
      </c>
      <c r="B690" s="9">
        <v>99</v>
      </c>
      <c r="C690" s="11" t="s">
        <v>6</v>
      </c>
      <c r="D690" s="7" t="s">
        <v>84</v>
      </c>
      <c r="E690" s="4"/>
      <c r="F690" s="8" t="s">
        <v>3</v>
      </c>
      <c r="G690" s="9">
        <v>249</v>
      </c>
      <c r="H690" s="11" t="s">
        <v>6</v>
      </c>
      <c r="I690" s="7" t="str">
        <f>D690</f>
        <v>DEO-B06</v>
      </c>
      <c r="K690" s="6" t="s">
        <v>8</v>
      </c>
      <c r="L690" s="6" t="s">
        <v>7</v>
      </c>
    </row>
    <row r="691" spans="1:12" s="1" customFormat="1" ht="30" customHeight="1" x14ac:dyDescent="0.25">
      <c r="A691" s="34" t="s">
        <v>86</v>
      </c>
      <c r="B691" s="35"/>
      <c r="C691" s="35"/>
      <c r="D691" s="36"/>
      <c r="E691" s="5"/>
      <c r="F691" s="34" t="s">
        <v>86</v>
      </c>
      <c r="G691" s="35"/>
      <c r="H691" s="35"/>
      <c r="I691" s="36"/>
      <c r="K691" s="1">
        <v>165</v>
      </c>
      <c r="L691" s="1">
        <v>20</v>
      </c>
    </row>
    <row r="692" spans="1:12" s="1" customFormat="1" ht="30" customHeight="1" x14ac:dyDescent="0.25">
      <c r="A692" s="43" t="s">
        <v>85</v>
      </c>
      <c r="B692" s="44"/>
      <c r="C692" s="41" t="s">
        <v>81</v>
      </c>
      <c r="D692" s="42"/>
      <c r="E692" s="4"/>
      <c r="F692" s="43" t="str">
        <f>A692</f>
        <v>KW621</v>
      </c>
      <c r="G692" s="44"/>
      <c r="H692" s="41" t="str">
        <f>C692</f>
        <v>Green</v>
      </c>
      <c r="I692" s="42"/>
    </row>
    <row r="693" spans="1:12" s="1" customFormat="1" ht="30" customHeight="1" x14ac:dyDescent="0.25">
      <c r="A693" s="12" t="s">
        <v>4</v>
      </c>
      <c r="B693" s="37">
        <v>27087</v>
      </c>
      <c r="C693" s="37"/>
      <c r="D693" s="38"/>
      <c r="E693" s="4"/>
      <c r="F693" s="12" t="s">
        <v>4</v>
      </c>
      <c r="G693" s="37">
        <f>B693</f>
        <v>27087</v>
      </c>
      <c r="H693" s="37"/>
      <c r="I693" s="38"/>
    </row>
    <row r="694" spans="1:12" ht="63.75" customHeight="1" x14ac:dyDescent="0.25">
      <c r="A694" s="33" t="s">
        <v>82</v>
      </c>
      <c r="B694" s="33"/>
      <c r="C694" s="33"/>
      <c r="D694" s="33"/>
      <c r="E694" s="2"/>
      <c r="F694" s="33" t="str">
        <f>A694</f>
        <v>Tall DEO - Barrel</v>
      </c>
      <c r="G694" s="33"/>
      <c r="H694" s="33"/>
      <c r="I694" s="33"/>
    </row>
    <row r="695" spans="1:12" s="1" customFormat="1" ht="30" customHeight="1" x14ac:dyDescent="0.25">
      <c r="A695" s="11" t="s">
        <v>0</v>
      </c>
      <c r="B695" s="10"/>
      <c r="C695" s="11" t="s">
        <v>1</v>
      </c>
      <c r="D695" s="10"/>
      <c r="E695" s="3"/>
      <c r="F695" s="11" t="s">
        <v>0</v>
      </c>
      <c r="G695" s="10"/>
      <c r="H695" s="11" t="s">
        <v>1</v>
      </c>
      <c r="I695" s="10"/>
    </row>
    <row r="696" spans="1:12" s="1" customFormat="1" ht="30" customHeight="1" x14ac:dyDescent="0.25">
      <c r="A696" s="11" t="s">
        <v>2</v>
      </c>
      <c r="B696" s="10"/>
      <c r="C696" s="11" t="s">
        <v>5</v>
      </c>
      <c r="D696" s="7" t="s">
        <v>83</v>
      </c>
      <c r="E696" s="4"/>
      <c r="F696" s="11" t="s">
        <v>2</v>
      </c>
      <c r="G696" s="10"/>
      <c r="H696" s="11" t="s">
        <v>5</v>
      </c>
      <c r="I696" s="7" t="str">
        <f>D696</f>
        <v>18B</v>
      </c>
    </row>
    <row r="697" spans="1:12" s="1" customFormat="1" ht="53.25" customHeight="1" x14ac:dyDescent="0.25">
      <c r="A697" s="8" t="s">
        <v>3</v>
      </c>
      <c r="B697" s="9">
        <v>100</v>
      </c>
      <c r="C697" s="11" t="s">
        <v>6</v>
      </c>
      <c r="D697" s="7" t="s">
        <v>84</v>
      </c>
      <c r="E697" s="4"/>
      <c r="F697" s="8" t="s">
        <v>3</v>
      </c>
      <c r="G697" s="9">
        <v>250</v>
      </c>
      <c r="H697" s="11" t="s">
        <v>6</v>
      </c>
      <c r="I697" s="7" t="str">
        <f>D697</f>
        <v>DEO-B06</v>
      </c>
      <c r="K697" s="6" t="s">
        <v>8</v>
      </c>
      <c r="L697" s="6" t="s">
        <v>7</v>
      </c>
    </row>
    <row r="698" spans="1:12" s="1" customFormat="1" ht="30" customHeight="1" x14ac:dyDescent="0.25">
      <c r="A698" s="34" t="s">
        <v>86</v>
      </c>
      <c r="B698" s="35"/>
      <c r="C698" s="35"/>
      <c r="D698" s="36"/>
      <c r="E698" s="5"/>
      <c r="F698" s="34" t="s">
        <v>86</v>
      </c>
      <c r="G698" s="35"/>
      <c r="H698" s="35"/>
      <c r="I698" s="36"/>
      <c r="K698" s="1">
        <v>165</v>
      </c>
      <c r="L698" s="1">
        <v>20</v>
      </c>
    </row>
    <row r="699" spans="1:12" s="1" customFormat="1" ht="30" customHeight="1" x14ac:dyDescent="0.25">
      <c r="A699" s="43" t="s">
        <v>85</v>
      </c>
      <c r="B699" s="44"/>
      <c r="C699" s="41" t="s">
        <v>81</v>
      </c>
      <c r="D699" s="42"/>
      <c r="E699" s="4"/>
      <c r="F699" s="43" t="str">
        <f>A699</f>
        <v>KW621</v>
      </c>
      <c r="G699" s="44"/>
      <c r="H699" s="41" t="str">
        <f>C699</f>
        <v>Green</v>
      </c>
      <c r="I699" s="42"/>
    </row>
    <row r="700" spans="1:12" s="1" customFormat="1" ht="30" customHeight="1" x14ac:dyDescent="0.25">
      <c r="A700" s="12" t="s">
        <v>4</v>
      </c>
      <c r="B700" s="37">
        <v>27087</v>
      </c>
      <c r="C700" s="37"/>
      <c r="D700" s="38"/>
      <c r="E700" s="4"/>
      <c r="F700" s="12" t="s">
        <v>4</v>
      </c>
      <c r="G700" s="37">
        <f>B700</f>
        <v>27087</v>
      </c>
      <c r="H700" s="37"/>
      <c r="I700" s="38"/>
    </row>
    <row r="701" spans="1:12" ht="63.75" customHeight="1" x14ac:dyDescent="0.25">
      <c r="A701" s="33" t="s">
        <v>82</v>
      </c>
      <c r="B701" s="33"/>
      <c r="C701" s="33"/>
      <c r="D701" s="33"/>
      <c r="E701" s="2"/>
      <c r="F701" s="33" t="str">
        <f>A701</f>
        <v>Tall DEO - Barrel</v>
      </c>
      <c r="G701" s="33"/>
      <c r="H701" s="33"/>
      <c r="I701" s="33"/>
    </row>
    <row r="702" spans="1:12" s="1" customFormat="1" ht="30" customHeight="1" x14ac:dyDescent="0.25">
      <c r="A702" s="11" t="s">
        <v>0</v>
      </c>
      <c r="B702" s="10"/>
      <c r="C702" s="11" t="s">
        <v>1</v>
      </c>
      <c r="D702" s="10"/>
      <c r="E702" s="3"/>
      <c r="F702" s="11" t="s">
        <v>0</v>
      </c>
      <c r="G702" s="10"/>
      <c r="H702" s="11" t="s">
        <v>1</v>
      </c>
      <c r="I702" s="10"/>
    </row>
    <row r="703" spans="1:12" s="1" customFormat="1" ht="30" customHeight="1" x14ac:dyDescent="0.25">
      <c r="A703" s="11" t="s">
        <v>2</v>
      </c>
      <c r="B703" s="10"/>
      <c r="C703" s="11" t="s">
        <v>5</v>
      </c>
      <c r="D703" s="7" t="s">
        <v>83</v>
      </c>
      <c r="E703" s="4"/>
      <c r="F703" s="11" t="s">
        <v>2</v>
      </c>
      <c r="G703" s="10"/>
      <c r="H703" s="11" t="s">
        <v>5</v>
      </c>
      <c r="I703" s="7" t="str">
        <f>D703</f>
        <v>18B</v>
      </c>
    </row>
    <row r="704" spans="1:12" s="1" customFormat="1" ht="53.25" customHeight="1" x14ac:dyDescent="0.25">
      <c r="A704" s="8" t="s">
        <v>3</v>
      </c>
      <c r="B704" s="9">
        <v>101</v>
      </c>
      <c r="C704" s="11" t="s">
        <v>6</v>
      </c>
      <c r="D704" s="7" t="s">
        <v>84</v>
      </c>
      <c r="E704" s="4"/>
      <c r="F704" s="8" t="s">
        <v>3</v>
      </c>
      <c r="G704" s="9">
        <v>251</v>
      </c>
      <c r="H704" s="11" t="s">
        <v>6</v>
      </c>
      <c r="I704" s="7" t="str">
        <f>D704</f>
        <v>DEO-B06</v>
      </c>
      <c r="K704" s="6" t="s">
        <v>8</v>
      </c>
      <c r="L704" s="6" t="s">
        <v>7</v>
      </c>
    </row>
    <row r="705" spans="1:12" s="1" customFormat="1" ht="30" customHeight="1" x14ac:dyDescent="0.25">
      <c r="A705" s="34" t="s">
        <v>86</v>
      </c>
      <c r="B705" s="35"/>
      <c r="C705" s="35"/>
      <c r="D705" s="36"/>
      <c r="E705" s="5"/>
      <c r="F705" s="34" t="s">
        <v>86</v>
      </c>
      <c r="G705" s="35"/>
      <c r="H705" s="35"/>
      <c r="I705" s="36"/>
      <c r="K705" s="1">
        <v>165</v>
      </c>
      <c r="L705" s="1">
        <v>20</v>
      </c>
    </row>
    <row r="706" spans="1:12" s="1" customFormat="1" ht="30" customHeight="1" x14ac:dyDescent="0.25">
      <c r="A706" s="43" t="s">
        <v>85</v>
      </c>
      <c r="B706" s="44"/>
      <c r="C706" s="41" t="s">
        <v>81</v>
      </c>
      <c r="D706" s="42"/>
      <c r="E706" s="4"/>
      <c r="F706" s="43" t="str">
        <f>A706</f>
        <v>KW621</v>
      </c>
      <c r="G706" s="44"/>
      <c r="H706" s="41" t="str">
        <f>C706</f>
        <v>Green</v>
      </c>
      <c r="I706" s="42"/>
    </row>
    <row r="707" spans="1:12" s="1" customFormat="1" ht="30" customHeight="1" x14ac:dyDescent="0.25">
      <c r="A707" s="12" t="s">
        <v>4</v>
      </c>
      <c r="B707" s="37">
        <v>27087</v>
      </c>
      <c r="C707" s="37"/>
      <c r="D707" s="38"/>
      <c r="E707" s="4"/>
      <c r="F707" s="12" t="s">
        <v>4</v>
      </c>
      <c r="G707" s="37">
        <f>B707</f>
        <v>27087</v>
      </c>
      <c r="H707" s="37"/>
      <c r="I707" s="38"/>
    </row>
    <row r="708" spans="1:12" ht="63.75" customHeight="1" x14ac:dyDescent="0.25">
      <c r="A708" s="33" t="s">
        <v>82</v>
      </c>
      <c r="B708" s="33"/>
      <c r="C708" s="33"/>
      <c r="D708" s="33"/>
      <c r="E708" s="2"/>
      <c r="F708" s="33" t="str">
        <f>A708</f>
        <v>Tall DEO - Barrel</v>
      </c>
      <c r="G708" s="33"/>
      <c r="H708" s="33"/>
      <c r="I708" s="33"/>
    </row>
    <row r="709" spans="1:12" s="1" customFormat="1" ht="30" customHeight="1" x14ac:dyDescent="0.25">
      <c r="A709" s="11" t="s">
        <v>0</v>
      </c>
      <c r="B709" s="10"/>
      <c r="C709" s="11" t="s">
        <v>1</v>
      </c>
      <c r="D709" s="10"/>
      <c r="E709" s="3"/>
      <c r="F709" s="11" t="s">
        <v>0</v>
      </c>
      <c r="G709" s="10"/>
      <c r="H709" s="11" t="s">
        <v>1</v>
      </c>
      <c r="I709" s="10"/>
    </row>
    <row r="710" spans="1:12" s="1" customFormat="1" ht="30" customHeight="1" x14ac:dyDescent="0.25">
      <c r="A710" s="11" t="s">
        <v>2</v>
      </c>
      <c r="B710" s="10"/>
      <c r="C710" s="11" t="s">
        <v>5</v>
      </c>
      <c r="D710" s="7" t="s">
        <v>83</v>
      </c>
      <c r="E710" s="4"/>
      <c r="F710" s="11" t="s">
        <v>2</v>
      </c>
      <c r="G710" s="10"/>
      <c r="H710" s="11" t="s">
        <v>5</v>
      </c>
      <c r="I710" s="7" t="str">
        <f>D710</f>
        <v>18B</v>
      </c>
    </row>
    <row r="711" spans="1:12" s="1" customFormat="1" ht="53.25" customHeight="1" x14ac:dyDescent="0.25">
      <c r="A711" s="8" t="s">
        <v>3</v>
      </c>
      <c r="B711" s="9">
        <v>102</v>
      </c>
      <c r="C711" s="11" t="s">
        <v>6</v>
      </c>
      <c r="D711" s="7" t="s">
        <v>84</v>
      </c>
      <c r="E711" s="4"/>
      <c r="F711" s="8" t="s">
        <v>3</v>
      </c>
      <c r="G711" s="9">
        <v>252</v>
      </c>
      <c r="H711" s="11" t="s">
        <v>6</v>
      </c>
      <c r="I711" s="7" t="str">
        <f>D711</f>
        <v>DEO-B06</v>
      </c>
      <c r="K711" s="6" t="s">
        <v>8</v>
      </c>
      <c r="L711" s="6" t="s">
        <v>7</v>
      </c>
    </row>
    <row r="712" spans="1:12" s="1" customFormat="1" ht="30" customHeight="1" x14ac:dyDescent="0.25">
      <c r="A712" s="34" t="s">
        <v>86</v>
      </c>
      <c r="B712" s="35"/>
      <c r="C712" s="35"/>
      <c r="D712" s="36"/>
      <c r="E712" s="5"/>
      <c r="F712" s="34" t="s">
        <v>86</v>
      </c>
      <c r="G712" s="35"/>
      <c r="H712" s="35"/>
      <c r="I712" s="36"/>
      <c r="K712" s="1">
        <v>165</v>
      </c>
      <c r="L712" s="1">
        <v>20</v>
      </c>
    </row>
    <row r="713" spans="1:12" s="1" customFormat="1" ht="30" customHeight="1" x14ac:dyDescent="0.25">
      <c r="A713" s="43" t="s">
        <v>85</v>
      </c>
      <c r="B713" s="44"/>
      <c r="C713" s="41" t="s">
        <v>81</v>
      </c>
      <c r="D713" s="42"/>
      <c r="E713" s="4"/>
      <c r="F713" s="43" t="str">
        <f>A713</f>
        <v>KW621</v>
      </c>
      <c r="G713" s="44"/>
      <c r="H713" s="41" t="str">
        <f>C713</f>
        <v>Green</v>
      </c>
      <c r="I713" s="42"/>
    </row>
    <row r="714" spans="1:12" s="1" customFormat="1" ht="30" customHeight="1" x14ac:dyDescent="0.25">
      <c r="A714" s="12" t="s">
        <v>4</v>
      </c>
      <c r="B714" s="37">
        <v>27087</v>
      </c>
      <c r="C714" s="37"/>
      <c r="D714" s="38"/>
      <c r="E714" s="4"/>
      <c r="F714" s="12" t="s">
        <v>4</v>
      </c>
      <c r="G714" s="37">
        <f>B714</f>
        <v>27087</v>
      </c>
      <c r="H714" s="37"/>
      <c r="I714" s="38"/>
    </row>
    <row r="715" spans="1:12" ht="63.75" customHeight="1" x14ac:dyDescent="0.25">
      <c r="A715" s="33" t="s">
        <v>82</v>
      </c>
      <c r="B715" s="33"/>
      <c r="C715" s="33"/>
      <c r="D715" s="33"/>
      <c r="E715" s="2"/>
      <c r="F715" s="33" t="str">
        <f>A715</f>
        <v>Tall DEO - Barrel</v>
      </c>
      <c r="G715" s="33"/>
      <c r="H715" s="33"/>
      <c r="I715" s="33"/>
    </row>
    <row r="716" spans="1:12" s="1" customFormat="1" ht="30" customHeight="1" x14ac:dyDescent="0.25">
      <c r="A716" s="11" t="s">
        <v>0</v>
      </c>
      <c r="B716" s="10"/>
      <c r="C716" s="11" t="s">
        <v>1</v>
      </c>
      <c r="D716" s="10"/>
      <c r="E716" s="3"/>
      <c r="F716" s="11" t="s">
        <v>0</v>
      </c>
      <c r="G716" s="10"/>
      <c r="H716" s="11" t="s">
        <v>1</v>
      </c>
      <c r="I716" s="10"/>
    </row>
    <row r="717" spans="1:12" s="1" customFormat="1" ht="30" customHeight="1" x14ac:dyDescent="0.25">
      <c r="A717" s="11" t="s">
        <v>2</v>
      </c>
      <c r="B717" s="10"/>
      <c r="C717" s="11" t="s">
        <v>5</v>
      </c>
      <c r="D717" s="7" t="s">
        <v>83</v>
      </c>
      <c r="E717" s="4"/>
      <c r="F717" s="11" t="s">
        <v>2</v>
      </c>
      <c r="G717" s="10"/>
      <c r="H717" s="11" t="s">
        <v>5</v>
      </c>
      <c r="I717" s="7" t="str">
        <f>D717</f>
        <v>18B</v>
      </c>
    </row>
    <row r="718" spans="1:12" s="1" customFormat="1" ht="53.25" customHeight="1" x14ac:dyDescent="0.25">
      <c r="A718" s="8" t="s">
        <v>3</v>
      </c>
      <c r="B718" s="9">
        <v>103</v>
      </c>
      <c r="C718" s="11" t="s">
        <v>6</v>
      </c>
      <c r="D718" s="7" t="s">
        <v>84</v>
      </c>
      <c r="E718" s="4"/>
      <c r="F718" s="8" t="s">
        <v>3</v>
      </c>
      <c r="G718" s="9">
        <v>253</v>
      </c>
      <c r="H718" s="11" t="s">
        <v>6</v>
      </c>
      <c r="I718" s="7" t="str">
        <f>D718</f>
        <v>DEO-B06</v>
      </c>
      <c r="K718" s="6" t="s">
        <v>8</v>
      </c>
      <c r="L718" s="6" t="s">
        <v>7</v>
      </c>
    </row>
    <row r="719" spans="1:12" s="1" customFormat="1" ht="30" customHeight="1" x14ac:dyDescent="0.25">
      <c r="A719" s="34" t="s">
        <v>86</v>
      </c>
      <c r="B719" s="35"/>
      <c r="C719" s="35"/>
      <c r="D719" s="36"/>
      <c r="E719" s="5"/>
      <c r="F719" s="34" t="s">
        <v>86</v>
      </c>
      <c r="G719" s="35"/>
      <c r="H719" s="35"/>
      <c r="I719" s="36"/>
      <c r="K719" s="1">
        <v>165</v>
      </c>
      <c r="L719" s="1">
        <v>20</v>
      </c>
    </row>
    <row r="720" spans="1:12" s="1" customFormat="1" ht="30" customHeight="1" x14ac:dyDescent="0.25">
      <c r="A720" s="43" t="s">
        <v>85</v>
      </c>
      <c r="B720" s="44"/>
      <c r="C720" s="41" t="s">
        <v>81</v>
      </c>
      <c r="D720" s="42"/>
      <c r="E720" s="4"/>
      <c r="F720" s="43" t="str">
        <f>A720</f>
        <v>KW621</v>
      </c>
      <c r="G720" s="44"/>
      <c r="H720" s="41" t="str">
        <f>C720</f>
        <v>Green</v>
      </c>
      <c r="I720" s="42"/>
    </row>
    <row r="721" spans="1:12" s="1" customFormat="1" ht="30" customHeight="1" x14ac:dyDescent="0.25">
      <c r="A721" s="12" t="s">
        <v>4</v>
      </c>
      <c r="B721" s="37">
        <v>27087</v>
      </c>
      <c r="C721" s="37"/>
      <c r="D721" s="38"/>
      <c r="E721" s="4"/>
      <c r="F721" s="12" t="s">
        <v>4</v>
      </c>
      <c r="G721" s="37">
        <f>B721</f>
        <v>27087</v>
      </c>
      <c r="H721" s="37"/>
      <c r="I721" s="38"/>
    </row>
    <row r="722" spans="1:12" ht="63.75" customHeight="1" x14ac:dyDescent="0.25">
      <c r="A722" s="33" t="s">
        <v>82</v>
      </c>
      <c r="B722" s="33"/>
      <c r="C722" s="33"/>
      <c r="D722" s="33"/>
      <c r="E722" s="2"/>
      <c r="F722" s="33" t="str">
        <f>A722</f>
        <v>Tall DEO - Barrel</v>
      </c>
      <c r="G722" s="33"/>
      <c r="H722" s="33"/>
      <c r="I722" s="33"/>
    </row>
    <row r="723" spans="1:12" s="1" customFormat="1" ht="30" customHeight="1" x14ac:dyDescent="0.25">
      <c r="A723" s="11" t="s">
        <v>0</v>
      </c>
      <c r="B723" s="10"/>
      <c r="C723" s="11" t="s">
        <v>1</v>
      </c>
      <c r="D723" s="10"/>
      <c r="E723" s="3"/>
      <c r="F723" s="11" t="s">
        <v>0</v>
      </c>
      <c r="G723" s="10"/>
      <c r="H723" s="11" t="s">
        <v>1</v>
      </c>
      <c r="I723" s="10"/>
    </row>
    <row r="724" spans="1:12" s="1" customFormat="1" ht="30" customHeight="1" x14ac:dyDescent="0.25">
      <c r="A724" s="11" t="s">
        <v>2</v>
      </c>
      <c r="B724" s="10"/>
      <c r="C724" s="11" t="s">
        <v>5</v>
      </c>
      <c r="D724" s="7" t="s">
        <v>83</v>
      </c>
      <c r="E724" s="4"/>
      <c r="F724" s="11" t="s">
        <v>2</v>
      </c>
      <c r="G724" s="10"/>
      <c r="H724" s="11" t="s">
        <v>5</v>
      </c>
      <c r="I724" s="7" t="str">
        <f>D724</f>
        <v>18B</v>
      </c>
    </row>
    <row r="725" spans="1:12" s="1" customFormat="1" ht="53.25" customHeight="1" x14ac:dyDescent="0.25">
      <c r="A725" s="8" t="s">
        <v>3</v>
      </c>
      <c r="B725" s="9">
        <v>104</v>
      </c>
      <c r="C725" s="11" t="s">
        <v>6</v>
      </c>
      <c r="D725" s="7" t="s">
        <v>84</v>
      </c>
      <c r="E725" s="4"/>
      <c r="F725" s="8" t="s">
        <v>3</v>
      </c>
      <c r="G725" s="9">
        <v>254</v>
      </c>
      <c r="H725" s="11" t="s">
        <v>6</v>
      </c>
      <c r="I725" s="7" t="str">
        <f>D725</f>
        <v>DEO-B06</v>
      </c>
      <c r="K725" s="6" t="s">
        <v>8</v>
      </c>
      <c r="L725" s="6" t="s">
        <v>7</v>
      </c>
    </row>
    <row r="726" spans="1:12" s="1" customFormat="1" ht="30" customHeight="1" x14ac:dyDescent="0.25">
      <c r="A726" s="34" t="s">
        <v>86</v>
      </c>
      <c r="B726" s="35"/>
      <c r="C726" s="35"/>
      <c r="D726" s="36"/>
      <c r="E726" s="5"/>
      <c r="F726" s="34" t="s">
        <v>86</v>
      </c>
      <c r="G726" s="35"/>
      <c r="H726" s="35"/>
      <c r="I726" s="36"/>
      <c r="K726" s="1">
        <v>165</v>
      </c>
      <c r="L726" s="1">
        <v>20</v>
      </c>
    </row>
    <row r="727" spans="1:12" s="1" customFormat="1" ht="30" customHeight="1" x14ac:dyDescent="0.25">
      <c r="A727" s="43" t="s">
        <v>85</v>
      </c>
      <c r="B727" s="44"/>
      <c r="C727" s="41" t="s">
        <v>81</v>
      </c>
      <c r="D727" s="42"/>
      <c r="E727" s="4"/>
      <c r="F727" s="43" t="str">
        <f>A727</f>
        <v>KW621</v>
      </c>
      <c r="G727" s="44"/>
      <c r="H727" s="41" t="str">
        <f>C727</f>
        <v>Green</v>
      </c>
      <c r="I727" s="42"/>
    </row>
    <row r="728" spans="1:12" s="1" customFormat="1" ht="30" customHeight="1" x14ac:dyDescent="0.25">
      <c r="A728" s="12" t="s">
        <v>4</v>
      </c>
      <c r="B728" s="37">
        <v>27087</v>
      </c>
      <c r="C728" s="37"/>
      <c r="D728" s="38"/>
      <c r="E728" s="4"/>
      <c r="F728" s="12" t="s">
        <v>4</v>
      </c>
      <c r="G728" s="37">
        <f>B728</f>
        <v>27087</v>
      </c>
      <c r="H728" s="37"/>
      <c r="I728" s="38"/>
    </row>
    <row r="729" spans="1:12" ht="63.75" customHeight="1" x14ac:dyDescent="0.25">
      <c r="A729" s="33" t="s">
        <v>82</v>
      </c>
      <c r="B729" s="33"/>
      <c r="C729" s="33"/>
      <c r="D729" s="33"/>
      <c r="E729" s="2"/>
      <c r="F729" s="33" t="str">
        <f>A729</f>
        <v>Tall DEO - Barrel</v>
      </c>
      <c r="G729" s="33"/>
      <c r="H729" s="33"/>
      <c r="I729" s="33"/>
    </row>
    <row r="730" spans="1:12" s="1" customFormat="1" ht="30" customHeight="1" x14ac:dyDescent="0.25">
      <c r="A730" s="11" t="s">
        <v>0</v>
      </c>
      <c r="B730" s="10"/>
      <c r="C730" s="11" t="s">
        <v>1</v>
      </c>
      <c r="D730" s="10"/>
      <c r="E730" s="3"/>
      <c r="F730" s="11" t="s">
        <v>0</v>
      </c>
      <c r="G730" s="10"/>
      <c r="H730" s="11" t="s">
        <v>1</v>
      </c>
      <c r="I730" s="10"/>
    </row>
    <row r="731" spans="1:12" s="1" customFormat="1" ht="30" customHeight="1" x14ac:dyDescent="0.25">
      <c r="A731" s="11" t="s">
        <v>2</v>
      </c>
      <c r="B731" s="10"/>
      <c r="C731" s="11" t="s">
        <v>5</v>
      </c>
      <c r="D731" s="7" t="s">
        <v>83</v>
      </c>
      <c r="E731" s="4"/>
      <c r="F731" s="11" t="s">
        <v>2</v>
      </c>
      <c r="G731" s="10"/>
      <c r="H731" s="11" t="s">
        <v>5</v>
      </c>
      <c r="I731" s="7" t="str">
        <f>D731</f>
        <v>18B</v>
      </c>
    </row>
    <row r="732" spans="1:12" s="1" customFormat="1" ht="53.25" customHeight="1" x14ac:dyDescent="0.25">
      <c r="A732" s="8" t="s">
        <v>3</v>
      </c>
      <c r="B732" s="9">
        <v>105</v>
      </c>
      <c r="C732" s="11" t="s">
        <v>6</v>
      </c>
      <c r="D732" s="7" t="s">
        <v>84</v>
      </c>
      <c r="E732" s="4"/>
      <c r="F732" s="8" t="s">
        <v>3</v>
      </c>
      <c r="G732" s="9">
        <v>255</v>
      </c>
      <c r="H732" s="11" t="s">
        <v>6</v>
      </c>
      <c r="I732" s="7" t="str">
        <f>D732</f>
        <v>DEO-B06</v>
      </c>
      <c r="K732" s="6" t="s">
        <v>8</v>
      </c>
      <c r="L732" s="6" t="s">
        <v>7</v>
      </c>
    </row>
    <row r="733" spans="1:12" s="1" customFormat="1" ht="30" customHeight="1" x14ac:dyDescent="0.25">
      <c r="A733" s="34" t="s">
        <v>86</v>
      </c>
      <c r="B733" s="35"/>
      <c r="C733" s="35"/>
      <c r="D733" s="36"/>
      <c r="E733" s="5"/>
      <c r="F733" s="34" t="s">
        <v>86</v>
      </c>
      <c r="G733" s="35"/>
      <c r="H733" s="35"/>
      <c r="I733" s="36"/>
      <c r="K733" s="1">
        <v>165</v>
      </c>
      <c r="L733" s="1">
        <v>20</v>
      </c>
    </row>
    <row r="734" spans="1:12" s="1" customFormat="1" ht="30" customHeight="1" x14ac:dyDescent="0.25">
      <c r="A734" s="43" t="s">
        <v>85</v>
      </c>
      <c r="B734" s="44"/>
      <c r="C734" s="41" t="s">
        <v>81</v>
      </c>
      <c r="D734" s="42"/>
      <c r="E734" s="4"/>
      <c r="F734" s="43" t="str">
        <f>A734</f>
        <v>KW621</v>
      </c>
      <c r="G734" s="44"/>
      <c r="H734" s="41" t="str">
        <f>C734</f>
        <v>Green</v>
      </c>
      <c r="I734" s="42"/>
    </row>
    <row r="735" spans="1:12" s="1" customFormat="1" ht="30" customHeight="1" x14ac:dyDescent="0.25">
      <c r="A735" s="12" t="s">
        <v>4</v>
      </c>
      <c r="B735" s="37">
        <v>27087</v>
      </c>
      <c r="C735" s="37"/>
      <c r="D735" s="38"/>
      <c r="E735" s="4"/>
      <c r="F735" s="12" t="s">
        <v>4</v>
      </c>
      <c r="G735" s="37">
        <f>B735</f>
        <v>27087</v>
      </c>
      <c r="H735" s="37"/>
      <c r="I735" s="38"/>
    </row>
    <row r="736" spans="1:12" ht="63.75" customHeight="1" x14ac:dyDescent="0.25">
      <c r="A736" s="33" t="s">
        <v>82</v>
      </c>
      <c r="B736" s="33"/>
      <c r="C736" s="33"/>
      <c r="D736" s="33"/>
      <c r="E736" s="2"/>
      <c r="F736" s="33" t="str">
        <f>A736</f>
        <v>Tall DEO - Barrel</v>
      </c>
      <c r="G736" s="33"/>
      <c r="H736" s="33"/>
      <c r="I736" s="33"/>
    </row>
    <row r="737" spans="1:12" s="1" customFormat="1" ht="30" customHeight="1" x14ac:dyDescent="0.25">
      <c r="A737" s="11" t="s">
        <v>0</v>
      </c>
      <c r="B737" s="10"/>
      <c r="C737" s="11" t="s">
        <v>1</v>
      </c>
      <c r="D737" s="10"/>
      <c r="E737" s="3"/>
      <c r="F737" s="11" t="s">
        <v>0</v>
      </c>
      <c r="G737" s="10"/>
      <c r="H737" s="11" t="s">
        <v>1</v>
      </c>
      <c r="I737" s="10"/>
    </row>
    <row r="738" spans="1:12" s="1" customFormat="1" ht="30" customHeight="1" x14ac:dyDescent="0.25">
      <c r="A738" s="11" t="s">
        <v>2</v>
      </c>
      <c r="B738" s="10"/>
      <c r="C738" s="11" t="s">
        <v>5</v>
      </c>
      <c r="D738" s="7" t="s">
        <v>83</v>
      </c>
      <c r="E738" s="4"/>
      <c r="F738" s="11" t="s">
        <v>2</v>
      </c>
      <c r="G738" s="10"/>
      <c r="H738" s="11" t="s">
        <v>5</v>
      </c>
      <c r="I738" s="7" t="str">
        <f>D738</f>
        <v>18B</v>
      </c>
    </row>
    <row r="739" spans="1:12" s="1" customFormat="1" ht="53.25" customHeight="1" x14ac:dyDescent="0.25">
      <c r="A739" s="8" t="s">
        <v>3</v>
      </c>
      <c r="B739" s="9">
        <v>106</v>
      </c>
      <c r="C739" s="11" t="s">
        <v>6</v>
      </c>
      <c r="D739" s="7" t="s">
        <v>84</v>
      </c>
      <c r="E739" s="4"/>
      <c r="F739" s="8" t="s">
        <v>3</v>
      </c>
      <c r="G739" s="9">
        <v>256</v>
      </c>
      <c r="H739" s="11" t="s">
        <v>6</v>
      </c>
      <c r="I739" s="7" t="str">
        <f>D739</f>
        <v>DEO-B06</v>
      </c>
      <c r="K739" s="6" t="s">
        <v>8</v>
      </c>
      <c r="L739" s="6" t="s">
        <v>7</v>
      </c>
    </row>
    <row r="740" spans="1:12" s="1" customFormat="1" ht="30" customHeight="1" x14ac:dyDescent="0.25">
      <c r="A740" s="34" t="s">
        <v>86</v>
      </c>
      <c r="B740" s="35"/>
      <c r="C740" s="35"/>
      <c r="D740" s="36"/>
      <c r="E740" s="5"/>
      <c r="F740" s="34" t="s">
        <v>86</v>
      </c>
      <c r="G740" s="35"/>
      <c r="H740" s="35"/>
      <c r="I740" s="36"/>
      <c r="K740" s="1">
        <v>165</v>
      </c>
      <c r="L740" s="1">
        <v>20</v>
      </c>
    </row>
    <row r="741" spans="1:12" s="1" customFormat="1" ht="30" customHeight="1" x14ac:dyDescent="0.25">
      <c r="A741" s="43" t="s">
        <v>85</v>
      </c>
      <c r="B741" s="44"/>
      <c r="C741" s="41" t="s">
        <v>81</v>
      </c>
      <c r="D741" s="42"/>
      <c r="E741" s="4"/>
      <c r="F741" s="43" t="str">
        <f>A741</f>
        <v>KW621</v>
      </c>
      <c r="G741" s="44"/>
      <c r="H741" s="41" t="str">
        <f>C741</f>
        <v>Green</v>
      </c>
      <c r="I741" s="42"/>
    </row>
    <row r="742" spans="1:12" s="1" customFormat="1" ht="30" customHeight="1" x14ac:dyDescent="0.25">
      <c r="A742" s="12" t="s">
        <v>4</v>
      </c>
      <c r="B742" s="37">
        <v>27087</v>
      </c>
      <c r="C742" s="37"/>
      <c r="D742" s="38"/>
      <c r="E742" s="4"/>
      <c r="F742" s="12" t="s">
        <v>4</v>
      </c>
      <c r="G742" s="37">
        <f>B742</f>
        <v>27087</v>
      </c>
      <c r="H742" s="37"/>
      <c r="I742" s="38"/>
    </row>
    <row r="743" spans="1:12" ht="63.75" customHeight="1" x14ac:dyDescent="0.25">
      <c r="A743" s="33" t="s">
        <v>82</v>
      </c>
      <c r="B743" s="33"/>
      <c r="C743" s="33"/>
      <c r="D743" s="33"/>
      <c r="E743" s="2"/>
      <c r="F743" s="33" t="str">
        <f>A743</f>
        <v>Tall DEO - Barrel</v>
      </c>
      <c r="G743" s="33"/>
      <c r="H743" s="33"/>
      <c r="I743" s="33"/>
    </row>
    <row r="744" spans="1:12" s="1" customFormat="1" ht="30" customHeight="1" x14ac:dyDescent="0.25">
      <c r="A744" s="11" t="s">
        <v>0</v>
      </c>
      <c r="B744" s="10"/>
      <c r="C744" s="11" t="s">
        <v>1</v>
      </c>
      <c r="D744" s="10"/>
      <c r="E744" s="3"/>
      <c r="F744" s="11" t="s">
        <v>0</v>
      </c>
      <c r="G744" s="10"/>
      <c r="H744" s="11" t="s">
        <v>1</v>
      </c>
      <c r="I744" s="10"/>
    </row>
    <row r="745" spans="1:12" s="1" customFormat="1" ht="30" customHeight="1" x14ac:dyDescent="0.25">
      <c r="A745" s="11" t="s">
        <v>2</v>
      </c>
      <c r="B745" s="10"/>
      <c r="C745" s="11" t="s">
        <v>5</v>
      </c>
      <c r="D745" s="7" t="s">
        <v>83</v>
      </c>
      <c r="E745" s="4"/>
      <c r="F745" s="11" t="s">
        <v>2</v>
      </c>
      <c r="G745" s="10"/>
      <c r="H745" s="11" t="s">
        <v>5</v>
      </c>
      <c r="I745" s="7" t="str">
        <f>D745</f>
        <v>18B</v>
      </c>
    </row>
    <row r="746" spans="1:12" s="1" customFormat="1" ht="53.25" customHeight="1" x14ac:dyDescent="0.25">
      <c r="A746" s="8" t="s">
        <v>3</v>
      </c>
      <c r="B746" s="9">
        <v>107</v>
      </c>
      <c r="C746" s="11" t="s">
        <v>6</v>
      </c>
      <c r="D746" s="7" t="s">
        <v>84</v>
      </c>
      <c r="E746" s="4"/>
      <c r="F746" s="8" t="s">
        <v>3</v>
      </c>
      <c r="G746" s="9">
        <v>257</v>
      </c>
      <c r="H746" s="11" t="s">
        <v>6</v>
      </c>
      <c r="I746" s="7" t="str">
        <f>D746</f>
        <v>DEO-B06</v>
      </c>
      <c r="K746" s="6" t="s">
        <v>8</v>
      </c>
      <c r="L746" s="6" t="s">
        <v>7</v>
      </c>
    </row>
    <row r="747" spans="1:12" s="1" customFormat="1" ht="30" customHeight="1" x14ac:dyDescent="0.25">
      <c r="A747" s="34" t="s">
        <v>86</v>
      </c>
      <c r="B747" s="35"/>
      <c r="C747" s="35"/>
      <c r="D747" s="36"/>
      <c r="E747" s="5"/>
      <c r="F747" s="34" t="s">
        <v>86</v>
      </c>
      <c r="G747" s="35"/>
      <c r="H747" s="35"/>
      <c r="I747" s="36"/>
      <c r="K747" s="1">
        <v>165</v>
      </c>
      <c r="L747" s="1">
        <v>20</v>
      </c>
    </row>
    <row r="748" spans="1:12" s="1" customFormat="1" ht="30" customHeight="1" x14ac:dyDescent="0.25">
      <c r="A748" s="43" t="s">
        <v>85</v>
      </c>
      <c r="B748" s="44"/>
      <c r="C748" s="41" t="s">
        <v>81</v>
      </c>
      <c r="D748" s="42"/>
      <c r="E748" s="4"/>
      <c r="F748" s="43" t="str">
        <f>A748</f>
        <v>KW621</v>
      </c>
      <c r="G748" s="44"/>
      <c r="H748" s="41" t="str">
        <f>C748</f>
        <v>Green</v>
      </c>
      <c r="I748" s="42"/>
    </row>
    <row r="749" spans="1:12" s="1" customFormat="1" ht="30" customHeight="1" x14ac:dyDescent="0.25">
      <c r="A749" s="12" t="s">
        <v>4</v>
      </c>
      <c r="B749" s="37">
        <v>27087</v>
      </c>
      <c r="C749" s="37"/>
      <c r="D749" s="38"/>
      <c r="E749" s="4"/>
      <c r="F749" s="12" t="s">
        <v>4</v>
      </c>
      <c r="G749" s="37">
        <f>B749</f>
        <v>27087</v>
      </c>
      <c r="H749" s="37"/>
      <c r="I749" s="38"/>
    </row>
    <row r="750" spans="1:12" ht="63.75" customHeight="1" x14ac:dyDescent="0.25">
      <c r="A750" s="33" t="s">
        <v>82</v>
      </c>
      <c r="B750" s="33"/>
      <c r="C750" s="33"/>
      <c r="D750" s="33"/>
      <c r="E750" s="2"/>
      <c r="F750" s="33" t="str">
        <f>A750</f>
        <v>Tall DEO - Barrel</v>
      </c>
      <c r="G750" s="33"/>
      <c r="H750" s="33"/>
      <c r="I750" s="33"/>
    </row>
    <row r="751" spans="1:12" s="1" customFormat="1" ht="30" customHeight="1" x14ac:dyDescent="0.25">
      <c r="A751" s="11" t="s">
        <v>0</v>
      </c>
      <c r="B751" s="10"/>
      <c r="C751" s="11" t="s">
        <v>1</v>
      </c>
      <c r="D751" s="10"/>
      <c r="E751" s="3"/>
      <c r="F751" s="11" t="s">
        <v>0</v>
      </c>
      <c r="G751" s="10"/>
      <c r="H751" s="11" t="s">
        <v>1</v>
      </c>
      <c r="I751" s="10"/>
    </row>
    <row r="752" spans="1:12" s="1" customFormat="1" ht="30" customHeight="1" x14ac:dyDescent="0.25">
      <c r="A752" s="11" t="s">
        <v>2</v>
      </c>
      <c r="B752" s="10"/>
      <c r="C752" s="11" t="s">
        <v>5</v>
      </c>
      <c r="D752" s="7" t="s">
        <v>83</v>
      </c>
      <c r="E752" s="4"/>
      <c r="F752" s="11" t="s">
        <v>2</v>
      </c>
      <c r="G752" s="10"/>
      <c r="H752" s="11" t="s">
        <v>5</v>
      </c>
      <c r="I752" s="7" t="str">
        <f>D752</f>
        <v>18B</v>
      </c>
    </row>
    <row r="753" spans="1:12" s="1" customFormat="1" ht="53.25" customHeight="1" x14ac:dyDescent="0.25">
      <c r="A753" s="8" t="s">
        <v>3</v>
      </c>
      <c r="B753" s="9">
        <v>108</v>
      </c>
      <c r="C753" s="11" t="s">
        <v>6</v>
      </c>
      <c r="D753" s="7" t="s">
        <v>84</v>
      </c>
      <c r="E753" s="4"/>
      <c r="F753" s="8" t="s">
        <v>3</v>
      </c>
      <c r="G753" s="9">
        <v>258</v>
      </c>
      <c r="H753" s="11" t="s">
        <v>6</v>
      </c>
      <c r="I753" s="7" t="str">
        <f>D753</f>
        <v>DEO-B06</v>
      </c>
      <c r="K753" s="6" t="s">
        <v>8</v>
      </c>
      <c r="L753" s="6" t="s">
        <v>7</v>
      </c>
    </row>
    <row r="754" spans="1:12" s="1" customFormat="1" ht="30" customHeight="1" x14ac:dyDescent="0.25">
      <c r="A754" s="34" t="s">
        <v>86</v>
      </c>
      <c r="B754" s="35"/>
      <c r="C754" s="35"/>
      <c r="D754" s="36"/>
      <c r="E754" s="5"/>
      <c r="F754" s="34" t="s">
        <v>86</v>
      </c>
      <c r="G754" s="35"/>
      <c r="H754" s="35"/>
      <c r="I754" s="36"/>
      <c r="K754" s="1">
        <v>165</v>
      </c>
      <c r="L754" s="1">
        <v>20</v>
      </c>
    </row>
    <row r="755" spans="1:12" s="1" customFormat="1" ht="30" customHeight="1" x14ac:dyDescent="0.25">
      <c r="A755" s="43" t="s">
        <v>85</v>
      </c>
      <c r="B755" s="44"/>
      <c r="C755" s="41" t="s">
        <v>81</v>
      </c>
      <c r="D755" s="42"/>
      <c r="E755" s="4"/>
      <c r="F755" s="43" t="str">
        <f>A755</f>
        <v>KW621</v>
      </c>
      <c r="G755" s="44"/>
      <c r="H755" s="41" t="str">
        <f>C755</f>
        <v>Green</v>
      </c>
      <c r="I755" s="42"/>
    </row>
    <row r="756" spans="1:12" s="1" customFormat="1" ht="30" customHeight="1" x14ac:dyDescent="0.25">
      <c r="A756" s="12" t="s">
        <v>4</v>
      </c>
      <c r="B756" s="37">
        <v>27087</v>
      </c>
      <c r="C756" s="37"/>
      <c r="D756" s="38"/>
      <c r="E756" s="4"/>
      <c r="F756" s="12" t="s">
        <v>4</v>
      </c>
      <c r="G756" s="37">
        <f>B756</f>
        <v>27087</v>
      </c>
      <c r="H756" s="37"/>
      <c r="I756" s="38"/>
    </row>
    <row r="757" spans="1:12" ht="63.75" customHeight="1" x14ac:dyDescent="0.25">
      <c r="A757" s="33" t="s">
        <v>82</v>
      </c>
      <c r="B757" s="33"/>
      <c r="C757" s="33"/>
      <c r="D757" s="33"/>
      <c r="E757" s="2"/>
      <c r="F757" s="33" t="str">
        <f>A757</f>
        <v>Tall DEO - Barrel</v>
      </c>
      <c r="G757" s="33"/>
      <c r="H757" s="33"/>
      <c r="I757" s="33"/>
    </row>
    <row r="758" spans="1:12" s="1" customFormat="1" ht="30" customHeight="1" x14ac:dyDescent="0.25">
      <c r="A758" s="11" t="s">
        <v>0</v>
      </c>
      <c r="B758" s="10"/>
      <c r="C758" s="11" t="s">
        <v>1</v>
      </c>
      <c r="D758" s="10"/>
      <c r="E758" s="3"/>
      <c r="F758" s="11" t="s">
        <v>0</v>
      </c>
      <c r="G758" s="10"/>
      <c r="H758" s="11" t="s">
        <v>1</v>
      </c>
      <c r="I758" s="10"/>
    </row>
    <row r="759" spans="1:12" s="1" customFormat="1" ht="30" customHeight="1" x14ac:dyDescent="0.25">
      <c r="A759" s="11" t="s">
        <v>2</v>
      </c>
      <c r="B759" s="10"/>
      <c r="C759" s="11" t="s">
        <v>5</v>
      </c>
      <c r="D759" s="7" t="s">
        <v>83</v>
      </c>
      <c r="E759" s="4"/>
      <c r="F759" s="11" t="s">
        <v>2</v>
      </c>
      <c r="G759" s="10"/>
      <c r="H759" s="11" t="s">
        <v>5</v>
      </c>
      <c r="I759" s="7" t="str">
        <f>D759</f>
        <v>18B</v>
      </c>
    </row>
    <row r="760" spans="1:12" s="1" customFormat="1" ht="53.25" customHeight="1" x14ac:dyDescent="0.25">
      <c r="A760" s="8" t="s">
        <v>3</v>
      </c>
      <c r="B760" s="9">
        <v>109</v>
      </c>
      <c r="C760" s="11" t="s">
        <v>6</v>
      </c>
      <c r="D760" s="7" t="s">
        <v>84</v>
      </c>
      <c r="E760" s="4"/>
      <c r="F760" s="8" t="s">
        <v>3</v>
      </c>
      <c r="G760" s="9">
        <v>259</v>
      </c>
      <c r="H760" s="11" t="s">
        <v>6</v>
      </c>
      <c r="I760" s="7" t="str">
        <f>D760</f>
        <v>DEO-B06</v>
      </c>
      <c r="K760" s="6" t="s">
        <v>8</v>
      </c>
      <c r="L760" s="6" t="s">
        <v>7</v>
      </c>
    </row>
    <row r="761" spans="1:12" s="1" customFormat="1" ht="30" customHeight="1" x14ac:dyDescent="0.25">
      <c r="A761" s="34" t="s">
        <v>86</v>
      </c>
      <c r="B761" s="35"/>
      <c r="C761" s="35"/>
      <c r="D761" s="36"/>
      <c r="E761" s="5"/>
      <c r="F761" s="34" t="s">
        <v>86</v>
      </c>
      <c r="G761" s="35"/>
      <c r="H761" s="35"/>
      <c r="I761" s="36"/>
      <c r="K761" s="1">
        <v>165</v>
      </c>
      <c r="L761" s="1">
        <v>20</v>
      </c>
    </row>
    <row r="762" spans="1:12" s="1" customFormat="1" ht="30" customHeight="1" x14ac:dyDescent="0.25">
      <c r="A762" s="43" t="s">
        <v>85</v>
      </c>
      <c r="B762" s="44"/>
      <c r="C762" s="41" t="s">
        <v>81</v>
      </c>
      <c r="D762" s="42"/>
      <c r="E762" s="4"/>
      <c r="F762" s="43" t="str">
        <f>A762</f>
        <v>KW621</v>
      </c>
      <c r="G762" s="44"/>
      <c r="H762" s="41" t="str">
        <f>C762</f>
        <v>Green</v>
      </c>
      <c r="I762" s="42"/>
    </row>
    <row r="763" spans="1:12" s="1" customFormat="1" ht="30" customHeight="1" x14ac:dyDescent="0.25">
      <c r="A763" s="12" t="s">
        <v>4</v>
      </c>
      <c r="B763" s="37">
        <v>27087</v>
      </c>
      <c r="C763" s="37"/>
      <c r="D763" s="38"/>
      <c r="E763" s="4"/>
      <c r="F763" s="12" t="s">
        <v>4</v>
      </c>
      <c r="G763" s="37">
        <f>B763</f>
        <v>27087</v>
      </c>
      <c r="H763" s="37"/>
      <c r="I763" s="38"/>
    </row>
    <row r="764" spans="1:12" ht="63.75" customHeight="1" x14ac:dyDescent="0.25">
      <c r="A764" s="33" t="s">
        <v>82</v>
      </c>
      <c r="B764" s="33"/>
      <c r="C764" s="33"/>
      <c r="D764" s="33"/>
      <c r="E764" s="2"/>
      <c r="F764" s="33" t="str">
        <f>A764</f>
        <v>Tall DEO - Barrel</v>
      </c>
      <c r="G764" s="33"/>
      <c r="H764" s="33"/>
      <c r="I764" s="33"/>
    </row>
    <row r="765" spans="1:12" s="1" customFormat="1" ht="30" customHeight="1" x14ac:dyDescent="0.25">
      <c r="A765" s="11" t="s">
        <v>0</v>
      </c>
      <c r="B765" s="10"/>
      <c r="C765" s="11" t="s">
        <v>1</v>
      </c>
      <c r="D765" s="10"/>
      <c r="E765" s="3"/>
      <c r="F765" s="11" t="s">
        <v>0</v>
      </c>
      <c r="G765" s="10"/>
      <c r="H765" s="11" t="s">
        <v>1</v>
      </c>
      <c r="I765" s="10"/>
    </row>
    <row r="766" spans="1:12" s="1" customFormat="1" ht="30" customHeight="1" x14ac:dyDescent="0.25">
      <c r="A766" s="11" t="s">
        <v>2</v>
      </c>
      <c r="B766" s="10"/>
      <c r="C766" s="11" t="s">
        <v>5</v>
      </c>
      <c r="D766" s="7" t="s">
        <v>83</v>
      </c>
      <c r="E766" s="4"/>
      <c r="F766" s="11" t="s">
        <v>2</v>
      </c>
      <c r="G766" s="10"/>
      <c r="H766" s="11" t="s">
        <v>5</v>
      </c>
      <c r="I766" s="7" t="str">
        <f>D766</f>
        <v>18B</v>
      </c>
    </row>
    <row r="767" spans="1:12" s="1" customFormat="1" ht="53.25" customHeight="1" x14ac:dyDescent="0.25">
      <c r="A767" s="8" t="s">
        <v>3</v>
      </c>
      <c r="B767" s="9">
        <v>110</v>
      </c>
      <c r="C767" s="11" t="s">
        <v>6</v>
      </c>
      <c r="D767" s="7" t="s">
        <v>84</v>
      </c>
      <c r="E767" s="4"/>
      <c r="F767" s="8" t="s">
        <v>3</v>
      </c>
      <c r="G767" s="9">
        <v>260</v>
      </c>
      <c r="H767" s="11" t="s">
        <v>6</v>
      </c>
      <c r="I767" s="7" t="str">
        <f>D767</f>
        <v>DEO-B06</v>
      </c>
      <c r="K767" s="6" t="s">
        <v>8</v>
      </c>
      <c r="L767" s="6" t="s">
        <v>7</v>
      </c>
    </row>
    <row r="768" spans="1:12" s="1" customFormat="1" ht="30" customHeight="1" x14ac:dyDescent="0.25">
      <c r="A768" s="34" t="s">
        <v>86</v>
      </c>
      <c r="B768" s="35"/>
      <c r="C768" s="35"/>
      <c r="D768" s="36"/>
      <c r="E768" s="5"/>
      <c r="F768" s="34" t="s">
        <v>86</v>
      </c>
      <c r="G768" s="35"/>
      <c r="H768" s="35"/>
      <c r="I768" s="36"/>
      <c r="K768" s="1">
        <v>165</v>
      </c>
      <c r="L768" s="1">
        <v>20</v>
      </c>
    </row>
    <row r="769" spans="1:12" s="1" customFormat="1" ht="30" customHeight="1" x14ac:dyDescent="0.25">
      <c r="A769" s="43" t="s">
        <v>85</v>
      </c>
      <c r="B769" s="44"/>
      <c r="C769" s="41" t="s">
        <v>81</v>
      </c>
      <c r="D769" s="42"/>
      <c r="E769" s="4"/>
      <c r="F769" s="43" t="str">
        <f>A769</f>
        <v>KW621</v>
      </c>
      <c r="G769" s="44"/>
      <c r="H769" s="41" t="str">
        <f>C769</f>
        <v>Green</v>
      </c>
      <c r="I769" s="42"/>
    </row>
    <row r="770" spans="1:12" s="1" customFormat="1" ht="30" customHeight="1" x14ac:dyDescent="0.25">
      <c r="A770" s="12" t="s">
        <v>4</v>
      </c>
      <c r="B770" s="37">
        <v>27087</v>
      </c>
      <c r="C770" s="37"/>
      <c r="D770" s="38"/>
      <c r="E770" s="4"/>
      <c r="F770" s="12" t="s">
        <v>4</v>
      </c>
      <c r="G770" s="37">
        <f>B770</f>
        <v>27087</v>
      </c>
      <c r="H770" s="37"/>
      <c r="I770" s="38"/>
    </row>
    <row r="771" spans="1:12" ht="63.75" customHeight="1" x14ac:dyDescent="0.25">
      <c r="A771" s="33" t="s">
        <v>82</v>
      </c>
      <c r="B771" s="33"/>
      <c r="C771" s="33"/>
      <c r="D771" s="33"/>
      <c r="E771" s="2"/>
      <c r="F771" s="33" t="str">
        <f>A771</f>
        <v>Tall DEO - Barrel</v>
      </c>
      <c r="G771" s="33"/>
      <c r="H771" s="33"/>
      <c r="I771" s="33"/>
    </row>
    <row r="772" spans="1:12" s="1" customFormat="1" ht="30" customHeight="1" x14ac:dyDescent="0.25">
      <c r="A772" s="11" t="s">
        <v>0</v>
      </c>
      <c r="B772" s="10"/>
      <c r="C772" s="11" t="s">
        <v>1</v>
      </c>
      <c r="D772" s="10"/>
      <c r="E772" s="3"/>
      <c r="F772" s="11" t="s">
        <v>0</v>
      </c>
      <c r="G772" s="10"/>
      <c r="H772" s="11" t="s">
        <v>1</v>
      </c>
      <c r="I772" s="10"/>
    </row>
    <row r="773" spans="1:12" s="1" customFormat="1" ht="30" customHeight="1" x14ac:dyDescent="0.25">
      <c r="A773" s="11" t="s">
        <v>2</v>
      </c>
      <c r="B773" s="10"/>
      <c r="C773" s="11" t="s">
        <v>5</v>
      </c>
      <c r="D773" s="7" t="s">
        <v>83</v>
      </c>
      <c r="E773" s="4"/>
      <c r="F773" s="11" t="s">
        <v>2</v>
      </c>
      <c r="G773" s="10"/>
      <c r="H773" s="11" t="s">
        <v>5</v>
      </c>
      <c r="I773" s="7" t="str">
        <f>D773</f>
        <v>18B</v>
      </c>
    </row>
    <row r="774" spans="1:12" s="1" customFormat="1" ht="53.25" customHeight="1" x14ac:dyDescent="0.25">
      <c r="A774" s="8" t="s">
        <v>3</v>
      </c>
      <c r="B774" s="9">
        <v>111</v>
      </c>
      <c r="C774" s="11" t="s">
        <v>6</v>
      </c>
      <c r="D774" s="7" t="s">
        <v>84</v>
      </c>
      <c r="E774" s="4"/>
      <c r="F774" s="8" t="s">
        <v>3</v>
      </c>
      <c r="G774" s="9">
        <v>261</v>
      </c>
      <c r="H774" s="11" t="s">
        <v>6</v>
      </c>
      <c r="I774" s="7" t="str">
        <f>D774</f>
        <v>DEO-B06</v>
      </c>
      <c r="K774" s="6" t="s">
        <v>8</v>
      </c>
      <c r="L774" s="6" t="s">
        <v>7</v>
      </c>
    </row>
    <row r="775" spans="1:12" s="1" customFormat="1" ht="30" customHeight="1" x14ac:dyDescent="0.25">
      <c r="A775" s="34" t="s">
        <v>86</v>
      </c>
      <c r="B775" s="35"/>
      <c r="C775" s="35"/>
      <c r="D775" s="36"/>
      <c r="E775" s="5"/>
      <c r="F775" s="34" t="s">
        <v>86</v>
      </c>
      <c r="G775" s="35"/>
      <c r="H775" s="35"/>
      <c r="I775" s="36"/>
      <c r="K775" s="1">
        <v>165</v>
      </c>
      <c r="L775" s="1">
        <v>20</v>
      </c>
    </row>
    <row r="776" spans="1:12" s="1" customFormat="1" ht="30" customHeight="1" x14ac:dyDescent="0.25">
      <c r="A776" s="43" t="s">
        <v>85</v>
      </c>
      <c r="B776" s="44"/>
      <c r="C776" s="41" t="s">
        <v>81</v>
      </c>
      <c r="D776" s="42"/>
      <c r="E776" s="4"/>
      <c r="F776" s="43" t="str">
        <f>A776</f>
        <v>KW621</v>
      </c>
      <c r="G776" s="44"/>
      <c r="H776" s="41" t="str">
        <f>C776</f>
        <v>Green</v>
      </c>
      <c r="I776" s="42"/>
    </row>
    <row r="777" spans="1:12" s="1" customFormat="1" ht="30" customHeight="1" x14ac:dyDescent="0.25">
      <c r="A777" s="12" t="s">
        <v>4</v>
      </c>
      <c r="B777" s="37">
        <v>27087</v>
      </c>
      <c r="C777" s="37"/>
      <c r="D777" s="38"/>
      <c r="E777" s="4"/>
      <c r="F777" s="12" t="s">
        <v>4</v>
      </c>
      <c r="G777" s="37">
        <f>B777</f>
        <v>27087</v>
      </c>
      <c r="H777" s="37"/>
      <c r="I777" s="38"/>
    </row>
    <row r="778" spans="1:12" ht="63.75" customHeight="1" x14ac:dyDescent="0.25">
      <c r="A778" s="33" t="s">
        <v>82</v>
      </c>
      <c r="B778" s="33"/>
      <c r="C778" s="33"/>
      <c r="D778" s="33"/>
      <c r="E778" s="2"/>
      <c r="F778" s="33" t="str">
        <f>A778</f>
        <v>Tall DEO - Barrel</v>
      </c>
      <c r="G778" s="33"/>
      <c r="H778" s="33"/>
      <c r="I778" s="33"/>
    </row>
    <row r="779" spans="1:12" s="1" customFormat="1" ht="30" customHeight="1" x14ac:dyDescent="0.25">
      <c r="A779" s="11" t="s">
        <v>0</v>
      </c>
      <c r="B779" s="10"/>
      <c r="C779" s="11" t="s">
        <v>1</v>
      </c>
      <c r="D779" s="10"/>
      <c r="E779" s="3"/>
      <c r="F779" s="11" t="s">
        <v>0</v>
      </c>
      <c r="G779" s="10"/>
      <c r="H779" s="11" t="s">
        <v>1</v>
      </c>
      <c r="I779" s="10"/>
    </row>
    <row r="780" spans="1:12" s="1" customFormat="1" ht="30" customHeight="1" x14ac:dyDescent="0.25">
      <c r="A780" s="11" t="s">
        <v>2</v>
      </c>
      <c r="B780" s="10"/>
      <c r="C780" s="11" t="s">
        <v>5</v>
      </c>
      <c r="D780" s="7" t="s">
        <v>83</v>
      </c>
      <c r="E780" s="4"/>
      <c r="F780" s="11" t="s">
        <v>2</v>
      </c>
      <c r="G780" s="10"/>
      <c r="H780" s="11" t="s">
        <v>5</v>
      </c>
      <c r="I780" s="7" t="str">
        <f>D780</f>
        <v>18B</v>
      </c>
    </row>
    <row r="781" spans="1:12" s="1" customFormat="1" ht="53.25" customHeight="1" x14ac:dyDescent="0.25">
      <c r="A781" s="8" t="s">
        <v>3</v>
      </c>
      <c r="B781" s="9">
        <v>112</v>
      </c>
      <c r="C781" s="11" t="s">
        <v>6</v>
      </c>
      <c r="D781" s="7" t="s">
        <v>84</v>
      </c>
      <c r="E781" s="4"/>
      <c r="F781" s="8" t="s">
        <v>3</v>
      </c>
      <c r="G781" s="9">
        <v>262</v>
      </c>
      <c r="H781" s="11" t="s">
        <v>6</v>
      </c>
      <c r="I781" s="7" t="str">
        <f>D781</f>
        <v>DEO-B06</v>
      </c>
      <c r="K781" s="6" t="s">
        <v>8</v>
      </c>
      <c r="L781" s="6" t="s">
        <v>7</v>
      </c>
    </row>
    <row r="782" spans="1:12" s="1" customFormat="1" ht="30" customHeight="1" x14ac:dyDescent="0.25">
      <c r="A782" s="34" t="s">
        <v>86</v>
      </c>
      <c r="B782" s="35"/>
      <c r="C782" s="35"/>
      <c r="D782" s="36"/>
      <c r="E782" s="5"/>
      <c r="F782" s="34" t="s">
        <v>86</v>
      </c>
      <c r="G782" s="35"/>
      <c r="H782" s="35"/>
      <c r="I782" s="36"/>
      <c r="K782" s="1">
        <v>165</v>
      </c>
      <c r="L782" s="1">
        <v>20</v>
      </c>
    </row>
    <row r="783" spans="1:12" s="1" customFormat="1" ht="30" customHeight="1" x14ac:dyDescent="0.25">
      <c r="A783" s="43" t="s">
        <v>85</v>
      </c>
      <c r="B783" s="44"/>
      <c r="C783" s="41" t="s">
        <v>81</v>
      </c>
      <c r="D783" s="42"/>
      <c r="E783" s="4"/>
      <c r="F783" s="43" t="str">
        <f>A783</f>
        <v>KW621</v>
      </c>
      <c r="G783" s="44"/>
      <c r="H783" s="41" t="str">
        <f>C783</f>
        <v>Green</v>
      </c>
      <c r="I783" s="42"/>
    </row>
    <row r="784" spans="1:12" s="1" customFormat="1" ht="30" customHeight="1" x14ac:dyDescent="0.25">
      <c r="A784" s="12" t="s">
        <v>4</v>
      </c>
      <c r="B784" s="37">
        <v>27087</v>
      </c>
      <c r="C784" s="37"/>
      <c r="D784" s="38"/>
      <c r="E784" s="4"/>
      <c r="F784" s="12" t="s">
        <v>4</v>
      </c>
      <c r="G784" s="37">
        <f>B784</f>
        <v>27087</v>
      </c>
      <c r="H784" s="37"/>
      <c r="I784" s="38"/>
    </row>
    <row r="785" spans="1:12" ht="63.75" customHeight="1" x14ac:dyDescent="0.25">
      <c r="A785" s="33" t="s">
        <v>82</v>
      </c>
      <c r="B785" s="33"/>
      <c r="C785" s="33"/>
      <c r="D785" s="33"/>
      <c r="E785" s="2"/>
      <c r="F785" s="33" t="str">
        <f>A785</f>
        <v>Tall DEO - Barrel</v>
      </c>
      <c r="G785" s="33"/>
      <c r="H785" s="33"/>
      <c r="I785" s="33"/>
    </row>
    <row r="786" spans="1:12" s="1" customFormat="1" ht="30" customHeight="1" x14ac:dyDescent="0.25">
      <c r="A786" s="11" t="s">
        <v>0</v>
      </c>
      <c r="B786" s="10"/>
      <c r="C786" s="11" t="s">
        <v>1</v>
      </c>
      <c r="D786" s="10"/>
      <c r="E786" s="3"/>
      <c r="F786" s="11" t="s">
        <v>0</v>
      </c>
      <c r="G786" s="10"/>
      <c r="H786" s="11" t="s">
        <v>1</v>
      </c>
      <c r="I786" s="10"/>
    </row>
    <row r="787" spans="1:12" s="1" customFormat="1" ht="30" customHeight="1" x14ac:dyDescent="0.25">
      <c r="A787" s="11" t="s">
        <v>2</v>
      </c>
      <c r="B787" s="10"/>
      <c r="C787" s="11" t="s">
        <v>5</v>
      </c>
      <c r="D787" s="7" t="s">
        <v>83</v>
      </c>
      <c r="E787" s="4"/>
      <c r="F787" s="11" t="s">
        <v>2</v>
      </c>
      <c r="G787" s="10"/>
      <c r="H787" s="11" t="s">
        <v>5</v>
      </c>
      <c r="I787" s="7" t="str">
        <f>D787</f>
        <v>18B</v>
      </c>
    </row>
    <row r="788" spans="1:12" s="1" customFormat="1" ht="53.25" customHeight="1" x14ac:dyDescent="0.25">
      <c r="A788" s="8" t="s">
        <v>3</v>
      </c>
      <c r="B788" s="9">
        <v>113</v>
      </c>
      <c r="C788" s="11" t="s">
        <v>6</v>
      </c>
      <c r="D788" s="7" t="s">
        <v>84</v>
      </c>
      <c r="E788" s="4"/>
      <c r="F788" s="8" t="s">
        <v>3</v>
      </c>
      <c r="G788" s="9">
        <v>263</v>
      </c>
      <c r="H788" s="11" t="s">
        <v>6</v>
      </c>
      <c r="I788" s="7" t="str">
        <f>D788</f>
        <v>DEO-B06</v>
      </c>
      <c r="K788" s="6" t="s">
        <v>8</v>
      </c>
      <c r="L788" s="6" t="s">
        <v>7</v>
      </c>
    </row>
    <row r="789" spans="1:12" s="1" customFormat="1" ht="30" customHeight="1" x14ac:dyDescent="0.25">
      <c r="A789" s="34" t="s">
        <v>86</v>
      </c>
      <c r="B789" s="35"/>
      <c r="C789" s="35"/>
      <c r="D789" s="36"/>
      <c r="E789" s="5"/>
      <c r="F789" s="34" t="s">
        <v>86</v>
      </c>
      <c r="G789" s="35"/>
      <c r="H789" s="35"/>
      <c r="I789" s="36"/>
      <c r="K789" s="1">
        <v>165</v>
      </c>
      <c r="L789" s="1">
        <v>20</v>
      </c>
    </row>
    <row r="790" spans="1:12" s="1" customFormat="1" ht="30" customHeight="1" x14ac:dyDescent="0.25">
      <c r="A790" s="43" t="s">
        <v>85</v>
      </c>
      <c r="B790" s="44"/>
      <c r="C790" s="41" t="s">
        <v>81</v>
      </c>
      <c r="D790" s="42"/>
      <c r="E790" s="4"/>
      <c r="F790" s="43" t="str">
        <f>A790</f>
        <v>KW621</v>
      </c>
      <c r="G790" s="44"/>
      <c r="H790" s="41" t="str">
        <f>C790</f>
        <v>Green</v>
      </c>
      <c r="I790" s="42"/>
    </row>
    <row r="791" spans="1:12" s="1" customFormat="1" ht="30" customHeight="1" x14ac:dyDescent="0.25">
      <c r="A791" s="12" t="s">
        <v>4</v>
      </c>
      <c r="B791" s="37">
        <v>27087</v>
      </c>
      <c r="C791" s="37"/>
      <c r="D791" s="38"/>
      <c r="E791" s="4"/>
      <c r="F791" s="12" t="s">
        <v>4</v>
      </c>
      <c r="G791" s="37">
        <f>B791</f>
        <v>27087</v>
      </c>
      <c r="H791" s="37"/>
      <c r="I791" s="38"/>
    </row>
    <row r="792" spans="1:12" ht="63.75" customHeight="1" x14ac:dyDescent="0.25">
      <c r="A792" s="33" t="s">
        <v>82</v>
      </c>
      <c r="B792" s="33"/>
      <c r="C792" s="33"/>
      <c r="D792" s="33"/>
      <c r="E792" s="2"/>
      <c r="F792" s="33" t="str">
        <f>A792</f>
        <v>Tall DEO - Barrel</v>
      </c>
      <c r="G792" s="33"/>
      <c r="H792" s="33"/>
      <c r="I792" s="33"/>
    </row>
    <row r="793" spans="1:12" s="1" customFormat="1" ht="30" customHeight="1" x14ac:dyDescent="0.25">
      <c r="A793" s="11" t="s">
        <v>0</v>
      </c>
      <c r="B793" s="10"/>
      <c r="C793" s="11" t="s">
        <v>1</v>
      </c>
      <c r="D793" s="10"/>
      <c r="E793" s="3"/>
      <c r="F793" s="11" t="s">
        <v>0</v>
      </c>
      <c r="G793" s="10"/>
      <c r="H793" s="11" t="s">
        <v>1</v>
      </c>
      <c r="I793" s="10"/>
    </row>
    <row r="794" spans="1:12" s="1" customFormat="1" ht="30" customHeight="1" x14ac:dyDescent="0.25">
      <c r="A794" s="11" t="s">
        <v>2</v>
      </c>
      <c r="B794" s="10"/>
      <c r="C794" s="11" t="s">
        <v>5</v>
      </c>
      <c r="D794" s="7" t="s">
        <v>83</v>
      </c>
      <c r="E794" s="4"/>
      <c r="F794" s="11" t="s">
        <v>2</v>
      </c>
      <c r="G794" s="10"/>
      <c r="H794" s="11" t="s">
        <v>5</v>
      </c>
      <c r="I794" s="7" t="str">
        <f>D794</f>
        <v>18B</v>
      </c>
    </row>
    <row r="795" spans="1:12" s="1" customFormat="1" ht="53.25" customHeight="1" x14ac:dyDescent="0.25">
      <c r="A795" s="8" t="s">
        <v>3</v>
      </c>
      <c r="B795" s="9">
        <v>114</v>
      </c>
      <c r="C795" s="11" t="s">
        <v>6</v>
      </c>
      <c r="D795" s="7" t="s">
        <v>84</v>
      </c>
      <c r="E795" s="4"/>
      <c r="F795" s="8" t="s">
        <v>3</v>
      </c>
      <c r="G795" s="9">
        <v>264</v>
      </c>
      <c r="H795" s="11" t="s">
        <v>6</v>
      </c>
      <c r="I795" s="7" t="str">
        <f>D795</f>
        <v>DEO-B06</v>
      </c>
      <c r="K795" s="6" t="s">
        <v>8</v>
      </c>
      <c r="L795" s="6" t="s">
        <v>7</v>
      </c>
    </row>
    <row r="796" spans="1:12" s="1" customFormat="1" ht="30" customHeight="1" x14ac:dyDescent="0.25">
      <c r="A796" s="34" t="s">
        <v>86</v>
      </c>
      <c r="B796" s="35"/>
      <c r="C796" s="35"/>
      <c r="D796" s="36"/>
      <c r="E796" s="5"/>
      <c r="F796" s="34" t="s">
        <v>86</v>
      </c>
      <c r="G796" s="35"/>
      <c r="H796" s="35"/>
      <c r="I796" s="36"/>
      <c r="K796" s="1">
        <v>165</v>
      </c>
      <c r="L796" s="1">
        <v>20</v>
      </c>
    </row>
    <row r="797" spans="1:12" s="1" customFormat="1" ht="30" customHeight="1" x14ac:dyDescent="0.25">
      <c r="A797" s="43" t="s">
        <v>85</v>
      </c>
      <c r="B797" s="44"/>
      <c r="C797" s="41" t="s">
        <v>81</v>
      </c>
      <c r="D797" s="42"/>
      <c r="E797" s="4"/>
      <c r="F797" s="43" t="str">
        <f>A797</f>
        <v>KW621</v>
      </c>
      <c r="G797" s="44"/>
      <c r="H797" s="41" t="str">
        <f>C797</f>
        <v>Green</v>
      </c>
      <c r="I797" s="42"/>
    </row>
    <row r="798" spans="1:12" s="1" customFormat="1" ht="30" customHeight="1" x14ac:dyDescent="0.25">
      <c r="A798" s="12" t="s">
        <v>4</v>
      </c>
      <c r="B798" s="37">
        <v>27087</v>
      </c>
      <c r="C798" s="37"/>
      <c r="D798" s="38"/>
      <c r="E798" s="4"/>
      <c r="F798" s="12" t="s">
        <v>4</v>
      </c>
      <c r="G798" s="37">
        <f>B798</f>
        <v>27087</v>
      </c>
      <c r="H798" s="37"/>
      <c r="I798" s="38"/>
    </row>
    <row r="799" spans="1:12" ht="63.75" customHeight="1" x14ac:dyDescent="0.25">
      <c r="A799" s="33" t="s">
        <v>82</v>
      </c>
      <c r="B799" s="33"/>
      <c r="C799" s="33"/>
      <c r="D799" s="33"/>
      <c r="E799" s="2"/>
      <c r="F799" s="33" t="str">
        <f>A799</f>
        <v>Tall DEO - Barrel</v>
      </c>
      <c r="G799" s="33"/>
      <c r="H799" s="33"/>
      <c r="I799" s="33"/>
    </row>
    <row r="800" spans="1:12" s="1" customFormat="1" ht="30" customHeight="1" x14ac:dyDescent="0.25">
      <c r="A800" s="11" t="s">
        <v>0</v>
      </c>
      <c r="B800" s="10"/>
      <c r="C800" s="11" t="s">
        <v>1</v>
      </c>
      <c r="D800" s="10"/>
      <c r="E800" s="3"/>
      <c r="F800" s="11" t="s">
        <v>0</v>
      </c>
      <c r="G800" s="10"/>
      <c r="H800" s="11" t="s">
        <v>1</v>
      </c>
      <c r="I800" s="10"/>
    </row>
    <row r="801" spans="1:12" s="1" customFormat="1" ht="30" customHeight="1" x14ac:dyDescent="0.25">
      <c r="A801" s="11" t="s">
        <v>2</v>
      </c>
      <c r="B801" s="10"/>
      <c r="C801" s="11" t="s">
        <v>5</v>
      </c>
      <c r="D801" s="7" t="s">
        <v>83</v>
      </c>
      <c r="E801" s="4"/>
      <c r="F801" s="11" t="s">
        <v>2</v>
      </c>
      <c r="G801" s="10"/>
      <c r="H801" s="11" t="s">
        <v>5</v>
      </c>
      <c r="I801" s="7" t="str">
        <f>D801</f>
        <v>18B</v>
      </c>
    </row>
    <row r="802" spans="1:12" s="1" customFormat="1" ht="53.25" customHeight="1" x14ac:dyDescent="0.25">
      <c r="A802" s="8" t="s">
        <v>3</v>
      </c>
      <c r="B802" s="9">
        <v>115</v>
      </c>
      <c r="C802" s="11" t="s">
        <v>6</v>
      </c>
      <c r="D802" s="7" t="s">
        <v>84</v>
      </c>
      <c r="E802" s="4"/>
      <c r="F802" s="8" t="s">
        <v>3</v>
      </c>
      <c r="G802" s="9">
        <v>265</v>
      </c>
      <c r="H802" s="11" t="s">
        <v>6</v>
      </c>
      <c r="I802" s="7" t="str">
        <f>D802</f>
        <v>DEO-B06</v>
      </c>
      <c r="K802" s="6" t="s">
        <v>8</v>
      </c>
      <c r="L802" s="6" t="s">
        <v>7</v>
      </c>
    </row>
    <row r="803" spans="1:12" s="1" customFormat="1" ht="30" customHeight="1" x14ac:dyDescent="0.25">
      <c r="A803" s="34" t="s">
        <v>86</v>
      </c>
      <c r="B803" s="35"/>
      <c r="C803" s="35"/>
      <c r="D803" s="36"/>
      <c r="E803" s="5"/>
      <c r="F803" s="34" t="s">
        <v>86</v>
      </c>
      <c r="G803" s="35"/>
      <c r="H803" s="35"/>
      <c r="I803" s="36"/>
      <c r="K803" s="1">
        <v>165</v>
      </c>
      <c r="L803" s="1">
        <v>20</v>
      </c>
    </row>
    <row r="804" spans="1:12" s="1" customFormat="1" ht="30" customHeight="1" x14ac:dyDescent="0.25">
      <c r="A804" s="43" t="s">
        <v>85</v>
      </c>
      <c r="B804" s="44"/>
      <c r="C804" s="41" t="s">
        <v>81</v>
      </c>
      <c r="D804" s="42"/>
      <c r="E804" s="4"/>
      <c r="F804" s="43" t="str">
        <f>A804</f>
        <v>KW621</v>
      </c>
      <c r="G804" s="44"/>
      <c r="H804" s="41" t="str">
        <f>C804</f>
        <v>Green</v>
      </c>
      <c r="I804" s="42"/>
    </row>
    <row r="805" spans="1:12" s="1" customFormat="1" ht="30" customHeight="1" x14ac:dyDescent="0.25">
      <c r="A805" s="12" t="s">
        <v>4</v>
      </c>
      <c r="B805" s="37">
        <v>27087</v>
      </c>
      <c r="C805" s="37"/>
      <c r="D805" s="38"/>
      <c r="E805" s="4"/>
      <c r="F805" s="12" t="s">
        <v>4</v>
      </c>
      <c r="G805" s="37">
        <f>B805</f>
        <v>27087</v>
      </c>
      <c r="H805" s="37"/>
      <c r="I805" s="38"/>
    </row>
    <row r="806" spans="1:12" ht="63.75" customHeight="1" x14ac:dyDescent="0.25">
      <c r="A806" s="33" t="s">
        <v>82</v>
      </c>
      <c r="B806" s="33"/>
      <c r="C806" s="33"/>
      <c r="D806" s="33"/>
      <c r="E806" s="2"/>
      <c r="F806" s="33" t="str">
        <f>A806</f>
        <v>Tall DEO - Barrel</v>
      </c>
      <c r="G806" s="33"/>
      <c r="H806" s="33"/>
      <c r="I806" s="33"/>
    </row>
    <row r="807" spans="1:12" s="1" customFormat="1" ht="30" customHeight="1" x14ac:dyDescent="0.25">
      <c r="A807" s="11" t="s">
        <v>0</v>
      </c>
      <c r="B807" s="10"/>
      <c r="C807" s="11" t="s">
        <v>1</v>
      </c>
      <c r="D807" s="10"/>
      <c r="E807" s="3"/>
      <c r="F807" s="11" t="s">
        <v>0</v>
      </c>
      <c r="G807" s="10"/>
      <c r="H807" s="11" t="s">
        <v>1</v>
      </c>
      <c r="I807" s="10"/>
    </row>
    <row r="808" spans="1:12" s="1" customFormat="1" ht="30" customHeight="1" x14ac:dyDescent="0.25">
      <c r="A808" s="11" t="s">
        <v>2</v>
      </c>
      <c r="B808" s="10"/>
      <c r="C808" s="11" t="s">
        <v>5</v>
      </c>
      <c r="D808" s="7" t="s">
        <v>83</v>
      </c>
      <c r="E808" s="4"/>
      <c r="F808" s="11" t="s">
        <v>2</v>
      </c>
      <c r="G808" s="10"/>
      <c r="H808" s="11" t="s">
        <v>5</v>
      </c>
      <c r="I808" s="7" t="str">
        <f>D808</f>
        <v>18B</v>
      </c>
    </row>
    <row r="809" spans="1:12" s="1" customFormat="1" ht="53.25" customHeight="1" x14ac:dyDescent="0.25">
      <c r="A809" s="8" t="s">
        <v>3</v>
      </c>
      <c r="B809" s="9">
        <v>116</v>
      </c>
      <c r="C809" s="11" t="s">
        <v>6</v>
      </c>
      <c r="D809" s="7" t="s">
        <v>84</v>
      </c>
      <c r="E809" s="4"/>
      <c r="F809" s="8" t="s">
        <v>3</v>
      </c>
      <c r="G809" s="9">
        <v>266</v>
      </c>
      <c r="H809" s="11" t="s">
        <v>6</v>
      </c>
      <c r="I809" s="7" t="str">
        <f>D809</f>
        <v>DEO-B06</v>
      </c>
      <c r="K809" s="6" t="s">
        <v>8</v>
      </c>
      <c r="L809" s="6" t="s">
        <v>7</v>
      </c>
    </row>
    <row r="810" spans="1:12" s="1" customFormat="1" ht="30" customHeight="1" x14ac:dyDescent="0.25">
      <c r="A810" s="34" t="s">
        <v>86</v>
      </c>
      <c r="B810" s="35"/>
      <c r="C810" s="35"/>
      <c r="D810" s="36"/>
      <c r="E810" s="5"/>
      <c r="F810" s="34" t="s">
        <v>86</v>
      </c>
      <c r="G810" s="35"/>
      <c r="H810" s="35"/>
      <c r="I810" s="36"/>
      <c r="K810" s="1">
        <v>165</v>
      </c>
      <c r="L810" s="1">
        <v>20</v>
      </c>
    </row>
    <row r="811" spans="1:12" s="1" customFormat="1" ht="30" customHeight="1" x14ac:dyDescent="0.25">
      <c r="A811" s="43" t="s">
        <v>85</v>
      </c>
      <c r="B811" s="44"/>
      <c r="C811" s="41" t="s">
        <v>81</v>
      </c>
      <c r="D811" s="42"/>
      <c r="E811" s="4"/>
      <c r="F811" s="43" t="str">
        <f>A811</f>
        <v>KW621</v>
      </c>
      <c r="G811" s="44"/>
      <c r="H811" s="41" t="str">
        <f>C811</f>
        <v>Green</v>
      </c>
      <c r="I811" s="42"/>
    </row>
    <row r="812" spans="1:12" s="1" customFormat="1" ht="30" customHeight="1" x14ac:dyDescent="0.25">
      <c r="A812" s="12" t="s">
        <v>4</v>
      </c>
      <c r="B812" s="37">
        <v>27087</v>
      </c>
      <c r="C812" s="37"/>
      <c r="D812" s="38"/>
      <c r="E812" s="4"/>
      <c r="F812" s="12" t="s">
        <v>4</v>
      </c>
      <c r="G812" s="37">
        <f>B812</f>
        <v>27087</v>
      </c>
      <c r="H812" s="37"/>
      <c r="I812" s="38"/>
    </row>
    <row r="813" spans="1:12" ht="63.75" customHeight="1" x14ac:dyDescent="0.25">
      <c r="A813" s="33" t="s">
        <v>82</v>
      </c>
      <c r="B813" s="33"/>
      <c r="C813" s="33"/>
      <c r="D813" s="33"/>
      <c r="E813" s="2"/>
      <c r="F813" s="33" t="str">
        <f>A813</f>
        <v>Tall DEO - Barrel</v>
      </c>
      <c r="G813" s="33"/>
      <c r="H813" s="33"/>
      <c r="I813" s="33"/>
    </row>
    <row r="814" spans="1:12" s="1" customFormat="1" ht="30" customHeight="1" x14ac:dyDescent="0.25">
      <c r="A814" s="11" t="s">
        <v>0</v>
      </c>
      <c r="B814" s="10"/>
      <c r="C814" s="11" t="s">
        <v>1</v>
      </c>
      <c r="D814" s="10"/>
      <c r="E814" s="3"/>
      <c r="F814" s="11" t="s">
        <v>0</v>
      </c>
      <c r="G814" s="10"/>
      <c r="H814" s="11" t="s">
        <v>1</v>
      </c>
      <c r="I814" s="10"/>
    </row>
    <row r="815" spans="1:12" s="1" customFormat="1" ht="30" customHeight="1" x14ac:dyDescent="0.25">
      <c r="A815" s="11" t="s">
        <v>2</v>
      </c>
      <c r="B815" s="10"/>
      <c r="C815" s="11" t="s">
        <v>5</v>
      </c>
      <c r="D815" s="7" t="s">
        <v>83</v>
      </c>
      <c r="E815" s="4"/>
      <c r="F815" s="11" t="s">
        <v>2</v>
      </c>
      <c r="G815" s="10"/>
      <c r="H815" s="11" t="s">
        <v>5</v>
      </c>
      <c r="I815" s="7" t="str">
        <f>D815</f>
        <v>18B</v>
      </c>
    </row>
    <row r="816" spans="1:12" s="1" customFormat="1" ht="53.25" customHeight="1" x14ac:dyDescent="0.25">
      <c r="A816" s="8" t="s">
        <v>3</v>
      </c>
      <c r="B816" s="9">
        <v>117</v>
      </c>
      <c r="C816" s="11" t="s">
        <v>6</v>
      </c>
      <c r="D816" s="7" t="s">
        <v>84</v>
      </c>
      <c r="E816" s="4"/>
      <c r="F816" s="8" t="s">
        <v>3</v>
      </c>
      <c r="G816" s="9">
        <v>267</v>
      </c>
      <c r="H816" s="11" t="s">
        <v>6</v>
      </c>
      <c r="I816" s="7" t="str">
        <f>D816</f>
        <v>DEO-B06</v>
      </c>
      <c r="K816" s="6" t="s">
        <v>8</v>
      </c>
      <c r="L816" s="6" t="s">
        <v>7</v>
      </c>
    </row>
    <row r="817" spans="1:12" s="1" customFormat="1" ht="30" customHeight="1" x14ac:dyDescent="0.25">
      <c r="A817" s="34" t="s">
        <v>86</v>
      </c>
      <c r="B817" s="35"/>
      <c r="C817" s="35"/>
      <c r="D817" s="36"/>
      <c r="E817" s="5"/>
      <c r="F817" s="34" t="s">
        <v>86</v>
      </c>
      <c r="G817" s="35"/>
      <c r="H817" s="35"/>
      <c r="I817" s="36"/>
      <c r="K817" s="1">
        <v>165</v>
      </c>
      <c r="L817" s="1">
        <v>20</v>
      </c>
    </row>
    <row r="818" spans="1:12" s="1" customFormat="1" ht="30" customHeight="1" x14ac:dyDescent="0.25">
      <c r="A818" s="43" t="s">
        <v>85</v>
      </c>
      <c r="B818" s="44"/>
      <c r="C818" s="41" t="s">
        <v>81</v>
      </c>
      <c r="D818" s="42"/>
      <c r="E818" s="4"/>
      <c r="F818" s="43" t="str">
        <f>A818</f>
        <v>KW621</v>
      </c>
      <c r="G818" s="44"/>
      <c r="H818" s="41" t="str">
        <f>C818</f>
        <v>Green</v>
      </c>
      <c r="I818" s="42"/>
    </row>
    <row r="819" spans="1:12" s="1" customFormat="1" ht="30" customHeight="1" x14ac:dyDescent="0.25">
      <c r="A819" s="12" t="s">
        <v>4</v>
      </c>
      <c r="B819" s="37">
        <v>27087</v>
      </c>
      <c r="C819" s="37"/>
      <c r="D819" s="38"/>
      <c r="E819" s="4"/>
      <c r="F819" s="12" t="s">
        <v>4</v>
      </c>
      <c r="G819" s="37">
        <f>B819</f>
        <v>27087</v>
      </c>
      <c r="H819" s="37"/>
      <c r="I819" s="38"/>
    </row>
    <row r="820" spans="1:12" ht="63.75" customHeight="1" x14ac:dyDescent="0.25">
      <c r="A820" s="33" t="s">
        <v>82</v>
      </c>
      <c r="B820" s="33"/>
      <c r="C820" s="33"/>
      <c r="D820" s="33"/>
      <c r="E820" s="2"/>
      <c r="F820" s="33" t="str">
        <f>A820</f>
        <v>Tall DEO - Barrel</v>
      </c>
      <c r="G820" s="33"/>
      <c r="H820" s="33"/>
      <c r="I820" s="33"/>
    </row>
    <row r="821" spans="1:12" s="1" customFormat="1" ht="30" customHeight="1" x14ac:dyDescent="0.25">
      <c r="A821" s="11" t="s">
        <v>0</v>
      </c>
      <c r="B821" s="10"/>
      <c r="C821" s="11" t="s">
        <v>1</v>
      </c>
      <c r="D821" s="10"/>
      <c r="E821" s="3"/>
      <c r="F821" s="11" t="s">
        <v>0</v>
      </c>
      <c r="G821" s="10"/>
      <c r="H821" s="11" t="s">
        <v>1</v>
      </c>
      <c r="I821" s="10"/>
    </row>
    <row r="822" spans="1:12" s="1" customFormat="1" ht="30" customHeight="1" x14ac:dyDescent="0.25">
      <c r="A822" s="11" t="s">
        <v>2</v>
      </c>
      <c r="B822" s="10"/>
      <c r="C822" s="11" t="s">
        <v>5</v>
      </c>
      <c r="D822" s="7" t="s">
        <v>83</v>
      </c>
      <c r="E822" s="4"/>
      <c r="F822" s="11" t="s">
        <v>2</v>
      </c>
      <c r="G822" s="10"/>
      <c r="H822" s="11" t="s">
        <v>5</v>
      </c>
      <c r="I822" s="7" t="str">
        <f>D822</f>
        <v>18B</v>
      </c>
    </row>
    <row r="823" spans="1:12" s="1" customFormat="1" ht="53.25" customHeight="1" x14ac:dyDescent="0.25">
      <c r="A823" s="8" t="s">
        <v>3</v>
      </c>
      <c r="B823" s="9">
        <v>118</v>
      </c>
      <c r="C823" s="11" t="s">
        <v>6</v>
      </c>
      <c r="D823" s="7" t="s">
        <v>84</v>
      </c>
      <c r="E823" s="4"/>
      <c r="F823" s="8" t="s">
        <v>3</v>
      </c>
      <c r="G823" s="9">
        <v>268</v>
      </c>
      <c r="H823" s="11" t="s">
        <v>6</v>
      </c>
      <c r="I823" s="7" t="str">
        <f>D823</f>
        <v>DEO-B06</v>
      </c>
      <c r="K823" s="6" t="s">
        <v>8</v>
      </c>
      <c r="L823" s="6" t="s">
        <v>7</v>
      </c>
    </row>
    <row r="824" spans="1:12" s="1" customFormat="1" ht="30" customHeight="1" x14ac:dyDescent="0.25">
      <c r="A824" s="34" t="s">
        <v>86</v>
      </c>
      <c r="B824" s="35"/>
      <c r="C824" s="35"/>
      <c r="D824" s="36"/>
      <c r="E824" s="5"/>
      <c r="F824" s="34" t="s">
        <v>86</v>
      </c>
      <c r="G824" s="35"/>
      <c r="H824" s="35"/>
      <c r="I824" s="36"/>
      <c r="K824" s="1">
        <v>165</v>
      </c>
      <c r="L824" s="1">
        <v>20</v>
      </c>
    </row>
    <row r="825" spans="1:12" s="1" customFormat="1" ht="30" customHeight="1" x14ac:dyDescent="0.25">
      <c r="A825" s="43" t="s">
        <v>85</v>
      </c>
      <c r="B825" s="44"/>
      <c r="C825" s="41" t="s">
        <v>81</v>
      </c>
      <c r="D825" s="42"/>
      <c r="E825" s="4"/>
      <c r="F825" s="43" t="str">
        <f>A825</f>
        <v>KW621</v>
      </c>
      <c r="G825" s="44"/>
      <c r="H825" s="41" t="str">
        <f>C825</f>
        <v>Green</v>
      </c>
      <c r="I825" s="42"/>
    </row>
    <row r="826" spans="1:12" s="1" customFormat="1" ht="30" customHeight="1" x14ac:dyDescent="0.25">
      <c r="A826" s="12" t="s">
        <v>4</v>
      </c>
      <c r="B826" s="37">
        <v>27087</v>
      </c>
      <c r="C826" s="37"/>
      <c r="D826" s="38"/>
      <c r="E826" s="4"/>
      <c r="F826" s="12" t="s">
        <v>4</v>
      </c>
      <c r="G826" s="37">
        <f>B826</f>
        <v>27087</v>
      </c>
      <c r="H826" s="37"/>
      <c r="I826" s="38"/>
    </row>
    <row r="827" spans="1:12" ht="63.75" customHeight="1" x14ac:dyDescent="0.25">
      <c r="A827" s="33" t="s">
        <v>82</v>
      </c>
      <c r="B827" s="33"/>
      <c r="C827" s="33"/>
      <c r="D827" s="33"/>
      <c r="E827" s="2"/>
      <c r="F827" s="33" t="str">
        <f>A827</f>
        <v>Tall DEO - Barrel</v>
      </c>
      <c r="G827" s="33"/>
      <c r="H827" s="33"/>
      <c r="I827" s="33"/>
    </row>
    <row r="828" spans="1:12" s="1" customFormat="1" ht="30" customHeight="1" x14ac:dyDescent="0.25">
      <c r="A828" s="11" t="s">
        <v>0</v>
      </c>
      <c r="B828" s="10"/>
      <c r="C828" s="11" t="s">
        <v>1</v>
      </c>
      <c r="D828" s="10"/>
      <c r="E828" s="3"/>
      <c r="F828" s="11" t="s">
        <v>0</v>
      </c>
      <c r="G828" s="10"/>
      <c r="H828" s="11" t="s">
        <v>1</v>
      </c>
      <c r="I828" s="10"/>
    </row>
    <row r="829" spans="1:12" s="1" customFormat="1" ht="30" customHeight="1" x14ac:dyDescent="0.25">
      <c r="A829" s="11" t="s">
        <v>2</v>
      </c>
      <c r="B829" s="10"/>
      <c r="C829" s="11" t="s">
        <v>5</v>
      </c>
      <c r="D829" s="7" t="s">
        <v>83</v>
      </c>
      <c r="E829" s="4"/>
      <c r="F829" s="11" t="s">
        <v>2</v>
      </c>
      <c r="G829" s="10"/>
      <c r="H829" s="11" t="s">
        <v>5</v>
      </c>
      <c r="I829" s="7" t="str">
        <f>D829</f>
        <v>18B</v>
      </c>
    </row>
    <row r="830" spans="1:12" s="1" customFormat="1" ht="53.25" customHeight="1" x14ac:dyDescent="0.25">
      <c r="A830" s="8" t="s">
        <v>3</v>
      </c>
      <c r="B830" s="9">
        <v>119</v>
      </c>
      <c r="C830" s="11" t="s">
        <v>6</v>
      </c>
      <c r="D830" s="7" t="s">
        <v>84</v>
      </c>
      <c r="E830" s="4"/>
      <c r="F830" s="8" t="s">
        <v>3</v>
      </c>
      <c r="G830" s="9">
        <v>269</v>
      </c>
      <c r="H830" s="11" t="s">
        <v>6</v>
      </c>
      <c r="I830" s="7" t="str">
        <f>D830</f>
        <v>DEO-B06</v>
      </c>
      <c r="K830" s="6" t="s">
        <v>8</v>
      </c>
      <c r="L830" s="6" t="s">
        <v>7</v>
      </c>
    </row>
    <row r="831" spans="1:12" s="1" customFormat="1" ht="30" customHeight="1" x14ac:dyDescent="0.25">
      <c r="A831" s="34" t="s">
        <v>86</v>
      </c>
      <c r="B831" s="35"/>
      <c r="C831" s="35"/>
      <c r="D831" s="36"/>
      <c r="E831" s="5"/>
      <c r="F831" s="34" t="s">
        <v>86</v>
      </c>
      <c r="G831" s="35"/>
      <c r="H831" s="35"/>
      <c r="I831" s="36"/>
      <c r="K831" s="1">
        <v>165</v>
      </c>
      <c r="L831" s="1">
        <v>20</v>
      </c>
    </row>
    <row r="832" spans="1:12" s="1" customFormat="1" ht="30" customHeight="1" x14ac:dyDescent="0.25">
      <c r="A832" s="43" t="s">
        <v>85</v>
      </c>
      <c r="B832" s="44"/>
      <c r="C832" s="41" t="s">
        <v>81</v>
      </c>
      <c r="D832" s="42"/>
      <c r="E832" s="4"/>
      <c r="F832" s="43" t="str">
        <f>A832</f>
        <v>KW621</v>
      </c>
      <c r="G832" s="44"/>
      <c r="H832" s="41" t="str">
        <f>C832</f>
        <v>Green</v>
      </c>
      <c r="I832" s="42"/>
    </row>
    <row r="833" spans="1:12" s="1" customFormat="1" ht="30" customHeight="1" x14ac:dyDescent="0.25">
      <c r="A833" s="12" t="s">
        <v>4</v>
      </c>
      <c r="B833" s="37">
        <v>27087</v>
      </c>
      <c r="C833" s="37"/>
      <c r="D833" s="38"/>
      <c r="E833" s="4"/>
      <c r="F833" s="12" t="s">
        <v>4</v>
      </c>
      <c r="G833" s="37">
        <f>B833</f>
        <v>27087</v>
      </c>
      <c r="H833" s="37"/>
      <c r="I833" s="38"/>
    </row>
    <row r="834" spans="1:12" ht="63.75" customHeight="1" x14ac:dyDescent="0.25">
      <c r="A834" s="33" t="s">
        <v>82</v>
      </c>
      <c r="B834" s="33"/>
      <c r="C834" s="33"/>
      <c r="D834" s="33"/>
      <c r="E834" s="2"/>
      <c r="F834" s="33" t="str">
        <f>A834</f>
        <v>Tall DEO - Barrel</v>
      </c>
      <c r="G834" s="33"/>
      <c r="H834" s="33"/>
      <c r="I834" s="33"/>
    </row>
    <row r="835" spans="1:12" s="1" customFormat="1" ht="30" customHeight="1" x14ac:dyDescent="0.25">
      <c r="A835" s="11" t="s">
        <v>0</v>
      </c>
      <c r="B835" s="10"/>
      <c r="C835" s="11" t="s">
        <v>1</v>
      </c>
      <c r="D835" s="10"/>
      <c r="E835" s="3"/>
      <c r="F835" s="11" t="s">
        <v>0</v>
      </c>
      <c r="G835" s="10"/>
      <c r="H835" s="11" t="s">
        <v>1</v>
      </c>
      <c r="I835" s="10"/>
    </row>
    <row r="836" spans="1:12" s="1" customFormat="1" ht="30" customHeight="1" x14ac:dyDescent="0.25">
      <c r="A836" s="11" t="s">
        <v>2</v>
      </c>
      <c r="B836" s="10"/>
      <c r="C836" s="11" t="s">
        <v>5</v>
      </c>
      <c r="D836" s="7" t="s">
        <v>83</v>
      </c>
      <c r="E836" s="4"/>
      <c r="F836" s="11" t="s">
        <v>2</v>
      </c>
      <c r="G836" s="10"/>
      <c r="H836" s="11" t="s">
        <v>5</v>
      </c>
      <c r="I836" s="7" t="str">
        <f>D836</f>
        <v>18B</v>
      </c>
    </row>
    <row r="837" spans="1:12" s="1" customFormat="1" ht="53.25" customHeight="1" x14ac:dyDescent="0.25">
      <c r="A837" s="8" t="s">
        <v>3</v>
      </c>
      <c r="B837" s="9">
        <v>120</v>
      </c>
      <c r="C837" s="11" t="s">
        <v>6</v>
      </c>
      <c r="D837" s="7" t="s">
        <v>84</v>
      </c>
      <c r="E837" s="4"/>
      <c r="F837" s="8" t="s">
        <v>3</v>
      </c>
      <c r="G837" s="9">
        <v>270</v>
      </c>
      <c r="H837" s="11" t="s">
        <v>6</v>
      </c>
      <c r="I837" s="7" t="str">
        <f>D837</f>
        <v>DEO-B06</v>
      </c>
      <c r="K837" s="6" t="s">
        <v>8</v>
      </c>
      <c r="L837" s="6" t="s">
        <v>7</v>
      </c>
    </row>
    <row r="838" spans="1:12" s="1" customFormat="1" ht="30" customHeight="1" x14ac:dyDescent="0.25">
      <c r="A838" s="34" t="s">
        <v>86</v>
      </c>
      <c r="B838" s="35"/>
      <c r="C838" s="35"/>
      <c r="D838" s="36"/>
      <c r="E838" s="5"/>
      <c r="F838" s="34" t="s">
        <v>86</v>
      </c>
      <c r="G838" s="35"/>
      <c r="H838" s="35"/>
      <c r="I838" s="36"/>
      <c r="K838" s="1">
        <v>165</v>
      </c>
      <c r="L838" s="1">
        <v>20</v>
      </c>
    </row>
    <row r="839" spans="1:12" s="1" customFormat="1" ht="30" customHeight="1" x14ac:dyDescent="0.25">
      <c r="A839" s="43" t="s">
        <v>85</v>
      </c>
      <c r="B839" s="44"/>
      <c r="C839" s="41" t="s">
        <v>81</v>
      </c>
      <c r="D839" s="42"/>
      <c r="E839" s="4"/>
      <c r="F839" s="43" t="str">
        <f>A839</f>
        <v>KW621</v>
      </c>
      <c r="G839" s="44"/>
      <c r="H839" s="41" t="str">
        <f>C839</f>
        <v>Green</v>
      </c>
      <c r="I839" s="42"/>
    </row>
    <row r="840" spans="1:12" s="1" customFormat="1" ht="30" customHeight="1" x14ac:dyDescent="0.25">
      <c r="A840" s="12" t="s">
        <v>4</v>
      </c>
      <c r="B840" s="37">
        <v>27087</v>
      </c>
      <c r="C840" s="37"/>
      <c r="D840" s="38"/>
      <c r="E840" s="4"/>
      <c r="F840" s="12" t="s">
        <v>4</v>
      </c>
      <c r="G840" s="37">
        <f>B840</f>
        <v>27087</v>
      </c>
      <c r="H840" s="37"/>
      <c r="I840" s="38"/>
    </row>
    <row r="841" spans="1:12" ht="63.75" customHeight="1" x14ac:dyDescent="0.25">
      <c r="A841" s="33" t="s">
        <v>82</v>
      </c>
      <c r="B841" s="33"/>
      <c r="C841" s="33"/>
      <c r="D841" s="33"/>
      <c r="E841" s="2"/>
      <c r="F841" s="33" t="str">
        <f>A841</f>
        <v>Tall DEO - Barrel</v>
      </c>
      <c r="G841" s="33"/>
      <c r="H841" s="33"/>
      <c r="I841" s="33"/>
    </row>
    <row r="842" spans="1:12" s="1" customFormat="1" ht="30" customHeight="1" x14ac:dyDescent="0.25">
      <c r="A842" s="11" t="s">
        <v>0</v>
      </c>
      <c r="B842" s="10"/>
      <c r="C842" s="11" t="s">
        <v>1</v>
      </c>
      <c r="D842" s="10"/>
      <c r="E842" s="3"/>
      <c r="F842" s="11" t="s">
        <v>0</v>
      </c>
      <c r="G842" s="10"/>
      <c r="H842" s="11" t="s">
        <v>1</v>
      </c>
      <c r="I842" s="10"/>
    </row>
    <row r="843" spans="1:12" s="1" customFormat="1" ht="30" customHeight="1" x14ac:dyDescent="0.25">
      <c r="A843" s="11" t="s">
        <v>2</v>
      </c>
      <c r="B843" s="10"/>
      <c r="C843" s="11" t="s">
        <v>5</v>
      </c>
      <c r="D843" s="7" t="s">
        <v>83</v>
      </c>
      <c r="E843" s="4"/>
      <c r="F843" s="11" t="s">
        <v>2</v>
      </c>
      <c r="G843" s="10"/>
      <c r="H843" s="11" t="s">
        <v>5</v>
      </c>
      <c r="I843" s="7" t="str">
        <f>D843</f>
        <v>18B</v>
      </c>
    </row>
    <row r="844" spans="1:12" s="1" customFormat="1" ht="53.25" customHeight="1" x14ac:dyDescent="0.25">
      <c r="A844" s="8" t="s">
        <v>3</v>
      </c>
      <c r="B844" s="9">
        <v>121</v>
      </c>
      <c r="C844" s="11" t="s">
        <v>6</v>
      </c>
      <c r="D844" s="7" t="s">
        <v>84</v>
      </c>
      <c r="E844" s="4"/>
      <c r="F844" s="8" t="s">
        <v>3</v>
      </c>
      <c r="G844" s="9">
        <v>271</v>
      </c>
      <c r="H844" s="11" t="s">
        <v>6</v>
      </c>
      <c r="I844" s="7" t="str">
        <f>D844</f>
        <v>DEO-B06</v>
      </c>
      <c r="K844" s="6" t="s">
        <v>8</v>
      </c>
      <c r="L844" s="6" t="s">
        <v>7</v>
      </c>
    </row>
    <row r="845" spans="1:12" s="1" customFormat="1" ht="30" customHeight="1" x14ac:dyDescent="0.25">
      <c r="A845" s="34" t="s">
        <v>86</v>
      </c>
      <c r="B845" s="35"/>
      <c r="C845" s="35"/>
      <c r="D845" s="36"/>
      <c r="E845" s="5"/>
      <c r="F845" s="34" t="s">
        <v>86</v>
      </c>
      <c r="G845" s="35"/>
      <c r="H845" s="35"/>
      <c r="I845" s="36"/>
      <c r="K845" s="1">
        <v>165</v>
      </c>
      <c r="L845" s="1">
        <v>20</v>
      </c>
    </row>
    <row r="846" spans="1:12" s="1" customFormat="1" ht="30" customHeight="1" x14ac:dyDescent="0.25">
      <c r="A846" s="43" t="s">
        <v>85</v>
      </c>
      <c r="B846" s="44"/>
      <c r="C846" s="41" t="s">
        <v>81</v>
      </c>
      <c r="D846" s="42"/>
      <c r="E846" s="4"/>
      <c r="F846" s="43" t="str">
        <f>A846</f>
        <v>KW621</v>
      </c>
      <c r="G846" s="44"/>
      <c r="H846" s="41" t="str">
        <f>C846</f>
        <v>Green</v>
      </c>
      <c r="I846" s="42"/>
    </row>
    <row r="847" spans="1:12" s="1" customFormat="1" ht="30" customHeight="1" x14ac:dyDescent="0.25">
      <c r="A847" s="12" t="s">
        <v>4</v>
      </c>
      <c r="B847" s="37">
        <v>27087</v>
      </c>
      <c r="C847" s="37"/>
      <c r="D847" s="38"/>
      <c r="E847" s="4"/>
      <c r="F847" s="12" t="s">
        <v>4</v>
      </c>
      <c r="G847" s="37">
        <f>B847</f>
        <v>27087</v>
      </c>
      <c r="H847" s="37"/>
      <c r="I847" s="38"/>
    </row>
    <row r="848" spans="1:12" ht="63.75" customHeight="1" x14ac:dyDescent="0.25">
      <c r="A848" s="33" t="s">
        <v>82</v>
      </c>
      <c r="B848" s="33"/>
      <c r="C848" s="33"/>
      <c r="D848" s="33"/>
      <c r="E848" s="2"/>
      <c r="F848" s="33" t="str">
        <f>A848</f>
        <v>Tall DEO - Barrel</v>
      </c>
      <c r="G848" s="33"/>
      <c r="H848" s="33"/>
      <c r="I848" s="33"/>
    </row>
    <row r="849" spans="1:12" s="1" customFormat="1" ht="30" customHeight="1" x14ac:dyDescent="0.25">
      <c r="A849" s="11" t="s">
        <v>0</v>
      </c>
      <c r="B849" s="10"/>
      <c r="C849" s="11" t="s">
        <v>1</v>
      </c>
      <c r="D849" s="10"/>
      <c r="E849" s="3"/>
      <c r="F849" s="11" t="s">
        <v>0</v>
      </c>
      <c r="G849" s="10"/>
      <c r="H849" s="11" t="s">
        <v>1</v>
      </c>
      <c r="I849" s="10"/>
    </row>
    <row r="850" spans="1:12" s="1" customFormat="1" ht="30" customHeight="1" x14ac:dyDescent="0.25">
      <c r="A850" s="11" t="s">
        <v>2</v>
      </c>
      <c r="B850" s="10"/>
      <c r="C850" s="11" t="s">
        <v>5</v>
      </c>
      <c r="D850" s="7" t="s">
        <v>83</v>
      </c>
      <c r="E850" s="4"/>
      <c r="F850" s="11" t="s">
        <v>2</v>
      </c>
      <c r="G850" s="10"/>
      <c r="H850" s="11" t="s">
        <v>5</v>
      </c>
      <c r="I850" s="7" t="str">
        <f>D850</f>
        <v>18B</v>
      </c>
    </row>
    <row r="851" spans="1:12" s="1" customFormat="1" ht="53.25" customHeight="1" x14ac:dyDescent="0.25">
      <c r="A851" s="8" t="s">
        <v>3</v>
      </c>
      <c r="B851" s="9">
        <v>122</v>
      </c>
      <c r="C851" s="11" t="s">
        <v>6</v>
      </c>
      <c r="D851" s="7" t="s">
        <v>84</v>
      </c>
      <c r="E851" s="4"/>
      <c r="F851" s="8" t="s">
        <v>3</v>
      </c>
      <c r="G851" s="9">
        <v>272</v>
      </c>
      <c r="H851" s="11" t="s">
        <v>6</v>
      </c>
      <c r="I851" s="7" t="str">
        <f>D851</f>
        <v>DEO-B06</v>
      </c>
      <c r="K851" s="6" t="s">
        <v>8</v>
      </c>
      <c r="L851" s="6" t="s">
        <v>7</v>
      </c>
    </row>
    <row r="852" spans="1:12" s="1" customFormat="1" ht="30" customHeight="1" x14ac:dyDescent="0.25">
      <c r="A852" s="34" t="s">
        <v>86</v>
      </c>
      <c r="B852" s="35"/>
      <c r="C852" s="35"/>
      <c r="D852" s="36"/>
      <c r="E852" s="5"/>
      <c r="F852" s="34" t="s">
        <v>86</v>
      </c>
      <c r="G852" s="35"/>
      <c r="H852" s="35"/>
      <c r="I852" s="36"/>
      <c r="K852" s="1">
        <v>165</v>
      </c>
      <c r="L852" s="1">
        <v>20</v>
      </c>
    </row>
    <row r="853" spans="1:12" s="1" customFormat="1" ht="30" customHeight="1" x14ac:dyDescent="0.25">
      <c r="A853" s="43" t="s">
        <v>85</v>
      </c>
      <c r="B853" s="44"/>
      <c r="C853" s="41" t="s">
        <v>81</v>
      </c>
      <c r="D853" s="42"/>
      <c r="E853" s="4"/>
      <c r="F853" s="43" t="str">
        <f>A853</f>
        <v>KW621</v>
      </c>
      <c r="G853" s="44"/>
      <c r="H853" s="41" t="str">
        <f>C853</f>
        <v>Green</v>
      </c>
      <c r="I853" s="42"/>
    </row>
    <row r="854" spans="1:12" s="1" customFormat="1" ht="30" customHeight="1" x14ac:dyDescent="0.25">
      <c r="A854" s="12" t="s">
        <v>4</v>
      </c>
      <c r="B854" s="37">
        <v>27087</v>
      </c>
      <c r="C854" s="37"/>
      <c r="D854" s="38"/>
      <c r="E854" s="4"/>
      <c r="F854" s="12" t="s">
        <v>4</v>
      </c>
      <c r="G854" s="37">
        <f>B854</f>
        <v>27087</v>
      </c>
      <c r="H854" s="37"/>
      <c r="I854" s="38"/>
    </row>
    <row r="855" spans="1:12" ht="63.75" customHeight="1" x14ac:dyDescent="0.25">
      <c r="A855" s="33" t="s">
        <v>82</v>
      </c>
      <c r="B855" s="33"/>
      <c r="C855" s="33"/>
      <c r="D855" s="33"/>
      <c r="E855" s="2"/>
      <c r="F855" s="33" t="str">
        <f>A855</f>
        <v>Tall DEO - Barrel</v>
      </c>
      <c r="G855" s="33"/>
      <c r="H855" s="33"/>
      <c r="I855" s="33"/>
    </row>
    <row r="856" spans="1:12" s="1" customFormat="1" ht="30" customHeight="1" x14ac:dyDescent="0.25">
      <c r="A856" s="11" t="s">
        <v>0</v>
      </c>
      <c r="B856" s="10"/>
      <c r="C856" s="11" t="s">
        <v>1</v>
      </c>
      <c r="D856" s="10"/>
      <c r="E856" s="3"/>
      <c r="F856" s="11" t="s">
        <v>0</v>
      </c>
      <c r="G856" s="10"/>
      <c r="H856" s="11" t="s">
        <v>1</v>
      </c>
      <c r="I856" s="10"/>
    </row>
    <row r="857" spans="1:12" s="1" customFormat="1" ht="30" customHeight="1" x14ac:dyDescent="0.25">
      <c r="A857" s="11" t="s">
        <v>2</v>
      </c>
      <c r="B857" s="10"/>
      <c r="C857" s="11" t="s">
        <v>5</v>
      </c>
      <c r="D857" s="7" t="s">
        <v>83</v>
      </c>
      <c r="E857" s="4"/>
      <c r="F857" s="11" t="s">
        <v>2</v>
      </c>
      <c r="G857" s="10"/>
      <c r="H857" s="11" t="s">
        <v>5</v>
      </c>
      <c r="I857" s="7" t="str">
        <f>D857</f>
        <v>18B</v>
      </c>
    </row>
    <row r="858" spans="1:12" s="1" customFormat="1" ht="53.25" customHeight="1" x14ac:dyDescent="0.25">
      <c r="A858" s="8" t="s">
        <v>3</v>
      </c>
      <c r="B858" s="9">
        <v>123</v>
      </c>
      <c r="C858" s="11" t="s">
        <v>6</v>
      </c>
      <c r="D858" s="7" t="s">
        <v>84</v>
      </c>
      <c r="E858" s="4"/>
      <c r="F858" s="8" t="s">
        <v>3</v>
      </c>
      <c r="G858" s="9">
        <v>273</v>
      </c>
      <c r="H858" s="11" t="s">
        <v>6</v>
      </c>
      <c r="I858" s="7" t="str">
        <f>D858</f>
        <v>DEO-B06</v>
      </c>
      <c r="K858" s="6" t="s">
        <v>8</v>
      </c>
      <c r="L858" s="6" t="s">
        <v>7</v>
      </c>
    </row>
    <row r="859" spans="1:12" s="1" customFormat="1" ht="30" customHeight="1" x14ac:dyDescent="0.25">
      <c r="A859" s="34" t="s">
        <v>86</v>
      </c>
      <c r="B859" s="35"/>
      <c r="C859" s="35"/>
      <c r="D859" s="36"/>
      <c r="E859" s="5"/>
      <c r="F859" s="34" t="s">
        <v>86</v>
      </c>
      <c r="G859" s="35"/>
      <c r="H859" s="35"/>
      <c r="I859" s="36"/>
      <c r="K859" s="1">
        <v>165</v>
      </c>
      <c r="L859" s="1">
        <v>20</v>
      </c>
    </row>
    <row r="860" spans="1:12" s="1" customFormat="1" ht="30" customHeight="1" x14ac:dyDescent="0.25">
      <c r="A860" s="43" t="s">
        <v>85</v>
      </c>
      <c r="B860" s="44"/>
      <c r="C860" s="41" t="s">
        <v>81</v>
      </c>
      <c r="D860" s="42"/>
      <c r="E860" s="4"/>
      <c r="F860" s="43" t="str">
        <f>A860</f>
        <v>KW621</v>
      </c>
      <c r="G860" s="44"/>
      <c r="H860" s="41" t="str">
        <f>C860</f>
        <v>Green</v>
      </c>
      <c r="I860" s="42"/>
    </row>
    <row r="861" spans="1:12" s="1" customFormat="1" ht="30" customHeight="1" x14ac:dyDescent="0.25">
      <c r="A861" s="12" t="s">
        <v>4</v>
      </c>
      <c r="B861" s="37">
        <v>27087</v>
      </c>
      <c r="C861" s="37"/>
      <c r="D861" s="38"/>
      <c r="E861" s="4"/>
      <c r="F861" s="12" t="s">
        <v>4</v>
      </c>
      <c r="G861" s="37">
        <f>B861</f>
        <v>27087</v>
      </c>
      <c r="H861" s="37"/>
      <c r="I861" s="38"/>
    </row>
    <row r="862" spans="1:12" ht="63.75" customHeight="1" x14ac:dyDescent="0.25">
      <c r="A862" s="33" t="s">
        <v>82</v>
      </c>
      <c r="B862" s="33"/>
      <c r="C862" s="33"/>
      <c r="D862" s="33"/>
      <c r="E862" s="2"/>
      <c r="F862" s="33" t="str">
        <f>A862</f>
        <v>Tall DEO - Barrel</v>
      </c>
      <c r="G862" s="33"/>
      <c r="H862" s="33"/>
      <c r="I862" s="33"/>
    </row>
    <row r="863" spans="1:12" s="1" customFormat="1" ht="30" customHeight="1" x14ac:dyDescent="0.25">
      <c r="A863" s="11" t="s">
        <v>0</v>
      </c>
      <c r="B863" s="10"/>
      <c r="C863" s="11" t="s">
        <v>1</v>
      </c>
      <c r="D863" s="10"/>
      <c r="E863" s="3"/>
      <c r="F863" s="11" t="s">
        <v>0</v>
      </c>
      <c r="G863" s="10"/>
      <c r="H863" s="11" t="s">
        <v>1</v>
      </c>
      <c r="I863" s="10"/>
    </row>
    <row r="864" spans="1:12" s="1" customFormat="1" ht="30" customHeight="1" x14ac:dyDescent="0.25">
      <c r="A864" s="11" t="s">
        <v>2</v>
      </c>
      <c r="B864" s="10"/>
      <c r="C864" s="11" t="s">
        <v>5</v>
      </c>
      <c r="D864" s="7" t="s">
        <v>83</v>
      </c>
      <c r="E864" s="4"/>
      <c r="F864" s="11" t="s">
        <v>2</v>
      </c>
      <c r="G864" s="10"/>
      <c r="H864" s="11" t="s">
        <v>5</v>
      </c>
      <c r="I864" s="7" t="str">
        <f>D864</f>
        <v>18B</v>
      </c>
    </row>
    <row r="865" spans="1:12" s="1" customFormat="1" ht="53.25" customHeight="1" x14ac:dyDescent="0.25">
      <c r="A865" s="8" t="s">
        <v>3</v>
      </c>
      <c r="B865" s="9">
        <v>124</v>
      </c>
      <c r="C865" s="11" t="s">
        <v>6</v>
      </c>
      <c r="D865" s="7" t="s">
        <v>84</v>
      </c>
      <c r="E865" s="4"/>
      <c r="F865" s="8" t="s">
        <v>3</v>
      </c>
      <c r="G865" s="9">
        <v>274</v>
      </c>
      <c r="H865" s="11" t="s">
        <v>6</v>
      </c>
      <c r="I865" s="7" t="str">
        <f>D865</f>
        <v>DEO-B06</v>
      </c>
      <c r="K865" s="6" t="s">
        <v>8</v>
      </c>
      <c r="L865" s="6" t="s">
        <v>7</v>
      </c>
    </row>
    <row r="866" spans="1:12" s="1" customFormat="1" ht="30" customHeight="1" x14ac:dyDescent="0.25">
      <c r="A866" s="34" t="s">
        <v>86</v>
      </c>
      <c r="B866" s="35"/>
      <c r="C866" s="35"/>
      <c r="D866" s="36"/>
      <c r="E866" s="5"/>
      <c r="F866" s="34" t="s">
        <v>86</v>
      </c>
      <c r="G866" s="35"/>
      <c r="H866" s="35"/>
      <c r="I866" s="36"/>
      <c r="K866" s="1">
        <v>165</v>
      </c>
      <c r="L866" s="1">
        <v>20</v>
      </c>
    </row>
    <row r="867" spans="1:12" s="1" customFormat="1" ht="30" customHeight="1" x14ac:dyDescent="0.25">
      <c r="A867" s="43" t="s">
        <v>85</v>
      </c>
      <c r="B867" s="44"/>
      <c r="C867" s="41" t="s">
        <v>81</v>
      </c>
      <c r="D867" s="42"/>
      <c r="E867" s="4"/>
      <c r="F867" s="43" t="str">
        <f>A867</f>
        <v>KW621</v>
      </c>
      <c r="G867" s="44"/>
      <c r="H867" s="41" t="str">
        <f>C867</f>
        <v>Green</v>
      </c>
      <c r="I867" s="42"/>
    </row>
    <row r="868" spans="1:12" s="1" customFormat="1" ht="30" customHeight="1" x14ac:dyDescent="0.25">
      <c r="A868" s="12" t="s">
        <v>4</v>
      </c>
      <c r="B868" s="37">
        <v>27087</v>
      </c>
      <c r="C868" s="37"/>
      <c r="D868" s="38"/>
      <c r="E868" s="4"/>
      <c r="F868" s="12" t="s">
        <v>4</v>
      </c>
      <c r="G868" s="37">
        <f>B868</f>
        <v>27087</v>
      </c>
      <c r="H868" s="37"/>
      <c r="I868" s="38"/>
    </row>
    <row r="869" spans="1:12" ht="63.75" customHeight="1" x14ac:dyDescent="0.25">
      <c r="A869" s="33" t="s">
        <v>82</v>
      </c>
      <c r="B869" s="33"/>
      <c r="C869" s="33"/>
      <c r="D869" s="33"/>
      <c r="E869" s="2"/>
      <c r="F869" s="33" t="str">
        <f>A869</f>
        <v>Tall DEO - Barrel</v>
      </c>
      <c r="G869" s="33"/>
      <c r="H869" s="33"/>
      <c r="I869" s="33"/>
    </row>
    <row r="870" spans="1:12" s="1" customFormat="1" ht="30" customHeight="1" x14ac:dyDescent="0.25">
      <c r="A870" s="11" t="s">
        <v>0</v>
      </c>
      <c r="B870" s="10"/>
      <c r="C870" s="11" t="s">
        <v>1</v>
      </c>
      <c r="D870" s="10"/>
      <c r="E870" s="3"/>
      <c r="F870" s="11" t="s">
        <v>0</v>
      </c>
      <c r="G870" s="10"/>
      <c r="H870" s="11" t="s">
        <v>1</v>
      </c>
      <c r="I870" s="10"/>
    </row>
    <row r="871" spans="1:12" s="1" customFormat="1" ht="30" customHeight="1" x14ac:dyDescent="0.25">
      <c r="A871" s="11" t="s">
        <v>2</v>
      </c>
      <c r="B871" s="10"/>
      <c r="C871" s="11" t="s">
        <v>5</v>
      </c>
      <c r="D871" s="7" t="s">
        <v>83</v>
      </c>
      <c r="E871" s="4"/>
      <c r="F871" s="11" t="s">
        <v>2</v>
      </c>
      <c r="G871" s="10"/>
      <c r="H871" s="11" t="s">
        <v>5</v>
      </c>
      <c r="I871" s="7" t="str">
        <f>D871</f>
        <v>18B</v>
      </c>
    </row>
    <row r="872" spans="1:12" s="1" customFormat="1" ht="53.25" customHeight="1" x14ac:dyDescent="0.25">
      <c r="A872" s="8" t="s">
        <v>3</v>
      </c>
      <c r="B872" s="9">
        <v>125</v>
      </c>
      <c r="C872" s="11" t="s">
        <v>6</v>
      </c>
      <c r="D872" s="7" t="s">
        <v>84</v>
      </c>
      <c r="E872" s="4"/>
      <c r="F872" s="8" t="s">
        <v>3</v>
      </c>
      <c r="G872" s="9">
        <v>275</v>
      </c>
      <c r="H872" s="11" t="s">
        <v>6</v>
      </c>
      <c r="I872" s="7" t="str">
        <f>D872</f>
        <v>DEO-B06</v>
      </c>
      <c r="K872" s="6" t="s">
        <v>8</v>
      </c>
      <c r="L872" s="6" t="s">
        <v>7</v>
      </c>
    </row>
    <row r="873" spans="1:12" s="1" customFormat="1" ht="30" customHeight="1" x14ac:dyDescent="0.25">
      <c r="A873" s="34" t="s">
        <v>86</v>
      </c>
      <c r="B873" s="35"/>
      <c r="C873" s="35"/>
      <c r="D873" s="36"/>
      <c r="E873" s="5"/>
      <c r="F873" s="34" t="s">
        <v>86</v>
      </c>
      <c r="G873" s="35"/>
      <c r="H873" s="35"/>
      <c r="I873" s="36"/>
      <c r="K873" s="1">
        <v>165</v>
      </c>
      <c r="L873" s="1">
        <v>20</v>
      </c>
    </row>
    <row r="874" spans="1:12" s="1" customFormat="1" ht="30" customHeight="1" x14ac:dyDescent="0.25">
      <c r="A874" s="43" t="s">
        <v>85</v>
      </c>
      <c r="B874" s="44"/>
      <c r="C874" s="41" t="s">
        <v>81</v>
      </c>
      <c r="D874" s="42"/>
      <c r="E874" s="4"/>
      <c r="F874" s="43" t="str">
        <f>A874</f>
        <v>KW621</v>
      </c>
      <c r="G874" s="44"/>
      <c r="H874" s="41" t="str">
        <f>C874</f>
        <v>Green</v>
      </c>
      <c r="I874" s="42"/>
    </row>
    <row r="875" spans="1:12" s="1" customFormat="1" ht="30" customHeight="1" x14ac:dyDescent="0.25">
      <c r="A875" s="12" t="s">
        <v>4</v>
      </c>
      <c r="B875" s="37">
        <v>27087</v>
      </c>
      <c r="C875" s="37"/>
      <c r="D875" s="38"/>
      <c r="E875" s="4"/>
      <c r="F875" s="12" t="s">
        <v>4</v>
      </c>
      <c r="G875" s="37">
        <f>B875</f>
        <v>27087</v>
      </c>
      <c r="H875" s="37"/>
      <c r="I875" s="38"/>
    </row>
    <row r="876" spans="1:12" ht="63.75" customHeight="1" x14ac:dyDescent="0.25">
      <c r="A876" s="33" t="s">
        <v>82</v>
      </c>
      <c r="B876" s="33"/>
      <c r="C876" s="33"/>
      <c r="D876" s="33"/>
      <c r="E876" s="2"/>
      <c r="F876" s="33" t="str">
        <f>A876</f>
        <v>Tall DEO - Barrel</v>
      </c>
      <c r="G876" s="33"/>
      <c r="H876" s="33"/>
      <c r="I876" s="33"/>
    </row>
    <row r="877" spans="1:12" s="1" customFormat="1" ht="30" customHeight="1" x14ac:dyDescent="0.25">
      <c r="A877" s="11" t="s">
        <v>0</v>
      </c>
      <c r="B877" s="10"/>
      <c r="C877" s="11" t="s">
        <v>1</v>
      </c>
      <c r="D877" s="10"/>
      <c r="E877" s="3"/>
      <c r="F877" s="11" t="s">
        <v>0</v>
      </c>
      <c r="G877" s="10"/>
      <c r="H877" s="11" t="s">
        <v>1</v>
      </c>
      <c r="I877" s="10"/>
    </row>
    <row r="878" spans="1:12" s="1" customFormat="1" ht="30" customHeight="1" x14ac:dyDescent="0.25">
      <c r="A878" s="11" t="s">
        <v>2</v>
      </c>
      <c r="B878" s="10"/>
      <c r="C878" s="11" t="s">
        <v>5</v>
      </c>
      <c r="D878" s="7" t="s">
        <v>83</v>
      </c>
      <c r="E878" s="4"/>
      <c r="F878" s="11" t="s">
        <v>2</v>
      </c>
      <c r="G878" s="10"/>
      <c r="H878" s="11" t="s">
        <v>5</v>
      </c>
      <c r="I878" s="7" t="str">
        <f>D878</f>
        <v>18B</v>
      </c>
    </row>
    <row r="879" spans="1:12" s="1" customFormat="1" ht="53.25" customHeight="1" x14ac:dyDescent="0.25">
      <c r="A879" s="8" t="s">
        <v>3</v>
      </c>
      <c r="B879" s="9">
        <v>126</v>
      </c>
      <c r="C879" s="11" t="s">
        <v>6</v>
      </c>
      <c r="D879" s="7" t="s">
        <v>84</v>
      </c>
      <c r="E879" s="4"/>
      <c r="F879" s="8" t="s">
        <v>3</v>
      </c>
      <c r="G879" s="9">
        <v>276</v>
      </c>
      <c r="H879" s="11" t="s">
        <v>6</v>
      </c>
      <c r="I879" s="7" t="str">
        <f>D879</f>
        <v>DEO-B06</v>
      </c>
      <c r="K879" s="6" t="s">
        <v>8</v>
      </c>
      <c r="L879" s="6" t="s">
        <v>7</v>
      </c>
    </row>
    <row r="880" spans="1:12" s="1" customFormat="1" ht="30" customHeight="1" x14ac:dyDescent="0.25">
      <c r="A880" s="34" t="s">
        <v>86</v>
      </c>
      <c r="B880" s="35"/>
      <c r="C880" s="35"/>
      <c r="D880" s="36"/>
      <c r="E880" s="5"/>
      <c r="F880" s="34" t="s">
        <v>86</v>
      </c>
      <c r="G880" s="35"/>
      <c r="H880" s="35"/>
      <c r="I880" s="36"/>
      <c r="K880" s="1">
        <v>165</v>
      </c>
      <c r="L880" s="1">
        <v>20</v>
      </c>
    </row>
    <row r="881" spans="1:12" s="1" customFormat="1" ht="30" customHeight="1" x14ac:dyDescent="0.25">
      <c r="A881" s="43" t="s">
        <v>85</v>
      </c>
      <c r="B881" s="44"/>
      <c r="C881" s="41" t="s">
        <v>81</v>
      </c>
      <c r="D881" s="42"/>
      <c r="E881" s="4"/>
      <c r="F881" s="43" t="str">
        <f>A881</f>
        <v>KW621</v>
      </c>
      <c r="G881" s="44"/>
      <c r="H881" s="41" t="str">
        <f>C881</f>
        <v>Green</v>
      </c>
      <c r="I881" s="42"/>
    </row>
    <row r="882" spans="1:12" s="1" customFormat="1" ht="30" customHeight="1" x14ac:dyDescent="0.25">
      <c r="A882" s="12" t="s">
        <v>4</v>
      </c>
      <c r="B882" s="37">
        <v>27087</v>
      </c>
      <c r="C882" s="37"/>
      <c r="D882" s="38"/>
      <c r="E882" s="4"/>
      <c r="F882" s="12" t="s">
        <v>4</v>
      </c>
      <c r="G882" s="37">
        <f>B882</f>
        <v>27087</v>
      </c>
      <c r="H882" s="37"/>
      <c r="I882" s="38"/>
    </row>
    <row r="883" spans="1:12" ht="63.75" customHeight="1" x14ac:dyDescent="0.25">
      <c r="A883" s="33" t="s">
        <v>82</v>
      </c>
      <c r="B883" s="33"/>
      <c r="C883" s="33"/>
      <c r="D883" s="33"/>
      <c r="E883" s="2"/>
      <c r="F883" s="33" t="str">
        <f>A883</f>
        <v>Tall DEO - Barrel</v>
      </c>
      <c r="G883" s="33"/>
      <c r="H883" s="33"/>
      <c r="I883" s="33"/>
    </row>
    <row r="884" spans="1:12" s="1" customFormat="1" ht="30" customHeight="1" x14ac:dyDescent="0.25">
      <c r="A884" s="11" t="s">
        <v>0</v>
      </c>
      <c r="B884" s="10"/>
      <c r="C884" s="11" t="s">
        <v>1</v>
      </c>
      <c r="D884" s="10"/>
      <c r="E884" s="3"/>
      <c r="F884" s="11" t="s">
        <v>0</v>
      </c>
      <c r="G884" s="10"/>
      <c r="H884" s="11" t="s">
        <v>1</v>
      </c>
      <c r="I884" s="10"/>
    </row>
    <row r="885" spans="1:12" s="1" customFormat="1" ht="30" customHeight="1" x14ac:dyDescent="0.25">
      <c r="A885" s="11" t="s">
        <v>2</v>
      </c>
      <c r="B885" s="10"/>
      <c r="C885" s="11" t="s">
        <v>5</v>
      </c>
      <c r="D885" s="7" t="s">
        <v>83</v>
      </c>
      <c r="E885" s="4"/>
      <c r="F885" s="11" t="s">
        <v>2</v>
      </c>
      <c r="G885" s="10"/>
      <c r="H885" s="11" t="s">
        <v>5</v>
      </c>
      <c r="I885" s="7" t="str">
        <f>D885</f>
        <v>18B</v>
      </c>
    </row>
    <row r="886" spans="1:12" s="1" customFormat="1" ht="53.25" customHeight="1" x14ac:dyDescent="0.25">
      <c r="A886" s="8" t="s">
        <v>3</v>
      </c>
      <c r="B886" s="9">
        <v>127</v>
      </c>
      <c r="C886" s="11" t="s">
        <v>6</v>
      </c>
      <c r="D886" s="7" t="s">
        <v>84</v>
      </c>
      <c r="E886" s="4"/>
      <c r="F886" s="8" t="s">
        <v>3</v>
      </c>
      <c r="G886" s="9">
        <v>277</v>
      </c>
      <c r="H886" s="11" t="s">
        <v>6</v>
      </c>
      <c r="I886" s="7" t="str">
        <f>D886</f>
        <v>DEO-B06</v>
      </c>
      <c r="K886" s="6" t="s">
        <v>8</v>
      </c>
      <c r="L886" s="6" t="s">
        <v>7</v>
      </c>
    </row>
    <row r="887" spans="1:12" s="1" customFormat="1" ht="30" customHeight="1" x14ac:dyDescent="0.25">
      <c r="A887" s="34" t="s">
        <v>86</v>
      </c>
      <c r="B887" s="35"/>
      <c r="C887" s="35"/>
      <c r="D887" s="36"/>
      <c r="E887" s="5"/>
      <c r="F887" s="34" t="s">
        <v>86</v>
      </c>
      <c r="G887" s="35"/>
      <c r="H887" s="35"/>
      <c r="I887" s="36"/>
      <c r="K887" s="1">
        <v>165</v>
      </c>
      <c r="L887" s="1">
        <v>20</v>
      </c>
    </row>
    <row r="888" spans="1:12" s="1" customFormat="1" ht="30" customHeight="1" x14ac:dyDescent="0.25">
      <c r="A888" s="43" t="s">
        <v>85</v>
      </c>
      <c r="B888" s="44"/>
      <c r="C888" s="41" t="s">
        <v>81</v>
      </c>
      <c r="D888" s="42"/>
      <c r="E888" s="4"/>
      <c r="F888" s="43" t="str">
        <f>A888</f>
        <v>KW621</v>
      </c>
      <c r="G888" s="44"/>
      <c r="H888" s="41" t="str">
        <f>C888</f>
        <v>Green</v>
      </c>
      <c r="I888" s="42"/>
    </row>
    <row r="889" spans="1:12" s="1" customFormat="1" ht="30" customHeight="1" x14ac:dyDescent="0.25">
      <c r="A889" s="12" t="s">
        <v>4</v>
      </c>
      <c r="B889" s="37">
        <v>27087</v>
      </c>
      <c r="C889" s="37"/>
      <c r="D889" s="38"/>
      <c r="E889" s="4"/>
      <c r="F889" s="12" t="s">
        <v>4</v>
      </c>
      <c r="G889" s="37">
        <f>B889</f>
        <v>27087</v>
      </c>
      <c r="H889" s="37"/>
      <c r="I889" s="38"/>
    </row>
    <row r="890" spans="1:12" ht="63.75" customHeight="1" x14ac:dyDescent="0.25">
      <c r="A890" s="33" t="s">
        <v>82</v>
      </c>
      <c r="B890" s="33"/>
      <c r="C890" s="33"/>
      <c r="D890" s="33"/>
      <c r="E890" s="2"/>
      <c r="F890" s="33" t="str">
        <f>A890</f>
        <v>Tall DEO - Barrel</v>
      </c>
      <c r="G890" s="33"/>
      <c r="H890" s="33"/>
      <c r="I890" s="33"/>
    </row>
    <row r="891" spans="1:12" s="1" customFormat="1" ht="30" customHeight="1" x14ac:dyDescent="0.25">
      <c r="A891" s="11" t="s">
        <v>0</v>
      </c>
      <c r="B891" s="10"/>
      <c r="C891" s="11" t="s">
        <v>1</v>
      </c>
      <c r="D891" s="10"/>
      <c r="E891" s="3"/>
      <c r="F891" s="11" t="s">
        <v>0</v>
      </c>
      <c r="G891" s="10"/>
      <c r="H891" s="11" t="s">
        <v>1</v>
      </c>
      <c r="I891" s="10"/>
    </row>
    <row r="892" spans="1:12" s="1" customFormat="1" ht="30" customHeight="1" x14ac:dyDescent="0.25">
      <c r="A892" s="11" t="s">
        <v>2</v>
      </c>
      <c r="B892" s="10"/>
      <c r="C892" s="11" t="s">
        <v>5</v>
      </c>
      <c r="D892" s="7" t="s">
        <v>83</v>
      </c>
      <c r="E892" s="4"/>
      <c r="F892" s="11" t="s">
        <v>2</v>
      </c>
      <c r="G892" s="10"/>
      <c r="H892" s="11" t="s">
        <v>5</v>
      </c>
      <c r="I892" s="7" t="str">
        <f>D892</f>
        <v>18B</v>
      </c>
    </row>
    <row r="893" spans="1:12" s="1" customFormat="1" ht="53.25" customHeight="1" x14ac:dyDescent="0.25">
      <c r="A893" s="8" t="s">
        <v>3</v>
      </c>
      <c r="B893" s="9">
        <v>128</v>
      </c>
      <c r="C893" s="11" t="s">
        <v>6</v>
      </c>
      <c r="D893" s="7" t="s">
        <v>84</v>
      </c>
      <c r="E893" s="4"/>
      <c r="F893" s="8" t="s">
        <v>3</v>
      </c>
      <c r="G893" s="9">
        <v>278</v>
      </c>
      <c r="H893" s="11" t="s">
        <v>6</v>
      </c>
      <c r="I893" s="7" t="str">
        <f>D893</f>
        <v>DEO-B06</v>
      </c>
      <c r="K893" s="6" t="s">
        <v>8</v>
      </c>
      <c r="L893" s="6" t="s">
        <v>7</v>
      </c>
    </row>
    <row r="894" spans="1:12" s="1" customFormat="1" ht="30" customHeight="1" x14ac:dyDescent="0.25">
      <c r="A894" s="34" t="s">
        <v>86</v>
      </c>
      <c r="B894" s="35"/>
      <c r="C894" s="35"/>
      <c r="D894" s="36"/>
      <c r="E894" s="5"/>
      <c r="F894" s="34" t="s">
        <v>86</v>
      </c>
      <c r="G894" s="35"/>
      <c r="H894" s="35"/>
      <c r="I894" s="36"/>
      <c r="K894" s="1">
        <v>165</v>
      </c>
      <c r="L894" s="1">
        <v>20</v>
      </c>
    </row>
    <row r="895" spans="1:12" s="1" customFormat="1" ht="30" customHeight="1" x14ac:dyDescent="0.25">
      <c r="A895" s="43" t="s">
        <v>85</v>
      </c>
      <c r="B895" s="44"/>
      <c r="C895" s="41" t="s">
        <v>81</v>
      </c>
      <c r="D895" s="42"/>
      <c r="E895" s="4"/>
      <c r="F895" s="43" t="str">
        <f>A895</f>
        <v>KW621</v>
      </c>
      <c r="G895" s="44"/>
      <c r="H895" s="41" t="str">
        <f>C895</f>
        <v>Green</v>
      </c>
      <c r="I895" s="42"/>
    </row>
    <row r="896" spans="1:12" s="1" customFormat="1" ht="30" customHeight="1" x14ac:dyDescent="0.25">
      <c r="A896" s="12" t="s">
        <v>4</v>
      </c>
      <c r="B896" s="37">
        <v>27087</v>
      </c>
      <c r="C896" s="37"/>
      <c r="D896" s="38"/>
      <c r="E896" s="4"/>
      <c r="F896" s="12" t="s">
        <v>4</v>
      </c>
      <c r="G896" s="37">
        <f>B896</f>
        <v>27087</v>
      </c>
      <c r="H896" s="37"/>
      <c r="I896" s="38"/>
    </row>
    <row r="897" spans="1:12" ht="63.75" customHeight="1" x14ac:dyDescent="0.25">
      <c r="A897" s="33" t="s">
        <v>82</v>
      </c>
      <c r="B897" s="33"/>
      <c r="C897" s="33"/>
      <c r="D897" s="33"/>
      <c r="E897" s="2"/>
      <c r="F897" s="33" t="str">
        <f>A897</f>
        <v>Tall DEO - Barrel</v>
      </c>
      <c r="G897" s="33"/>
      <c r="H897" s="33"/>
      <c r="I897" s="33"/>
    </row>
    <row r="898" spans="1:12" s="1" customFormat="1" ht="30" customHeight="1" x14ac:dyDescent="0.25">
      <c r="A898" s="11" t="s">
        <v>0</v>
      </c>
      <c r="B898" s="10"/>
      <c r="C898" s="11" t="s">
        <v>1</v>
      </c>
      <c r="D898" s="10"/>
      <c r="E898" s="3"/>
      <c r="F898" s="11" t="s">
        <v>0</v>
      </c>
      <c r="G898" s="10"/>
      <c r="H898" s="11" t="s">
        <v>1</v>
      </c>
      <c r="I898" s="10"/>
    </row>
    <row r="899" spans="1:12" s="1" customFormat="1" ht="30" customHeight="1" x14ac:dyDescent="0.25">
      <c r="A899" s="11" t="s">
        <v>2</v>
      </c>
      <c r="B899" s="10"/>
      <c r="C899" s="11" t="s">
        <v>5</v>
      </c>
      <c r="D899" s="7" t="s">
        <v>83</v>
      </c>
      <c r="E899" s="4"/>
      <c r="F899" s="11" t="s">
        <v>2</v>
      </c>
      <c r="G899" s="10"/>
      <c r="H899" s="11" t="s">
        <v>5</v>
      </c>
      <c r="I899" s="7" t="str">
        <f>D899</f>
        <v>18B</v>
      </c>
    </row>
    <row r="900" spans="1:12" s="1" customFormat="1" ht="53.25" customHeight="1" x14ac:dyDescent="0.25">
      <c r="A900" s="8" t="s">
        <v>3</v>
      </c>
      <c r="B900" s="9">
        <v>129</v>
      </c>
      <c r="C900" s="11" t="s">
        <v>6</v>
      </c>
      <c r="D900" s="7" t="s">
        <v>84</v>
      </c>
      <c r="E900" s="4"/>
      <c r="F900" s="8" t="s">
        <v>3</v>
      </c>
      <c r="G900" s="9">
        <v>279</v>
      </c>
      <c r="H900" s="11" t="s">
        <v>6</v>
      </c>
      <c r="I900" s="7" t="str">
        <f>D900</f>
        <v>DEO-B06</v>
      </c>
      <c r="K900" s="6" t="s">
        <v>8</v>
      </c>
      <c r="L900" s="6" t="s">
        <v>7</v>
      </c>
    </row>
    <row r="901" spans="1:12" s="1" customFormat="1" ht="30" customHeight="1" x14ac:dyDescent="0.25">
      <c r="A901" s="34" t="s">
        <v>86</v>
      </c>
      <c r="B901" s="35"/>
      <c r="C901" s="35"/>
      <c r="D901" s="36"/>
      <c r="E901" s="5"/>
      <c r="F901" s="34" t="s">
        <v>86</v>
      </c>
      <c r="G901" s="35"/>
      <c r="H901" s="35"/>
      <c r="I901" s="36"/>
      <c r="K901" s="1">
        <v>165</v>
      </c>
      <c r="L901" s="1">
        <v>20</v>
      </c>
    </row>
    <row r="902" spans="1:12" s="1" customFormat="1" ht="30" customHeight="1" x14ac:dyDescent="0.25">
      <c r="A902" s="43" t="s">
        <v>85</v>
      </c>
      <c r="B902" s="44"/>
      <c r="C902" s="41" t="s">
        <v>81</v>
      </c>
      <c r="D902" s="42"/>
      <c r="E902" s="4"/>
      <c r="F902" s="43" t="str">
        <f>A902</f>
        <v>KW621</v>
      </c>
      <c r="G902" s="44"/>
      <c r="H902" s="41" t="str">
        <f>C902</f>
        <v>Green</v>
      </c>
      <c r="I902" s="42"/>
    </row>
    <row r="903" spans="1:12" s="1" customFormat="1" ht="30" customHeight="1" x14ac:dyDescent="0.25">
      <c r="A903" s="12" t="s">
        <v>4</v>
      </c>
      <c r="B903" s="37">
        <v>27087</v>
      </c>
      <c r="C903" s="37"/>
      <c r="D903" s="38"/>
      <c r="E903" s="4"/>
      <c r="F903" s="12" t="s">
        <v>4</v>
      </c>
      <c r="G903" s="37">
        <f>B903</f>
        <v>27087</v>
      </c>
      <c r="H903" s="37"/>
      <c r="I903" s="38"/>
    </row>
    <row r="904" spans="1:12" ht="63.75" customHeight="1" x14ac:dyDescent="0.25">
      <c r="A904" s="33" t="s">
        <v>82</v>
      </c>
      <c r="B904" s="33"/>
      <c r="C904" s="33"/>
      <c r="D904" s="33"/>
      <c r="E904" s="2"/>
      <c r="F904" s="33" t="str">
        <f>A904</f>
        <v>Tall DEO - Barrel</v>
      </c>
      <c r="G904" s="33"/>
      <c r="H904" s="33"/>
      <c r="I904" s="33"/>
    </row>
    <row r="905" spans="1:12" s="1" customFormat="1" ht="30" customHeight="1" x14ac:dyDescent="0.25">
      <c r="A905" s="11" t="s">
        <v>0</v>
      </c>
      <c r="B905" s="10"/>
      <c r="C905" s="11" t="s">
        <v>1</v>
      </c>
      <c r="D905" s="10"/>
      <c r="E905" s="3"/>
      <c r="F905" s="11" t="s">
        <v>0</v>
      </c>
      <c r="G905" s="10"/>
      <c r="H905" s="11" t="s">
        <v>1</v>
      </c>
      <c r="I905" s="10"/>
    </row>
    <row r="906" spans="1:12" s="1" customFormat="1" ht="30" customHeight="1" x14ac:dyDescent="0.25">
      <c r="A906" s="11" t="s">
        <v>2</v>
      </c>
      <c r="B906" s="10"/>
      <c r="C906" s="11" t="s">
        <v>5</v>
      </c>
      <c r="D906" s="7" t="s">
        <v>83</v>
      </c>
      <c r="E906" s="4"/>
      <c r="F906" s="11" t="s">
        <v>2</v>
      </c>
      <c r="G906" s="10"/>
      <c r="H906" s="11" t="s">
        <v>5</v>
      </c>
      <c r="I906" s="7" t="str">
        <f>D906</f>
        <v>18B</v>
      </c>
    </row>
    <row r="907" spans="1:12" s="1" customFormat="1" ht="53.25" customHeight="1" x14ac:dyDescent="0.25">
      <c r="A907" s="8" t="s">
        <v>3</v>
      </c>
      <c r="B907" s="9">
        <v>130</v>
      </c>
      <c r="C907" s="11" t="s">
        <v>6</v>
      </c>
      <c r="D907" s="7" t="s">
        <v>84</v>
      </c>
      <c r="E907" s="4"/>
      <c r="F907" s="8" t="s">
        <v>3</v>
      </c>
      <c r="G907" s="9">
        <v>280</v>
      </c>
      <c r="H907" s="11" t="s">
        <v>6</v>
      </c>
      <c r="I907" s="7" t="str">
        <f>D907</f>
        <v>DEO-B06</v>
      </c>
      <c r="K907" s="6" t="s">
        <v>8</v>
      </c>
      <c r="L907" s="6" t="s">
        <v>7</v>
      </c>
    </row>
    <row r="908" spans="1:12" s="1" customFormat="1" ht="30" customHeight="1" x14ac:dyDescent="0.25">
      <c r="A908" s="34" t="s">
        <v>86</v>
      </c>
      <c r="B908" s="35"/>
      <c r="C908" s="35"/>
      <c r="D908" s="36"/>
      <c r="E908" s="5"/>
      <c r="F908" s="34" t="s">
        <v>86</v>
      </c>
      <c r="G908" s="35"/>
      <c r="H908" s="35"/>
      <c r="I908" s="36"/>
      <c r="K908" s="1">
        <v>165</v>
      </c>
      <c r="L908" s="1">
        <v>20</v>
      </c>
    </row>
    <row r="909" spans="1:12" s="1" customFormat="1" ht="30" customHeight="1" x14ac:dyDescent="0.25">
      <c r="A909" s="43" t="s">
        <v>85</v>
      </c>
      <c r="B909" s="44"/>
      <c r="C909" s="41" t="s">
        <v>81</v>
      </c>
      <c r="D909" s="42"/>
      <c r="E909" s="4"/>
      <c r="F909" s="43" t="str">
        <f>A909</f>
        <v>KW621</v>
      </c>
      <c r="G909" s="44"/>
      <c r="H909" s="41" t="str">
        <f>C909</f>
        <v>Green</v>
      </c>
      <c r="I909" s="42"/>
    </row>
    <row r="910" spans="1:12" s="1" customFormat="1" ht="30" customHeight="1" x14ac:dyDescent="0.25">
      <c r="A910" s="12" t="s">
        <v>4</v>
      </c>
      <c r="B910" s="37">
        <v>27087</v>
      </c>
      <c r="C910" s="37"/>
      <c r="D910" s="38"/>
      <c r="E910" s="4"/>
      <c r="F910" s="12" t="s">
        <v>4</v>
      </c>
      <c r="G910" s="37">
        <f>B910</f>
        <v>27087</v>
      </c>
      <c r="H910" s="37"/>
      <c r="I910" s="38"/>
    </row>
    <row r="911" spans="1:12" ht="63.75" customHeight="1" x14ac:dyDescent="0.25">
      <c r="A911" s="33" t="s">
        <v>82</v>
      </c>
      <c r="B911" s="33"/>
      <c r="C911" s="33"/>
      <c r="D911" s="33"/>
      <c r="E911" s="2"/>
      <c r="F911" s="33" t="str">
        <f>A911</f>
        <v>Tall DEO - Barrel</v>
      </c>
      <c r="G911" s="33"/>
      <c r="H911" s="33"/>
      <c r="I911" s="33"/>
    </row>
    <row r="912" spans="1:12" s="1" customFormat="1" ht="30" customHeight="1" x14ac:dyDescent="0.25">
      <c r="A912" s="11" t="s">
        <v>0</v>
      </c>
      <c r="B912" s="10"/>
      <c r="C912" s="11" t="s">
        <v>1</v>
      </c>
      <c r="D912" s="10"/>
      <c r="E912" s="3"/>
      <c r="F912" s="11" t="s">
        <v>0</v>
      </c>
      <c r="G912" s="10"/>
      <c r="H912" s="11" t="s">
        <v>1</v>
      </c>
      <c r="I912" s="10"/>
    </row>
    <row r="913" spans="1:12" s="1" customFormat="1" ht="30" customHeight="1" x14ac:dyDescent="0.25">
      <c r="A913" s="11" t="s">
        <v>2</v>
      </c>
      <c r="B913" s="10"/>
      <c r="C913" s="11" t="s">
        <v>5</v>
      </c>
      <c r="D913" s="7" t="s">
        <v>83</v>
      </c>
      <c r="E913" s="4"/>
      <c r="F913" s="11" t="s">
        <v>2</v>
      </c>
      <c r="G913" s="10"/>
      <c r="H913" s="11" t="s">
        <v>5</v>
      </c>
      <c r="I913" s="7" t="str">
        <f>D913</f>
        <v>18B</v>
      </c>
    </row>
    <row r="914" spans="1:12" s="1" customFormat="1" ht="53.25" customHeight="1" x14ac:dyDescent="0.25">
      <c r="A914" s="8" t="s">
        <v>3</v>
      </c>
      <c r="B914" s="9">
        <v>131</v>
      </c>
      <c r="C914" s="11" t="s">
        <v>6</v>
      </c>
      <c r="D914" s="7" t="s">
        <v>84</v>
      </c>
      <c r="E914" s="4"/>
      <c r="F914" s="8" t="s">
        <v>3</v>
      </c>
      <c r="G914" s="9">
        <v>281</v>
      </c>
      <c r="H914" s="11" t="s">
        <v>6</v>
      </c>
      <c r="I914" s="7" t="str">
        <f>D914</f>
        <v>DEO-B06</v>
      </c>
      <c r="K914" s="6" t="s">
        <v>8</v>
      </c>
      <c r="L914" s="6" t="s">
        <v>7</v>
      </c>
    </row>
    <row r="915" spans="1:12" s="1" customFormat="1" ht="30" customHeight="1" x14ac:dyDescent="0.25">
      <c r="A915" s="34" t="s">
        <v>86</v>
      </c>
      <c r="B915" s="35"/>
      <c r="C915" s="35"/>
      <c r="D915" s="36"/>
      <c r="E915" s="5"/>
      <c r="F915" s="34" t="s">
        <v>86</v>
      </c>
      <c r="G915" s="35"/>
      <c r="H915" s="35"/>
      <c r="I915" s="36"/>
      <c r="K915" s="1">
        <v>165</v>
      </c>
      <c r="L915" s="1">
        <v>20</v>
      </c>
    </row>
    <row r="916" spans="1:12" s="1" customFormat="1" ht="30" customHeight="1" x14ac:dyDescent="0.25">
      <c r="A916" s="43" t="s">
        <v>85</v>
      </c>
      <c r="B916" s="44"/>
      <c r="C916" s="41" t="s">
        <v>81</v>
      </c>
      <c r="D916" s="42"/>
      <c r="E916" s="4"/>
      <c r="F916" s="43" t="str">
        <f>A916</f>
        <v>KW621</v>
      </c>
      <c r="G916" s="44"/>
      <c r="H916" s="41" t="str">
        <f>C916</f>
        <v>Green</v>
      </c>
      <c r="I916" s="42"/>
    </row>
    <row r="917" spans="1:12" s="1" customFormat="1" ht="30" customHeight="1" x14ac:dyDescent="0.25">
      <c r="A917" s="12" t="s">
        <v>4</v>
      </c>
      <c r="B917" s="37">
        <v>27087</v>
      </c>
      <c r="C917" s="37"/>
      <c r="D917" s="38"/>
      <c r="E917" s="4"/>
      <c r="F917" s="12" t="s">
        <v>4</v>
      </c>
      <c r="G917" s="37">
        <f>B917</f>
        <v>27087</v>
      </c>
      <c r="H917" s="37"/>
      <c r="I917" s="38"/>
    </row>
    <row r="918" spans="1:12" ht="63.75" customHeight="1" x14ac:dyDescent="0.25">
      <c r="A918" s="33" t="s">
        <v>82</v>
      </c>
      <c r="B918" s="33"/>
      <c r="C918" s="33"/>
      <c r="D918" s="33"/>
      <c r="E918" s="2"/>
      <c r="F918" s="33" t="str">
        <f>A918</f>
        <v>Tall DEO - Barrel</v>
      </c>
      <c r="G918" s="33"/>
      <c r="H918" s="33"/>
      <c r="I918" s="33"/>
    </row>
    <row r="919" spans="1:12" s="1" customFormat="1" ht="30" customHeight="1" x14ac:dyDescent="0.25">
      <c r="A919" s="11" t="s">
        <v>0</v>
      </c>
      <c r="B919" s="10"/>
      <c r="C919" s="11" t="s">
        <v>1</v>
      </c>
      <c r="D919" s="10"/>
      <c r="E919" s="3"/>
      <c r="F919" s="11" t="s">
        <v>0</v>
      </c>
      <c r="G919" s="10"/>
      <c r="H919" s="11" t="s">
        <v>1</v>
      </c>
      <c r="I919" s="10"/>
    </row>
    <row r="920" spans="1:12" s="1" customFormat="1" ht="30" customHeight="1" x14ac:dyDescent="0.25">
      <c r="A920" s="11" t="s">
        <v>2</v>
      </c>
      <c r="B920" s="10"/>
      <c r="C920" s="11" t="s">
        <v>5</v>
      </c>
      <c r="D920" s="7" t="s">
        <v>83</v>
      </c>
      <c r="E920" s="4"/>
      <c r="F920" s="11" t="s">
        <v>2</v>
      </c>
      <c r="G920" s="10"/>
      <c r="H920" s="11" t="s">
        <v>5</v>
      </c>
      <c r="I920" s="7" t="str">
        <f>D920</f>
        <v>18B</v>
      </c>
    </row>
    <row r="921" spans="1:12" s="1" customFormat="1" ht="53.25" customHeight="1" x14ac:dyDescent="0.25">
      <c r="A921" s="8" t="s">
        <v>3</v>
      </c>
      <c r="B921" s="9">
        <v>132</v>
      </c>
      <c r="C921" s="11" t="s">
        <v>6</v>
      </c>
      <c r="D921" s="7" t="s">
        <v>84</v>
      </c>
      <c r="E921" s="4"/>
      <c r="F921" s="8" t="s">
        <v>3</v>
      </c>
      <c r="G921" s="9">
        <v>282</v>
      </c>
      <c r="H921" s="11" t="s">
        <v>6</v>
      </c>
      <c r="I921" s="7" t="str">
        <f>D921</f>
        <v>DEO-B06</v>
      </c>
      <c r="K921" s="6" t="s">
        <v>8</v>
      </c>
      <c r="L921" s="6" t="s">
        <v>7</v>
      </c>
    </row>
    <row r="922" spans="1:12" s="1" customFormat="1" ht="30" customHeight="1" x14ac:dyDescent="0.25">
      <c r="A922" s="34" t="s">
        <v>86</v>
      </c>
      <c r="B922" s="35"/>
      <c r="C922" s="35"/>
      <c r="D922" s="36"/>
      <c r="E922" s="5"/>
      <c r="F922" s="34" t="s">
        <v>86</v>
      </c>
      <c r="G922" s="35"/>
      <c r="H922" s="35"/>
      <c r="I922" s="36"/>
      <c r="K922" s="1">
        <v>165</v>
      </c>
      <c r="L922" s="1">
        <v>20</v>
      </c>
    </row>
    <row r="923" spans="1:12" s="1" customFormat="1" ht="30" customHeight="1" x14ac:dyDescent="0.25">
      <c r="A923" s="43" t="s">
        <v>85</v>
      </c>
      <c r="B923" s="44"/>
      <c r="C923" s="41" t="s">
        <v>81</v>
      </c>
      <c r="D923" s="42"/>
      <c r="E923" s="4"/>
      <c r="F923" s="43" t="str">
        <f>A923</f>
        <v>KW621</v>
      </c>
      <c r="G923" s="44"/>
      <c r="H923" s="41" t="str">
        <f>C923</f>
        <v>Green</v>
      </c>
      <c r="I923" s="42"/>
    </row>
    <row r="924" spans="1:12" s="1" customFormat="1" ht="30" customHeight="1" x14ac:dyDescent="0.25">
      <c r="A924" s="12" t="s">
        <v>4</v>
      </c>
      <c r="B924" s="37">
        <v>27087</v>
      </c>
      <c r="C924" s="37"/>
      <c r="D924" s="38"/>
      <c r="E924" s="4"/>
      <c r="F924" s="12" t="s">
        <v>4</v>
      </c>
      <c r="G924" s="37">
        <f>B924</f>
        <v>27087</v>
      </c>
      <c r="H924" s="37"/>
      <c r="I924" s="38"/>
    </row>
    <row r="925" spans="1:12" ht="63.75" customHeight="1" x14ac:dyDescent="0.25">
      <c r="A925" s="33" t="s">
        <v>82</v>
      </c>
      <c r="B925" s="33"/>
      <c r="C925" s="33"/>
      <c r="D925" s="33"/>
      <c r="E925" s="2"/>
      <c r="F925" s="33" t="str">
        <f>A925</f>
        <v>Tall DEO - Barrel</v>
      </c>
      <c r="G925" s="33"/>
      <c r="H925" s="33"/>
      <c r="I925" s="33"/>
    </row>
    <row r="926" spans="1:12" s="1" customFormat="1" ht="30" customHeight="1" x14ac:dyDescent="0.25">
      <c r="A926" s="11" t="s">
        <v>0</v>
      </c>
      <c r="B926" s="10"/>
      <c r="C926" s="11" t="s">
        <v>1</v>
      </c>
      <c r="D926" s="10"/>
      <c r="E926" s="3"/>
      <c r="F926" s="11" t="s">
        <v>0</v>
      </c>
      <c r="G926" s="10"/>
      <c r="H926" s="11" t="s">
        <v>1</v>
      </c>
      <c r="I926" s="10"/>
    </row>
    <row r="927" spans="1:12" s="1" customFormat="1" ht="30" customHeight="1" x14ac:dyDescent="0.25">
      <c r="A927" s="11" t="s">
        <v>2</v>
      </c>
      <c r="B927" s="10"/>
      <c r="C927" s="11" t="s">
        <v>5</v>
      </c>
      <c r="D927" s="7" t="s">
        <v>83</v>
      </c>
      <c r="E927" s="4"/>
      <c r="F927" s="11" t="s">
        <v>2</v>
      </c>
      <c r="G927" s="10"/>
      <c r="H927" s="11" t="s">
        <v>5</v>
      </c>
      <c r="I927" s="7" t="str">
        <f>D927</f>
        <v>18B</v>
      </c>
    </row>
    <row r="928" spans="1:12" s="1" customFormat="1" ht="53.25" customHeight="1" x14ac:dyDescent="0.25">
      <c r="A928" s="8" t="s">
        <v>3</v>
      </c>
      <c r="B928" s="9">
        <v>133</v>
      </c>
      <c r="C928" s="11" t="s">
        <v>6</v>
      </c>
      <c r="D928" s="7" t="s">
        <v>84</v>
      </c>
      <c r="E928" s="4"/>
      <c r="F928" s="8" t="s">
        <v>3</v>
      </c>
      <c r="G928" s="9">
        <v>283</v>
      </c>
      <c r="H928" s="11" t="s">
        <v>6</v>
      </c>
      <c r="I928" s="7" t="str">
        <f>D928</f>
        <v>DEO-B06</v>
      </c>
      <c r="K928" s="6" t="s">
        <v>8</v>
      </c>
      <c r="L928" s="6" t="s">
        <v>7</v>
      </c>
    </row>
    <row r="929" spans="1:12" s="1" customFormat="1" ht="30" customHeight="1" x14ac:dyDescent="0.25">
      <c r="A929" s="34" t="s">
        <v>86</v>
      </c>
      <c r="B929" s="35"/>
      <c r="C929" s="35"/>
      <c r="D929" s="36"/>
      <c r="E929" s="5"/>
      <c r="F929" s="34" t="s">
        <v>86</v>
      </c>
      <c r="G929" s="35"/>
      <c r="H929" s="35"/>
      <c r="I929" s="36"/>
      <c r="K929" s="1">
        <v>165</v>
      </c>
      <c r="L929" s="1">
        <v>20</v>
      </c>
    </row>
    <row r="930" spans="1:12" s="1" customFormat="1" ht="30" customHeight="1" x14ac:dyDescent="0.25">
      <c r="A930" s="43" t="s">
        <v>85</v>
      </c>
      <c r="B930" s="44"/>
      <c r="C930" s="41" t="s">
        <v>81</v>
      </c>
      <c r="D930" s="42"/>
      <c r="E930" s="4"/>
      <c r="F930" s="43" t="str">
        <f>A930</f>
        <v>KW621</v>
      </c>
      <c r="G930" s="44"/>
      <c r="H930" s="41" t="str">
        <f>C930</f>
        <v>Green</v>
      </c>
      <c r="I930" s="42"/>
    </row>
    <row r="931" spans="1:12" s="1" customFormat="1" ht="30" customHeight="1" x14ac:dyDescent="0.25">
      <c r="A931" s="12" t="s">
        <v>4</v>
      </c>
      <c r="B931" s="37">
        <v>27087</v>
      </c>
      <c r="C931" s="37"/>
      <c r="D931" s="38"/>
      <c r="E931" s="4"/>
      <c r="F931" s="12" t="s">
        <v>4</v>
      </c>
      <c r="G931" s="37">
        <f>B931</f>
        <v>27087</v>
      </c>
      <c r="H931" s="37"/>
      <c r="I931" s="38"/>
    </row>
    <row r="932" spans="1:12" ht="63.75" customHeight="1" x14ac:dyDescent="0.25">
      <c r="A932" s="33" t="s">
        <v>82</v>
      </c>
      <c r="B932" s="33"/>
      <c r="C932" s="33"/>
      <c r="D932" s="33"/>
      <c r="E932" s="2"/>
      <c r="F932" s="33" t="str">
        <f>A932</f>
        <v>Tall DEO - Barrel</v>
      </c>
      <c r="G932" s="33"/>
      <c r="H932" s="33"/>
      <c r="I932" s="33"/>
    </row>
    <row r="933" spans="1:12" s="1" customFormat="1" ht="30" customHeight="1" x14ac:dyDescent="0.25">
      <c r="A933" s="11" t="s">
        <v>0</v>
      </c>
      <c r="B933" s="10"/>
      <c r="C933" s="11" t="s">
        <v>1</v>
      </c>
      <c r="D933" s="10"/>
      <c r="E933" s="3"/>
      <c r="F933" s="11" t="s">
        <v>0</v>
      </c>
      <c r="G933" s="10"/>
      <c r="H933" s="11" t="s">
        <v>1</v>
      </c>
      <c r="I933" s="10"/>
    </row>
    <row r="934" spans="1:12" s="1" customFormat="1" ht="30" customHeight="1" x14ac:dyDescent="0.25">
      <c r="A934" s="11" t="s">
        <v>2</v>
      </c>
      <c r="B934" s="10"/>
      <c r="C934" s="11" t="s">
        <v>5</v>
      </c>
      <c r="D934" s="7" t="s">
        <v>83</v>
      </c>
      <c r="E934" s="4"/>
      <c r="F934" s="11" t="s">
        <v>2</v>
      </c>
      <c r="G934" s="10"/>
      <c r="H934" s="11" t="s">
        <v>5</v>
      </c>
      <c r="I934" s="7" t="str">
        <f>D934</f>
        <v>18B</v>
      </c>
    </row>
    <row r="935" spans="1:12" s="1" customFormat="1" ht="53.25" customHeight="1" x14ac:dyDescent="0.25">
      <c r="A935" s="8" t="s">
        <v>3</v>
      </c>
      <c r="B935" s="9">
        <v>134</v>
      </c>
      <c r="C935" s="11" t="s">
        <v>6</v>
      </c>
      <c r="D935" s="7" t="s">
        <v>84</v>
      </c>
      <c r="E935" s="4"/>
      <c r="F935" s="8" t="s">
        <v>3</v>
      </c>
      <c r="G935" s="9">
        <v>284</v>
      </c>
      <c r="H935" s="11" t="s">
        <v>6</v>
      </c>
      <c r="I935" s="7" t="str">
        <f>D935</f>
        <v>DEO-B06</v>
      </c>
      <c r="K935" s="6" t="s">
        <v>8</v>
      </c>
      <c r="L935" s="6" t="s">
        <v>7</v>
      </c>
    </row>
    <row r="936" spans="1:12" s="1" customFormat="1" ht="30" customHeight="1" x14ac:dyDescent="0.25">
      <c r="A936" s="34" t="s">
        <v>86</v>
      </c>
      <c r="B936" s="35"/>
      <c r="C936" s="35"/>
      <c r="D936" s="36"/>
      <c r="E936" s="5"/>
      <c r="F936" s="34" t="s">
        <v>86</v>
      </c>
      <c r="G936" s="35"/>
      <c r="H936" s="35"/>
      <c r="I936" s="36"/>
      <c r="K936" s="1">
        <v>165</v>
      </c>
      <c r="L936" s="1">
        <v>20</v>
      </c>
    </row>
    <row r="937" spans="1:12" s="1" customFormat="1" ht="30" customHeight="1" x14ac:dyDescent="0.25">
      <c r="A937" s="43" t="s">
        <v>85</v>
      </c>
      <c r="B937" s="44"/>
      <c r="C937" s="41" t="s">
        <v>81</v>
      </c>
      <c r="D937" s="42"/>
      <c r="E937" s="4"/>
      <c r="F937" s="43" t="str">
        <f>A937</f>
        <v>KW621</v>
      </c>
      <c r="G937" s="44"/>
      <c r="H937" s="41" t="str">
        <f>C937</f>
        <v>Green</v>
      </c>
      <c r="I937" s="42"/>
    </row>
    <row r="938" spans="1:12" s="1" customFormat="1" ht="30" customHeight="1" x14ac:dyDescent="0.25">
      <c r="A938" s="12" t="s">
        <v>4</v>
      </c>
      <c r="B938" s="37">
        <v>27087</v>
      </c>
      <c r="C938" s="37"/>
      <c r="D938" s="38"/>
      <c r="E938" s="4"/>
      <c r="F938" s="12" t="s">
        <v>4</v>
      </c>
      <c r="G938" s="37">
        <f>B938</f>
        <v>27087</v>
      </c>
      <c r="H938" s="37"/>
      <c r="I938" s="38"/>
    </row>
    <row r="939" spans="1:12" ht="63.75" customHeight="1" x14ac:dyDescent="0.25">
      <c r="A939" s="33" t="s">
        <v>82</v>
      </c>
      <c r="B939" s="33"/>
      <c r="C939" s="33"/>
      <c r="D939" s="33"/>
      <c r="E939" s="2"/>
      <c r="F939" s="33" t="str">
        <f>A939</f>
        <v>Tall DEO - Barrel</v>
      </c>
      <c r="G939" s="33"/>
      <c r="H939" s="33"/>
      <c r="I939" s="33"/>
    </row>
    <row r="940" spans="1:12" s="1" customFormat="1" ht="30" customHeight="1" x14ac:dyDescent="0.25">
      <c r="A940" s="11" t="s">
        <v>0</v>
      </c>
      <c r="B940" s="10"/>
      <c r="C940" s="11" t="s">
        <v>1</v>
      </c>
      <c r="D940" s="10"/>
      <c r="E940" s="3"/>
      <c r="F940" s="11" t="s">
        <v>0</v>
      </c>
      <c r="G940" s="10"/>
      <c r="H940" s="11" t="s">
        <v>1</v>
      </c>
      <c r="I940" s="10"/>
    </row>
    <row r="941" spans="1:12" s="1" customFormat="1" ht="30" customHeight="1" x14ac:dyDescent="0.25">
      <c r="A941" s="11" t="s">
        <v>2</v>
      </c>
      <c r="B941" s="10"/>
      <c r="C941" s="11" t="s">
        <v>5</v>
      </c>
      <c r="D941" s="7" t="s">
        <v>83</v>
      </c>
      <c r="E941" s="4"/>
      <c r="F941" s="11" t="s">
        <v>2</v>
      </c>
      <c r="G941" s="10"/>
      <c r="H941" s="11" t="s">
        <v>5</v>
      </c>
      <c r="I941" s="7" t="str">
        <f>D941</f>
        <v>18B</v>
      </c>
    </row>
    <row r="942" spans="1:12" s="1" customFormat="1" ht="53.25" customHeight="1" x14ac:dyDescent="0.25">
      <c r="A942" s="8" t="s">
        <v>3</v>
      </c>
      <c r="B942" s="9">
        <v>135</v>
      </c>
      <c r="C942" s="11" t="s">
        <v>6</v>
      </c>
      <c r="D942" s="7" t="s">
        <v>84</v>
      </c>
      <c r="E942" s="4"/>
      <c r="F942" s="8" t="s">
        <v>3</v>
      </c>
      <c r="G942" s="9">
        <v>285</v>
      </c>
      <c r="H942" s="11" t="s">
        <v>6</v>
      </c>
      <c r="I942" s="7" t="str">
        <f>D942</f>
        <v>DEO-B06</v>
      </c>
      <c r="K942" s="6" t="s">
        <v>8</v>
      </c>
      <c r="L942" s="6" t="s">
        <v>7</v>
      </c>
    </row>
    <row r="943" spans="1:12" s="1" customFormat="1" ht="30" customHeight="1" x14ac:dyDescent="0.25">
      <c r="A943" s="34" t="s">
        <v>86</v>
      </c>
      <c r="B943" s="35"/>
      <c r="C943" s="35"/>
      <c r="D943" s="36"/>
      <c r="E943" s="5"/>
      <c r="F943" s="34" t="s">
        <v>86</v>
      </c>
      <c r="G943" s="35"/>
      <c r="H943" s="35"/>
      <c r="I943" s="36"/>
      <c r="K943" s="1">
        <v>165</v>
      </c>
      <c r="L943" s="1">
        <v>20</v>
      </c>
    </row>
    <row r="944" spans="1:12" s="1" customFormat="1" ht="30" customHeight="1" x14ac:dyDescent="0.25">
      <c r="A944" s="43" t="s">
        <v>85</v>
      </c>
      <c r="B944" s="44"/>
      <c r="C944" s="41" t="s">
        <v>81</v>
      </c>
      <c r="D944" s="42"/>
      <c r="E944" s="4"/>
      <c r="F944" s="43" t="str">
        <f>A944</f>
        <v>KW621</v>
      </c>
      <c r="G944" s="44"/>
      <c r="H944" s="41" t="str">
        <f>C944</f>
        <v>Green</v>
      </c>
      <c r="I944" s="42"/>
    </row>
    <row r="945" spans="1:12" s="1" customFormat="1" ht="30" customHeight="1" x14ac:dyDescent="0.25">
      <c r="A945" s="12" t="s">
        <v>4</v>
      </c>
      <c r="B945" s="37">
        <v>27087</v>
      </c>
      <c r="C945" s="37"/>
      <c r="D945" s="38"/>
      <c r="E945" s="4"/>
      <c r="F945" s="12" t="s">
        <v>4</v>
      </c>
      <c r="G945" s="37">
        <f>B945</f>
        <v>27087</v>
      </c>
      <c r="H945" s="37"/>
      <c r="I945" s="38"/>
    </row>
    <row r="946" spans="1:12" ht="63.75" customHeight="1" x14ac:dyDescent="0.25">
      <c r="A946" s="33" t="s">
        <v>82</v>
      </c>
      <c r="B946" s="33"/>
      <c r="C946" s="33"/>
      <c r="D946" s="33"/>
      <c r="E946" s="2"/>
      <c r="F946" s="33" t="str">
        <f>A946</f>
        <v>Tall DEO - Barrel</v>
      </c>
      <c r="G946" s="33"/>
      <c r="H946" s="33"/>
      <c r="I946" s="33"/>
    </row>
    <row r="947" spans="1:12" s="1" customFormat="1" ht="30" customHeight="1" x14ac:dyDescent="0.25">
      <c r="A947" s="11" t="s">
        <v>0</v>
      </c>
      <c r="B947" s="10"/>
      <c r="C947" s="11" t="s">
        <v>1</v>
      </c>
      <c r="D947" s="10"/>
      <c r="E947" s="3"/>
      <c r="F947" s="11" t="s">
        <v>0</v>
      </c>
      <c r="G947" s="10"/>
      <c r="H947" s="11" t="s">
        <v>1</v>
      </c>
      <c r="I947" s="10"/>
    </row>
    <row r="948" spans="1:12" s="1" customFormat="1" ht="30" customHeight="1" x14ac:dyDescent="0.25">
      <c r="A948" s="11" t="s">
        <v>2</v>
      </c>
      <c r="B948" s="10"/>
      <c r="C948" s="11" t="s">
        <v>5</v>
      </c>
      <c r="D948" s="7" t="s">
        <v>83</v>
      </c>
      <c r="E948" s="4"/>
      <c r="F948" s="11" t="s">
        <v>2</v>
      </c>
      <c r="G948" s="10"/>
      <c r="H948" s="11" t="s">
        <v>5</v>
      </c>
      <c r="I948" s="7" t="str">
        <f>D948</f>
        <v>18B</v>
      </c>
    </row>
    <row r="949" spans="1:12" s="1" customFormat="1" ht="53.25" customHeight="1" x14ac:dyDescent="0.25">
      <c r="A949" s="8" t="s">
        <v>3</v>
      </c>
      <c r="B949" s="9">
        <v>136</v>
      </c>
      <c r="C949" s="11" t="s">
        <v>6</v>
      </c>
      <c r="D949" s="7" t="s">
        <v>84</v>
      </c>
      <c r="E949" s="4"/>
      <c r="F949" s="8" t="s">
        <v>3</v>
      </c>
      <c r="G949" s="9">
        <v>286</v>
      </c>
      <c r="H949" s="11" t="s">
        <v>6</v>
      </c>
      <c r="I949" s="7" t="str">
        <f>D949</f>
        <v>DEO-B06</v>
      </c>
      <c r="K949" s="6" t="s">
        <v>8</v>
      </c>
      <c r="L949" s="6" t="s">
        <v>7</v>
      </c>
    </row>
    <row r="950" spans="1:12" s="1" customFormat="1" ht="30" customHeight="1" x14ac:dyDescent="0.25">
      <c r="A950" s="34" t="s">
        <v>86</v>
      </c>
      <c r="B950" s="35"/>
      <c r="C950" s="35"/>
      <c r="D950" s="36"/>
      <c r="E950" s="5"/>
      <c r="F950" s="34" t="s">
        <v>86</v>
      </c>
      <c r="G950" s="35"/>
      <c r="H950" s="35"/>
      <c r="I950" s="36"/>
      <c r="K950" s="1">
        <v>165</v>
      </c>
      <c r="L950" s="1">
        <v>20</v>
      </c>
    </row>
    <row r="951" spans="1:12" s="1" customFormat="1" ht="30" customHeight="1" x14ac:dyDescent="0.25">
      <c r="A951" s="43" t="s">
        <v>85</v>
      </c>
      <c r="B951" s="44"/>
      <c r="C951" s="41" t="s">
        <v>81</v>
      </c>
      <c r="D951" s="42"/>
      <c r="E951" s="4"/>
      <c r="F951" s="43" t="str">
        <f>A951</f>
        <v>KW621</v>
      </c>
      <c r="G951" s="44"/>
      <c r="H951" s="41" t="str">
        <f>C951</f>
        <v>Green</v>
      </c>
      <c r="I951" s="42"/>
    </row>
    <row r="952" spans="1:12" s="1" customFormat="1" ht="30" customHeight="1" x14ac:dyDescent="0.25">
      <c r="A952" s="12" t="s">
        <v>4</v>
      </c>
      <c r="B952" s="37">
        <v>27087</v>
      </c>
      <c r="C952" s="37"/>
      <c r="D952" s="38"/>
      <c r="E952" s="4"/>
      <c r="F952" s="12" t="s">
        <v>4</v>
      </c>
      <c r="G952" s="37">
        <f>B952</f>
        <v>27087</v>
      </c>
      <c r="H952" s="37"/>
      <c r="I952" s="38"/>
    </row>
    <row r="953" spans="1:12" ht="63.75" customHeight="1" x14ac:dyDescent="0.25">
      <c r="A953" s="33" t="s">
        <v>82</v>
      </c>
      <c r="B953" s="33"/>
      <c r="C953" s="33"/>
      <c r="D953" s="33"/>
      <c r="E953" s="2"/>
      <c r="F953" s="33" t="str">
        <f>A953</f>
        <v>Tall DEO - Barrel</v>
      </c>
      <c r="G953" s="33"/>
      <c r="H953" s="33"/>
      <c r="I953" s="33"/>
    </row>
    <row r="954" spans="1:12" s="1" customFormat="1" ht="30" customHeight="1" x14ac:dyDescent="0.25">
      <c r="A954" s="11" t="s">
        <v>0</v>
      </c>
      <c r="B954" s="10"/>
      <c r="C954" s="11" t="s">
        <v>1</v>
      </c>
      <c r="D954" s="10"/>
      <c r="E954" s="3"/>
      <c r="F954" s="11" t="s">
        <v>0</v>
      </c>
      <c r="G954" s="10"/>
      <c r="H954" s="11" t="s">
        <v>1</v>
      </c>
      <c r="I954" s="10"/>
    </row>
    <row r="955" spans="1:12" s="1" customFormat="1" ht="30" customHeight="1" x14ac:dyDescent="0.25">
      <c r="A955" s="11" t="s">
        <v>2</v>
      </c>
      <c r="B955" s="10"/>
      <c r="C955" s="11" t="s">
        <v>5</v>
      </c>
      <c r="D955" s="7" t="s">
        <v>83</v>
      </c>
      <c r="E955" s="4"/>
      <c r="F955" s="11" t="s">
        <v>2</v>
      </c>
      <c r="G955" s="10"/>
      <c r="H955" s="11" t="s">
        <v>5</v>
      </c>
      <c r="I955" s="7" t="str">
        <f>D955</f>
        <v>18B</v>
      </c>
    </row>
    <row r="956" spans="1:12" s="1" customFormat="1" ht="53.25" customHeight="1" x14ac:dyDescent="0.25">
      <c r="A956" s="8" t="s">
        <v>3</v>
      </c>
      <c r="B956" s="9">
        <v>137</v>
      </c>
      <c r="C956" s="11" t="s">
        <v>6</v>
      </c>
      <c r="D956" s="7" t="s">
        <v>84</v>
      </c>
      <c r="E956" s="4"/>
      <c r="F956" s="8" t="s">
        <v>3</v>
      </c>
      <c r="G956" s="9">
        <v>287</v>
      </c>
      <c r="H956" s="11" t="s">
        <v>6</v>
      </c>
      <c r="I956" s="7" t="str">
        <f>D956</f>
        <v>DEO-B06</v>
      </c>
      <c r="K956" s="6" t="s">
        <v>8</v>
      </c>
      <c r="L956" s="6" t="s">
        <v>7</v>
      </c>
    </row>
    <row r="957" spans="1:12" s="1" customFormat="1" ht="30" customHeight="1" x14ac:dyDescent="0.25">
      <c r="A957" s="34" t="s">
        <v>86</v>
      </c>
      <c r="B957" s="35"/>
      <c r="C957" s="35"/>
      <c r="D957" s="36"/>
      <c r="E957" s="5"/>
      <c r="F957" s="34" t="s">
        <v>86</v>
      </c>
      <c r="G957" s="35"/>
      <c r="H957" s="35"/>
      <c r="I957" s="36"/>
      <c r="K957" s="1">
        <v>165</v>
      </c>
      <c r="L957" s="1">
        <v>20</v>
      </c>
    </row>
    <row r="958" spans="1:12" s="1" customFormat="1" ht="30" customHeight="1" x14ac:dyDescent="0.25">
      <c r="A958" s="43" t="s">
        <v>85</v>
      </c>
      <c r="B958" s="44"/>
      <c r="C958" s="41" t="s">
        <v>81</v>
      </c>
      <c r="D958" s="42"/>
      <c r="E958" s="4"/>
      <c r="F958" s="43" t="str">
        <f>A958</f>
        <v>KW621</v>
      </c>
      <c r="G958" s="44"/>
      <c r="H958" s="41" t="str">
        <f>C958</f>
        <v>Green</v>
      </c>
      <c r="I958" s="42"/>
    </row>
    <row r="959" spans="1:12" s="1" customFormat="1" ht="30" customHeight="1" x14ac:dyDescent="0.25">
      <c r="A959" s="12" t="s">
        <v>4</v>
      </c>
      <c r="B959" s="37">
        <v>27087</v>
      </c>
      <c r="C959" s="37"/>
      <c r="D959" s="38"/>
      <c r="E959" s="4"/>
      <c r="F959" s="12" t="s">
        <v>4</v>
      </c>
      <c r="G959" s="37">
        <f>B959</f>
        <v>27087</v>
      </c>
      <c r="H959" s="37"/>
      <c r="I959" s="38"/>
    </row>
    <row r="960" spans="1:12" ht="63.75" customHeight="1" x14ac:dyDescent="0.25">
      <c r="A960" s="33" t="s">
        <v>82</v>
      </c>
      <c r="B960" s="33"/>
      <c r="C960" s="33"/>
      <c r="D960" s="33"/>
      <c r="E960" s="2"/>
      <c r="F960" s="33" t="str">
        <f>A960</f>
        <v>Tall DEO - Barrel</v>
      </c>
      <c r="G960" s="33"/>
      <c r="H960" s="33"/>
      <c r="I960" s="33"/>
    </row>
    <row r="961" spans="1:12" s="1" customFormat="1" ht="30" customHeight="1" x14ac:dyDescent="0.25">
      <c r="A961" s="11" t="s">
        <v>0</v>
      </c>
      <c r="B961" s="10"/>
      <c r="C961" s="11" t="s">
        <v>1</v>
      </c>
      <c r="D961" s="10"/>
      <c r="E961" s="3"/>
      <c r="F961" s="11" t="s">
        <v>0</v>
      </c>
      <c r="G961" s="10"/>
      <c r="H961" s="11" t="s">
        <v>1</v>
      </c>
      <c r="I961" s="10"/>
    </row>
    <row r="962" spans="1:12" s="1" customFormat="1" ht="30" customHeight="1" x14ac:dyDescent="0.25">
      <c r="A962" s="11" t="s">
        <v>2</v>
      </c>
      <c r="B962" s="10"/>
      <c r="C962" s="11" t="s">
        <v>5</v>
      </c>
      <c r="D962" s="7" t="s">
        <v>83</v>
      </c>
      <c r="E962" s="4"/>
      <c r="F962" s="11" t="s">
        <v>2</v>
      </c>
      <c r="G962" s="10"/>
      <c r="H962" s="11" t="s">
        <v>5</v>
      </c>
      <c r="I962" s="7" t="str">
        <f>D962</f>
        <v>18B</v>
      </c>
    </row>
    <row r="963" spans="1:12" s="1" customFormat="1" ht="53.25" customHeight="1" x14ac:dyDescent="0.25">
      <c r="A963" s="8" t="s">
        <v>3</v>
      </c>
      <c r="B963" s="9">
        <v>138</v>
      </c>
      <c r="C963" s="11" t="s">
        <v>6</v>
      </c>
      <c r="D963" s="7" t="s">
        <v>84</v>
      </c>
      <c r="E963" s="4"/>
      <c r="F963" s="8" t="s">
        <v>3</v>
      </c>
      <c r="G963" s="9">
        <v>288</v>
      </c>
      <c r="H963" s="11" t="s">
        <v>6</v>
      </c>
      <c r="I963" s="7" t="str">
        <f>D963</f>
        <v>DEO-B06</v>
      </c>
      <c r="K963" s="6" t="s">
        <v>8</v>
      </c>
      <c r="L963" s="6" t="s">
        <v>7</v>
      </c>
    </row>
    <row r="964" spans="1:12" s="1" customFormat="1" ht="30" customHeight="1" x14ac:dyDescent="0.25">
      <c r="A964" s="34" t="s">
        <v>86</v>
      </c>
      <c r="B964" s="35"/>
      <c r="C964" s="35"/>
      <c r="D964" s="36"/>
      <c r="E964" s="5"/>
      <c r="F964" s="34" t="s">
        <v>86</v>
      </c>
      <c r="G964" s="35"/>
      <c r="H964" s="35"/>
      <c r="I964" s="36"/>
      <c r="K964" s="1">
        <v>165</v>
      </c>
      <c r="L964" s="1">
        <v>20</v>
      </c>
    </row>
    <row r="965" spans="1:12" s="1" customFormat="1" ht="30" customHeight="1" x14ac:dyDescent="0.25">
      <c r="A965" s="43" t="s">
        <v>85</v>
      </c>
      <c r="B965" s="44"/>
      <c r="C965" s="41" t="s">
        <v>81</v>
      </c>
      <c r="D965" s="42"/>
      <c r="E965" s="4"/>
      <c r="F965" s="43" t="str">
        <f>A965</f>
        <v>KW621</v>
      </c>
      <c r="G965" s="44"/>
      <c r="H965" s="41" t="str">
        <f>C965</f>
        <v>Green</v>
      </c>
      <c r="I965" s="42"/>
    </row>
    <row r="966" spans="1:12" s="1" customFormat="1" ht="30" customHeight="1" x14ac:dyDescent="0.25">
      <c r="A966" s="12" t="s">
        <v>4</v>
      </c>
      <c r="B966" s="37">
        <v>27087</v>
      </c>
      <c r="C966" s="37"/>
      <c r="D966" s="38"/>
      <c r="E966" s="4"/>
      <c r="F966" s="12" t="s">
        <v>4</v>
      </c>
      <c r="G966" s="37">
        <f>B966</f>
        <v>27087</v>
      </c>
      <c r="H966" s="37"/>
      <c r="I966" s="38"/>
    </row>
    <row r="967" spans="1:12" ht="63.75" customHeight="1" x14ac:dyDescent="0.25">
      <c r="A967" s="33" t="s">
        <v>82</v>
      </c>
      <c r="B967" s="33"/>
      <c r="C967" s="33"/>
      <c r="D967" s="33"/>
      <c r="E967" s="2"/>
      <c r="F967" s="33" t="str">
        <f>A967</f>
        <v>Tall DEO - Barrel</v>
      </c>
      <c r="G967" s="33"/>
      <c r="H967" s="33"/>
      <c r="I967" s="33"/>
    </row>
    <row r="968" spans="1:12" s="1" customFormat="1" ht="30" customHeight="1" x14ac:dyDescent="0.25">
      <c r="A968" s="11" t="s">
        <v>0</v>
      </c>
      <c r="B968" s="10"/>
      <c r="C968" s="11" t="s">
        <v>1</v>
      </c>
      <c r="D968" s="10"/>
      <c r="E968" s="3"/>
      <c r="F968" s="11" t="s">
        <v>0</v>
      </c>
      <c r="G968" s="10"/>
      <c r="H968" s="11" t="s">
        <v>1</v>
      </c>
      <c r="I968" s="10"/>
    </row>
    <row r="969" spans="1:12" s="1" customFormat="1" ht="30" customHeight="1" x14ac:dyDescent="0.25">
      <c r="A969" s="11" t="s">
        <v>2</v>
      </c>
      <c r="B969" s="10"/>
      <c r="C969" s="11" t="s">
        <v>5</v>
      </c>
      <c r="D969" s="7" t="s">
        <v>83</v>
      </c>
      <c r="E969" s="4"/>
      <c r="F969" s="11" t="s">
        <v>2</v>
      </c>
      <c r="G969" s="10"/>
      <c r="H969" s="11" t="s">
        <v>5</v>
      </c>
      <c r="I969" s="7" t="str">
        <f>D969</f>
        <v>18B</v>
      </c>
    </row>
    <row r="970" spans="1:12" s="1" customFormat="1" ht="53.25" customHeight="1" x14ac:dyDescent="0.25">
      <c r="A970" s="8" t="s">
        <v>3</v>
      </c>
      <c r="B970" s="9">
        <v>139</v>
      </c>
      <c r="C970" s="11" t="s">
        <v>6</v>
      </c>
      <c r="D970" s="7" t="s">
        <v>84</v>
      </c>
      <c r="E970" s="4"/>
      <c r="F970" s="8" t="s">
        <v>3</v>
      </c>
      <c r="G970" s="9">
        <v>289</v>
      </c>
      <c r="H970" s="11" t="s">
        <v>6</v>
      </c>
      <c r="I970" s="7" t="str">
        <f>D970</f>
        <v>DEO-B06</v>
      </c>
      <c r="K970" s="6" t="s">
        <v>8</v>
      </c>
      <c r="L970" s="6" t="s">
        <v>7</v>
      </c>
    </row>
    <row r="971" spans="1:12" s="1" customFormat="1" ht="30" customHeight="1" x14ac:dyDescent="0.25">
      <c r="A971" s="34" t="s">
        <v>86</v>
      </c>
      <c r="B971" s="35"/>
      <c r="C971" s="35"/>
      <c r="D971" s="36"/>
      <c r="E971" s="5"/>
      <c r="F971" s="34" t="s">
        <v>86</v>
      </c>
      <c r="G971" s="35"/>
      <c r="H971" s="35"/>
      <c r="I971" s="36"/>
      <c r="K971" s="1">
        <v>165</v>
      </c>
      <c r="L971" s="1">
        <v>20</v>
      </c>
    </row>
    <row r="972" spans="1:12" s="1" customFormat="1" ht="30" customHeight="1" x14ac:dyDescent="0.25">
      <c r="A972" s="43" t="s">
        <v>85</v>
      </c>
      <c r="B972" s="44"/>
      <c r="C972" s="41" t="s">
        <v>81</v>
      </c>
      <c r="D972" s="42"/>
      <c r="E972" s="4"/>
      <c r="F972" s="43" t="str">
        <f>A972</f>
        <v>KW621</v>
      </c>
      <c r="G972" s="44"/>
      <c r="H972" s="41" t="str">
        <f>C972</f>
        <v>Green</v>
      </c>
      <c r="I972" s="42"/>
    </row>
    <row r="973" spans="1:12" s="1" customFormat="1" ht="30" customHeight="1" x14ac:dyDescent="0.25">
      <c r="A973" s="12" t="s">
        <v>4</v>
      </c>
      <c r="B973" s="37">
        <v>27087</v>
      </c>
      <c r="C973" s="37"/>
      <c r="D973" s="38"/>
      <c r="E973" s="4"/>
      <c r="F973" s="12" t="s">
        <v>4</v>
      </c>
      <c r="G973" s="37">
        <f>B973</f>
        <v>27087</v>
      </c>
      <c r="H973" s="37"/>
      <c r="I973" s="38"/>
    </row>
    <row r="974" spans="1:12" ht="63.75" customHeight="1" x14ac:dyDescent="0.25">
      <c r="A974" s="33" t="s">
        <v>82</v>
      </c>
      <c r="B974" s="33"/>
      <c r="C974" s="33"/>
      <c r="D974" s="33"/>
      <c r="E974" s="2"/>
      <c r="F974" s="33" t="str">
        <f>A974</f>
        <v>Tall DEO - Barrel</v>
      </c>
      <c r="G974" s="33"/>
      <c r="H974" s="33"/>
      <c r="I974" s="33"/>
    </row>
    <row r="975" spans="1:12" s="1" customFormat="1" ht="30" customHeight="1" x14ac:dyDescent="0.25">
      <c r="A975" s="11" t="s">
        <v>0</v>
      </c>
      <c r="B975" s="10"/>
      <c r="C975" s="11" t="s">
        <v>1</v>
      </c>
      <c r="D975" s="10"/>
      <c r="E975" s="3"/>
      <c r="F975" s="11" t="s">
        <v>0</v>
      </c>
      <c r="G975" s="10"/>
      <c r="H975" s="11" t="s">
        <v>1</v>
      </c>
      <c r="I975" s="10"/>
    </row>
    <row r="976" spans="1:12" s="1" customFormat="1" ht="30" customHeight="1" x14ac:dyDescent="0.25">
      <c r="A976" s="11" t="s">
        <v>2</v>
      </c>
      <c r="B976" s="10"/>
      <c r="C976" s="11" t="s">
        <v>5</v>
      </c>
      <c r="D976" s="7" t="s">
        <v>83</v>
      </c>
      <c r="E976" s="4"/>
      <c r="F976" s="11" t="s">
        <v>2</v>
      </c>
      <c r="G976" s="10"/>
      <c r="H976" s="11" t="s">
        <v>5</v>
      </c>
      <c r="I976" s="7" t="str">
        <f>D976</f>
        <v>18B</v>
      </c>
    </row>
    <row r="977" spans="1:12" s="1" customFormat="1" ht="53.25" customHeight="1" x14ac:dyDescent="0.25">
      <c r="A977" s="8" t="s">
        <v>3</v>
      </c>
      <c r="B977" s="9">
        <v>140</v>
      </c>
      <c r="C977" s="11" t="s">
        <v>6</v>
      </c>
      <c r="D977" s="7" t="s">
        <v>84</v>
      </c>
      <c r="E977" s="4"/>
      <c r="F977" s="8" t="s">
        <v>3</v>
      </c>
      <c r="G977" s="9">
        <v>290</v>
      </c>
      <c r="H977" s="11" t="s">
        <v>6</v>
      </c>
      <c r="I977" s="7" t="str">
        <f>D977</f>
        <v>DEO-B06</v>
      </c>
      <c r="K977" s="6" t="s">
        <v>8</v>
      </c>
      <c r="L977" s="6" t="s">
        <v>7</v>
      </c>
    </row>
    <row r="978" spans="1:12" s="1" customFormat="1" ht="30" customHeight="1" x14ac:dyDescent="0.25">
      <c r="A978" s="34" t="s">
        <v>86</v>
      </c>
      <c r="B978" s="35"/>
      <c r="C978" s="35"/>
      <c r="D978" s="36"/>
      <c r="E978" s="5"/>
      <c r="F978" s="34" t="s">
        <v>86</v>
      </c>
      <c r="G978" s="35"/>
      <c r="H978" s="35"/>
      <c r="I978" s="36"/>
      <c r="K978" s="1">
        <v>165</v>
      </c>
      <c r="L978" s="1">
        <v>20</v>
      </c>
    </row>
    <row r="979" spans="1:12" s="1" customFormat="1" ht="30" customHeight="1" x14ac:dyDescent="0.25">
      <c r="A979" s="43" t="s">
        <v>85</v>
      </c>
      <c r="B979" s="44"/>
      <c r="C979" s="41" t="s">
        <v>81</v>
      </c>
      <c r="D979" s="42"/>
      <c r="E979" s="4"/>
      <c r="F979" s="43" t="str">
        <f>A979</f>
        <v>KW621</v>
      </c>
      <c r="G979" s="44"/>
      <c r="H979" s="41" t="str">
        <f>C979</f>
        <v>Green</v>
      </c>
      <c r="I979" s="42"/>
    </row>
    <row r="980" spans="1:12" s="1" customFormat="1" ht="30" customHeight="1" x14ac:dyDescent="0.25">
      <c r="A980" s="12" t="s">
        <v>4</v>
      </c>
      <c r="B980" s="37">
        <v>27087</v>
      </c>
      <c r="C980" s="37"/>
      <c r="D980" s="38"/>
      <c r="E980" s="4"/>
      <c r="F980" s="12" t="s">
        <v>4</v>
      </c>
      <c r="G980" s="37">
        <f>B980</f>
        <v>27087</v>
      </c>
      <c r="H980" s="37"/>
      <c r="I980" s="38"/>
    </row>
    <row r="981" spans="1:12" ht="63.75" customHeight="1" x14ac:dyDescent="0.25">
      <c r="A981" s="33" t="s">
        <v>82</v>
      </c>
      <c r="B981" s="33"/>
      <c r="C981" s="33"/>
      <c r="D981" s="33"/>
      <c r="E981" s="2"/>
      <c r="F981" s="33" t="str">
        <f>A981</f>
        <v>Tall DEO - Barrel</v>
      </c>
      <c r="G981" s="33"/>
      <c r="H981" s="33"/>
      <c r="I981" s="33"/>
    </row>
    <row r="982" spans="1:12" s="1" customFormat="1" ht="30" customHeight="1" x14ac:dyDescent="0.25">
      <c r="A982" s="11" t="s">
        <v>0</v>
      </c>
      <c r="B982" s="10"/>
      <c r="C982" s="11" t="s">
        <v>1</v>
      </c>
      <c r="D982" s="10"/>
      <c r="E982" s="3"/>
      <c r="F982" s="11" t="s">
        <v>0</v>
      </c>
      <c r="G982" s="10"/>
      <c r="H982" s="11" t="s">
        <v>1</v>
      </c>
      <c r="I982" s="10"/>
    </row>
    <row r="983" spans="1:12" s="1" customFormat="1" ht="30" customHeight="1" x14ac:dyDescent="0.25">
      <c r="A983" s="11" t="s">
        <v>2</v>
      </c>
      <c r="B983" s="10"/>
      <c r="C983" s="11" t="s">
        <v>5</v>
      </c>
      <c r="D983" s="7" t="s">
        <v>83</v>
      </c>
      <c r="E983" s="4"/>
      <c r="F983" s="11" t="s">
        <v>2</v>
      </c>
      <c r="G983" s="10"/>
      <c r="H983" s="11" t="s">
        <v>5</v>
      </c>
      <c r="I983" s="7" t="str">
        <f>D983</f>
        <v>18B</v>
      </c>
    </row>
    <row r="984" spans="1:12" s="1" customFormat="1" ht="53.25" customHeight="1" x14ac:dyDescent="0.25">
      <c r="A984" s="8" t="s">
        <v>3</v>
      </c>
      <c r="B984" s="9">
        <v>141</v>
      </c>
      <c r="C984" s="11" t="s">
        <v>6</v>
      </c>
      <c r="D984" s="7" t="s">
        <v>84</v>
      </c>
      <c r="E984" s="4"/>
      <c r="F984" s="8" t="s">
        <v>3</v>
      </c>
      <c r="G984" s="9">
        <v>291</v>
      </c>
      <c r="H984" s="11" t="s">
        <v>6</v>
      </c>
      <c r="I984" s="7" t="str">
        <f>D984</f>
        <v>DEO-B06</v>
      </c>
      <c r="K984" s="6" t="s">
        <v>8</v>
      </c>
      <c r="L984" s="6" t="s">
        <v>7</v>
      </c>
    </row>
    <row r="985" spans="1:12" s="1" customFormat="1" ht="30" customHeight="1" x14ac:dyDescent="0.25">
      <c r="A985" s="34" t="s">
        <v>86</v>
      </c>
      <c r="B985" s="35"/>
      <c r="C985" s="35"/>
      <c r="D985" s="36"/>
      <c r="E985" s="5"/>
      <c r="F985" s="34" t="s">
        <v>86</v>
      </c>
      <c r="G985" s="35"/>
      <c r="H985" s="35"/>
      <c r="I985" s="36"/>
      <c r="K985" s="1">
        <v>165</v>
      </c>
      <c r="L985" s="1">
        <v>20</v>
      </c>
    </row>
    <row r="986" spans="1:12" s="1" customFormat="1" ht="30" customHeight="1" x14ac:dyDescent="0.25">
      <c r="A986" s="43" t="s">
        <v>85</v>
      </c>
      <c r="B986" s="44"/>
      <c r="C986" s="41" t="s">
        <v>81</v>
      </c>
      <c r="D986" s="42"/>
      <c r="E986" s="4"/>
      <c r="F986" s="43" t="str">
        <f>A986</f>
        <v>KW621</v>
      </c>
      <c r="G986" s="44"/>
      <c r="H986" s="41" t="str">
        <f>C986</f>
        <v>Green</v>
      </c>
      <c r="I986" s="42"/>
    </row>
    <row r="987" spans="1:12" s="1" customFormat="1" ht="30" customHeight="1" x14ac:dyDescent="0.25">
      <c r="A987" s="12" t="s">
        <v>4</v>
      </c>
      <c r="B987" s="37">
        <v>27087</v>
      </c>
      <c r="C987" s="37"/>
      <c r="D987" s="38"/>
      <c r="E987" s="4"/>
      <c r="F987" s="12" t="s">
        <v>4</v>
      </c>
      <c r="G987" s="37">
        <f>B987</f>
        <v>27087</v>
      </c>
      <c r="H987" s="37"/>
      <c r="I987" s="38"/>
    </row>
    <row r="988" spans="1:12" ht="63.75" customHeight="1" x14ac:dyDescent="0.25">
      <c r="A988" s="33" t="s">
        <v>82</v>
      </c>
      <c r="B988" s="33"/>
      <c r="C988" s="33"/>
      <c r="D988" s="33"/>
      <c r="E988" s="2"/>
      <c r="F988" s="33" t="str">
        <f>A988</f>
        <v>Tall DEO - Barrel</v>
      </c>
      <c r="G988" s="33"/>
      <c r="H988" s="33"/>
      <c r="I988" s="33"/>
    </row>
    <row r="989" spans="1:12" s="1" customFormat="1" ht="30" customHeight="1" x14ac:dyDescent="0.25">
      <c r="A989" s="11" t="s">
        <v>0</v>
      </c>
      <c r="B989" s="10"/>
      <c r="C989" s="11" t="s">
        <v>1</v>
      </c>
      <c r="D989" s="10"/>
      <c r="E989" s="3"/>
      <c r="F989" s="11" t="s">
        <v>0</v>
      </c>
      <c r="G989" s="10"/>
      <c r="H989" s="11" t="s">
        <v>1</v>
      </c>
      <c r="I989" s="10"/>
    </row>
    <row r="990" spans="1:12" s="1" customFormat="1" ht="30" customHeight="1" x14ac:dyDescent="0.25">
      <c r="A990" s="11" t="s">
        <v>2</v>
      </c>
      <c r="B990" s="10"/>
      <c r="C990" s="11" t="s">
        <v>5</v>
      </c>
      <c r="D990" s="7" t="s">
        <v>83</v>
      </c>
      <c r="E990" s="4"/>
      <c r="F990" s="11" t="s">
        <v>2</v>
      </c>
      <c r="G990" s="10"/>
      <c r="H990" s="11" t="s">
        <v>5</v>
      </c>
      <c r="I990" s="7" t="str">
        <f>D990</f>
        <v>18B</v>
      </c>
    </row>
    <row r="991" spans="1:12" s="1" customFormat="1" ht="53.25" customHeight="1" x14ac:dyDescent="0.25">
      <c r="A991" s="8" t="s">
        <v>3</v>
      </c>
      <c r="B991" s="9">
        <v>142</v>
      </c>
      <c r="C991" s="11" t="s">
        <v>6</v>
      </c>
      <c r="D991" s="7" t="s">
        <v>84</v>
      </c>
      <c r="E991" s="4"/>
      <c r="F991" s="8" t="s">
        <v>3</v>
      </c>
      <c r="G991" s="9">
        <v>292</v>
      </c>
      <c r="H991" s="11" t="s">
        <v>6</v>
      </c>
      <c r="I991" s="7" t="str">
        <f>D991</f>
        <v>DEO-B06</v>
      </c>
      <c r="K991" s="6" t="s">
        <v>8</v>
      </c>
      <c r="L991" s="6" t="s">
        <v>7</v>
      </c>
    </row>
    <row r="992" spans="1:12" s="1" customFormat="1" ht="30" customHeight="1" x14ac:dyDescent="0.25">
      <c r="A992" s="34" t="s">
        <v>86</v>
      </c>
      <c r="B992" s="35"/>
      <c r="C992" s="35"/>
      <c r="D992" s="36"/>
      <c r="E992" s="5"/>
      <c r="F992" s="34" t="s">
        <v>86</v>
      </c>
      <c r="G992" s="35"/>
      <c r="H992" s="35"/>
      <c r="I992" s="36"/>
      <c r="K992" s="1">
        <v>165</v>
      </c>
      <c r="L992" s="1">
        <v>20</v>
      </c>
    </row>
    <row r="993" spans="1:12" s="1" customFormat="1" ht="30" customHeight="1" x14ac:dyDescent="0.25">
      <c r="A993" s="43" t="s">
        <v>85</v>
      </c>
      <c r="B993" s="44"/>
      <c r="C993" s="41" t="s">
        <v>81</v>
      </c>
      <c r="D993" s="42"/>
      <c r="E993" s="4"/>
      <c r="F993" s="43" t="str">
        <f>A993</f>
        <v>KW621</v>
      </c>
      <c r="G993" s="44"/>
      <c r="H993" s="41" t="str">
        <f>C993</f>
        <v>Green</v>
      </c>
      <c r="I993" s="42"/>
    </row>
    <row r="994" spans="1:12" s="1" customFormat="1" ht="30" customHeight="1" x14ac:dyDescent="0.25">
      <c r="A994" s="12" t="s">
        <v>4</v>
      </c>
      <c r="B994" s="37">
        <v>27087</v>
      </c>
      <c r="C994" s="37"/>
      <c r="D994" s="38"/>
      <c r="E994" s="4"/>
      <c r="F994" s="12" t="s">
        <v>4</v>
      </c>
      <c r="G994" s="37">
        <f>B994</f>
        <v>27087</v>
      </c>
      <c r="H994" s="37"/>
      <c r="I994" s="38"/>
    </row>
    <row r="995" spans="1:12" ht="63.75" customHeight="1" x14ac:dyDescent="0.25">
      <c r="A995" s="33" t="s">
        <v>82</v>
      </c>
      <c r="B995" s="33"/>
      <c r="C995" s="33"/>
      <c r="D995" s="33"/>
      <c r="E995" s="2"/>
      <c r="F995" s="33" t="str">
        <f>A995</f>
        <v>Tall DEO - Barrel</v>
      </c>
      <c r="G995" s="33"/>
      <c r="H995" s="33"/>
      <c r="I995" s="33"/>
    </row>
    <row r="996" spans="1:12" s="1" customFormat="1" ht="30" customHeight="1" x14ac:dyDescent="0.25">
      <c r="A996" s="11" t="s">
        <v>0</v>
      </c>
      <c r="B996" s="10"/>
      <c r="C996" s="11" t="s">
        <v>1</v>
      </c>
      <c r="D996" s="10"/>
      <c r="E996" s="3"/>
      <c r="F996" s="11" t="s">
        <v>0</v>
      </c>
      <c r="G996" s="10"/>
      <c r="H996" s="11" t="s">
        <v>1</v>
      </c>
      <c r="I996" s="10"/>
    </row>
    <row r="997" spans="1:12" s="1" customFormat="1" ht="30" customHeight="1" x14ac:dyDescent="0.25">
      <c r="A997" s="11" t="s">
        <v>2</v>
      </c>
      <c r="B997" s="10"/>
      <c r="C997" s="11" t="s">
        <v>5</v>
      </c>
      <c r="D997" s="7" t="s">
        <v>83</v>
      </c>
      <c r="E997" s="4"/>
      <c r="F997" s="11" t="s">
        <v>2</v>
      </c>
      <c r="G997" s="10"/>
      <c r="H997" s="11" t="s">
        <v>5</v>
      </c>
      <c r="I997" s="7" t="str">
        <f>D997</f>
        <v>18B</v>
      </c>
    </row>
    <row r="998" spans="1:12" s="1" customFormat="1" ht="53.25" customHeight="1" x14ac:dyDescent="0.25">
      <c r="A998" s="8" t="s">
        <v>3</v>
      </c>
      <c r="B998" s="9">
        <v>143</v>
      </c>
      <c r="C998" s="11" t="s">
        <v>6</v>
      </c>
      <c r="D998" s="7" t="s">
        <v>84</v>
      </c>
      <c r="E998" s="4"/>
      <c r="F998" s="8" t="s">
        <v>3</v>
      </c>
      <c r="G998" s="9">
        <v>293</v>
      </c>
      <c r="H998" s="11" t="s">
        <v>6</v>
      </c>
      <c r="I998" s="7" t="str">
        <f>D998</f>
        <v>DEO-B06</v>
      </c>
      <c r="K998" s="6" t="s">
        <v>8</v>
      </c>
      <c r="L998" s="6" t="s">
        <v>7</v>
      </c>
    </row>
    <row r="999" spans="1:12" s="1" customFormat="1" ht="30" customHeight="1" x14ac:dyDescent="0.25">
      <c r="A999" s="34" t="s">
        <v>86</v>
      </c>
      <c r="B999" s="35"/>
      <c r="C999" s="35"/>
      <c r="D999" s="36"/>
      <c r="E999" s="5"/>
      <c r="F999" s="34" t="s">
        <v>86</v>
      </c>
      <c r="G999" s="35"/>
      <c r="H999" s="35"/>
      <c r="I999" s="36"/>
      <c r="K999" s="1">
        <v>165</v>
      </c>
      <c r="L999" s="1">
        <v>20</v>
      </c>
    </row>
    <row r="1000" spans="1:12" s="1" customFormat="1" ht="30" customHeight="1" x14ac:dyDescent="0.25">
      <c r="A1000" s="43" t="s">
        <v>85</v>
      </c>
      <c r="B1000" s="44"/>
      <c r="C1000" s="41" t="s">
        <v>81</v>
      </c>
      <c r="D1000" s="42"/>
      <c r="E1000" s="4"/>
      <c r="F1000" s="43" t="str">
        <f>A1000</f>
        <v>KW621</v>
      </c>
      <c r="G1000" s="44"/>
      <c r="H1000" s="41" t="str">
        <f>C1000</f>
        <v>Green</v>
      </c>
      <c r="I1000" s="42"/>
    </row>
    <row r="1001" spans="1:12" s="1" customFormat="1" ht="30" customHeight="1" x14ac:dyDescent="0.25">
      <c r="A1001" s="12" t="s">
        <v>4</v>
      </c>
      <c r="B1001" s="37">
        <v>27087</v>
      </c>
      <c r="C1001" s="37"/>
      <c r="D1001" s="38"/>
      <c r="E1001" s="4"/>
      <c r="F1001" s="12" t="s">
        <v>4</v>
      </c>
      <c r="G1001" s="37">
        <f>B1001</f>
        <v>27087</v>
      </c>
      <c r="H1001" s="37"/>
      <c r="I1001" s="38"/>
    </row>
    <row r="1002" spans="1:12" ht="63.75" customHeight="1" x14ac:dyDescent="0.25">
      <c r="A1002" s="33" t="s">
        <v>82</v>
      </c>
      <c r="B1002" s="33"/>
      <c r="C1002" s="33"/>
      <c r="D1002" s="33"/>
      <c r="E1002" s="2"/>
      <c r="F1002" s="33" t="str">
        <f>A1002</f>
        <v>Tall DEO - Barrel</v>
      </c>
      <c r="G1002" s="33"/>
      <c r="H1002" s="33"/>
      <c r="I1002" s="33"/>
    </row>
    <row r="1003" spans="1:12" s="1" customFormat="1" ht="30" customHeight="1" x14ac:dyDescent="0.25">
      <c r="A1003" s="11" t="s">
        <v>0</v>
      </c>
      <c r="B1003" s="10"/>
      <c r="C1003" s="11" t="s">
        <v>1</v>
      </c>
      <c r="D1003" s="10"/>
      <c r="E1003" s="3"/>
      <c r="F1003" s="11" t="s">
        <v>0</v>
      </c>
      <c r="G1003" s="10"/>
      <c r="H1003" s="11" t="s">
        <v>1</v>
      </c>
      <c r="I1003" s="10"/>
    </row>
    <row r="1004" spans="1:12" s="1" customFormat="1" ht="30" customHeight="1" x14ac:dyDescent="0.25">
      <c r="A1004" s="11" t="s">
        <v>2</v>
      </c>
      <c r="B1004" s="10"/>
      <c r="C1004" s="11" t="s">
        <v>5</v>
      </c>
      <c r="D1004" s="7" t="s">
        <v>83</v>
      </c>
      <c r="E1004" s="4"/>
      <c r="F1004" s="11" t="s">
        <v>2</v>
      </c>
      <c r="G1004" s="10"/>
      <c r="H1004" s="11" t="s">
        <v>5</v>
      </c>
      <c r="I1004" s="7" t="str">
        <f>D1004</f>
        <v>18B</v>
      </c>
    </row>
    <row r="1005" spans="1:12" s="1" customFormat="1" ht="53.25" customHeight="1" x14ac:dyDescent="0.25">
      <c r="A1005" s="8" t="s">
        <v>3</v>
      </c>
      <c r="B1005" s="9">
        <v>144</v>
      </c>
      <c r="C1005" s="11" t="s">
        <v>6</v>
      </c>
      <c r="D1005" s="7" t="s">
        <v>84</v>
      </c>
      <c r="E1005" s="4"/>
      <c r="F1005" s="8" t="s">
        <v>3</v>
      </c>
      <c r="G1005" s="9">
        <v>294</v>
      </c>
      <c r="H1005" s="11" t="s">
        <v>6</v>
      </c>
      <c r="I1005" s="7" t="str">
        <f>D1005</f>
        <v>DEO-B06</v>
      </c>
      <c r="K1005" s="6" t="s">
        <v>8</v>
      </c>
      <c r="L1005" s="6" t="s">
        <v>7</v>
      </c>
    </row>
    <row r="1006" spans="1:12" s="1" customFormat="1" ht="30" customHeight="1" x14ac:dyDescent="0.25">
      <c r="A1006" s="34" t="s">
        <v>86</v>
      </c>
      <c r="B1006" s="35"/>
      <c r="C1006" s="35"/>
      <c r="D1006" s="36"/>
      <c r="E1006" s="5"/>
      <c r="F1006" s="34" t="s">
        <v>86</v>
      </c>
      <c r="G1006" s="35"/>
      <c r="H1006" s="35"/>
      <c r="I1006" s="36"/>
      <c r="K1006" s="1">
        <v>165</v>
      </c>
      <c r="L1006" s="1">
        <v>20</v>
      </c>
    </row>
    <row r="1007" spans="1:12" s="1" customFormat="1" ht="30" customHeight="1" x14ac:dyDescent="0.25">
      <c r="A1007" s="43" t="s">
        <v>85</v>
      </c>
      <c r="B1007" s="44"/>
      <c r="C1007" s="41" t="s">
        <v>81</v>
      </c>
      <c r="D1007" s="42"/>
      <c r="E1007" s="4"/>
      <c r="F1007" s="43" t="str">
        <f>A1007</f>
        <v>KW621</v>
      </c>
      <c r="G1007" s="44"/>
      <c r="H1007" s="41" t="str">
        <f>C1007</f>
        <v>Green</v>
      </c>
      <c r="I1007" s="42"/>
    </row>
    <row r="1008" spans="1:12" s="1" customFormat="1" ht="30" customHeight="1" x14ac:dyDescent="0.25">
      <c r="A1008" s="12" t="s">
        <v>4</v>
      </c>
      <c r="B1008" s="37">
        <v>27087</v>
      </c>
      <c r="C1008" s="37"/>
      <c r="D1008" s="38"/>
      <c r="E1008" s="4"/>
      <c r="F1008" s="12" t="s">
        <v>4</v>
      </c>
      <c r="G1008" s="37">
        <f>B1008</f>
        <v>27087</v>
      </c>
      <c r="H1008" s="37"/>
      <c r="I1008" s="38"/>
    </row>
    <row r="1009" spans="1:12" ht="63.75" customHeight="1" x14ac:dyDescent="0.25">
      <c r="A1009" s="33" t="s">
        <v>82</v>
      </c>
      <c r="B1009" s="33"/>
      <c r="C1009" s="33"/>
      <c r="D1009" s="33"/>
      <c r="E1009" s="2"/>
      <c r="F1009" s="33" t="str">
        <f>A1009</f>
        <v>Tall DEO - Barrel</v>
      </c>
      <c r="G1009" s="33"/>
      <c r="H1009" s="33"/>
      <c r="I1009" s="33"/>
    </row>
    <row r="1010" spans="1:12" s="1" customFormat="1" ht="30" customHeight="1" x14ac:dyDescent="0.25">
      <c r="A1010" s="11" t="s">
        <v>0</v>
      </c>
      <c r="B1010" s="10"/>
      <c r="C1010" s="11" t="s">
        <v>1</v>
      </c>
      <c r="D1010" s="10"/>
      <c r="E1010" s="3"/>
      <c r="F1010" s="11" t="s">
        <v>0</v>
      </c>
      <c r="G1010" s="10"/>
      <c r="H1010" s="11" t="s">
        <v>1</v>
      </c>
      <c r="I1010" s="10"/>
    </row>
    <row r="1011" spans="1:12" s="1" customFormat="1" ht="30" customHeight="1" x14ac:dyDescent="0.25">
      <c r="A1011" s="11" t="s">
        <v>2</v>
      </c>
      <c r="B1011" s="10"/>
      <c r="C1011" s="11" t="s">
        <v>5</v>
      </c>
      <c r="D1011" s="7" t="s">
        <v>83</v>
      </c>
      <c r="E1011" s="4"/>
      <c r="F1011" s="11" t="s">
        <v>2</v>
      </c>
      <c r="G1011" s="10"/>
      <c r="H1011" s="11" t="s">
        <v>5</v>
      </c>
      <c r="I1011" s="7" t="str">
        <f>D1011</f>
        <v>18B</v>
      </c>
    </row>
    <row r="1012" spans="1:12" s="1" customFormat="1" ht="53.25" customHeight="1" x14ac:dyDescent="0.25">
      <c r="A1012" s="8" t="s">
        <v>3</v>
      </c>
      <c r="B1012" s="9">
        <v>145</v>
      </c>
      <c r="C1012" s="11" t="s">
        <v>6</v>
      </c>
      <c r="D1012" s="7" t="s">
        <v>84</v>
      </c>
      <c r="E1012" s="4"/>
      <c r="F1012" s="8" t="s">
        <v>3</v>
      </c>
      <c r="G1012" s="9">
        <v>295</v>
      </c>
      <c r="H1012" s="11" t="s">
        <v>6</v>
      </c>
      <c r="I1012" s="7" t="str">
        <f>D1012</f>
        <v>DEO-B06</v>
      </c>
      <c r="K1012" s="6" t="s">
        <v>8</v>
      </c>
      <c r="L1012" s="6" t="s">
        <v>7</v>
      </c>
    </row>
    <row r="1013" spans="1:12" s="1" customFormat="1" ht="30" customHeight="1" x14ac:dyDescent="0.25">
      <c r="A1013" s="34" t="s">
        <v>86</v>
      </c>
      <c r="B1013" s="35"/>
      <c r="C1013" s="35"/>
      <c r="D1013" s="36"/>
      <c r="E1013" s="5"/>
      <c r="F1013" s="34" t="s">
        <v>86</v>
      </c>
      <c r="G1013" s="35"/>
      <c r="H1013" s="35"/>
      <c r="I1013" s="36"/>
      <c r="K1013" s="1">
        <v>165</v>
      </c>
      <c r="L1013" s="1">
        <v>20</v>
      </c>
    </row>
    <row r="1014" spans="1:12" s="1" customFormat="1" ht="30" customHeight="1" x14ac:dyDescent="0.25">
      <c r="A1014" s="43" t="s">
        <v>85</v>
      </c>
      <c r="B1014" s="44"/>
      <c r="C1014" s="41" t="s">
        <v>81</v>
      </c>
      <c r="D1014" s="42"/>
      <c r="E1014" s="4"/>
      <c r="F1014" s="43" t="str">
        <f>A1014</f>
        <v>KW621</v>
      </c>
      <c r="G1014" s="44"/>
      <c r="H1014" s="41" t="str">
        <f>C1014</f>
        <v>Green</v>
      </c>
      <c r="I1014" s="42"/>
    </row>
    <row r="1015" spans="1:12" s="1" customFormat="1" ht="30" customHeight="1" x14ac:dyDescent="0.25">
      <c r="A1015" s="12" t="s">
        <v>4</v>
      </c>
      <c r="B1015" s="37">
        <v>27087</v>
      </c>
      <c r="C1015" s="37"/>
      <c r="D1015" s="38"/>
      <c r="E1015" s="4"/>
      <c r="F1015" s="12" t="s">
        <v>4</v>
      </c>
      <c r="G1015" s="37">
        <f>B1015</f>
        <v>27087</v>
      </c>
      <c r="H1015" s="37"/>
      <c r="I1015" s="38"/>
    </row>
    <row r="1016" spans="1:12" ht="63.75" customHeight="1" x14ac:dyDescent="0.25">
      <c r="A1016" s="33" t="s">
        <v>82</v>
      </c>
      <c r="B1016" s="33"/>
      <c r="C1016" s="33"/>
      <c r="D1016" s="33"/>
      <c r="E1016" s="2"/>
      <c r="F1016" s="33" t="str">
        <f>A1016</f>
        <v>Tall DEO - Barrel</v>
      </c>
      <c r="G1016" s="33"/>
      <c r="H1016" s="33"/>
      <c r="I1016" s="33"/>
    </row>
    <row r="1017" spans="1:12" s="1" customFormat="1" ht="30" customHeight="1" x14ac:dyDescent="0.25">
      <c r="A1017" s="11" t="s">
        <v>0</v>
      </c>
      <c r="B1017" s="10"/>
      <c r="C1017" s="11" t="s">
        <v>1</v>
      </c>
      <c r="D1017" s="10"/>
      <c r="E1017" s="3"/>
      <c r="F1017" s="11" t="s">
        <v>0</v>
      </c>
      <c r="G1017" s="10"/>
      <c r="H1017" s="11" t="s">
        <v>1</v>
      </c>
      <c r="I1017" s="10"/>
    </row>
    <row r="1018" spans="1:12" s="1" customFormat="1" ht="30" customHeight="1" x14ac:dyDescent="0.25">
      <c r="A1018" s="11" t="s">
        <v>2</v>
      </c>
      <c r="B1018" s="10"/>
      <c r="C1018" s="11" t="s">
        <v>5</v>
      </c>
      <c r="D1018" s="7" t="s">
        <v>83</v>
      </c>
      <c r="E1018" s="4"/>
      <c r="F1018" s="11" t="s">
        <v>2</v>
      </c>
      <c r="G1018" s="10"/>
      <c r="H1018" s="11" t="s">
        <v>5</v>
      </c>
      <c r="I1018" s="7" t="str">
        <f>D1018</f>
        <v>18B</v>
      </c>
    </row>
    <row r="1019" spans="1:12" s="1" customFormat="1" ht="53.25" customHeight="1" x14ac:dyDescent="0.25">
      <c r="A1019" s="8" t="s">
        <v>3</v>
      </c>
      <c r="B1019" s="9">
        <v>146</v>
      </c>
      <c r="C1019" s="11" t="s">
        <v>6</v>
      </c>
      <c r="D1019" s="7" t="s">
        <v>84</v>
      </c>
      <c r="E1019" s="4"/>
      <c r="F1019" s="8" t="s">
        <v>3</v>
      </c>
      <c r="G1019" s="9">
        <v>296</v>
      </c>
      <c r="H1019" s="11" t="s">
        <v>6</v>
      </c>
      <c r="I1019" s="7" t="str">
        <f>D1019</f>
        <v>DEO-B06</v>
      </c>
      <c r="K1019" s="6" t="s">
        <v>8</v>
      </c>
      <c r="L1019" s="6" t="s">
        <v>7</v>
      </c>
    </row>
    <row r="1020" spans="1:12" s="1" customFormat="1" ht="30" customHeight="1" x14ac:dyDescent="0.25">
      <c r="A1020" s="34" t="s">
        <v>86</v>
      </c>
      <c r="B1020" s="35"/>
      <c r="C1020" s="35"/>
      <c r="D1020" s="36"/>
      <c r="E1020" s="5"/>
      <c r="F1020" s="34" t="s">
        <v>86</v>
      </c>
      <c r="G1020" s="35"/>
      <c r="H1020" s="35"/>
      <c r="I1020" s="36"/>
      <c r="K1020" s="1">
        <v>165</v>
      </c>
      <c r="L1020" s="1">
        <v>20</v>
      </c>
    </row>
    <row r="1021" spans="1:12" s="1" customFormat="1" ht="30" customHeight="1" x14ac:dyDescent="0.25">
      <c r="A1021" s="43" t="s">
        <v>85</v>
      </c>
      <c r="B1021" s="44"/>
      <c r="C1021" s="41" t="s">
        <v>81</v>
      </c>
      <c r="D1021" s="42"/>
      <c r="E1021" s="4"/>
      <c r="F1021" s="43" t="str">
        <f>A1021</f>
        <v>KW621</v>
      </c>
      <c r="G1021" s="44"/>
      <c r="H1021" s="41" t="str">
        <f>C1021</f>
        <v>Green</v>
      </c>
      <c r="I1021" s="42"/>
    </row>
    <row r="1022" spans="1:12" s="1" customFormat="1" ht="30" customHeight="1" x14ac:dyDescent="0.25">
      <c r="A1022" s="12" t="s">
        <v>4</v>
      </c>
      <c r="B1022" s="37">
        <v>27087</v>
      </c>
      <c r="C1022" s="37"/>
      <c r="D1022" s="38"/>
      <c r="E1022" s="4"/>
      <c r="F1022" s="12" t="s">
        <v>4</v>
      </c>
      <c r="G1022" s="37">
        <f>B1022</f>
        <v>27087</v>
      </c>
      <c r="H1022" s="37"/>
      <c r="I1022" s="38"/>
    </row>
    <row r="1023" spans="1:12" ht="63.75" customHeight="1" x14ac:dyDescent="0.25">
      <c r="A1023" s="33" t="s">
        <v>82</v>
      </c>
      <c r="B1023" s="33"/>
      <c r="C1023" s="33"/>
      <c r="D1023" s="33"/>
      <c r="E1023" s="2"/>
      <c r="F1023" s="33" t="str">
        <f>A1023</f>
        <v>Tall DEO - Barrel</v>
      </c>
      <c r="G1023" s="33"/>
      <c r="H1023" s="33"/>
      <c r="I1023" s="33"/>
    </row>
    <row r="1024" spans="1:12" s="1" customFormat="1" ht="30" customHeight="1" x14ac:dyDescent="0.25">
      <c r="A1024" s="11" t="s">
        <v>0</v>
      </c>
      <c r="B1024" s="10"/>
      <c r="C1024" s="11" t="s">
        <v>1</v>
      </c>
      <c r="D1024" s="10"/>
      <c r="E1024" s="3"/>
      <c r="F1024" s="11" t="s">
        <v>0</v>
      </c>
      <c r="G1024" s="10"/>
      <c r="H1024" s="11" t="s">
        <v>1</v>
      </c>
      <c r="I1024" s="10"/>
    </row>
    <row r="1025" spans="1:12" s="1" customFormat="1" ht="30" customHeight="1" x14ac:dyDescent="0.25">
      <c r="A1025" s="11" t="s">
        <v>2</v>
      </c>
      <c r="B1025" s="10"/>
      <c r="C1025" s="11" t="s">
        <v>5</v>
      </c>
      <c r="D1025" s="7" t="s">
        <v>83</v>
      </c>
      <c r="E1025" s="4"/>
      <c r="F1025" s="11" t="s">
        <v>2</v>
      </c>
      <c r="G1025" s="10"/>
      <c r="H1025" s="11" t="s">
        <v>5</v>
      </c>
      <c r="I1025" s="7" t="str">
        <f>D1025</f>
        <v>18B</v>
      </c>
    </row>
    <row r="1026" spans="1:12" s="1" customFormat="1" ht="53.25" customHeight="1" x14ac:dyDescent="0.25">
      <c r="A1026" s="8" t="s">
        <v>3</v>
      </c>
      <c r="B1026" s="9">
        <v>147</v>
      </c>
      <c r="C1026" s="11" t="s">
        <v>6</v>
      </c>
      <c r="D1026" s="7" t="s">
        <v>84</v>
      </c>
      <c r="E1026" s="4"/>
      <c r="F1026" s="8" t="s">
        <v>3</v>
      </c>
      <c r="G1026" s="9">
        <v>297</v>
      </c>
      <c r="H1026" s="11" t="s">
        <v>6</v>
      </c>
      <c r="I1026" s="7" t="str">
        <f>D1026</f>
        <v>DEO-B06</v>
      </c>
      <c r="K1026" s="6" t="s">
        <v>8</v>
      </c>
      <c r="L1026" s="6" t="s">
        <v>7</v>
      </c>
    </row>
    <row r="1027" spans="1:12" s="1" customFormat="1" ht="30" customHeight="1" x14ac:dyDescent="0.25">
      <c r="A1027" s="34" t="s">
        <v>86</v>
      </c>
      <c r="B1027" s="35"/>
      <c r="C1027" s="35"/>
      <c r="D1027" s="36"/>
      <c r="E1027" s="5"/>
      <c r="F1027" s="34" t="s">
        <v>86</v>
      </c>
      <c r="G1027" s="35"/>
      <c r="H1027" s="35"/>
      <c r="I1027" s="36"/>
      <c r="K1027" s="1">
        <v>165</v>
      </c>
      <c r="L1027" s="1">
        <v>20</v>
      </c>
    </row>
    <row r="1028" spans="1:12" s="1" customFormat="1" ht="30" customHeight="1" x14ac:dyDescent="0.25">
      <c r="A1028" s="43" t="s">
        <v>85</v>
      </c>
      <c r="B1028" s="44"/>
      <c r="C1028" s="41" t="s">
        <v>81</v>
      </c>
      <c r="D1028" s="42"/>
      <c r="E1028" s="4"/>
      <c r="F1028" s="43" t="str">
        <f>A1028</f>
        <v>KW621</v>
      </c>
      <c r="G1028" s="44"/>
      <c r="H1028" s="41" t="str">
        <f>C1028</f>
        <v>Green</v>
      </c>
      <c r="I1028" s="42"/>
    </row>
    <row r="1029" spans="1:12" s="1" customFormat="1" ht="30" customHeight="1" x14ac:dyDescent="0.25">
      <c r="A1029" s="12" t="s">
        <v>4</v>
      </c>
      <c r="B1029" s="37">
        <v>27087</v>
      </c>
      <c r="C1029" s="37"/>
      <c r="D1029" s="38"/>
      <c r="E1029" s="4"/>
      <c r="F1029" s="12" t="s">
        <v>4</v>
      </c>
      <c r="G1029" s="37">
        <f>B1029</f>
        <v>27087</v>
      </c>
      <c r="H1029" s="37"/>
      <c r="I1029" s="38"/>
    </row>
    <row r="1030" spans="1:12" ht="63.75" customHeight="1" x14ac:dyDescent="0.25">
      <c r="A1030" s="33" t="s">
        <v>82</v>
      </c>
      <c r="B1030" s="33"/>
      <c r="C1030" s="33"/>
      <c r="D1030" s="33"/>
      <c r="E1030" s="2"/>
      <c r="F1030" s="33" t="str">
        <f>A1030</f>
        <v>Tall DEO - Barrel</v>
      </c>
      <c r="G1030" s="33"/>
      <c r="H1030" s="33"/>
      <c r="I1030" s="33"/>
    </row>
    <row r="1031" spans="1:12" s="1" customFormat="1" ht="30" customHeight="1" x14ac:dyDescent="0.25">
      <c r="A1031" s="11" t="s">
        <v>0</v>
      </c>
      <c r="B1031" s="10"/>
      <c r="C1031" s="11" t="s">
        <v>1</v>
      </c>
      <c r="D1031" s="10"/>
      <c r="E1031" s="3"/>
      <c r="F1031" s="11" t="s">
        <v>0</v>
      </c>
      <c r="G1031" s="10"/>
      <c r="H1031" s="11" t="s">
        <v>1</v>
      </c>
      <c r="I1031" s="10"/>
    </row>
    <row r="1032" spans="1:12" s="1" customFormat="1" ht="30" customHeight="1" x14ac:dyDescent="0.25">
      <c r="A1032" s="11" t="s">
        <v>2</v>
      </c>
      <c r="B1032" s="10"/>
      <c r="C1032" s="11" t="s">
        <v>5</v>
      </c>
      <c r="D1032" s="7" t="s">
        <v>83</v>
      </c>
      <c r="E1032" s="4"/>
      <c r="F1032" s="11" t="s">
        <v>2</v>
      </c>
      <c r="G1032" s="10"/>
      <c r="H1032" s="11" t="s">
        <v>5</v>
      </c>
      <c r="I1032" s="7" t="str">
        <f>D1032</f>
        <v>18B</v>
      </c>
    </row>
    <row r="1033" spans="1:12" s="1" customFormat="1" ht="53.25" customHeight="1" x14ac:dyDescent="0.25">
      <c r="A1033" s="8" t="s">
        <v>3</v>
      </c>
      <c r="B1033" s="9">
        <v>148</v>
      </c>
      <c r="C1033" s="11" t="s">
        <v>6</v>
      </c>
      <c r="D1033" s="7" t="s">
        <v>84</v>
      </c>
      <c r="E1033" s="4"/>
      <c r="F1033" s="8" t="s">
        <v>3</v>
      </c>
      <c r="G1033" s="9">
        <v>298</v>
      </c>
      <c r="H1033" s="11" t="s">
        <v>6</v>
      </c>
      <c r="I1033" s="7" t="str">
        <f>D1033</f>
        <v>DEO-B06</v>
      </c>
      <c r="K1033" s="6" t="s">
        <v>8</v>
      </c>
      <c r="L1033" s="6" t="s">
        <v>7</v>
      </c>
    </row>
    <row r="1034" spans="1:12" s="1" customFormat="1" ht="30" customHeight="1" x14ac:dyDescent="0.25">
      <c r="A1034" s="34" t="s">
        <v>86</v>
      </c>
      <c r="B1034" s="35"/>
      <c r="C1034" s="35"/>
      <c r="D1034" s="36"/>
      <c r="E1034" s="5"/>
      <c r="F1034" s="34" t="s">
        <v>86</v>
      </c>
      <c r="G1034" s="35"/>
      <c r="H1034" s="35"/>
      <c r="I1034" s="36"/>
      <c r="K1034" s="1">
        <v>165</v>
      </c>
      <c r="L1034" s="1">
        <v>20</v>
      </c>
    </row>
    <row r="1035" spans="1:12" s="1" customFormat="1" ht="30" customHeight="1" x14ac:dyDescent="0.25">
      <c r="A1035" s="43" t="s">
        <v>85</v>
      </c>
      <c r="B1035" s="44"/>
      <c r="C1035" s="41" t="s">
        <v>81</v>
      </c>
      <c r="D1035" s="42"/>
      <c r="E1035" s="4"/>
      <c r="F1035" s="43" t="str">
        <f>A1035</f>
        <v>KW621</v>
      </c>
      <c r="G1035" s="44"/>
      <c r="H1035" s="41" t="str">
        <f>C1035</f>
        <v>Green</v>
      </c>
      <c r="I1035" s="42"/>
    </row>
    <row r="1036" spans="1:12" s="1" customFormat="1" ht="30" customHeight="1" x14ac:dyDescent="0.25">
      <c r="A1036" s="12" t="s">
        <v>4</v>
      </c>
      <c r="B1036" s="37">
        <v>27087</v>
      </c>
      <c r="C1036" s="37"/>
      <c r="D1036" s="38"/>
      <c r="E1036" s="4"/>
      <c r="F1036" s="12" t="s">
        <v>4</v>
      </c>
      <c r="G1036" s="37">
        <f>B1036</f>
        <v>27087</v>
      </c>
      <c r="H1036" s="37"/>
      <c r="I1036" s="38"/>
    </row>
    <row r="1037" spans="1:12" ht="63.75" customHeight="1" x14ac:dyDescent="0.25">
      <c r="A1037" s="33" t="s">
        <v>82</v>
      </c>
      <c r="B1037" s="33"/>
      <c r="C1037" s="33"/>
      <c r="D1037" s="33"/>
      <c r="E1037" s="2"/>
      <c r="F1037" s="33" t="str">
        <f>A1037</f>
        <v>Tall DEO - Barrel</v>
      </c>
      <c r="G1037" s="33"/>
      <c r="H1037" s="33"/>
      <c r="I1037" s="33"/>
    </row>
    <row r="1038" spans="1:12" s="1" customFormat="1" ht="30" customHeight="1" x14ac:dyDescent="0.25">
      <c r="A1038" s="11" t="s">
        <v>0</v>
      </c>
      <c r="B1038" s="10"/>
      <c r="C1038" s="11" t="s">
        <v>1</v>
      </c>
      <c r="D1038" s="10"/>
      <c r="E1038" s="3"/>
      <c r="F1038" s="11" t="s">
        <v>0</v>
      </c>
      <c r="G1038" s="10"/>
      <c r="H1038" s="11" t="s">
        <v>1</v>
      </c>
      <c r="I1038" s="10"/>
    </row>
    <row r="1039" spans="1:12" s="1" customFormat="1" ht="30" customHeight="1" x14ac:dyDescent="0.25">
      <c r="A1039" s="11" t="s">
        <v>2</v>
      </c>
      <c r="B1039" s="10"/>
      <c r="C1039" s="11" t="s">
        <v>5</v>
      </c>
      <c r="D1039" s="7" t="s">
        <v>83</v>
      </c>
      <c r="E1039" s="4"/>
      <c r="F1039" s="11" t="s">
        <v>2</v>
      </c>
      <c r="G1039" s="10"/>
      <c r="H1039" s="11" t="s">
        <v>5</v>
      </c>
      <c r="I1039" s="7" t="str">
        <f>D1039</f>
        <v>18B</v>
      </c>
    </row>
    <row r="1040" spans="1:12" s="1" customFormat="1" ht="53.25" customHeight="1" x14ac:dyDescent="0.25">
      <c r="A1040" s="8" t="s">
        <v>3</v>
      </c>
      <c r="B1040" s="9">
        <v>149</v>
      </c>
      <c r="C1040" s="11" t="s">
        <v>6</v>
      </c>
      <c r="D1040" s="7" t="s">
        <v>84</v>
      </c>
      <c r="E1040" s="4"/>
      <c r="F1040" s="8" t="s">
        <v>3</v>
      </c>
      <c r="G1040" s="9">
        <v>299</v>
      </c>
      <c r="H1040" s="11" t="s">
        <v>6</v>
      </c>
      <c r="I1040" s="7" t="str">
        <f>D1040</f>
        <v>DEO-B06</v>
      </c>
      <c r="K1040" s="6" t="s">
        <v>8</v>
      </c>
      <c r="L1040" s="6" t="s">
        <v>7</v>
      </c>
    </row>
    <row r="1041" spans="1:12" s="1" customFormat="1" ht="30" customHeight="1" x14ac:dyDescent="0.25">
      <c r="A1041" s="34" t="s">
        <v>86</v>
      </c>
      <c r="B1041" s="35"/>
      <c r="C1041" s="35"/>
      <c r="D1041" s="36"/>
      <c r="E1041" s="5"/>
      <c r="F1041" s="34" t="s">
        <v>86</v>
      </c>
      <c r="G1041" s="35"/>
      <c r="H1041" s="35"/>
      <c r="I1041" s="36"/>
      <c r="K1041" s="1">
        <v>165</v>
      </c>
      <c r="L1041" s="1">
        <v>20</v>
      </c>
    </row>
    <row r="1042" spans="1:12" s="1" customFormat="1" ht="30" customHeight="1" x14ac:dyDescent="0.25">
      <c r="A1042" s="43" t="s">
        <v>85</v>
      </c>
      <c r="B1042" s="44"/>
      <c r="C1042" s="41" t="s">
        <v>81</v>
      </c>
      <c r="D1042" s="42"/>
      <c r="E1042" s="4"/>
      <c r="F1042" s="43" t="str">
        <f>A1042</f>
        <v>KW621</v>
      </c>
      <c r="G1042" s="44"/>
      <c r="H1042" s="41" t="str">
        <f>C1042</f>
        <v>Green</v>
      </c>
      <c r="I1042" s="42"/>
    </row>
    <row r="1043" spans="1:12" s="1" customFormat="1" ht="30" customHeight="1" x14ac:dyDescent="0.25">
      <c r="A1043" s="12" t="s">
        <v>4</v>
      </c>
      <c r="B1043" s="37">
        <v>27087</v>
      </c>
      <c r="C1043" s="37"/>
      <c r="D1043" s="38"/>
      <c r="E1043" s="4"/>
      <c r="F1043" s="12" t="s">
        <v>4</v>
      </c>
      <c r="G1043" s="37">
        <f>B1043</f>
        <v>27087</v>
      </c>
      <c r="H1043" s="37"/>
      <c r="I1043" s="38"/>
    </row>
    <row r="1044" spans="1:12" ht="63.75" customHeight="1" x14ac:dyDescent="0.25">
      <c r="A1044" s="33" t="s">
        <v>82</v>
      </c>
      <c r="B1044" s="33"/>
      <c r="C1044" s="33"/>
      <c r="D1044" s="33"/>
      <c r="E1044" s="2"/>
      <c r="F1044" s="33" t="str">
        <f>A1044</f>
        <v>Tall DEO - Barrel</v>
      </c>
      <c r="G1044" s="33"/>
      <c r="H1044" s="33"/>
      <c r="I1044" s="33"/>
    </row>
    <row r="1045" spans="1:12" s="1" customFormat="1" ht="30" customHeight="1" x14ac:dyDescent="0.25">
      <c r="A1045" s="11" t="s">
        <v>0</v>
      </c>
      <c r="B1045" s="10"/>
      <c r="C1045" s="11" t="s">
        <v>1</v>
      </c>
      <c r="D1045" s="10"/>
      <c r="E1045" s="3"/>
      <c r="F1045" s="11" t="s">
        <v>0</v>
      </c>
      <c r="G1045" s="10"/>
      <c r="H1045" s="11" t="s">
        <v>1</v>
      </c>
      <c r="I1045" s="10"/>
    </row>
    <row r="1046" spans="1:12" s="1" customFormat="1" ht="30" customHeight="1" x14ac:dyDescent="0.25">
      <c r="A1046" s="11" t="s">
        <v>2</v>
      </c>
      <c r="B1046" s="10"/>
      <c r="C1046" s="11" t="s">
        <v>5</v>
      </c>
      <c r="D1046" s="7" t="s">
        <v>83</v>
      </c>
      <c r="E1046" s="4"/>
      <c r="F1046" s="11" t="s">
        <v>2</v>
      </c>
      <c r="G1046" s="10"/>
      <c r="H1046" s="11" t="s">
        <v>5</v>
      </c>
      <c r="I1046" s="7" t="str">
        <f>D1046</f>
        <v>18B</v>
      </c>
    </row>
    <row r="1047" spans="1:12" s="1" customFormat="1" ht="53.25" customHeight="1" x14ac:dyDescent="0.25">
      <c r="A1047" s="8" t="s">
        <v>3</v>
      </c>
      <c r="B1047" s="9">
        <v>150</v>
      </c>
      <c r="C1047" s="11" t="s">
        <v>6</v>
      </c>
      <c r="D1047" s="7" t="s">
        <v>84</v>
      </c>
      <c r="E1047" s="4"/>
      <c r="F1047" s="8" t="s">
        <v>3</v>
      </c>
      <c r="G1047" s="9">
        <v>300</v>
      </c>
      <c r="H1047" s="11" t="s">
        <v>6</v>
      </c>
      <c r="I1047" s="7" t="str">
        <f>D1047</f>
        <v>DEO-B06</v>
      </c>
      <c r="K1047" s="6" t="s">
        <v>8</v>
      </c>
      <c r="L1047" s="6" t="s">
        <v>7</v>
      </c>
    </row>
    <row r="1048" spans="1:12" s="1" customFormat="1" ht="30" customHeight="1" x14ac:dyDescent="0.25">
      <c r="A1048" s="34" t="s">
        <v>86</v>
      </c>
      <c r="B1048" s="35"/>
      <c r="C1048" s="35"/>
      <c r="D1048" s="36"/>
      <c r="E1048" s="5"/>
      <c r="F1048" s="34" t="s">
        <v>86</v>
      </c>
      <c r="G1048" s="35"/>
      <c r="H1048" s="35"/>
      <c r="I1048" s="36"/>
      <c r="K1048" s="1">
        <v>165</v>
      </c>
      <c r="L1048" s="1">
        <v>20</v>
      </c>
    </row>
    <row r="1049" spans="1:12" s="1" customFormat="1" ht="30" customHeight="1" x14ac:dyDescent="0.25">
      <c r="A1049" s="43" t="s">
        <v>85</v>
      </c>
      <c r="B1049" s="44"/>
      <c r="C1049" s="41" t="s">
        <v>81</v>
      </c>
      <c r="D1049" s="42"/>
      <c r="E1049" s="4"/>
      <c r="F1049" s="43" t="str">
        <f>A1049</f>
        <v>KW621</v>
      </c>
      <c r="G1049" s="44"/>
      <c r="H1049" s="41" t="str">
        <f>C1049</f>
        <v>Green</v>
      </c>
      <c r="I1049" s="42"/>
    </row>
    <row r="1050" spans="1:12" s="1" customFormat="1" ht="30" customHeight="1" x14ac:dyDescent="0.25">
      <c r="A1050" s="12" t="s">
        <v>4</v>
      </c>
      <c r="B1050" s="37">
        <v>27087</v>
      </c>
      <c r="C1050" s="37"/>
      <c r="D1050" s="38"/>
      <c r="E1050" s="4"/>
      <c r="F1050" s="12" t="s">
        <v>4</v>
      </c>
      <c r="G1050" s="37">
        <f>B1050</f>
        <v>27087</v>
      </c>
      <c r="H1050" s="37"/>
      <c r="I1050" s="38"/>
    </row>
  </sheetData>
  <mergeCells count="1500">
    <mergeCell ref="A1:D1"/>
    <mergeCell ref="F1:I1"/>
    <mergeCell ref="A5:D5"/>
    <mergeCell ref="F5:I5"/>
    <mergeCell ref="A6:B6"/>
    <mergeCell ref="C6:D6"/>
    <mergeCell ref="F6:G6"/>
    <mergeCell ref="H6:I6"/>
    <mergeCell ref="A26:D26"/>
    <mergeCell ref="F26:I26"/>
    <mergeCell ref="A15:D15"/>
    <mergeCell ref="F15:I15"/>
    <mergeCell ref="A19:D19"/>
    <mergeCell ref="F19:I19"/>
    <mergeCell ref="A20:B20"/>
    <mergeCell ref="C20:D20"/>
    <mergeCell ref="F20:G20"/>
    <mergeCell ref="H20:I20"/>
    <mergeCell ref="A13:B13"/>
    <mergeCell ref="C13:D13"/>
    <mergeCell ref="F13:G13"/>
    <mergeCell ref="H13:I13"/>
    <mergeCell ref="B14:D14"/>
    <mergeCell ref="G14:I14"/>
    <mergeCell ref="B7:D7"/>
    <mergeCell ref="G7:I7"/>
    <mergeCell ref="A36:D36"/>
    <mergeCell ref="F36:I36"/>
    <mergeCell ref="A40:D40"/>
    <mergeCell ref="F40:I40"/>
    <mergeCell ref="A41:B41"/>
    <mergeCell ref="C41:D41"/>
    <mergeCell ref="F41:G41"/>
    <mergeCell ref="H41:I41"/>
    <mergeCell ref="B35:D35"/>
    <mergeCell ref="G35:I35"/>
    <mergeCell ref="A8:D8"/>
    <mergeCell ref="F8:I8"/>
    <mergeCell ref="A12:D12"/>
    <mergeCell ref="F12:I12"/>
    <mergeCell ref="A29:D29"/>
    <mergeCell ref="F29:I29"/>
    <mergeCell ref="A33:D33"/>
    <mergeCell ref="F33:I33"/>
    <mergeCell ref="A34:B34"/>
    <mergeCell ref="C34:D34"/>
    <mergeCell ref="F34:G34"/>
    <mergeCell ref="H34:I34"/>
    <mergeCell ref="A27:B27"/>
    <mergeCell ref="C27:D27"/>
    <mergeCell ref="F27:G27"/>
    <mergeCell ref="H27:I27"/>
    <mergeCell ref="B28:D28"/>
    <mergeCell ref="G28:I28"/>
    <mergeCell ref="B21:D21"/>
    <mergeCell ref="G21:I21"/>
    <mergeCell ref="A22:D22"/>
    <mergeCell ref="F22:I22"/>
    <mergeCell ref="A50:D50"/>
    <mergeCell ref="F50:I50"/>
    <mergeCell ref="A54:D54"/>
    <mergeCell ref="F54:I54"/>
    <mergeCell ref="A55:B55"/>
    <mergeCell ref="C55:D55"/>
    <mergeCell ref="F55:G55"/>
    <mergeCell ref="H55:I5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B70:D70"/>
    <mergeCell ref="G70:I70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97:B97"/>
    <mergeCell ref="C97:D97"/>
    <mergeCell ref="F97:G97"/>
    <mergeCell ref="H97:I97"/>
    <mergeCell ref="B98:D98"/>
    <mergeCell ref="G98:I98"/>
    <mergeCell ref="B91:D91"/>
    <mergeCell ref="G91:I91"/>
    <mergeCell ref="A92:D92"/>
    <mergeCell ref="F92:I92"/>
    <mergeCell ref="A96:D96"/>
    <mergeCell ref="F96:I96"/>
    <mergeCell ref="A85:D85"/>
    <mergeCell ref="F85:I85"/>
    <mergeCell ref="A89:D89"/>
    <mergeCell ref="F89:I89"/>
    <mergeCell ref="A90:B90"/>
    <mergeCell ref="C90:D90"/>
    <mergeCell ref="F90:G90"/>
    <mergeCell ref="H90:I90"/>
    <mergeCell ref="A111:B111"/>
    <mergeCell ref="C111:D111"/>
    <mergeCell ref="F111:G111"/>
    <mergeCell ref="H111:I111"/>
    <mergeCell ref="B112:D112"/>
    <mergeCell ref="G112:I112"/>
    <mergeCell ref="B105:D105"/>
    <mergeCell ref="G105:I105"/>
    <mergeCell ref="A106:D106"/>
    <mergeCell ref="F106:I106"/>
    <mergeCell ref="A110:D110"/>
    <mergeCell ref="F110:I110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A125:B125"/>
    <mergeCell ref="C125:D125"/>
    <mergeCell ref="F125:G125"/>
    <mergeCell ref="H125:I125"/>
    <mergeCell ref="B126:D126"/>
    <mergeCell ref="G126:I126"/>
    <mergeCell ref="B119:D119"/>
    <mergeCell ref="G119:I119"/>
    <mergeCell ref="A120:D120"/>
    <mergeCell ref="F120:I120"/>
    <mergeCell ref="A124:D124"/>
    <mergeCell ref="F124:I124"/>
    <mergeCell ref="A113:D113"/>
    <mergeCell ref="F113:I113"/>
    <mergeCell ref="A117:D117"/>
    <mergeCell ref="F117:I117"/>
    <mergeCell ref="A118:B118"/>
    <mergeCell ref="C118:D118"/>
    <mergeCell ref="F118:G118"/>
    <mergeCell ref="H118:I118"/>
    <mergeCell ref="A139:B139"/>
    <mergeCell ref="C139:D139"/>
    <mergeCell ref="F139:G139"/>
    <mergeCell ref="H139:I139"/>
    <mergeCell ref="B140:D140"/>
    <mergeCell ref="G140:I140"/>
    <mergeCell ref="B133:D133"/>
    <mergeCell ref="G133:I133"/>
    <mergeCell ref="A134:D134"/>
    <mergeCell ref="F134:I134"/>
    <mergeCell ref="A138:D138"/>
    <mergeCell ref="F138:I138"/>
    <mergeCell ref="A127:D127"/>
    <mergeCell ref="F127:I127"/>
    <mergeCell ref="A131:D131"/>
    <mergeCell ref="F131:I131"/>
    <mergeCell ref="A132:B132"/>
    <mergeCell ref="C132:D132"/>
    <mergeCell ref="F132:G132"/>
    <mergeCell ref="H132:I132"/>
    <mergeCell ref="A153:B153"/>
    <mergeCell ref="C153:D153"/>
    <mergeCell ref="F153:G153"/>
    <mergeCell ref="H153:I153"/>
    <mergeCell ref="B154:D154"/>
    <mergeCell ref="G154:I154"/>
    <mergeCell ref="B147:D147"/>
    <mergeCell ref="G147:I147"/>
    <mergeCell ref="A148:D148"/>
    <mergeCell ref="F148:I148"/>
    <mergeCell ref="A152:D152"/>
    <mergeCell ref="F152:I152"/>
    <mergeCell ref="A141:D141"/>
    <mergeCell ref="F141:I141"/>
    <mergeCell ref="A145:D145"/>
    <mergeCell ref="F145:I145"/>
    <mergeCell ref="A146:B146"/>
    <mergeCell ref="C146:D146"/>
    <mergeCell ref="F146:G146"/>
    <mergeCell ref="H146:I146"/>
    <mergeCell ref="A167:B167"/>
    <mergeCell ref="C167:D167"/>
    <mergeCell ref="F167:G167"/>
    <mergeCell ref="H167:I167"/>
    <mergeCell ref="B168:D168"/>
    <mergeCell ref="G168:I168"/>
    <mergeCell ref="B161:D161"/>
    <mergeCell ref="G161:I161"/>
    <mergeCell ref="A162:D162"/>
    <mergeCell ref="F162:I162"/>
    <mergeCell ref="A166:D166"/>
    <mergeCell ref="F166:I166"/>
    <mergeCell ref="A155:D155"/>
    <mergeCell ref="F155:I155"/>
    <mergeCell ref="A159:D159"/>
    <mergeCell ref="F159:I159"/>
    <mergeCell ref="A160:B160"/>
    <mergeCell ref="C160:D160"/>
    <mergeCell ref="F160:G160"/>
    <mergeCell ref="H160:I160"/>
    <mergeCell ref="A181:B181"/>
    <mergeCell ref="C181:D181"/>
    <mergeCell ref="F181:G181"/>
    <mergeCell ref="H181:I181"/>
    <mergeCell ref="B182:D182"/>
    <mergeCell ref="G182:I182"/>
    <mergeCell ref="B175:D175"/>
    <mergeCell ref="G175:I175"/>
    <mergeCell ref="A176:D176"/>
    <mergeCell ref="F176:I176"/>
    <mergeCell ref="A180:D180"/>
    <mergeCell ref="F180:I180"/>
    <mergeCell ref="A169:D169"/>
    <mergeCell ref="F169:I169"/>
    <mergeCell ref="A173:D173"/>
    <mergeCell ref="F173:I173"/>
    <mergeCell ref="A174:B174"/>
    <mergeCell ref="C174:D174"/>
    <mergeCell ref="F174:G174"/>
    <mergeCell ref="H174:I174"/>
    <mergeCell ref="A195:B195"/>
    <mergeCell ref="C195:D195"/>
    <mergeCell ref="F195:G195"/>
    <mergeCell ref="H195:I195"/>
    <mergeCell ref="B196:D196"/>
    <mergeCell ref="G196:I196"/>
    <mergeCell ref="B189:D189"/>
    <mergeCell ref="G189:I189"/>
    <mergeCell ref="A190:D190"/>
    <mergeCell ref="F190:I190"/>
    <mergeCell ref="A194:D194"/>
    <mergeCell ref="F194:I194"/>
    <mergeCell ref="A183:D183"/>
    <mergeCell ref="F183:I183"/>
    <mergeCell ref="A187:D187"/>
    <mergeCell ref="F187:I187"/>
    <mergeCell ref="A188:B188"/>
    <mergeCell ref="C188:D188"/>
    <mergeCell ref="F188:G188"/>
    <mergeCell ref="H188:I188"/>
    <mergeCell ref="A209:B209"/>
    <mergeCell ref="C209:D209"/>
    <mergeCell ref="F209:G209"/>
    <mergeCell ref="H209:I209"/>
    <mergeCell ref="B210:D210"/>
    <mergeCell ref="G210:I210"/>
    <mergeCell ref="B203:D203"/>
    <mergeCell ref="G203:I203"/>
    <mergeCell ref="A204:D204"/>
    <mergeCell ref="F204:I204"/>
    <mergeCell ref="A208:D208"/>
    <mergeCell ref="F208:I208"/>
    <mergeCell ref="A197:D197"/>
    <mergeCell ref="F197:I197"/>
    <mergeCell ref="A201:D201"/>
    <mergeCell ref="F201:I201"/>
    <mergeCell ref="A202:B202"/>
    <mergeCell ref="C202:D202"/>
    <mergeCell ref="F202:G202"/>
    <mergeCell ref="H202:I202"/>
    <mergeCell ref="A223:B223"/>
    <mergeCell ref="C223:D223"/>
    <mergeCell ref="F223:G223"/>
    <mergeCell ref="H223:I223"/>
    <mergeCell ref="B224:D224"/>
    <mergeCell ref="G224:I224"/>
    <mergeCell ref="B217:D217"/>
    <mergeCell ref="G217:I217"/>
    <mergeCell ref="A218:D218"/>
    <mergeCell ref="F218:I218"/>
    <mergeCell ref="A222:D222"/>
    <mergeCell ref="F222:I222"/>
    <mergeCell ref="A211:D211"/>
    <mergeCell ref="F211:I211"/>
    <mergeCell ref="A215:D215"/>
    <mergeCell ref="F215:I215"/>
    <mergeCell ref="A216:B216"/>
    <mergeCell ref="C216:D216"/>
    <mergeCell ref="F216:G216"/>
    <mergeCell ref="H216:I216"/>
    <mergeCell ref="A237:B237"/>
    <mergeCell ref="C237:D237"/>
    <mergeCell ref="F237:G237"/>
    <mergeCell ref="H237:I237"/>
    <mergeCell ref="B238:D238"/>
    <mergeCell ref="G238:I238"/>
    <mergeCell ref="B231:D231"/>
    <mergeCell ref="G231:I231"/>
    <mergeCell ref="A232:D232"/>
    <mergeCell ref="F232:I232"/>
    <mergeCell ref="A236:D236"/>
    <mergeCell ref="F236:I236"/>
    <mergeCell ref="A225:D225"/>
    <mergeCell ref="F225:I225"/>
    <mergeCell ref="A229:D229"/>
    <mergeCell ref="F229:I229"/>
    <mergeCell ref="A230:B230"/>
    <mergeCell ref="C230:D230"/>
    <mergeCell ref="F230:G230"/>
    <mergeCell ref="H230:I230"/>
    <mergeCell ref="A251:B251"/>
    <mergeCell ref="C251:D251"/>
    <mergeCell ref="F251:G251"/>
    <mergeCell ref="H251:I251"/>
    <mergeCell ref="B252:D252"/>
    <mergeCell ref="G252:I252"/>
    <mergeCell ref="B245:D245"/>
    <mergeCell ref="G245:I245"/>
    <mergeCell ref="A246:D246"/>
    <mergeCell ref="F246:I246"/>
    <mergeCell ref="A250:D250"/>
    <mergeCell ref="F250:I250"/>
    <mergeCell ref="A239:D239"/>
    <mergeCell ref="F239:I239"/>
    <mergeCell ref="A243:D243"/>
    <mergeCell ref="F243:I243"/>
    <mergeCell ref="A244:B244"/>
    <mergeCell ref="C244:D244"/>
    <mergeCell ref="F244:G244"/>
    <mergeCell ref="H244:I244"/>
    <mergeCell ref="A265:B265"/>
    <mergeCell ref="C265:D265"/>
    <mergeCell ref="F265:G265"/>
    <mergeCell ref="H265:I265"/>
    <mergeCell ref="B266:D266"/>
    <mergeCell ref="G266:I266"/>
    <mergeCell ref="B259:D259"/>
    <mergeCell ref="G259:I259"/>
    <mergeCell ref="A260:D260"/>
    <mergeCell ref="F260:I260"/>
    <mergeCell ref="A264:D264"/>
    <mergeCell ref="F264:I264"/>
    <mergeCell ref="A253:D253"/>
    <mergeCell ref="F253:I253"/>
    <mergeCell ref="A257:D257"/>
    <mergeCell ref="F257:I257"/>
    <mergeCell ref="A258:B258"/>
    <mergeCell ref="C258:D258"/>
    <mergeCell ref="F258:G258"/>
    <mergeCell ref="H258:I258"/>
    <mergeCell ref="A279:B279"/>
    <mergeCell ref="C279:D279"/>
    <mergeCell ref="F279:G279"/>
    <mergeCell ref="H279:I279"/>
    <mergeCell ref="B280:D280"/>
    <mergeCell ref="G280:I280"/>
    <mergeCell ref="B273:D273"/>
    <mergeCell ref="G273:I273"/>
    <mergeCell ref="A274:D274"/>
    <mergeCell ref="F274:I274"/>
    <mergeCell ref="A278:D278"/>
    <mergeCell ref="F278:I278"/>
    <mergeCell ref="A267:D267"/>
    <mergeCell ref="F267:I267"/>
    <mergeCell ref="A271:D271"/>
    <mergeCell ref="F271:I271"/>
    <mergeCell ref="A272:B272"/>
    <mergeCell ref="C272:D272"/>
    <mergeCell ref="F272:G272"/>
    <mergeCell ref="H272:I272"/>
    <mergeCell ref="A293:B293"/>
    <mergeCell ref="C293:D293"/>
    <mergeCell ref="F293:G293"/>
    <mergeCell ref="H293:I293"/>
    <mergeCell ref="B294:D294"/>
    <mergeCell ref="G294:I294"/>
    <mergeCell ref="B287:D287"/>
    <mergeCell ref="G287:I287"/>
    <mergeCell ref="A288:D288"/>
    <mergeCell ref="F288:I288"/>
    <mergeCell ref="A292:D292"/>
    <mergeCell ref="F292:I292"/>
    <mergeCell ref="A281:D281"/>
    <mergeCell ref="F281:I281"/>
    <mergeCell ref="A285:D285"/>
    <mergeCell ref="F285:I285"/>
    <mergeCell ref="A286:B286"/>
    <mergeCell ref="C286:D286"/>
    <mergeCell ref="F286:G286"/>
    <mergeCell ref="H286:I286"/>
    <mergeCell ref="A307:B307"/>
    <mergeCell ref="C307:D307"/>
    <mergeCell ref="F307:G307"/>
    <mergeCell ref="H307:I307"/>
    <mergeCell ref="B308:D308"/>
    <mergeCell ref="G308:I308"/>
    <mergeCell ref="B301:D301"/>
    <mergeCell ref="G301:I301"/>
    <mergeCell ref="A302:D302"/>
    <mergeCell ref="F302:I302"/>
    <mergeCell ref="A306:D306"/>
    <mergeCell ref="F306:I306"/>
    <mergeCell ref="A295:D295"/>
    <mergeCell ref="F295:I295"/>
    <mergeCell ref="A299:D299"/>
    <mergeCell ref="F299:I299"/>
    <mergeCell ref="A300:B300"/>
    <mergeCell ref="C300:D300"/>
    <mergeCell ref="F300:G300"/>
    <mergeCell ref="H300:I300"/>
    <mergeCell ref="A321:B321"/>
    <mergeCell ref="C321:D321"/>
    <mergeCell ref="F321:G321"/>
    <mergeCell ref="H321:I321"/>
    <mergeCell ref="B322:D322"/>
    <mergeCell ref="G322:I322"/>
    <mergeCell ref="B315:D315"/>
    <mergeCell ref="G315:I315"/>
    <mergeCell ref="A316:D316"/>
    <mergeCell ref="F316:I316"/>
    <mergeCell ref="A320:D320"/>
    <mergeCell ref="F320:I320"/>
    <mergeCell ref="A309:D309"/>
    <mergeCell ref="F309:I309"/>
    <mergeCell ref="A313:D313"/>
    <mergeCell ref="F313:I313"/>
    <mergeCell ref="A314:B314"/>
    <mergeCell ref="C314:D314"/>
    <mergeCell ref="F314:G314"/>
    <mergeCell ref="H314:I314"/>
    <mergeCell ref="A335:B335"/>
    <mergeCell ref="C335:D335"/>
    <mergeCell ref="F335:G335"/>
    <mergeCell ref="H335:I335"/>
    <mergeCell ref="B336:D336"/>
    <mergeCell ref="G336:I336"/>
    <mergeCell ref="B329:D329"/>
    <mergeCell ref="G329:I329"/>
    <mergeCell ref="A330:D330"/>
    <mergeCell ref="F330:I330"/>
    <mergeCell ref="A334:D334"/>
    <mergeCell ref="F334:I334"/>
    <mergeCell ref="A323:D323"/>
    <mergeCell ref="F323:I323"/>
    <mergeCell ref="A327:D327"/>
    <mergeCell ref="F327:I327"/>
    <mergeCell ref="A328:B328"/>
    <mergeCell ref="C328:D328"/>
    <mergeCell ref="F328:G328"/>
    <mergeCell ref="H328:I328"/>
    <mergeCell ref="A349:B349"/>
    <mergeCell ref="C349:D349"/>
    <mergeCell ref="F349:G349"/>
    <mergeCell ref="H349:I349"/>
    <mergeCell ref="B350:D350"/>
    <mergeCell ref="G350:I350"/>
    <mergeCell ref="B343:D343"/>
    <mergeCell ref="G343:I343"/>
    <mergeCell ref="A344:D344"/>
    <mergeCell ref="F344:I344"/>
    <mergeCell ref="A348:D348"/>
    <mergeCell ref="F348:I348"/>
    <mergeCell ref="A337:D337"/>
    <mergeCell ref="F337:I337"/>
    <mergeCell ref="A341:D341"/>
    <mergeCell ref="F341:I341"/>
    <mergeCell ref="A342:B342"/>
    <mergeCell ref="C342:D342"/>
    <mergeCell ref="F342:G342"/>
    <mergeCell ref="H342:I342"/>
    <mergeCell ref="A363:B363"/>
    <mergeCell ref="C363:D363"/>
    <mergeCell ref="F363:G363"/>
    <mergeCell ref="H363:I363"/>
    <mergeCell ref="B364:D364"/>
    <mergeCell ref="G364:I364"/>
    <mergeCell ref="B357:D357"/>
    <mergeCell ref="G357:I357"/>
    <mergeCell ref="A358:D358"/>
    <mergeCell ref="F358:I358"/>
    <mergeCell ref="A362:D362"/>
    <mergeCell ref="F362:I362"/>
    <mergeCell ref="A351:D351"/>
    <mergeCell ref="F351:I351"/>
    <mergeCell ref="A355:D355"/>
    <mergeCell ref="F355:I355"/>
    <mergeCell ref="A356:B356"/>
    <mergeCell ref="C356:D356"/>
    <mergeCell ref="F356:G356"/>
    <mergeCell ref="H356:I356"/>
    <mergeCell ref="A377:B377"/>
    <mergeCell ref="C377:D377"/>
    <mergeCell ref="F377:G377"/>
    <mergeCell ref="H377:I377"/>
    <mergeCell ref="B378:D378"/>
    <mergeCell ref="G378:I378"/>
    <mergeCell ref="B371:D371"/>
    <mergeCell ref="G371:I371"/>
    <mergeCell ref="A372:D372"/>
    <mergeCell ref="F372:I372"/>
    <mergeCell ref="A376:D376"/>
    <mergeCell ref="F376:I376"/>
    <mergeCell ref="A365:D365"/>
    <mergeCell ref="F365:I365"/>
    <mergeCell ref="A369:D369"/>
    <mergeCell ref="F369:I369"/>
    <mergeCell ref="A370:B370"/>
    <mergeCell ref="C370:D370"/>
    <mergeCell ref="F370:G370"/>
    <mergeCell ref="H370:I370"/>
    <mergeCell ref="A391:B391"/>
    <mergeCell ref="C391:D391"/>
    <mergeCell ref="F391:G391"/>
    <mergeCell ref="H391:I391"/>
    <mergeCell ref="B392:D392"/>
    <mergeCell ref="G392:I392"/>
    <mergeCell ref="B385:D385"/>
    <mergeCell ref="G385:I385"/>
    <mergeCell ref="A386:D386"/>
    <mergeCell ref="F386:I386"/>
    <mergeCell ref="A390:D390"/>
    <mergeCell ref="F390:I390"/>
    <mergeCell ref="A379:D379"/>
    <mergeCell ref="F379:I379"/>
    <mergeCell ref="A383:D383"/>
    <mergeCell ref="F383:I383"/>
    <mergeCell ref="A384:B384"/>
    <mergeCell ref="C384:D384"/>
    <mergeCell ref="F384:G384"/>
    <mergeCell ref="H384:I384"/>
    <mergeCell ref="A405:B405"/>
    <mergeCell ref="C405:D405"/>
    <mergeCell ref="F405:G405"/>
    <mergeCell ref="H405:I405"/>
    <mergeCell ref="B406:D406"/>
    <mergeCell ref="G406:I406"/>
    <mergeCell ref="B399:D399"/>
    <mergeCell ref="G399:I399"/>
    <mergeCell ref="A400:D400"/>
    <mergeCell ref="F400:I400"/>
    <mergeCell ref="A404:D404"/>
    <mergeCell ref="F404:I404"/>
    <mergeCell ref="A393:D393"/>
    <mergeCell ref="F393:I393"/>
    <mergeCell ref="A397:D397"/>
    <mergeCell ref="F397:I397"/>
    <mergeCell ref="A398:B398"/>
    <mergeCell ref="C398:D398"/>
    <mergeCell ref="F398:G398"/>
    <mergeCell ref="H398:I398"/>
    <mergeCell ref="A419:B419"/>
    <mergeCell ref="C419:D419"/>
    <mergeCell ref="F419:G419"/>
    <mergeCell ref="H419:I419"/>
    <mergeCell ref="B420:D420"/>
    <mergeCell ref="G420:I420"/>
    <mergeCell ref="B413:D413"/>
    <mergeCell ref="G413:I413"/>
    <mergeCell ref="A414:D414"/>
    <mergeCell ref="F414:I414"/>
    <mergeCell ref="A418:D418"/>
    <mergeCell ref="F418:I418"/>
    <mergeCell ref="A407:D407"/>
    <mergeCell ref="F407:I407"/>
    <mergeCell ref="A411:D411"/>
    <mergeCell ref="F411:I411"/>
    <mergeCell ref="A412:B412"/>
    <mergeCell ref="C412:D412"/>
    <mergeCell ref="F412:G412"/>
    <mergeCell ref="H412:I412"/>
    <mergeCell ref="A433:B433"/>
    <mergeCell ref="C433:D433"/>
    <mergeCell ref="F433:G433"/>
    <mergeCell ref="H433:I433"/>
    <mergeCell ref="B434:D434"/>
    <mergeCell ref="G434:I434"/>
    <mergeCell ref="B427:D427"/>
    <mergeCell ref="G427:I427"/>
    <mergeCell ref="A428:D428"/>
    <mergeCell ref="F428:I428"/>
    <mergeCell ref="A432:D432"/>
    <mergeCell ref="F432:I432"/>
    <mergeCell ref="A421:D421"/>
    <mergeCell ref="F421:I421"/>
    <mergeCell ref="A425:D425"/>
    <mergeCell ref="F425:I425"/>
    <mergeCell ref="A426:B426"/>
    <mergeCell ref="C426:D426"/>
    <mergeCell ref="F426:G426"/>
    <mergeCell ref="H426:I426"/>
    <mergeCell ref="A447:B447"/>
    <mergeCell ref="C447:D447"/>
    <mergeCell ref="F447:G447"/>
    <mergeCell ref="H447:I447"/>
    <mergeCell ref="B448:D448"/>
    <mergeCell ref="G448:I448"/>
    <mergeCell ref="B441:D441"/>
    <mergeCell ref="G441:I441"/>
    <mergeCell ref="A442:D442"/>
    <mergeCell ref="F442:I442"/>
    <mergeCell ref="A446:D446"/>
    <mergeCell ref="F446:I446"/>
    <mergeCell ref="A435:D435"/>
    <mergeCell ref="F435:I435"/>
    <mergeCell ref="A439:D439"/>
    <mergeCell ref="F439:I439"/>
    <mergeCell ref="A440:B440"/>
    <mergeCell ref="C440:D440"/>
    <mergeCell ref="F440:G440"/>
    <mergeCell ref="H440:I440"/>
    <mergeCell ref="A461:B461"/>
    <mergeCell ref="C461:D461"/>
    <mergeCell ref="F461:G461"/>
    <mergeCell ref="H461:I461"/>
    <mergeCell ref="B462:D462"/>
    <mergeCell ref="G462:I462"/>
    <mergeCell ref="B455:D455"/>
    <mergeCell ref="G455:I455"/>
    <mergeCell ref="A456:D456"/>
    <mergeCell ref="F456:I456"/>
    <mergeCell ref="A460:D460"/>
    <mergeCell ref="F460:I460"/>
    <mergeCell ref="A449:D449"/>
    <mergeCell ref="F449:I449"/>
    <mergeCell ref="A453:D453"/>
    <mergeCell ref="F453:I453"/>
    <mergeCell ref="A454:B454"/>
    <mergeCell ref="C454:D454"/>
    <mergeCell ref="F454:G454"/>
    <mergeCell ref="H454:I454"/>
    <mergeCell ref="A475:B475"/>
    <mergeCell ref="C475:D475"/>
    <mergeCell ref="F475:G475"/>
    <mergeCell ref="H475:I475"/>
    <mergeCell ref="B476:D476"/>
    <mergeCell ref="G476:I476"/>
    <mergeCell ref="B469:D469"/>
    <mergeCell ref="G469:I469"/>
    <mergeCell ref="A470:D470"/>
    <mergeCell ref="F470:I470"/>
    <mergeCell ref="A474:D474"/>
    <mergeCell ref="F474:I474"/>
    <mergeCell ref="A463:D463"/>
    <mergeCell ref="F463:I463"/>
    <mergeCell ref="A467:D467"/>
    <mergeCell ref="F467:I467"/>
    <mergeCell ref="A468:B468"/>
    <mergeCell ref="C468:D468"/>
    <mergeCell ref="F468:G468"/>
    <mergeCell ref="H468:I468"/>
    <mergeCell ref="A489:B489"/>
    <mergeCell ref="C489:D489"/>
    <mergeCell ref="F489:G489"/>
    <mergeCell ref="H489:I489"/>
    <mergeCell ref="B490:D490"/>
    <mergeCell ref="G490:I490"/>
    <mergeCell ref="B483:D483"/>
    <mergeCell ref="G483:I483"/>
    <mergeCell ref="A484:D484"/>
    <mergeCell ref="F484:I484"/>
    <mergeCell ref="A488:D488"/>
    <mergeCell ref="F488:I488"/>
    <mergeCell ref="A477:D477"/>
    <mergeCell ref="F477:I477"/>
    <mergeCell ref="A481:D481"/>
    <mergeCell ref="F481:I481"/>
    <mergeCell ref="A482:B482"/>
    <mergeCell ref="C482:D482"/>
    <mergeCell ref="F482:G482"/>
    <mergeCell ref="H482:I482"/>
    <mergeCell ref="A503:B503"/>
    <mergeCell ref="C503:D503"/>
    <mergeCell ref="F503:G503"/>
    <mergeCell ref="H503:I503"/>
    <mergeCell ref="B504:D504"/>
    <mergeCell ref="G504:I504"/>
    <mergeCell ref="B497:D497"/>
    <mergeCell ref="G497:I497"/>
    <mergeCell ref="A498:D498"/>
    <mergeCell ref="F498:I498"/>
    <mergeCell ref="A502:D502"/>
    <mergeCell ref="F502:I502"/>
    <mergeCell ref="A491:D491"/>
    <mergeCell ref="F491:I491"/>
    <mergeCell ref="A495:D495"/>
    <mergeCell ref="F495:I495"/>
    <mergeCell ref="A496:B496"/>
    <mergeCell ref="C496:D496"/>
    <mergeCell ref="F496:G496"/>
    <mergeCell ref="H496:I496"/>
    <mergeCell ref="A517:B517"/>
    <mergeCell ref="C517:D517"/>
    <mergeCell ref="F517:G517"/>
    <mergeCell ref="H517:I517"/>
    <mergeCell ref="B518:D518"/>
    <mergeCell ref="G518:I518"/>
    <mergeCell ref="B511:D511"/>
    <mergeCell ref="G511:I511"/>
    <mergeCell ref="A512:D512"/>
    <mergeCell ref="F512:I512"/>
    <mergeCell ref="A516:D516"/>
    <mergeCell ref="F516:I516"/>
    <mergeCell ref="A505:D505"/>
    <mergeCell ref="F505:I505"/>
    <mergeCell ref="A509:D509"/>
    <mergeCell ref="F509:I509"/>
    <mergeCell ref="A510:B510"/>
    <mergeCell ref="C510:D510"/>
    <mergeCell ref="F510:G510"/>
    <mergeCell ref="H510:I510"/>
    <mergeCell ref="A531:B531"/>
    <mergeCell ref="C531:D531"/>
    <mergeCell ref="F531:G531"/>
    <mergeCell ref="H531:I531"/>
    <mergeCell ref="B532:D532"/>
    <mergeCell ref="G532:I532"/>
    <mergeCell ref="B525:D525"/>
    <mergeCell ref="G525:I525"/>
    <mergeCell ref="A526:D526"/>
    <mergeCell ref="F526:I526"/>
    <mergeCell ref="A530:D530"/>
    <mergeCell ref="F530:I530"/>
    <mergeCell ref="A519:D519"/>
    <mergeCell ref="F519:I519"/>
    <mergeCell ref="A523:D523"/>
    <mergeCell ref="F523:I523"/>
    <mergeCell ref="A524:B524"/>
    <mergeCell ref="C524:D524"/>
    <mergeCell ref="F524:G524"/>
    <mergeCell ref="H524:I524"/>
    <mergeCell ref="A545:B545"/>
    <mergeCell ref="C545:D545"/>
    <mergeCell ref="F545:G545"/>
    <mergeCell ref="H545:I545"/>
    <mergeCell ref="B546:D546"/>
    <mergeCell ref="G546:I546"/>
    <mergeCell ref="B539:D539"/>
    <mergeCell ref="G539:I539"/>
    <mergeCell ref="A540:D540"/>
    <mergeCell ref="F540:I540"/>
    <mergeCell ref="A544:D544"/>
    <mergeCell ref="F544:I544"/>
    <mergeCell ref="A533:D533"/>
    <mergeCell ref="F533:I533"/>
    <mergeCell ref="A537:D537"/>
    <mergeCell ref="F537:I537"/>
    <mergeCell ref="A538:B538"/>
    <mergeCell ref="C538:D538"/>
    <mergeCell ref="F538:G538"/>
    <mergeCell ref="H538:I538"/>
    <mergeCell ref="A559:B559"/>
    <mergeCell ref="C559:D559"/>
    <mergeCell ref="F559:G559"/>
    <mergeCell ref="H559:I559"/>
    <mergeCell ref="B560:D560"/>
    <mergeCell ref="G560:I560"/>
    <mergeCell ref="B553:D553"/>
    <mergeCell ref="G553:I553"/>
    <mergeCell ref="A554:D554"/>
    <mergeCell ref="F554:I554"/>
    <mergeCell ref="A558:D558"/>
    <mergeCell ref="F558:I558"/>
    <mergeCell ref="A547:D547"/>
    <mergeCell ref="F547:I547"/>
    <mergeCell ref="A551:D551"/>
    <mergeCell ref="F551:I551"/>
    <mergeCell ref="A552:B552"/>
    <mergeCell ref="C552:D552"/>
    <mergeCell ref="F552:G552"/>
    <mergeCell ref="H552:I552"/>
    <mergeCell ref="A573:B573"/>
    <mergeCell ref="C573:D573"/>
    <mergeCell ref="F573:G573"/>
    <mergeCell ref="H573:I573"/>
    <mergeCell ref="B574:D574"/>
    <mergeCell ref="G574:I574"/>
    <mergeCell ref="B567:D567"/>
    <mergeCell ref="G567:I567"/>
    <mergeCell ref="A568:D568"/>
    <mergeCell ref="F568:I568"/>
    <mergeCell ref="A572:D572"/>
    <mergeCell ref="F572:I572"/>
    <mergeCell ref="A561:D561"/>
    <mergeCell ref="F561:I561"/>
    <mergeCell ref="A565:D565"/>
    <mergeCell ref="F565:I565"/>
    <mergeCell ref="A566:B566"/>
    <mergeCell ref="C566:D566"/>
    <mergeCell ref="F566:G566"/>
    <mergeCell ref="H566:I566"/>
    <mergeCell ref="A587:B587"/>
    <mergeCell ref="C587:D587"/>
    <mergeCell ref="F587:G587"/>
    <mergeCell ref="H587:I587"/>
    <mergeCell ref="B588:D588"/>
    <mergeCell ref="G588:I588"/>
    <mergeCell ref="B581:D581"/>
    <mergeCell ref="G581:I581"/>
    <mergeCell ref="A582:D582"/>
    <mergeCell ref="F582:I582"/>
    <mergeCell ref="A586:D586"/>
    <mergeCell ref="F586:I586"/>
    <mergeCell ref="A575:D575"/>
    <mergeCell ref="F575:I575"/>
    <mergeCell ref="A579:D579"/>
    <mergeCell ref="F579:I579"/>
    <mergeCell ref="A580:B580"/>
    <mergeCell ref="C580:D580"/>
    <mergeCell ref="F580:G580"/>
    <mergeCell ref="H580:I580"/>
    <mergeCell ref="A601:B601"/>
    <mergeCell ref="C601:D601"/>
    <mergeCell ref="F601:G601"/>
    <mergeCell ref="H601:I601"/>
    <mergeCell ref="B602:D602"/>
    <mergeCell ref="G602:I602"/>
    <mergeCell ref="B595:D595"/>
    <mergeCell ref="G595:I595"/>
    <mergeCell ref="A596:D596"/>
    <mergeCell ref="F596:I596"/>
    <mergeCell ref="A600:D600"/>
    <mergeCell ref="F600:I600"/>
    <mergeCell ref="A589:D589"/>
    <mergeCell ref="F589:I589"/>
    <mergeCell ref="A593:D593"/>
    <mergeCell ref="F593:I593"/>
    <mergeCell ref="A594:B594"/>
    <mergeCell ref="C594:D594"/>
    <mergeCell ref="F594:G594"/>
    <mergeCell ref="H594:I594"/>
    <mergeCell ref="A615:B615"/>
    <mergeCell ref="C615:D615"/>
    <mergeCell ref="F615:G615"/>
    <mergeCell ref="H615:I615"/>
    <mergeCell ref="B616:D616"/>
    <mergeCell ref="G616:I616"/>
    <mergeCell ref="B609:D609"/>
    <mergeCell ref="G609:I609"/>
    <mergeCell ref="A610:D610"/>
    <mergeCell ref="F610:I610"/>
    <mergeCell ref="A614:D614"/>
    <mergeCell ref="F614:I614"/>
    <mergeCell ref="A603:D603"/>
    <mergeCell ref="F603:I603"/>
    <mergeCell ref="A607:D607"/>
    <mergeCell ref="F607:I607"/>
    <mergeCell ref="A608:B608"/>
    <mergeCell ref="C608:D608"/>
    <mergeCell ref="F608:G608"/>
    <mergeCell ref="H608:I608"/>
    <mergeCell ref="A629:B629"/>
    <mergeCell ref="C629:D629"/>
    <mergeCell ref="F629:G629"/>
    <mergeCell ref="H629:I629"/>
    <mergeCell ref="B630:D630"/>
    <mergeCell ref="G630:I630"/>
    <mergeCell ref="B623:D623"/>
    <mergeCell ref="G623:I623"/>
    <mergeCell ref="A624:D624"/>
    <mergeCell ref="F624:I624"/>
    <mergeCell ref="A628:D628"/>
    <mergeCell ref="F628:I628"/>
    <mergeCell ref="A617:D617"/>
    <mergeCell ref="F617:I617"/>
    <mergeCell ref="A621:D621"/>
    <mergeCell ref="F621:I621"/>
    <mergeCell ref="A622:B622"/>
    <mergeCell ref="C622:D622"/>
    <mergeCell ref="F622:G622"/>
    <mergeCell ref="H622:I622"/>
    <mergeCell ref="A643:B643"/>
    <mergeCell ref="C643:D643"/>
    <mergeCell ref="F643:G643"/>
    <mergeCell ref="H643:I643"/>
    <mergeCell ref="B644:D644"/>
    <mergeCell ref="G644:I644"/>
    <mergeCell ref="B637:D637"/>
    <mergeCell ref="G637:I637"/>
    <mergeCell ref="A638:D638"/>
    <mergeCell ref="F638:I638"/>
    <mergeCell ref="A642:D642"/>
    <mergeCell ref="F642:I642"/>
    <mergeCell ref="A631:D631"/>
    <mergeCell ref="F631:I631"/>
    <mergeCell ref="A635:D635"/>
    <mergeCell ref="F635:I635"/>
    <mergeCell ref="A636:B636"/>
    <mergeCell ref="C636:D636"/>
    <mergeCell ref="F636:G636"/>
    <mergeCell ref="H636:I636"/>
    <mergeCell ref="A657:B657"/>
    <mergeCell ref="C657:D657"/>
    <mergeCell ref="F657:G657"/>
    <mergeCell ref="H657:I657"/>
    <mergeCell ref="B658:D658"/>
    <mergeCell ref="G658:I658"/>
    <mergeCell ref="B651:D651"/>
    <mergeCell ref="G651:I651"/>
    <mergeCell ref="A652:D652"/>
    <mergeCell ref="F652:I652"/>
    <mergeCell ref="A656:D656"/>
    <mergeCell ref="F656:I656"/>
    <mergeCell ref="A645:D645"/>
    <mergeCell ref="F645:I645"/>
    <mergeCell ref="A649:D649"/>
    <mergeCell ref="F649:I649"/>
    <mergeCell ref="A650:B650"/>
    <mergeCell ref="C650:D650"/>
    <mergeCell ref="F650:G650"/>
    <mergeCell ref="H650:I650"/>
    <mergeCell ref="A671:B671"/>
    <mergeCell ref="C671:D671"/>
    <mergeCell ref="F671:G671"/>
    <mergeCell ref="H671:I671"/>
    <mergeCell ref="B672:D672"/>
    <mergeCell ref="G672:I672"/>
    <mergeCell ref="B665:D665"/>
    <mergeCell ref="G665:I665"/>
    <mergeCell ref="A666:D666"/>
    <mergeCell ref="F666:I666"/>
    <mergeCell ref="A670:D670"/>
    <mergeCell ref="F670:I670"/>
    <mergeCell ref="A659:D659"/>
    <mergeCell ref="F659:I659"/>
    <mergeCell ref="A663:D663"/>
    <mergeCell ref="F663:I663"/>
    <mergeCell ref="A664:B664"/>
    <mergeCell ref="C664:D664"/>
    <mergeCell ref="F664:G664"/>
    <mergeCell ref="H664:I664"/>
    <mergeCell ref="A685:B685"/>
    <mergeCell ref="C685:D685"/>
    <mergeCell ref="F685:G685"/>
    <mergeCell ref="H685:I685"/>
    <mergeCell ref="B686:D686"/>
    <mergeCell ref="G686:I686"/>
    <mergeCell ref="B679:D679"/>
    <mergeCell ref="G679:I679"/>
    <mergeCell ref="A680:D680"/>
    <mergeCell ref="F680:I680"/>
    <mergeCell ref="A684:D684"/>
    <mergeCell ref="F684:I684"/>
    <mergeCell ref="A673:D673"/>
    <mergeCell ref="F673:I673"/>
    <mergeCell ref="A677:D677"/>
    <mergeCell ref="F677:I677"/>
    <mergeCell ref="A678:B678"/>
    <mergeCell ref="C678:D678"/>
    <mergeCell ref="F678:G678"/>
    <mergeCell ref="H678:I678"/>
    <mergeCell ref="A699:B699"/>
    <mergeCell ref="C699:D699"/>
    <mergeCell ref="F699:G699"/>
    <mergeCell ref="H699:I699"/>
    <mergeCell ref="B700:D700"/>
    <mergeCell ref="G700:I700"/>
    <mergeCell ref="B693:D693"/>
    <mergeCell ref="G693:I693"/>
    <mergeCell ref="A694:D694"/>
    <mergeCell ref="F694:I694"/>
    <mergeCell ref="A698:D698"/>
    <mergeCell ref="F698:I698"/>
    <mergeCell ref="A687:D687"/>
    <mergeCell ref="F687:I687"/>
    <mergeCell ref="A691:D691"/>
    <mergeCell ref="F691:I691"/>
    <mergeCell ref="A692:B692"/>
    <mergeCell ref="C692:D692"/>
    <mergeCell ref="F692:G692"/>
    <mergeCell ref="H692:I692"/>
    <mergeCell ref="A708:D708"/>
    <mergeCell ref="F708:I708"/>
    <mergeCell ref="A712:D712"/>
    <mergeCell ref="F712:I712"/>
    <mergeCell ref="A713:B713"/>
    <mergeCell ref="C713:D713"/>
    <mergeCell ref="F713:G713"/>
    <mergeCell ref="H713:I713"/>
    <mergeCell ref="B714:D714"/>
    <mergeCell ref="G714:I714"/>
    <mergeCell ref="A701:D701"/>
    <mergeCell ref="F701:I701"/>
    <mergeCell ref="A705:D705"/>
    <mergeCell ref="F705:I705"/>
    <mergeCell ref="A706:B706"/>
    <mergeCell ref="C706:D706"/>
    <mergeCell ref="F706:G706"/>
    <mergeCell ref="H706:I706"/>
    <mergeCell ref="B707:D707"/>
    <mergeCell ref="G707:I707"/>
    <mergeCell ref="A722:D722"/>
    <mergeCell ref="F722:I722"/>
    <mergeCell ref="A726:D726"/>
    <mergeCell ref="F726:I726"/>
    <mergeCell ref="A727:B727"/>
    <mergeCell ref="C727:D727"/>
    <mergeCell ref="F727:G727"/>
    <mergeCell ref="H727:I727"/>
    <mergeCell ref="B728:D728"/>
    <mergeCell ref="G728:I728"/>
    <mergeCell ref="A715:D715"/>
    <mergeCell ref="F715:I715"/>
    <mergeCell ref="A719:D719"/>
    <mergeCell ref="F719:I719"/>
    <mergeCell ref="A720:B720"/>
    <mergeCell ref="C720:D720"/>
    <mergeCell ref="F720:G720"/>
    <mergeCell ref="H720:I720"/>
    <mergeCell ref="B721:D721"/>
    <mergeCell ref="G721:I721"/>
    <mergeCell ref="A736:D736"/>
    <mergeCell ref="F736:I736"/>
    <mergeCell ref="A740:D740"/>
    <mergeCell ref="F740:I740"/>
    <mergeCell ref="A741:B741"/>
    <mergeCell ref="C741:D741"/>
    <mergeCell ref="F741:G741"/>
    <mergeCell ref="H741:I741"/>
    <mergeCell ref="B742:D742"/>
    <mergeCell ref="G742:I742"/>
    <mergeCell ref="A729:D729"/>
    <mergeCell ref="F729:I729"/>
    <mergeCell ref="A733:D733"/>
    <mergeCell ref="F733:I733"/>
    <mergeCell ref="A734:B734"/>
    <mergeCell ref="C734:D734"/>
    <mergeCell ref="F734:G734"/>
    <mergeCell ref="H734:I734"/>
    <mergeCell ref="B735:D735"/>
    <mergeCell ref="G735:I735"/>
    <mergeCell ref="A750:D750"/>
    <mergeCell ref="F750:I750"/>
    <mergeCell ref="A754:D754"/>
    <mergeCell ref="F754:I754"/>
    <mergeCell ref="A755:B755"/>
    <mergeCell ref="C755:D755"/>
    <mergeCell ref="F755:G755"/>
    <mergeCell ref="H755:I755"/>
    <mergeCell ref="B756:D756"/>
    <mergeCell ref="G756:I756"/>
    <mergeCell ref="A743:D743"/>
    <mergeCell ref="F743:I743"/>
    <mergeCell ref="A747:D747"/>
    <mergeCell ref="F747:I747"/>
    <mergeCell ref="A748:B748"/>
    <mergeCell ref="C748:D748"/>
    <mergeCell ref="F748:G748"/>
    <mergeCell ref="H748:I748"/>
    <mergeCell ref="B749:D749"/>
    <mergeCell ref="G749:I749"/>
    <mergeCell ref="A764:D764"/>
    <mergeCell ref="F764:I764"/>
    <mergeCell ref="A768:D768"/>
    <mergeCell ref="F768:I768"/>
    <mergeCell ref="A769:B769"/>
    <mergeCell ref="C769:D769"/>
    <mergeCell ref="F769:G769"/>
    <mergeCell ref="H769:I769"/>
    <mergeCell ref="B770:D770"/>
    <mergeCell ref="G770:I770"/>
    <mergeCell ref="A757:D757"/>
    <mergeCell ref="F757:I757"/>
    <mergeCell ref="A761:D761"/>
    <mergeCell ref="F761:I761"/>
    <mergeCell ref="A762:B762"/>
    <mergeCell ref="C762:D762"/>
    <mergeCell ref="F762:G762"/>
    <mergeCell ref="H762:I762"/>
    <mergeCell ref="B763:D763"/>
    <mergeCell ref="G763:I763"/>
    <mergeCell ref="A778:D778"/>
    <mergeCell ref="F778:I778"/>
    <mergeCell ref="A782:D782"/>
    <mergeCell ref="F782:I782"/>
    <mergeCell ref="A783:B783"/>
    <mergeCell ref="C783:D783"/>
    <mergeCell ref="F783:G783"/>
    <mergeCell ref="H783:I783"/>
    <mergeCell ref="B784:D784"/>
    <mergeCell ref="G784:I784"/>
    <mergeCell ref="A771:D771"/>
    <mergeCell ref="F771:I771"/>
    <mergeCell ref="A775:D775"/>
    <mergeCell ref="F775:I775"/>
    <mergeCell ref="A776:B776"/>
    <mergeCell ref="C776:D776"/>
    <mergeCell ref="F776:G776"/>
    <mergeCell ref="H776:I776"/>
    <mergeCell ref="B777:D777"/>
    <mergeCell ref="G777:I777"/>
    <mergeCell ref="A792:D792"/>
    <mergeCell ref="F792:I792"/>
    <mergeCell ref="A796:D796"/>
    <mergeCell ref="F796:I796"/>
    <mergeCell ref="A797:B797"/>
    <mergeCell ref="C797:D797"/>
    <mergeCell ref="F797:G797"/>
    <mergeCell ref="H797:I797"/>
    <mergeCell ref="B798:D798"/>
    <mergeCell ref="G798:I798"/>
    <mergeCell ref="A785:D785"/>
    <mergeCell ref="F785:I785"/>
    <mergeCell ref="A789:D789"/>
    <mergeCell ref="F789:I789"/>
    <mergeCell ref="A790:B790"/>
    <mergeCell ref="C790:D790"/>
    <mergeCell ref="F790:G790"/>
    <mergeCell ref="H790:I790"/>
    <mergeCell ref="B791:D791"/>
    <mergeCell ref="G791:I791"/>
    <mergeCell ref="A806:D806"/>
    <mergeCell ref="F806:I806"/>
    <mergeCell ref="A810:D810"/>
    <mergeCell ref="F810:I810"/>
    <mergeCell ref="A811:B811"/>
    <mergeCell ref="C811:D811"/>
    <mergeCell ref="F811:G811"/>
    <mergeCell ref="H811:I811"/>
    <mergeCell ref="B812:D812"/>
    <mergeCell ref="G812:I812"/>
    <mergeCell ref="A799:D799"/>
    <mergeCell ref="F799:I799"/>
    <mergeCell ref="A803:D803"/>
    <mergeCell ref="F803:I803"/>
    <mergeCell ref="A804:B804"/>
    <mergeCell ref="C804:D804"/>
    <mergeCell ref="F804:G804"/>
    <mergeCell ref="H804:I804"/>
    <mergeCell ref="B805:D805"/>
    <mergeCell ref="G805:I805"/>
    <mergeCell ref="A820:D820"/>
    <mergeCell ref="F820:I820"/>
    <mergeCell ref="A824:D824"/>
    <mergeCell ref="F824:I824"/>
    <mergeCell ref="A825:B825"/>
    <mergeCell ref="C825:D825"/>
    <mergeCell ref="F825:G825"/>
    <mergeCell ref="H825:I825"/>
    <mergeCell ref="B826:D826"/>
    <mergeCell ref="G826:I826"/>
    <mergeCell ref="A813:D813"/>
    <mergeCell ref="F813:I813"/>
    <mergeCell ref="A817:D817"/>
    <mergeCell ref="F817:I817"/>
    <mergeCell ref="A818:B818"/>
    <mergeCell ref="C818:D818"/>
    <mergeCell ref="F818:G818"/>
    <mergeCell ref="H818:I818"/>
    <mergeCell ref="B819:D819"/>
    <mergeCell ref="G819:I819"/>
    <mergeCell ref="A834:D834"/>
    <mergeCell ref="F834:I834"/>
    <mergeCell ref="A838:D838"/>
    <mergeCell ref="F838:I838"/>
    <mergeCell ref="A839:B839"/>
    <mergeCell ref="C839:D839"/>
    <mergeCell ref="F839:G839"/>
    <mergeCell ref="H839:I839"/>
    <mergeCell ref="B840:D840"/>
    <mergeCell ref="G840:I840"/>
    <mergeCell ref="A827:D827"/>
    <mergeCell ref="F827:I827"/>
    <mergeCell ref="A831:D831"/>
    <mergeCell ref="F831:I831"/>
    <mergeCell ref="A832:B832"/>
    <mergeCell ref="C832:D832"/>
    <mergeCell ref="F832:G832"/>
    <mergeCell ref="H832:I832"/>
    <mergeCell ref="B833:D833"/>
    <mergeCell ref="G833:I833"/>
    <mergeCell ref="A848:D848"/>
    <mergeCell ref="F848:I848"/>
    <mergeCell ref="A852:D852"/>
    <mergeCell ref="F852:I852"/>
    <mergeCell ref="A853:B853"/>
    <mergeCell ref="C853:D853"/>
    <mergeCell ref="F853:G853"/>
    <mergeCell ref="H853:I853"/>
    <mergeCell ref="B854:D854"/>
    <mergeCell ref="G854:I854"/>
    <mergeCell ref="A841:D841"/>
    <mergeCell ref="F841:I841"/>
    <mergeCell ref="A845:D845"/>
    <mergeCell ref="F845:I845"/>
    <mergeCell ref="A846:B846"/>
    <mergeCell ref="C846:D846"/>
    <mergeCell ref="F846:G846"/>
    <mergeCell ref="H846:I846"/>
    <mergeCell ref="B847:D847"/>
    <mergeCell ref="G847:I847"/>
    <mergeCell ref="A862:D862"/>
    <mergeCell ref="F862:I862"/>
    <mergeCell ref="A866:D866"/>
    <mergeCell ref="F866:I866"/>
    <mergeCell ref="A867:B867"/>
    <mergeCell ref="C867:D867"/>
    <mergeCell ref="F867:G867"/>
    <mergeCell ref="H867:I867"/>
    <mergeCell ref="B868:D868"/>
    <mergeCell ref="G868:I868"/>
    <mergeCell ref="A855:D855"/>
    <mergeCell ref="F855:I855"/>
    <mergeCell ref="A859:D859"/>
    <mergeCell ref="F859:I859"/>
    <mergeCell ref="A860:B860"/>
    <mergeCell ref="C860:D860"/>
    <mergeCell ref="F860:G860"/>
    <mergeCell ref="H860:I860"/>
    <mergeCell ref="B861:D861"/>
    <mergeCell ref="G861:I861"/>
    <mergeCell ref="A876:D876"/>
    <mergeCell ref="F876:I876"/>
    <mergeCell ref="A880:D880"/>
    <mergeCell ref="F880:I880"/>
    <mergeCell ref="A881:B881"/>
    <mergeCell ref="C881:D881"/>
    <mergeCell ref="F881:G881"/>
    <mergeCell ref="H881:I881"/>
    <mergeCell ref="B882:D882"/>
    <mergeCell ref="G882:I882"/>
    <mergeCell ref="A869:D869"/>
    <mergeCell ref="F869:I869"/>
    <mergeCell ref="A873:D873"/>
    <mergeCell ref="F873:I873"/>
    <mergeCell ref="A874:B874"/>
    <mergeCell ref="C874:D874"/>
    <mergeCell ref="F874:G874"/>
    <mergeCell ref="H874:I874"/>
    <mergeCell ref="B875:D875"/>
    <mergeCell ref="G875:I875"/>
    <mergeCell ref="A890:D890"/>
    <mergeCell ref="F890:I890"/>
    <mergeCell ref="A894:D894"/>
    <mergeCell ref="F894:I894"/>
    <mergeCell ref="A895:B895"/>
    <mergeCell ref="C895:D895"/>
    <mergeCell ref="F895:G895"/>
    <mergeCell ref="H895:I895"/>
    <mergeCell ref="B896:D896"/>
    <mergeCell ref="G896:I896"/>
    <mergeCell ref="A883:D883"/>
    <mergeCell ref="F883:I883"/>
    <mergeCell ref="A887:D887"/>
    <mergeCell ref="F887:I887"/>
    <mergeCell ref="A888:B888"/>
    <mergeCell ref="C888:D888"/>
    <mergeCell ref="F888:G888"/>
    <mergeCell ref="H888:I888"/>
    <mergeCell ref="B889:D889"/>
    <mergeCell ref="G889:I889"/>
    <mergeCell ref="A904:D904"/>
    <mergeCell ref="F904:I904"/>
    <mergeCell ref="A908:D908"/>
    <mergeCell ref="F908:I908"/>
    <mergeCell ref="A909:B909"/>
    <mergeCell ref="C909:D909"/>
    <mergeCell ref="F909:G909"/>
    <mergeCell ref="H909:I909"/>
    <mergeCell ref="B910:D910"/>
    <mergeCell ref="G910:I910"/>
    <mergeCell ref="A897:D897"/>
    <mergeCell ref="F897:I897"/>
    <mergeCell ref="A901:D901"/>
    <mergeCell ref="F901:I901"/>
    <mergeCell ref="A902:B902"/>
    <mergeCell ref="C902:D902"/>
    <mergeCell ref="F902:G902"/>
    <mergeCell ref="H902:I902"/>
    <mergeCell ref="B903:D903"/>
    <mergeCell ref="G903:I903"/>
    <mergeCell ref="A918:D918"/>
    <mergeCell ref="F918:I918"/>
    <mergeCell ref="A922:D922"/>
    <mergeCell ref="F922:I922"/>
    <mergeCell ref="A923:B923"/>
    <mergeCell ref="C923:D923"/>
    <mergeCell ref="F923:G923"/>
    <mergeCell ref="H923:I923"/>
    <mergeCell ref="B924:D924"/>
    <mergeCell ref="G924:I924"/>
    <mergeCell ref="A911:D911"/>
    <mergeCell ref="F911:I911"/>
    <mergeCell ref="A915:D915"/>
    <mergeCell ref="F915:I915"/>
    <mergeCell ref="A916:B916"/>
    <mergeCell ref="C916:D916"/>
    <mergeCell ref="F916:G916"/>
    <mergeCell ref="H916:I916"/>
    <mergeCell ref="B917:D917"/>
    <mergeCell ref="G917:I917"/>
    <mergeCell ref="A932:D932"/>
    <mergeCell ref="F932:I932"/>
    <mergeCell ref="A936:D936"/>
    <mergeCell ref="F936:I936"/>
    <mergeCell ref="A937:B937"/>
    <mergeCell ref="C937:D937"/>
    <mergeCell ref="F937:G937"/>
    <mergeCell ref="H937:I937"/>
    <mergeCell ref="B938:D938"/>
    <mergeCell ref="G938:I938"/>
    <mergeCell ref="A925:D925"/>
    <mergeCell ref="F925:I925"/>
    <mergeCell ref="A929:D929"/>
    <mergeCell ref="F929:I929"/>
    <mergeCell ref="A930:B930"/>
    <mergeCell ref="C930:D930"/>
    <mergeCell ref="F930:G930"/>
    <mergeCell ref="H930:I930"/>
    <mergeCell ref="B931:D931"/>
    <mergeCell ref="G931:I931"/>
    <mergeCell ref="A946:D946"/>
    <mergeCell ref="F946:I946"/>
    <mergeCell ref="A950:D950"/>
    <mergeCell ref="F950:I950"/>
    <mergeCell ref="A951:B951"/>
    <mergeCell ref="C951:D951"/>
    <mergeCell ref="F951:G951"/>
    <mergeCell ref="H951:I951"/>
    <mergeCell ref="B952:D952"/>
    <mergeCell ref="G952:I952"/>
    <mergeCell ref="A939:D939"/>
    <mergeCell ref="F939:I939"/>
    <mergeCell ref="A943:D943"/>
    <mergeCell ref="F943:I943"/>
    <mergeCell ref="A944:B944"/>
    <mergeCell ref="C944:D944"/>
    <mergeCell ref="F944:G944"/>
    <mergeCell ref="H944:I944"/>
    <mergeCell ref="B945:D945"/>
    <mergeCell ref="G945:I945"/>
    <mergeCell ref="A960:D960"/>
    <mergeCell ref="F960:I960"/>
    <mergeCell ref="A964:D964"/>
    <mergeCell ref="F964:I964"/>
    <mergeCell ref="A965:B965"/>
    <mergeCell ref="C965:D965"/>
    <mergeCell ref="F965:G965"/>
    <mergeCell ref="H965:I965"/>
    <mergeCell ref="B966:D966"/>
    <mergeCell ref="G966:I966"/>
    <mergeCell ref="A953:D953"/>
    <mergeCell ref="F953:I953"/>
    <mergeCell ref="A957:D957"/>
    <mergeCell ref="F957:I957"/>
    <mergeCell ref="A958:B958"/>
    <mergeCell ref="C958:D958"/>
    <mergeCell ref="F958:G958"/>
    <mergeCell ref="H958:I958"/>
    <mergeCell ref="B959:D959"/>
    <mergeCell ref="G959:I959"/>
    <mergeCell ref="A974:D974"/>
    <mergeCell ref="F974:I974"/>
    <mergeCell ref="A978:D978"/>
    <mergeCell ref="F978:I978"/>
    <mergeCell ref="A979:B979"/>
    <mergeCell ref="C979:D979"/>
    <mergeCell ref="F979:G979"/>
    <mergeCell ref="H979:I979"/>
    <mergeCell ref="B980:D980"/>
    <mergeCell ref="G980:I980"/>
    <mergeCell ref="A967:D967"/>
    <mergeCell ref="F967:I967"/>
    <mergeCell ref="A971:D971"/>
    <mergeCell ref="F971:I971"/>
    <mergeCell ref="A972:B972"/>
    <mergeCell ref="C972:D972"/>
    <mergeCell ref="F972:G972"/>
    <mergeCell ref="H972:I972"/>
    <mergeCell ref="B973:D973"/>
    <mergeCell ref="G973:I973"/>
    <mergeCell ref="A988:D988"/>
    <mergeCell ref="F988:I988"/>
    <mergeCell ref="A992:D992"/>
    <mergeCell ref="F992:I992"/>
    <mergeCell ref="A993:B993"/>
    <mergeCell ref="C993:D993"/>
    <mergeCell ref="F993:G993"/>
    <mergeCell ref="H993:I993"/>
    <mergeCell ref="B994:D994"/>
    <mergeCell ref="G994:I994"/>
    <mergeCell ref="A981:D981"/>
    <mergeCell ref="F981:I981"/>
    <mergeCell ref="A985:D985"/>
    <mergeCell ref="F985:I985"/>
    <mergeCell ref="A986:B986"/>
    <mergeCell ref="C986:D986"/>
    <mergeCell ref="F986:G986"/>
    <mergeCell ref="H986:I986"/>
    <mergeCell ref="B987:D987"/>
    <mergeCell ref="G987:I987"/>
    <mergeCell ref="A1002:D1002"/>
    <mergeCell ref="F1002:I1002"/>
    <mergeCell ref="A1006:D1006"/>
    <mergeCell ref="F1006:I1006"/>
    <mergeCell ref="A1007:B1007"/>
    <mergeCell ref="C1007:D1007"/>
    <mergeCell ref="F1007:G1007"/>
    <mergeCell ref="H1007:I1007"/>
    <mergeCell ref="B1008:D1008"/>
    <mergeCell ref="G1008:I1008"/>
    <mergeCell ref="A995:D995"/>
    <mergeCell ref="F995:I995"/>
    <mergeCell ref="A999:D999"/>
    <mergeCell ref="F999:I999"/>
    <mergeCell ref="A1000:B1000"/>
    <mergeCell ref="C1000:D1000"/>
    <mergeCell ref="F1000:G1000"/>
    <mergeCell ref="H1000:I1000"/>
    <mergeCell ref="B1001:D1001"/>
    <mergeCell ref="G1001:I1001"/>
    <mergeCell ref="A1016:D1016"/>
    <mergeCell ref="F1016:I1016"/>
    <mergeCell ref="A1020:D1020"/>
    <mergeCell ref="F1020:I1020"/>
    <mergeCell ref="A1021:B1021"/>
    <mergeCell ref="C1021:D1021"/>
    <mergeCell ref="F1021:G1021"/>
    <mergeCell ref="H1021:I1021"/>
    <mergeCell ref="B1022:D1022"/>
    <mergeCell ref="G1022:I1022"/>
    <mergeCell ref="A1009:D1009"/>
    <mergeCell ref="F1009:I1009"/>
    <mergeCell ref="A1013:D1013"/>
    <mergeCell ref="F1013:I1013"/>
    <mergeCell ref="A1014:B1014"/>
    <mergeCell ref="C1014:D1014"/>
    <mergeCell ref="F1014:G1014"/>
    <mergeCell ref="H1014:I1014"/>
    <mergeCell ref="B1015:D1015"/>
    <mergeCell ref="G1015:I1015"/>
    <mergeCell ref="A1030:D1030"/>
    <mergeCell ref="F1030:I1030"/>
    <mergeCell ref="A1034:D1034"/>
    <mergeCell ref="F1034:I1034"/>
    <mergeCell ref="A1035:B1035"/>
    <mergeCell ref="C1035:D1035"/>
    <mergeCell ref="F1035:G1035"/>
    <mergeCell ref="H1035:I1035"/>
    <mergeCell ref="B1036:D1036"/>
    <mergeCell ref="G1036:I1036"/>
    <mergeCell ref="A1023:D1023"/>
    <mergeCell ref="F1023:I1023"/>
    <mergeCell ref="A1027:D1027"/>
    <mergeCell ref="F1027:I1027"/>
    <mergeCell ref="A1028:B1028"/>
    <mergeCell ref="C1028:D1028"/>
    <mergeCell ref="F1028:G1028"/>
    <mergeCell ref="H1028:I1028"/>
    <mergeCell ref="B1029:D1029"/>
    <mergeCell ref="G1029:I1029"/>
    <mergeCell ref="A1044:D1044"/>
    <mergeCell ref="F1044:I1044"/>
    <mergeCell ref="A1048:D1048"/>
    <mergeCell ref="F1048:I1048"/>
    <mergeCell ref="A1049:B1049"/>
    <mergeCell ref="C1049:D1049"/>
    <mergeCell ref="F1049:G1049"/>
    <mergeCell ref="H1049:I1049"/>
    <mergeCell ref="B1050:D1050"/>
    <mergeCell ref="G1050:I1050"/>
    <mergeCell ref="A1037:D1037"/>
    <mergeCell ref="F1037:I1037"/>
    <mergeCell ref="A1041:D1041"/>
    <mergeCell ref="F1041:I1041"/>
    <mergeCell ref="A1042:B1042"/>
    <mergeCell ref="C1042:D1042"/>
    <mergeCell ref="F1042:G1042"/>
    <mergeCell ref="H1042:I1042"/>
    <mergeCell ref="B1043:D1043"/>
    <mergeCell ref="G1043:I1043"/>
  </mergeCells>
  <pageMargins left="0.19685039370078741" right="0" top="0.19685039370078741" bottom="0.19685039370078741" header="0" footer="0"/>
  <pageSetup paperSize="260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28</vt:i4>
      </vt:variant>
    </vt:vector>
  </HeadingPairs>
  <TitlesOfParts>
    <vt:vector size="56" baseType="lpstr">
      <vt:lpstr>DEO_InnerDome</vt:lpstr>
      <vt:lpstr>DEO_Platform</vt:lpstr>
      <vt:lpstr>DEO_Screw</vt:lpstr>
      <vt:lpstr>DEO_02C_Cap</vt:lpstr>
      <vt:lpstr>DEO_03C_Barrel</vt:lpstr>
      <vt:lpstr>DEO_08B_InnerDome</vt:lpstr>
      <vt:lpstr>DEO_09B_Platform</vt:lpstr>
      <vt:lpstr>DEO_04B_Screw</vt:lpstr>
      <vt:lpstr>DEO_16B_Cap</vt:lpstr>
      <vt:lpstr>DEO_17B_Barrel</vt:lpstr>
      <vt:lpstr>DEO_12A_InnerDome</vt:lpstr>
      <vt:lpstr>DEO_06B_Platform</vt:lpstr>
      <vt:lpstr>DEO_13B_Screw</vt:lpstr>
      <vt:lpstr>DEO_14A_Cap (2)</vt:lpstr>
      <vt:lpstr>DEO_20B_Cap</vt:lpstr>
      <vt:lpstr>DEO_21B_Barrel</vt:lpstr>
      <vt:lpstr>DEO_XXX_InnerDome</vt:lpstr>
      <vt:lpstr>DEO_XXX_Platform</vt:lpstr>
      <vt:lpstr>DEO_XXX_Screw</vt:lpstr>
      <vt:lpstr>DEO_02B_Plug</vt:lpstr>
      <vt:lpstr>DEO_07B_Plug</vt:lpstr>
      <vt:lpstr>DEO_35U1F_Plug</vt:lpstr>
      <vt:lpstr>DEO_35U1F_Stopper</vt:lpstr>
      <vt:lpstr>DEO_Frida_Cap</vt:lpstr>
      <vt:lpstr>DEO_Frida_InnerDome</vt:lpstr>
      <vt:lpstr>TDEO_19B_Cap</vt:lpstr>
      <vt:lpstr>TDEO_21A_Screw</vt:lpstr>
      <vt:lpstr>TDEO_18B_Barrel</vt:lpstr>
      <vt:lpstr>DEO_02B_Plug!Print_Area</vt:lpstr>
      <vt:lpstr>DEO_02C_Cap!Print_Area</vt:lpstr>
      <vt:lpstr>DEO_03C_Barrel!Print_Area</vt:lpstr>
      <vt:lpstr>DEO_04B_Screw!Print_Area</vt:lpstr>
      <vt:lpstr>DEO_06B_Platform!Print_Area</vt:lpstr>
      <vt:lpstr>DEO_07B_Plug!Print_Area</vt:lpstr>
      <vt:lpstr>DEO_08B_InnerDome!Print_Area</vt:lpstr>
      <vt:lpstr>DEO_09B_Platform!Print_Area</vt:lpstr>
      <vt:lpstr>DEO_12A_InnerDome!Print_Area</vt:lpstr>
      <vt:lpstr>DEO_13B_Screw!Print_Area</vt:lpstr>
      <vt:lpstr>'DEO_14A_Cap (2)'!Print_Area</vt:lpstr>
      <vt:lpstr>DEO_16B_Cap!Print_Area</vt:lpstr>
      <vt:lpstr>DEO_17B_Barrel!Print_Area</vt:lpstr>
      <vt:lpstr>DEO_20B_Cap!Print_Area</vt:lpstr>
      <vt:lpstr>DEO_21B_Barrel!Print_Area</vt:lpstr>
      <vt:lpstr>DEO_35U1F_Plug!Print_Area</vt:lpstr>
      <vt:lpstr>DEO_35U1F_Stopper!Print_Area</vt:lpstr>
      <vt:lpstr>DEO_Frida_Cap!Print_Area</vt:lpstr>
      <vt:lpstr>DEO_Frida_InnerDome!Print_Area</vt:lpstr>
      <vt:lpstr>DEO_InnerDome!Print_Area</vt:lpstr>
      <vt:lpstr>DEO_Platform!Print_Area</vt:lpstr>
      <vt:lpstr>DEO_Screw!Print_Area</vt:lpstr>
      <vt:lpstr>DEO_XXX_InnerDome!Print_Area</vt:lpstr>
      <vt:lpstr>DEO_XXX_Platform!Print_Area</vt:lpstr>
      <vt:lpstr>DEO_XXX_Screw!Print_Area</vt:lpstr>
      <vt:lpstr>TDEO_18B_Barrel!Print_Area</vt:lpstr>
      <vt:lpstr>TDEO_19B_Cap!Print_Area</vt:lpstr>
      <vt:lpstr>TDEO_21A_Screw!Print_Area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2024-05-10T20:56:03Z</cp:lastPrinted>
  <dcterms:created xsi:type="dcterms:W3CDTF">2023-03-08T16:50:21Z</dcterms:created>
  <dcterms:modified xsi:type="dcterms:W3CDTF">2024-05-10T20:56:07Z</dcterms:modified>
</cp:coreProperties>
</file>