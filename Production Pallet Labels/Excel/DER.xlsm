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60" yWindow="585" windowWidth="15600" windowHeight="8010" tabRatio="700" firstSheet="5" activeTab="7"/>
  </bookViews>
  <sheets>
    <sheet name="DER_21A_Screw" sheetId="31" r:id="rId1"/>
    <sheet name="DER_09B_Screw" sheetId="27" r:id="rId2"/>
    <sheet name="DER_11A_InnerDome-DER-D02B" sheetId="23" r:id="rId3"/>
    <sheet name="DER_08A_InnerDome-DER-D02B" sheetId="30" r:id="rId4"/>
    <sheet name="DER_08A_InnerDome-DER-D2-SOL" sheetId="22" r:id="rId5"/>
    <sheet name="DER_34ACap" sheetId="32" r:id="rId6"/>
    <sheet name="DER_34AR_OuterCap (2)" sheetId="29" r:id="rId7"/>
    <sheet name="DER_18A_OuterCap" sheetId="25" r:id="rId8"/>
    <sheet name="DER_24BB_InnerCap" sheetId="24" r:id="rId9"/>
    <sheet name="DER_16A_Cap" sheetId="9" r:id="rId10"/>
    <sheet name="DER_04B_Cap (2)" sheetId="34" r:id="rId11"/>
    <sheet name="DER_01C_Cap" sheetId="14" r:id="rId12"/>
    <sheet name="DER_05B_Barrel" sheetId="33" r:id="rId13"/>
    <sheet name="DER_05C_Barrel" sheetId="26" r:id="rId14"/>
    <sheet name="DER_04C_Barrel" sheetId="15" r:id="rId15"/>
    <sheet name="DER_14AB_InnerDome" sheetId="16" r:id="rId16"/>
    <sheet name="DER_01A_Platform" sheetId="17" r:id="rId17"/>
    <sheet name="DER_13A_Cartridge" sheetId="18" r:id="rId18"/>
    <sheet name="DER_15A_Screw" sheetId="19" r:id="rId19"/>
    <sheet name="DER_03B_DER-U01-BottomCover" sheetId="28" r:id="rId20"/>
    <sheet name="DER_17A_DER-U02-BottomCover" sheetId="20" r:id="rId21"/>
    <sheet name="DER_14A_Plug" sheetId="21" r:id="rId22"/>
  </sheets>
  <functionGroups builtInGroupCount="17"/>
  <definedNames>
    <definedName name="_xlnm.Print_Area" localSheetId="16">DER_01A_Platform!$A$1:$I$105</definedName>
    <definedName name="_xlnm.Print_Area" localSheetId="11">DER_01C_Cap!$A$1:$I$14</definedName>
    <definedName name="_xlnm.Print_Area" localSheetId="19">'DER_03B_DER-U01-BottomCover'!$A$1:$I$14</definedName>
    <definedName name="_xlnm.Print_Area" localSheetId="10">'DER_04B_Cap (2)'!$A$1:$I$14</definedName>
    <definedName name="_xlnm.Print_Area" localSheetId="14">DER_04C_Barrel!$A$1:$I$21</definedName>
    <definedName name="_xlnm.Print_Area" localSheetId="12">DER_05B_Barrel!$A$1:$I$14</definedName>
    <definedName name="_xlnm.Print_Area" localSheetId="13">DER_05C_Barrel!$A$1:$I$455</definedName>
    <definedName name="_xlnm.Print_Area" localSheetId="3">'DER_08A_InnerDome-DER-D02B'!$A$1:$I$14</definedName>
    <definedName name="_xlnm.Print_Area" localSheetId="4">'DER_08A_InnerDome-DER-D2-SOL'!$A$1:$I$105</definedName>
    <definedName name="_xlnm.Print_Area" localSheetId="1">DER_09B_Screw!$A$1:$I$63</definedName>
    <definedName name="_xlnm.Print_Area" localSheetId="2">'DER_11A_InnerDome-DER-D02B'!$A$1:$I$35</definedName>
    <definedName name="_xlnm.Print_Area" localSheetId="17">DER_13A_Cartridge!$A$1:$I$105</definedName>
    <definedName name="_xlnm.Print_Area" localSheetId="21">DER_14A_Plug!$A$1:$I$7</definedName>
    <definedName name="_xlnm.Print_Area" localSheetId="15">DER_14AB_InnerDome!$A$1:$I$35</definedName>
    <definedName name="_xlnm.Print_Area" localSheetId="18">DER_15A_Screw!$A$1:$I$70</definedName>
    <definedName name="_xlnm.Print_Area" localSheetId="9">DER_16A_Cap!$A$1:$I$210</definedName>
    <definedName name="_xlnm.Print_Area" localSheetId="20">'DER_17A_DER-U02-BottomCover'!$A$1:$I$77</definedName>
    <definedName name="_xlnm.Print_Area" localSheetId="7">DER_18A_OuterCap!$A$1:$I$7</definedName>
    <definedName name="_xlnm.Print_Area" localSheetId="0">DER_21A_Screw!$A$1:$I$21</definedName>
    <definedName name="_xlnm.Print_Area" localSheetId="8">DER_24BB_InnerCap!$A$1:$I$7</definedName>
    <definedName name="_xlnm.Print_Area" localSheetId="5">DER_34ACap!$A$1:$I$14</definedName>
    <definedName name="_xlnm.Print_Area" localSheetId="6">'DER_34AR_OuterCap (2)'!$A$1:$I$14</definedName>
  </definedNames>
  <calcPr calcId="145621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34" l="1"/>
  <c r="H13" i="34"/>
  <c r="F13" i="34"/>
  <c r="I11" i="34"/>
  <c r="I10" i="34"/>
  <c r="F8" i="34"/>
  <c r="G105" i="18" l="1"/>
  <c r="H104" i="18"/>
  <c r="F104" i="18"/>
  <c r="I102" i="18"/>
  <c r="I101" i="18"/>
  <c r="F99" i="18"/>
  <c r="G98" i="18"/>
  <c r="H97" i="18"/>
  <c r="F97" i="18"/>
  <c r="I95" i="18"/>
  <c r="I94" i="18"/>
  <c r="F92" i="18"/>
  <c r="G91" i="18"/>
  <c r="H90" i="18"/>
  <c r="F90" i="18"/>
  <c r="I88" i="18"/>
  <c r="I87" i="18"/>
  <c r="F85" i="18"/>
  <c r="G84" i="18"/>
  <c r="H83" i="18"/>
  <c r="F83" i="18"/>
  <c r="I81" i="18"/>
  <c r="I80" i="18"/>
  <c r="F78" i="18"/>
  <c r="G77" i="18"/>
  <c r="H76" i="18"/>
  <c r="F76" i="18"/>
  <c r="I74" i="18"/>
  <c r="I73" i="18"/>
  <c r="F71" i="18"/>
  <c r="G70" i="18"/>
  <c r="H69" i="18"/>
  <c r="F69" i="18"/>
  <c r="I67" i="18"/>
  <c r="I66" i="18"/>
  <c r="F64" i="18"/>
  <c r="G63" i="18"/>
  <c r="H62" i="18"/>
  <c r="F62" i="18"/>
  <c r="I60" i="18"/>
  <c r="I59" i="18"/>
  <c r="F57" i="18"/>
  <c r="G56" i="18"/>
  <c r="H55" i="18"/>
  <c r="F55" i="18"/>
  <c r="I53" i="18"/>
  <c r="I52" i="18"/>
  <c r="F50" i="18"/>
  <c r="G49" i="18"/>
  <c r="H48" i="18"/>
  <c r="F48" i="18"/>
  <c r="I46" i="18"/>
  <c r="I45" i="18"/>
  <c r="F43" i="18"/>
  <c r="G42" i="18"/>
  <c r="H41" i="18"/>
  <c r="F41" i="18"/>
  <c r="I39" i="18"/>
  <c r="I38" i="18"/>
  <c r="F36" i="18"/>
  <c r="G35" i="18"/>
  <c r="H34" i="18"/>
  <c r="F34" i="18"/>
  <c r="I32" i="18"/>
  <c r="I31" i="18"/>
  <c r="F29" i="18"/>
  <c r="G28" i="18"/>
  <c r="H27" i="18"/>
  <c r="F27" i="18"/>
  <c r="I25" i="18"/>
  <c r="I24" i="18"/>
  <c r="F22" i="18"/>
  <c r="G21" i="18"/>
  <c r="H20" i="18"/>
  <c r="F20" i="18"/>
  <c r="I18" i="18"/>
  <c r="I17" i="18"/>
  <c r="F15" i="18"/>
  <c r="G14" i="18"/>
  <c r="H13" i="18"/>
  <c r="F13" i="18"/>
  <c r="I11" i="18"/>
  <c r="I10" i="18"/>
  <c r="F8" i="18"/>
  <c r="G77" i="20" l="1"/>
  <c r="H76" i="20"/>
  <c r="F76" i="20"/>
  <c r="I74" i="20"/>
  <c r="I73" i="20"/>
  <c r="F71" i="20"/>
  <c r="G70" i="20"/>
  <c r="H69" i="20"/>
  <c r="F69" i="20"/>
  <c r="I67" i="20"/>
  <c r="I66" i="20"/>
  <c r="F64" i="20"/>
  <c r="G63" i="20"/>
  <c r="H62" i="20"/>
  <c r="F62" i="20"/>
  <c r="I60" i="20"/>
  <c r="I59" i="20"/>
  <c r="F57" i="20"/>
  <c r="G56" i="20"/>
  <c r="H55" i="20"/>
  <c r="F55" i="20"/>
  <c r="I53" i="20"/>
  <c r="I52" i="20"/>
  <c r="F50" i="20"/>
  <c r="G49" i="20"/>
  <c r="H48" i="20"/>
  <c r="F48" i="20"/>
  <c r="I46" i="20"/>
  <c r="I45" i="20"/>
  <c r="F43" i="20"/>
  <c r="G42" i="20"/>
  <c r="H41" i="20"/>
  <c r="F41" i="20"/>
  <c r="I39" i="20"/>
  <c r="I38" i="20"/>
  <c r="F36" i="20"/>
  <c r="G35" i="20"/>
  <c r="H34" i="20"/>
  <c r="F34" i="20"/>
  <c r="I32" i="20"/>
  <c r="I31" i="20"/>
  <c r="F29" i="20"/>
  <c r="G28" i="20"/>
  <c r="H27" i="20"/>
  <c r="F27" i="20"/>
  <c r="I25" i="20"/>
  <c r="I24" i="20"/>
  <c r="F22" i="20"/>
  <c r="G21" i="20"/>
  <c r="H20" i="20"/>
  <c r="F20" i="20"/>
  <c r="I18" i="20"/>
  <c r="I17" i="20"/>
  <c r="F15" i="20"/>
  <c r="G14" i="20"/>
  <c r="H13" i="20"/>
  <c r="F13" i="20"/>
  <c r="I11" i="20"/>
  <c r="I10" i="20"/>
  <c r="F8" i="20"/>
  <c r="G455" i="26" l="1"/>
  <c r="H454" i="26"/>
  <c r="F454" i="26"/>
  <c r="I452" i="26"/>
  <c r="I451" i="26"/>
  <c r="F449" i="26"/>
  <c r="G448" i="26"/>
  <c r="H447" i="26"/>
  <c r="F447" i="26"/>
  <c r="I445" i="26"/>
  <c r="I444" i="26"/>
  <c r="F442" i="26"/>
  <c r="G441" i="26"/>
  <c r="H440" i="26"/>
  <c r="F440" i="26"/>
  <c r="I438" i="26"/>
  <c r="I437" i="26"/>
  <c r="F435" i="26"/>
  <c r="G434" i="26"/>
  <c r="H433" i="26"/>
  <c r="F433" i="26"/>
  <c r="I431" i="26"/>
  <c r="I430" i="26"/>
  <c r="F428" i="26"/>
  <c r="G427" i="26"/>
  <c r="H426" i="26"/>
  <c r="F426" i="26"/>
  <c r="I424" i="26"/>
  <c r="I423" i="26"/>
  <c r="F421" i="26"/>
  <c r="G420" i="26"/>
  <c r="H419" i="26"/>
  <c r="F419" i="26"/>
  <c r="I417" i="26"/>
  <c r="I416" i="26"/>
  <c r="F414" i="26"/>
  <c r="G413" i="26"/>
  <c r="H412" i="26"/>
  <c r="F412" i="26"/>
  <c r="I410" i="26"/>
  <c r="I409" i="26"/>
  <c r="F407" i="26"/>
  <c r="G406" i="26"/>
  <c r="H405" i="26"/>
  <c r="F405" i="26"/>
  <c r="I403" i="26"/>
  <c r="I402" i="26"/>
  <c r="F400" i="26"/>
  <c r="G399" i="26"/>
  <c r="H398" i="26"/>
  <c r="F398" i="26"/>
  <c r="I396" i="26"/>
  <c r="I395" i="26"/>
  <c r="F393" i="26"/>
  <c r="G392" i="26"/>
  <c r="H391" i="26"/>
  <c r="F391" i="26"/>
  <c r="I389" i="26"/>
  <c r="I388" i="26"/>
  <c r="F386" i="26"/>
  <c r="G385" i="26"/>
  <c r="H384" i="26"/>
  <c r="F384" i="26"/>
  <c r="I382" i="26"/>
  <c r="I381" i="26"/>
  <c r="F379" i="26"/>
  <c r="G378" i="26"/>
  <c r="H377" i="26"/>
  <c r="F377" i="26"/>
  <c r="I375" i="26"/>
  <c r="I374" i="26"/>
  <c r="F372" i="26"/>
  <c r="G371" i="26"/>
  <c r="H370" i="26"/>
  <c r="F370" i="26"/>
  <c r="I368" i="26"/>
  <c r="I367" i="26"/>
  <c r="F365" i="26"/>
  <c r="G364" i="26"/>
  <c r="H363" i="26"/>
  <c r="F363" i="26"/>
  <c r="I361" i="26"/>
  <c r="I360" i="26"/>
  <c r="F358" i="26"/>
  <c r="G357" i="26"/>
  <c r="H356" i="26"/>
  <c r="F356" i="26"/>
  <c r="I354" i="26"/>
  <c r="I353" i="26"/>
  <c r="F351" i="26"/>
  <c r="G350" i="26"/>
  <c r="H349" i="26"/>
  <c r="F349" i="26"/>
  <c r="I347" i="26"/>
  <c r="I346" i="26"/>
  <c r="F344" i="26"/>
  <c r="G343" i="26"/>
  <c r="H342" i="26"/>
  <c r="F342" i="26"/>
  <c r="I340" i="26"/>
  <c r="I339" i="26"/>
  <c r="F337" i="26"/>
  <c r="G336" i="26"/>
  <c r="H335" i="26"/>
  <c r="F335" i="26"/>
  <c r="I333" i="26"/>
  <c r="I332" i="26"/>
  <c r="F330" i="26"/>
  <c r="G329" i="26"/>
  <c r="H328" i="26"/>
  <c r="F328" i="26"/>
  <c r="I326" i="26"/>
  <c r="I325" i="26"/>
  <c r="F323" i="26"/>
  <c r="G322" i="26"/>
  <c r="H321" i="26"/>
  <c r="F321" i="26"/>
  <c r="I319" i="26"/>
  <c r="I318" i="26"/>
  <c r="F316" i="26"/>
  <c r="G315" i="26"/>
  <c r="H314" i="26"/>
  <c r="F314" i="26"/>
  <c r="I312" i="26"/>
  <c r="I311" i="26"/>
  <c r="F309" i="26"/>
  <c r="G308" i="26"/>
  <c r="H307" i="26"/>
  <c r="F307" i="26"/>
  <c r="I305" i="26"/>
  <c r="I304" i="26"/>
  <c r="F302" i="26"/>
  <c r="G301" i="26"/>
  <c r="H300" i="26"/>
  <c r="F300" i="26"/>
  <c r="I298" i="26"/>
  <c r="I297" i="26"/>
  <c r="F295" i="26"/>
  <c r="G294" i="26"/>
  <c r="H293" i="26"/>
  <c r="F293" i="26"/>
  <c r="I291" i="26"/>
  <c r="I290" i="26"/>
  <c r="F288" i="26"/>
  <c r="G287" i="26"/>
  <c r="H286" i="26"/>
  <c r="F286" i="26"/>
  <c r="I284" i="26"/>
  <c r="I283" i="26"/>
  <c r="F281" i="26"/>
  <c r="G280" i="26"/>
  <c r="H279" i="26"/>
  <c r="F279" i="26"/>
  <c r="I277" i="26"/>
  <c r="I276" i="26"/>
  <c r="F274" i="26"/>
  <c r="G273" i="26"/>
  <c r="H272" i="26"/>
  <c r="F272" i="26"/>
  <c r="I270" i="26"/>
  <c r="I269" i="26"/>
  <c r="F267" i="26"/>
  <c r="G266" i="26"/>
  <c r="H265" i="26"/>
  <c r="F265" i="26"/>
  <c r="I263" i="26"/>
  <c r="I262" i="26"/>
  <c r="F260" i="26"/>
  <c r="G259" i="26"/>
  <c r="H258" i="26"/>
  <c r="F258" i="26"/>
  <c r="I256" i="26"/>
  <c r="I255" i="26"/>
  <c r="F253" i="26"/>
  <c r="G252" i="26"/>
  <c r="H251" i="26"/>
  <c r="F251" i="26"/>
  <c r="I249" i="26"/>
  <c r="I248" i="26"/>
  <c r="F246" i="26"/>
  <c r="G245" i="26"/>
  <c r="H244" i="26"/>
  <c r="F244" i="26"/>
  <c r="I242" i="26"/>
  <c r="I241" i="26"/>
  <c r="F239" i="26"/>
  <c r="G238" i="26"/>
  <c r="H237" i="26"/>
  <c r="F237" i="26"/>
  <c r="I235" i="26"/>
  <c r="I234" i="26"/>
  <c r="F232" i="26"/>
  <c r="G231" i="26"/>
  <c r="H230" i="26"/>
  <c r="F230" i="26"/>
  <c r="I228" i="26"/>
  <c r="I227" i="26"/>
  <c r="F225" i="26"/>
  <c r="G224" i="26"/>
  <c r="H223" i="26"/>
  <c r="F223" i="26"/>
  <c r="I221" i="26"/>
  <c r="I220" i="26"/>
  <c r="F218" i="26"/>
  <c r="G217" i="26"/>
  <c r="H216" i="26"/>
  <c r="F216" i="26"/>
  <c r="I214" i="26"/>
  <c r="I213" i="26"/>
  <c r="F211" i="26"/>
  <c r="G210" i="26"/>
  <c r="H209" i="26"/>
  <c r="F209" i="26"/>
  <c r="I207" i="26"/>
  <c r="I206" i="26"/>
  <c r="F204" i="26"/>
  <c r="G203" i="26"/>
  <c r="H202" i="26"/>
  <c r="F202" i="26"/>
  <c r="I200" i="26"/>
  <c r="I199" i="26"/>
  <c r="F197" i="26"/>
  <c r="G196" i="26"/>
  <c r="H195" i="26"/>
  <c r="F195" i="26"/>
  <c r="I193" i="26"/>
  <c r="I192" i="26"/>
  <c r="F190" i="26"/>
  <c r="G189" i="26"/>
  <c r="H188" i="26"/>
  <c r="F188" i="26"/>
  <c r="I186" i="26"/>
  <c r="I185" i="26"/>
  <c r="F183" i="26"/>
  <c r="G182" i="26"/>
  <c r="H181" i="26"/>
  <c r="F181" i="26"/>
  <c r="I179" i="26"/>
  <c r="I178" i="26"/>
  <c r="F176" i="26"/>
  <c r="G175" i="26"/>
  <c r="H174" i="26"/>
  <c r="F174" i="26"/>
  <c r="I172" i="26"/>
  <c r="I171" i="26"/>
  <c r="F169" i="26"/>
  <c r="G168" i="26"/>
  <c r="H167" i="26"/>
  <c r="F167" i="26"/>
  <c r="I165" i="26"/>
  <c r="I164" i="26"/>
  <c r="F162" i="26"/>
  <c r="G161" i="26"/>
  <c r="H160" i="26"/>
  <c r="F160" i="26"/>
  <c r="I158" i="26"/>
  <c r="I157" i="26"/>
  <c r="F155" i="26"/>
  <c r="G154" i="26"/>
  <c r="H153" i="26"/>
  <c r="F153" i="26"/>
  <c r="I151" i="26"/>
  <c r="I150" i="26"/>
  <c r="F148" i="26"/>
  <c r="G147" i="26"/>
  <c r="H146" i="26"/>
  <c r="F146" i="26"/>
  <c r="I144" i="26"/>
  <c r="I143" i="26"/>
  <c r="F141" i="26"/>
  <c r="G140" i="26"/>
  <c r="H139" i="26"/>
  <c r="F139" i="26"/>
  <c r="I137" i="26"/>
  <c r="I136" i="26"/>
  <c r="F134" i="26"/>
  <c r="G133" i="26"/>
  <c r="H132" i="26"/>
  <c r="F132" i="26"/>
  <c r="I130" i="26"/>
  <c r="I129" i="26"/>
  <c r="F127" i="26"/>
  <c r="G126" i="26"/>
  <c r="H125" i="26"/>
  <c r="F125" i="26"/>
  <c r="I123" i="26"/>
  <c r="I122" i="26"/>
  <c r="F120" i="26"/>
  <c r="G119" i="26"/>
  <c r="H118" i="26"/>
  <c r="F118" i="26"/>
  <c r="I116" i="26"/>
  <c r="I115" i="26"/>
  <c r="F113" i="26"/>
  <c r="G112" i="26"/>
  <c r="H111" i="26"/>
  <c r="F111" i="26"/>
  <c r="I109" i="26"/>
  <c r="I108" i="26"/>
  <c r="F106" i="26"/>
  <c r="G105" i="26"/>
  <c r="H104" i="26"/>
  <c r="F104" i="26"/>
  <c r="I102" i="26"/>
  <c r="I101" i="26"/>
  <c r="F99" i="26"/>
  <c r="G98" i="26"/>
  <c r="H97" i="26"/>
  <c r="F97" i="26"/>
  <c r="I95" i="26"/>
  <c r="I94" i="26"/>
  <c r="F92" i="26"/>
  <c r="G91" i="26"/>
  <c r="H90" i="26"/>
  <c r="F90" i="26"/>
  <c r="I88" i="26"/>
  <c r="I87" i="26"/>
  <c r="F85" i="26"/>
  <c r="G84" i="26"/>
  <c r="H83" i="26"/>
  <c r="F83" i="26"/>
  <c r="I81" i="26"/>
  <c r="I80" i="26"/>
  <c r="F78" i="26"/>
  <c r="G77" i="26"/>
  <c r="H76" i="26"/>
  <c r="F76" i="26"/>
  <c r="I74" i="26"/>
  <c r="I73" i="26"/>
  <c r="F71" i="26"/>
  <c r="G70" i="26"/>
  <c r="H69" i="26"/>
  <c r="F69" i="26"/>
  <c r="I67" i="26"/>
  <c r="I66" i="26"/>
  <c r="F64" i="26"/>
  <c r="G63" i="26"/>
  <c r="H62" i="26"/>
  <c r="F62" i="26"/>
  <c r="I60" i="26"/>
  <c r="I59" i="26"/>
  <c r="F57" i="26"/>
  <c r="G56" i="26"/>
  <c r="H55" i="26"/>
  <c r="F55" i="26"/>
  <c r="I53" i="26"/>
  <c r="I52" i="26"/>
  <c r="F50" i="26"/>
  <c r="G49" i="26"/>
  <c r="H48" i="26"/>
  <c r="F48" i="26"/>
  <c r="I46" i="26"/>
  <c r="I45" i="26"/>
  <c r="F43" i="26"/>
  <c r="G42" i="26"/>
  <c r="H41" i="26"/>
  <c r="F41" i="26"/>
  <c r="I39" i="26"/>
  <c r="I38" i="26"/>
  <c r="F36" i="26"/>
  <c r="G35" i="26"/>
  <c r="H34" i="26"/>
  <c r="F34" i="26"/>
  <c r="I32" i="26"/>
  <c r="I31" i="26"/>
  <c r="F29" i="26"/>
  <c r="G28" i="26"/>
  <c r="H27" i="26"/>
  <c r="F27" i="26"/>
  <c r="I25" i="26"/>
  <c r="I24" i="26"/>
  <c r="F22" i="26"/>
  <c r="G21" i="26"/>
  <c r="H20" i="26"/>
  <c r="F20" i="26"/>
  <c r="I18" i="26"/>
  <c r="I17" i="26"/>
  <c r="F15" i="26"/>
  <c r="G14" i="26"/>
  <c r="H13" i="26"/>
  <c r="F13" i="26"/>
  <c r="I11" i="26"/>
  <c r="I10" i="26"/>
  <c r="F8" i="26"/>
  <c r="G210" i="9"/>
  <c r="H209" i="9"/>
  <c r="F209" i="9"/>
  <c r="I207" i="9"/>
  <c r="I206" i="9"/>
  <c r="F204" i="9"/>
  <c r="G203" i="9"/>
  <c r="H202" i="9"/>
  <c r="F202" i="9"/>
  <c r="I200" i="9"/>
  <c r="I199" i="9"/>
  <c r="F197" i="9"/>
  <c r="G196" i="9"/>
  <c r="H195" i="9"/>
  <c r="F195" i="9"/>
  <c r="I193" i="9"/>
  <c r="I192" i="9"/>
  <c r="F190" i="9"/>
  <c r="G189" i="9"/>
  <c r="H188" i="9"/>
  <c r="F188" i="9"/>
  <c r="I186" i="9"/>
  <c r="I185" i="9"/>
  <c r="F183" i="9"/>
  <c r="G182" i="9"/>
  <c r="H181" i="9"/>
  <c r="F181" i="9"/>
  <c r="I179" i="9"/>
  <c r="I178" i="9"/>
  <c r="F176" i="9"/>
  <c r="G175" i="9"/>
  <c r="H174" i="9"/>
  <c r="F174" i="9"/>
  <c r="I172" i="9"/>
  <c r="I171" i="9"/>
  <c r="F169" i="9"/>
  <c r="G168" i="9"/>
  <c r="H167" i="9"/>
  <c r="F167" i="9"/>
  <c r="I165" i="9"/>
  <c r="I164" i="9"/>
  <c r="F162" i="9"/>
  <c r="G161" i="9"/>
  <c r="H160" i="9"/>
  <c r="F160" i="9"/>
  <c r="I158" i="9"/>
  <c r="I157" i="9"/>
  <c r="F155" i="9"/>
  <c r="G154" i="9"/>
  <c r="H153" i="9"/>
  <c r="F153" i="9"/>
  <c r="I151" i="9"/>
  <c r="I150" i="9"/>
  <c r="F148" i="9"/>
  <c r="G147" i="9"/>
  <c r="H146" i="9"/>
  <c r="F146" i="9"/>
  <c r="I144" i="9"/>
  <c r="I143" i="9"/>
  <c r="F141" i="9"/>
  <c r="G140" i="9"/>
  <c r="H139" i="9"/>
  <c r="F139" i="9"/>
  <c r="I137" i="9"/>
  <c r="I136" i="9"/>
  <c r="F134" i="9"/>
  <c r="G133" i="9"/>
  <c r="H132" i="9"/>
  <c r="F132" i="9"/>
  <c r="I130" i="9"/>
  <c r="I129" i="9"/>
  <c r="F127" i="9"/>
  <c r="G126" i="9"/>
  <c r="H125" i="9"/>
  <c r="F125" i="9"/>
  <c r="I123" i="9"/>
  <c r="I122" i="9"/>
  <c r="F120" i="9"/>
  <c r="G119" i="9"/>
  <c r="H118" i="9"/>
  <c r="F118" i="9"/>
  <c r="I116" i="9"/>
  <c r="I115" i="9"/>
  <c r="F113" i="9"/>
  <c r="G112" i="9"/>
  <c r="H111" i="9"/>
  <c r="F111" i="9"/>
  <c r="I109" i="9"/>
  <c r="I108" i="9"/>
  <c r="F106" i="9"/>
  <c r="G105" i="9"/>
  <c r="H104" i="9"/>
  <c r="F104" i="9"/>
  <c r="I102" i="9"/>
  <c r="I101" i="9"/>
  <c r="F99" i="9"/>
  <c r="G98" i="9"/>
  <c r="H97" i="9"/>
  <c r="F97" i="9"/>
  <c r="I95" i="9"/>
  <c r="I94" i="9"/>
  <c r="F92" i="9"/>
  <c r="G91" i="9"/>
  <c r="H90" i="9"/>
  <c r="F90" i="9"/>
  <c r="I88" i="9"/>
  <c r="I87" i="9"/>
  <c r="F85" i="9"/>
  <c r="G84" i="9"/>
  <c r="H83" i="9"/>
  <c r="F83" i="9"/>
  <c r="I81" i="9"/>
  <c r="I80" i="9"/>
  <c r="F78" i="9"/>
  <c r="G77" i="9"/>
  <c r="H76" i="9"/>
  <c r="F76" i="9"/>
  <c r="I74" i="9"/>
  <c r="I73" i="9"/>
  <c r="F71" i="9"/>
  <c r="G70" i="9"/>
  <c r="H69" i="9"/>
  <c r="F69" i="9"/>
  <c r="I67" i="9"/>
  <c r="I66" i="9"/>
  <c r="F64" i="9"/>
  <c r="G63" i="9"/>
  <c r="H62" i="9"/>
  <c r="F62" i="9"/>
  <c r="I60" i="9"/>
  <c r="I59" i="9"/>
  <c r="F57" i="9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G70" i="19" l="1"/>
  <c r="H69" i="19"/>
  <c r="F69" i="19"/>
  <c r="I67" i="19"/>
  <c r="I66" i="19"/>
  <c r="F64" i="19"/>
  <c r="G63" i="19"/>
  <c r="H62" i="19"/>
  <c r="F62" i="19"/>
  <c r="I60" i="19"/>
  <c r="I59" i="19"/>
  <c r="F57" i="19"/>
  <c r="G56" i="19"/>
  <c r="H55" i="19"/>
  <c r="F55" i="19"/>
  <c r="I53" i="19"/>
  <c r="I52" i="19"/>
  <c r="F50" i="19"/>
  <c r="G49" i="19"/>
  <c r="H48" i="19"/>
  <c r="F48" i="19"/>
  <c r="I46" i="19"/>
  <c r="I45" i="19"/>
  <c r="F43" i="19"/>
  <c r="G42" i="19"/>
  <c r="H41" i="19"/>
  <c r="F41" i="19"/>
  <c r="I39" i="19"/>
  <c r="I38" i="19"/>
  <c r="F36" i="19"/>
  <c r="G35" i="19"/>
  <c r="H34" i="19"/>
  <c r="F34" i="19"/>
  <c r="I32" i="19"/>
  <c r="I31" i="19"/>
  <c r="F29" i="19"/>
  <c r="G28" i="19"/>
  <c r="H27" i="19"/>
  <c r="F27" i="19"/>
  <c r="I25" i="19"/>
  <c r="I24" i="19"/>
  <c r="F22" i="19"/>
  <c r="G21" i="19"/>
  <c r="H20" i="19"/>
  <c r="F20" i="19"/>
  <c r="I18" i="19"/>
  <c r="I17" i="19"/>
  <c r="F15" i="19"/>
  <c r="G14" i="19"/>
  <c r="H13" i="19"/>
  <c r="F13" i="19"/>
  <c r="I11" i="19"/>
  <c r="I10" i="19"/>
  <c r="F8" i="19"/>
  <c r="G105" i="22"/>
  <c r="H104" i="22"/>
  <c r="F104" i="22"/>
  <c r="I102" i="22"/>
  <c r="I101" i="22"/>
  <c r="F99" i="22"/>
  <c r="G98" i="22"/>
  <c r="H97" i="22"/>
  <c r="F97" i="22"/>
  <c r="I95" i="22"/>
  <c r="I94" i="22"/>
  <c r="F92" i="22"/>
  <c r="G91" i="22"/>
  <c r="H90" i="22"/>
  <c r="F90" i="22"/>
  <c r="I88" i="22"/>
  <c r="I87" i="22"/>
  <c r="F85" i="22"/>
  <c r="G84" i="22"/>
  <c r="H83" i="22"/>
  <c r="F83" i="22"/>
  <c r="I81" i="22"/>
  <c r="I80" i="22"/>
  <c r="F78" i="22"/>
  <c r="G77" i="22"/>
  <c r="H76" i="22"/>
  <c r="F76" i="22"/>
  <c r="I74" i="22"/>
  <c r="I73" i="22"/>
  <c r="F71" i="22"/>
  <c r="G70" i="22"/>
  <c r="H69" i="22"/>
  <c r="F69" i="22"/>
  <c r="I67" i="22"/>
  <c r="I66" i="22"/>
  <c r="F64" i="22"/>
  <c r="G63" i="22"/>
  <c r="H62" i="22"/>
  <c r="F62" i="22"/>
  <c r="I60" i="22"/>
  <c r="I59" i="22"/>
  <c r="F57" i="22"/>
  <c r="G56" i="22"/>
  <c r="H55" i="22"/>
  <c r="F55" i="22"/>
  <c r="I53" i="22"/>
  <c r="I52" i="22"/>
  <c r="F50" i="22"/>
  <c r="G49" i="22"/>
  <c r="H48" i="22"/>
  <c r="F48" i="22"/>
  <c r="I46" i="22"/>
  <c r="I45" i="22"/>
  <c r="F43" i="22"/>
  <c r="G42" i="22"/>
  <c r="H41" i="22"/>
  <c r="F41" i="22"/>
  <c r="I39" i="22"/>
  <c r="I38" i="22"/>
  <c r="F36" i="22"/>
  <c r="G35" i="22"/>
  <c r="H34" i="22"/>
  <c r="F34" i="22"/>
  <c r="I32" i="22"/>
  <c r="I31" i="22"/>
  <c r="F29" i="22"/>
  <c r="G28" i="22"/>
  <c r="H27" i="22"/>
  <c r="F27" i="22"/>
  <c r="I25" i="22"/>
  <c r="I24" i="22"/>
  <c r="F22" i="22"/>
  <c r="G21" i="22"/>
  <c r="H20" i="22"/>
  <c r="F20" i="22"/>
  <c r="I18" i="22"/>
  <c r="I17" i="22"/>
  <c r="F15" i="22"/>
  <c r="G14" i="22"/>
  <c r="H13" i="22"/>
  <c r="F13" i="22"/>
  <c r="I11" i="22"/>
  <c r="I10" i="22"/>
  <c r="F8" i="22"/>
  <c r="G21" i="15" l="1"/>
  <c r="H20" i="15"/>
  <c r="F20" i="15"/>
  <c r="I18" i="15"/>
  <c r="I17" i="15"/>
  <c r="F15" i="15"/>
  <c r="G14" i="15"/>
  <c r="H13" i="15"/>
  <c r="F13" i="15"/>
  <c r="I11" i="15"/>
  <c r="I10" i="15"/>
  <c r="F8" i="15"/>
  <c r="G14" i="33" l="1"/>
  <c r="H13" i="33"/>
  <c r="F13" i="33"/>
  <c r="I11" i="33"/>
  <c r="I10" i="33"/>
  <c r="F8" i="33"/>
  <c r="G14" i="14" l="1"/>
  <c r="H13" i="14"/>
  <c r="F13" i="14"/>
  <c r="I11" i="14"/>
  <c r="I10" i="14"/>
  <c r="F8" i="14"/>
  <c r="G105" i="17" l="1"/>
  <c r="H104" i="17"/>
  <c r="F104" i="17"/>
  <c r="I102" i="17"/>
  <c r="I101" i="17"/>
  <c r="F99" i="17"/>
  <c r="G98" i="17"/>
  <c r="H97" i="17"/>
  <c r="F97" i="17"/>
  <c r="I95" i="17"/>
  <c r="I94" i="17"/>
  <c r="F92" i="17"/>
  <c r="G91" i="17"/>
  <c r="H90" i="17"/>
  <c r="F90" i="17"/>
  <c r="I88" i="17"/>
  <c r="I87" i="17"/>
  <c r="F85" i="17"/>
  <c r="G84" i="17"/>
  <c r="H83" i="17"/>
  <c r="F83" i="17"/>
  <c r="I81" i="17"/>
  <c r="I80" i="17"/>
  <c r="F78" i="17"/>
  <c r="G77" i="17"/>
  <c r="H76" i="17"/>
  <c r="F76" i="17"/>
  <c r="I74" i="17"/>
  <c r="I73" i="17"/>
  <c r="F71" i="17"/>
  <c r="G70" i="17"/>
  <c r="H69" i="17"/>
  <c r="F69" i="17"/>
  <c r="I67" i="17"/>
  <c r="I66" i="17"/>
  <c r="F64" i="17"/>
  <c r="G63" i="17"/>
  <c r="H62" i="17"/>
  <c r="F62" i="17"/>
  <c r="I60" i="17"/>
  <c r="I59" i="17"/>
  <c r="F57" i="17"/>
  <c r="G56" i="17"/>
  <c r="H55" i="17"/>
  <c r="F55" i="17"/>
  <c r="I53" i="17"/>
  <c r="I52" i="17"/>
  <c r="F50" i="17"/>
  <c r="G49" i="17"/>
  <c r="H48" i="17"/>
  <c r="F48" i="17"/>
  <c r="I46" i="17"/>
  <c r="I45" i="17"/>
  <c r="F43" i="17"/>
  <c r="G42" i="17"/>
  <c r="H41" i="17"/>
  <c r="F41" i="17"/>
  <c r="I39" i="17"/>
  <c r="I38" i="17"/>
  <c r="F36" i="17"/>
  <c r="G35" i="17"/>
  <c r="H34" i="17"/>
  <c r="F34" i="17"/>
  <c r="I32" i="17"/>
  <c r="I31" i="17"/>
  <c r="F29" i="17"/>
  <c r="G28" i="17"/>
  <c r="H27" i="17"/>
  <c r="F27" i="17"/>
  <c r="I25" i="17"/>
  <c r="I24" i="17"/>
  <c r="F22" i="17"/>
  <c r="G21" i="17"/>
  <c r="H20" i="17"/>
  <c r="F20" i="17"/>
  <c r="I18" i="17"/>
  <c r="I17" i="17"/>
  <c r="F15" i="17"/>
  <c r="G14" i="17"/>
  <c r="H13" i="17"/>
  <c r="F13" i="17"/>
  <c r="I11" i="17"/>
  <c r="I10" i="17"/>
  <c r="F8" i="17"/>
  <c r="G7" i="34" l="1"/>
  <c r="H6" i="34"/>
  <c r="F6" i="34"/>
  <c r="I4" i="34"/>
  <c r="I3" i="34"/>
  <c r="F1" i="34"/>
  <c r="G21" i="31" l="1"/>
  <c r="H20" i="31"/>
  <c r="F20" i="31"/>
  <c r="I18" i="31"/>
  <c r="I17" i="31"/>
  <c r="F15" i="31"/>
  <c r="G14" i="31"/>
  <c r="H13" i="31"/>
  <c r="F13" i="31"/>
  <c r="I11" i="31"/>
  <c r="I10" i="31"/>
  <c r="F8" i="31"/>
  <c r="G7" i="33" l="1"/>
  <c r="H6" i="33"/>
  <c r="F6" i="33"/>
  <c r="I4" i="33"/>
  <c r="I3" i="33"/>
  <c r="F1" i="33"/>
  <c r="G14" i="32"/>
  <c r="H13" i="32"/>
  <c r="F13" i="32"/>
  <c r="I11" i="32"/>
  <c r="I10" i="32"/>
  <c r="F8" i="32"/>
  <c r="G7" i="32"/>
  <c r="H6" i="32"/>
  <c r="F6" i="32"/>
  <c r="I4" i="32"/>
  <c r="I3" i="32"/>
  <c r="F1" i="32"/>
  <c r="G35" i="16" l="1"/>
  <c r="H34" i="16"/>
  <c r="F34" i="16"/>
  <c r="I32" i="16"/>
  <c r="I31" i="16"/>
  <c r="F29" i="16"/>
  <c r="G28" i="16"/>
  <c r="H27" i="16"/>
  <c r="F27" i="16"/>
  <c r="I25" i="16"/>
  <c r="I24" i="16"/>
  <c r="F22" i="16"/>
  <c r="G21" i="16"/>
  <c r="H20" i="16"/>
  <c r="F20" i="16"/>
  <c r="I18" i="16"/>
  <c r="I17" i="16"/>
  <c r="F15" i="16"/>
  <c r="G14" i="16"/>
  <c r="H13" i="16"/>
  <c r="F13" i="16"/>
  <c r="I11" i="16"/>
  <c r="I10" i="16"/>
  <c r="F8" i="16"/>
  <c r="G14" i="30" l="1"/>
  <c r="H13" i="30"/>
  <c r="F13" i="30"/>
  <c r="I11" i="30"/>
  <c r="I10" i="30"/>
  <c r="F8" i="30"/>
  <c r="G7" i="31" l="1"/>
  <c r="H6" i="31"/>
  <c r="F6" i="31"/>
  <c r="I4" i="31"/>
  <c r="I3" i="31"/>
  <c r="F1" i="31"/>
  <c r="G7" i="30" l="1"/>
  <c r="H6" i="30"/>
  <c r="F6" i="30"/>
  <c r="I4" i="30"/>
  <c r="I3" i="30"/>
  <c r="F1" i="30"/>
  <c r="F1" i="19" l="1"/>
  <c r="G14" i="28" l="1"/>
  <c r="H13" i="28"/>
  <c r="F13" i="28"/>
  <c r="I11" i="28"/>
  <c r="I10" i="28"/>
  <c r="F8" i="28"/>
  <c r="G14" i="29" l="1"/>
  <c r="H13" i="29"/>
  <c r="F13" i="29"/>
  <c r="I11" i="29"/>
  <c r="I10" i="29"/>
  <c r="F8" i="29"/>
  <c r="G7" i="29"/>
  <c r="H6" i="29"/>
  <c r="F6" i="29"/>
  <c r="I4" i="29"/>
  <c r="I3" i="29"/>
  <c r="F1" i="29"/>
  <c r="G7" i="28" l="1"/>
  <c r="H6" i="28"/>
  <c r="F6" i="28"/>
  <c r="I4" i="28"/>
  <c r="I3" i="28"/>
  <c r="F1" i="28"/>
  <c r="G63" i="27" l="1"/>
  <c r="H62" i="27"/>
  <c r="F62" i="27"/>
  <c r="I60" i="27"/>
  <c r="I59" i="27"/>
  <c r="F57" i="27"/>
  <c r="G56" i="27"/>
  <c r="H55" i="27"/>
  <c r="F55" i="27"/>
  <c r="I53" i="27"/>
  <c r="I52" i="27"/>
  <c r="F50" i="27"/>
  <c r="G49" i="27"/>
  <c r="H48" i="27"/>
  <c r="F48" i="27"/>
  <c r="I46" i="27"/>
  <c r="I45" i="27"/>
  <c r="F43" i="27"/>
  <c r="G42" i="27"/>
  <c r="H41" i="27"/>
  <c r="F41" i="27"/>
  <c r="I39" i="27"/>
  <c r="I38" i="27"/>
  <c r="F36" i="27"/>
  <c r="G35" i="27"/>
  <c r="H34" i="27"/>
  <c r="F34" i="27"/>
  <c r="I32" i="27"/>
  <c r="I31" i="27"/>
  <c r="F29" i="27"/>
  <c r="G28" i="27"/>
  <c r="H27" i="27"/>
  <c r="F27" i="27"/>
  <c r="I25" i="27"/>
  <c r="I24" i="27"/>
  <c r="F22" i="27"/>
  <c r="G21" i="27"/>
  <c r="H20" i="27"/>
  <c r="F20" i="27"/>
  <c r="I18" i="27"/>
  <c r="I17" i="27"/>
  <c r="F15" i="27"/>
  <c r="G14" i="27"/>
  <c r="H13" i="27"/>
  <c r="F13" i="27"/>
  <c r="I11" i="27"/>
  <c r="I10" i="27"/>
  <c r="F8" i="27"/>
  <c r="G7" i="27"/>
  <c r="H6" i="27"/>
  <c r="F6" i="27"/>
  <c r="I4" i="27"/>
  <c r="I3" i="27"/>
  <c r="F1" i="27"/>
  <c r="G7" i="26" l="1"/>
  <c r="H6" i="26"/>
  <c r="F6" i="26"/>
  <c r="I4" i="26"/>
  <c r="I3" i="26"/>
  <c r="F1" i="26"/>
  <c r="G7" i="25" l="1"/>
  <c r="H6" i="25"/>
  <c r="F6" i="25"/>
  <c r="I4" i="25"/>
  <c r="I3" i="25"/>
  <c r="F1" i="25"/>
  <c r="G7" i="24"/>
  <c r="H6" i="24"/>
  <c r="F6" i="24"/>
  <c r="I4" i="24"/>
  <c r="I3" i="24"/>
  <c r="F1" i="24"/>
  <c r="G35" i="23" l="1"/>
  <c r="H34" i="23"/>
  <c r="F34" i="23"/>
  <c r="I32" i="23"/>
  <c r="I31" i="23"/>
  <c r="F29" i="23"/>
  <c r="G28" i="23"/>
  <c r="H27" i="23"/>
  <c r="F27" i="23"/>
  <c r="I25" i="23"/>
  <c r="I24" i="23"/>
  <c r="F22" i="23"/>
  <c r="G21" i="23"/>
  <c r="H20" i="23"/>
  <c r="F20" i="23"/>
  <c r="I18" i="23"/>
  <c r="I17" i="23"/>
  <c r="F15" i="23"/>
  <c r="G14" i="23"/>
  <c r="H13" i="23"/>
  <c r="F13" i="23"/>
  <c r="I11" i="23"/>
  <c r="I10" i="23"/>
  <c r="F8" i="23"/>
  <c r="G7" i="23"/>
  <c r="H6" i="23"/>
  <c r="F6" i="23"/>
  <c r="I4" i="23"/>
  <c r="I3" i="23"/>
  <c r="F1" i="23"/>
  <c r="G7" i="22"/>
  <c r="H6" i="22"/>
  <c r="F6" i="22"/>
  <c r="I4" i="22"/>
  <c r="I3" i="22"/>
  <c r="F1" i="22"/>
  <c r="G7" i="21" l="1"/>
  <c r="H6" i="21"/>
  <c r="F6" i="21"/>
  <c r="I4" i="21"/>
  <c r="I3" i="21"/>
  <c r="F1" i="21"/>
  <c r="G7" i="20" l="1"/>
  <c r="H6" i="20"/>
  <c r="F6" i="20"/>
  <c r="I4" i="20"/>
  <c r="I3" i="20"/>
  <c r="F1" i="20"/>
  <c r="G7" i="19"/>
  <c r="H6" i="19"/>
  <c r="F6" i="19"/>
  <c r="I4" i="19"/>
  <c r="I3" i="19"/>
  <c r="G7" i="18"/>
  <c r="H6" i="18"/>
  <c r="F6" i="18"/>
  <c r="I4" i="18"/>
  <c r="I3" i="18"/>
  <c r="F1" i="18"/>
  <c r="G7" i="17"/>
  <c r="H6" i="17"/>
  <c r="F6" i="17"/>
  <c r="I4" i="17"/>
  <c r="I3" i="17"/>
  <c r="F1" i="17"/>
  <c r="G7" i="16"/>
  <c r="H6" i="16"/>
  <c r="F6" i="16"/>
  <c r="I4" i="16"/>
  <c r="I3" i="16"/>
  <c r="F1" i="16"/>
  <c r="G7" i="15"/>
  <c r="H6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  <c r="F1" i="9"/>
</calcChain>
</file>

<file path=xl/sharedStrings.xml><?xml version="1.0" encoding="utf-8"?>
<sst xmlns="http://schemas.openxmlformats.org/spreadsheetml/2006/main" count="4674" uniqueCount="107">
  <si>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</si>
  <si>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</si>
  <si>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</si>
  <si>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</si>
  <si>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</si>
  <si>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</si>
  <si>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</si>
  <si>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</si>
  <si>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</si>
  <si>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White</t>
  </si>
  <si>
    <t>DER-C03</t>
  </si>
  <si>
    <t>01C</t>
  </si>
  <si>
    <t>04C</t>
  </si>
  <si>
    <t>DER-P02</t>
  </si>
  <si>
    <t>01A</t>
  </si>
  <si>
    <t>13A</t>
  </si>
  <si>
    <t>DER-R01</t>
  </si>
  <si>
    <t>15A</t>
  </si>
  <si>
    <t>DER-S02</t>
  </si>
  <si>
    <t>Round DER - Barrel</t>
  </si>
  <si>
    <t>Round DER - Inner Dome</t>
  </si>
  <si>
    <t>Round DER - Platform</t>
  </si>
  <si>
    <t>Round DER - Cartridge</t>
  </si>
  <si>
    <t>Round DER - Bottom Cover</t>
  </si>
  <si>
    <t>14A</t>
  </si>
  <si>
    <t>DER-W01</t>
  </si>
  <si>
    <t>16A</t>
  </si>
  <si>
    <t>2,600 pcs x 80 trays = 208,000 pcs</t>
  </si>
  <si>
    <t>340 pcs x 80 trays = 27,200 pcs</t>
  </si>
  <si>
    <t>215 pcs x 20 trays = 4,300 pcs</t>
  </si>
  <si>
    <t>480 pcs x 20 trays = 9,600 pcs</t>
  </si>
  <si>
    <t>Round Stick - Plug</t>
  </si>
  <si>
    <t>P814</t>
  </si>
  <si>
    <t>200 pcs x 80 trays = 16,000 pcs</t>
  </si>
  <si>
    <t>11A</t>
  </si>
  <si>
    <t>DER-D02B</t>
  </si>
  <si>
    <t/>
  </si>
  <si>
    <t>25417, 25463</t>
  </si>
  <si>
    <t>360 pcs x 80 trays = 28,800 pcs</t>
  </si>
  <si>
    <t>360 pcs x 67 trays = 24,120 pcs</t>
  </si>
  <si>
    <t>08A</t>
  </si>
  <si>
    <t>DER-B03</t>
  </si>
  <si>
    <t>Round DER - Inner Cap</t>
  </si>
  <si>
    <t>05B</t>
  </si>
  <si>
    <t>DER-C04</t>
  </si>
  <si>
    <t>500 pcs x 20 trays = 10,000 pcs</t>
  </si>
  <si>
    <t>Round DER - Outer Cap</t>
  </si>
  <si>
    <t>18A</t>
  </si>
  <si>
    <t>DER-C05</t>
  </si>
  <si>
    <t>380 pcs x 80 trays = 30,400 pcs</t>
  </si>
  <si>
    <t>DER-D05</t>
  </si>
  <si>
    <t>200 pcs x 20 trays = 4,000 pcs</t>
  </si>
  <si>
    <t>17A</t>
  </si>
  <si>
    <t>DER-U02</t>
  </si>
  <si>
    <t>PP6331</t>
  </si>
  <si>
    <t>05C</t>
  </si>
  <si>
    <t>DER-B02</t>
  </si>
  <si>
    <t>230 pcs x 20 trays = 4,600 pcs</t>
  </si>
  <si>
    <t>09B</t>
  </si>
  <si>
    <t>Round DER - Screw</t>
  </si>
  <si>
    <t>DER-S01</t>
  </si>
  <si>
    <t>25793, 25798, 25795</t>
  </si>
  <si>
    <t>1,200 pcs x 16 trays = 19,200 pcs</t>
  </si>
  <si>
    <t>03B</t>
  </si>
  <si>
    <t>DER-U01</t>
  </si>
  <si>
    <t>34AR</t>
  </si>
  <si>
    <t>DER-C06</t>
  </si>
  <si>
    <t>PP6331+10190</t>
  </si>
  <si>
    <t>Clear+Pink</t>
  </si>
  <si>
    <t>480 pcs x 6 trays = 2,880 pcs</t>
  </si>
  <si>
    <t>DER-D02</t>
  </si>
  <si>
    <t>200 pcs x 42 trays = 8,400 pcs</t>
  </si>
  <si>
    <t>26163, 26352</t>
  </si>
  <si>
    <t>21A</t>
  </si>
  <si>
    <t>DER-S04</t>
  </si>
  <si>
    <t>660 pcs x 20 trays = 13,200 pcs</t>
  </si>
  <si>
    <t xml:space="preserve">Round DER - Screw </t>
  </si>
  <si>
    <t>DER-C02</t>
  </si>
  <si>
    <t>Round DER - Cap (Diamond Logo)</t>
  </si>
  <si>
    <t>380 pcs x 30 trays = 11,400 pcs</t>
  </si>
  <si>
    <t>Round DER - Cap</t>
  </si>
  <si>
    <t>34A</t>
  </si>
  <si>
    <t>DER-C07</t>
  </si>
  <si>
    <t>Dark Brown</t>
  </si>
  <si>
    <t>500 pcs x 1 trays = 500 pcs</t>
  </si>
  <si>
    <t>DER-B04</t>
  </si>
  <si>
    <t>24B</t>
  </si>
  <si>
    <t>KW621</t>
  </si>
  <si>
    <t>26626, 26628, 26629, 26612</t>
  </si>
  <si>
    <t>1,200 pcs x 8 trays = 9,600 pcs</t>
  </si>
  <si>
    <t>04B</t>
  </si>
  <si>
    <t>Grey</t>
  </si>
  <si>
    <t>200 pcs x 4 trays = 800 pcs</t>
  </si>
  <si>
    <t>195 pcs x 80 trays = 15,600 pcs</t>
  </si>
  <si>
    <t>26064-1</t>
  </si>
  <si>
    <t>Light Blue</t>
  </si>
  <si>
    <t>660 pcs x 14 trays = 9,240 pcs</t>
  </si>
  <si>
    <t>500 pcs x 18 trays = 9,000 pcs</t>
  </si>
  <si>
    <t>Blue</t>
  </si>
  <si>
    <t>200 pcs x 5 trays = 1,000 pcs</t>
  </si>
  <si>
    <t>250 pcs x 80 trays = 20,000 pcs</t>
  </si>
  <si>
    <t>Round DER - Screw（短螺丝）</t>
  </si>
  <si>
    <t>Yellow</t>
  </si>
  <si>
    <t>Round DER - Bottom Cover （光面）</t>
  </si>
  <si>
    <t>Red</t>
  </si>
  <si>
    <t>195 pcs x 42 trays = 8,190 pcs</t>
  </si>
  <si>
    <t>2,600 pcs x 42 trays = 109,200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</si>
</sst>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4" fillId="0" borderId="2" xfId="0" quotePrefix="1" applyFont="1" applyBorder="1" applyAlignment="1">
      <alignment horizontal="left" vertical="center"/>
    </xf>
    <xf numFmtId="0" fontId="8" fillId="0" borderId="0" xfId="0" quotePrefix="1" applyFont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3" xfId="0" quotePrefix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quotePrefix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L21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76</v>
      </c>
      <c r="B1" s="27"/>
      <c r="C1" s="27"/>
      <c r="D1" s="27"/>
      <c r="E1" s="2"/>
      <c r="F1" s="27" t="str">
        <f>A1</f>
        <v xml:space="preserve">Round DER - Screw 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73</v>
      </c>
      <c r="E3" s="4"/>
      <c r="F3" s="11" t="s">
        <v>2</v>
      </c>
      <c r="G3" s="10"/>
      <c r="H3" s="11" t="s">
        <v>5</v>
      </c>
      <c r="I3" s="7" t="str">
        <f>D3</f>
        <v>21A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74</v>
      </c>
      <c r="E4" s="4"/>
      <c r="F4" s="8" t="s">
        <v>3</v>
      </c>
      <c r="G4" s="9">
        <v>4</v>
      </c>
      <c r="H4" s="11" t="s">
        <v>6</v>
      </c>
      <c r="I4" s="7" t="str">
        <f>D4</f>
        <v>DER-S04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62</v>
      </c>
      <c r="B5" s="29"/>
      <c r="C5" s="29"/>
      <c r="D5" s="30"/>
      <c r="E5" s="5"/>
      <c r="F5" s="28" t="s">
        <v>62</v>
      </c>
      <c r="G5" s="29"/>
      <c r="H5" s="29"/>
      <c r="I5" s="30"/>
      <c r="K5" s="1">
        <v>1200</v>
      </c>
      <c r="L5" s="1">
        <v>16</v>
      </c>
    </row>
    <row r="6" spans="1:12" s="1" customFormat="1" ht="30" customHeight="1" x14ac:dyDescent="0.25">
      <c r="A6" s="31" t="s">
        <v>87</v>
      </c>
      <c r="B6" s="32"/>
      <c r="C6" s="33" t="s">
        <v>9</v>
      </c>
      <c r="D6" s="34"/>
      <c r="E6" s="4"/>
      <c r="F6" s="31" t="str">
        <f>A6</f>
        <v>KW621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 t="s">
        <v>88</v>
      </c>
      <c r="C7" s="25"/>
      <c r="D7" s="26"/>
      <c r="E7" s="4"/>
      <c r="F7" s="12" t="s">
        <v>4</v>
      </c>
      <c r="G7" s="25" t="str">
        <f>B7</f>
        <v>26626, 26628, 26629, 26612</v>
      </c>
      <c r="H7" s="25"/>
      <c r="I7" s="26"/>
    </row>
    <row r="8" spans="1:12" ht="63.75" customHeight="1" x14ac:dyDescent="0.25">
      <c r="A8" s="27" t="s">
        <v>76</v>
      </c>
      <c r="B8" s="27"/>
      <c r="C8" s="27"/>
      <c r="D8" s="27"/>
      <c r="E8" s="2"/>
      <c r="F8" s="27" t="str">
        <f>A8</f>
        <v xml:space="preserve">Round DER - Screw 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73</v>
      </c>
      <c r="E10" s="4"/>
      <c r="F10" s="11" t="s">
        <v>2</v>
      </c>
      <c r="G10" s="10"/>
      <c r="H10" s="11" t="s">
        <v>5</v>
      </c>
      <c r="I10" s="7" t="str">
        <f>D10</f>
        <v>21A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74</v>
      </c>
      <c r="E11" s="4"/>
      <c r="F11" s="8" t="s">
        <v>3</v>
      </c>
      <c r="G11" s="9">
        <v>5</v>
      </c>
      <c r="H11" s="11" t="s">
        <v>6</v>
      </c>
      <c r="I11" s="7" t="str">
        <f>D11</f>
        <v>DER-S04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62</v>
      </c>
      <c r="B12" s="29"/>
      <c r="C12" s="29"/>
      <c r="D12" s="30"/>
      <c r="E12" s="5"/>
      <c r="F12" s="28" t="s">
        <v>62</v>
      </c>
      <c r="G12" s="29"/>
      <c r="H12" s="29"/>
      <c r="I12" s="30"/>
      <c r="K12" s="1">
        <v>1200</v>
      </c>
      <c r="L12" s="1">
        <v>16</v>
      </c>
    </row>
    <row r="13" spans="1:12" s="1" customFormat="1" ht="30" customHeight="1" x14ac:dyDescent="0.25">
      <c r="A13" s="31" t="s">
        <v>87</v>
      </c>
      <c r="B13" s="32"/>
      <c r="C13" s="33" t="s">
        <v>9</v>
      </c>
      <c r="D13" s="34"/>
      <c r="E13" s="4"/>
      <c r="F13" s="31" t="str">
        <f>A13</f>
        <v>KW621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 t="s">
        <v>88</v>
      </c>
      <c r="C14" s="25"/>
      <c r="D14" s="26"/>
      <c r="E14" s="4"/>
      <c r="F14" s="12" t="s">
        <v>4</v>
      </c>
      <c r="G14" s="25" t="str">
        <f>B14</f>
        <v>26626, 26628, 26629, 26612</v>
      </c>
      <c r="H14" s="25"/>
      <c r="I14" s="26"/>
    </row>
    <row r="15" spans="1:12" ht="63.75" customHeight="1" x14ac:dyDescent="0.25">
      <c r="A15" s="27" t="s">
        <v>76</v>
      </c>
      <c r="B15" s="27"/>
      <c r="C15" s="27"/>
      <c r="D15" s="27"/>
      <c r="E15" s="2"/>
      <c r="F15" s="27" t="str">
        <f>A15</f>
        <v xml:space="preserve">Round DER - Screw 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73</v>
      </c>
      <c r="E17" s="4"/>
      <c r="F17" s="11" t="s">
        <v>2</v>
      </c>
      <c r="G17" s="10"/>
      <c r="H17" s="11" t="s">
        <v>5</v>
      </c>
      <c r="I17" s="7" t="str">
        <f>D17</f>
        <v>21A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74</v>
      </c>
      <c r="E18" s="4"/>
      <c r="F18" s="8" t="s">
        <v>3</v>
      </c>
      <c r="G18" s="9">
        <v>6</v>
      </c>
      <c r="H18" s="11" t="s">
        <v>6</v>
      </c>
      <c r="I18" s="7" t="str">
        <f>D18</f>
        <v>DER-S04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62</v>
      </c>
      <c r="B19" s="29"/>
      <c r="C19" s="29"/>
      <c r="D19" s="30"/>
      <c r="E19" s="5"/>
      <c r="F19" s="28" t="s">
        <v>89</v>
      </c>
      <c r="G19" s="29"/>
      <c r="H19" s="29"/>
      <c r="I19" s="30"/>
      <c r="K19" s="1">
        <v>1200</v>
      </c>
      <c r="L19" s="1">
        <v>16</v>
      </c>
    </row>
    <row r="20" spans="1:12" s="1" customFormat="1" ht="30" customHeight="1" x14ac:dyDescent="0.25">
      <c r="A20" s="31" t="s">
        <v>87</v>
      </c>
      <c r="B20" s="32"/>
      <c r="C20" s="33" t="s">
        <v>9</v>
      </c>
      <c r="D20" s="34"/>
      <c r="E20" s="4"/>
      <c r="F20" s="31" t="str">
        <f>A20</f>
        <v>KW621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 t="s">
        <v>88</v>
      </c>
      <c r="C21" s="25"/>
      <c r="D21" s="26"/>
      <c r="E21" s="4"/>
      <c r="F21" s="12" t="s">
        <v>4</v>
      </c>
      <c r="G21" s="25" t="str">
        <f>B21</f>
        <v>26626, 26628, 26629, 26612</v>
      </c>
      <c r="H21" s="25"/>
      <c r="I21" s="26"/>
    </row>
  </sheetData>
  <mergeCells count="30"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L63"/>
  <sheetViews>
    <sheetView view="pageBreakPreview" zoomScaleNormal="100" zoomScaleSheetLayoutView="100" workbookViewId="0">
      <selection activeCell="F22" sqref="F22:I2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59</v>
      </c>
      <c r="B1" s="27"/>
      <c r="C1" s="27"/>
      <c r="D1" s="27"/>
      <c r="E1" s="2"/>
      <c r="F1" s="27" t="str">
        <f>A1</f>
        <v>Round DER - Screw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58</v>
      </c>
      <c r="E3" s="4"/>
      <c r="F3" s="11" t="s">
        <v>2</v>
      </c>
      <c r="G3" s="10"/>
      <c r="H3" s="11" t="s">
        <v>5</v>
      </c>
      <c r="I3" s="7" t="str">
        <f>D3</f>
        <v>09B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60</v>
      </c>
      <c r="E4" s="4"/>
      <c r="F4" s="8" t="s">
        <v>3</v>
      </c>
      <c r="G4" s="9">
        <v>10</v>
      </c>
      <c r="H4" s="11" t="s">
        <v>6</v>
      </c>
      <c r="I4" s="7" t="str">
        <f>D4</f>
        <v>DER-S01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62</v>
      </c>
      <c r="B5" s="29"/>
      <c r="C5" s="29"/>
      <c r="D5" s="30"/>
      <c r="E5" s="5"/>
      <c r="F5" s="28" t="s">
        <v>62</v>
      </c>
      <c r="G5" s="29"/>
      <c r="H5" s="29"/>
      <c r="I5" s="30"/>
      <c r="K5" s="1">
        <v>1200</v>
      </c>
      <c r="L5" s="1">
        <v>16</v>
      </c>
    </row>
    <row r="6" spans="1:12" s="1" customFormat="1" ht="30" customHeight="1" x14ac:dyDescent="0.25">
      <c r="A6" s="31">
        <v>2304</v>
      </c>
      <c r="B6" s="32"/>
      <c r="C6" s="33" t="s">
        <v>9</v>
      </c>
      <c r="D6" s="34"/>
      <c r="E6" s="4"/>
      <c r="F6" s="31">
        <f>A6</f>
        <v>2304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 t="s">
        <v>61</v>
      </c>
      <c r="C7" s="25"/>
      <c r="D7" s="26"/>
      <c r="E7" s="4"/>
      <c r="F7" s="12" t="s">
        <v>4</v>
      </c>
      <c r="G7" s="25" t="str">
        <f>B7</f>
        <v>25793, 25798, 25795</v>
      </c>
      <c r="H7" s="25"/>
      <c r="I7" s="26"/>
    </row>
    <row r="8" spans="1:12" ht="63.75" customHeight="1" x14ac:dyDescent="0.25">
      <c r="A8" s="27" t="s">
        <v>59</v>
      </c>
      <c r="B8" s="27"/>
      <c r="C8" s="27"/>
      <c r="D8" s="27"/>
      <c r="E8" s="2"/>
      <c r="F8" s="27" t="str">
        <f>A8</f>
        <v>Round DER - Screw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58</v>
      </c>
      <c r="E10" s="4"/>
      <c r="F10" s="11" t="s">
        <v>2</v>
      </c>
      <c r="G10" s="10"/>
      <c r="H10" s="11" t="s">
        <v>5</v>
      </c>
      <c r="I10" s="7" t="str">
        <f>D10</f>
        <v>09B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60</v>
      </c>
      <c r="E11" s="4"/>
      <c r="F11" s="8" t="s">
        <v>3</v>
      </c>
      <c r="G11" s="9">
        <v>11</v>
      </c>
      <c r="H11" s="11" t="s">
        <v>6</v>
      </c>
      <c r="I11" s="7" t="str">
        <f>D11</f>
        <v>DER-S01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62</v>
      </c>
      <c r="B12" s="29"/>
      <c r="C12" s="29"/>
      <c r="D12" s="30"/>
      <c r="E12" s="5"/>
      <c r="F12" s="28" t="s">
        <v>62</v>
      </c>
      <c r="G12" s="29"/>
      <c r="H12" s="29"/>
      <c r="I12" s="30"/>
      <c r="K12" s="1">
        <v>1200</v>
      </c>
      <c r="L12" s="1">
        <v>16</v>
      </c>
    </row>
    <row r="13" spans="1:12" s="1" customFormat="1" ht="30" customHeight="1" x14ac:dyDescent="0.25">
      <c r="A13" s="31">
        <v>2304</v>
      </c>
      <c r="B13" s="32"/>
      <c r="C13" s="33" t="s">
        <v>9</v>
      </c>
      <c r="D13" s="34"/>
      <c r="E13" s="4"/>
      <c r="F13" s="31">
        <f>A13</f>
        <v>2304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 t="s">
        <v>61</v>
      </c>
      <c r="C14" s="25"/>
      <c r="D14" s="26"/>
      <c r="E14" s="4"/>
      <c r="F14" s="12" t="s">
        <v>4</v>
      </c>
      <c r="G14" s="25" t="str">
        <f>B14</f>
        <v>25793, 25798, 25795</v>
      </c>
      <c r="H14" s="25"/>
      <c r="I14" s="26"/>
    </row>
    <row r="15" spans="1:12" ht="63.75" customHeight="1" x14ac:dyDescent="0.25">
      <c r="A15" s="27" t="s">
        <v>59</v>
      </c>
      <c r="B15" s="27"/>
      <c r="C15" s="27"/>
      <c r="D15" s="27"/>
      <c r="E15" s="2"/>
      <c r="F15" s="27" t="str">
        <f>A15</f>
        <v>Round DER - Screw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58</v>
      </c>
      <c r="E17" s="4"/>
      <c r="F17" s="11" t="s">
        <v>2</v>
      </c>
      <c r="G17" s="10"/>
      <c r="H17" s="11" t="s">
        <v>5</v>
      </c>
      <c r="I17" s="7" t="str">
        <f>D17</f>
        <v>09B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60</v>
      </c>
      <c r="E18" s="4"/>
      <c r="F18" s="8" t="s">
        <v>3</v>
      </c>
      <c r="G18" s="9">
        <v>12</v>
      </c>
      <c r="H18" s="11" t="s">
        <v>6</v>
      </c>
      <c r="I18" s="7" t="str">
        <f>D18</f>
        <v>DER-S01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62</v>
      </c>
      <c r="B19" s="29"/>
      <c r="C19" s="29"/>
      <c r="D19" s="30"/>
      <c r="E19" s="5"/>
      <c r="F19" s="28" t="s">
        <v>62</v>
      </c>
      <c r="G19" s="29"/>
      <c r="H19" s="29"/>
      <c r="I19" s="30"/>
      <c r="K19" s="1">
        <v>1200</v>
      </c>
      <c r="L19" s="1">
        <v>16</v>
      </c>
    </row>
    <row r="20" spans="1:12" s="1" customFormat="1" ht="30" customHeight="1" x14ac:dyDescent="0.25">
      <c r="A20" s="31">
        <v>2304</v>
      </c>
      <c r="B20" s="32"/>
      <c r="C20" s="33" t="s">
        <v>9</v>
      </c>
      <c r="D20" s="34"/>
      <c r="E20" s="4"/>
      <c r="F20" s="31">
        <f>A20</f>
        <v>2304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 t="s">
        <v>61</v>
      </c>
      <c r="C21" s="25"/>
      <c r="D21" s="26"/>
      <c r="E21" s="4"/>
      <c r="F21" s="12" t="s">
        <v>4</v>
      </c>
      <c r="G21" s="25" t="str">
        <f>B21</f>
        <v>25793, 25798, 25795</v>
      </c>
      <c r="H21" s="25"/>
      <c r="I21" s="26"/>
    </row>
    <row r="22" spans="1:12" ht="63.75" customHeight="1" x14ac:dyDescent="0.25">
      <c r="A22" s="27" t="s">
        <v>59</v>
      </c>
      <c r="B22" s="27"/>
      <c r="C22" s="27"/>
      <c r="D22" s="27"/>
      <c r="E22" s="2"/>
      <c r="F22" s="27" t="str">
        <f>A22</f>
        <v>Round DER - Screw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58</v>
      </c>
      <c r="E24" s="4"/>
      <c r="F24" s="11" t="s">
        <v>2</v>
      </c>
      <c r="G24" s="10"/>
      <c r="H24" s="11" t="s">
        <v>5</v>
      </c>
      <c r="I24" s="7" t="str">
        <f>D24</f>
        <v>09B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60</v>
      </c>
      <c r="E25" s="4"/>
      <c r="F25" s="8" t="s">
        <v>3</v>
      </c>
      <c r="G25" s="9">
        <v>13</v>
      </c>
      <c r="H25" s="11" t="s">
        <v>6</v>
      </c>
      <c r="I25" s="7" t="str">
        <f>D25</f>
        <v>DER-S01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62</v>
      </c>
      <c r="B26" s="29"/>
      <c r="C26" s="29"/>
      <c r="D26" s="30"/>
      <c r="E26" s="5"/>
      <c r="F26" s="28" t="s">
        <v>62</v>
      </c>
      <c r="G26" s="29"/>
      <c r="H26" s="29"/>
      <c r="I26" s="30"/>
      <c r="K26" s="1">
        <v>1200</v>
      </c>
      <c r="L26" s="1">
        <v>16</v>
      </c>
    </row>
    <row r="27" spans="1:12" s="1" customFormat="1" ht="30" customHeight="1" x14ac:dyDescent="0.25">
      <c r="A27" s="31">
        <v>2304</v>
      </c>
      <c r="B27" s="32"/>
      <c r="C27" s="33" t="s">
        <v>9</v>
      </c>
      <c r="D27" s="34"/>
      <c r="E27" s="4"/>
      <c r="F27" s="31">
        <f>A27</f>
        <v>2304</v>
      </c>
      <c r="G27" s="32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 t="s">
        <v>61</v>
      </c>
      <c r="C28" s="25"/>
      <c r="D28" s="26"/>
      <c r="E28" s="4"/>
      <c r="F28" s="12" t="s">
        <v>4</v>
      </c>
      <c r="G28" s="25" t="str">
        <f>B28</f>
        <v>25793, 25798, 25795</v>
      </c>
      <c r="H28" s="25"/>
      <c r="I28" s="26"/>
    </row>
    <row r="29" spans="1:12" ht="63.75" customHeight="1" x14ac:dyDescent="0.25">
      <c r="A29" s="27" t="s">
        <v>59</v>
      </c>
      <c r="B29" s="27"/>
      <c r="C29" s="27"/>
      <c r="D29" s="27"/>
      <c r="E29" s="2"/>
      <c r="F29" s="27" t="str">
        <f>A29</f>
        <v>Round DER - Screw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58</v>
      </c>
      <c r="E31" s="4"/>
      <c r="F31" s="11" t="s">
        <v>2</v>
      </c>
      <c r="G31" s="10"/>
      <c r="H31" s="11" t="s">
        <v>5</v>
      </c>
      <c r="I31" s="7" t="str">
        <f>D31</f>
        <v>09B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60</v>
      </c>
      <c r="E32" s="4"/>
      <c r="F32" s="8" t="s">
        <v>3</v>
      </c>
      <c r="G32" s="9">
        <v>14</v>
      </c>
      <c r="H32" s="11" t="s">
        <v>6</v>
      </c>
      <c r="I32" s="7" t="str">
        <f>D32</f>
        <v>DER-S01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62</v>
      </c>
      <c r="B33" s="29"/>
      <c r="C33" s="29"/>
      <c r="D33" s="30"/>
      <c r="E33" s="5"/>
      <c r="F33" s="28" t="s">
        <v>62</v>
      </c>
      <c r="G33" s="29"/>
      <c r="H33" s="29"/>
      <c r="I33" s="30"/>
      <c r="K33" s="1">
        <v>1200</v>
      </c>
      <c r="L33" s="1">
        <v>16</v>
      </c>
    </row>
    <row r="34" spans="1:12" s="1" customFormat="1" ht="30" customHeight="1" x14ac:dyDescent="0.25">
      <c r="A34" s="31">
        <v>2304</v>
      </c>
      <c r="B34" s="32"/>
      <c r="C34" s="33" t="s">
        <v>9</v>
      </c>
      <c r="D34" s="34"/>
      <c r="E34" s="4"/>
      <c r="F34" s="31">
        <f>A34</f>
        <v>2304</v>
      </c>
      <c r="G34" s="32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 t="s">
        <v>61</v>
      </c>
      <c r="C35" s="25"/>
      <c r="D35" s="26"/>
      <c r="E35" s="4"/>
      <c r="F35" s="12" t="s">
        <v>4</v>
      </c>
      <c r="G35" s="25" t="str">
        <f>B35</f>
        <v>25793, 25798, 25795</v>
      </c>
      <c r="H35" s="25"/>
      <c r="I35" s="26"/>
    </row>
    <row r="36" spans="1:12" ht="63.75" customHeight="1" x14ac:dyDescent="0.25">
      <c r="A36" s="27" t="s">
        <v>59</v>
      </c>
      <c r="B36" s="27"/>
      <c r="C36" s="27"/>
      <c r="D36" s="27"/>
      <c r="E36" s="2"/>
      <c r="F36" s="27" t="str">
        <f>A36</f>
        <v>Round DER - Screw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58</v>
      </c>
      <c r="E38" s="4"/>
      <c r="F38" s="11" t="s">
        <v>2</v>
      </c>
      <c r="G38" s="10"/>
      <c r="H38" s="11" t="s">
        <v>5</v>
      </c>
      <c r="I38" s="7" t="str">
        <f>D38</f>
        <v>09B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60</v>
      </c>
      <c r="E39" s="4"/>
      <c r="F39" s="8" t="s">
        <v>3</v>
      </c>
      <c r="G39" s="9">
        <v>15</v>
      </c>
      <c r="H39" s="11" t="s">
        <v>6</v>
      </c>
      <c r="I39" s="7" t="str">
        <f>D39</f>
        <v>DER-S01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62</v>
      </c>
      <c r="B40" s="29"/>
      <c r="C40" s="29"/>
      <c r="D40" s="30"/>
      <c r="E40" s="5"/>
      <c r="F40" s="28" t="s">
        <v>62</v>
      </c>
      <c r="G40" s="29"/>
      <c r="H40" s="29"/>
      <c r="I40" s="30"/>
      <c r="K40" s="1">
        <v>1200</v>
      </c>
      <c r="L40" s="1">
        <v>16</v>
      </c>
    </row>
    <row r="41" spans="1:12" s="1" customFormat="1" ht="30" customHeight="1" x14ac:dyDescent="0.25">
      <c r="A41" s="31">
        <v>2304</v>
      </c>
      <c r="B41" s="32"/>
      <c r="C41" s="33" t="s">
        <v>9</v>
      </c>
      <c r="D41" s="34"/>
      <c r="E41" s="4"/>
      <c r="F41" s="31">
        <f>A41</f>
        <v>2304</v>
      </c>
      <c r="G41" s="32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 t="s">
        <v>61</v>
      </c>
      <c r="C42" s="25"/>
      <c r="D42" s="26"/>
      <c r="E42" s="4"/>
      <c r="F42" s="12" t="s">
        <v>4</v>
      </c>
      <c r="G42" s="25" t="str">
        <f>B42</f>
        <v>25793, 25798, 25795</v>
      </c>
      <c r="H42" s="25"/>
      <c r="I42" s="26"/>
    </row>
    <row r="43" spans="1:12" ht="63.75" customHeight="1" x14ac:dyDescent="0.25">
      <c r="A43" s="27" t="s">
        <v>59</v>
      </c>
      <c r="B43" s="27"/>
      <c r="C43" s="27"/>
      <c r="D43" s="27"/>
      <c r="E43" s="2"/>
      <c r="F43" s="27" t="str">
        <f>A43</f>
        <v>Round DER - Screw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58</v>
      </c>
      <c r="E45" s="4"/>
      <c r="F45" s="11" t="s">
        <v>2</v>
      </c>
      <c r="G45" s="10"/>
      <c r="H45" s="11" t="s">
        <v>5</v>
      </c>
      <c r="I45" s="7" t="str">
        <f>D45</f>
        <v>09B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60</v>
      </c>
      <c r="E46" s="4"/>
      <c r="F46" s="8" t="s">
        <v>3</v>
      </c>
      <c r="G46" s="9">
        <v>16</v>
      </c>
      <c r="H46" s="11" t="s">
        <v>6</v>
      </c>
      <c r="I46" s="7" t="str">
        <f>D46</f>
        <v>DER-S01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62</v>
      </c>
      <c r="B47" s="29"/>
      <c r="C47" s="29"/>
      <c r="D47" s="30"/>
      <c r="E47" s="5"/>
      <c r="F47" s="28" t="s">
        <v>62</v>
      </c>
      <c r="G47" s="29"/>
      <c r="H47" s="29"/>
      <c r="I47" s="30"/>
      <c r="K47" s="1">
        <v>1200</v>
      </c>
      <c r="L47" s="1">
        <v>16</v>
      </c>
    </row>
    <row r="48" spans="1:12" s="1" customFormat="1" ht="30" customHeight="1" x14ac:dyDescent="0.25">
      <c r="A48" s="31">
        <v>2304</v>
      </c>
      <c r="B48" s="32"/>
      <c r="C48" s="33" t="s">
        <v>9</v>
      </c>
      <c r="D48" s="34"/>
      <c r="E48" s="4"/>
      <c r="F48" s="31">
        <f>A48</f>
        <v>2304</v>
      </c>
      <c r="G48" s="32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 t="s">
        <v>61</v>
      </c>
      <c r="C49" s="25"/>
      <c r="D49" s="26"/>
      <c r="E49" s="4"/>
      <c r="F49" s="12" t="s">
        <v>4</v>
      </c>
      <c r="G49" s="25" t="str">
        <f>B49</f>
        <v>25793, 25798, 25795</v>
      </c>
      <c r="H49" s="25"/>
      <c r="I49" s="26"/>
    </row>
    <row r="50" spans="1:12" ht="63.75" customHeight="1" x14ac:dyDescent="0.25">
      <c r="A50" s="27" t="s">
        <v>59</v>
      </c>
      <c r="B50" s="27"/>
      <c r="C50" s="27"/>
      <c r="D50" s="27"/>
      <c r="E50" s="2"/>
      <c r="F50" s="27" t="str">
        <f>A50</f>
        <v>Round DER - Screw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58</v>
      </c>
      <c r="E52" s="4"/>
      <c r="F52" s="11" t="s">
        <v>2</v>
      </c>
      <c r="G52" s="10"/>
      <c r="H52" s="11" t="s">
        <v>5</v>
      </c>
      <c r="I52" s="7" t="str">
        <f>D52</f>
        <v>09B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60</v>
      </c>
      <c r="E53" s="4"/>
      <c r="F53" s="8" t="s">
        <v>3</v>
      </c>
      <c r="G53" s="9">
        <v>17</v>
      </c>
      <c r="H53" s="11" t="s">
        <v>6</v>
      </c>
      <c r="I53" s="7" t="str">
        <f>D53</f>
        <v>DER-S01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62</v>
      </c>
      <c r="B54" s="29"/>
      <c r="C54" s="29"/>
      <c r="D54" s="30"/>
      <c r="E54" s="5"/>
      <c r="F54" s="28" t="s">
        <v>62</v>
      </c>
      <c r="G54" s="29"/>
      <c r="H54" s="29"/>
      <c r="I54" s="30"/>
      <c r="K54" s="1">
        <v>1200</v>
      </c>
      <c r="L54" s="1">
        <v>16</v>
      </c>
    </row>
    <row r="55" spans="1:12" s="1" customFormat="1" ht="30" customHeight="1" x14ac:dyDescent="0.25">
      <c r="A55" s="31">
        <v>2304</v>
      </c>
      <c r="B55" s="32"/>
      <c r="C55" s="33" t="s">
        <v>9</v>
      </c>
      <c r="D55" s="34"/>
      <c r="E55" s="4"/>
      <c r="F55" s="31">
        <f>A55</f>
        <v>2304</v>
      </c>
      <c r="G55" s="32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 t="s">
        <v>61</v>
      </c>
      <c r="C56" s="25"/>
      <c r="D56" s="26"/>
      <c r="E56" s="4"/>
      <c r="F56" s="12" t="s">
        <v>4</v>
      </c>
      <c r="G56" s="25" t="str">
        <f>B56</f>
        <v>25793, 25798, 25795</v>
      </c>
      <c r="H56" s="25"/>
      <c r="I56" s="26"/>
    </row>
    <row r="57" spans="1:12" ht="63.75" customHeight="1" x14ac:dyDescent="0.25">
      <c r="A57" s="27" t="s">
        <v>59</v>
      </c>
      <c r="B57" s="27"/>
      <c r="C57" s="27"/>
      <c r="D57" s="27"/>
      <c r="E57" s="2"/>
      <c r="F57" s="27" t="str">
        <f>A57</f>
        <v>Round DER - Screw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58</v>
      </c>
      <c r="E59" s="4"/>
      <c r="F59" s="11" t="s">
        <v>2</v>
      </c>
      <c r="G59" s="10"/>
      <c r="H59" s="11" t="s">
        <v>5</v>
      </c>
      <c r="I59" s="7" t="str">
        <f>D59</f>
        <v>09B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60</v>
      </c>
      <c r="E60" s="4"/>
      <c r="F60" s="8" t="s">
        <v>3</v>
      </c>
      <c r="G60" s="9">
        <v>18</v>
      </c>
      <c r="H60" s="11" t="s">
        <v>6</v>
      </c>
      <c r="I60" s="7" t="str">
        <f>D60</f>
        <v>DER-S01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62</v>
      </c>
      <c r="B61" s="29"/>
      <c r="C61" s="29"/>
      <c r="D61" s="30"/>
      <c r="E61" s="5"/>
      <c r="F61" s="28" t="s">
        <v>62</v>
      </c>
      <c r="G61" s="29"/>
      <c r="H61" s="29"/>
      <c r="I61" s="30"/>
      <c r="K61" s="1">
        <v>1200</v>
      </c>
      <c r="L61" s="1">
        <v>16</v>
      </c>
    </row>
    <row r="62" spans="1:12" s="1" customFormat="1" ht="30" customHeight="1" x14ac:dyDescent="0.25">
      <c r="A62" s="31">
        <v>2304</v>
      </c>
      <c r="B62" s="32"/>
      <c r="C62" s="33" t="s">
        <v>9</v>
      </c>
      <c r="D62" s="34"/>
      <c r="E62" s="4"/>
      <c r="F62" s="31">
        <f>A62</f>
        <v>2304</v>
      </c>
      <c r="G62" s="32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 t="s">
        <v>61</v>
      </c>
      <c r="C63" s="25"/>
      <c r="D63" s="26"/>
      <c r="E63" s="4"/>
      <c r="F63" s="12" t="s">
        <v>4</v>
      </c>
      <c r="G63" s="25" t="str">
        <f>B63</f>
        <v>25793, 25798, 25795</v>
      </c>
      <c r="H63" s="25"/>
      <c r="I63" s="26"/>
    </row>
  </sheetData>
  <mergeCells count="9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  <mergeCell ref="B42:D42"/>
    <mergeCell ref="G42:I42"/>
    <mergeCell ref="A43:D43"/>
    <mergeCell ref="F43:I43"/>
    <mergeCell ref="A47:D47"/>
    <mergeCell ref="F47:I47"/>
    <mergeCell ref="A48:B48"/>
    <mergeCell ref="C48:D48"/>
    <mergeCell ref="F48:G48"/>
    <mergeCell ref="H48:I48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8:D8"/>
    <mergeCell ref="F8:I8"/>
    <mergeCell ref="A12:D12"/>
    <mergeCell ref="F12:I12"/>
    <mergeCell ref="B63:D63"/>
    <mergeCell ref="G63:I63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L35"/>
  <sheetViews>
    <sheetView view="pageBreakPreview" zoomScaleNormal="100" zoomScaleSheetLayoutView="100" workbookViewId="0">
      <selection activeCell="F29" sqref="F29:I3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20</v>
      </c>
      <c r="B1" s="27"/>
      <c r="C1" s="27"/>
      <c r="D1" s="27"/>
      <c r="E1" s="2"/>
      <c r="F1" s="27" t="str">
        <f>A1</f>
        <v>Round DER - Inner Dome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17" t="s">
        <v>34</v>
      </c>
      <c r="E3" s="4"/>
      <c r="F3" s="11" t="s">
        <v>2</v>
      </c>
      <c r="G3" s="10"/>
      <c r="H3" s="11" t="s">
        <v>5</v>
      </c>
      <c r="I3" s="17" t="str">
        <f>D3</f>
        <v>11A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35</v>
      </c>
      <c r="E4" s="4"/>
      <c r="F4" s="8" t="s">
        <v>3</v>
      </c>
      <c r="G4" s="9">
        <v>6</v>
      </c>
      <c r="H4" s="11" t="s">
        <v>6</v>
      </c>
      <c r="I4" s="7" t="str">
        <f>D4</f>
        <v>DER-D02B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38</v>
      </c>
      <c r="B5" s="29"/>
      <c r="C5" s="29"/>
      <c r="D5" s="30"/>
      <c r="E5" s="5"/>
      <c r="F5" s="28" t="s">
        <v>38</v>
      </c>
      <c r="G5" s="29"/>
      <c r="H5" s="29"/>
      <c r="I5" s="30"/>
      <c r="K5" s="1">
        <v>360</v>
      </c>
      <c r="L5" s="1">
        <v>80</v>
      </c>
    </row>
    <row r="6" spans="1:12" s="1" customFormat="1" ht="30" customHeight="1" x14ac:dyDescent="0.25">
      <c r="A6" s="31">
        <v>6331</v>
      </c>
      <c r="B6" s="32"/>
      <c r="C6" s="33" t="s">
        <v>36</v>
      </c>
      <c r="D6" s="34"/>
      <c r="E6" s="4"/>
      <c r="F6" s="31">
        <f>A6</f>
        <v>6331</v>
      </c>
      <c r="G6" s="32"/>
      <c r="H6" s="33" t="str">
        <f>C6</f>
        <v/>
      </c>
      <c r="I6" s="34"/>
    </row>
    <row r="7" spans="1:12" s="1" customFormat="1" ht="30" customHeight="1" x14ac:dyDescent="0.25">
      <c r="A7" s="12" t="s">
        <v>4</v>
      </c>
      <c r="B7" s="25" t="s">
        <v>37</v>
      </c>
      <c r="C7" s="25"/>
      <c r="D7" s="26"/>
      <c r="E7" s="4"/>
      <c r="F7" s="12" t="s">
        <v>4</v>
      </c>
      <c r="G7" s="25" t="str">
        <f>B7</f>
        <v>25417, 25463</v>
      </c>
      <c r="H7" s="25"/>
      <c r="I7" s="26"/>
    </row>
    <row r="8" spans="1:12" ht="63.75" customHeight="1" x14ac:dyDescent="0.25">
      <c r="A8" s="27" t="s">
        <v>20</v>
      </c>
      <c r="B8" s="27"/>
      <c r="C8" s="27"/>
      <c r="D8" s="27"/>
      <c r="E8" s="2"/>
      <c r="F8" s="27" t="str">
        <f>A8</f>
        <v>Round DER - Inner Dome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17" t="s">
        <v>34</v>
      </c>
      <c r="E10" s="4"/>
      <c r="F10" s="11" t="s">
        <v>2</v>
      </c>
      <c r="G10" s="10"/>
      <c r="H10" s="11" t="s">
        <v>5</v>
      </c>
      <c r="I10" s="17" t="str">
        <f>D10</f>
        <v>11A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35</v>
      </c>
      <c r="E11" s="4"/>
      <c r="F11" s="8" t="s">
        <v>3</v>
      </c>
      <c r="G11" s="9">
        <v>7</v>
      </c>
      <c r="H11" s="11" t="s">
        <v>6</v>
      </c>
      <c r="I11" s="7" t="str">
        <f>D11</f>
        <v>DER-D02B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38</v>
      </c>
      <c r="B12" s="29"/>
      <c r="C12" s="29"/>
      <c r="D12" s="30"/>
      <c r="E12" s="5"/>
      <c r="F12" s="28" t="s">
        <v>38</v>
      </c>
      <c r="G12" s="29"/>
      <c r="H12" s="29"/>
      <c r="I12" s="30"/>
      <c r="K12" s="1">
        <v>360</v>
      </c>
      <c r="L12" s="1">
        <v>80</v>
      </c>
    </row>
    <row r="13" spans="1:12" s="1" customFormat="1" ht="30" customHeight="1" x14ac:dyDescent="0.25">
      <c r="A13" s="31">
        <v>6331</v>
      </c>
      <c r="B13" s="32"/>
      <c r="C13" s="33" t="s">
        <v>36</v>
      </c>
      <c r="D13" s="34"/>
      <c r="E13" s="4"/>
      <c r="F13" s="31">
        <f>A13</f>
        <v>6331</v>
      </c>
      <c r="G13" s="32"/>
      <c r="H13" s="33" t="str">
        <f>C13</f>
        <v/>
      </c>
      <c r="I13" s="34"/>
    </row>
    <row r="14" spans="1:12" s="1" customFormat="1" ht="30" customHeight="1" x14ac:dyDescent="0.25">
      <c r="A14" s="12" t="s">
        <v>4</v>
      </c>
      <c r="B14" s="25" t="s">
        <v>37</v>
      </c>
      <c r="C14" s="25"/>
      <c r="D14" s="26"/>
      <c r="E14" s="4"/>
      <c r="F14" s="12" t="s">
        <v>4</v>
      </c>
      <c r="G14" s="25" t="str">
        <f>B14</f>
        <v>25417, 25463</v>
      </c>
      <c r="H14" s="25"/>
      <c r="I14" s="26"/>
    </row>
    <row r="15" spans="1:12" ht="63.75" customHeight="1" x14ac:dyDescent="0.25">
      <c r="A15" s="27" t="s">
        <v>20</v>
      </c>
      <c r="B15" s="27"/>
      <c r="C15" s="27"/>
      <c r="D15" s="27"/>
      <c r="E15" s="2"/>
      <c r="F15" s="27" t="str">
        <f>A15</f>
        <v>Round DER - Inner Dome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17" t="s">
        <v>34</v>
      </c>
      <c r="E17" s="4"/>
      <c r="F17" s="11" t="s">
        <v>2</v>
      </c>
      <c r="G17" s="10"/>
      <c r="H17" s="11" t="s">
        <v>5</v>
      </c>
      <c r="I17" s="17" t="str">
        <f>D17</f>
        <v>11A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35</v>
      </c>
      <c r="E18" s="4"/>
      <c r="F18" s="8" t="s">
        <v>3</v>
      </c>
      <c r="G18" s="9">
        <v>8</v>
      </c>
      <c r="H18" s="11" t="s">
        <v>6</v>
      </c>
      <c r="I18" s="7" t="str">
        <f>D18</f>
        <v>DER-D02B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38</v>
      </c>
      <c r="B19" s="29"/>
      <c r="C19" s="29"/>
      <c r="D19" s="30"/>
      <c r="E19" s="5"/>
      <c r="F19" s="28" t="s">
        <v>38</v>
      </c>
      <c r="G19" s="29"/>
      <c r="H19" s="29"/>
      <c r="I19" s="30"/>
      <c r="K19" s="1">
        <v>360</v>
      </c>
      <c r="L19" s="1">
        <v>80</v>
      </c>
    </row>
    <row r="20" spans="1:12" s="1" customFormat="1" ht="30" customHeight="1" x14ac:dyDescent="0.25">
      <c r="A20" s="31">
        <v>6331</v>
      </c>
      <c r="B20" s="32"/>
      <c r="C20" s="33" t="s">
        <v>36</v>
      </c>
      <c r="D20" s="34"/>
      <c r="E20" s="4"/>
      <c r="F20" s="31">
        <f>A20</f>
        <v>6331</v>
      </c>
      <c r="G20" s="32"/>
      <c r="H20" s="33" t="str">
        <f>C20</f>
        <v/>
      </c>
      <c r="I20" s="34"/>
    </row>
    <row r="21" spans="1:12" s="1" customFormat="1" ht="30" customHeight="1" x14ac:dyDescent="0.25">
      <c r="A21" s="12" t="s">
        <v>4</v>
      </c>
      <c r="B21" s="25" t="s">
        <v>37</v>
      </c>
      <c r="C21" s="25"/>
      <c r="D21" s="26"/>
      <c r="E21" s="4"/>
      <c r="F21" s="12" t="s">
        <v>4</v>
      </c>
      <c r="G21" s="25" t="str">
        <f>B21</f>
        <v>25417, 25463</v>
      </c>
      <c r="H21" s="25"/>
      <c r="I21" s="26"/>
    </row>
    <row r="22" spans="1:12" ht="63.75" customHeight="1" x14ac:dyDescent="0.25">
      <c r="A22" s="27" t="s">
        <v>20</v>
      </c>
      <c r="B22" s="27"/>
      <c r="C22" s="27"/>
      <c r="D22" s="27"/>
      <c r="E22" s="2"/>
      <c r="F22" s="27" t="str">
        <f>A22</f>
        <v>Round DER - Inner Dome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17" t="s">
        <v>34</v>
      </c>
      <c r="E24" s="4"/>
      <c r="F24" s="11" t="s">
        <v>2</v>
      </c>
      <c r="G24" s="10"/>
      <c r="H24" s="11" t="s">
        <v>5</v>
      </c>
      <c r="I24" s="17" t="str">
        <f>D24</f>
        <v>11A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35</v>
      </c>
      <c r="E25" s="4"/>
      <c r="F25" s="8" t="s">
        <v>3</v>
      </c>
      <c r="G25" s="9">
        <v>9</v>
      </c>
      <c r="H25" s="11" t="s">
        <v>6</v>
      </c>
      <c r="I25" s="7" t="str">
        <f>D25</f>
        <v>DER-D02B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38</v>
      </c>
      <c r="B26" s="29"/>
      <c r="C26" s="29"/>
      <c r="D26" s="30"/>
      <c r="E26" s="5"/>
      <c r="F26" s="28" t="s">
        <v>38</v>
      </c>
      <c r="G26" s="29"/>
      <c r="H26" s="29"/>
      <c r="I26" s="30"/>
      <c r="K26" s="1">
        <v>360</v>
      </c>
      <c r="L26" s="1">
        <v>80</v>
      </c>
    </row>
    <row r="27" spans="1:12" s="1" customFormat="1" ht="30" customHeight="1" x14ac:dyDescent="0.25">
      <c r="A27" s="31">
        <v>6331</v>
      </c>
      <c r="B27" s="32"/>
      <c r="C27" s="33" t="s">
        <v>36</v>
      </c>
      <c r="D27" s="34"/>
      <c r="E27" s="4"/>
      <c r="F27" s="31">
        <f>A27</f>
        <v>6331</v>
      </c>
      <c r="G27" s="32"/>
      <c r="H27" s="33" t="str">
        <f>C27</f>
        <v/>
      </c>
      <c r="I27" s="34"/>
    </row>
    <row r="28" spans="1:12" s="1" customFormat="1" ht="30" customHeight="1" x14ac:dyDescent="0.25">
      <c r="A28" s="12" t="s">
        <v>4</v>
      </c>
      <c r="B28" s="25" t="s">
        <v>37</v>
      </c>
      <c r="C28" s="25"/>
      <c r="D28" s="26"/>
      <c r="E28" s="4"/>
      <c r="F28" s="12" t="s">
        <v>4</v>
      </c>
      <c r="G28" s="25" t="str">
        <f>B28</f>
        <v>25417, 25463</v>
      </c>
      <c r="H28" s="25"/>
      <c r="I28" s="26"/>
    </row>
    <row r="29" spans="1:12" ht="63.75" customHeight="1" x14ac:dyDescent="0.25">
      <c r="A29" s="27" t="s">
        <v>20</v>
      </c>
      <c r="B29" s="27"/>
      <c r="C29" s="27"/>
      <c r="D29" s="27"/>
      <c r="E29" s="2"/>
      <c r="F29" s="27" t="str">
        <f>A29</f>
        <v>Round DER - Inner Dome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17" t="s">
        <v>34</v>
      </c>
      <c r="E31" s="4"/>
      <c r="F31" s="11" t="s">
        <v>2</v>
      </c>
      <c r="G31" s="10"/>
      <c r="H31" s="11" t="s">
        <v>5</v>
      </c>
      <c r="I31" s="17" t="str">
        <f>D31</f>
        <v>11A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35</v>
      </c>
      <c r="E32" s="4"/>
      <c r="F32" s="8" t="s">
        <v>3</v>
      </c>
      <c r="G32" s="9">
        <v>10</v>
      </c>
      <c r="H32" s="11" t="s">
        <v>6</v>
      </c>
      <c r="I32" s="7" t="str">
        <f>D32</f>
        <v>DER-D02B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38</v>
      </c>
      <c r="B33" s="29"/>
      <c r="C33" s="29"/>
      <c r="D33" s="30"/>
      <c r="E33" s="5"/>
      <c r="F33" s="28" t="s">
        <v>39</v>
      </c>
      <c r="G33" s="29"/>
      <c r="H33" s="29"/>
      <c r="I33" s="30"/>
      <c r="K33" s="1">
        <v>360</v>
      </c>
      <c r="L33" s="1">
        <v>80</v>
      </c>
    </row>
    <row r="34" spans="1:12" s="1" customFormat="1" ht="30" customHeight="1" x14ac:dyDescent="0.25">
      <c r="A34" s="31">
        <v>6331</v>
      </c>
      <c r="B34" s="32"/>
      <c r="C34" s="33" t="s">
        <v>36</v>
      </c>
      <c r="D34" s="34"/>
      <c r="E34" s="4"/>
      <c r="F34" s="31">
        <f>A34</f>
        <v>6331</v>
      </c>
      <c r="G34" s="32"/>
      <c r="H34" s="33" t="str">
        <f>C34</f>
        <v/>
      </c>
      <c r="I34" s="34"/>
    </row>
    <row r="35" spans="1:12" s="1" customFormat="1" ht="30" customHeight="1" x14ac:dyDescent="0.25">
      <c r="A35" s="12" t="s">
        <v>4</v>
      </c>
      <c r="B35" s="25" t="s">
        <v>37</v>
      </c>
      <c r="C35" s="25"/>
      <c r="D35" s="26"/>
      <c r="E35" s="4"/>
      <c r="F35" s="12" t="s">
        <v>4</v>
      </c>
      <c r="G35" s="25" t="str">
        <f>B35</f>
        <v>25417, 25463</v>
      </c>
      <c r="H35" s="25"/>
      <c r="I35" s="26"/>
    </row>
  </sheetData>
  <mergeCells count="50">
    <mergeCell ref="B35:D35"/>
    <mergeCell ref="G35:I35"/>
    <mergeCell ref="A8:D8"/>
    <mergeCell ref="F8:I8"/>
    <mergeCell ref="A12:D12"/>
    <mergeCell ref="F12:I12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A13:B13"/>
    <mergeCell ref="C13:D13"/>
    <mergeCell ref="F13:G13"/>
    <mergeCell ref="H13:I13"/>
    <mergeCell ref="B14:D14"/>
    <mergeCell ref="G14:I14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20</v>
      </c>
      <c r="B1" s="27"/>
      <c r="C1" s="27"/>
      <c r="D1" s="27"/>
      <c r="E1" s="2"/>
      <c r="F1" s="27" t="str">
        <f>A1</f>
        <v>Round DER - Inner Dome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17" t="s">
        <v>40</v>
      </c>
      <c r="E3" s="4"/>
      <c r="F3" s="11" t="s">
        <v>2</v>
      </c>
      <c r="G3" s="10"/>
      <c r="H3" s="11" t="s">
        <v>5</v>
      </c>
      <c r="I3" s="17" t="str">
        <f>D3</f>
        <v>08A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70</v>
      </c>
      <c r="E4" s="4"/>
      <c r="F4" s="8" t="s">
        <v>3</v>
      </c>
      <c r="G4" s="9">
        <v>3</v>
      </c>
      <c r="H4" s="11" t="s">
        <v>6</v>
      </c>
      <c r="I4" s="7" t="str">
        <f>D4</f>
        <v>DER-D02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38</v>
      </c>
      <c r="B5" s="29"/>
      <c r="C5" s="29"/>
      <c r="D5" s="30"/>
      <c r="E5" s="5"/>
      <c r="F5" s="28" t="s">
        <v>38</v>
      </c>
      <c r="G5" s="29"/>
      <c r="H5" s="29"/>
      <c r="I5" s="30"/>
      <c r="K5" s="1">
        <v>360</v>
      </c>
      <c r="L5" s="1">
        <v>80</v>
      </c>
    </row>
    <row r="6" spans="1:12" s="1" customFormat="1" ht="30" customHeight="1" x14ac:dyDescent="0.25">
      <c r="A6" s="31" t="s">
        <v>54</v>
      </c>
      <c r="B6" s="32"/>
      <c r="C6" s="33" t="s">
        <v>36</v>
      </c>
      <c r="D6" s="34"/>
      <c r="E6" s="4"/>
      <c r="F6" s="31" t="str">
        <f>A6</f>
        <v>PP6331</v>
      </c>
      <c r="G6" s="32"/>
      <c r="H6" s="33" t="str">
        <f>C6</f>
        <v/>
      </c>
      <c r="I6" s="34"/>
    </row>
    <row r="7" spans="1:12" s="1" customFormat="1" ht="30" customHeight="1" x14ac:dyDescent="0.25">
      <c r="A7" s="12" t="s">
        <v>4</v>
      </c>
      <c r="B7" s="25" t="s">
        <v>72</v>
      </c>
      <c r="C7" s="25"/>
      <c r="D7" s="26"/>
      <c r="E7" s="4"/>
      <c r="F7" s="12" t="s">
        <v>4</v>
      </c>
      <c r="G7" s="25" t="str">
        <f>B7</f>
        <v>26163, 26352</v>
      </c>
      <c r="H7" s="25"/>
      <c r="I7" s="26"/>
    </row>
    <row r="8" spans="1:12" ht="63.75" customHeight="1" x14ac:dyDescent="0.25">
      <c r="A8" s="27" t="s">
        <v>20</v>
      </c>
      <c r="B8" s="27"/>
      <c r="C8" s="27"/>
      <c r="D8" s="27"/>
      <c r="E8" s="2"/>
      <c r="F8" s="27" t="str">
        <f>A8</f>
        <v>Round DER - Inner Dome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17" t="s">
        <v>40</v>
      </c>
      <c r="E10" s="4"/>
      <c r="F10" s="11" t="s">
        <v>2</v>
      </c>
      <c r="G10" s="10"/>
      <c r="H10" s="11" t="s">
        <v>5</v>
      </c>
      <c r="I10" s="17" t="str">
        <f>D10</f>
        <v>08A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70</v>
      </c>
      <c r="E11" s="4"/>
      <c r="F11" s="8" t="s">
        <v>3</v>
      </c>
      <c r="G11" s="9">
        <v>4</v>
      </c>
      <c r="H11" s="11" t="s">
        <v>6</v>
      </c>
      <c r="I11" s="7" t="str">
        <f>D11</f>
        <v>DER-D02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38</v>
      </c>
      <c r="B12" s="29"/>
      <c r="C12" s="29"/>
      <c r="D12" s="30"/>
      <c r="E12" s="5"/>
      <c r="F12" s="28" t="s">
        <v>38</v>
      </c>
      <c r="G12" s="29"/>
      <c r="H12" s="29"/>
      <c r="I12" s="30"/>
      <c r="K12" s="1">
        <v>360</v>
      </c>
      <c r="L12" s="1">
        <v>80</v>
      </c>
    </row>
    <row r="13" spans="1:12" s="1" customFormat="1" ht="30" customHeight="1" x14ac:dyDescent="0.25">
      <c r="A13" s="31" t="s">
        <v>54</v>
      </c>
      <c r="B13" s="32"/>
      <c r="C13" s="33" t="s">
        <v>36</v>
      </c>
      <c r="D13" s="34"/>
      <c r="E13" s="4"/>
      <c r="F13" s="31" t="str">
        <f>A13</f>
        <v>PP6331</v>
      </c>
      <c r="G13" s="32"/>
      <c r="H13" s="33" t="str">
        <f>C13</f>
        <v/>
      </c>
      <c r="I13" s="34"/>
    </row>
    <row r="14" spans="1:12" s="1" customFormat="1" ht="30" customHeight="1" x14ac:dyDescent="0.25">
      <c r="A14" s="12" t="s">
        <v>4</v>
      </c>
      <c r="B14" s="25" t="s">
        <v>72</v>
      </c>
      <c r="C14" s="25"/>
      <c r="D14" s="26"/>
      <c r="E14" s="4"/>
      <c r="F14" s="12" t="s">
        <v>4</v>
      </c>
      <c r="G14" s="25" t="str">
        <f>B14</f>
        <v>26163, 26352</v>
      </c>
      <c r="H14" s="25"/>
      <c r="I14" s="26"/>
    </row>
  </sheetData>
  <mergeCells count="2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L105"/>
  <sheetViews>
    <sheetView view="pageBreakPreview" topLeftCell="A106" zoomScaleNormal="100" zoomScaleSheetLayoutView="100" workbookViewId="0">
      <selection activeCell="F99" sqref="F99:I10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20</v>
      </c>
      <c r="B1" s="27"/>
      <c r="C1" s="27"/>
      <c r="D1" s="27"/>
      <c r="E1" s="2"/>
      <c r="F1" s="27" t="str">
        <f>A1</f>
        <v>Round DER - Inner Dome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17" t="s">
        <v>40</v>
      </c>
      <c r="E3" s="4"/>
      <c r="F3" s="11" t="s">
        <v>2</v>
      </c>
      <c r="G3" s="10"/>
      <c r="H3" s="11" t="s">
        <v>5</v>
      </c>
      <c r="I3" s="17" t="str">
        <f>D3</f>
        <v>08A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35</v>
      </c>
      <c r="E4" s="4"/>
      <c r="F4" s="8" t="s">
        <v>3</v>
      </c>
      <c r="G4" s="9">
        <v>16</v>
      </c>
      <c r="H4" s="11" t="s">
        <v>6</v>
      </c>
      <c r="I4" s="7" t="str">
        <f>D4</f>
        <v>DER-D02B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100</v>
      </c>
      <c r="B5" s="29"/>
      <c r="C5" s="29"/>
      <c r="D5" s="30"/>
      <c r="E5" s="5"/>
      <c r="F5" s="28" t="s">
        <v>100</v>
      </c>
      <c r="G5" s="29"/>
      <c r="H5" s="29"/>
      <c r="I5" s="30"/>
      <c r="K5" s="1">
        <v>250</v>
      </c>
      <c r="L5" s="1">
        <v>80</v>
      </c>
    </row>
    <row r="6" spans="1:12" s="1" customFormat="1" ht="30" customHeight="1" x14ac:dyDescent="0.25">
      <c r="A6" s="31" t="s">
        <v>54</v>
      </c>
      <c r="B6" s="32"/>
      <c r="C6" s="33" t="s">
        <v>9</v>
      </c>
      <c r="D6" s="34"/>
      <c r="E6" s="4"/>
      <c r="F6" s="31" t="str">
        <f>A6</f>
        <v>PP6331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26098</v>
      </c>
      <c r="C7" s="25"/>
      <c r="D7" s="26"/>
      <c r="E7" s="4"/>
      <c r="F7" s="12" t="s">
        <v>4</v>
      </c>
      <c r="G7" s="25">
        <f>B7</f>
        <v>26098</v>
      </c>
      <c r="H7" s="25"/>
      <c r="I7" s="26"/>
    </row>
    <row r="8" spans="1:12" ht="63.75" customHeight="1" x14ac:dyDescent="0.25">
      <c r="A8" s="27" t="s">
        <v>20</v>
      </c>
      <c r="B8" s="27"/>
      <c r="C8" s="27"/>
      <c r="D8" s="27"/>
      <c r="E8" s="2"/>
      <c r="F8" s="27" t="str">
        <f>A8</f>
        <v>Round DER - Inner Dome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17" t="s">
        <v>40</v>
      </c>
      <c r="E10" s="4"/>
      <c r="F10" s="11" t="s">
        <v>2</v>
      </c>
      <c r="G10" s="10"/>
      <c r="H10" s="11" t="s">
        <v>5</v>
      </c>
      <c r="I10" s="17" t="str">
        <f>D10</f>
        <v>08A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35</v>
      </c>
      <c r="E11" s="4"/>
      <c r="F11" s="8" t="s">
        <v>3</v>
      </c>
      <c r="G11" s="9">
        <v>17</v>
      </c>
      <c r="H11" s="11" t="s">
        <v>6</v>
      </c>
      <c r="I11" s="7" t="str">
        <f>D11</f>
        <v>DER-D02B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100</v>
      </c>
      <c r="B12" s="29"/>
      <c r="C12" s="29"/>
      <c r="D12" s="30"/>
      <c r="E12" s="5"/>
      <c r="F12" s="28" t="s">
        <v>100</v>
      </c>
      <c r="G12" s="29"/>
      <c r="H12" s="29"/>
      <c r="I12" s="30"/>
      <c r="K12" s="1">
        <v>250</v>
      </c>
      <c r="L12" s="1">
        <v>80</v>
      </c>
    </row>
    <row r="13" spans="1:12" s="1" customFormat="1" ht="30" customHeight="1" x14ac:dyDescent="0.25">
      <c r="A13" s="31" t="s">
        <v>54</v>
      </c>
      <c r="B13" s="32"/>
      <c r="C13" s="33" t="s">
        <v>9</v>
      </c>
      <c r="D13" s="34"/>
      <c r="E13" s="4"/>
      <c r="F13" s="31" t="str">
        <f>A13</f>
        <v>PP6331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26098</v>
      </c>
      <c r="C14" s="25"/>
      <c r="D14" s="26"/>
      <c r="E14" s="4"/>
      <c r="F14" s="12" t="s">
        <v>4</v>
      </c>
      <c r="G14" s="25">
        <f>B14</f>
        <v>26098</v>
      </c>
      <c r="H14" s="25"/>
      <c r="I14" s="26"/>
    </row>
    <row r="15" spans="1:12" ht="63.75" customHeight="1" x14ac:dyDescent="0.25">
      <c r="A15" s="27" t="s">
        <v>20</v>
      </c>
      <c r="B15" s="27"/>
      <c r="C15" s="27"/>
      <c r="D15" s="27"/>
      <c r="E15" s="2"/>
      <c r="F15" s="27" t="str">
        <f>A15</f>
        <v>Round DER - Inner Dome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17" t="s">
        <v>40</v>
      </c>
      <c r="E17" s="4"/>
      <c r="F17" s="11" t="s">
        <v>2</v>
      </c>
      <c r="G17" s="10"/>
      <c r="H17" s="11" t="s">
        <v>5</v>
      </c>
      <c r="I17" s="17" t="str">
        <f>D17</f>
        <v>08A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35</v>
      </c>
      <c r="E18" s="4"/>
      <c r="F18" s="8" t="s">
        <v>3</v>
      </c>
      <c r="G18" s="9">
        <v>18</v>
      </c>
      <c r="H18" s="11" t="s">
        <v>6</v>
      </c>
      <c r="I18" s="7" t="str">
        <f>D18</f>
        <v>DER-D02B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100</v>
      </c>
      <c r="B19" s="29"/>
      <c r="C19" s="29"/>
      <c r="D19" s="30"/>
      <c r="E19" s="5"/>
      <c r="F19" s="28" t="s">
        <v>100</v>
      </c>
      <c r="G19" s="29"/>
      <c r="H19" s="29"/>
      <c r="I19" s="30"/>
      <c r="K19" s="1">
        <v>250</v>
      </c>
      <c r="L19" s="1">
        <v>80</v>
      </c>
    </row>
    <row r="20" spans="1:12" s="1" customFormat="1" ht="30" customHeight="1" x14ac:dyDescent="0.25">
      <c r="A20" s="31" t="s">
        <v>54</v>
      </c>
      <c r="B20" s="32"/>
      <c r="C20" s="33" t="s">
        <v>9</v>
      </c>
      <c r="D20" s="34"/>
      <c r="E20" s="4"/>
      <c r="F20" s="31" t="str">
        <f>A20</f>
        <v>PP6331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26098</v>
      </c>
      <c r="C21" s="25"/>
      <c r="D21" s="26"/>
      <c r="E21" s="4"/>
      <c r="F21" s="12" t="s">
        <v>4</v>
      </c>
      <c r="G21" s="25">
        <f>B21</f>
        <v>26098</v>
      </c>
      <c r="H21" s="25"/>
      <c r="I21" s="26"/>
    </row>
    <row r="22" spans="1:12" ht="63.75" customHeight="1" x14ac:dyDescent="0.25">
      <c r="A22" s="27" t="s">
        <v>20</v>
      </c>
      <c r="B22" s="27"/>
      <c r="C22" s="27"/>
      <c r="D22" s="27"/>
      <c r="E22" s="2"/>
      <c r="F22" s="27" t="str">
        <f>A22</f>
        <v>Round DER - Inner Dome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17" t="s">
        <v>40</v>
      </c>
      <c r="E24" s="4"/>
      <c r="F24" s="11" t="s">
        <v>2</v>
      </c>
      <c r="G24" s="10"/>
      <c r="H24" s="11" t="s">
        <v>5</v>
      </c>
      <c r="I24" s="17" t="str">
        <f>D24</f>
        <v>08A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35</v>
      </c>
      <c r="E25" s="4"/>
      <c r="F25" s="8" t="s">
        <v>3</v>
      </c>
      <c r="G25" s="9">
        <v>19</v>
      </c>
      <c r="H25" s="11" t="s">
        <v>6</v>
      </c>
      <c r="I25" s="7" t="str">
        <f>D25</f>
        <v>DER-D02B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100</v>
      </c>
      <c r="B26" s="29"/>
      <c r="C26" s="29"/>
      <c r="D26" s="30"/>
      <c r="E26" s="5"/>
      <c r="F26" s="28" t="s">
        <v>100</v>
      </c>
      <c r="G26" s="29"/>
      <c r="H26" s="29"/>
      <c r="I26" s="30"/>
      <c r="K26" s="1">
        <v>250</v>
      </c>
      <c r="L26" s="1">
        <v>80</v>
      </c>
    </row>
    <row r="27" spans="1:12" s="1" customFormat="1" ht="30" customHeight="1" x14ac:dyDescent="0.25">
      <c r="A27" s="31" t="s">
        <v>54</v>
      </c>
      <c r="B27" s="32"/>
      <c r="C27" s="33" t="s">
        <v>9</v>
      </c>
      <c r="D27" s="34"/>
      <c r="E27" s="4"/>
      <c r="F27" s="31" t="str">
        <f>A27</f>
        <v>PP6331</v>
      </c>
      <c r="G27" s="32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26098</v>
      </c>
      <c r="C28" s="25"/>
      <c r="D28" s="26"/>
      <c r="E28" s="4"/>
      <c r="F28" s="12" t="s">
        <v>4</v>
      </c>
      <c r="G28" s="25">
        <f>B28</f>
        <v>26098</v>
      </c>
      <c r="H28" s="25"/>
      <c r="I28" s="26"/>
    </row>
    <row r="29" spans="1:12" ht="63.75" customHeight="1" x14ac:dyDescent="0.25">
      <c r="A29" s="27" t="s">
        <v>20</v>
      </c>
      <c r="B29" s="27"/>
      <c r="C29" s="27"/>
      <c r="D29" s="27"/>
      <c r="E29" s="2"/>
      <c r="F29" s="27" t="str">
        <f>A29</f>
        <v>Round DER - Inner Dome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17" t="s">
        <v>40</v>
      </c>
      <c r="E31" s="4"/>
      <c r="F31" s="11" t="s">
        <v>2</v>
      </c>
      <c r="G31" s="10"/>
      <c r="H31" s="11" t="s">
        <v>5</v>
      </c>
      <c r="I31" s="17" t="str">
        <f>D31</f>
        <v>08A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35</v>
      </c>
      <c r="E32" s="4"/>
      <c r="F32" s="8" t="s">
        <v>3</v>
      </c>
      <c r="G32" s="9">
        <v>20</v>
      </c>
      <c r="H32" s="11" t="s">
        <v>6</v>
      </c>
      <c r="I32" s="7" t="str">
        <f>D32</f>
        <v>DER-D02B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100</v>
      </c>
      <c r="B33" s="29"/>
      <c r="C33" s="29"/>
      <c r="D33" s="30"/>
      <c r="E33" s="5"/>
      <c r="F33" s="28" t="s">
        <v>100</v>
      </c>
      <c r="G33" s="29"/>
      <c r="H33" s="29"/>
      <c r="I33" s="30"/>
      <c r="K33" s="1">
        <v>250</v>
      </c>
      <c r="L33" s="1">
        <v>80</v>
      </c>
    </row>
    <row r="34" spans="1:12" s="1" customFormat="1" ht="30" customHeight="1" x14ac:dyDescent="0.25">
      <c r="A34" s="31" t="s">
        <v>54</v>
      </c>
      <c r="B34" s="32"/>
      <c r="C34" s="33" t="s">
        <v>9</v>
      </c>
      <c r="D34" s="34"/>
      <c r="E34" s="4"/>
      <c r="F34" s="31" t="str">
        <f>A34</f>
        <v>PP6331</v>
      </c>
      <c r="G34" s="32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>
        <v>26098</v>
      </c>
      <c r="C35" s="25"/>
      <c r="D35" s="26"/>
      <c r="E35" s="4"/>
      <c r="F35" s="12" t="s">
        <v>4</v>
      </c>
      <c r="G35" s="25">
        <f>B35</f>
        <v>26098</v>
      </c>
      <c r="H35" s="25"/>
      <c r="I35" s="26"/>
    </row>
    <row r="36" spans="1:12" ht="63.75" customHeight="1" x14ac:dyDescent="0.25">
      <c r="A36" s="27" t="s">
        <v>20</v>
      </c>
      <c r="B36" s="27"/>
      <c r="C36" s="27"/>
      <c r="D36" s="27"/>
      <c r="E36" s="2"/>
      <c r="F36" s="27" t="str">
        <f>A36</f>
        <v>Round DER - Inner Dome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17" t="s">
        <v>40</v>
      </c>
      <c r="E38" s="4"/>
      <c r="F38" s="11" t="s">
        <v>2</v>
      </c>
      <c r="G38" s="10"/>
      <c r="H38" s="11" t="s">
        <v>5</v>
      </c>
      <c r="I38" s="17" t="str">
        <f>D38</f>
        <v>08A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35</v>
      </c>
      <c r="E39" s="4"/>
      <c r="F39" s="8" t="s">
        <v>3</v>
      </c>
      <c r="G39" s="9">
        <v>21</v>
      </c>
      <c r="H39" s="11" t="s">
        <v>6</v>
      </c>
      <c r="I39" s="7" t="str">
        <f>D39</f>
        <v>DER-D02B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100</v>
      </c>
      <c r="B40" s="29"/>
      <c r="C40" s="29"/>
      <c r="D40" s="30"/>
      <c r="E40" s="5"/>
      <c r="F40" s="28" t="s">
        <v>100</v>
      </c>
      <c r="G40" s="29"/>
      <c r="H40" s="29"/>
      <c r="I40" s="30"/>
      <c r="K40" s="1">
        <v>250</v>
      </c>
      <c r="L40" s="1">
        <v>80</v>
      </c>
    </row>
    <row r="41" spans="1:12" s="1" customFormat="1" ht="30" customHeight="1" x14ac:dyDescent="0.25">
      <c r="A41" s="31" t="s">
        <v>54</v>
      </c>
      <c r="B41" s="32"/>
      <c r="C41" s="33" t="s">
        <v>9</v>
      </c>
      <c r="D41" s="34"/>
      <c r="E41" s="4"/>
      <c r="F41" s="31" t="str">
        <f>A41</f>
        <v>PP6331</v>
      </c>
      <c r="G41" s="32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>
        <v>26098</v>
      </c>
      <c r="C42" s="25"/>
      <c r="D42" s="26"/>
      <c r="E42" s="4"/>
      <c r="F42" s="12" t="s">
        <v>4</v>
      </c>
      <c r="G42" s="25">
        <f>B42</f>
        <v>26098</v>
      </c>
      <c r="H42" s="25"/>
      <c r="I42" s="26"/>
    </row>
    <row r="43" spans="1:12" ht="63.75" customHeight="1" x14ac:dyDescent="0.25">
      <c r="A43" s="27" t="s">
        <v>20</v>
      </c>
      <c r="B43" s="27"/>
      <c r="C43" s="27"/>
      <c r="D43" s="27"/>
      <c r="E43" s="2"/>
      <c r="F43" s="27" t="str">
        <f>A43</f>
        <v>Round DER - Inner Dome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17" t="s">
        <v>40</v>
      </c>
      <c r="E45" s="4"/>
      <c r="F45" s="11" t="s">
        <v>2</v>
      </c>
      <c r="G45" s="10"/>
      <c r="H45" s="11" t="s">
        <v>5</v>
      </c>
      <c r="I45" s="17" t="str">
        <f>D45</f>
        <v>08A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35</v>
      </c>
      <c r="E46" s="4"/>
      <c r="F46" s="8" t="s">
        <v>3</v>
      </c>
      <c r="G46" s="9">
        <v>22</v>
      </c>
      <c r="H46" s="11" t="s">
        <v>6</v>
      </c>
      <c r="I46" s="7" t="str">
        <f>D46</f>
        <v>DER-D02B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100</v>
      </c>
      <c r="B47" s="29"/>
      <c r="C47" s="29"/>
      <c r="D47" s="30"/>
      <c r="E47" s="5"/>
      <c r="F47" s="28" t="s">
        <v>100</v>
      </c>
      <c r="G47" s="29"/>
      <c r="H47" s="29"/>
      <c r="I47" s="30"/>
      <c r="K47" s="1">
        <v>250</v>
      </c>
      <c r="L47" s="1">
        <v>80</v>
      </c>
    </row>
    <row r="48" spans="1:12" s="1" customFormat="1" ht="30" customHeight="1" x14ac:dyDescent="0.25">
      <c r="A48" s="31" t="s">
        <v>54</v>
      </c>
      <c r="B48" s="32"/>
      <c r="C48" s="33" t="s">
        <v>9</v>
      </c>
      <c r="D48" s="34"/>
      <c r="E48" s="4"/>
      <c r="F48" s="31" t="str">
        <f>A48</f>
        <v>PP6331</v>
      </c>
      <c r="G48" s="32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>
        <v>26098</v>
      </c>
      <c r="C49" s="25"/>
      <c r="D49" s="26"/>
      <c r="E49" s="4"/>
      <c r="F49" s="12" t="s">
        <v>4</v>
      </c>
      <c r="G49" s="25">
        <f>B49</f>
        <v>26098</v>
      </c>
      <c r="H49" s="25"/>
      <c r="I49" s="26"/>
    </row>
    <row r="50" spans="1:12" ht="63.75" customHeight="1" x14ac:dyDescent="0.25">
      <c r="A50" s="27" t="s">
        <v>20</v>
      </c>
      <c r="B50" s="27"/>
      <c r="C50" s="27"/>
      <c r="D50" s="27"/>
      <c r="E50" s="2"/>
      <c r="F50" s="27" t="str">
        <f>A50</f>
        <v>Round DER - Inner Dome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17" t="s">
        <v>40</v>
      </c>
      <c r="E52" s="4"/>
      <c r="F52" s="11" t="s">
        <v>2</v>
      </c>
      <c r="G52" s="10"/>
      <c r="H52" s="11" t="s">
        <v>5</v>
      </c>
      <c r="I52" s="17" t="str">
        <f>D52</f>
        <v>08A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35</v>
      </c>
      <c r="E53" s="4"/>
      <c r="F53" s="8" t="s">
        <v>3</v>
      </c>
      <c r="G53" s="9">
        <v>23</v>
      </c>
      <c r="H53" s="11" t="s">
        <v>6</v>
      </c>
      <c r="I53" s="7" t="str">
        <f>D53</f>
        <v>DER-D02B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100</v>
      </c>
      <c r="B54" s="29"/>
      <c r="C54" s="29"/>
      <c r="D54" s="30"/>
      <c r="E54" s="5"/>
      <c r="F54" s="28" t="s">
        <v>100</v>
      </c>
      <c r="G54" s="29"/>
      <c r="H54" s="29"/>
      <c r="I54" s="30"/>
      <c r="K54" s="1">
        <v>250</v>
      </c>
      <c r="L54" s="1">
        <v>80</v>
      </c>
    </row>
    <row r="55" spans="1:12" s="1" customFormat="1" ht="30" customHeight="1" x14ac:dyDescent="0.25">
      <c r="A55" s="31" t="s">
        <v>54</v>
      </c>
      <c r="B55" s="32"/>
      <c r="C55" s="33" t="s">
        <v>9</v>
      </c>
      <c r="D55" s="34"/>
      <c r="E55" s="4"/>
      <c r="F55" s="31" t="str">
        <f>A55</f>
        <v>PP6331</v>
      </c>
      <c r="G55" s="32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>
        <v>26098</v>
      </c>
      <c r="C56" s="25"/>
      <c r="D56" s="26"/>
      <c r="E56" s="4"/>
      <c r="F56" s="12" t="s">
        <v>4</v>
      </c>
      <c r="G56" s="25">
        <f>B56</f>
        <v>26098</v>
      </c>
      <c r="H56" s="25"/>
      <c r="I56" s="26"/>
    </row>
    <row r="57" spans="1:12" ht="63.75" customHeight="1" x14ac:dyDescent="0.25">
      <c r="A57" s="27" t="s">
        <v>20</v>
      </c>
      <c r="B57" s="27"/>
      <c r="C57" s="27"/>
      <c r="D57" s="27"/>
      <c r="E57" s="2"/>
      <c r="F57" s="27" t="str">
        <f>A57</f>
        <v>Round DER - Inner Dome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17" t="s">
        <v>40</v>
      </c>
      <c r="E59" s="4"/>
      <c r="F59" s="11" t="s">
        <v>2</v>
      </c>
      <c r="G59" s="10"/>
      <c r="H59" s="11" t="s">
        <v>5</v>
      </c>
      <c r="I59" s="17" t="str">
        <f>D59</f>
        <v>08A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35</v>
      </c>
      <c r="E60" s="4"/>
      <c r="F60" s="8" t="s">
        <v>3</v>
      </c>
      <c r="G60" s="9">
        <v>24</v>
      </c>
      <c r="H60" s="11" t="s">
        <v>6</v>
      </c>
      <c r="I60" s="7" t="str">
        <f>D60</f>
        <v>DER-D02B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100</v>
      </c>
      <c r="B61" s="29"/>
      <c r="C61" s="29"/>
      <c r="D61" s="30"/>
      <c r="E61" s="5"/>
      <c r="F61" s="28" t="s">
        <v>100</v>
      </c>
      <c r="G61" s="29"/>
      <c r="H61" s="29"/>
      <c r="I61" s="30"/>
      <c r="K61" s="1">
        <v>250</v>
      </c>
      <c r="L61" s="1">
        <v>80</v>
      </c>
    </row>
    <row r="62" spans="1:12" s="1" customFormat="1" ht="30" customHeight="1" x14ac:dyDescent="0.25">
      <c r="A62" s="31" t="s">
        <v>54</v>
      </c>
      <c r="B62" s="32"/>
      <c r="C62" s="33" t="s">
        <v>9</v>
      </c>
      <c r="D62" s="34"/>
      <c r="E62" s="4"/>
      <c r="F62" s="31" t="str">
        <f>A62</f>
        <v>PP6331</v>
      </c>
      <c r="G62" s="32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>
        <v>26098</v>
      </c>
      <c r="C63" s="25"/>
      <c r="D63" s="26"/>
      <c r="E63" s="4"/>
      <c r="F63" s="12" t="s">
        <v>4</v>
      </c>
      <c r="G63" s="25">
        <f>B63</f>
        <v>26098</v>
      </c>
      <c r="H63" s="25"/>
      <c r="I63" s="26"/>
    </row>
    <row r="64" spans="1:12" ht="63.75" customHeight="1" x14ac:dyDescent="0.25">
      <c r="A64" s="27" t="s">
        <v>20</v>
      </c>
      <c r="B64" s="27"/>
      <c r="C64" s="27"/>
      <c r="D64" s="27"/>
      <c r="E64" s="2"/>
      <c r="F64" s="27" t="str">
        <f>A64</f>
        <v>Round DER - Inner Dome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17" t="s">
        <v>40</v>
      </c>
      <c r="E66" s="4"/>
      <c r="F66" s="11" t="s">
        <v>2</v>
      </c>
      <c r="G66" s="10"/>
      <c r="H66" s="11" t="s">
        <v>5</v>
      </c>
      <c r="I66" s="17" t="str">
        <f>D66</f>
        <v>08A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35</v>
      </c>
      <c r="E67" s="4"/>
      <c r="F67" s="8" t="s">
        <v>3</v>
      </c>
      <c r="G67" s="9">
        <v>25</v>
      </c>
      <c r="H67" s="11" t="s">
        <v>6</v>
      </c>
      <c r="I67" s="7" t="str">
        <f>D67</f>
        <v>DER-D02B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100</v>
      </c>
      <c r="B68" s="29"/>
      <c r="C68" s="29"/>
      <c r="D68" s="30"/>
      <c r="E68" s="5"/>
      <c r="F68" s="28" t="s">
        <v>100</v>
      </c>
      <c r="G68" s="29"/>
      <c r="H68" s="29"/>
      <c r="I68" s="30"/>
      <c r="K68" s="1">
        <v>250</v>
      </c>
      <c r="L68" s="1">
        <v>80</v>
      </c>
    </row>
    <row r="69" spans="1:12" s="1" customFormat="1" ht="30" customHeight="1" x14ac:dyDescent="0.25">
      <c r="A69" s="31" t="s">
        <v>54</v>
      </c>
      <c r="B69" s="32"/>
      <c r="C69" s="33" t="s">
        <v>9</v>
      </c>
      <c r="D69" s="34"/>
      <c r="E69" s="4"/>
      <c r="F69" s="31" t="str">
        <f>A69</f>
        <v>PP6331</v>
      </c>
      <c r="G69" s="32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5">
        <v>26098</v>
      </c>
      <c r="C70" s="25"/>
      <c r="D70" s="26"/>
      <c r="E70" s="4"/>
      <c r="F70" s="12" t="s">
        <v>4</v>
      </c>
      <c r="G70" s="25">
        <f>B70</f>
        <v>26098</v>
      </c>
      <c r="H70" s="25"/>
      <c r="I70" s="26"/>
    </row>
    <row r="71" spans="1:12" ht="63.75" customHeight="1" x14ac:dyDescent="0.25">
      <c r="A71" s="27" t="s">
        <v>20</v>
      </c>
      <c r="B71" s="27"/>
      <c r="C71" s="27"/>
      <c r="D71" s="27"/>
      <c r="E71" s="2"/>
      <c r="F71" s="27" t="str">
        <f>A71</f>
        <v>Round DER - Inner Dome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17" t="s">
        <v>40</v>
      </c>
      <c r="E73" s="4"/>
      <c r="F73" s="11" t="s">
        <v>2</v>
      </c>
      <c r="G73" s="10"/>
      <c r="H73" s="11" t="s">
        <v>5</v>
      </c>
      <c r="I73" s="17" t="str">
        <f>D73</f>
        <v>08A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35</v>
      </c>
      <c r="E74" s="4"/>
      <c r="F74" s="8" t="s">
        <v>3</v>
      </c>
      <c r="G74" s="9">
        <v>26</v>
      </c>
      <c r="H74" s="11" t="s">
        <v>6</v>
      </c>
      <c r="I74" s="7" t="str">
        <f>D74</f>
        <v>DER-D02B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100</v>
      </c>
      <c r="B75" s="29"/>
      <c r="C75" s="29"/>
      <c r="D75" s="30"/>
      <c r="E75" s="5"/>
      <c r="F75" s="28" t="s">
        <v>100</v>
      </c>
      <c r="G75" s="29"/>
      <c r="H75" s="29"/>
      <c r="I75" s="30"/>
      <c r="K75" s="1">
        <v>250</v>
      </c>
      <c r="L75" s="1">
        <v>80</v>
      </c>
    </row>
    <row r="76" spans="1:12" s="1" customFormat="1" ht="30" customHeight="1" x14ac:dyDescent="0.25">
      <c r="A76" s="31" t="s">
        <v>54</v>
      </c>
      <c r="B76" s="32"/>
      <c r="C76" s="33" t="s">
        <v>9</v>
      </c>
      <c r="D76" s="34"/>
      <c r="E76" s="4"/>
      <c r="F76" s="31" t="str">
        <f>A76</f>
        <v>PP6331</v>
      </c>
      <c r="G76" s="32"/>
      <c r="H76" s="33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5">
        <v>26098</v>
      </c>
      <c r="C77" s="25"/>
      <c r="D77" s="26"/>
      <c r="E77" s="4"/>
      <c r="F77" s="12" t="s">
        <v>4</v>
      </c>
      <c r="G77" s="25">
        <f>B77</f>
        <v>26098</v>
      </c>
      <c r="H77" s="25"/>
      <c r="I77" s="26"/>
    </row>
    <row r="78" spans="1:12" ht="63.75" customHeight="1" x14ac:dyDescent="0.25">
      <c r="A78" s="27" t="s">
        <v>20</v>
      </c>
      <c r="B78" s="27"/>
      <c r="C78" s="27"/>
      <c r="D78" s="27"/>
      <c r="E78" s="2"/>
      <c r="F78" s="27" t="str">
        <f>A78</f>
        <v>Round DER - Inner Dome</v>
      </c>
      <c r="G78" s="27"/>
      <c r="H78" s="27"/>
      <c r="I78" s="2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17" t="s">
        <v>40</v>
      </c>
      <c r="E80" s="4"/>
      <c r="F80" s="11" t="s">
        <v>2</v>
      </c>
      <c r="G80" s="10"/>
      <c r="H80" s="11" t="s">
        <v>5</v>
      </c>
      <c r="I80" s="17" t="str">
        <f>D80</f>
        <v>08A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35</v>
      </c>
      <c r="E81" s="4"/>
      <c r="F81" s="8" t="s">
        <v>3</v>
      </c>
      <c r="G81" s="9">
        <v>27</v>
      </c>
      <c r="H81" s="11" t="s">
        <v>6</v>
      </c>
      <c r="I81" s="7" t="str">
        <f>D81</f>
        <v>DER-D02B</v>
      </c>
      <c r="K81" s="6" t="s">
        <v>8</v>
      </c>
      <c r="L81" s="6" t="s">
        <v>7</v>
      </c>
    </row>
    <row r="82" spans="1:12" s="1" customFormat="1" ht="30" customHeight="1" x14ac:dyDescent="0.25">
      <c r="A82" s="28" t="s">
        <v>100</v>
      </c>
      <c r="B82" s="29"/>
      <c r="C82" s="29"/>
      <c r="D82" s="30"/>
      <c r="E82" s="5"/>
      <c r="F82" s="28" t="s">
        <v>100</v>
      </c>
      <c r="G82" s="29"/>
      <c r="H82" s="29"/>
      <c r="I82" s="30"/>
      <c r="K82" s="1">
        <v>250</v>
      </c>
      <c r="L82" s="1">
        <v>80</v>
      </c>
    </row>
    <row r="83" spans="1:12" s="1" customFormat="1" ht="30" customHeight="1" x14ac:dyDescent="0.25">
      <c r="A83" s="31" t="s">
        <v>54</v>
      </c>
      <c r="B83" s="32"/>
      <c r="C83" s="33" t="s">
        <v>9</v>
      </c>
      <c r="D83" s="34"/>
      <c r="E83" s="4"/>
      <c r="F83" s="31" t="str">
        <f>A83</f>
        <v>PP6331</v>
      </c>
      <c r="G83" s="32"/>
      <c r="H83" s="33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5">
        <v>26098</v>
      </c>
      <c r="C84" s="25"/>
      <c r="D84" s="26"/>
      <c r="E84" s="4"/>
      <c r="F84" s="12" t="s">
        <v>4</v>
      </c>
      <c r="G84" s="25">
        <f>B84</f>
        <v>26098</v>
      </c>
      <c r="H84" s="25"/>
      <c r="I84" s="26"/>
    </row>
    <row r="85" spans="1:12" ht="63.75" customHeight="1" x14ac:dyDescent="0.25">
      <c r="A85" s="27" t="s">
        <v>20</v>
      </c>
      <c r="B85" s="27"/>
      <c r="C85" s="27"/>
      <c r="D85" s="27"/>
      <c r="E85" s="2"/>
      <c r="F85" s="27" t="str">
        <f>A85</f>
        <v>Round DER - Inner Dome</v>
      </c>
      <c r="G85" s="27"/>
      <c r="H85" s="27"/>
      <c r="I85" s="27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17" t="s">
        <v>40</v>
      </c>
      <c r="E87" s="4"/>
      <c r="F87" s="11" t="s">
        <v>2</v>
      </c>
      <c r="G87" s="10"/>
      <c r="H87" s="11" t="s">
        <v>5</v>
      </c>
      <c r="I87" s="17" t="str">
        <f>D87</f>
        <v>08A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35</v>
      </c>
      <c r="E88" s="4"/>
      <c r="F88" s="8" t="s">
        <v>3</v>
      </c>
      <c r="G88" s="9">
        <v>28</v>
      </c>
      <c r="H88" s="11" t="s">
        <v>6</v>
      </c>
      <c r="I88" s="7" t="str">
        <f>D88</f>
        <v>DER-D02B</v>
      </c>
      <c r="K88" s="6" t="s">
        <v>8</v>
      </c>
      <c r="L88" s="6" t="s">
        <v>7</v>
      </c>
    </row>
    <row r="89" spans="1:12" s="1" customFormat="1" ht="30" customHeight="1" x14ac:dyDescent="0.25">
      <c r="A89" s="28" t="s">
        <v>100</v>
      </c>
      <c r="B89" s="29"/>
      <c r="C89" s="29"/>
      <c r="D89" s="30"/>
      <c r="E89" s="5"/>
      <c r="F89" s="28" t="s">
        <v>100</v>
      </c>
      <c r="G89" s="29"/>
      <c r="H89" s="29"/>
      <c r="I89" s="30"/>
      <c r="K89" s="1">
        <v>250</v>
      </c>
      <c r="L89" s="1">
        <v>80</v>
      </c>
    </row>
    <row r="90" spans="1:12" s="1" customFormat="1" ht="30" customHeight="1" x14ac:dyDescent="0.25">
      <c r="A90" s="31" t="s">
        <v>54</v>
      </c>
      <c r="B90" s="32"/>
      <c r="C90" s="33" t="s">
        <v>9</v>
      </c>
      <c r="D90" s="34"/>
      <c r="E90" s="4"/>
      <c r="F90" s="31" t="str">
        <f>A90</f>
        <v>PP6331</v>
      </c>
      <c r="G90" s="32"/>
      <c r="H90" s="33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5">
        <v>26098</v>
      </c>
      <c r="C91" s="25"/>
      <c r="D91" s="26"/>
      <c r="E91" s="4"/>
      <c r="F91" s="12" t="s">
        <v>4</v>
      </c>
      <c r="G91" s="25">
        <f>B91</f>
        <v>26098</v>
      </c>
      <c r="H91" s="25"/>
      <c r="I91" s="26"/>
    </row>
    <row r="92" spans="1:12" ht="63.75" customHeight="1" x14ac:dyDescent="0.25">
      <c r="A92" s="27" t="s">
        <v>20</v>
      </c>
      <c r="B92" s="27"/>
      <c r="C92" s="27"/>
      <c r="D92" s="27"/>
      <c r="E92" s="2"/>
      <c r="F92" s="27" t="str">
        <f>A92</f>
        <v>Round DER - Inner Dome</v>
      </c>
      <c r="G92" s="27"/>
      <c r="H92" s="27"/>
      <c r="I92" s="27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17" t="s">
        <v>40</v>
      </c>
      <c r="E94" s="4"/>
      <c r="F94" s="11" t="s">
        <v>2</v>
      </c>
      <c r="G94" s="10"/>
      <c r="H94" s="11" t="s">
        <v>5</v>
      </c>
      <c r="I94" s="17" t="str">
        <f>D94</f>
        <v>08A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35</v>
      </c>
      <c r="E95" s="4"/>
      <c r="F95" s="8" t="s">
        <v>3</v>
      </c>
      <c r="G95" s="9">
        <v>29</v>
      </c>
      <c r="H95" s="11" t="s">
        <v>6</v>
      </c>
      <c r="I95" s="7" t="str">
        <f>D95</f>
        <v>DER-D02B</v>
      </c>
      <c r="K95" s="6" t="s">
        <v>8</v>
      </c>
      <c r="L95" s="6" t="s">
        <v>7</v>
      </c>
    </row>
    <row r="96" spans="1:12" s="1" customFormat="1" ht="30" customHeight="1" x14ac:dyDescent="0.25">
      <c r="A96" s="28" t="s">
        <v>100</v>
      </c>
      <c r="B96" s="29"/>
      <c r="C96" s="29"/>
      <c r="D96" s="30"/>
      <c r="E96" s="5"/>
      <c r="F96" s="28" t="s">
        <v>100</v>
      </c>
      <c r="G96" s="29"/>
      <c r="H96" s="29"/>
      <c r="I96" s="30"/>
      <c r="K96" s="1">
        <v>250</v>
      </c>
      <c r="L96" s="1">
        <v>80</v>
      </c>
    </row>
    <row r="97" spans="1:12" s="1" customFormat="1" ht="30" customHeight="1" x14ac:dyDescent="0.25">
      <c r="A97" s="31" t="s">
        <v>54</v>
      </c>
      <c r="B97" s="32"/>
      <c r="C97" s="33" t="s">
        <v>9</v>
      </c>
      <c r="D97" s="34"/>
      <c r="E97" s="4"/>
      <c r="F97" s="31" t="str">
        <f>A97</f>
        <v>PP6331</v>
      </c>
      <c r="G97" s="32"/>
      <c r="H97" s="33" t="str">
        <f>C97</f>
        <v>White</v>
      </c>
      <c r="I97" s="34"/>
    </row>
    <row r="98" spans="1:12" s="1" customFormat="1" ht="30" customHeight="1" x14ac:dyDescent="0.25">
      <c r="A98" s="12" t="s">
        <v>4</v>
      </c>
      <c r="B98" s="25">
        <v>26098</v>
      </c>
      <c r="C98" s="25"/>
      <c r="D98" s="26"/>
      <c r="E98" s="4"/>
      <c r="F98" s="12" t="s">
        <v>4</v>
      </c>
      <c r="G98" s="25">
        <f>B98</f>
        <v>26098</v>
      </c>
      <c r="H98" s="25"/>
      <c r="I98" s="26"/>
    </row>
    <row r="99" spans="1:12" ht="63.75" customHeight="1" x14ac:dyDescent="0.25">
      <c r="A99" s="27" t="s">
        <v>20</v>
      </c>
      <c r="B99" s="27"/>
      <c r="C99" s="27"/>
      <c r="D99" s="27"/>
      <c r="E99" s="2"/>
      <c r="F99" s="27" t="str">
        <f>A99</f>
        <v>Round DER - Inner Dome</v>
      </c>
      <c r="G99" s="27"/>
      <c r="H99" s="27"/>
      <c r="I99" s="27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17" t="s">
        <v>40</v>
      </c>
      <c r="E101" s="4"/>
      <c r="F101" s="11" t="s">
        <v>2</v>
      </c>
      <c r="G101" s="10"/>
      <c r="H101" s="11" t="s">
        <v>5</v>
      </c>
      <c r="I101" s="17" t="str">
        <f>D101</f>
        <v>08A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35</v>
      </c>
      <c r="E102" s="4"/>
      <c r="F102" s="8" t="s">
        <v>3</v>
      </c>
      <c r="G102" s="9">
        <v>30</v>
      </c>
      <c r="H102" s="11" t="s">
        <v>6</v>
      </c>
      <c r="I102" s="7" t="str">
        <f>D102</f>
        <v>DER-D02B</v>
      </c>
      <c r="K102" s="6" t="s">
        <v>8</v>
      </c>
      <c r="L102" s="6" t="s">
        <v>7</v>
      </c>
    </row>
    <row r="103" spans="1:12" s="1" customFormat="1" ht="30" customHeight="1" x14ac:dyDescent="0.25">
      <c r="A103" s="28" t="s">
        <v>100</v>
      </c>
      <c r="B103" s="29"/>
      <c r="C103" s="29"/>
      <c r="D103" s="30"/>
      <c r="E103" s="5"/>
      <c r="F103" s="28" t="s">
        <v>100</v>
      </c>
      <c r="G103" s="29"/>
      <c r="H103" s="29"/>
      <c r="I103" s="30"/>
      <c r="K103" s="1">
        <v>250</v>
      </c>
      <c r="L103" s="1">
        <v>80</v>
      </c>
    </row>
    <row r="104" spans="1:12" s="1" customFormat="1" ht="30" customHeight="1" x14ac:dyDescent="0.25">
      <c r="A104" s="31" t="s">
        <v>54</v>
      </c>
      <c r="B104" s="32"/>
      <c r="C104" s="33" t="s">
        <v>9</v>
      </c>
      <c r="D104" s="34"/>
      <c r="E104" s="4"/>
      <c r="F104" s="31" t="str">
        <f>A104</f>
        <v>PP6331</v>
      </c>
      <c r="G104" s="32"/>
      <c r="H104" s="33" t="str">
        <f>C104</f>
        <v>White</v>
      </c>
      <c r="I104" s="34"/>
    </row>
    <row r="105" spans="1:12" s="1" customFormat="1" ht="30" customHeight="1" x14ac:dyDescent="0.25">
      <c r="A105" s="12" t="s">
        <v>4</v>
      </c>
      <c r="B105" s="25">
        <v>26098</v>
      </c>
      <c r="C105" s="25"/>
      <c r="D105" s="26"/>
      <c r="E105" s="4"/>
      <c r="F105" s="12" t="s">
        <v>4</v>
      </c>
      <c r="G105" s="25">
        <f>B105</f>
        <v>26098</v>
      </c>
      <c r="H105" s="25"/>
      <c r="I105" s="26"/>
    </row>
  </sheetData>
  <mergeCells count="150">
    <mergeCell ref="B70:D70"/>
    <mergeCell ref="G70:I70"/>
    <mergeCell ref="A64:D64"/>
    <mergeCell ref="F64:I64"/>
    <mergeCell ref="A68:D68"/>
    <mergeCell ref="F68:I68"/>
    <mergeCell ref="A69:B69"/>
    <mergeCell ref="C69:D69"/>
    <mergeCell ref="F69:G69"/>
    <mergeCell ref="H69:I69"/>
    <mergeCell ref="A57:D57"/>
    <mergeCell ref="F57:I57"/>
    <mergeCell ref="A61:D61"/>
    <mergeCell ref="F61:I61"/>
    <mergeCell ref="A62:B62"/>
    <mergeCell ref="C62:D62"/>
    <mergeCell ref="F62:G62"/>
    <mergeCell ref="H62:I62"/>
    <mergeCell ref="B63:D63"/>
    <mergeCell ref="G63:I63"/>
    <mergeCell ref="A50:D50"/>
    <mergeCell ref="F50:I50"/>
    <mergeCell ref="A54:D54"/>
    <mergeCell ref="F54:I54"/>
    <mergeCell ref="A55:B55"/>
    <mergeCell ref="C55:D55"/>
    <mergeCell ref="F55:G55"/>
    <mergeCell ref="H55:I55"/>
    <mergeCell ref="B56:D56"/>
    <mergeCell ref="G56:I56"/>
    <mergeCell ref="A43:D43"/>
    <mergeCell ref="F43:I43"/>
    <mergeCell ref="A47:D47"/>
    <mergeCell ref="F47:I47"/>
    <mergeCell ref="A48:B48"/>
    <mergeCell ref="C48:D48"/>
    <mergeCell ref="F48:G48"/>
    <mergeCell ref="H48:I48"/>
    <mergeCell ref="B49:D49"/>
    <mergeCell ref="G49:I49"/>
    <mergeCell ref="A36:D36"/>
    <mergeCell ref="F36:I36"/>
    <mergeCell ref="A40:D40"/>
    <mergeCell ref="F40:I40"/>
    <mergeCell ref="A41:B41"/>
    <mergeCell ref="C41:D41"/>
    <mergeCell ref="F41:G41"/>
    <mergeCell ref="H41:I41"/>
    <mergeCell ref="B42:D42"/>
    <mergeCell ref="G42:I42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B105:D105"/>
    <mergeCell ref="G105:I105"/>
    <mergeCell ref="A99:D99"/>
    <mergeCell ref="F99:I99"/>
    <mergeCell ref="A103:D103"/>
    <mergeCell ref="F103:I103"/>
    <mergeCell ref="A104:B104"/>
    <mergeCell ref="C104:D104"/>
    <mergeCell ref="F104:G104"/>
    <mergeCell ref="H104:I10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80</v>
      </c>
      <c r="B1" s="27"/>
      <c r="C1" s="27"/>
      <c r="D1" s="27"/>
      <c r="E1" s="2"/>
      <c r="F1" s="27" t="str">
        <f>A1</f>
        <v>Round DER - Cap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81</v>
      </c>
      <c r="E3" s="4"/>
      <c r="F3" s="11" t="s">
        <v>2</v>
      </c>
      <c r="G3" s="10"/>
      <c r="H3" s="11" t="s">
        <v>5</v>
      </c>
      <c r="I3" s="7" t="str">
        <f>D3</f>
        <v>34A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82</v>
      </c>
      <c r="E4" s="4"/>
      <c r="F4" s="8" t="s">
        <v>3</v>
      </c>
      <c r="G4" s="9">
        <v>3</v>
      </c>
      <c r="H4" s="11" t="s">
        <v>6</v>
      </c>
      <c r="I4" s="7" t="str">
        <f>D4</f>
        <v>DER-C07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45</v>
      </c>
      <c r="B5" s="29"/>
      <c r="C5" s="29"/>
      <c r="D5" s="30"/>
      <c r="E5" s="5"/>
      <c r="F5" s="28" t="s">
        <v>84</v>
      </c>
      <c r="G5" s="29"/>
      <c r="H5" s="29"/>
      <c r="I5" s="30"/>
      <c r="K5" s="1">
        <v>500</v>
      </c>
      <c r="L5" s="1">
        <v>20</v>
      </c>
    </row>
    <row r="6" spans="1:12" s="1" customFormat="1" ht="30" customHeight="1" x14ac:dyDescent="0.25">
      <c r="A6" s="31" t="s">
        <v>32</v>
      </c>
      <c r="B6" s="32"/>
      <c r="C6" s="37" t="s">
        <v>83</v>
      </c>
      <c r="D6" s="34"/>
      <c r="E6" s="4"/>
      <c r="F6" s="31" t="str">
        <f>A6</f>
        <v>P814</v>
      </c>
      <c r="G6" s="32"/>
      <c r="H6" s="37" t="str">
        <f>C6</f>
        <v>Dark Brown</v>
      </c>
      <c r="I6" s="34"/>
    </row>
    <row r="7" spans="1:12" s="1" customFormat="1" ht="30" customHeight="1" x14ac:dyDescent="0.25">
      <c r="A7" s="12" t="s">
        <v>4</v>
      </c>
      <c r="B7" s="25">
        <v>26870</v>
      </c>
      <c r="C7" s="25"/>
      <c r="D7" s="26"/>
      <c r="E7" s="4"/>
      <c r="F7" s="12" t="s">
        <v>4</v>
      </c>
      <c r="G7" s="25">
        <f>B7</f>
        <v>26870</v>
      </c>
      <c r="H7" s="25"/>
      <c r="I7" s="26"/>
    </row>
    <row r="8" spans="1:12" ht="63.75" customHeight="1" x14ac:dyDescent="0.25">
      <c r="A8" s="27" t="s">
        <v>80</v>
      </c>
      <c r="B8" s="27"/>
      <c r="C8" s="27"/>
      <c r="D8" s="27"/>
      <c r="E8" s="2"/>
      <c r="F8" s="35" t="str">
        <f>A8</f>
        <v>Round DER - Cap</v>
      </c>
      <c r="G8" s="35"/>
      <c r="H8" s="35"/>
      <c r="I8" s="35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81</v>
      </c>
      <c r="E10" s="4"/>
      <c r="F10" s="16" t="s">
        <v>2</v>
      </c>
      <c r="G10" s="16"/>
      <c r="H10" s="16" t="s">
        <v>5</v>
      </c>
      <c r="I10" s="13" t="str">
        <f>D10</f>
        <v>34A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82</v>
      </c>
      <c r="E11" s="4"/>
      <c r="F11" s="14" t="s">
        <v>3</v>
      </c>
      <c r="G11" s="15">
        <v>3</v>
      </c>
      <c r="H11" s="16" t="s">
        <v>6</v>
      </c>
      <c r="I11" s="13" t="str">
        <f>D11</f>
        <v>DER-C07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45</v>
      </c>
      <c r="B12" s="29"/>
      <c r="C12" s="29"/>
      <c r="D12" s="30"/>
      <c r="E12" s="5"/>
      <c r="F12" s="36" t="s">
        <v>84</v>
      </c>
      <c r="G12" s="36"/>
      <c r="H12" s="36"/>
      <c r="I12" s="36"/>
      <c r="K12" s="1">
        <v>500</v>
      </c>
      <c r="L12" s="1">
        <v>20</v>
      </c>
    </row>
    <row r="13" spans="1:12" s="1" customFormat="1" ht="30" customHeight="1" x14ac:dyDescent="0.25">
      <c r="A13" s="31" t="s">
        <v>32</v>
      </c>
      <c r="B13" s="32"/>
      <c r="C13" s="37" t="s">
        <v>83</v>
      </c>
      <c r="D13" s="34"/>
      <c r="E13" s="4"/>
      <c r="F13" s="38" t="str">
        <f>A13</f>
        <v>P814</v>
      </c>
      <c r="G13" s="38"/>
      <c r="H13" s="39" t="str">
        <f>C13</f>
        <v>Dark Brown</v>
      </c>
      <c r="I13" s="39"/>
    </row>
    <row r="14" spans="1:12" s="1" customFormat="1" ht="30" customHeight="1" x14ac:dyDescent="0.25">
      <c r="A14" s="12" t="s">
        <v>4</v>
      </c>
      <c r="B14" s="25">
        <v>26870</v>
      </c>
      <c r="C14" s="25"/>
      <c r="D14" s="26"/>
      <c r="E14" s="4"/>
      <c r="F14" s="16" t="s">
        <v>4</v>
      </c>
      <c r="G14" s="38">
        <f>B14</f>
        <v>26870</v>
      </c>
      <c r="H14" s="38"/>
      <c r="I14" s="38"/>
    </row>
  </sheetData>
  <mergeCells count="20">
    <mergeCell ref="A13:B13"/>
    <mergeCell ref="C13:D13"/>
    <mergeCell ref="F13:G13"/>
    <mergeCell ref="H13:I13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B7:D7"/>
    <mergeCell ref="G7:I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46</v>
      </c>
      <c r="B1" s="27"/>
      <c r="C1" s="27"/>
      <c r="D1" s="27"/>
      <c r="E1" s="2"/>
      <c r="F1" s="27" t="str">
        <f>A1</f>
        <v>Round DER - Outer Cap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65</v>
      </c>
      <c r="E3" s="4"/>
      <c r="F3" s="11" t="s">
        <v>2</v>
      </c>
      <c r="G3" s="10"/>
      <c r="H3" s="11" t="s">
        <v>5</v>
      </c>
      <c r="I3" s="7" t="str">
        <f>D3</f>
        <v>34AR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66</v>
      </c>
      <c r="E4" s="4"/>
      <c r="F4" s="8" t="s">
        <v>3</v>
      </c>
      <c r="G4" s="9">
        <v>3</v>
      </c>
      <c r="H4" s="11" t="s">
        <v>6</v>
      </c>
      <c r="I4" s="7" t="str">
        <f>D4</f>
        <v>DER-C06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30</v>
      </c>
      <c r="B5" s="29"/>
      <c r="C5" s="29"/>
      <c r="D5" s="30"/>
      <c r="E5" s="5"/>
      <c r="F5" s="28" t="s">
        <v>30</v>
      </c>
      <c r="G5" s="29"/>
      <c r="H5" s="29"/>
      <c r="I5" s="30"/>
      <c r="K5" s="1">
        <v>480</v>
      </c>
      <c r="L5" s="1">
        <v>20</v>
      </c>
    </row>
    <row r="6" spans="1:12" s="1" customFormat="1" ht="30" customHeight="1" x14ac:dyDescent="0.25">
      <c r="A6" s="31" t="s">
        <v>67</v>
      </c>
      <c r="B6" s="32"/>
      <c r="C6" s="37" t="s">
        <v>68</v>
      </c>
      <c r="D6" s="34"/>
      <c r="E6" s="4"/>
      <c r="F6" s="31" t="str">
        <f>A6</f>
        <v>PP6331+10190</v>
      </c>
      <c r="G6" s="32"/>
      <c r="H6" s="37" t="str">
        <f>C6</f>
        <v>Clear+Pink</v>
      </c>
      <c r="I6" s="34"/>
    </row>
    <row r="7" spans="1:12" s="1" customFormat="1" ht="30" customHeight="1" x14ac:dyDescent="0.25">
      <c r="A7" s="12" t="s">
        <v>4</v>
      </c>
      <c r="B7" s="25">
        <v>25483</v>
      </c>
      <c r="C7" s="25"/>
      <c r="D7" s="26"/>
      <c r="E7" s="4"/>
      <c r="F7" s="12" t="s">
        <v>4</v>
      </c>
      <c r="G7" s="25">
        <f>B7</f>
        <v>25483</v>
      </c>
      <c r="H7" s="25"/>
      <c r="I7" s="26"/>
    </row>
    <row r="8" spans="1:12" ht="63.75" customHeight="1" x14ac:dyDescent="0.25">
      <c r="A8" s="27" t="s">
        <v>46</v>
      </c>
      <c r="B8" s="27"/>
      <c r="C8" s="27"/>
      <c r="D8" s="27"/>
      <c r="E8" s="2"/>
      <c r="F8" s="27" t="str">
        <f>A8</f>
        <v>Round DER - Outer Cap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65</v>
      </c>
      <c r="E10" s="4"/>
      <c r="F10" s="11" t="s">
        <v>2</v>
      </c>
      <c r="G10" s="10"/>
      <c r="H10" s="11" t="s">
        <v>5</v>
      </c>
      <c r="I10" s="7" t="str">
        <f>D10</f>
        <v>34AR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66</v>
      </c>
      <c r="E11" s="4"/>
      <c r="F11" s="8" t="s">
        <v>3</v>
      </c>
      <c r="G11" s="9">
        <v>4</v>
      </c>
      <c r="H11" s="11" t="s">
        <v>6</v>
      </c>
      <c r="I11" s="7" t="str">
        <f>D11</f>
        <v>DER-C06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30</v>
      </c>
      <c r="B12" s="29"/>
      <c r="C12" s="29"/>
      <c r="D12" s="30"/>
      <c r="E12" s="5"/>
      <c r="F12" s="28" t="s">
        <v>69</v>
      </c>
      <c r="G12" s="29"/>
      <c r="H12" s="29"/>
      <c r="I12" s="30"/>
      <c r="K12" s="1">
        <v>480</v>
      </c>
      <c r="L12" s="1">
        <v>20</v>
      </c>
    </row>
    <row r="13" spans="1:12" s="1" customFormat="1" ht="30" customHeight="1" x14ac:dyDescent="0.25">
      <c r="A13" s="31" t="s">
        <v>67</v>
      </c>
      <c r="B13" s="32"/>
      <c r="C13" s="37" t="s">
        <v>68</v>
      </c>
      <c r="D13" s="34"/>
      <c r="E13" s="4"/>
      <c r="F13" s="31" t="str">
        <f>A13</f>
        <v>PP6331+10190</v>
      </c>
      <c r="G13" s="32"/>
      <c r="H13" s="37" t="str">
        <f>C13</f>
        <v>Clear+Pink</v>
      </c>
      <c r="I13" s="34"/>
    </row>
    <row r="14" spans="1:12" s="1" customFormat="1" ht="30" customHeight="1" x14ac:dyDescent="0.25">
      <c r="A14" s="12" t="s">
        <v>4</v>
      </c>
      <c r="B14" s="25">
        <v>25483</v>
      </c>
      <c r="C14" s="25"/>
      <c r="D14" s="26"/>
      <c r="E14" s="4"/>
      <c r="F14" s="12" t="s">
        <v>4</v>
      </c>
      <c r="G14" s="25">
        <f>B14</f>
        <v>25483</v>
      </c>
      <c r="H14" s="25"/>
      <c r="I14" s="26"/>
    </row>
  </sheetData>
  <mergeCells count="20">
    <mergeCell ref="A13:B13"/>
    <mergeCell ref="C13:D13"/>
    <mergeCell ref="F13:G13"/>
    <mergeCell ref="H13:I13"/>
    <mergeCell ref="B14:D14"/>
    <mergeCell ref="G14:I14"/>
    <mergeCell ref="B7:D7"/>
    <mergeCell ref="G7:I7"/>
    <mergeCell ref="A8:D8"/>
    <mergeCell ref="F8:I8"/>
    <mergeCell ref="A12:D12"/>
    <mergeCell ref="F12:I12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L7"/>
  <sheetViews>
    <sheetView tabSelected="1" view="pageBreakPreview" zoomScaleNormal="100" zoomScaleSheetLayoutView="100" workbookViewId="0">
      <selection activeCell="D8" sqref="D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46</v>
      </c>
      <c r="B1" s="27"/>
      <c r="C1" s="27"/>
      <c r="D1" s="27"/>
      <c r="E1" s="2"/>
      <c r="F1" s="27" t="str">
        <f>A1</f>
        <v>Round DER - Outer Cap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24"/>
      <c r="H2" s="11" t="s">
        <v>1</v>
      </c>
      <c r="I2" s="24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47</v>
      </c>
      <c r="E3" s="4"/>
      <c r="F3" s="11" t="s">
        <v>2</v>
      </c>
      <c r="G3" s="24"/>
      <c r="H3" s="11" t="s">
        <v>5</v>
      </c>
      <c r="I3" s="7" t="str">
        <f>D3</f>
        <v>18A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48</v>
      </c>
      <c r="E4" s="4"/>
      <c r="F4" s="8" t="s">
        <v>3</v>
      </c>
      <c r="G4" s="9">
        <v>2</v>
      </c>
      <c r="H4" s="11" t="s">
        <v>6</v>
      </c>
      <c r="I4" s="7" t="str">
        <f>D4</f>
        <v>DER-C05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45</v>
      </c>
      <c r="B5" s="29"/>
      <c r="C5" s="29"/>
      <c r="D5" s="30"/>
      <c r="E5" s="5"/>
      <c r="F5" s="28" t="s">
        <v>97</v>
      </c>
      <c r="G5" s="29"/>
      <c r="H5" s="29"/>
      <c r="I5" s="30"/>
      <c r="K5" s="1">
        <v>500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7" t="s">
        <v>104</v>
      </c>
      <c r="D6" s="34"/>
      <c r="E6" s="4"/>
      <c r="F6" s="31" t="str">
        <f>A6</f>
        <v>PP6331</v>
      </c>
      <c r="G6" s="32"/>
      <c r="H6" s="37" t="str">
        <f>C6</f>
        <v>Red</v>
      </c>
      <c r="I6" s="34"/>
    </row>
    <row r="7" spans="1:12" s="1" customFormat="1" ht="30" customHeight="1" x14ac:dyDescent="0.25">
      <c r="A7" s="12" t="s">
        <v>4</v>
      </c>
      <c r="B7" s="25">
        <v>26097</v>
      </c>
      <c r="C7" s="25"/>
      <c r="D7" s="26"/>
      <c r="E7" s="4"/>
      <c r="F7" s="12" t="s">
        <v>4</v>
      </c>
      <c r="G7" s="25">
        <f>B7</f>
        <v>26097</v>
      </c>
      <c r="H7" s="25"/>
      <c r="I7" s="26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L7"/>
  <sheetViews>
    <sheetView view="pageBreakPreview" zoomScaleNormal="100" zoomScaleSheetLayoutView="100" workbookViewId="0">
      <selection activeCell="G98" sqref="G98:I9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42</v>
      </c>
      <c r="B1" s="27"/>
      <c r="C1" s="27"/>
      <c r="D1" s="27"/>
      <c r="E1" s="2"/>
      <c r="F1" s="35" t="str">
        <f>A1</f>
        <v>Round DER - Inner Cap</v>
      </c>
      <c r="G1" s="35"/>
      <c r="H1" s="35"/>
      <c r="I1" s="35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6" t="s">
        <v>0</v>
      </c>
      <c r="G2" s="16"/>
      <c r="H2" s="16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17" t="s">
        <v>86</v>
      </c>
      <c r="E3" s="4"/>
      <c r="F3" s="16" t="s">
        <v>2</v>
      </c>
      <c r="G3" s="16"/>
      <c r="H3" s="16" t="s">
        <v>5</v>
      </c>
      <c r="I3" s="18" t="str">
        <f>D3</f>
        <v>24B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44</v>
      </c>
      <c r="E4" s="4"/>
      <c r="F4" s="14" t="s">
        <v>3</v>
      </c>
      <c r="G4" s="15">
        <v>7</v>
      </c>
      <c r="H4" s="16" t="s">
        <v>6</v>
      </c>
      <c r="I4" s="13" t="str">
        <f>D4</f>
        <v>DER-C04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96</v>
      </c>
      <c r="B5" s="29"/>
      <c r="C5" s="29"/>
      <c r="D5" s="30"/>
      <c r="E5" s="5"/>
      <c r="F5" s="36" t="s">
        <v>75</v>
      </c>
      <c r="G5" s="36"/>
      <c r="H5" s="36"/>
      <c r="I5" s="36"/>
      <c r="K5" s="1">
        <v>660</v>
      </c>
      <c r="L5" s="1">
        <v>20</v>
      </c>
    </row>
    <row r="6" spans="1:12" s="1" customFormat="1" ht="30" customHeight="1" x14ac:dyDescent="0.25">
      <c r="A6" s="31" t="s">
        <v>32</v>
      </c>
      <c r="B6" s="32"/>
      <c r="C6" s="37" t="s">
        <v>95</v>
      </c>
      <c r="D6" s="34"/>
      <c r="E6" s="4"/>
      <c r="F6" s="38" t="str">
        <f>A6</f>
        <v>P814</v>
      </c>
      <c r="G6" s="38"/>
      <c r="H6" s="39" t="str">
        <f>C6</f>
        <v>Light Blue</v>
      </c>
      <c r="I6" s="39"/>
    </row>
    <row r="7" spans="1:12" s="1" customFormat="1" ht="30" customHeight="1" x14ac:dyDescent="0.25">
      <c r="A7" s="12" t="s">
        <v>4</v>
      </c>
      <c r="B7" s="25" t="s">
        <v>94</v>
      </c>
      <c r="C7" s="25"/>
      <c r="D7" s="26"/>
      <c r="E7" s="4"/>
      <c r="F7" s="16" t="s">
        <v>4</v>
      </c>
      <c r="G7" s="38" t="str">
        <f>B7</f>
        <v>26064-1</v>
      </c>
      <c r="H7" s="38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210"/>
  <sheetViews>
    <sheetView view="pageBreakPreview" topLeftCell="A196" zoomScaleNormal="100" zoomScaleSheetLayoutView="100" workbookViewId="0">
      <selection activeCell="F204" sqref="F204:I2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78</v>
      </c>
      <c r="B1" s="27"/>
      <c r="C1" s="27"/>
      <c r="D1" s="27"/>
      <c r="E1" s="2"/>
      <c r="F1" s="27" t="str">
        <f>A1</f>
        <v>Round DER - Cap (Diamond Logo)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26</v>
      </c>
      <c r="E3" s="4"/>
      <c r="F3" s="11" t="s">
        <v>2</v>
      </c>
      <c r="G3" s="10"/>
      <c r="H3" s="11" t="s">
        <v>5</v>
      </c>
      <c r="I3" s="7" t="str">
        <f>D3</f>
        <v>16A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10</v>
      </c>
      <c r="E4" s="4"/>
      <c r="F4" s="8" t="s">
        <v>3</v>
      </c>
      <c r="G4" s="9">
        <v>31</v>
      </c>
      <c r="H4" s="11" t="s">
        <v>6</v>
      </c>
      <c r="I4" s="7" t="str">
        <f>D4</f>
        <v>DER-C03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45</v>
      </c>
      <c r="B5" s="29"/>
      <c r="C5" s="29"/>
      <c r="D5" s="30"/>
      <c r="E5" s="5"/>
      <c r="F5" s="28" t="s">
        <v>45</v>
      </c>
      <c r="G5" s="29"/>
      <c r="H5" s="29"/>
      <c r="I5" s="30"/>
      <c r="K5" s="1">
        <v>500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7" t="s">
        <v>9</v>
      </c>
      <c r="D6" s="34"/>
      <c r="E6" s="4"/>
      <c r="F6" s="31" t="str">
        <f>A6</f>
        <v>PP6331</v>
      </c>
      <c r="G6" s="32"/>
      <c r="H6" s="37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26094</v>
      </c>
      <c r="C7" s="25"/>
      <c r="D7" s="26"/>
      <c r="E7" s="4"/>
      <c r="F7" s="12" t="s">
        <v>4</v>
      </c>
      <c r="G7" s="25">
        <f>B7</f>
        <v>26094</v>
      </c>
      <c r="H7" s="25"/>
      <c r="I7" s="26"/>
    </row>
    <row r="8" spans="1:12" ht="63.75" customHeight="1" x14ac:dyDescent="0.25">
      <c r="A8" s="27" t="s">
        <v>78</v>
      </c>
      <c r="B8" s="27"/>
      <c r="C8" s="27"/>
      <c r="D8" s="27"/>
      <c r="E8" s="2"/>
      <c r="F8" s="27" t="str">
        <f>A8</f>
        <v>Round DER - Cap (Diamond Logo)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26</v>
      </c>
      <c r="E10" s="4"/>
      <c r="F10" s="11" t="s">
        <v>2</v>
      </c>
      <c r="G10" s="10"/>
      <c r="H10" s="11" t="s">
        <v>5</v>
      </c>
      <c r="I10" s="7" t="str">
        <f>D10</f>
        <v>16A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10</v>
      </c>
      <c r="E11" s="4"/>
      <c r="F11" s="8" t="s">
        <v>3</v>
      </c>
      <c r="G11" s="9">
        <v>32</v>
      </c>
      <c r="H11" s="11" t="s">
        <v>6</v>
      </c>
      <c r="I11" s="7" t="str">
        <f>D11</f>
        <v>DER-C03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45</v>
      </c>
      <c r="B12" s="29"/>
      <c r="C12" s="29"/>
      <c r="D12" s="30"/>
      <c r="E12" s="5"/>
      <c r="F12" s="28" t="s">
        <v>45</v>
      </c>
      <c r="G12" s="29"/>
      <c r="H12" s="29"/>
      <c r="I12" s="30"/>
      <c r="K12" s="1">
        <v>500</v>
      </c>
      <c r="L12" s="1">
        <v>20</v>
      </c>
    </row>
    <row r="13" spans="1:12" s="1" customFormat="1" ht="30" customHeight="1" x14ac:dyDescent="0.25">
      <c r="A13" s="31" t="s">
        <v>54</v>
      </c>
      <c r="B13" s="32"/>
      <c r="C13" s="37" t="s">
        <v>9</v>
      </c>
      <c r="D13" s="34"/>
      <c r="E13" s="4"/>
      <c r="F13" s="31" t="str">
        <f>A13</f>
        <v>PP6331</v>
      </c>
      <c r="G13" s="32"/>
      <c r="H13" s="37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26094</v>
      </c>
      <c r="C14" s="25"/>
      <c r="D14" s="26"/>
      <c r="E14" s="4"/>
      <c r="F14" s="12" t="s">
        <v>4</v>
      </c>
      <c r="G14" s="25">
        <f>B14</f>
        <v>26094</v>
      </c>
      <c r="H14" s="25"/>
      <c r="I14" s="26"/>
    </row>
    <row r="15" spans="1:12" ht="63.75" customHeight="1" x14ac:dyDescent="0.25">
      <c r="A15" s="27" t="s">
        <v>78</v>
      </c>
      <c r="B15" s="27"/>
      <c r="C15" s="27"/>
      <c r="D15" s="27"/>
      <c r="E15" s="2"/>
      <c r="F15" s="27" t="str">
        <f>A15</f>
        <v>Round DER - Cap (Diamond Logo)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26</v>
      </c>
      <c r="E17" s="4"/>
      <c r="F17" s="11" t="s">
        <v>2</v>
      </c>
      <c r="G17" s="10"/>
      <c r="H17" s="11" t="s">
        <v>5</v>
      </c>
      <c r="I17" s="7" t="str">
        <f>D17</f>
        <v>16A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10</v>
      </c>
      <c r="E18" s="4"/>
      <c r="F18" s="8" t="s">
        <v>3</v>
      </c>
      <c r="G18" s="9">
        <v>33</v>
      </c>
      <c r="H18" s="11" t="s">
        <v>6</v>
      </c>
      <c r="I18" s="7" t="str">
        <f>D18</f>
        <v>DER-C03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45</v>
      </c>
      <c r="B19" s="29"/>
      <c r="C19" s="29"/>
      <c r="D19" s="30"/>
      <c r="E19" s="5"/>
      <c r="F19" s="28" t="s">
        <v>45</v>
      </c>
      <c r="G19" s="29"/>
      <c r="H19" s="29"/>
      <c r="I19" s="30"/>
      <c r="K19" s="1">
        <v>500</v>
      </c>
      <c r="L19" s="1">
        <v>20</v>
      </c>
    </row>
    <row r="20" spans="1:12" s="1" customFormat="1" ht="30" customHeight="1" x14ac:dyDescent="0.25">
      <c r="A20" s="31" t="s">
        <v>54</v>
      </c>
      <c r="B20" s="32"/>
      <c r="C20" s="37" t="s">
        <v>9</v>
      </c>
      <c r="D20" s="34"/>
      <c r="E20" s="4"/>
      <c r="F20" s="31" t="str">
        <f>A20</f>
        <v>PP6331</v>
      </c>
      <c r="G20" s="32"/>
      <c r="H20" s="37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26094</v>
      </c>
      <c r="C21" s="25"/>
      <c r="D21" s="26"/>
      <c r="E21" s="4"/>
      <c r="F21" s="12" t="s">
        <v>4</v>
      </c>
      <c r="G21" s="25">
        <f>B21</f>
        <v>26094</v>
      </c>
      <c r="H21" s="25"/>
      <c r="I21" s="26"/>
    </row>
    <row r="22" spans="1:12" ht="63.75" customHeight="1" x14ac:dyDescent="0.25">
      <c r="A22" s="27" t="s">
        <v>78</v>
      </c>
      <c r="B22" s="27"/>
      <c r="C22" s="27"/>
      <c r="D22" s="27"/>
      <c r="E22" s="2"/>
      <c r="F22" s="27" t="str">
        <f>A22</f>
        <v>Round DER - Cap (Diamond Logo)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26</v>
      </c>
      <c r="E24" s="4"/>
      <c r="F24" s="11" t="s">
        <v>2</v>
      </c>
      <c r="G24" s="10"/>
      <c r="H24" s="11" t="s">
        <v>5</v>
      </c>
      <c r="I24" s="7" t="str">
        <f>D24</f>
        <v>16A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10</v>
      </c>
      <c r="E25" s="4"/>
      <c r="F25" s="8" t="s">
        <v>3</v>
      </c>
      <c r="G25" s="9">
        <v>34</v>
      </c>
      <c r="H25" s="11" t="s">
        <v>6</v>
      </c>
      <c r="I25" s="7" t="str">
        <f>D25</f>
        <v>DER-C03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45</v>
      </c>
      <c r="B26" s="29"/>
      <c r="C26" s="29"/>
      <c r="D26" s="30"/>
      <c r="E26" s="5"/>
      <c r="F26" s="28" t="s">
        <v>45</v>
      </c>
      <c r="G26" s="29"/>
      <c r="H26" s="29"/>
      <c r="I26" s="30"/>
      <c r="K26" s="1">
        <v>500</v>
      </c>
      <c r="L26" s="1">
        <v>20</v>
      </c>
    </row>
    <row r="27" spans="1:12" s="1" customFormat="1" ht="30" customHeight="1" x14ac:dyDescent="0.25">
      <c r="A27" s="31" t="s">
        <v>54</v>
      </c>
      <c r="B27" s="32"/>
      <c r="C27" s="37" t="s">
        <v>9</v>
      </c>
      <c r="D27" s="34"/>
      <c r="E27" s="4"/>
      <c r="F27" s="31" t="str">
        <f>A27</f>
        <v>PP6331</v>
      </c>
      <c r="G27" s="32"/>
      <c r="H27" s="37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26094</v>
      </c>
      <c r="C28" s="25"/>
      <c r="D28" s="26"/>
      <c r="E28" s="4"/>
      <c r="F28" s="12" t="s">
        <v>4</v>
      </c>
      <c r="G28" s="25">
        <f>B28</f>
        <v>26094</v>
      </c>
      <c r="H28" s="25"/>
      <c r="I28" s="26"/>
    </row>
    <row r="29" spans="1:12" ht="63.75" customHeight="1" x14ac:dyDescent="0.25">
      <c r="A29" s="27" t="s">
        <v>78</v>
      </c>
      <c r="B29" s="27"/>
      <c r="C29" s="27"/>
      <c r="D29" s="27"/>
      <c r="E29" s="2"/>
      <c r="F29" s="27" t="str">
        <f>A29</f>
        <v>Round DER - Cap (Diamond Logo)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26</v>
      </c>
      <c r="E31" s="4"/>
      <c r="F31" s="11" t="s">
        <v>2</v>
      </c>
      <c r="G31" s="10"/>
      <c r="H31" s="11" t="s">
        <v>5</v>
      </c>
      <c r="I31" s="7" t="str">
        <f>D31</f>
        <v>16A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10</v>
      </c>
      <c r="E32" s="4"/>
      <c r="F32" s="8" t="s">
        <v>3</v>
      </c>
      <c r="G32" s="9">
        <v>35</v>
      </c>
      <c r="H32" s="11" t="s">
        <v>6</v>
      </c>
      <c r="I32" s="7" t="str">
        <f>D32</f>
        <v>DER-C03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45</v>
      </c>
      <c r="B33" s="29"/>
      <c r="C33" s="29"/>
      <c r="D33" s="30"/>
      <c r="E33" s="5"/>
      <c r="F33" s="28" t="s">
        <v>45</v>
      </c>
      <c r="G33" s="29"/>
      <c r="H33" s="29"/>
      <c r="I33" s="30"/>
      <c r="K33" s="1">
        <v>500</v>
      </c>
      <c r="L33" s="1">
        <v>20</v>
      </c>
    </row>
    <row r="34" spans="1:12" s="1" customFormat="1" ht="30" customHeight="1" x14ac:dyDescent="0.25">
      <c r="A34" s="31" t="s">
        <v>54</v>
      </c>
      <c r="B34" s="32"/>
      <c r="C34" s="37" t="s">
        <v>9</v>
      </c>
      <c r="D34" s="34"/>
      <c r="E34" s="4"/>
      <c r="F34" s="31" t="str">
        <f>A34</f>
        <v>PP6331</v>
      </c>
      <c r="G34" s="32"/>
      <c r="H34" s="37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>
        <v>26094</v>
      </c>
      <c r="C35" s="25"/>
      <c r="D35" s="26"/>
      <c r="E35" s="4"/>
      <c r="F35" s="12" t="s">
        <v>4</v>
      </c>
      <c r="G35" s="25">
        <f>B35</f>
        <v>26094</v>
      </c>
      <c r="H35" s="25"/>
      <c r="I35" s="26"/>
    </row>
    <row r="36" spans="1:12" ht="63.75" customHeight="1" x14ac:dyDescent="0.25">
      <c r="A36" s="27" t="s">
        <v>78</v>
      </c>
      <c r="B36" s="27"/>
      <c r="C36" s="27"/>
      <c r="D36" s="27"/>
      <c r="E36" s="2"/>
      <c r="F36" s="27" t="str">
        <f>A36</f>
        <v>Round DER - Cap (Diamond Logo)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26</v>
      </c>
      <c r="E38" s="4"/>
      <c r="F38" s="11" t="s">
        <v>2</v>
      </c>
      <c r="G38" s="10"/>
      <c r="H38" s="11" t="s">
        <v>5</v>
      </c>
      <c r="I38" s="7" t="str">
        <f>D38</f>
        <v>16A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10</v>
      </c>
      <c r="E39" s="4"/>
      <c r="F39" s="8" t="s">
        <v>3</v>
      </c>
      <c r="G39" s="9">
        <v>36</v>
      </c>
      <c r="H39" s="11" t="s">
        <v>6</v>
      </c>
      <c r="I39" s="7" t="str">
        <f>D39</f>
        <v>DER-C03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45</v>
      </c>
      <c r="B40" s="29"/>
      <c r="C40" s="29"/>
      <c r="D40" s="30"/>
      <c r="E40" s="5"/>
      <c r="F40" s="28" t="s">
        <v>45</v>
      </c>
      <c r="G40" s="29"/>
      <c r="H40" s="29"/>
      <c r="I40" s="30"/>
      <c r="K40" s="1">
        <v>500</v>
      </c>
      <c r="L40" s="1">
        <v>20</v>
      </c>
    </row>
    <row r="41" spans="1:12" s="1" customFormat="1" ht="30" customHeight="1" x14ac:dyDescent="0.25">
      <c r="A41" s="31" t="s">
        <v>54</v>
      </c>
      <c r="B41" s="32"/>
      <c r="C41" s="37" t="s">
        <v>9</v>
      </c>
      <c r="D41" s="34"/>
      <c r="E41" s="4"/>
      <c r="F41" s="31" t="str">
        <f>A41</f>
        <v>PP6331</v>
      </c>
      <c r="G41" s="32"/>
      <c r="H41" s="37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>
        <v>26094</v>
      </c>
      <c r="C42" s="25"/>
      <c r="D42" s="26"/>
      <c r="E42" s="4"/>
      <c r="F42" s="12" t="s">
        <v>4</v>
      </c>
      <c r="G42" s="25">
        <f>B42</f>
        <v>26094</v>
      </c>
      <c r="H42" s="25"/>
      <c r="I42" s="26"/>
    </row>
    <row r="43" spans="1:12" ht="63.75" customHeight="1" x14ac:dyDescent="0.25">
      <c r="A43" s="27" t="s">
        <v>78</v>
      </c>
      <c r="B43" s="27"/>
      <c r="C43" s="27"/>
      <c r="D43" s="27"/>
      <c r="E43" s="2"/>
      <c r="F43" s="27" t="str">
        <f>A43</f>
        <v>Round DER - Cap (Diamond Logo)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26</v>
      </c>
      <c r="E45" s="4"/>
      <c r="F45" s="11" t="s">
        <v>2</v>
      </c>
      <c r="G45" s="10"/>
      <c r="H45" s="11" t="s">
        <v>5</v>
      </c>
      <c r="I45" s="7" t="str">
        <f>D45</f>
        <v>16A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10</v>
      </c>
      <c r="E46" s="4"/>
      <c r="F46" s="8" t="s">
        <v>3</v>
      </c>
      <c r="G46" s="9">
        <v>37</v>
      </c>
      <c r="H46" s="11" t="s">
        <v>6</v>
      </c>
      <c r="I46" s="7" t="str">
        <f>D46</f>
        <v>DER-C03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45</v>
      </c>
      <c r="B47" s="29"/>
      <c r="C47" s="29"/>
      <c r="D47" s="30"/>
      <c r="E47" s="5"/>
      <c r="F47" s="28" t="s">
        <v>45</v>
      </c>
      <c r="G47" s="29"/>
      <c r="H47" s="29"/>
      <c r="I47" s="30"/>
      <c r="K47" s="1">
        <v>500</v>
      </c>
      <c r="L47" s="1">
        <v>20</v>
      </c>
    </row>
    <row r="48" spans="1:12" s="1" customFormat="1" ht="30" customHeight="1" x14ac:dyDescent="0.25">
      <c r="A48" s="31" t="s">
        <v>54</v>
      </c>
      <c r="B48" s="32"/>
      <c r="C48" s="37" t="s">
        <v>9</v>
      </c>
      <c r="D48" s="34"/>
      <c r="E48" s="4"/>
      <c r="F48" s="31" t="str">
        <f>A48</f>
        <v>PP6331</v>
      </c>
      <c r="G48" s="32"/>
      <c r="H48" s="37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>
        <v>26094</v>
      </c>
      <c r="C49" s="25"/>
      <c r="D49" s="26"/>
      <c r="E49" s="4"/>
      <c r="F49" s="12" t="s">
        <v>4</v>
      </c>
      <c r="G49" s="25">
        <f>B49</f>
        <v>26094</v>
      </c>
      <c r="H49" s="25"/>
      <c r="I49" s="26"/>
    </row>
    <row r="50" spans="1:12" ht="63.75" customHeight="1" x14ac:dyDescent="0.25">
      <c r="A50" s="27" t="s">
        <v>78</v>
      </c>
      <c r="B50" s="27"/>
      <c r="C50" s="27"/>
      <c r="D50" s="27"/>
      <c r="E50" s="2"/>
      <c r="F50" s="27" t="str">
        <f>A50</f>
        <v>Round DER - Cap (Diamond Logo)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26</v>
      </c>
      <c r="E52" s="4"/>
      <c r="F52" s="11" t="s">
        <v>2</v>
      </c>
      <c r="G52" s="10"/>
      <c r="H52" s="11" t="s">
        <v>5</v>
      </c>
      <c r="I52" s="7" t="str">
        <f>D52</f>
        <v>16A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10</v>
      </c>
      <c r="E53" s="4"/>
      <c r="F53" s="8" t="s">
        <v>3</v>
      </c>
      <c r="G53" s="9">
        <v>38</v>
      </c>
      <c r="H53" s="11" t="s">
        <v>6</v>
      </c>
      <c r="I53" s="7" t="str">
        <f>D53</f>
        <v>DER-C03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45</v>
      </c>
      <c r="B54" s="29"/>
      <c r="C54" s="29"/>
      <c r="D54" s="30"/>
      <c r="E54" s="5"/>
      <c r="F54" s="28" t="s">
        <v>45</v>
      </c>
      <c r="G54" s="29"/>
      <c r="H54" s="29"/>
      <c r="I54" s="30"/>
      <c r="K54" s="1">
        <v>500</v>
      </c>
      <c r="L54" s="1">
        <v>20</v>
      </c>
    </row>
    <row r="55" spans="1:12" s="1" customFormat="1" ht="30" customHeight="1" x14ac:dyDescent="0.25">
      <c r="A55" s="31" t="s">
        <v>54</v>
      </c>
      <c r="B55" s="32"/>
      <c r="C55" s="37" t="s">
        <v>9</v>
      </c>
      <c r="D55" s="34"/>
      <c r="E55" s="4"/>
      <c r="F55" s="31" t="str">
        <f>A55</f>
        <v>PP6331</v>
      </c>
      <c r="G55" s="32"/>
      <c r="H55" s="37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>
        <v>26094</v>
      </c>
      <c r="C56" s="25"/>
      <c r="D56" s="26"/>
      <c r="E56" s="4"/>
      <c r="F56" s="12" t="s">
        <v>4</v>
      </c>
      <c r="G56" s="25">
        <f>B56</f>
        <v>26094</v>
      </c>
      <c r="H56" s="25"/>
      <c r="I56" s="26"/>
    </row>
    <row r="57" spans="1:12" ht="63.75" customHeight="1" x14ac:dyDescent="0.25">
      <c r="A57" s="27" t="s">
        <v>78</v>
      </c>
      <c r="B57" s="27"/>
      <c r="C57" s="27"/>
      <c r="D57" s="27"/>
      <c r="E57" s="2"/>
      <c r="F57" s="27" t="str">
        <f>A57</f>
        <v>Round DER - Cap (Diamond Logo)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26</v>
      </c>
      <c r="E59" s="4"/>
      <c r="F59" s="11" t="s">
        <v>2</v>
      </c>
      <c r="G59" s="10"/>
      <c r="H59" s="11" t="s">
        <v>5</v>
      </c>
      <c r="I59" s="7" t="str">
        <f>D59</f>
        <v>16A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10</v>
      </c>
      <c r="E60" s="4"/>
      <c r="F60" s="8" t="s">
        <v>3</v>
      </c>
      <c r="G60" s="9">
        <v>39</v>
      </c>
      <c r="H60" s="11" t="s">
        <v>6</v>
      </c>
      <c r="I60" s="7" t="str">
        <f>D60</f>
        <v>DER-C03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45</v>
      </c>
      <c r="B61" s="29"/>
      <c r="C61" s="29"/>
      <c r="D61" s="30"/>
      <c r="E61" s="5"/>
      <c r="F61" s="28" t="s">
        <v>45</v>
      </c>
      <c r="G61" s="29"/>
      <c r="H61" s="29"/>
      <c r="I61" s="30"/>
      <c r="K61" s="1">
        <v>500</v>
      </c>
      <c r="L61" s="1">
        <v>20</v>
      </c>
    </row>
    <row r="62" spans="1:12" s="1" customFormat="1" ht="30" customHeight="1" x14ac:dyDescent="0.25">
      <c r="A62" s="31" t="s">
        <v>54</v>
      </c>
      <c r="B62" s="32"/>
      <c r="C62" s="37" t="s">
        <v>9</v>
      </c>
      <c r="D62" s="34"/>
      <c r="E62" s="4"/>
      <c r="F62" s="31" t="str">
        <f>A62</f>
        <v>PP6331</v>
      </c>
      <c r="G62" s="32"/>
      <c r="H62" s="37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>
        <v>26094</v>
      </c>
      <c r="C63" s="25"/>
      <c r="D63" s="26"/>
      <c r="E63" s="4"/>
      <c r="F63" s="12" t="s">
        <v>4</v>
      </c>
      <c r="G63" s="25">
        <f>B63</f>
        <v>26094</v>
      </c>
      <c r="H63" s="25"/>
      <c r="I63" s="26"/>
    </row>
    <row r="64" spans="1:12" ht="63.75" customHeight="1" x14ac:dyDescent="0.25">
      <c r="A64" s="27" t="s">
        <v>78</v>
      </c>
      <c r="B64" s="27"/>
      <c r="C64" s="27"/>
      <c r="D64" s="27"/>
      <c r="E64" s="2"/>
      <c r="F64" s="27" t="str">
        <f>A64</f>
        <v>Round DER - Cap (Diamond Logo)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26</v>
      </c>
      <c r="E66" s="4"/>
      <c r="F66" s="11" t="s">
        <v>2</v>
      </c>
      <c r="G66" s="10"/>
      <c r="H66" s="11" t="s">
        <v>5</v>
      </c>
      <c r="I66" s="7" t="str">
        <f>D66</f>
        <v>16A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10</v>
      </c>
      <c r="E67" s="4"/>
      <c r="F67" s="8" t="s">
        <v>3</v>
      </c>
      <c r="G67" s="9">
        <v>40</v>
      </c>
      <c r="H67" s="11" t="s">
        <v>6</v>
      </c>
      <c r="I67" s="7" t="str">
        <f>D67</f>
        <v>DER-C03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45</v>
      </c>
      <c r="B68" s="29"/>
      <c r="C68" s="29"/>
      <c r="D68" s="30"/>
      <c r="E68" s="5"/>
      <c r="F68" s="28" t="s">
        <v>45</v>
      </c>
      <c r="G68" s="29"/>
      <c r="H68" s="29"/>
      <c r="I68" s="30"/>
      <c r="K68" s="1">
        <v>500</v>
      </c>
      <c r="L68" s="1">
        <v>20</v>
      </c>
    </row>
    <row r="69" spans="1:12" s="1" customFormat="1" ht="30" customHeight="1" x14ac:dyDescent="0.25">
      <c r="A69" s="31" t="s">
        <v>54</v>
      </c>
      <c r="B69" s="32"/>
      <c r="C69" s="37" t="s">
        <v>9</v>
      </c>
      <c r="D69" s="34"/>
      <c r="E69" s="4"/>
      <c r="F69" s="31" t="str">
        <f>A69</f>
        <v>PP6331</v>
      </c>
      <c r="G69" s="32"/>
      <c r="H69" s="37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5">
        <v>26094</v>
      </c>
      <c r="C70" s="25"/>
      <c r="D70" s="26"/>
      <c r="E70" s="4"/>
      <c r="F70" s="12" t="s">
        <v>4</v>
      </c>
      <c r="G70" s="25">
        <f>B70</f>
        <v>26094</v>
      </c>
      <c r="H70" s="25"/>
      <c r="I70" s="26"/>
    </row>
    <row r="71" spans="1:12" ht="63.75" customHeight="1" x14ac:dyDescent="0.25">
      <c r="A71" s="27" t="s">
        <v>78</v>
      </c>
      <c r="B71" s="27"/>
      <c r="C71" s="27"/>
      <c r="D71" s="27"/>
      <c r="E71" s="2"/>
      <c r="F71" s="27" t="str">
        <f>A71</f>
        <v>Round DER - Cap (Diamond Logo)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26</v>
      </c>
      <c r="E73" s="4"/>
      <c r="F73" s="11" t="s">
        <v>2</v>
      </c>
      <c r="G73" s="10"/>
      <c r="H73" s="11" t="s">
        <v>5</v>
      </c>
      <c r="I73" s="7" t="str">
        <f>D73</f>
        <v>16A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10</v>
      </c>
      <c r="E74" s="4"/>
      <c r="F74" s="8" t="s">
        <v>3</v>
      </c>
      <c r="G74" s="9">
        <v>41</v>
      </c>
      <c r="H74" s="11" t="s">
        <v>6</v>
      </c>
      <c r="I74" s="7" t="str">
        <f>D74</f>
        <v>DER-C03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45</v>
      </c>
      <c r="B75" s="29"/>
      <c r="C75" s="29"/>
      <c r="D75" s="30"/>
      <c r="E75" s="5"/>
      <c r="F75" s="28" t="s">
        <v>45</v>
      </c>
      <c r="G75" s="29"/>
      <c r="H75" s="29"/>
      <c r="I75" s="30"/>
      <c r="K75" s="1">
        <v>500</v>
      </c>
      <c r="L75" s="1">
        <v>20</v>
      </c>
    </row>
    <row r="76" spans="1:12" s="1" customFormat="1" ht="30" customHeight="1" x14ac:dyDescent="0.25">
      <c r="A76" s="31" t="s">
        <v>54</v>
      </c>
      <c r="B76" s="32"/>
      <c r="C76" s="37" t="s">
        <v>9</v>
      </c>
      <c r="D76" s="34"/>
      <c r="E76" s="4"/>
      <c r="F76" s="31" t="str">
        <f>A76</f>
        <v>PP6331</v>
      </c>
      <c r="G76" s="32"/>
      <c r="H76" s="37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5">
        <v>26094</v>
      </c>
      <c r="C77" s="25"/>
      <c r="D77" s="26"/>
      <c r="E77" s="4"/>
      <c r="F77" s="12" t="s">
        <v>4</v>
      </c>
      <c r="G77" s="25">
        <f>B77</f>
        <v>26094</v>
      </c>
      <c r="H77" s="25"/>
      <c r="I77" s="26"/>
    </row>
    <row r="78" spans="1:12" ht="63.75" customHeight="1" x14ac:dyDescent="0.25">
      <c r="A78" s="27" t="s">
        <v>78</v>
      </c>
      <c r="B78" s="27"/>
      <c r="C78" s="27"/>
      <c r="D78" s="27"/>
      <c r="E78" s="2"/>
      <c r="F78" s="27" t="str">
        <f>A78</f>
        <v>Round DER - Cap (Diamond Logo)</v>
      </c>
      <c r="G78" s="27"/>
      <c r="H78" s="27"/>
      <c r="I78" s="2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26</v>
      </c>
      <c r="E80" s="4"/>
      <c r="F80" s="11" t="s">
        <v>2</v>
      </c>
      <c r="G80" s="10"/>
      <c r="H80" s="11" t="s">
        <v>5</v>
      </c>
      <c r="I80" s="7" t="str">
        <f>D80</f>
        <v>16A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10</v>
      </c>
      <c r="E81" s="4"/>
      <c r="F81" s="8" t="s">
        <v>3</v>
      </c>
      <c r="G81" s="9">
        <v>42</v>
      </c>
      <c r="H81" s="11" t="s">
        <v>6</v>
      </c>
      <c r="I81" s="7" t="str">
        <f>D81</f>
        <v>DER-C03</v>
      </c>
      <c r="K81" s="6" t="s">
        <v>8</v>
      </c>
      <c r="L81" s="6" t="s">
        <v>7</v>
      </c>
    </row>
    <row r="82" spans="1:12" s="1" customFormat="1" ht="30" customHeight="1" x14ac:dyDescent="0.25">
      <c r="A82" s="28" t="s">
        <v>45</v>
      </c>
      <c r="B82" s="29"/>
      <c r="C82" s="29"/>
      <c r="D82" s="30"/>
      <c r="E82" s="5"/>
      <c r="F82" s="28" t="s">
        <v>45</v>
      </c>
      <c r="G82" s="29"/>
      <c r="H82" s="29"/>
      <c r="I82" s="30"/>
      <c r="K82" s="1">
        <v>500</v>
      </c>
      <c r="L82" s="1">
        <v>20</v>
      </c>
    </row>
    <row r="83" spans="1:12" s="1" customFormat="1" ht="30" customHeight="1" x14ac:dyDescent="0.25">
      <c r="A83" s="31" t="s">
        <v>54</v>
      </c>
      <c r="B83" s="32"/>
      <c r="C83" s="37" t="s">
        <v>9</v>
      </c>
      <c r="D83" s="34"/>
      <c r="E83" s="4"/>
      <c r="F83" s="31" t="str">
        <f>A83</f>
        <v>PP6331</v>
      </c>
      <c r="G83" s="32"/>
      <c r="H83" s="37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5">
        <v>26094</v>
      </c>
      <c r="C84" s="25"/>
      <c r="D84" s="26"/>
      <c r="E84" s="4"/>
      <c r="F84" s="12" t="s">
        <v>4</v>
      </c>
      <c r="G84" s="25">
        <f>B84</f>
        <v>26094</v>
      </c>
      <c r="H84" s="25"/>
      <c r="I84" s="26"/>
    </row>
    <row r="85" spans="1:12" ht="63.75" customHeight="1" x14ac:dyDescent="0.25">
      <c r="A85" s="27" t="s">
        <v>78</v>
      </c>
      <c r="B85" s="27"/>
      <c r="C85" s="27"/>
      <c r="D85" s="27"/>
      <c r="E85" s="2"/>
      <c r="F85" s="27" t="str">
        <f>A85</f>
        <v>Round DER - Cap (Diamond Logo)</v>
      </c>
      <c r="G85" s="27"/>
      <c r="H85" s="27"/>
      <c r="I85" s="27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26</v>
      </c>
      <c r="E87" s="4"/>
      <c r="F87" s="11" t="s">
        <v>2</v>
      </c>
      <c r="G87" s="10"/>
      <c r="H87" s="11" t="s">
        <v>5</v>
      </c>
      <c r="I87" s="7" t="str">
        <f>D87</f>
        <v>16A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10</v>
      </c>
      <c r="E88" s="4"/>
      <c r="F88" s="8" t="s">
        <v>3</v>
      </c>
      <c r="G88" s="9">
        <v>43</v>
      </c>
      <c r="H88" s="11" t="s">
        <v>6</v>
      </c>
      <c r="I88" s="7" t="str">
        <f>D88</f>
        <v>DER-C03</v>
      </c>
      <c r="K88" s="6" t="s">
        <v>8</v>
      </c>
      <c r="L88" s="6" t="s">
        <v>7</v>
      </c>
    </row>
    <row r="89" spans="1:12" s="1" customFormat="1" ht="30" customHeight="1" x14ac:dyDescent="0.25">
      <c r="A89" s="28" t="s">
        <v>45</v>
      </c>
      <c r="B89" s="29"/>
      <c r="C89" s="29"/>
      <c r="D89" s="30"/>
      <c r="E89" s="5"/>
      <c r="F89" s="28" t="s">
        <v>45</v>
      </c>
      <c r="G89" s="29"/>
      <c r="H89" s="29"/>
      <c r="I89" s="30"/>
      <c r="K89" s="1">
        <v>500</v>
      </c>
      <c r="L89" s="1">
        <v>20</v>
      </c>
    </row>
    <row r="90" spans="1:12" s="1" customFormat="1" ht="30" customHeight="1" x14ac:dyDescent="0.25">
      <c r="A90" s="31" t="s">
        <v>54</v>
      </c>
      <c r="B90" s="32"/>
      <c r="C90" s="37" t="s">
        <v>9</v>
      </c>
      <c r="D90" s="34"/>
      <c r="E90" s="4"/>
      <c r="F90" s="31" t="str">
        <f>A90</f>
        <v>PP6331</v>
      </c>
      <c r="G90" s="32"/>
      <c r="H90" s="37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5">
        <v>26094</v>
      </c>
      <c r="C91" s="25"/>
      <c r="D91" s="26"/>
      <c r="E91" s="4"/>
      <c r="F91" s="12" t="s">
        <v>4</v>
      </c>
      <c r="G91" s="25">
        <f>B91</f>
        <v>26094</v>
      </c>
      <c r="H91" s="25"/>
      <c r="I91" s="26"/>
    </row>
    <row r="92" spans="1:12" ht="63.75" customHeight="1" x14ac:dyDescent="0.25">
      <c r="A92" s="27" t="s">
        <v>78</v>
      </c>
      <c r="B92" s="27"/>
      <c r="C92" s="27"/>
      <c r="D92" s="27"/>
      <c r="E92" s="2"/>
      <c r="F92" s="27" t="str">
        <f>A92</f>
        <v>Round DER - Cap (Diamond Logo)</v>
      </c>
      <c r="G92" s="27"/>
      <c r="H92" s="27"/>
      <c r="I92" s="27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26</v>
      </c>
      <c r="E94" s="4"/>
      <c r="F94" s="11" t="s">
        <v>2</v>
      </c>
      <c r="G94" s="10"/>
      <c r="H94" s="11" t="s">
        <v>5</v>
      </c>
      <c r="I94" s="7" t="str">
        <f>D94</f>
        <v>16A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10</v>
      </c>
      <c r="E95" s="4"/>
      <c r="F95" s="8" t="s">
        <v>3</v>
      </c>
      <c r="G95" s="9">
        <v>44</v>
      </c>
      <c r="H95" s="11" t="s">
        <v>6</v>
      </c>
      <c r="I95" s="7" t="str">
        <f>D95</f>
        <v>DER-C03</v>
      </c>
      <c r="K95" s="6" t="s">
        <v>8</v>
      </c>
      <c r="L95" s="6" t="s">
        <v>7</v>
      </c>
    </row>
    <row r="96" spans="1:12" s="1" customFormat="1" ht="30" customHeight="1" x14ac:dyDescent="0.25">
      <c r="A96" s="28" t="s">
        <v>45</v>
      </c>
      <c r="B96" s="29"/>
      <c r="C96" s="29"/>
      <c r="D96" s="30"/>
      <c r="E96" s="5"/>
      <c r="F96" s="28" t="s">
        <v>45</v>
      </c>
      <c r="G96" s="29"/>
      <c r="H96" s="29"/>
      <c r="I96" s="30"/>
      <c r="K96" s="1">
        <v>500</v>
      </c>
      <c r="L96" s="1">
        <v>20</v>
      </c>
    </row>
    <row r="97" spans="1:12" s="1" customFormat="1" ht="30" customHeight="1" x14ac:dyDescent="0.25">
      <c r="A97" s="31" t="s">
        <v>54</v>
      </c>
      <c r="B97" s="32"/>
      <c r="C97" s="37" t="s">
        <v>9</v>
      </c>
      <c r="D97" s="34"/>
      <c r="E97" s="4"/>
      <c r="F97" s="31" t="str">
        <f>A97</f>
        <v>PP6331</v>
      </c>
      <c r="G97" s="32"/>
      <c r="H97" s="37" t="str">
        <f>C97</f>
        <v>White</v>
      </c>
      <c r="I97" s="34"/>
    </row>
    <row r="98" spans="1:12" s="1" customFormat="1" ht="30" customHeight="1" x14ac:dyDescent="0.25">
      <c r="A98" s="12" t="s">
        <v>4</v>
      </c>
      <c r="B98" s="25">
        <v>26094</v>
      </c>
      <c r="C98" s="25"/>
      <c r="D98" s="26"/>
      <c r="E98" s="4"/>
      <c r="F98" s="12" t="s">
        <v>4</v>
      </c>
      <c r="G98" s="25">
        <f>B98</f>
        <v>26094</v>
      </c>
      <c r="H98" s="25"/>
      <c r="I98" s="26"/>
    </row>
    <row r="99" spans="1:12" ht="63.75" customHeight="1" x14ac:dyDescent="0.25">
      <c r="A99" s="27" t="s">
        <v>78</v>
      </c>
      <c r="B99" s="27"/>
      <c r="C99" s="27"/>
      <c r="D99" s="27"/>
      <c r="E99" s="2"/>
      <c r="F99" s="27" t="str">
        <f>A99</f>
        <v>Round DER - Cap (Diamond Logo)</v>
      </c>
      <c r="G99" s="27"/>
      <c r="H99" s="27"/>
      <c r="I99" s="27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26</v>
      </c>
      <c r="E101" s="4"/>
      <c r="F101" s="11" t="s">
        <v>2</v>
      </c>
      <c r="G101" s="10"/>
      <c r="H101" s="11" t="s">
        <v>5</v>
      </c>
      <c r="I101" s="7" t="str">
        <f>D101</f>
        <v>16A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10</v>
      </c>
      <c r="E102" s="4"/>
      <c r="F102" s="8" t="s">
        <v>3</v>
      </c>
      <c r="G102" s="9">
        <v>45</v>
      </c>
      <c r="H102" s="11" t="s">
        <v>6</v>
      </c>
      <c r="I102" s="7" t="str">
        <f>D102</f>
        <v>DER-C03</v>
      </c>
      <c r="K102" s="6" t="s">
        <v>8</v>
      </c>
      <c r="L102" s="6" t="s">
        <v>7</v>
      </c>
    </row>
    <row r="103" spans="1:12" s="1" customFormat="1" ht="30" customHeight="1" x14ac:dyDescent="0.25">
      <c r="A103" s="28" t="s">
        <v>45</v>
      </c>
      <c r="B103" s="29"/>
      <c r="C103" s="29"/>
      <c r="D103" s="30"/>
      <c r="E103" s="5"/>
      <c r="F103" s="28" t="s">
        <v>45</v>
      </c>
      <c r="G103" s="29"/>
      <c r="H103" s="29"/>
      <c r="I103" s="30"/>
      <c r="K103" s="1">
        <v>500</v>
      </c>
      <c r="L103" s="1">
        <v>20</v>
      </c>
    </row>
    <row r="104" spans="1:12" s="1" customFormat="1" ht="30" customHeight="1" x14ac:dyDescent="0.25">
      <c r="A104" s="31" t="s">
        <v>54</v>
      </c>
      <c r="B104" s="32"/>
      <c r="C104" s="37" t="s">
        <v>9</v>
      </c>
      <c r="D104" s="34"/>
      <c r="E104" s="4"/>
      <c r="F104" s="31" t="str">
        <f>A104</f>
        <v>PP6331</v>
      </c>
      <c r="G104" s="32"/>
      <c r="H104" s="37" t="str">
        <f>C104</f>
        <v>White</v>
      </c>
      <c r="I104" s="34"/>
    </row>
    <row r="105" spans="1:12" s="1" customFormat="1" ht="30" customHeight="1" x14ac:dyDescent="0.25">
      <c r="A105" s="12" t="s">
        <v>4</v>
      </c>
      <c r="B105" s="25">
        <v>26094</v>
      </c>
      <c r="C105" s="25"/>
      <c r="D105" s="26"/>
      <c r="E105" s="4"/>
      <c r="F105" s="12" t="s">
        <v>4</v>
      </c>
      <c r="G105" s="25">
        <f>B105</f>
        <v>26094</v>
      </c>
      <c r="H105" s="25"/>
      <c r="I105" s="26"/>
    </row>
    <row r="106" spans="1:12" ht="63.75" customHeight="1" x14ac:dyDescent="0.25">
      <c r="A106" s="27" t="s">
        <v>78</v>
      </c>
      <c r="B106" s="27"/>
      <c r="C106" s="27"/>
      <c r="D106" s="27"/>
      <c r="E106" s="2"/>
      <c r="F106" s="27" t="str">
        <f>A106</f>
        <v>Round DER - Cap (Diamond Logo)</v>
      </c>
      <c r="G106" s="27"/>
      <c r="H106" s="27"/>
      <c r="I106" s="27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26</v>
      </c>
      <c r="E108" s="4"/>
      <c r="F108" s="11" t="s">
        <v>2</v>
      </c>
      <c r="G108" s="10"/>
      <c r="H108" s="11" t="s">
        <v>5</v>
      </c>
      <c r="I108" s="7" t="str">
        <f>D108</f>
        <v>16A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10</v>
      </c>
      <c r="E109" s="4"/>
      <c r="F109" s="8" t="s">
        <v>3</v>
      </c>
      <c r="G109" s="9">
        <v>46</v>
      </c>
      <c r="H109" s="11" t="s">
        <v>6</v>
      </c>
      <c r="I109" s="7" t="str">
        <f>D109</f>
        <v>DER-C03</v>
      </c>
      <c r="K109" s="6" t="s">
        <v>8</v>
      </c>
      <c r="L109" s="6" t="s">
        <v>7</v>
      </c>
    </row>
    <row r="110" spans="1:12" s="1" customFormat="1" ht="30" customHeight="1" x14ac:dyDescent="0.25">
      <c r="A110" s="28" t="s">
        <v>45</v>
      </c>
      <c r="B110" s="29"/>
      <c r="C110" s="29"/>
      <c r="D110" s="30"/>
      <c r="E110" s="5"/>
      <c r="F110" s="28" t="s">
        <v>45</v>
      </c>
      <c r="G110" s="29"/>
      <c r="H110" s="29"/>
      <c r="I110" s="30"/>
      <c r="K110" s="1">
        <v>500</v>
      </c>
      <c r="L110" s="1">
        <v>20</v>
      </c>
    </row>
    <row r="111" spans="1:12" s="1" customFormat="1" ht="30" customHeight="1" x14ac:dyDescent="0.25">
      <c r="A111" s="31" t="s">
        <v>54</v>
      </c>
      <c r="B111" s="32"/>
      <c r="C111" s="37" t="s">
        <v>9</v>
      </c>
      <c r="D111" s="34"/>
      <c r="E111" s="4"/>
      <c r="F111" s="31" t="str">
        <f>A111</f>
        <v>PP6331</v>
      </c>
      <c r="G111" s="32"/>
      <c r="H111" s="37" t="str">
        <f>C111</f>
        <v>White</v>
      </c>
      <c r="I111" s="34"/>
    </row>
    <row r="112" spans="1:12" s="1" customFormat="1" ht="30" customHeight="1" x14ac:dyDescent="0.25">
      <c r="A112" s="12" t="s">
        <v>4</v>
      </c>
      <c r="B112" s="25">
        <v>26094</v>
      </c>
      <c r="C112" s="25"/>
      <c r="D112" s="26"/>
      <c r="E112" s="4"/>
      <c r="F112" s="12" t="s">
        <v>4</v>
      </c>
      <c r="G112" s="25">
        <f>B112</f>
        <v>26094</v>
      </c>
      <c r="H112" s="25"/>
      <c r="I112" s="26"/>
    </row>
    <row r="113" spans="1:12" ht="63.75" customHeight="1" x14ac:dyDescent="0.25">
      <c r="A113" s="27" t="s">
        <v>78</v>
      </c>
      <c r="B113" s="27"/>
      <c r="C113" s="27"/>
      <c r="D113" s="27"/>
      <c r="E113" s="2"/>
      <c r="F113" s="27" t="str">
        <f>A113</f>
        <v>Round DER - Cap (Diamond Logo)</v>
      </c>
      <c r="G113" s="27"/>
      <c r="H113" s="27"/>
      <c r="I113" s="27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26</v>
      </c>
      <c r="E115" s="4"/>
      <c r="F115" s="11" t="s">
        <v>2</v>
      </c>
      <c r="G115" s="10"/>
      <c r="H115" s="11" t="s">
        <v>5</v>
      </c>
      <c r="I115" s="7" t="str">
        <f>D115</f>
        <v>16A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10</v>
      </c>
      <c r="E116" s="4"/>
      <c r="F116" s="8" t="s">
        <v>3</v>
      </c>
      <c r="G116" s="9">
        <v>47</v>
      </c>
      <c r="H116" s="11" t="s">
        <v>6</v>
      </c>
      <c r="I116" s="7" t="str">
        <f>D116</f>
        <v>DER-C03</v>
      </c>
      <c r="K116" s="6" t="s">
        <v>8</v>
      </c>
      <c r="L116" s="6" t="s">
        <v>7</v>
      </c>
    </row>
    <row r="117" spans="1:12" s="1" customFormat="1" ht="30" customHeight="1" x14ac:dyDescent="0.25">
      <c r="A117" s="28" t="s">
        <v>45</v>
      </c>
      <c r="B117" s="29"/>
      <c r="C117" s="29"/>
      <c r="D117" s="30"/>
      <c r="E117" s="5"/>
      <c r="F117" s="28" t="s">
        <v>45</v>
      </c>
      <c r="G117" s="29"/>
      <c r="H117" s="29"/>
      <c r="I117" s="30"/>
      <c r="K117" s="1">
        <v>500</v>
      </c>
      <c r="L117" s="1">
        <v>20</v>
      </c>
    </row>
    <row r="118" spans="1:12" s="1" customFormat="1" ht="30" customHeight="1" x14ac:dyDescent="0.25">
      <c r="A118" s="31" t="s">
        <v>54</v>
      </c>
      <c r="B118" s="32"/>
      <c r="C118" s="37" t="s">
        <v>9</v>
      </c>
      <c r="D118" s="34"/>
      <c r="E118" s="4"/>
      <c r="F118" s="31" t="str">
        <f>A118</f>
        <v>PP6331</v>
      </c>
      <c r="G118" s="32"/>
      <c r="H118" s="37" t="str">
        <f>C118</f>
        <v>White</v>
      </c>
      <c r="I118" s="34"/>
    </row>
    <row r="119" spans="1:12" s="1" customFormat="1" ht="30" customHeight="1" x14ac:dyDescent="0.25">
      <c r="A119" s="12" t="s">
        <v>4</v>
      </c>
      <c r="B119" s="25">
        <v>26094</v>
      </c>
      <c r="C119" s="25"/>
      <c r="D119" s="26"/>
      <c r="E119" s="4"/>
      <c r="F119" s="12" t="s">
        <v>4</v>
      </c>
      <c r="G119" s="25">
        <f>B119</f>
        <v>26094</v>
      </c>
      <c r="H119" s="25"/>
      <c r="I119" s="26"/>
    </row>
    <row r="120" spans="1:12" ht="63.75" customHeight="1" x14ac:dyDescent="0.25">
      <c r="A120" s="27" t="s">
        <v>78</v>
      </c>
      <c r="B120" s="27"/>
      <c r="C120" s="27"/>
      <c r="D120" s="27"/>
      <c r="E120" s="2"/>
      <c r="F120" s="27" t="str">
        <f>A120</f>
        <v>Round DER - Cap (Diamond Logo)</v>
      </c>
      <c r="G120" s="27"/>
      <c r="H120" s="27"/>
      <c r="I120" s="27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26</v>
      </c>
      <c r="E122" s="4"/>
      <c r="F122" s="11" t="s">
        <v>2</v>
      </c>
      <c r="G122" s="10"/>
      <c r="H122" s="11" t="s">
        <v>5</v>
      </c>
      <c r="I122" s="7" t="str">
        <f>D122</f>
        <v>16A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10</v>
      </c>
      <c r="E123" s="4"/>
      <c r="F123" s="8" t="s">
        <v>3</v>
      </c>
      <c r="G123" s="9">
        <v>48</v>
      </c>
      <c r="H123" s="11" t="s">
        <v>6</v>
      </c>
      <c r="I123" s="7" t="str">
        <f>D123</f>
        <v>DER-C03</v>
      </c>
      <c r="K123" s="6" t="s">
        <v>8</v>
      </c>
      <c r="L123" s="6" t="s">
        <v>7</v>
      </c>
    </row>
    <row r="124" spans="1:12" s="1" customFormat="1" ht="30" customHeight="1" x14ac:dyDescent="0.25">
      <c r="A124" s="28" t="s">
        <v>45</v>
      </c>
      <c r="B124" s="29"/>
      <c r="C124" s="29"/>
      <c r="D124" s="30"/>
      <c r="E124" s="5"/>
      <c r="F124" s="28" t="s">
        <v>45</v>
      </c>
      <c r="G124" s="29"/>
      <c r="H124" s="29"/>
      <c r="I124" s="30"/>
      <c r="K124" s="1">
        <v>500</v>
      </c>
      <c r="L124" s="1">
        <v>20</v>
      </c>
    </row>
    <row r="125" spans="1:12" s="1" customFormat="1" ht="30" customHeight="1" x14ac:dyDescent="0.25">
      <c r="A125" s="31" t="s">
        <v>54</v>
      </c>
      <c r="B125" s="32"/>
      <c r="C125" s="37" t="s">
        <v>9</v>
      </c>
      <c r="D125" s="34"/>
      <c r="E125" s="4"/>
      <c r="F125" s="31" t="str">
        <f>A125</f>
        <v>PP6331</v>
      </c>
      <c r="G125" s="32"/>
      <c r="H125" s="37" t="str">
        <f>C125</f>
        <v>White</v>
      </c>
      <c r="I125" s="34"/>
    </row>
    <row r="126" spans="1:12" s="1" customFormat="1" ht="30" customHeight="1" x14ac:dyDescent="0.25">
      <c r="A126" s="12" t="s">
        <v>4</v>
      </c>
      <c r="B126" s="25">
        <v>26094</v>
      </c>
      <c r="C126" s="25"/>
      <c r="D126" s="26"/>
      <c r="E126" s="4"/>
      <c r="F126" s="12" t="s">
        <v>4</v>
      </c>
      <c r="G126" s="25">
        <f>B126</f>
        <v>26094</v>
      </c>
      <c r="H126" s="25"/>
      <c r="I126" s="26"/>
    </row>
    <row r="127" spans="1:12" ht="63.75" customHeight="1" x14ac:dyDescent="0.25">
      <c r="A127" s="27" t="s">
        <v>78</v>
      </c>
      <c r="B127" s="27"/>
      <c r="C127" s="27"/>
      <c r="D127" s="27"/>
      <c r="E127" s="2"/>
      <c r="F127" s="27" t="str">
        <f>A127</f>
        <v>Round DER - Cap (Diamond Logo)</v>
      </c>
      <c r="G127" s="27"/>
      <c r="H127" s="27"/>
      <c r="I127" s="27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26</v>
      </c>
      <c r="E129" s="4"/>
      <c r="F129" s="11" t="s">
        <v>2</v>
      </c>
      <c r="G129" s="10"/>
      <c r="H129" s="11" t="s">
        <v>5</v>
      </c>
      <c r="I129" s="7" t="str">
        <f>D129</f>
        <v>16A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10</v>
      </c>
      <c r="E130" s="4"/>
      <c r="F130" s="8" t="s">
        <v>3</v>
      </c>
      <c r="G130" s="9">
        <v>49</v>
      </c>
      <c r="H130" s="11" t="s">
        <v>6</v>
      </c>
      <c r="I130" s="7" t="str">
        <f>D130</f>
        <v>DER-C03</v>
      </c>
      <c r="K130" s="6" t="s">
        <v>8</v>
      </c>
      <c r="L130" s="6" t="s">
        <v>7</v>
      </c>
    </row>
    <row r="131" spans="1:12" s="1" customFormat="1" ht="30" customHeight="1" x14ac:dyDescent="0.25">
      <c r="A131" s="28" t="s">
        <v>45</v>
      </c>
      <c r="B131" s="29"/>
      <c r="C131" s="29"/>
      <c r="D131" s="30"/>
      <c r="E131" s="5"/>
      <c r="F131" s="28" t="s">
        <v>45</v>
      </c>
      <c r="G131" s="29"/>
      <c r="H131" s="29"/>
      <c r="I131" s="30"/>
      <c r="K131" s="1">
        <v>500</v>
      </c>
      <c r="L131" s="1">
        <v>20</v>
      </c>
    </row>
    <row r="132" spans="1:12" s="1" customFormat="1" ht="30" customHeight="1" x14ac:dyDescent="0.25">
      <c r="A132" s="31" t="s">
        <v>54</v>
      </c>
      <c r="B132" s="32"/>
      <c r="C132" s="37" t="s">
        <v>9</v>
      </c>
      <c r="D132" s="34"/>
      <c r="E132" s="4"/>
      <c r="F132" s="31" t="str">
        <f>A132</f>
        <v>PP6331</v>
      </c>
      <c r="G132" s="32"/>
      <c r="H132" s="37" t="str">
        <f>C132</f>
        <v>White</v>
      </c>
      <c r="I132" s="34"/>
    </row>
    <row r="133" spans="1:12" s="1" customFormat="1" ht="30" customHeight="1" x14ac:dyDescent="0.25">
      <c r="A133" s="12" t="s">
        <v>4</v>
      </c>
      <c r="B133" s="25">
        <v>26094</v>
      </c>
      <c r="C133" s="25"/>
      <c r="D133" s="26"/>
      <c r="E133" s="4"/>
      <c r="F133" s="12" t="s">
        <v>4</v>
      </c>
      <c r="G133" s="25">
        <f>B133</f>
        <v>26094</v>
      </c>
      <c r="H133" s="25"/>
      <c r="I133" s="26"/>
    </row>
    <row r="134" spans="1:12" ht="63.75" customHeight="1" x14ac:dyDescent="0.25">
      <c r="A134" s="27" t="s">
        <v>78</v>
      </c>
      <c r="B134" s="27"/>
      <c r="C134" s="27"/>
      <c r="D134" s="27"/>
      <c r="E134" s="2"/>
      <c r="F134" s="27" t="str">
        <f>A134</f>
        <v>Round DER - Cap (Diamond Logo)</v>
      </c>
      <c r="G134" s="27"/>
      <c r="H134" s="27"/>
      <c r="I134" s="27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26</v>
      </c>
      <c r="E136" s="4"/>
      <c r="F136" s="11" t="s">
        <v>2</v>
      </c>
      <c r="G136" s="10"/>
      <c r="H136" s="11" t="s">
        <v>5</v>
      </c>
      <c r="I136" s="7" t="str">
        <f>D136</f>
        <v>16A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10</v>
      </c>
      <c r="E137" s="4"/>
      <c r="F137" s="8" t="s">
        <v>3</v>
      </c>
      <c r="G137" s="9">
        <v>50</v>
      </c>
      <c r="H137" s="11" t="s">
        <v>6</v>
      </c>
      <c r="I137" s="7" t="str">
        <f>D137</f>
        <v>DER-C03</v>
      </c>
      <c r="K137" s="6" t="s">
        <v>8</v>
      </c>
      <c r="L137" s="6" t="s">
        <v>7</v>
      </c>
    </row>
    <row r="138" spans="1:12" s="1" customFormat="1" ht="30" customHeight="1" x14ac:dyDescent="0.25">
      <c r="A138" s="28" t="s">
        <v>45</v>
      </c>
      <c r="B138" s="29"/>
      <c r="C138" s="29"/>
      <c r="D138" s="30"/>
      <c r="E138" s="5"/>
      <c r="F138" s="28" t="s">
        <v>45</v>
      </c>
      <c r="G138" s="29"/>
      <c r="H138" s="29"/>
      <c r="I138" s="30"/>
      <c r="K138" s="1">
        <v>500</v>
      </c>
      <c r="L138" s="1">
        <v>20</v>
      </c>
    </row>
    <row r="139" spans="1:12" s="1" customFormat="1" ht="30" customHeight="1" x14ac:dyDescent="0.25">
      <c r="A139" s="31" t="s">
        <v>54</v>
      </c>
      <c r="B139" s="32"/>
      <c r="C139" s="37" t="s">
        <v>9</v>
      </c>
      <c r="D139" s="34"/>
      <c r="E139" s="4"/>
      <c r="F139" s="31" t="str">
        <f>A139</f>
        <v>PP6331</v>
      </c>
      <c r="G139" s="32"/>
      <c r="H139" s="37" t="str">
        <f>C139</f>
        <v>White</v>
      </c>
      <c r="I139" s="34"/>
    </row>
    <row r="140" spans="1:12" s="1" customFormat="1" ht="30" customHeight="1" x14ac:dyDescent="0.25">
      <c r="A140" s="12" t="s">
        <v>4</v>
      </c>
      <c r="B140" s="25">
        <v>26094</v>
      </c>
      <c r="C140" s="25"/>
      <c r="D140" s="26"/>
      <c r="E140" s="4"/>
      <c r="F140" s="12" t="s">
        <v>4</v>
      </c>
      <c r="G140" s="25">
        <f>B140</f>
        <v>26094</v>
      </c>
      <c r="H140" s="25"/>
      <c r="I140" s="26"/>
    </row>
    <row r="141" spans="1:12" ht="63.75" customHeight="1" x14ac:dyDescent="0.25">
      <c r="A141" s="27" t="s">
        <v>78</v>
      </c>
      <c r="B141" s="27"/>
      <c r="C141" s="27"/>
      <c r="D141" s="27"/>
      <c r="E141" s="2"/>
      <c r="F141" s="27" t="str">
        <f>A141</f>
        <v>Round DER - Cap (Diamond Logo)</v>
      </c>
      <c r="G141" s="27"/>
      <c r="H141" s="27"/>
      <c r="I141" s="27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26</v>
      </c>
      <c r="E143" s="4"/>
      <c r="F143" s="11" t="s">
        <v>2</v>
      </c>
      <c r="G143" s="10"/>
      <c r="H143" s="11" t="s">
        <v>5</v>
      </c>
      <c r="I143" s="7" t="str">
        <f>D143</f>
        <v>16A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10</v>
      </c>
      <c r="E144" s="4"/>
      <c r="F144" s="8" t="s">
        <v>3</v>
      </c>
      <c r="G144" s="9">
        <v>51</v>
      </c>
      <c r="H144" s="11" t="s">
        <v>6</v>
      </c>
      <c r="I144" s="7" t="str">
        <f>D144</f>
        <v>DER-C03</v>
      </c>
      <c r="K144" s="6" t="s">
        <v>8</v>
      </c>
      <c r="L144" s="6" t="s">
        <v>7</v>
      </c>
    </row>
    <row r="145" spans="1:12" s="1" customFormat="1" ht="30" customHeight="1" x14ac:dyDescent="0.25">
      <c r="A145" s="28" t="s">
        <v>45</v>
      </c>
      <c r="B145" s="29"/>
      <c r="C145" s="29"/>
      <c r="D145" s="30"/>
      <c r="E145" s="5"/>
      <c r="F145" s="28" t="s">
        <v>45</v>
      </c>
      <c r="G145" s="29"/>
      <c r="H145" s="29"/>
      <c r="I145" s="30"/>
      <c r="K145" s="1">
        <v>500</v>
      </c>
      <c r="L145" s="1">
        <v>20</v>
      </c>
    </row>
    <row r="146" spans="1:12" s="1" customFormat="1" ht="30" customHeight="1" x14ac:dyDescent="0.25">
      <c r="A146" s="31" t="s">
        <v>54</v>
      </c>
      <c r="B146" s="32"/>
      <c r="C146" s="37" t="s">
        <v>9</v>
      </c>
      <c r="D146" s="34"/>
      <c r="E146" s="4"/>
      <c r="F146" s="31" t="str">
        <f>A146</f>
        <v>PP6331</v>
      </c>
      <c r="G146" s="32"/>
      <c r="H146" s="37" t="str">
        <f>C146</f>
        <v>White</v>
      </c>
      <c r="I146" s="34"/>
    </row>
    <row r="147" spans="1:12" s="1" customFormat="1" ht="30" customHeight="1" x14ac:dyDescent="0.25">
      <c r="A147" s="12" t="s">
        <v>4</v>
      </c>
      <c r="B147" s="25">
        <v>26094</v>
      </c>
      <c r="C147" s="25"/>
      <c r="D147" s="26"/>
      <c r="E147" s="4"/>
      <c r="F147" s="12" t="s">
        <v>4</v>
      </c>
      <c r="G147" s="25">
        <f>B147</f>
        <v>26094</v>
      </c>
      <c r="H147" s="25"/>
      <c r="I147" s="26"/>
    </row>
    <row r="148" spans="1:12" ht="63.75" customHeight="1" x14ac:dyDescent="0.25">
      <c r="A148" s="27" t="s">
        <v>78</v>
      </c>
      <c r="B148" s="27"/>
      <c r="C148" s="27"/>
      <c r="D148" s="27"/>
      <c r="E148" s="2"/>
      <c r="F148" s="27" t="str">
        <f>A148</f>
        <v>Round DER - Cap (Diamond Logo)</v>
      </c>
      <c r="G148" s="27"/>
      <c r="H148" s="27"/>
      <c r="I148" s="27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26</v>
      </c>
      <c r="E150" s="4"/>
      <c r="F150" s="11" t="s">
        <v>2</v>
      </c>
      <c r="G150" s="10"/>
      <c r="H150" s="11" t="s">
        <v>5</v>
      </c>
      <c r="I150" s="7" t="str">
        <f>D150</f>
        <v>16A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10</v>
      </c>
      <c r="E151" s="4"/>
      <c r="F151" s="8" t="s">
        <v>3</v>
      </c>
      <c r="G151" s="9">
        <v>52</v>
      </c>
      <c r="H151" s="11" t="s">
        <v>6</v>
      </c>
      <c r="I151" s="7" t="str">
        <f>D151</f>
        <v>DER-C03</v>
      </c>
      <c r="K151" s="6" t="s">
        <v>8</v>
      </c>
      <c r="L151" s="6" t="s">
        <v>7</v>
      </c>
    </row>
    <row r="152" spans="1:12" s="1" customFormat="1" ht="30" customHeight="1" x14ac:dyDescent="0.25">
      <c r="A152" s="28" t="s">
        <v>45</v>
      </c>
      <c r="B152" s="29"/>
      <c r="C152" s="29"/>
      <c r="D152" s="30"/>
      <c r="E152" s="5"/>
      <c r="F152" s="28" t="s">
        <v>45</v>
      </c>
      <c r="G152" s="29"/>
      <c r="H152" s="29"/>
      <c r="I152" s="30"/>
      <c r="K152" s="1">
        <v>500</v>
      </c>
      <c r="L152" s="1">
        <v>20</v>
      </c>
    </row>
    <row r="153" spans="1:12" s="1" customFormat="1" ht="30" customHeight="1" x14ac:dyDescent="0.25">
      <c r="A153" s="31" t="s">
        <v>54</v>
      </c>
      <c r="B153" s="32"/>
      <c r="C153" s="37" t="s">
        <v>9</v>
      </c>
      <c r="D153" s="34"/>
      <c r="E153" s="4"/>
      <c r="F153" s="31" t="str">
        <f>A153</f>
        <v>PP6331</v>
      </c>
      <c r="G153" s="32"/>
      <c r="H153" s="37" t="str">
        <f>C153</f>
        <v>White</v>
      </c>
      <c r="I153" s="34"/>
    </row>
    <row r="154" spans="1:12" s="1" customFormat="1" ht="30" customHeight="1" x14ac:dyDescent="0.25">
      <c r="A154" s="12" t="s">
        <v>4</v>
      </c>
      <c r="B154" s="25">
        <v>26094</v>
      </c>
      <c r="C154" s="25"/>
      <c r="D154" s="26"/>
      <c r="E154" s="4"/>
      <c r="F154" s="12" t="s">
        <v>4</v>
      </c>
      <c r="G154" s="25">
        <f>B154</f>
        <v>26094</v>
      </c>
      <c r="H154" s="25"/>
      <c r="I154" s="26"/>
    </row>
    <row r="155" spans="1:12" ht="63.75" customHeight="1" x14ac:dyDescent="0.25">
      <c r="A155" s="27" t="s">
        <v>78</v>
      </c>
      <c r="B155" s="27"/>
      <c r="C155" s="27"/>
      <c r="D155" s="27"/>
      <c r="E155" s="2"/>
      <c r="F155" s="27" t="str">
        <f>A155</f>
        <v>Round DER - Cap (Diamond Logo)</v>
      </c>
      <c r="G155" s="27"/>
      <c r="H155" s="27"/>
      <c r="I155" s="27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26</v>
      </c>
      <c r="E157" s="4"/>
      <c r="F157" s="11" t="s">
        <v>2</v>
      </c>
      <c r="G157" s="10"/>
      <c r="H157" s="11" t="s">
        <v>5</v>
      </c>
      <c r="I157" s="7" t="str">
        <f>D157</f>
        <v>16A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10</v>
      </c>
      <c r="E158" s="4"/>
      <c r="F158" s="8" t="s">
        <v>3</v>
      </c>
      <c r="G158" s="9">
        <v>53</v>
      </c>
      <c r="H158" s="11" t="s">
        <v>6</v>
      </c>
      <c r="I158" s="7" t="str">
        <f>D158</f>
        <v>DER-C03</v>
      </c>
      <c r="K158" s="6" t="s">
        <v>8</v>
      </c>
      <c r="L158" s="6" t="s">
        <v>7</v>
      </c>
    </row>
    <row r="159" spans="1:12" s="1" customFormat="1" ht="30" customHeight="1" x14ac:dyDescent="0.25">
      <c r="A159" s="28" t="s">
        <v>45</v>
      </c>
      <c r="B159" s="29"/>
      <c r="C159" s="29"/>
      <c r="D159" s="30"/>
      <c r="E159" s="5"/>
      <c r="F159" s="28" t="s">
        <v>45</v>
      </c>
      <c r="G159" s="29"/>
      <c r="H159" s="29"/>
      <c r="I159" s="30"/>
      <c r="K159" s="1">
        <v>500</v>
      </c>
      <c r="L159" s="1">
        <v>20</v>
      </c>
    </row>
    <row r="160" spans="1:12" s="1" customFormat="1" ht="30" customHeight="1" x14ac:dyDescent="0.25">
      <c r="A160" s="31" t="s">
        <v>54</v>
      </c>
      <c r="B160" s="32"/>
      <c r="C160" s="37" t="s">
        <v>9</v>
      </c>
      <c r="D160" s="34"/>
      <c r="E160" s="4"/>
      <c r="F160" s="31" t="str">
        <f>A160</f>
        <v>PP6331</v>
      </c>
      <c r="G160" s="32"/>
      <c r="H160" s="37" t="str">
        <f>C160</f>
        <v>White</v>
      </c>
      <c r="I160" s="34"/>
    </row>
    <row r="161" spans="1:12" s="1" customFormat="1" ht="30" customHeight="1" x14ac:dyDescent="0.25">
      <c r="A161" s="12" t="s">
        <v>4</v>
      </c>
      <c r="B161" s="25">
        <v>26094</v>
      </c>
      <c r="C161" s="25"/>
      <c r="D161" s="26"/>
      <c r="E161" s="4"/>
      <c r="F161" s="12" t="s">
        <v>4</v>
      </c>
      <c r="G161" s="25">
        <f>B161</f>
        <v>26094</v>
      </c>
      <c r="H161" s="25"/>
      <c r="I161" s="26"/>
    </row>
    <row r="162" spans="1:12" ht="63.75" customHeight="1" x14ac:dyDescent="0.25">
      <c r="A162" s="27" t="s">
        <v>78</v>
      </c>
      <c r="B162" s="27"/>
      <c r="C162" s="27"/>
      <c r="D162" s="27"/>
      <c r="E162" s="2"/>
      <c r="F162" s="27" t="str">
        <f>A162</f>
        <v>Round DER - Cap (Diamond Logo)</v>
      </c>
      <c r="G162" s="27"/>
      <c r="H162" s="27"/>
      <c r="I162" s="27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26</v>
      </c>
      <c r="E164" s="4"/>
      <c r="F164" s="11" t="s">
        <v>2</v>
      </c>
      <c r="G164" s="10"/>
      <c r="H164" s="11" t="s">
        <v>5</v>
      </c>
      <c r="I164" s="7" t="str">
        <f>D164</f>
        <v>16A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10</v>
      </c>
      <c r="E165" s="4"/>
      <c r="F165" s="8" t="s">
        <v>3</v>
      </c>
      <c r="G165" s="9">
        <v>54</v>
      </c>
      <c r="H165" s="11" t="s">
        <v>6</v>
      </c>
      <c r="I165" s="7" t="str">
        <f>D165</f>
        <v>DER-C03</v>
      </c>
      <c r="K165" s="6" t="s">
        <v>8</v>
      </c>
      <c r="L165" s="6" t="s">
        <v>7</v>
      </c>
    </row>
    <row r="166" spans="1:12" s="1" customFormat="1" ht="30" customHeight="1" x14ac:dyDescent="0.25">
      <c r="A166" s="28" t="s">
        <v>45</v>
      </c>
      <c r="B166" s="29"/>
      <c r="C166" s="29"/>
      <c r="D166" s="30"/>
      <c r="E166" s="5"/>
      <c r="F166" s="28" t="s">
        <v>45</v>
      </c>
      <c r="G166" s="29"/>
      <c r="H166" s="29"/>
      <c r="I166" s="30"/>
      <c r="K166" s="1">
        <v>500</v>
      </c>
      <c r="L166" s="1">
        <v>20</v>
      </c>
    </row>
    <row r="167" spans="1:12" s="1" customFormat="1" ht="30" customHeight="1" x14ac:dyDescent="0.25">
      <c r="A167" s="31" t="s">
        <v>54</v>
      </c>
      <c r="B167" s="32"/>
      <c r="C167" s="37" t="s">
        <v>9</v>
      </c>
      <c r="D167" s="34"/>
      <c r="E167" s="4"/>
      <c r="F167" s="31" t="str">
        <f>A167</f>
        <v>PP6331</v>
      </c>
      <c r="G167" s="32"/>
      <c r="H167" s="37" t="str">
        <f>C167</f>
        <v>White</v>
      </c>
      <c r="I167" s="34"/>
    </row>
    <row r="168" spans="1:12" s="1" customFormat="1" ht="30" customHeight="1" x14ac:dyDescent="0.25">
      <c r="A168" s="12" t="s">
        <v>4</v>
      </c>
      <c r="B168" s="25">
        <v>26094</v>
      </c>
      <c r="C168" s="25"/>
      <c r="D168" s="26"/>
      <c r="E168" s="4"/>
      <c r="F168" s="12" t="s">
        <v>4</v>
      </c>
      <c r="G168" s="25">
        <f>B168</f>
        <v>26094</v>
      </c>
      <c r="H168" s="25"/>
      <c r="I168" s="26"/>
    </row>
    <row r="169" spans="1:12" ht="63.75" customHeight="1" x14ac:dyDescent="0.25">
      <c r="A169" s="27" t="s">
        <v>78</v>
      </c>
      <c r="B169" s="27"/>
      <c r="C169" s="27"/>
      <c r="D169" s="27"/>
      <c r="E169" s="2"/>
      <c r="F169" s="27" t="str">
        <f>A169</f>
        <v>Round DER - Cap (Diamond Logo)</v>
      </c>
      <c r="G169" s="27"/>
      <c r="H169" s="27"/>
      <c r="I169" s="27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26</v>
      </c>
      <c r="E171" s="4"/>
      <c r="F171" s="11" t="s">
        <v>2</v>
      </c>
      <c r="G171" s="10"/>
      <c r="H171" s="11" t="s">
        <v>5</v>
      </c>
      <c r="I171" s="7" t="str">
        <f>D171</f>
        <v>16A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10</v>
      </c>
      <c r="E172" s="4"/>
      <c r="F172" s="8" t="s">
        <v>3</v>
      </c>
      <c r="G172" s="9">
        <v>55</v>
      </c>
      <c r="H172" s="11" t="s">
        <v>6</v>
      </c>
      <c r="I172" s="7" t="str">
        <f>D172</f>
        <v>DER-C03</v>
      </c>
      <c r="K172" s="6" t="s">
        <v>8</v>
      </c>
      <c r="L172" s="6" t="s">
        <v>7</v>
      </c>
    </row>
    <row r="173" spans="1:12" s="1" customFormat="1" ht="30" customHeight="1" x14ac:dyDescent="0.25">
      <c r="A173" s="28" t="s">
        <v>45</v>
      </c>
      <c r="B173" s="29"/>
      <c r="C173" s="29"/>
      <c r="D173" s="30"/>
      <c r="E173" s="5"/>
      <c r="F173" s="28" t="s">
        <v>45</v>
      </c>
      <c r="G173" s="29"/>
      <c r="H173" s="29"/>
      <c r="I173" s="30"/>
      <c r="K173" s="1">
        <v>500</v>
      </c>
      <c r="L173" s="1">
        <v>20</v>
      </c>
    </row>
    <row r="174" spans="1:12" s="1" customFormat="1" ht="30" customHeight="1" x14ac:dyDescent="0.25">
      <c r="A174" s="31" t="s">
        <v>54</v>
      </c>
      <c r="B174" s="32"/>
      <c r="C174" s="37" t="s">
        <v>9</v>
      </c>
      <c r="D174" s="34"/>
      <c r="E174" s="4"/>
      <c r="F174" s="31" t="str">
        <f>A174</f>
        <v>PP6331</v>
      </c>
      <c r="G174" s="32"/>
      <c r="H174" s="37" t="str">
        <f>C174</f>
        <v>White</v>
      </c>
      <c r="I174" s="34"/>
    </row>
    <row r="175" spans="1:12" s="1" customFormat="1" ht="30" customHeight="1" x14ac:dyDescent="0.25">
      <c r="A175" s="12" t="s">
        <v>4</v>
      </c>
      <c r="B175" s="25">
        <v>26094</v>
      </c>
      <c r="C175" s="25"/>
      <c r="D175" s="26"/>
      <c r="E175" s="4"/>
      <c r="F175" s="12" t="s">
        <v>4</v>
      </c>
      <c r="G175" s="25">
        <f>B175</f>
        <v>26094</v>
      </c>
      <c r="H175" s="25"/>
      <c r="I175" s="26"/>
    </row>
    <row r="176" spans="1:12" ht="63.75" customHeight="1" x14ac:dyDescent="0.25">
      <c r="A176" s="27" t="s">
        <v>78</v>
      </c>
      <c r="B176" s="27"/>
      <c r="C176" s="27"/>
      <c r="D176" s="27"/>
      <c r="E176" s="2"/>
      <c r="F176" s="27" t="str">
        <f>A176</f>
        <v>Round DER - Cap (Diamond Logo)</v>
      </c>
      <c r="G176" s="27"/>
      <c r="H176" s="27"/>
      <c r="I176" s="27"/>
    </row>
    <row r="177" spans="1:12" s="1" customFormat="1" ht="30" customHeight="1" x14ac:dyDescent="0.25">
      <c r="A177" s="11" t="s">
        <v>0</v>
      </c>
      <c r="B177" s="10"/>
      <c r="C177" s="11" t="s">
        <v>1</v>
      </c>
      <c r="D177" s="10"/>
      <c r="E177" s="3"/>
      <c r="F177" s="11" t="s">
        <v>0</v>
      </c>
      <c r="G177" s="10"/>
      <c r="H177" s="11" t="s">
        <v>1</v>
      </c>
      <c r="I177" s="10"/>
    </row>
    <row r="178" spans="1:12" s="1" customFormat="1" ht="30" customHeight="1" x14ac:dyDescent="0.25">
      <c r="A178" s="11" t="s">
        <v>2</v>
      </c>
      <c r="B178" s="10"/>
      <c r="C178" s="11" t="s">
        <v>5</v>
      </c>
      <c r="D178" s="7" t="s">
        <v>26</v>
      </c>
      <c r="E178" s="4"/>
      <c r="F178" s="11" t="s">
        <v>2</v>
      </c>
      <c r="G178" s="10"/>
      <c r="H178" s="11" t="s">
        <v>5</v>
      </c>
      <c r="I178" s="7" t="str">
        <f>D178</f>
        <v>16A</v>
      </c>
    </row>
    <row r="179" spans="1:12" s="1" customFormat="1" ht="53.25" customHeight="1" x14ac:dyDescent="0.25">
      <c r="A179" s="8" t="s">
        <v>3</v>
      </c>
      <c r="B179" s="9">
        <v>26</v>
      </c>
      <c r="C179" s="11" t="s">
        <v>6</v>
      </c>
      <c r="D179" s="7" t="s">
        <v>10</v>
      </c>
      <c r="E179" s="4"/>
      <c r="F179" s="8" t="s">
        <v>3</v>
      </c>
      <c r="G179" s="9">
        <v>56</v>
      </c>
      <c r="H179" s="11" t="s">
        <v>6</v>
      </c>
      <c r="I179" s="7" t="str">
        <f>D179</f>
        <v>DER-C03</v>
      </c>
      <c r="K179" s="6" t="s">
        <v>8</v>
      </c>
      <c r="L179" s="6" t="s">
        <v>7</v>
      </c>
    </row>
    <row r="180" spans="1:12" s="1" customFormat="1" ht="30" customHeight="1" x14ac:dyDescent="0.25">
      <c r="A180" s="28" t="s">
        <v>45</v>
      </c>
      <c r="B180" s="29"/>
      <c r="C180" s="29"/>
      <c r="D180" s="30"/>
      <c r="E180" s="5"/>
      <c r="F180" s="28" t="s">
        <v>45</v>
      </c>
      <c r="G180" s="29"/>
      <c r="H180" s="29"/>
      <c r="I180" s="30"/>
      <c r="K180" s="1">
        <v>500</v>
      </c>
      <c r="L180" s="1">
        <v>20</v>
      </c>
    </row>
    <row r="181" spans="1:12" s="1" customFormat="1" ht="30" customHeight="1" x14ac:dyDescent="0.25">
      <c r="A181" s="31" t="s">
        <v>54</v>
      </c>
      <c r="B181" s="32"/>
      <c r="C181" s="37" t="s">
        <v>9</v>
      </c>
      <c r="D181" s="34"/>
      <c r="E181" s="4"/>
      <c r="F181" s="31" t="str">
        <f>A181</f>
        <v>PP6331</v>
      </c>
      <c r="G181" s="32"/>
      <c r="H181" s="37" t="str">
        <f>C181</f>
        <v>White</v>
      </c>
      <c r="I181" s="34"/>
    </row>
    <row r="182" spans="1:12" s="1" customFormat="1" ht="30" customHeight="1" x14ac:dyDescent="0.25">
      <c r="A182" s="12" t="s">
        <v>4</v>
      </c>
      <c r="B182" s="25">
        <v>26094</v>
      </c>
      <c r="C182" s="25"/>
      <c r="D182" s="26"/>
      <c r="E182" s="4"/>
      <c r="F182" s="12" t="s">
        <v>4</v>
      </c>
      <c r="G182" s="25">
        <f>B182</f>
        <v>26094</v>
      </c>
      <c r="H182" s="25"/>
      <c r="I182" s="26"/>
    </row>
    <row r="183" spans="1:12" ht="63.75" customHeight="1" x14ac:dyDescent="0.25">
      <c r="A183" s="27" t="s">
        <v>78</v>
      </c>
      <c r="B183" s="27"/>
      <c r="C183" s="27"/>
      <c r="D183" s="27"/>
      <c r="E183" s="2"/>
      <c r="F183" s="27" t="str">
        <f>A183</f>
        <v>Round DER - Cap (Diamond Logo)</v>
      </c>
      <c r="G183" s="27"/>
      <c r="H183" s="27"/>
      <c r="I183" s="27"/>
    </row>
    <row r="184" spans="1:12" s="1" customFormat="1" ht="30" customHeight="1" x14ac:dyDescent="0.25">
      <c r="A184" s="11" t="s">
        <v>0</v>
      </c>
      <c r="B184" s="10"/>
      <c r="C184" s="11" t="s">
        <v>1</v>
      </c>
      <c r="D184" s="10"/>
      <c r="E184" s="3"/>
      <c r="F184" s="11" t="s">
        <v>0</v>
      </c>
      <c r="G184" s="10"/>
      <c r="H184" s="11" t="s">
        <v>1</v>
      </c>
      <c r="I184" s="10"/>
    </row>
    <row r="185" spans="1:12" s="1" customFormat="1" ht="30" customHeight="1" x14ac:dyDescent="0.25">
      <c r="A185" s="11" t="s">
        <v>2</v>
      </c>
      <c r="B185" s="10"/>
      <c r="C185" s="11" t="s">
        <v>5</v>
      </c>
      <c r="D185" s="7" t="s">
        <v>26</v>
      </c>
      <c r="E185" s="4"/>
      <c r="F185" s="11" t="s">
        <v>2</v>
      </c>
      <c r="G185" s="10"/>
      <c r="H185" s="11" t="s">
        <v>5</v>
      </c>
      <c r="I185" s="7" t="str">
        <f>D185</f>
        <v>16A</v>
      </c>
    </row>
    <row r="186" spans="1:12" s="1" customFormat="1" ht="53.25" customHeight="1" x14ac:dyDescent="0.25">
      <c r="A186" s="8" t="s">
        <v>3</v>
      </c>
      <c r="B186" s="9">
        <v>27</v>
      </c>
      <c r="C186" s="11" t="s">
        <v>6</v>
      </c>
      <c r="D186" s="7" t="s">
        <v>10</v>
      </c>
      <c r="E186" s="4"/>
      <c r="F186" s="8" t="s">
        <v>3</v>
      </c>
      <c r="G186" s="9">
        <v>57</v>
      </c>
      <c r="H186" s="11" t="s">
        <v>6</v>
      </c>
      <c r="I186" s="7" t="str">
        <f>D186</f>
        <v>DER-C03</v>
      </c>
      <c r="K186" s="6" t="s">
        <v>8</v>
      </c>
      <c r="L186" s="6" t="s">
        <v>7</v>
      </c>
    </row>
    <row r="187" spans="1:12" s="1" customFormat="1" ht="30" customHeight="1" x14ac:dyDescent="0.25">
      <c r="A187" s="28" t="s">
        <v>45</v>
      </c>
      <c r="B187" s="29"/>
      <c r="C187" s="29"/>
      <c r="D187" s="30"/>
      <c r="E187" s="5"/>
      <c r="F187" s="28" t="s">
        <v>45</v>
      </c>
      <c r="G187" s="29"/>
      <c r="H187" s="29"/>
      <c r="I187" s="30"/>
      <c r="K187" s="1">
        <v>500</v>
      </c>
      <c r="L187" s="1">
        <v>20</v>
      </c>
    </row>
    <row r="188" spans="1:12" s="1" customFormat="1" ht="30" customHeight="1" x14ac:dyDescent="0.25">
      <c r="A188" s="31" t="s">
        <v>54</v>
      </c>
      <c r="B188" s="32"/>
      <c r="C188" s="37" t="s">
        <v>9</v>
      </c>
      <c r="D188" s="34"/>
      <c r="E188" s="4"/>
      <c r="F188" s="31" t="str">
        <f>A188</f>
        <v>PP6331</v>
      </c>
      <c r="G188" s="32"/>
      <c r="H188" s="37" t="str">
        <f>C188</f>
        <v>White</v>
      </c>
      <c r="I188" s="34"/>
    </row>
    <row r="189" spans="1:12" s="1" customFormat="1" ht="30" customHeight="1" x14ac:dyDescent="0.25">
      <c r="A189" s="12" t="s">
        <v>4</v>
      </c>
      <c r="B189" s="25">
        <v>26094</v>
      </c>
      <c r="C189" s="25"/>
      <c r="D189" s="26"/>
      <c r="E189" s="4"/>
      <c r="F189" s="12" t="s">
        <v>4</v>
      </c>
      <c r="G189" s="25">
        <f>B189</f>
        <v>26094</v>
      </c>
      <c r="H189" s="25"/>
      <c r="I189" s="26"/>
    </row>
    <row r="190" spans="1:12" ht="63.75" customHeight="1" x14ac:dyDescent="0.25">
      <c r="A190" s="27" t="s">
        <v>78</v>
      </c>
      <c r="B190" s="27"/>
      <c r="C190" s="27"/>
      <c r="D190" s="27"/>
      <c r="E190" s="2"/>
      <c r="F190" s="27" t="str">
        <f>A190</f>
        <v>Round DER - Cap (Diamond Logo)</v>
      </c>
      <c r="G190" s="27"/>
      <c r="H190" s="27"/>
      <c r="I190" s="27"/>
    </row>
    <row r="191" spans="1:12" s="1" customFormat="1" ht="30" customHeight="1" x14ac:dyDescent="0.25">
      <c r="A191" s="11" t="s">
        <v>0</v>
      </c>
      <c r="B191" s="10"/>
      <c r="C191" s="11" t="s">
        <v>1</v>
      </c>
      <c r="D191" s="10"/>
      <c r="E191" s="3"/>
      <c r="F191" s="11" t="s">
        <v>0</v>
      </c>
      <c r="G191" s="10"/>
      <c r="H191" s="11" t="s">
        <v>1</v>
      </c>
      <c r="I191" s="10"/>
    </row>
    <row r="192" spans="1:12" s="1" customFormat="1" ht="30" customHeight="1" x14ac:dyDescent="0.25">
      <c r="A192" s="11" t="s">
        <v>2</v>
      </c>
      <c r="B192" s="10"/>
      <c r="C192" s="11" t="s">
        <v>5</v>
      </c>
      <c r="D192" s="7" t="s">
        <v>26</v>
      </c>
      <c r="E192" s="4"/>
      <c r="F192" s="11" t="s">
        <v>2</v>
      </c>
      <c r="G192" s="10"/>
      <c r="H192" s="11" t="s">
        <v>5</v>
      </c>
      <c r="I192" s="7" t="str">
        <f>D192</f>
        <v>16A</v>
      </c>
    </row>
    <row r="193" spans="1:12" s="1" customFormat="1" ht="53.25" customHeight="1" x14ac:dyDescent="0.25">
      <c r="A193" s="8" t="s">
        <v>3</v>
      </c>
      <c r="B193" s="9">
        <v>28</v>
      </c>
      <c r="C193" s="11" t="s">
        <v>6</v>
      </c>
      <c r="D193" s="7" t="s">
        <v>10</v>
      </c>
      <c r="E193" s="4"/>
      <c r="F193" s="8" t="s">
        <v>3</v>
      </c>
      <c r="G193" s="9">
        <v>58</v>
      </c>
      <c r="H193" s="11" t="s">
        <v>6</v>
      </c>
      <c r="I193" s="7" t="str">
        <f>D193</f>
        <v>DER-C03</v>
      </c>
      <c r="K193" s="6" t="s">
        <v>8</v>
      </c>
      <c r="L193" s="6" t="s">
        <v>7</v>
      </c>
    </row>
    <row r="194" spans="1:12" s="1" customFormat="1" ht="30" customHeight="1" x14ac:dyDescent="0.25">
      <c r="A194" s="28" t="s">
        <v>45</v>
      </c>
      <c r="B194" s="29"/>
      <c r="C194" s="29"/>
      <c r="D194" s="30"/>
      <c r="E194" s="5"/>
      <c r="F194" s="28" t="s">
        <v>45</v>
      </c>
      <c r="G194" s="29"/>
      <c r="H194" s="29"/>
      <c r="I194" s="30"/>
      <c r="K194" s="1">
        <v>500</v>
      </c>
      <c r="L194" s="1">
        <v>20</v>
      </c>
    </row>
    <row r="195" spans="1:12" s="1" customFormat="1" ht="30" customHeight="1" x14ac:dyDescent="0.25">
      <c r="A195" s="31" t="s">
        <v>54</v>
      </c>
      <c r="B195" s="32"/>
      <c r="C195" s="37" t="s">
        <v>9</v>
      </c>
      <c r="D195" s="34"/>
      <c r="E195" s="4"/>
      <c r="F195" s="31" t="str">
        <f>A195</f>
        <v>PP6331</v>
      </c>
      <c r="G195" s="32"/>
      <c r="H195" s="37" t="str">
        <f>C195</f>
        <v>White</v>
      </c>
      <c r="I195" s="34"/>
    </row>
    <row r="196" spans="1:12" s="1" customFormat="1" ht="30" customHeight="1" x14ac:dyDescent="0.25">
      <c r="A196" s="12" t="s">
        <v>4</v>
      </c>
      <c r="B196" s="25">
        <v>26094</v>
      </c>
      <c r="C196" s="25"/>
      <c r="D196" s="26"/>
      <c r="E196" s="4"/>
      <c r="F196" s="12" t="s">
        <v>4</v>
      </c>
      <c r="G196" s="25">
        <f>B196</f>
        <v>26094</v>
      </c>
      <c r="H196" s="25"/>
      <c r="I196" s="26"/>
    </row>
    <row r="197" spans="1:12" ht="63.75" customHeight="1" x14ac:dyDescent="0.25">
      <c r="A197" s="27" t="s">
        <v>78</v>
      </c>
      <c r="B197" s="27"/>
      <c r="C197" s="27"/>
      <c r="D197" s="27"/>
      <c r="E197" s="2"/>
      <c r="F197" s="27" t="str">
        <f>A197</f>
        <v>Round DER - Cap (Diamond Logo)</v>
      </c>
      <c r="G197" s="27"/>
      <c r="H197" s="27"/>
      <c r="I197" s="27"/>
    </row>
    <row r="198" spans="1:12" s="1" customFormat="1" ht="30" customHeight="1" x14ac:dyDescent="0.25">
      <c r="A198" s="11" t="s">
        <v>0</v>
      </c>
      <c r="B198" s="10"/>
      <c r="C198" s="11" t="s">
        <v>1</v>
      </c>
      <c r="D198" s="10"/>
      <c r="E198" s="3"/>
      <c r="F198" s="11" t="s">
        <v>0</v>
      </c>
      <c r="G198" s="10"/>
      <c r="H198" s="11" t="s">
        <v>1</v>
      </c>
      <c r="I198" s="10"/>
    </row>
    <row r="199" spans="1:12" s="1" customFormat="1" ht="30" customHeight="1" x14ac:dyDescent="0.25">
      <c r="A199" s="11" t="s">
        <v>2</v>
      </c>
      <c r="B199" s="10"/>
      <c r="C199" s="11" t="s">
        <v>5</v>
      </c>
      <c r="D199" s="7" t="s">
        <v>26</v>
      </c>
      <c r="E199" s="4"/>
      <c r="F199" s="11" t="s">
        <v>2</v>
      </c>
      <c r="G199" s="10"/>
      <c r="H199" s="11" t="s">
        <v>5</v>
      </c>
      <c r="I199" s="7" t="str">
        <f>D199</f>
        <v>16A</v>
      </c>
    </row>
    <row r="200" spans="1:12" s="1" customFormat="1" ht="53.25" customHeight="1" x14ac:dyDescent="0.25">
      <c r="A200" s="8" t="s">
        <v>3</v>
      </c>
      <c r="B200" s="9">
        <v>29</v>
      </c>
      <c r="C200" s="11" t="s">
        <v>6</v>
      </c>
      <c r="D200" s="7" t="s">
        <v>10</v>
      </c>
      <c r="E200" s="4"/>
      <c r="F200" s="8" t="s">
        <v>3</v>
      </c>
      <c r="G200" s="9">
        <v>59</v>
      </c>
      <c r="H200" s="11" t="s">
        <v>6</v>
      </c>
      <c r="I200" s="7" t="str">
        <f>D200</f>
        <v>DER-C03</v>
      </c>
      <c r="K200" s="6" t="s">
        <v>8</v>
      </c>
      <c r="L200" s="6" t="s">
        <v>7</v>
      </c>
    </row>
    <row r="201" spans="1:12" s="1" customFormat="1" ht="30" customHeight="1" x14ac:dyDescent="0.25">
      <c r="A201" s="28" t="s">
        <v>45</v>
      </c>
      <c r="B201" s="29"/>
      <c r="C201" s="29"/>
      <c r="D201" s="30"/>
      <c r="E201" s="5"/>
      <c r="F201" s="28" t="s">
        <v>45</v>
      </c>
      <c r="G201" s="29"/>
      <c r="H201" s="29"/>
      <c r="I201" s="30"/>
      <c r="K201" s="1">
        <v>500</v>
      </c>
      <c r="L201" s="1">
        <v>20</v>
      </c>
    </row>
    <row r="202" spans="1:12" s="1" customFormat="1" ht="30" customHeight="1" x14ac:dyDescent="0.25">
      <c r="A202" s="31" t="s">
        <v>54</v>
      </c>
      <c r="B202" s="32"/>
      <c r="C202" s="37" t="s">
        <v>9</v>
      </c>
      <c r="D202" s="34"/>
      <c r="E202" s="4"/>
      <c r="F202" s="31" t="str">
        <f>A202</f>
        <v>PP6331</v>
      </c>
      <c r="G202" s="32"/>
      <c r="H202" s="37" t="str">
        <f>C202</f>
        <v>White</v>
      </c>
      <c r="I202" s="34"/>
    </row>
    <row r="203" spans="1:12" s="1" customFormat="1" ht="30" customHeight="1" x14ac:dyDescent="0.25">
      <c r="A203" s="12" t="s">
        <v>4</v>
      </c>
      <c r="B203" s="25">
        <v>26094</v>
      </c>
      <c r="C203" s="25"/>
      <c r="D203" s="26"/>
      <c r="E203" s="4"/>
      <c r="F203" s="12" t="s">
        <v>4</v>
      </c>
      <c r="G203" s="25">
        <f>B203</f>
        <v>26094</v>
      </c>
      <c r="H203" s="25"/>
      <c r="I203" s="26"/>
    </row>
    <row r="204" spans="1:12" ht="63.75" customHeight="1" x14ac:dyDescent="0.25">
      <c r="A204" s="27" t="s">
        <v>78</v>
      </c>
      <c r="B204" s="27"/>
      <c r="C204" s="27"/>
      <c r="D204" s="27"/>
      <c r="E204" s="2"/>
      <c r="F204" s="27" t="str">
        <f>A204</f>
        <v>Round DER - Cap (Diamond Logo)</v>
      </c>
      <c r="G204" s="27"/>
      <c r="H204" s="27"/>
      <c r="I204" s="27"/>
    </row>
    <row r="205" spans="1:12" s="1" customFormat="1" ht="30" customHeight="1" x14ac:dyDescent="0.25">
      <c r="A205" s="11" t="s">
        <v>0</v>
      </c>
      <c r="B205" s="10"/>
      <c r="C205" s="11" t="s">
        <v>1</v>
      </c>
      <c r="D205" s="10"/>
      <c r="E205" s="3"/>
      <c r="F205" s="11" t="s">
        <v>0</v>
      </c>
      <c r="G205" s="10"/>
      <c r="H205" s="11" t="s">
        <v>1</v>
      </c>
      <c r="I205" s="10"/>
    </row>
    <row r="206" spans="1:12" s="1" customFormat="1" ht="30" customHeight="1" x14ac:dyDescent="0.25">
      <c r="A206" s="11" t="s">
        <v>2</v>
      </c>
      <c r="B206" s="10"/>
      <c r="C206" s="11" t="s">
        <v>5</v>
      </c>
      <c r="D206" s="7" t="s">
        <v>26</v>
      </c>
      <c r="E206" s="4"/>
      <c r="F206" s="11" t="s">
        <v>2</v>
      </c>
      <c r="G206" s="10"/>
      <c r="H206" s="11" t="s">
        <v>5</v>
      </c>
      <c r="I206" s="7" t="str">
        <f>D206</f>
        <v>16A</v>
      </c>
    </row>
    <row r="207" spans="1:12" s="1" customFormat="1" ht="53.25" customHeight="1" x14ac:dyDescent="0.25">
      <c r="A207" s="8" t="s">
        <v>3</v>
      </c>
      <c r="B207" s="9">
        <v>30</v>
      </c>
      <c r="C207" s="11" t="s">
        <v>6</v>
      </c>
      <c r="D207" s="7" t="s">
        <v>10</v>
      </c>
      <c r="E207" s="4"/>
      <c r="F207" s="8" t="s">
        <v>3</v>
      </c>
      <c r="G207" s="9">
        <v>60</v>
      </c>
      <c r="H207" s="11" t="s">
        <v>6</v>
      </c>
      <c r="I207" s="7" t="str">
        <f>D207</f>
        <v>DER-C03</v>
      </c>
      <c r="K207" s="6" t="s">
        <v>8</v>
      </c>
      <c r="L207" s="6" t="s">
        <v>7</v>
      </c>
    </row>
    <row r="208" spans="1:12" s="1" customFormat="1" ht="30" customHeight="1" x14ac:dyDescent="0.25">
      <c r="A208" s="28" t="s">
        <v>45</v>
      </c>
      <c r="B208" s="29"/>
      <c r="C208" s="29"/>
      <c r="D208" s="30"/>
      <c r="E208" s="5"/>
      <c r="F208" s="28" t="s">
        <v>45</v>
      </c>
      <c r="G208" s="29"/>
      <c r="H208" s="29"/>
      <c r="I208" s="30"/>
      <c r="K208" s="1">
        <v>500</v>
      </c>
      <c r="L208" s="1">
        <v>20</v>
      </c>
    </row>
    <row r="209" spans="1:9" s="1" customFormat="1" ht="30" customHeight="1" x14ac:dyDescent="0.25">
      <c r="A209" s="31" t="s">
        <v>54</v>
      </c>
      <c r="B209" s="32"/>
      <c r="C209" s="37" t="s">
        <v>9</v>
      </c>
      <c r="D209" s="34"/>
      <c r="E209" s="4"/>
      <c r="F209" s="31" t="str">
        <f>A209</f>
        <v>PP6331</v>
      </c>
      <c r="G209" s="32"/>
      <c r="H209" s="37" t="str">
        <f>C209</f>
        <v>White</v>
      </c>
      <c r="I209" s="34"/>
    </row>
    <row r="210" spans="1:9" s="1" customFormat="1" ht="30" customHeight="1" x14ac:dyDescent="0.25">
      <c r="A210" s="12" t="s">
        <v>4</v>
      </c>
      <c r="B210" s="25">
        <v>26094</v>
      </c>
      <c r="C210" s="25"/>
      <c r="D210" s="26"/>
      <c r="E210" s="4"/>
      <c r="F210" s="12" t="s">
        <v>4</v>
      </c>
      <c r="G210" s="25">
        <f>B210</f>
        <v>26094</v>
      </c>
      <c r="H210" s="25"/>
      <c r="I210" s="26"/>
    </row>
  </sheetData>
  <mergeCells count="300">
    <mergeCell ref="A204:D204"/>
    <mergeCell ref="F204:I204"/>
    <mergeCell ref="A208:D208"/>
    <mergeCell ref="F208:I208"/>
    <mergeCell ref="A209:B209"/>
    <mergeCell ref="C209:D209"/>
    <mergeCell ref="F209:G209"/>
    <mergeCell ref="H209:I209"/>
    <mergeCell ref="B210:D210"/>
    <mergeCell ref="G210:I210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B203:D203"/>
    <mergeCell ref="G203:I203"/>
    <mergeCell ref="A190:D190"/>
    <mergeCell ref="F190:I190"/>
    <mergeCell ref="A194:D194"/>
    <mergeCell ref="F194:I194"/>
    <mergeCell ref="A195:B195"/>
    <mergeCell ref="C195:D195"/>
    <mergeCell ref="F195:G195"/>
    <mergeCell ref="H195:I195"/>
    <mergeCell ref="B196:D196"/>
    <mergeCell ref="G196:I196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B189:D189"/>
    <mergeCell ref="G189:I189"/>
    <mergeCell ref="A176:D176"/>
    <mergeCell ref="F176:I176"/>
    <mergeCell ref="A180:D180"/>
    <mergeCell ref="F180:I180"/>
    <mergeCell ref="A181:B181"/>
    <mergeCell ref="C181:D181"/>
    <mergeCell ref="F181:G181"/>
    <mergeCell ref="H181:I181"/>
    <mergeCell ref="B182:D182"/>
    <mergeCell ref="G182:I182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B175:D175"/>
    <mergeCell ref="G175:I175"/>
    <mergeCell ref="A162:D162"/>
    <mergeCell ref="F162:I162"/>
    <mergeCell ref="A166:D166"/>
    <mergeCell ref="F166:I166"/>
    <mergeCell ref="A167:B167"/>
    <mergeCell ref="C167:D167"/>
    <mergeCell ref="F167:G167"/>
    <mergeCell ref="H167:I167"/>
    <mergeCell ref="B168:D168"/>
    <mergeCell ref="G168:I168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B161:D161"/>
    <mergeCell ref="G161:I161"/>
    <mergeCell ref="A148:D148"/>
    <mergeCell ref="F148:I148"/>
    <mergeCell ref="A152:D152"/>
    <mergeCell ref="F152:I152"/>
    <mergeCell ref="A153:B153"/>
    <mergeCell ref="C153:D153"/>
    <mergeCell ref="F153:G153"/>
    <mergeCell ref="H153:I153"/>
    <mergeCell ref="B154:D154"/>
    <mergeCell ref="G154:I154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B147:D147"/>
    <mergeCell ref="G147:I147"/>
    <mergeCell ref="A134:D134"/>
    <mergeCell ref="F134:I134"/>
    <mergeCell ref="A138:D138"/>
    <mergeCell ref="F138:I138"/>
    <mergeCell ref="A139:B139"/>
    <mergeCell ref="C139:D139"/>
    <mergeCell ref="F139:G139"/>
    <mergeCell ref="H139:I139"/>
    <mergeCell ref="B140:D140"/>
    <mergeCell ref="G140:I140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B133:D133"/>
    <mergeCell ref="G133:I133"/>
    <mergeCell ref="A120:D120"/>
    <mergeCell ref="F120:I120"/>
    <mergeCell ref="A124:D124"/>
    <mergeCell ref="F124:I124"/>
    <mergeCell ref="A125:B125"/>
    <mergeCell ref="C125:D125"/>
    <mergeCell ref="F125:G125"/>
    <mergeCell ref="H125:I125"/>
    <mergeCell ref="B126:D126"/>
    <mergeCell ref="G126:I126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B119:D119"/>
    <mergeCell ref="G119:I119"/>
    <mergeCell ref="A106:D106"/>
    <mergeCell ref="F106:I106"/>
    <mergeCell ref="A110:D110"/>
    <mergeCell ref="F110:I110"/>
    <mergeCell ref="A111:B111"/>
    <mergeCell ref="C111:D111"/>
    <mergeCell ref="F111:G111"/>
    <mergeCell ref="H111:I111"/>
    <mergeCell ref="B112:D112"/>
    <mergeCell ref="G112:I112"/>
    <mergeCell ref="A1:D1"/>
    <mergeCell ref="F1:I1"/>
    <mergeCell ref="A5:D5"/>
    <mergeCell ref="F5:I5"/>
    <mergeCell ref="A6:B6"/>
    <mergeCell ref="C6:D6"/>
    <mergeCell ref="F6:G6"/>
    <mergeCell ref="H6:I6"/>
    <mergeCell ref="A12:D12"/>
    <mergeCell ref="F12:I12"/>
    <mergeCell ref="A13:B13"/>
    <mergeCell ref="C13:D13"/>
    <mergeCell ref="F13:G13"/>
    <mergeCell ref="H13:I13"/>
    <mergeCell ref="B7:D7"/>
    <mergeCell ref="G7:I7"/>
    <mergeCell ref="A20:B20"/>
    <mergeCell ref="C20:D20"/>
    <mergeCell ref="F20:G20"/>
    <mergeCell ref="H20:I20"/>
    <mergeCell ref="A8:D8"/>
    <mergeCell ref="F8:I8"/>
    <mergeCell ref="B21:D21"/>
    <mergeCell ref="G21:I21"/>
    <mergeCell ref="B14:D14"/>
    <mergeCell ref="G14:I14"/>
    <mergeCell ref="A15:D15"/>
    <mergeCell ref="F15:I15"/>
    <mergeCell ref="A19:D19"/>
    <mergeCell ref="F19:I19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L14"/>
  <sheetViews>
    <sheetView view="pageBreakPreview" zoomScaleNormal="100" zoomScaleSheetLayoutView="100" workbookViewId="0">
      <selection activeCell="F8" sqref="F8:I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80</v>
      </c>
      <c r="B1" s="27"/>
      <c r="C1" s="27"/>
      <c r="D1" s="27"/>
      <c r="E1" s="2"/>
      <c r="F1" s="27" t="str">
        <f>A1</f>
        <v>Round DER - Cap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9"/>
      <c r="H2" s="11" t="s">
        <v>1</v>
      </c>
      <c r="I2" s="19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90</v>
      </c>
      <c r="E3" s="4"/>
      <c r="F3" s="11" t="s">
        <v>2</v>
      </c>
      <c r="G3" s="19"/>
      <c r="H3" s="11" t="s">
        <v>5</v>
      </c>
      <c r="I3" s="7" t="str">
        <f>D3</f>
        <v>04B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82</v>
      </c>
      <c r="E4" s="4"/>
      <c r="F4" s="8" t="s">
        <v>3</v>
      </c>
      <c r="G4" s="9">
        <v>3</v>
      </c>
      <c r="H4" s="11" t="s">
        <v>6</v>
      </c>
      <c r="I4" s="7" t="str">
        <f>D4</f>
        <v>DER-C07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45</v>
      </c>
      <c r="B5" s="29"/>
      <c r="C5" s="29"/>
      <c r="D5" s="30"/>
      <c r="E5" s="5"/>
      <c r="F5" s="28" t="s">
        <v>84</v>
      </c>
      <c r="G5" s="29"/>
      <c r="H5" s="29"/>
      <c r="I5" s="30"/>
      <c r="K5" s="1">
        <v>500</v>
      </c>
      <c r="L5" s="1">
        <v>20</v>
      </c>
    </row>
    <row r="6" spans="1:12" s="1" customFormat="1" ht="30" customHeight="1" x14ac:dyDescent="0.25">
      <c r="A6" s="31" t="s">
        <v>32</v>
      </c>
      <c r="B6" s="32"/>
      <c r="C6" s="37" t="s">
        <v>83</v>
      </c>
      <c r="D6" s="34"/>
      <c r="E6" s="4"/>
      <c r="F6" s="31" t="str">
        <f>A6</f>
        <v>P814</v>
      </c>
      <c r="G6" s="32"/>
      <c r="H6" s="37" t="str">
        <f>C6</f>
        <v>Dark Brown</v>
      </c>
      <c r="I6" s="34"/>
    </row>
    <row r="7" spans="1:12" s="1" customFormat="1" ht="30" customHeight="1" x14ac:dyDescent="0.25">
      <c r="A7" s="12" t="s">
        <v>4</v>
      </c>
      <c r="B7" s="25">
        <v>26870</v>
      </c>
      <c r="C7" s="25"/>
      <c r="D7" s="26"/>
      <c r="E7" s="4"/>
      <c r="F7" s="12" t="s">
        <v>4</v>
      </c>
      <c r="G7" s="25">
        <f>B7</f>
        <v>26870</v>
      </c>
      <c r="H7" s="25"/>
      <c r="I7" s="26"/>
    </row>
    <row r="8" spans="1:12" ht="63.75" customHeight="1" x14ac:dyDescent="0.25">
      <c r="A8" s="27" t="s">
        <v>80</v>
      </c>
      <c r="B8" s="27"/>
      <c r="C8" s="27"/>
      <c r="D8" s="27"/>
      <c r="E8" s="2"/>
      <c r="F8" s="41" t="str">
        <f>A8</f>
        <v>Round DER - Cap</v>
      </c>
      <c r="G8" s="41"/>
      <c r="H8" s="41"/>
      <c r="I8" s="41"/>
    </row>
    <row r="9" spans="1:12" s="1" customFormat="1" ht="30" customHeight="1" x14ac:dyDescent="0.25">
      <c r="A9" s="11" t="s">
        <v>0</v>
      </c>
      <c r="B9" s="19"/>
      <c r="C9" s="11" t="s">
        <v>1</v>
      </c>
      <c r="D9" s="19"/>
      <c r="E9" s="3"/>
      <c r="F9" s="20" t="s">
        <v>0</v>
      </c>
      <c r="G9" s="20"/>
      <c r="H9" s="20" t="s">
        <v>1</v>
      </c>
      <c r="I9" s="20"/>
    </row>
    <row r="10" spans="1:12" s="1" customFormat="1" ht="30" customHeight="1" x14ac:dyDescent="0.25">
      <c r="A10" s="11" t="s">
        <v>2</v>
      </c>
      <c r="B10" s="19"/>
      <c r="C10" s="11" t="s">
        <v>5</v>
      </c>
      <c r="D10" s="7" t="s">
        <v>90</v>
      </c>
      <c r="E10" s="4"/>
      <c r="F10" s="20" t="s">
        <v>2</v>
      </c>
      <c r="G10" s="20"/>
      <c r="H10" s="20" t="s">
        <v>5</v>
      </c>
      <c r="I10" s="21" t="str">
        <f>D10</f>
        <v>04B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82</v>
      </c>
      <c r="E11" s="4"/>
      <c r="F11" s="22" t="s">
        <v>3</v>
      </c>
      <c r="G11" s="23">
        <v>3</v>
      </c>
      <c r="H11" s="20" t="s">
        <v>6</v>
      </c>
      <c r="I11" s="21" t="str">
        <f>D11</f>
        <v>DER-C07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45</v>
      </c>
      <c r="B12" s="29"/>
      <c r="C12" s="29"/>
      <c r="D12" s="30"/>
      <c r="E12" s="5"/>
      <c r="F12" s="42" t="s">
        <v>84</v>
      </c>
      <c r="G12" s="42"/>
      <c r="H12" s="42"/>
      <c r="I12" s="42"/>
      <c r="K12" s="1">
        <v>500</v>
      </c>
      <c r="L12" s="1">
        <v>20</v>
      </c>
    </row>
    <row r="13" spans="1:12" s="1" customFormat="1" ht="30" customHeight="1" x14ac:dyDescent="0.25">
      <c r="A13" s="31" t="s">
        <v>32</v>
      </c>
      <c r="B13" s="32"/>
      <c r="C13" s="37" t="s">
        <v>83</v>
      </c>
      <c r="D13" s="34"/>
      <c r="E13" s="4"/>
      <c r="F13" s="40" t="str">
        <f>A13</f>
        <v>P814</v>
      </c>
      <c r="G13" s="40"/>
      <c r="H13" s="43" t="str">
        <f>C13</f>
        <v>Dark Brown</v>
      </c>
      <c r="I13" s="43"/>
    </row>
    <row r="14" spans="1:12" s="1" customFormat="1" ht="30" customHeight="1" x14ac:dyDescent="0.25">
      <c r="A14" s="12" t="s">
        <v>4</v>
      </c>
      <c r="B14" s="25">
        <v>26870</v>
      </c>
      <c r="C14" s="25"/>
      <c r="D14" s="26"/>
      <c r="E14" s="4"/>
      <c r="F14" s="20" t="s">
        <v>4</v>
      </c>
      <c r="G14" s="40">
        <f>B14</f>
        <v>26870</v>
      </c>
      <c r="H14" s="40"/>
      <c r="I14" s="40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80</v>
      </c>
      <c r="B1" s="27"/>
      <c r="C1" s="27"/>
      <c r="D1" s="27"/>
      <c r="E1" s="2"/>
      <c r="F1" s="27" t="str">
        <f>A1</f>
        <v>Round DER - Cap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11</v>
      </c>
      <c r="E3" s="4"/>
      <c r="F3" s="11" t="s">
        <v>2</v>
      </c>
      <c r="G3" s="10"/>
      <c r="H3" s="11" t="s">
        <v>5</v>
      </c>
      <c r="I3" s="7" t="str">
        <f>D3</f>
        <v>01C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77</v>
      </c>
      <c r="E4" s="4"/>
      <c r="F4" s="8" t="s">
        <v>3</v>
      </c>
      <c r="G4" s="9">
        <v>3</v>
      </c>
      <c r="H4" s="11" t="s">
        <v>6</v>
      </c>
      <c r="I4" s="7" t="str">
        <f>D4</f>
        <v>DER-C02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45</v>
      </c>
      <c r="B5" s="29"/>
      <c r="C5" s="29"/>
      <c r="D5" s="30"/>
      <c r="E5" s="5"/>
      <c r="F5" s="28" t="s">
        <v>45</v>
      </c>
      <c r="G5" s="29"/>
      <c r="H5" s="29"/>
      <c r="I5" s="30"/>
      <c r="K5" s="1">
        <v>500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7" t="s">
        <v>9</v>
      </c>
      <c r="D6" s="34"/>
      <c r="E6" s="4"/>
      <c r="F6" s="31" t="str">
        <f>A6</f>
        <v>PP6331</v>
      </c>
      <c r="G6" s="32"/>
      <c r="H6" s="37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26232</v>
      </c>
      <c r="C7" s="25"/>
      <c r="D7" s="26"/>
      <c r="E7" s="4"/>
      <c r="F7" s="12" t="s">
        <v>4</v>
      </c>
      <c r="G7" s="25">
        <f>B7</f>
        <v>26232</v>
      </c>
      <c r="H7" s="25"/>
      <c r="I7" s="26"/>
    </row>
    <row r="8" spans="1:12" ht="63.75" customHeight="1" x14ac:dyDescent="0.25">
      <c r="A8" s="27" t="s">
        <v>80</v>
      </c>
      <c r="B8" s="27"/>
      <c r="C8" s="27"/>
      <c r="D8" s="27"/>
      <c r="E8" s="2"/>
      <c r="F8" s="35" t="str">
        <f>A8</f>
        <v>Round DER - Cap</v>
      </c>
      <c r="G8" s="35"/>
      <c r="H8" s="35"/>
      <c r="I8" s="35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11</v>
      </c>
      <c r="E10" s="4"/>
      <c r="F10" s="16" t="s">
        <v>2</v>
      </c>
      <c r="G10" s="16"/>
      <c r="H10" s="16" t="s">
        <v>5</v>
      </c>
      <c r="I10" s="13" t="str">
        <f>D10</f>
        <v>01C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77</v>
      </c>
      <c r="E11" s="4"/>
      <c r="F11" s="14" t="s">
        <v>3</v>
      </c>
      <c r="G11" s="15">
        <v>3</v>
      </c>
      <c r="H11" s="16" t="s">
        <v>6</v>
      </c>
      <c r="I11" s="13" t="str">
        <f>D11</f>
        <v>DER-C02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45</v>
      </c>
      <c r="B12" s="29"/>
      <c r="C12" s="29"/>
      <c r="D12" s="30"/>
      <c r="E12" s="5"/>
      <c r="F12" s="36" t="s">
        <v>45</v>
      </c>
      <c r="G12" s="36"/>
      <c r="H12" s="36"/>
      <c r="I12" s="36"/>
      <c r="K12" s="1">
        <v>500</v>
      </c>
      <c r="L12" s="1">
        <v>20</v>
      </c>
    </row>
    <row r="13" spans="1:12" s="1" customFormat="1" ht="30" customHeight="1" x14ac:dyDescent="0.25">
      <c r="A13" s="31" t="s">
        <v>54</v>
      </c>
      <c r="B13" s="32"/>
      <c r="C13" s="37" t="s">
        <v>9</v>
      </c>
      <c r="D13" s="34"/>
      <c r="E13" s="4"/>
      <c r="F13" s="38" t="str">
        <f>A13</f>
        <v>PP6331</v>
      </c>
      <c r="G13" s="38"/>
      <c r="H13" s="39" t="str">
        <f>C13</f>
        <v>White</v>
      </c>
      <c r="I13" s="39"/>
    </row>
    <row r="14" spans="1:12" s="1" customFormat="1" ht="30" customHeight="1" x14ac:dyDescent="0.25">
      <c r="A14" s="12" t="s">
        <v>4</v>
      </c>
      <c r="B14" s="25">
        <v>26232</v>
      </c>
      <c r="C14" s="25"/>
      <c r="D14" s="26"/>
      <c r="E14" s="4"/>
      <c r="F14" s="16" t="s">
        <v>4</v>
      </c>
      <c r="G14" s="38">
        <f>B14</f>
        <v>26232</v>
      </c>
      <c r="H14" s="38"/>
      <c r="I14" s="38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1:L14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19</v>
      </c>
      <c r="B1" s="27"/>
      <c r="C1" s="27"/>
      <c r="D1" s="27"/>
      <c r="E1" s="2"/>
      <c r="F1" s="27" t="str">
        <f>A1</f>
        <v>Round DER - Barrel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43</v>
      </c>
      <c r="E3" s="4"/>
      <c r="F3" s="11" t="s">
        <v>2</v>
      </c>
      <c r="G3" s="10"/>
      <c r="H3" s="11" t="s">
        <v>5</v>
      </c>
      <c r="I3" s="7" t="str">
        <f>D3</f>
        <v>05B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85</v>
      </c>
      <c r="E4" s="4"/>
      <c r="F4" s="8" t="s">
        <v>3</v>
      </c>
      <c r="G4" s="9">
        <v>3</v>
      </c>
      <c r="H4" s="11" t="s">
        <v>6</v>
      </c>
      <c r="I4" s="7" t="str">
        <f>D4</f>
        <v>DER-B04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51</v>
      </c>
      <c r="B5" s="29"/>
      <c r="C5" s="29"/>
      <c r="D5" s="30"/>
      <c r="E5" s="5"/>
      <c r="F5" s="28" t="s">
        <v>99</v>
      </c>
      <c r="G5" s="29"/>
      <c r="H5" s="29"/>
      <c r="I5" s="30"/>
      <c r="K5" s="1">
        <v>200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3" t="s">
        <v>98</v>
      </c>
      <c r="D6" s="34"/>
      <c r="E6" s="4"/>
      <c r="F6" s="31" t="str">
        <f>A6</f>
        <v>PP6331</v>
      </c>
      <c r="G6" s="32"/>
      <c r="H6" s="33" t="str">
        <f>C6</f>
        <v>Blue</v>
      </c>
      <c r="I6" s="34"/>
    </row>
    <row r="7" spans="1:12" s="1" customFormat="1" ht="30" customHeight="1" x14ac:dyDescent="0.25">
      <c r="A7" s="12" t="s">
        <v>4</v>
      </c>
      <c r="B7" s="25">
        <v>26626</v>
      </c>
      <c r="C7" s="25"/>
      <c r="D7" s="26"/>
      <c r="E7" s="4"/>
      <c r="F7" s="12" t="s">
        <v>4</v>
      </c>
      <c r="G7" s="25">
        <f>B7</f>
        <v>26626</v>
      </c>
      <c r="H7" s="25"/>
      <c r="I7" s="26"/>
    </row>
    <row r="8" spans="1:12" ht="63.75" customHeight="1" x14ac:dyDescent="0.25">
      <c r="A8" s="27" t="s">
        <v>19</v>
      </c>
      <c r="B8" s="27"/>
      <c r="C8" s="27"/>
      <c r="D8" s="27"/>
      <c r="E8" s="2"/>
      <c r="F8" s="35" t="str">
        <f>A8</f>
        <v>Round DER - Barrel</v>
      </c>
      <c r="G8" s="35"/>
      <c r="H8" s="35"/>
      <c r="I8" s="35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43</v>
      </c>
      <c r="E10" s="4"/>
      <c r="F10" s="16" t="s">
        <v>2</v>
      </c>
      <c r="G10" s="16"/>
      <c r="H10" s="16" t="s">
        <v>5</v>
      </c>
      <c r="I10" s="13" t="str">
        <f>D10</f>
        <v>05B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85</v>
      </c>
      <c r="E11" s="4"/>
      <c r="F11" s="14" t="s">
        <v>3</v>
      </c>
      <c r="G11" s="15">
        <v>3</v>
      </c>
      <c r="H11" s="16" t="s">
        <v>6</v>
      </c>
      <c r="I11" s="13" t="str">
        <f>D11</f>
        <v>DER-B04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51</v>
      </c>
      <c r="B12" s="29"/>
      <c r="C12" s="29"/>
      <c r="D12" s="30"/>
      <c r="E12" s="5"/>
      <c r="F12" s="36" t="s">
        <v>99</v>
      </c>
      <c r="G12" s="36"/>
      <c r="H12" s="36"/>
      <c r="I12" s="36"/>
      <c r="K12" s="1">
        <v>200</v>
      </c>
      <c r="L12" s="1">
        <v>20</v>
      </c>
    </row>
    <row r="13" spans="1:12" s="1" customFormat="1" ht="30" customHeight="1" x14ac:dyDescent="0.25">
      <c r="A13" s="31" t="s">
        <v>54</v>
      </c>
      <c r="B13" s="32"/>
      <c r="C13" s="33" t="s">
        <v>98</v>
      </c>
      <c r="D13" s="34"/>
      <c r="E13" s="4"/>
      <c r="F13" s="38" t="str">
        <f>A13</f>
        <v>PP6331</v>
      </c>
      <c r="G13" s="38"/>
      <c r="H13" s="44" t="str">
        <f>C13</f>
        <v>Blue</v>
      </c>
      <c r="I13" s="39"/>
    </row>
    <row r="14" spans="1:12" s="1" customFormat="1" ht="30" customHeight="1" x14ac:dyDescent="0.25">
      <c r="A14" s="12" t="s">
        <v>4</v>
      </c>
      <c r="B14" s="25">
        <v>26626</v>
      </c>
      <c r="C14" s="25"/>
      <c r="D14" s="26"/>
      <c r="E14" s="4"/>
      <c r="F14" s="16" t="s">
        <v>4</v>
      </c>
      <c r="G14" s="38">
        <f>B14</f>
        <v>26626</v>
      </c>
      <c r="H14" s="38"/>
      <c r="I14" s="38"/>
    </row>
  </sheetData>
  <mergeCells count="2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scale="9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L455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19</v>
      </c>
      <c r="B1" s="27"/>
      <c r="C1" s="27"/>
      <c r="D1" s="27"/>
      <c r="E1" s="2"/>
      <c r="F1" s="27" t="str">
        <f>A1</f>
        <v>Round DER - Barrel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55</v>
      </c>
      <c r="E3" s="4"/>
      <c r="F3" s="11" t="s">
        <v>2</v>
      </c>
      <c r="G3" s="10"/>
      <c r="H3" s="11" t="s">
        <v>5</v>
      </c>
      <c r="I3" s="7" t="str">
        <f>D3</f>
        <v>05C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56</v>
      </c>
      <c r="E4" s="4"/>
      <c r="F4" s="8" t="s">
        <v>3</v>
      </c>
      <c r="G4" s="9">
        <v>66</v>
      </c>
      <c r="H4" s="11" t="s">
        <v>6</v>
      </c>
      <c r="I4" s="7" t="str">
        <f>D4</f>
        <v>DER-B02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57</v>
      </c>
      <c r="B5" s="29"/>
      <c r="C5" s="29"/>
      <c r="D5" s="30"/>
      <c r="E5" s="5"/>
      <c r="F5" s="28" t="s">
        <v>57</v>
      </c>
      <c r="G5" s="29"/>
      <c r="H5" s="29"/>
      <c r="I5" s="30"/>
      <c r="K5" s="1">
        <v>230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3" t="s">
        <v>102</v>
      </c>
      <c r="D6" s="34"/>
      <c r="E6" s="4"/>
      <c r="F6" s="31" t="str">
        <f>A6</f>
        <v>PP6331</v>
      </c>
      <c r="G6" s="32"/>
      <c r="H6" s="33" t="str">
        <f>C6</f>
        <v>Yellow</v>
      </c>
      <c r="I6" s="34"/>
    </row>
    <row r="7" spans="1:12" s="1" customFormat="1" ht="30" customHeight="1" x14ac:dyDescent="0.25">
      <c r="A7" s="12" t="s">
        <v>4</v>
      </c>
      <c r="B7" s="25">
        <v>26094</v>
      </c>
      <c r="C7" s="25"/>
      <c r="D7" s="26"/>
      <c r="E7" s="4"/>
      <c r="F7" s="12" t="s">
        <v>4</v>
      </c>
      <c r="G7" s="25">
        <f>B7</f>
        <v>26094</v>
      </c>
      <c r="H7" s="25"/>
      <c r="I7" s="26"/>
    </row>
    <row r="8" spans="1:12" ht="63.75" customHeight="1" x14ac:dyDescent="0.25">
      <c r="A8" s="27" t="s">
        <v>19</v>
      </c>
      <c r="B8" s="27"/>
      <c r="C8" s="27"/>
      <c r="D8" s="27"/>
      <c r="E8" s="2"/>
      <c r="F8" s="27" t="str">
        <f>A8</f>
        <v>Round DER - Barrel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55</v>
      </c>
      <c r="E10" s="4"/>
      <c r="F10" s="11" t="s">
        <v>2</v>
      </c>
      <c r="G10" s="10"/>
      <c r="H10" s="11" t="s">
        <v>5</v>
      </c>
      <c r="I10" s="7" t="str">
        <f>D10</f>
        <v>05C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56</v>
      </c>
      <c r="E11" s="4"/>
      <c r="F11" s="8" t="s">
        <v>3</v>
      </c>
      <c r="G11" s="9">
        <v>67</v>
      </c>
      <c r="H11" s="11" t="s">
        <v>6</v>
      </c>
      <c r="I11" s="7" t="str">
        <f>D11</f>
        <v>DER-B02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57</v>
      </c>
      <c r="B12" s="29"/>
      <c r="C12" s="29"/>
      <c r="D12" s="30"/>
      <c r="E12" s="5"/>
      <c r="F12" s="28" t="s">
        <v>57</v>
      </c>
      <c r="G12" s="29"/>
      <c r="H12" s="29"/>
      <c r="I12" s="30"/>
      <c r="K12" s="1">
        <v>230</v>
      </c>
      <c r="L12" s="1">
        <v>20</v>
      </c>
    </row>
    <row r="13" spans="1:12" s="1" customFormat="1" ht="30" customHeight="1" x14ac:dyDescent="0.25">
      <c r="A13" s="31" t="s">
        <v>54</v>
      </c>
      <c r="B13" s="32"/>
      <c r="C13" s="33" t="s">
        <v>102</v>
      </c>
      <c r="D13" s="34"/>
      <c r="E13" s="4"/>
      <c r="F13" s="31" t="str">
        <f>A13</f>
        <v>PP6331</v>
      </c>
      <c r="G13" s="32"/>
      <c r="H13" s="33" t="str">
        <f>C13</f>
        <v>Yellow</v>
      </c>
      <c r="I13" s="34"/>
    </row>
    <row r="14" spans="1:12" s="1" customFormat="1" ht="30" customHeight="1" x14ac:dyDescent="0.25">
      <c r="A14" s="12" t="s">
        <v>4</v>
      </c>
      <c r="B14" s="25">
        <v>26094</v>
      </c>
      <c r="C14" s="25"/>
      <c r="D14" s="26"/>
      <c r="E14" s="4"/>
      <c r="F14" s="12" t="s">
        <v>4</v>
      </c>
      <c r="G14" s="25">
        <f>B14</f>
        <v>26094</v>
      </c>
      <c r="H14" s="25"/>
      <c r="I14" s="26"/>
    </row>
    <row r="15" spans="1:12" ht="63.75" customHeight="1" x14ac:dyDescent="0.25">
      <c r="A15" s="27" t="s">
        <v>19</v>
      </c>
      <c r="B15" s="27"/>
      <c r="C15" s="27"/>
      <c r="D15" s="27"/>
      <c r="E15" s="2"/>
      <c r="F15" s="27" t="str">
        <f>A15</f>
        <v>Round DER - Barrel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55</v>
      </c>
      <c r="E17" s="4"/>
      <c r="F17" s="11" t="s">
        <v>2</v>
      </c>
      <c r="G17" s="10"/>
      <c r="H17" s="11" t="s">
        <v>5</v>
      </c>
      <c r="I17" s="7" t="str">
        <f>D17</f>
        <v>05C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56</v>
      </c>
      <c r="E18" s="4"/>
      <c r="F18" s="8" t="s">
        <v>3</v>
      </c>
      <c r="G18" s="9">
        <v>68</v>
      </c>
      <c r="H18" s="11" t="s">
        <v>6</v>
      </c>
      <c r="I18" s="7" t="str">
        <f>D18</f>
        <v>DER-B02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57</v>
      </c>
      <c r="B19" s="29"/>
      <c r="C19" s="29"/>
      <c r="D19" s="30"/>
      <c r="E19" s="5"/>
      <c r="F19" s="28" t="s">
        <v>57</v>
      </c>
      <c r="G19" s="29"/>
      <c r="H19" s="29"/>
      <c r="I19" s="30"/>
      <c r="K19" s="1">
        <v>230</v>
      </c>
      <c r="L19" s="1">
        <v>20</v>
      </c>
    </row>
    <row r="20" spans="1:12" s="1" customFormat="1" ht="30" customHeight="1" x14ac:dyDescent="0.25">
      <c r="A20" s="31" t="s">
        <v>54</v>
      </c>
      <c r="B20" s="32"/>
      <c r="C20" s="33" t="s">
        <v>102</v>
      </c>
      <c r="D20" s="34"/>
      <c r="E20" s="4"/>
      <c r="F20" s="31" t="str">
        <f>A20</f>
        <v>PP6331</v>
      </c>
      <c r="G20" s="32"/>
      <c r="H20" s="33" t="str">
        <f>C20</f>
        <v>Yellow</v>
      </c>
      <c r="I20" s="34"/>
    </row>
    <row r="21" spans="1:12" s="1" customFormat="1" ht="30" customHeight="1" x14ac:dyDescent="0.25">
      <c r="A21" s="12" t="s">
        <v>4</v>
      </c>
      <c r="B21" s="25">
        <v>26094</v>
      </c>
      <c r="C21" s="25"/>
      <c r="D21" s="26"/>
      <c r="E21" s="4"/>
      <c r="F21" s="12" t="s">
        <v>4</v>
      </c>
      <c r="G21" s="25">
        <f>B21</f>
        <v>26094</v>
      </c>
      <c r="H21" s="25"/>
      <c r="I21" s="26"/>
    </row>
    <row r="22" spans="1:12" ht="63.75" customHeight="1" x14ac:dyDescent="0.25">
      <c r="A22" s="27" t="s">
        <v>19</v>
      </c>
      <c r="B22" s="27"/>
      <c r="C22" s="27"/>
      <c r="D22" s="27"/>
      <c r="E22" s="2"/>
      <c r="F22" s="27" t="str">
        <f>A22</f>
        <v>Round DER - Barrel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55</v>
      </c>
      <c r="E24" s="4"/>
      <c r="F24" s="11" t="s">
        <v>2</v>
      </c>
      <c r="G24" s="10"/>
      <c r="H24" s="11" t="s">
        <v>5</v>
      </c>
      <c r="I24" s="7" t="str">
        <f>D24</f>
        <v>05C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56</v>
      </c>
      <c r="E25" s="4"/>
      <c r="F25" s="8" t="s">
        <v>3</v>
      </c>
      <c r="G25" s="9">
        <v>69</v>
      </c>
      <c r="H25" s="11" t="s">
        <v>6</v>
      </c>
      <c r="I25" s="7" t="str">
        <f>D25</f>
        <v>DER-B02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57</v>
      </c>
      <c r="B26" s="29"/>
      <c r="C26" s="29"/>
      <c r="D26" s="30"/>
      <c r="E26" s="5"/>
      <c r="F26" s="28" t="s">
        <v>57</v>
      </c>
      <c r="G26" s="29"/>
      <c r="H26" s="29"/>
      <c r="I26" s="30"/>
      <c r="K26" s="1">
        <v>230</v>
      </c>
      <c r="L26" s="1">
        <v>20</v>
      </c>
    </row>
    <row r="27" spans="1:12" s="1" customFormat="1" ht="30" customHeight="1" x14ac:dyDescent="0.25">
      <c r="A27" s="31" t="s">
        <v>54</v>
      </c>
      <c r="B27" s="32"/>
      <c r="C27" s="33" t="s">
        <v>102</v>
      </c>
      <c r="D27" s="34"/>
      <c r="E27" s="4"/>
      <c r="F27" s="31" t="str">
        <f>A27</f>
        <v>PP6331</v>
      </c>
      <c r="G27" s="32"/>
      <c r="H27" s="33" t="str">
        <f>C27</f>
        <v>Yellow</v>
      </c>
      <c r="I27" s="34"/>
    </row>
    <row r="28" spans="1:12" s="1" customFormat="1" ht="30" customHeight="1" x14ac:dyDescent="0.25">
      <c r="A28" s="12" t="s">
        <v>4</v>
      </c>
      <c r="B28" s="25">
        <v>26094</v>
      </c>
      <c r="C28" s="25"/>
      <c r="D28" s="26"/>
      <c r="E28" s="4"/>
      <c r="F28" s="12" t="s">
        <v>4</v>
      </c>
      <c r="G28" s="25">
        <f>B28</f>
        <v>26094</v>
      </c>
      <c r="H28" s="25"/>
      <c r="I28" s="26"/>
    </row>
    <row r="29" spans="1:12" ht="63.75" customHeight="1" x14ac:dyDescent="0.25">
      <c r="A29" s="27" t="s">
        <v>19</v>
      </c>
      <c r="B29" s="27"/>
      <c r="C29" s="27"/>
      <c r="D29" s="27"/>
      <c r="E29" s="2"/>
      <c r="F29" s="27" t="str">
        <f>A29</f>
        <v>Round DER - Barrel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55</v>
      </c>
      <c r="E31" s="4"/>
      <c r="F31" s="11" t="s">
        <v>2</v>
      </c>
      <c r="G31" s="10"/>
      <c r="H31" s="11" t="s">
        <v>5</v>
      </c>
      <c r="I31" s="7" t="str">
        <f>D31</f>
        <v>05C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56</v>
      </c>
      <c r="E32" s="4"/>
      <c r="F32" s="8" t="s">
        <v>3</v>
      </c>
      <c r="G32" s="9">
        <v>70</v>
      </c>
      <c r="H32" s="11" t="s">
        <v>6</v>
      </c>
      <c r="I32" s="7" t="str">
        <f>D32</f>
        <v>DER-B02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57</v>
      </c>
      <c r="B33" s="29"/>
      <c r="C33" s="29"/>
      <c r="D33" s="30"/>
      <c r="E33" s="5"/>
      <c r="F33" s="28" t="s">
        <v>57</v>
      </c>
      <c r="G33" s="29"/>
      <c r="H33" s="29"/>
      <c r="I33" s="30"/>
      <c r="K33" s="1">
        <v>230</v>
      </c>
      <c r="L33" s="1">
        <v>20</v>
      </c>
    </row>
    <row r="34" spans="1:12" s="1" customFormat="1" ht="30" customHeight="1" x14ac:dyDescent="0.25">
      <c r="A34" s="31" t="s">
        <v>54</v>
      </c>
      <c r="B34" s="32"/>
      <c r="C34" s="33" t="s">
        <v>102</v>
      </c>
      <c r="D34" s="34"/>
      <c r="E34" s="4"/>
      <c r="F34" s="31" t="str">
        <f>A34</f>
        <v>PP6331</v>
      </c>
      <c r="G34" s="32"/>
      <c r="H34" s="33" t="str">
        <f>C34</f>
        <v>Yellow</v>
      </c>
      <c r="I34" s="34"/>
    </row>
    <row r="35" spans="1:12" s="1" customFormat="1" ht="30" customHeight="1" x14ac:dyDescent="0.25">
      <c r="A35" s="12" t="s">
        <v>4</v>
      </c>
      <c r="B35" s="25">
        <v>26094</v>
      </c>
      <c r="C35" s="25"/>
      <c r="D35" s="26"/>
      <c r="E35" s="4"/>
      <c r="F35" s="12" t="s">
        <v>4</v>
      </c>
      <c r="G35" s="25">
        <f>B35</f>
        <v>26094</v>
      </c>
      <c r="H35" s="25"/>
      <c r="I35" s="26"/>
    </row>
    <row r="36" spans="1:12" ht="63.75" customHeight="1" x14ac:dyDescent="0.25">
      <c r="A36" s="27" t="s">
        <v>19</v>
      </c>
      <c r="B36" s="27"/>
      <c r="C36" s="27"/>
      <c r="D36" s="27"/>
      <c r="E36" s="2"/>
      <c r="F36" s="27" t="str">
        <f>A36</f>
        <v>Round DER - Barrel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55</v>
      </c>
      <c r="E38" s="4"/>
      <c r="F38" s="11" t="s">
        <v>2</v>
      </c>
      <c r="G38" s="10"/>
      <c r="H38" s="11" t="s">
        <v>5</v>
      </c>
      <c r="I38" s="7" t="str">
        <f>D38</f>
        <v>05C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56</v>
      </c>
      <c r="E39" s="4"/>
      <c r="F39" s="8" t="s">
        <v>3</v>
      </c>
      <c r="G39" s="9">
        <v>71</v>
      </c>
      <c r="H39" s="11" t="s">
        <v>6</v>
      </c>
      <c r="I39" s="7" t="str">
        <f>D39</f>
        <v>DER-B02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57</v>
      </c>
      <c r="B40" s="29"/>
      <c r="C40" s="29"/>
      <c r="D40" s="30"/>
      <c r="E40" s="5"/>
      <c r="F40" s="28" t="s">
        <v>57</v>
      </c>
      <c r="G40" s="29"/>
      <c r="H40" s="29"/>
      <c r="I40" s="30"/>
      <c r="K40" s="1">
        <v>230</v>
      </c>
      <c r="L40" s="1">
        <v>20</v>
      </c>
    </row>
    <row r="41" spans="1:12" s="1" customFormat="1" ht="30" customHeight="1" x14ac:dyDescent="0.25">
      <c r="A41" s="31" t="s">
        <v>54</v>
      </c>
      <c r="B41" s="32"/>
      <c r="C41" s="33" t="s">
        <v>102</v>
      </c>
      <c r="D41" s="34"/>
      <c r="E41" s="4"/>
      <c r="F41" s="31" t="str">
        <f>A41</f>
        <v>PP6331</v>
      </c>
      <c r="G41" s="32"/>
      <c r="H41" s="33" t="str">
        <f>C41</f>
        <v>Yellow</v>
      </c>
      <c r="I41" s="34"/>
    </row>
    <row r="42" spans="1:12" s="1" customFormat="1" ht="30" customHeight="1" x14ac:dyDescent="0.25">
      <c r="A42" s="12" t="s">
        <v>4</v>
      </c>
      <c r="B42" s="25">
        <v>26094</v>
      </c>
      <c r="C42" s="25"/>
      <c r="D42" s="26"/>
      <c r="E42" s="4"/>
      <c r="F42" s="12" t="s">
        <v>4</v>
      </c>
      <c r="G42" s="25">
        <f>B42</f>
        <v>26094</v>
      </c>
      <c r="H42" s="25"/>
      <c r="I42" s="26"/>
    </row>
    <row r="43" spans="1:12" ht="63.75" customHeight="1" x14ac:dyDescent="0.25">
      <c r="A43" s="27" t="s">
        <v>19</v>
      </c>
      <c r="B43" s="27"/>
      <c r="C43" s="27"/>
      <c r="D43" s="27"/>
      <c r="E43" s="2"/>
      <c r="F43" s="27" t="str">
        <f>A43</f>
        <v>Round DER - Barrel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55</v>
      </c>
      <c r="E45" s="4"/>
      <c r="F45" s="11" t="s">
        <v>2</v>
      </c>
      <c r="G45" s="10"/>
      <c r="H45" s="11" t="s">
        <v>5</v>
      </c>
      <c r="I45" s="7" t="str">
        <f>D45</f>
        <v>05C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56</v>
      </c>
      <c r="E46" s="4"/>
      <c r="F46" s="8" t="s">
        <v>3</v>
      </c>
      <c r="G46" s="9">
        <v>72</v>
      </c>
      <c r="H46" s="11" t="s">
        <v>6</v>
      </c>
      <c r="I46" s="7" t="str">
        <f>D46</f>
        <v>DER-B02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57</v>
      </c>
      <c r="B47" s="29"/>
      <c r="C47" s="29"/>
      <c r="D47" s="30"/>
      <c r="E47" s="5"/>
      <c r="F47" s="28" t="s">
        <v>57</v>
      </c>
      <c r="G47" s="29"/>
      <c r="H47" s="29"/>
      <c r="I47" s="30"/>
      <c r="K47" s="1">
        <v>230</v>
      </c>
      <c r="L47" s="1">
        <v>20</v>
      </c>
    </row>
    <row r="48" spans="1:12" s="1" customFormat="1" ht="30" customHeight="1" x14ac:dyDescent="0.25">
      <c r="A48" s="31" t="s">
        <v>54</v>
      </c>
      <c r="B48" s="32"/>
      <c r="C48" s="33" t="s">
        <v>102</v>
      </c>
      <c r="D48" s="34"/>
      <c r="E48" s="4"/>
      <c r="F48" s="31" t="str">
        <f>A48</f>
        <v>PP6331</v>
      </c>
      <c r="G48" s="32"/>
      <c r="H48" s="33" t="str">
        <f>C48</f>
        <v>Yellow</v>
      </c>
      <c r="I48" s="34"/>
    </row>
    <row r="49" spans="1:12" s="1" customFormat="1" ht="30" customHeight="1" x14ac:dyDescent="0.25">
      <c r="A49" s="12" t="s">
        <v>4</v>
      </c>
      <c r="B49" s="25">
        <v>26094</v>
      </c>
      <c r="C49" s="25"/>
      <c r="D49" s="26"/>
      <c r="E49" s="4"/>
      <c r="F49" s="12" t="s">
        <v>4</v>
      </c>
      <c r="G49" s="25">
        <f>B49</f>
        <v>26094</v>
      </c>
      <c r="H49" s="25"/>
      <c r="I49" s="26"/>
    </row>
    <row r="50" spans="1:12" ht="63.75" customHeight="1" x14ac:dyDescent="0.25">
      <c r="A50" s="27" t="s">
        <v>19</v>
      </c>
      <c r="B50" s="27"/>
      <c r="C50" s="27"/>
      <c r="D50" s="27"/>
      <c r="E50" s="2"/>
      <c r="F50" s="27" t="str">
        <f>A50</f>
        <v>Round DER - Barrel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55</v>
      </c>
      <c r="E52" s="4"/>
      <c r="F52" s="11" t="s">
        <v>2</v>
      </c>
      <c r="G52" s="10"/>
      <c r="H52" s="11" t="s">
        <v>5</v>
      </c>
      <c r="I52" s="7" t="str">
        <f>D52</f>
        <v>05C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56</v>
      </c>
      <c r="E53" s="4"/>
      <c r="F53" s="8" t="s">
        <v>3</v>
      </c>
      <c r="G53" s="9">
        <v>73</v>
      </c>
      <c r="H53" s="11" t="s">
        <v>6</v>
      </c>
      <c r="I53" s="7" t="str">
        <f>D53</f>
        <v>DER-B02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57</v>
      </c>
      <c r="B54" s="29"/>
      <c r="C54" s="29"/>
      <c r="D54" s="30"/>
      <c r="E54" s="5"/>
      <c r="F54" s="28" t="s">
        <v>57</v>
      </c>
      <c r="G54" s="29"/>
      <c r="H54" s="29"/>
      <c r="I54" s="30"/>
      <c r="K54" s="1">
        <v>230</v>
      </c>
      <c r="L54" s="1">
        <v>20</v>
      </c>
    </row>
    <row r="55" spans="1:12" s="1" customFormat="1" ht="30" customHeight="1" x14ac:dyDescent="0.25">
      <c r="A55" s="31" t="s">
        <v>54</v>
      </c>
      <c r="B55" s="32"/>
      <c r="C55" s="33" t="s">
        <v>102</v>
      </c>
      <c r="D55" s="34"/>
      <c r="E55" s="4"/>
      <c r="F55" s="31" t="str">
        <f>A55</f>
        <v>PP6331</v>
      </c>
      <c r="G55" s="32"/>
      <c r="H55" s="33" t="str">
        <f>C55</f>
        <v>Yellow</v>
      </c>
      <c r="I55" s="34"/>
    </row>
    <row r="56" spans="1:12" s="1" customFormat="1" ht="30" customHeight="1" x14ac:dyDescent="0.25">
      <c r="A56" s="12" t="s">
        <v>4</v>
      </c>
      <c r="B56" s="25">
        <v>26094</v>
      </c>
      <c r="C56" s="25"/>
      <c r="D56" s="26"/>
      <c r="E56" s="4"/>
      <c r="F56" s="12" t="s">
        <v>4</v>
      </c>
      <c r="G56" s="25">
        <f>B56</f>
        <v>26094</v>
      </c>
      <c r="H56" s="25"/>
      <c r="I56" s="26"/>
    </row>
    <row r="57" spans="1:12" ht="63.75" customHeight="1" x14ac:dyDescent="0.25">
      <c r="A57" s="27" t="s">
        <v>19</v>
      </c>
      <c r="B57" s="27"/>
      <c r="C57" s="27"/>
      <c r="D57" s="27"/>
      <c r="E57" s="2"/>
      <c r="F57" s="27" t="str">
        <f>A57</f>
        <v>Round DER - Barrel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55</v>
      </c>
      <c r="E59" s="4"/>
      <c r="F59" s="11" t="s">
        <v>2</v>
      </c>
      <c r="G59" s="10"/>
      <c r="H59" s="11" t="s">
        <v>5</v>
      </c>
      <c r="I59" s="7" t="str">
        <f>D59</f>
        <v>05C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56</v>
      </c>
      <c r="E60" s="4"/>
      <c r="F60" s="8" t="s">
        <v>3</v>
      </c>
      <c r="G60" s="9">
        <v>74</v>
      </c>
      <c r="H60" s="11" t="s">
        <v>6</v>
      </c>
      <c r="I60" s="7" t="str">
        <f>D60</f>
        <v>DER-B02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57</v>
      </c>
      <c r="B61" s="29"/>
      <c r="C61" s="29"/>
      <c r="D61" s="30"/>
      <c r="E61" s="5"/>
      <c r="F61" s="28" t="s">
        <v>57</v>
      </c>
      <c r="G61" s="29"/>
      <c r="H61" s="29"/>
      <c r="I61" s="30"/>
      <c r="K61" s="1">
        <v>230</v>
      </c>
      <c r="L61" s="1">
        <v>20</v>
      </c>
    </row>
    <row r="62" spans="1:12" s="1" customFormat="1" ht="30" customHeight="1" x14ac:dyDescent="0.25">
      <c r="A62" s="31" t="s">
        <v>54</v>
      </c>
      <c r="B62" s="32"/>
      <c r="C62" s="33" t="s">
        <v>102</v>
      </c>
      <c r="D62" s="34"/>
      <c r="E62" s="4"/>
      <c r="F62" s="31" t="str">
        <f>A62</f>
        <v>PP6331</v>
      </c>
      <c r="G62" s="32"/>
      <c r="H62" s="33" t="str">
        <f>C62</f>
        <v>Yellow</v>
      </c>
      <c r="I62" s="34"/>
    </row>
    <row r="63" spans="1:12" s="1" customFormat="1" ht="30" customHeight="1" x14ac:dyDescent="0.25">
      <c r="A63" s="12" t="s">
        <v>4</v>
      </c>
      <c r="B63" s="25">
        <v>26094</v>
      </c>
      <c r="C63" s="25"/>
      <c r="D63" s="26"/>
      <c r="E63" s="4"/>
      <c r="F63" s="12" t="s">
        <v>4</v>
      </c>
      <c r="G63" s="25">
        <f>B63</f>
        <v>26094</v>
      </c>
      <c r="H63" s="25"/>
      <c r="I63" s="26"/>
    </row>
    <row r="64" spans="1:12" ht="63.75" customHeight="1" x14ac:dyDescent="0.25">
      <c r="A64" s="27" t="s">
        <v>19</v>
      </c>
      <c r="B64" s="27"/>
      <c r="C64" s="27"/>
      <c r="D64" s="27"/>
      <c r="E64" s="2"/>
      <c r="F64" s="27" t="str">
        <f>A64</f>
        <v>Round DER - Barrel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55</v>
      </c>
      <c r="E66" s="4"/>
      <c r="F66" s="11" t="s">
        <v>2</v>
      </c>
      <c r="G66" s="10"/>
      <c r="H66" s="11" t="s">
        <v>5</v>
      </c>
      <c r="I66" s="7" t="str">
        <f>D66</f>
        <v>05C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56</v>
      </c>
      <c r="E67" s="4"/>
      <c r="F67" s="8" t="s">
        <v>3</v>
      </c>
      <c r="G67" s="9">
        <v>75</v>
      </c>
      <c r="H67" s="11" t="s">
        <v>6</v>
      </c>
      <c r="I67" s="7" t="str">
        <f>D67</f>
        <v>DER-B02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57</v>
      </c>
      <c r="B68" s="29"/>
      <c r="C68" s="29"/>
      <c r="D68" s="30"/>
      <c r="E68" s="5"/>
      <c r="F68" s="28" t="s">
        <v>57</v>
      </c>
      <c r="G68" s="29"/>
      <c r="H68" s="29"/>
      <c r="I68" s="30"/>
      <c r="K68" s="1">
        <v>230</v>
      </c>
      <c r="L68" s="1">
        <v>20</v>
      </c>
    </row>
    <row r="69" spans="1:12" s="1" customFormat="1" ht="30" customHeight="1" x14ac:dyDescent="0.25">
      <c r="A69" s="31" t="s">
        <v>54</v>
      </c>
      <c r="B69" s="32"/>
      <c r="C69" s="33" t="s">
        <v>102</v>
      </c>
      <c r="D69" s="34"/>
      <c r="E69" s="4"/>
      <c r="F69" s="31" t="str">
        <f>A69</f>
        <v>PP6331</v>
      </c>
      <c r="G69" s="32"/>
      <c r="H69" s="33" t="str">
        <f>C69</f>
        <v>Yellow</v>
      </c>
      <c r="I69" s="34"/>
    </row>
    <row r="70" spans="1:12" s="1" customFormat="1" ht="30" customHeight="1" x14ac:dyDescent="0.25">
      <c r="A70" s="12" t="s">
        <v>4</v>
      </c>
      <c r="B70" s="25">
        <v>26094</v>
      </c>
      <c r="C70" s="25"/>
      <c r="D70" s="26"/>
      <c r="E70" s="4"/>
      <c r="F70" s="12" t="s">
        <v>4</v>
      </c>
      <c r="G70" s="25">
        <f>B70</f>
        <v>26094</v>
      </c>
      <c r="H70" s="25"/>
      <c r="I70" s="26"/>
    </row>
    <row r="71" spans="1:12" ht="63.75" customHeight="1" x14ac:dyDescent="0.25">
      <c r="A71" s="27" t="s">
        <v>19</v>
      </c>
      <c r="B71" s="27"/>
      <c r="C71" s="27"/>
      <c r="D71" s="27"/>
      <c r="E71" s="2"/>
      <c r="F71" s="27" t="str">
        <f>A71</f>
        <v>Round DER - Barrel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55</v>
      </c>
      <c r="E73" s="4"/>
      <c r="F73" s="11" t="s">
        <v>2</v>
      </c>
      <c r="G73" s="10"/>
      <c r="H73" s="11" t="s">
        <v>5</v>
      </c>
      <c r="I73" s="7" t="str">
        <f>D73</f>
        <v>05C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56</v>
      </c>
      <c r="E74" s="4"/>
      <c r="F74" s="8" t="s">
        <v>3</v>
      </c>
      <c r="G74" s="9">
        <v>76</v>
      </c>
      <c r="H74" s="11" t="s">
        <v>6</v>
      </c>
      <c r="I74" s="7" t="str">
        <f>D74</f>
        <v>DER-B02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57</v>
      </c>
      <c r="B75" s="29"/>
      <c r="C75" s="29"/>
      <c r="D75" s="30"/>
      <c r="E75" s="5"/>
      <c r="F75" s="28" t="s">
        <v>57</v>
      </c>
      <c r="G75" s="29"/>
      <c r="H75" s="29"/>
      <c r="I75" s="30"/>
      <c r="K75" s="1">
        <v>230</v>
      </c>
      <c r="L75" s="1">
        <v>20</v>
      </c>
    </row>
    <row r="76" spans="1:12" s="1" customFormat="1" ht="30" customHeight="1" x14ac:dyDescent="0.25">
      <c r="A76" s="31" t="s">
        <v>54</v>
      </c>
      <c r="B76" s="32"/>
      <c r="C76" s="33" t="s">
        <v>102</v>
      </c>
      <c r="D76" s="34"/>
      <c r="E76" s="4"/>
      <c r="F76" s="31" t="str">
        <f>A76</f>
        <v>PP6331</v>
      </c>
      <c r="G76" s="32"/>
      <c r="H76" s="33" t="str">
        <f>C76</f>
        <v>Yellow</v>
      </c>
      <c r="I76" s="34"/>
    </row>
    <row r="77" spans="1:12" s="1" customFormat="1" ht="30" customHeight="1" x14ac:dyDescent="0.25">
      <c r="A77" s="12" t="s">
        <v>4</v>
      </c>
      <c r="B77" s="25">
        <v>26094</v>
      </c>
      <c r="C77" s="25"/>
      <c r="D77" s="26"/>
      <c r="E77" s="4"/>
      <c r="F77" s="12" t="s">
        <v>4</v>
      </c>
      <c r="G77" s="25">
        <f>B77</f>
        <v>26094</v>
      </c>
      <c r="H77" s="25"/>
      <c r="I77" s="26"/>
    </row>
    <row r="78" spans="1:12" ht="63.75" customHeight="1" x14ac:dyDescent="0.25">
      <c r="A78" s="27" t="s">
        <v>19</v>
      </c>
      <c r="B78" s="27"/>
      <c r="C78" s="27"/>
      <c r="D78" s="27"/>
      <c r="E78" s="2"/>
      <c r="F78" s="27" t="str">
        <f>A78</f>
        <v>Round DER - Barrel</v>
      </c>
      <c r="G78" s="27"/>
      <c r="H78" s="27"/>
      <c r="I78" s="2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55</v>
      </c>
      <c r="E80" s="4"/>
      <c r="F80" s="11" t="s">
        <v>2</v>
      </c>
      <c r="G80" s="10"/>
      <c r="H80" s="11" t="s">
        <v>5</v>
      </c>
      <c r="I80" s="7" t="str">
        <f>D80</f>
        <v>05C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56</v>
      </c>
      <c r="E81" s="4"/>
      <c r="F81" s="8" t="s">
        <v>3</v>
      </c>
      <c r="G81" s="9">
        <v>77</v>
      </c>
      <c r="H81" s="11" t="s">
        <v>6</v>
      </c>
      <c r="I81" s="7" t="str">
        <f>D81</f>
        <v>DER-B02</v>
      </c>
      <c r="K81" s="6" t="s">
        <v>8</v>
      </c>
      <c r="L81" s="6" t="s">
        <v>7</v>
      </c>
    </row>
    <row r="82" spans="1:12" s="1" customFormat="1" ht="30" customHeight="1" x14ac:dyDescent="0.25">
      <c r="A82" s="28" t="s">
        <v>57</v>
      </c>
      <c r="B82" s="29"/>
      <c r="C82" s="29"/>
      <c r="D82" s="30"/>
      <c r="E82" s="5"/>
      <c r="F82" s="28" t="s">
        <v>57</v>
      </c>
      <c r="G82" s="29"/>
      <c r="H82" s="29"/>
      <c r="I82" s="30"/>
      <c r="K82" s="1">
        <v>230</v>
      </c>
      <c r="L82" s="1">
        <v>20</v>
      </c>
    </row>
    <row r="83" spans="1:12" s="1" customFormat="1" ht="30" customHeight="1" x14ac:dyDescent="0.25">
      <c r="A83" s="31" t="s">
        <v>54</v>
      </c>
      <c r="B83" s="32"/>
      <c r="C83" s="33" t="s">
        <v>102</v>
      </c>
      <c r="D83" s="34"/>
      <c r="E83" s="4"/>
      <c r="F83" s="31" t="str">
        <f>A83</f>
        <v>PP6331</v>
      </c>
      <c r="G83" s="32"/>
      <c r="H83" s="33" t="str">
        <f>C83</f>
        <v>Yellow</v>
      </c>
      <c r="I83" s="34"/>
    </row>
    <row r="84" spans="1:12" s="1" customFormat="1" ht="30" customHeight="1" x14ac:dyDescent="0.25">
      <c r="A84" s="12" t="s">
        <v>4</v>
      </c>
      <c r="B84" s="25">
        <v>26094</v>
      </c>
      <c r="C84" s="25"/>
      <c r="D84" s="26"/>
      <c r="E84" s="4"/>
      <c r="F84" s="12" t="s">
        <v>4</v>
      </c>
      <c r="G84" s="25">
        <f>B84</f>
        <v>26094</v>
      </c>
      <c r="H84" s="25"/>
      <c r="I84" s="26"/>
    </row>
    <row r="85" spans="1:12" ht="63.75" customHeight="1" x14ac:dyDescent="0.25">
      <c r="A85" s="27" t="s">
        <v>19</v>
      </c>
      <c r="B85" s="27"/>
      <c r="C85" s="27"/>
      <c r="D85" s="27"/>
      <c r="E85" s="2"/>
      <c r="F85" s="27" t="str">
        <f>A85</f>
        <v>Round DER - Barrel</v>
      </c>
      <c r="G85" s="27"/>
      <c r="H85" s="27"/>
      <c r="I85" s="27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55</v>
      </c>
      <c r="E87" s="4"/>
      <c r="F87" s="11" t="s">
        <v>2</v>
      </c>
      <c r="G87" s="10"/>
      <c r="H87" s="11" t="s">
        <v>5</v>
      </c>
      <c r="I87" s="7" t="str">
        <f>D87</f>
        <v>05C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56</v>
      </c>
      <c r="E88" s="4"/>
      <c r="F88" s="8" t="s">
        <v>3</v>
      </c>
      <c r="G88" s="9">
        <v>78</v>
      </c>
      <c r="H88" s="11" t="s">
        <v>6</v>
      </c>
      <c r="I88" s="7" t="str">
        <f>D88</f>
        <v>DER-B02</v>
      </c>
      <c r="K88" s="6" t="s">
        <v>8</v>
      </c>
      <c r="L88" s="6" t="s">
        <v>7</v>
      </c>
    </row>
    <row r="89" spans="1:12" s="1" customFormat="1" ht="30" customHeight="1" x14ac:dyDescent="0.25">
      <c r="A89" s="28" t="s">
        <v>57</v>
      </c>
      <c r="B89" s="29"/>
      <c r="C89" s="29"/>
      <c r="D89" s="30"/>
      <c r="E89" s="5"/>
      <c r="F89" s="28" t="s">
        <v>57</v>
      </c>
      <c r="G89" s="29"/>
      <c r="H89" s="29"/>
      <c r="I89" s="30"/>
      <c r="K89" s="1">
        <v>230</v>
      </c>
      <c r="L89" s="1">
        <v>20</v>
      </c>
    </row>
    <row r="90" spans="1:12" s="1" customFormat="1" ht="30" customHeight="1" x14ac:dyDescent="0.25">
      <c r="A90" s="31" t="s">
        <v>54</v>
      </c>
      <c r="B90" s="32"/>
      <c r="C90" s="33" t="s">
        <v>102</v>
      </c>
      <c r="D90" s="34"/>
      <c r="E90" s="4"/>
      <c r="F90" s="31" t="str">
        <f>A90</f>
        <v>PP6331</v>
      </c>
      <c r="G90" s="32"/>
      <c r="H90" s="33" t="str">
        <f>C90</f>
        <v>Yellow</v>
      </c>
      <c r="I90" s="34"/>
    </row>
    <row r="91" spans="1:12" s="1" customFormat="1" ht="30" customHeight="1" x14ac:dyDescent="0.25">
      <c r="A91" s="12" t="s">
        <v>4</v>
      </c>
      <c r="B91" s="25">
        <v>26094</v>
      </c>
      <c r="C91" s="25"/>
      <c r="D91" s="26"/>
      <c r="E91" s="4"/>
      <c r="F91" s="12" t="s">
        <v>4</v>
      </c>
      <c r="G91" s="25">
        <f>B91</f>
        <v>26094</v>
      </c>
      <c r="H91" s="25"/>
      <c r="I91" s="26"/>
    </row>
    <row r="92" spans="1:12" ht="63.75" customHeight="1" x14ac:dyDescent="0.25">
      <c r="A92" s="27" t="s">
        <v>19</v>
      </c>
      <c r="B92" s="27"/>
      <c r="C92" s="27"/>
      <c r="D92" s="27"/>
      <c r="E92" s="2"/>
      <c r="F92" s="27" t="str">
        <f>A92</f>
        <v>Round DER - Barrel</v>
      </c>
      <c r="G92" s="27"/>
      <c r="H92" s="27"/>
      <c r="I92" s="27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55</v>
      </c>
      <c r="E94" s="4"/>
      <c r="F94" s="11" t="s">
        <v>2</v>
      </c>
      <c r="G94" s="10"/>
      <c r="H94" s="11" t="s">
        <v>5</v>
      </c>
      <c r="I94" s="7" t="str">
        <f>D94</f>
        <v>05C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56</v>
      </c>
      <c r="E95" s="4"/>
      <c r="F95" s="8" t="s">
        <v>3</v>
      </c>
      <c r="G95" s="9">
        <v>79</v>
      </c>
      <c r="H95" s="11" t="s">
        <v>6</v>
      </c>
      <c r="I95" s="7" t="str">
        <f>D95</f>
        <v>DER-B02</v>
      </c>
      <c r="K95" s="6" t="s">
        <v>8</v>
      </c>
      <c r="L95" s="6" t="s">
        <v>7</v>
      </c>
    </row>
    <row r="96" spans="1:12" s="1" customFormat="1" ht="30" customHeight="1" x14ac:dyDescent="0.25">
      <c r="A96" s="28" t="s">
        <v>57</v>
      </c>
      <c r="B96" s="29"/>
      <c r="C96" s="29"/>
      <c r="D96" s="30"/>
      <c r="E96" s="5"/>
      <c r="F96" s="28" t="s">
        <v>57</v>
      </c>
      <c r="G96" s="29"/>
      <c r="H96" s="29"/>
      <c r="I96" s="30"/>
      <c r="K96" s="1">
        <v>230</v>
      </c>
      <c r="L96" s="1">
        <v>20</v>
      </c>
    </row>
    <row r="97" spans="1:12" s="1" customFormat="1" ht="30" customHeight="1" x14ac:dyDescent="0.25">
      <c r="A97" s="31" t="s">
        <v>54</v>
      </c>
      <c r="B97" s="32"/>
      <c r="C97" s="33" t="s">
        <v>102</v>
      </c>
      <c r="D97" s="34"/>
      <c r="E97" s="4"/>
      <c r="F97" s="31" t="str">
        <f>A97</f>
        <v>PP6331</v>
      </c>
      <c r="G97" s="32"/>
      <c r="H97" s="33" t="str">
        <f>C97</f>
        <v>Yellow</v>
      </c>
      <c r="I97" s="34"/>
    </row>
    <row r="98" spans="1:12" s="1" customFormat="1" ht="30" customHeight="1" x14ac:dyDescent="0.25">
      <c r="A98" s="12" t="s">
        <v>4</v>
      </c>
      <c r="B98" s="25">
        <v>26094</v>
      </c>
      <c r="C98" s="25"/>
      <c r="D98" s="26"/>
      <c r="E98" s="4"/>
      <c r="F98" s="12" t="s">
        <v>4</v>
      </c>
      <c r="G98" s="25">
        <f>B98</f>
        <v>26094</v>
      </c>
      <c r="H98" s="25"/>
      <c r="I98" s="26"/>
    </row>
    <row r="99" spans="1:12" ht="63.75" customHeight="1" x14ac:dyDescent="0.25">
      <c r="A99" s="27" t="s">
        <v>19</v>
      </c>
      <c r="B99" s="27"/>
      <c r="C99" s="27"/>
      <c r="D99" s="27"/>
      <c r="E99" s="2"/>
      <c r="F99" s="27" t="str">
        <f>A99</f>
        <v>Round DER - Barrel</v>
      </c>
      <c r="G99" s="27"/>
      <c r="H99" s="27"/>
      <c r="I99" s="27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55</v>
      </c>
      <c r="E101" s="4"/>
      <c r="F101" s="11" t="s">
        <v>2</v>
      </c>
      <c r="G101" s="10"/>
      <c r="H101" s="11" t="s">
        <v>5</v>
      </c>
      <c r="I101" s="7" t="str">
        <f>D101</f>
        <v>05C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56</v>
      </c>
      <c r="E102" s="4"/>
      <c r="F102" s="8" t="s">
        <v>3</v>
      </c>
      <c r="G102" s="9">
        <v>80</v>
      </c>
      <c r="H102" s="11" t="s">
        <v>6</v>
      </c>
      <c r="I102" s="7" t="str">
        <f>D102</f>
        <v>DER-B02</v>
      </c>
      <c r="K102" s="6" t="s">
        <v>8</v>
      </c>
      <c r="L102" s="6" t="s">
        <v>7</v>
      </c>
    </row>
    <row r="103" spans="1:12" s="1" customFormat="1" ht="30" customHeight="1" x14ac:dyDescent="0.25">
      <c r="A103" s="28" t="s">
        <v>57</v>
      </c>
      <c r="B103" s="29"/>
      <c r="C103" s="29"/>
      <c r="D103" s="30"/>
      <c r="E103" s="5"/>
      <c r="F103" s="28" t="s">
        <v>57</v>
      </c>
      <c r="G103" s="29"/>
      <c r="H103" s="29"/>
      <c r="I103" s="30"/>
      <c r="K103" s="1">
        <v>230</v>
      </c>
      <c r="L103" s="1">
        <v>20</v>
      </c>
    </row>
    <row r="104" spans="1:12" s="1" customFormat="1" ht="30" customHeight="1" x14ac:dyDescent="0.25">
      <c r="A104" s="31" t="s">
        <v>54</v>
      </c>
      <c r="B104" s="32"/>
      <c r="C104" s="33" t="s">
        <v>102</v>
      </c>
      <c r="D104" s="34"/>
      <c r="E104" s="4"/>
      <c r="F104" s="31" t="str">
        <f>A104</f>
        <v>PP6331</v>
      </c>
      <c r="G104" s="32"/>
      <c r="H104" s="33" t="str">
        <f>C104</f>
        <v>Yellow</v>
      </c>
      <c r="I104" s="34"/>
    </row>
    <row r="105" spans="1:12" s="1" customFormat="1" ht="30" customHeight="1" x14ac:dyDescent="0.25">
      <c r="A105" s="12" t="s">
        <v>4</v>
      </c>
      <c r="B105" s="25">
        <v>26094</v>
      </c>
      <c r="C105" s="25"/>
      <c r="D105" s="26"/>
      <c r="E105" s="4"/>
      <c r="F105" s="12" t="s">
        <v>4</v>
      </c>
      <c r="G105" s="25">
        <f>B105</f>
        <v>26094</v>
      </c>
      <c r="H105" s="25"/>
      <c r="I105" s="26"/>
    </row>
    <row r="106" spans="1:12" ht="63.75" customHeight="1" x14ac:dyDescent="0.25">
      <c r="A106" s="27" t="s">
        <v>19</v>
      </c>
      <c r="B106" s="27"/>
      <c r="C106" s="27"/>
      <c r="D106" s="27"/>
      <c r="E106" s="2"/>
      <c r="F106" s="27" t="str">
        <f>A106</f>
        <v>Round DER - Barrel</v>
      </c>
      <c r="G106" s="27"/>
      <c r="H106" s="27"/>
      <c r="I106" s="27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55</v>
      </c>
      <c r="E108" s="4"/>
      <c r="F108" s="11" t="s">
        <v>2</v>
      </c>
      <c r="G108" s="10"/>
      <c r="H108" s="11" t="s">
        <v>5</v>
      </c>
      <c r="I108" s="7" t="str">
        <f>D108</f>
        <v>05C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56</v>
      </c>
      <c r="E109" s="4"/>
      <c r="F109" s="8" t="s">
        <v>3</v>
      </c>
      <c r="G109" s="9">
        <v>81</v>
      </c>
      <c r="H109" s="11" t="s">
        <v>6</v>
      </c>
      <c r="I109" s="7" t="str">
        <f>D109</f>
        <v>DER-B02</v>
      </c>
      <c r="K109" s="6" t="s">
        <v>8</v>
      </c>
      <c r="L109" s="6" t="s">
        <v>7</v>
      </c>
    </row>
    <row r="110" spans="1:12" s="1" customFormat="1" ht="30" customHeight="1" x14ac:dyDescent="0.25">
      <c r="A110" s="28" t="s">
        <v>57</v>
      </c>
      <c r="B110" s="29"/>
      <c r="C110" s="29"/>
      <c r="D110" s="30"/>
      <c r="E110" s="5"/>
      <c r="F110" s="28" t="s">
        <v>57</v>
      </c>
      <c r="G110" s="29"/>
      <c r="H110" s="29"/>
      <c r="I110" s="30"/>
      <c r="K110" s="1">
        <v>230</v>
      </c>
      <c r="L110" s="1">
        <v>20</v>
      </c>
    </row>
    <row r="111" spans="1:12" s="1" customFormat="1" ht="30" customHeight="1" x14ac:dyDescent="0.25">
      <c r="A111" s="31" t="s">
        <v>54</v>
      </c>
      <c r="B111" s="32"/>
      <c r="C111" s="33" t="s">
        <v>102</v>
      </c>
      <c r="D111" s="34"/>
      <c r="E111" s="4"/>
      <c r="F111" s="31" t="str">
        <f>A111</f>
        <v>PP6331</v>
      </c>
      <c r="G111" s="32"/>
      <c r="H111" s="33" t="str">
        <f>C111</f>
        <v>Yellow</v>
      </c>
      <c r="I111" s="34"/>
    </row>
    <row r="112" spans="1:12" s="1" customFormat="1" ht="30" customHeight="1" x14ac:dyDescent="0.25">
      <c r="A112" s="12" t="s">
        <v>4</v>
      </c>
      <c r="B112" s="25">
        <v>26094</v>
      </c>
      <c r="C112" s="25"/>
      <c r="D112" s="26"/>
      <c r="E112" s="4"/>
      <c r="F112" s="12" t="s">
        <v>4</v>
      </c>
      <c r="G112" s="25">
        <f>B112</f>
        <v>26094</v>
      </c>
      <c r="H112" s="25"/>
      <c r="I112" s="26"/>
    </row>
    <row r="113" spans="1:12" ht="63.75" customHeight="1" x14ac:dyDescent="0.25">
      <c r="A113" s="27" t="s">
        <v>19</v>
      </c>
      <c r="B113" s="27"/>
      <c r="C113" s="27"/>
      <c r="D113" s="27"/>
      <c r="E113" s="2"/>
      <c r="F113" s="27" t="str">
        <f>A113</f>
        <v>Round DER - Barrel</v>
      </c>
      <c r="G113" s="27"/>
      <c r="H113" s="27"/>
      <c r="I113" s="27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55</v>
      </c>
      <c r="E115" s="4"/>
      <c r="F115" s="11" t="s">
        <v>2</v>
      </c>
      <c r="G115" s="10"/>
      <c r="H115" s="11" t="s">
        <v>5</v>
      </c>
      <c r="I115" s="7" t="str">
        <f>D115</f>
        <v>05C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56</v>
      </c>
      <c r="E116" s="4"/>
      <c r="F116" s="8" t="s">
        <v>3</v>
      </c>
      <c r="G116" s="9">
        <v>82</v>
      </c>
      <c r="H116" s="11" t="s">
        <v>6</v>
      </c>
      <c r="I116" s="7" t="str">
        <f>D116</f>
        <v>DER-B02</v>
      </c>
      <c r="K116" s="6" t="s">
        <v>8</v>
      </c>
      <c r="L116" s="6" t="s">
        <v>7</v>
      </c>
    </row>
    <row r="117" spans="1:12" s="1" customFormat="1" ht="30" customHeight="1" x14ac:dyDescent="0.25">
      <c r="A117" s="28" t="s">
        <v>57</v>
      </c>
      <c r="B117" s="29"/>
      <c r="C117" s="29"/>
      <c r="D117" s="30"/>
      <c r="E117" s="5"/>
      <c r="F117" s="28" t="s">
        <v>57</v>
      </c>
      <c r="G117" s="29"/>
      <c r="H117" s="29"/>
      <c r="I117" s="30"/>
      <c r="K117" s="1">
        <v>230</v>
      </c>
      <c r="L117" s="1">
        <v>20</v>
      </c>
    </row>
    <row r="118" spans="1:12" s="1" customFormat="1" ht="30" customHeight="1" x14ac:dyDescent="0.25">
      <c r="A118" s="31" t="s">
        <v>54</v>
      </c>
      <c r="B118" s="32"/>
      <c r="C118" s="33" t="s">
        <v>102</v>
      </c>
      <c r="D118" s="34"/>
      <c r="E118" s="4"/>
      <c r="F118" s="31" t="str">
        <f>A118</f>
        <v>PP6331</v>
      </c>
      <c r="G118" s="32"/>
      <c r="H118" s="33" t="str">
        <f>C118</f>
        <v>Yellow</v>
      </c>
      <c r="I118" s="34"/>
    </row>
    <row r="119" spans="1:12" s="1" customFormat="1" ht="30" customHeight="1" x14ac:dyDescent="0.25">
      <c r="A119" s="12" t="s">
        <v>4</v>
      </c>
      <c r="B119" s="25">
        <v>26094</v>
      </c>
      <c r="C119" s="25"/>
      <c r="D119" s="26"/>
      <c r="E119" s="4"/>
      <c r="F119" s="12" t="s">
        <v>4</v>
      </c>
      <c r="G119" s="25">
        <f>B119</f>
        <v>26094</v>
      </c>
      <c r="H119" s="25"/>
      <c r="I119" s="26"/>
    </row>
    <row r="120" spans="1:12" ht="63.75" customHeight="1" x14ac:dyDescent="0.25">
      <c r="A120" s="27" t="s">
        <v>19</v>
      </c>
      <c r="B120" s="27"/>
      <c r="C120" s="27"/>
      <c r="D120" s="27"/>
      <c r="E120" s="2"/>
      <c r="F120" s="27" t="str">
        <f>A120</f>
        <v>Round DER - Barrel</v>
      </c>
      <c r="G120" s="27"/>
      <c r="H120" s="27"/>
      <c r="I120" s="27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55</v>
      </c>
      <c r="E122" s="4"/>
      <c r="F122" s="11" t="s">
        <v>2</v>
      </c>
      <c r="G122" s="10"/>
      <c r="H122" s="11" t="s">
        <v>5</v>
      </c>
      <c r="I122" s="7" t="str">
        <f>D122</f>
        <v>05C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56</v>
      </c>
      <c r="E123" s="4"/>
      <c r="F123" s="8" t="s">
        <v>3</v>
      </c>
      <c r="G123" s="9">
        <v>83</v>
      </c>
      <c r="H123" s="11" t="s">
        <v>6</v>
      </c>
      <c r="I123" s="7" t="str">
        <f>D123</f>
        <v>DER-B02</v>
      </c>
      <c r="K123" s="6" t="s">
        <v>8</v>
      </c>
      <c r="L123" s="6" t="s">
        <v>7</v>
      </c>
    </row>
    <row r="124" spans="1:12" s="1" customFormat="1" ht="30" customHeight="1" x14ac:dyDescent="0.25">
      <c r="A124" s="28" t="s">
        <v>57</v>
      </c>
      <c r="B124" s="29"/>
      <c r="C124" s="29"/>
      <c r="D124" s="30"/>
      <c r="E124" s="5"/>
      <c r="F124" s="28" t="s">
        <v>57</v>
      </c>
      <c r="G124" s="29"/>
      <c r="H124" s="29"/>
      <c r="I124" s="30"/>
      <c r="K124" s="1">
        <v>230</v>
      </c>
      <c r="L124" s="1">
        <v>20</v>
      </c>
    </row>
    <row r="125" spans="1:12" s="1" customFormat="1" ht="30" customHeight="1" x14ac:dyDescent="0.25">
      <c r="A125" s="31" t="s">
        <v>54</v>
      </c>
      <c r="B125" s="32"/>
      <c r="C125" s="33" t="s">
        <v>102</v>
      </c>
      <c r="D125" s="34"/>
      <c r="E125" s="4"/>
      <c r="F125" s="31" t="str">
        <f>A125</f>
        <v>PP6331</v>
      </c>
      <c r="G125" s="32"/>
      <c r="H125" s="33" t="str">
        <f>C125</f>
        <v>Yellow</v>
      </c>
      <c r="I125" s="34"/>
    </row>
    <row r="126" spans="1:12" s="1" customFormat="1" ht="30" customHeight="1" x14ac:dyDescent="0.25">
      <c r="A126" s="12" t="s">
        <v>4</v>
      </c>
      <c r="B126" s="25">
        <v>26094</v>
      </c>
      <c r="C126" s="25"/>
      <c r="D126" s="26"/>
      <c r="E126" s="4"/>
      <c r="F126" s="12" t="s">
        <v>4</v>
      </c>
      <c r="G126" s="25">
        <f>B126</f>
        <v>26094</v>
      </c>
      <c r="H126" s="25"/>
      <c r="I126" s="26"/>
    </row>
    <row r="127" spans="1:12" ht="63.75" customHeight="1" x14ac:dyDescent="0.25">
      <c r="A127" s="27" t="s">
        <v>19</v>
      </c>
      <c r="B127" s="27"/>
      <c r="C127" s="27"/>
      <c r="D127" s="27"/>
      <c r="E127" s="2"/>
      <c r="F127" s="27" t="str">
        <f>A127</f>
        <v>Round DER - Barrel</v>
      </c>
      <c r="G127" s="27"/>
      <c r="H127" s="27"/>
      <c r="I127" s="27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55</v>
      </c>
      <c r="E129" s="4"/>
      <c r="F129" s="11" t="s">
        <v>2</v>
      </c>
      <c r="G129" s="10"/>
      <c r="H129" s="11" t="s">
        <v>5</v>
      </c>
      <c r="I129" s="7" t="str">
        <f>D129</f>
        <v>05C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56</v>
      </c>
      <c r="E130" s="4"/>
      <c r="F130" s="8" t="s">
        <v>3</v>
      </c>
      <c r="G130" s="9">
        <v>84</v>
      </c>
      <c r="H130" s="11" t="s">
        <v>6</v>
      </c>
      <c r="I130" s="7" t="str">
        <f>D130</f>
        <v>DER-B02</v>
      </c>
      <c r="K130" s="6" t="s">
        <v>8</v>
      </c>
      <c r="L130" s="6" t="s">
        <v>7</v>
      </c>
    </row>
    <row r="131" spans="1:12" s="1" customFormat="1" ht="30" customHeight="1" x14ac:dyDescent="0.25">
      <c r="A131" s="28" t="s">
        <v>57</v>
      </c>
      <c r="B131" s="29"/>
      <c r="C131" s="29"/>
      <c r="D131" s="30"/>
      <c r="E131" s="5"/>
      <c r="F131" s="28" t="s">
        <v>57</v>
      </c>
      <c r="G131" s="29"/>
      <c r="H131" s="29"/>
      <c r="I131" s="30"/>
      <c r="K131" s="1">
        <v>230</v>
      </c>
      <c r="L131" s="1">
        <v>20</v>
      </c>
    </row>
    <row r="132" spans="1:12" s="1" customFormat="1" ht="30" customHeight="1" x14ac:dyDescent="0.25">
      <c r="A132" s="31" t="s">
        <v>54</v>
      </c>
      <c r="B132" s="32"/>
      <c r="C132" s="33" t="s">
        <v>102</v>
      </c>
      <c r="D132" s="34"/>
      <c r="E132" s="4"/>
      <c r="F132" s="31" t="str">
        <f>A132</f>
        <v>PP6331</v>
      </c>
      <c r="G132" s="32"/>
      <c r="H132" s="33" t="str">
        <f>C132</f>
        <v>Yellow</v>
      </c>
      <c r="I132" s="34"/>
    </row>
    <row r="133" spans="1:12" s="1" customFormat="1" ht="30" customHeight="1" x14ac:dyDescent="0.25">
      <c r="A133" s="12" t="s">
        <v>4</v>
      </c>
      <c r="B133" s="25">
        <v>26094</v>
      </c>
      <c r="C133" s="25"/>
      <c r="D133" s="26"/>
      <c r="E133" s="4"/>
      <c r="F133" s="12" t="s">
        <v>4</v>
      </c>
      <c r="G133" s="25">
        <f>B133</f>
        <v>26094</v>
      </c>
      <c r="H133" s="25"/>
      <c r="I133" s="26"/>
    </row>
    <row r="134" spans="1:12" ht="63.75" customHeight="1" x14ac:dyDescent="0.25">
      <c r="A134" s="27" t="s">
        <v>19</v>
      </c>
      <c r="B134" s="27"/>
      <c r="C134" s="27"/>
      <c r="D134" s="27"/>
      <c r="E134" s="2"/>
      <c r="F134" s="27" t="str">
        <f>A134</f>
        <v>Round DER - Barrel</v>
      </c>
      <c r="G134" s="27"/>
      <c r="H134" s="27"/>
      <c r="I134" s="27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55</v>
      </c>
      <c r="E136" s="4"/>
      <c r="F136" s="11" t="s">
        <v>2</v>
      </c>
      <c r="G136" s="10"/>
      <c r="H136" s="11" t="s">
        <v>5</v>
      </c>
      <c r="I136" s="7" t="str">
        <f>D136</f>
        <v>05C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56</v>
      </c>
      <c r="E137" s="4"/>
      <c r="F137" s="8" t="s">
        <v>3</v>
      </c>
      <c r="G137" s="9">
        <v>85</v>
      </c>
      <c r="H137" s="11" t="s">
        <v>6</v>
      </c>
      <c r="I137" s="7" t="str">
        <f>D137</f>
        <v>DER-B02</v>
      </c>
      <c r="K137" s="6" t="s">
        <v>8</v>
      </c>
      <c r="L137" s="6" t="s">
        <v>7</v>
      </c>
    </row>
    <row r="138" spans="1:12" s="1" customFormat="1" ht="30" customHeight="1" x14ac:dyDescent="0.25">
      <c r="A138" s="28" t="s">
        <v>57</v>
      </c>
      <c r="B138" s="29"/>
      <c r="C138" s="29"/>
      <c r="D138" s="30"/>
      <c r="E138" s="5"/>
      <c r="F138" s="28" t="s">
        <v>57</v>
      </c>
      <c r="G138" s="29"/>
      <c r="H138" s="29"/>
      <c r="I138" s="30"/>
      <c r="K138" s="1">
        <v>230</v>
      </c>
      <c r="L138" s="1">
        <v>20</v>
      </c>
    </row>
    <row r="139" spans="1:12" s="1" customFormat="1" ht="30" customHeight="1" x14ac:dyDescent="0.25">
      <c r="A139" s="31" t="s">
        <v>54</v>
      </c>
      <c r="B139" s="32"/>
      <c r="C139" s="33" t="s">
        <v>102</v>
      </c>
      <c r="D139" s="34"/>
      <c r="E139" s="4"/>
      <c r="F139" s="31" t="str">
        <f>A139</f>
        <v>PP6331</v>
      </c>
      <c r="G139" s="32"/>
      <c r="H139" s="33" t="str">
        <f>C139</f>
        <v>Yellow</v>
      </c>
      <c r="I139" s="34"/>
    </row>
    <row r="140" spans="1:12" s="1" customFormat="1" ht="30" customHeight="1" x14ac:dyDescent="0.25">
      <c r="A140" s="12" t="s">
        <v>4</v>
      </c>
      <c r="B140" s="25">
        <v>26094</v>
      </c>
      <c r="C140" s="25"/>
      <c r="D140" s="26"/>
      <c r="E140" s="4"/>
      <c r="F140" s="12" t="s">
        <v>4</v>
      </c>
      <c r="G140" s="25">
        <f>B140</f>
        <v>26094</v>
      </c>
      <c r="H140" s="25"/>
      <c r="I140" s="26"/>
    </row>
    <row r="141" spans="1:12" ht="63.75" customHeight="1" x14ac:dyDescent="0.25">
      <c r="A141" s="27" t="s">
        <v>19</v>
      </c>
      <c r="B141" s="27"/>
      <c r="C141" s="27"/>
      <c r="D141" s="27"/>
      <c r="E141" s="2"/>
      <c r="F141" s="27" t="str">
        <f>A141</f>
        <v>Round DER - Barrel</v>
      </c>
      <c r="G141" s="27"/>
      <c r="H141" s="27"/>
      <c r="I141" s="27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55</v>
      </c>
      <c r="E143" s="4"/>
      <c r="F143" s="11" t="s">
        <v>2</v>
      </c>
      <c r="G143" s="10"/>
      <c r="H143" s="11" t="s">
        <v>5</v>
      </c>
      <c r="I143" s="7" t="str">
        <f>D143</f>
        <v>05C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56</v>
      </c>
      <c r="E144" s="4"/>
      <c r="F144" s="8" t="s">
        <v>3</v>
      </c>
      <c r="G144" s="9">
        <v>86</v>
      </c>
      <c r="H144" s="11" t="s">
        <v>6</v>
      </c>
      <c r="I144" s="7" t="str">
        <f>D144</f>
        <v>DER-B02</v>
      </c>
      <c r="K144" s="6" t="s">
        <v>8</v>
      </c>
      <c r="L144" s="6" t="s">
        <v>7</v>
      </c>
    </row>
    <row r="145" spans="1:12" s="1" customFormat="1" ht="30" customHeight="1" x14ac:dyDescent="0.25">
      <c r="A145" s="28" t="s">
        <v>57</v>
      </c>
      <c r="B145" s="29"/>
      <c r="C145" s="29"/>
      <c r="D145" s="30"/>
      <c r="E145" s="5"/>
      <c r="F145" s="28" t="s">
        <v>57</v>
      </c>
      <c r="G145" s="29"/>
      <c r="H145" s="29"/>
      <c r="I145" s="30"/>
      <c r="K145" s="1">
        <v>230</v>
      </c>
      <c r="L145" s="1">
        <v>20</v>
      </c>
    </row>
    <row r="146" spans="1:12" s="1" customFormat="1" ht="30" customHeight="1" x14ac:dyDescent="0.25">
      <c r="A146" s="31" t="s">
        <v>54</v>
      </c>
      <c r="B146" s="32"/>
      <c r="C146" s="33" t="s">
        <v>102</v>
      </c>
      <c r="D146" s="34"/>
      <c r="E146" s="4"/>
      <c r="F146" s="31" t="str">
        <f>A146</f>
        <v>PP6331</v>
      </c>
      <c r="G146" s="32"/>
      <c r="H146" s="33" t="str">
        <f>C146</f>
        <v>Yellow</v>
      </c>
      <c r="I146" s="34"/>
    </row>
    <row r="147" spans="1:12" s="1" customFormat="1" ht="30" customHeight="1" x14ac:dyDescent="0.25">
      <c r="A147" s="12" t="s">
        <v>4</v>
      </c>
      <c r="B147" s="25">
        <v>26094</v>
      </c>
      <c r="C147" s="25"/>
      <c r="D147" s="26"/>
      <c r="E147" s="4"/>
      <c r="F147" s="12" t="s">
        <v>4</v>
      </c>
      <c r="G147" s="25">
        <f>B147</f>
        <v>26094</v>
      </c>
      <c r="H147" s="25"/>
      <c r="I147" s="26"/>
    </row>
    <row r="148" spans="1:12" ht="63.75" customHeight="1" x14ac:dyDescent="0.25">
      <c r="A148" s="27" t="s">
        <v>19</v>
      </c>
      <c r="B148" s="27"/>
      <c r="C148" s="27"/>
      <c r="D148" s="27"/>
      <c r="E148" s="2"/>
      <c r="F148" s="27" t="str">
        <f>A148</f>
        <v>Round DER - Barrel</v>
      </c>
      <c r="G148" s="27"/>
      <c r="H148" s="27"/>
      <c r="I148" s="27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55</v>
      </c>
      <c r="E150" s="4"/>
      <c r="F150" s="11" t="s">
        <v>2</v>
      </c>
      <c r="G150" s="10"/>
      <c r="H150" s="11" t="s">
        <v>5</v>
      </c>
      <c r="I150" s="7" t="str">
        <f>D150</f>
        <v>05C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56</v>
      </c>
      <c r="E151" s="4"/>
      <c r="F151" s="8" t="s">
        <v>3</v>
      </c>
      <c r="G151" s="9">
        <v>87</v>
      </c>
      <c r="H151" s="11" t="s">
        <v>6</v>
      </c>
      <c r="I151" s="7" t="str">
        <f>D151</f>
        <v>DER-B02</v>
      </c>
      <c r="K151" s="6" t="s">
        <v>8</v>
      </c>
      <c r="L151" s="6" t="s">
        <v>7</v>
      </c>
    </row>
    <row r="152" spans="1:12" s="1" customFormat="1" ht="30" customHeight="1" x14ac:dyDescent="0.25">
      <c r="A152" s="28" t="s">
        <v>57</v>
      </c>
      <c r="B152" s="29"/>
      <c r="C152" s="29"/>
      <c r="D152" s="30"/>
      <c r="E152" s="5"/>
      <c r="F152" s="28" t="s">
        <v>57</v>
      </c>
      <c r="G152" s="29"/>
      <c r="H152" s="29"/>
      <c r="I152" s="30"/>
      <c r="K152" s="1">
        <v>230</v>
      </c>
      <c r="L152" s="1">
        <v>20</v>
      </c>
    </row>
    <row r="153" spans="1:12" s="1" customFormat="1" ht="30" customHeight="1" x14ac:dyDescent="0.25">
      <c r="A153" s="31" t="s">
        <v>54</v>
      </c>
      <c r="B153" s="32"/>
      <c r="C153" s="33" t="s">
        <v>102</v>
      </c>
      <c r="D153" s="34"/>
      <c r="E153" s="4"/>
      <c r="F153" s="31" t="str">
        <f>A153</f>
        <v>PP6331</v>
      </c>
      <c r="G153" s="32"/>
      <c r="H153" s="33" t="str">
        <f>C153</f>
        <v>Yellow</v>
      </c>
      <c r="I153" s="34"/>
    </row>
    <row r="154" spans="1:12" s="1" customFormat="1" ht="30" customHeight="1" x14ac:dyDescent="0.25">
      <c r="A154" s="12" t="s">
        <v>4</v>
      </c>
      <c r="B154" s="25">
        <v>26094</v>
      </c>
      <c r="C154" s="25"/>
      <c r="D154" s="26"/>
      <c r="E154" s="4"/>
      <c r="F154" s="12" t="s">
        <v>4</v>
      </c>
      <c r="G154" s="25">
        <f>B154</f>
        <v>26094</v>
      </c>
      <c r="H154" s="25"/>
      <c r="I154" s="26"/>
    </row>
    <row r="155" spans="1:12" ht="63.75" customHeight="1" x14ac:dyDescent="0.25">
      <c r="A155" s="27" t="s">
        <v>19</v>
      </c>
      <c r="B155" s="27"/>
      <c r="C155" s="27"/>
      <c r="D155" s="27"/>
      <c r="E155" s="2"/>
      <c r="F155" s="27" t="str">
        <f>A155</f>
        <v>Round DER - Barrel</v>
      </c>
      <c r="G155" s="27"/>
      <c r="H155" s="27"/>
      <c r="I155" s="27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55</v>
      </c>
      <c r="E157" s="4"/>
      <c r="F157" s="11" t="s">
        <v>2</v>
      </c>
      <c r="G157" s="10"/>
      <c r="H157" s="11" t="s">
        <v>5</v>
      </c>
      <c r="I157" s="7" t="str">
        <f>D157</f>
        <v>05C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56</v>
      </c>
      <c r="E158" s="4"/>
      <c r="F158" s="8" t="s">
        <v>3</v>
      </c>
      <c r="G158" s="9">
        <v>88</v>
      </c>
      <c r="H158" s="11" t="s">
        <v>6</v>
      </c>
      <c r="I158" s="7" t="str">
        <f>D158</f>
        <v>DER-B02</v>
      </c>
      <c r="K158" s="6" t="s">
        <v>8</v>
      </c>
      <c r="L158" s="6" t="s">
        <v>7</v>
      </c>
    </row>
    <row r="159" spans="1:12" s="1" customFormat="1" ht="30" customHeight="1" x14ac:dyDescent="0.25">
      <c r="A159" s="28" t="s">
        <v>57</v>
      </c>
      <c r="B159" s="29"/>
      <c r="C159" s="29"/>
      <c r="D159" s="30"/>
      <c r="E159" s="5"/>
      <c r="F159" s="28" t="s">
        <v>57</v>
      </c>
      <c r="G159" s="29"/>
      <c r="H159" s="29"/>
      <c r="I159" s="30"/>
      <c r="K159" s="1">
        <v>230</v>
      </c>
      <c r="L159" s="1">
        <v>20</v>
      </c>
    </row>
    <row r="160" spans="1:12" s="1" customFormat="1" ht="30" customHeight="1" x14ac:dyDescent="0.25">
      <c r="A160" s="31" t="s">
        <v>54</v>
      </c>
      <c r="B160" s="32"/>
      <c r="C160" s="33" t="s">
        <v>102</v>
      </c>
      <c r="D160" s="34"/>
      <c r="E160" s="4"/>
      <c r="F160" s="31" t="str">
        <f>A160</f>
        <v>PP6331</v>
      </c>
      <c r="G160" s="32"/>
      <c r="H160" s="33" t="str">
        <f>C160</f>
        <v>Yellow</v>
      </c>
      <c r="I160" s="34"/>
    </row>
    <row r="161" spans="1:12" s="1" customFormat="1" ht="30" customHeight="1" x14ac:dyDescent="0.25">
      <c r="A161" s="12" t="s">
        <v>4</v>
      </c>
      <c r="B161" s="25">
        <v>26094</v>
      </c>
      <c r="C161" s="25"/>
      <c r="D161" s="26"/>
      <c r="E161" s="4"/>
      <c r="F161" s="12" t="s">
        <v>4</v>
      </c>
      <c r="G161" s="25">
        <f>B161</f>
        <v>26094</v>
      </c>
      <c r="H161" s="25"/>
      <c r="I161" s="26"/>
    </row>
    <row r="162" spans="1:12" ht="63.75" customHeight="1" x14ac:dyDescent="0.25">
      <c r="A162" s="27" t="s">
        <v>19</v>
      </c>
      <c r="B162" s="27"/>
      <c r="C162" s="27"/>
      <c r="D162" s="27"/>
      <c r="E162" s="2"/>
      <c r="F162" s="27" t="str">
        <f>A162</f>
        <v>Round DER - Barrel</v>
      </c>
      <c r="G162" s="27"/>
      <c r="H162" s="27"/>
      <c r="I162" s="27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55</v>
      </c>
      <c r="E164" s="4"/>
      <c r="F164" s="11" t="s">
        <v>2</v>
      </c>
      <c r="G164" s="10"/>
      <c r="H164" s="11" t="s">
        <v>5</v>
      </c>
      <c r="I164" s="7" t="str">
        <f>D164</f>
        <v>05C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56</v>
      </c>
      <c r="E165" s="4"/>
      <c r="F165" s="8" t="s">
        <v>3</v>
      </c>
      <c r="G165" s="9">
        <v>89</v>
      </c>
      <c r="H165" s="11" t="s">
        <v>6</v>
      </c>
      <c r="I165" s="7" t="str">
        <f>D165</f>
        <v>DER-B02</v>
      </c>
      <c r="K165" s="6" t="s">
        <v>8</v>
      </c>
      <c r="L165" s="6" t="s">
        <v>7</v>
      </c>
    </row>
    <row r="166" spans="1:12" s="1" customFormat="1" ht="30" customHeight="1" x14ac:dyDescent="0.25">
      <c r="A166" s="28" t="s">
        <v>57</v>
      </c>
      <c r="B166" s="29"/>
      <c r="C166" s="29"/>
      <c r="D166" s="30"/>
      <c r="E166" s="5"/>
      <c r="F166" s="28" t="s">
        <v>57</v>
      </c>
      <c r="G166" s="29"/>
      <c r="H166" s="29"/>
      <c r="I166" s="30"/>
      <c r="K166" s="1">
        <v>230</v>
      </c>
      <c r="L166" s="1">
        <v>20</v>
      </c>
    </row>
    <row r="167" spans="1:12" s="1" customFormat="1" ht="30" customHeight="1" x14ac:dyDescent="0.25">
      <c r="A167" s="31" t="s">
        <v>54</v>
      </c>
      <c r="B167" s="32"/>
      <c r="C167" s="33" t="s">
        <v>102</v>
      </c>
      <c r="D167" s="34"/>
      <c r="E167" s="4"/>
      <c r="F167" s="31" t="str">
        <f>A167</f>
        <v>PP6331</v>
      </c>
      <c r="G167" s="32"/>
      <c r="H167" s="33" t="str">
        <f>C167</f>
        <v>Yellow</v>
      </c>
      <c r="I167" s="34"/>
    </row>
    <row r="168" spans="1:12" s="1" customFormat="1" ht="30" customHeight="1" x14ac:dyDescent="0.25">
      <c r="A168" s="12" t="s">
        <v>4</v>
      </c>
      <c r="B168" s="25">
        <v>26094</v>
      </c>
      <c r="C168" s="25"/>
      <c r="D168" s="26"/>
      <c r="E168" s="4"/>
      <c r="F168" s="12" t="s">
        <v>4</v>
      </c>
      <c r="G168" s="25">
        <f>B168</f>
        <v>26094</v>
      </c>
      <c r="H168" s="25"/>
      <c r="I168" s="26"/>
    </row>
    <row r="169" spans="1:12" ht="63.75" customHeight="1" x14ac:dyDescent="0.25">
      <c r="A169" s="27" t="s">
        <v>19</v>
      </c>
      <c r="B169" s="27"/>
      <c r="C169" s="27"/>
      <c r="D169" s="27"/>
      <c r="E169" s="2"/>
      <c r="F169" s="27" t="str">
        <f>A169</f>
        <v>Round DER - Barrel</v>
      </c>
      <c r="G169" s="27"/>
      <c r="H169" s="27"/>
      <c r="I169" s="27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55</v>
      </c>
      <c r="E171" s="4"/>
      <c r="F171" s="11" t="s">
        <v>2</v>
      </c>
      <c r="G171" s="10"/>
      <c r="H171" s="11" t="s">
        <v>5</v>
      </c>
      <c r="I171" s="7" t="str">
        <f>D171</f>
        <v>05C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56</v>
      </c>
      <c r="E172" s="4"/>
      <c r="F172" s="8" t="s">
        <v>3</v>
      </c>
      <c r="G172" s="9">
        <v>90</v>
      </c>
      <c r="H172" s="11" t="s">
        <v>6</v>
      </c>
      <c r="I172" s="7" t="str">
        <f>D172</f>
        <v>DER-B02</v>
      </c>
      <c r="K172" s="6" t="s">
        <v>8</v>
      </c>
      <c r="L172" s="6" t="s">
        <v>7</v>
      </c>
    </row>
    <row r="173" spans="1:12" s="1" customFormat="1" ht="30" customHeight="1" x14ac:dyDescent="0.25">
      <c r="A173" s="28" t="s">
        <v>57</v>
      </c>
      <c r="B173" s="29"/>
      <c r="C173" s="29"/>
      <c r="D173" s="30"/>
      <c r="E173" s="5"/>
      <c r="F173" s="28" t="s">
        <v>57</v>
      </c>
      <c r="G173" s="29"/>
      <c r="H173" s="29"/>
      <c r="I173" s="30"/>
      <c r="K173" s="1">
        <v>230</v>
      </c>
      <c r="L173" s="1">
        <v>20</v>
      </c>
    </row>
    <row r="174" spans="1:12" s="1" customFormat="1" ht="30" customHeight="1" x14ac:dyDescent="0.25">
      <c r="A174" s="31" t="s">
        <v>54</v>
      </c>
      <c r="B174" s="32"/>
      <c r="C174" s="33" t="s">
        <v>102</v>
      </c>
      <c r="D174" s="34"/>
      <c r="E174" s="4"/>
      <c r="F174" s="31" t="str">
        <f>A174</f>
        <v>PP6331</v>
      </c>
      <c r="G174" s="32"/>
      <c r="H174" s="33" t="str">
        <f>C174</f>
        <v>Yellow</v>
      </c>
      <c r="I174" s="34"/>
    </row>
    <row r="175" spans="1:12" s="1" customFormat="1" ht="30" customHeight="1" x14ac:dyDescent="0.25">
      <c r="A175" s="12" t="s">
        <v>4</v>
      </c>
      <c r="B175" s="25">
        <v>26094</v>
      </c>
      <c r="C175" s="25"/>
      <c r="D175" s="26"/>
      <c r="E175" s="4"/>
      <c r="F175" s="12" t="s">
        <v>4</v>
      </c>
      <c r="G175" s="25">
        <f>B175</f>
        <v>26094</v>
      </c>
      <c r="H175" s="25"/>
      <c r="I175" s="26"/>
    </row>
    <row r="176" spans="1:12" ht="63.75" customHeight="1" x14ac:dyDescent="0.25">
      <c r="A176" s="27" t="s">
        <v>19</v>
      </c>
      <c r="B176" s="27"/>
      <c r="C176" s="27"/>
      <c r="D176" s="27"/>
      <c r="E176" s="2"/>
      <c r="F176" s="27" t="str">
        <f>A176</f>
        <v>Round DER - Barrel</v>
      </c>
      <c r="G176" s="27"/>
      <c r="H176" s="27"/>
      <c r="I176" s="27"/>
    </row>
    <row r="177" spans="1:12" s="1" customFormat="1" ht="30" customHeight="1" x14ac:dyDescent="0.25">
      <c r="A177" s="11" t="s">
        <v>0</v>
      </c>
      <c r="B177" s="10"/>
      <c r="C177" s="11" t="s">
        <v>1</v>
      </c>
      <c r="D177" s="10"/>
      <c r="E177" s="3"/>
      <c r="F177" s="11" t="s">
        <v>0</v>
      </c>
      <c r="G177" s="10"/>
      <c r="H177" s="11" t="s">
        <v>1</v>
      </c>
      <c r="I177" s="10"/>
    </row>
    <row r="178" spans="1:12" s="1" customFormat="1" ht="30" customHeight="1" x14ac:dyDescent="0.25">
      <c r="A178" s="11" t="s">
        <v>2</v>
      </c>
      <c r="B178" s="10"/>
      <c r="C178" s="11" t="s">
        <v>5</v>
      </c>
      <c r="D178" s="7" t="s">
        <v>55</v>
      </c>
      <c r="E178" s="4"/>
      <c r="F178" s="11" t="s">
        <v>2</v>
      </c>
      <c r="G178" s="10"/>
      <c r="H178" s="11" t="s">
        <v>5</v>
      </c>
      <c r="I178" s="7" t="str">
        <f>D178</f>
        <v>05C</v>
      </c>
    </row>
    <row r="179" spans="1:12" s="1" customFormat="1" ht="53.25" customHeight="1" x14ac:dyDescent="0.25">
      <c r="A179" s="8" t="s">
        <v>3</v>
      </c>
      <c r="B179" s="9">
        <v>26</v>
      </c>
      <c r="C179" s="11" t="s">
        <v>6</v>
      </c>
      <c r="D179" s="7" t="s">
        <v>56</v>
      </c>
      <c r="E179" s="4"/>
      <c r="F179" s="8" t="s">
        <v>3</v>
      </c>
      <c r="G179" s="9">
        <v>91</v>
      </c>
      <c r="H179" s="11" t="s">
        <v>6</v>
      </c>
      <c r="I179" s="7" t="str">
        <f>D179</f>
        <v>DER-B02</v>
      </c>
      <c r="K179" s="6" t="s">
        <v>8</v>
      </c>
      <c r="L179" s="6" t="s">
        <v>7</v>
      </c>
    </row>
    <row r="180" spans="1:12" s="1" customFormat="1" ht="30" customHeight="1" x14ac:dyDescent="0.25">
      <c r="A180" s="28" t="s">
        <v>57</v>
      </c>
      <c r="B180" s="29"/>
      <c r="C180" s="29"/>
      <c r="D180" s="30"/>
      <c r="E180" s="5"/>
      <c r="F180" s="28" t="s">
        <v>57</v>
      </c>
      <c r="G180" s="29"/>
      <c r="H180" s="29"/>
      <c r="I180" s="30"/>
      <c r="K180" s="1">
        <v>230</v>
      </c>
      <c r="L180" s="1">
        <v>20</v>
      </c>
    </row>
    <row r="181" spans="1:12" s="1" customFormat="1" ht="30" customHeight="1" x14ac:dyDescent="0.25">
      <c r="A181" s="31" t="s">
        <v>54</v>
      </c>
      <c r="B181" s="32"/>
      <c r="C181" s="33" t="s">
        <v>102</v>
      </c>
      <c r="D181" s="34"/>
      <c r="E181" s="4"/>
      <c r="F181" s="31" t="str">
        <f>A181</f>
        <v>PP6331</v>
      </c>
      <c r="G181" s="32"/>
      <c r="H181" s="33" t="str">
        <f>C181</f>
        <v>Yellow</v>
      </c>
      <c r="I181" s="34"/>
    </row>
    <row r="182" spans="1:12" s="1" customFormat="1" ht="30" customHeight="1" x14ac:dyDescent="0.25">
      <c r="A182" s="12" t="s">
        <v>4</v>
      </c>
      <c r="B182" s="25">
        <v>26094</v>
      </c>
      <c r="C182" s="25"/>
      <c r="D182" s="26"/>
      <c r="E182" s="4"/>
      <c r="F182" s="12" t="s">
        <v>4</v>
      </c>
      <c r="G182" s="25">
        <f>B182</f>
        <v>26094</v>
      </c>
      <c r="H182" s="25"/>
      <c r="I182" s="26"/>
    </row>
    <row r="183" spans="1:12" ht="63.75" customHeight="1" x14ac:dyDescent="0.25">
      <c r="A183" s="27" t="s">
        <v>19</v>
      </c>
      <c r="B183" s="27"/>
      <c r="C183" s="27"/>
      <c r="D183" s="27"/>
      <c r="E183" s="2"/>
      <c r="F183" s="27" t="str">
        <f>A183</f>
        <v>Round DER - Barrel</v>
      </c>
      <c r="G183" s="27"/>
      <c r="H183" s="27"/>
      <c r="I183" s="27"/>
    </row>
    <row r="184" spans="1:12" s="1" customFormat="1" ht="30" customHeight="1" x14ac:dyDescent="0.25">
      <c r="A184" s="11" t="s">
        <v>0</v>
      </c>
      <c r="B184" s="10"/>
      <c r="C184" s="11" t="s">
        <v>1</v>
      </c>
      <c r="D184" s="10"/>
      <c r="E184" s="3"/>
      <c r="F184" s="11" t="s">
        <v>0</v>
      </c>
      <c r="G184" s="10"/>
      <c r="H184" s="11" t="s">
        <v>1</v>
      </c>
      <c r="I184" s="10"/>
    </row>
    <row r="185" spans="1:12" s="1" customFormat="1" ht="30" customHeight="1" x14ac:dyDescent="0.25">
      <c r="A185" s="11" t="s">
        <v>2</v>
      </c>
      <c r="B185" s="10"/>
      <c r="C185" s="11" t="s">
        <v>5</v>
      </c>
      <c r="D185" s="7" t="s">
        <v>55</v>
      </c>
      <c r="E185" s="4"/>
      <c r="F185" s="11" t="s">
        <v>2</v>
      </c>
      <c r="G185" s="10"/>
      <c r="H185" s="11" t="s">
        <v>5</v>
      </c>
      <c r="I185" s="7" t="str">
        <f>D185</f>
        <v>05C</v>
      </c>
    </row>
    <row r="186" spans="1:12" s="1" customFormat="1" ht="53.25" customHeight="1" x14ac:dyDescent="0.25">
      <c r="A186" s="8" t="s">
        <v>3</v>
      </c>
      <c r="B186" s="9">
        <v>27</v>
      </c>
      <c r="C186" s="11" t="s">
        <v>6</v>
      </c>
      <c r="D186" s="7" t="s">
        <v>56</v>
      </c>
      <c r="E186" s="4"/>
      <c r="F186" s="8" t="s">
        <v>3</v>
      </c>
      <c r="G186" s="9">
        <v>92</v>
      </c>
      <c r="H186" s="11" t="s">
        <v>6</v>
      </c>
      <c r="I186" s="7" t="str">
        <f>D186</f>
        <v>DER-B02</v>
      </c>
      <c r="K186" s="6" t="s">
        <v>8</v>
      </c>
      <c r="L186" s="6" t="s">
        <v>7</v>
      </c>
    </row>
    <row r="187" spans="1:12" s="1" customFormat="1" ht="30" customHeight="1" x14ac:dyDescent="0.25">
      <c r="A187" s="28" t="s">
        <v>57</v>
      </c>
      <c r="B187" s="29"/>
      <c r="C187" s="29"/>
      <c r="D187" s="30"/>
      <c r="E187" s="5"/>
      <c r="F187" s="28" t="s">
        <v>57</v>
      </c>
      <c r="G187" s="29"/>
      <c r="H187" s="29"/>
      <c r="I187" s="30"/>
      <c r="K187" s="1">
        <v>230</v>
      </c>
      <c r="L187" s="1">
        <v>20</v>
      </c>
    </row>
    <row r="188" spans="1:12" s="1" customFormat="1" ht="30" customHeight="1" x14ac:dyDescent="0.25">
      <c r="A188" s="31" t="s">
        <v>54</v>
      </c>
      <c r="B188" s="32"/>
      <c r="C188" s="33" t="s">
        <v>102</v>
      </c>
      <c r="D188" s="34"/>
      <c r="E188" s="4"/>
      <c r="F188" s="31" t="str">
        <f>A188</f>
        <v>PP6331</v>
      </c>
      <c r="G188" s="32"/>
      <c r="H188" s="33" t="str">
        <f>C188</f>
        <v>Yellow</v>
      </c>
      <c r="I188" s="34"/>
    </row>
    <row r="189" spans="1:12" s="1" customFormat="1" ht="30" customHeight="1" x14ac:dyDescent="0.25">
      <c r="A189" s="12" t="s">
        <v>4</v>
      </c>
      <c r="B189" s="25">
        <v>26094</v>
      </c>
      <c r="C189" s="25"/>
      <c r="D189" s="26"/>
      <c r="E189" s="4"/>
      <c r="F189" s="12" t="s">
        <v>4</v>
      </c>
      <c r="G189" s="25">
        <f>B189</f>
        <v>26094</v>
      </c>
      <c r="H189" s="25"/>
      <c r="I189" s="26"/>
    </row>
    <row r="190" spans="1:12" ht="63.75" customHeight="1" x14ac:dyDescent="0.25">
      <c r="A190" s="27" t="s">
        <v>19</v>
      </c>
      <c r="B190" s="27"/>
      <c r="C190" s="27"/>
      <c r="D190" s="27"/>
      <c r="E190" s="2"/>
      <c r="F190" s="27" t="str">
        <f>A190</f>
        <v>Round DER - Barrel</v>
      </c>
      <c r="G190" s="27"/>
      <c r="H190" s="27"/>
      <c r="I190" s="27"/>
    </row>
    <row r="191" spans="1:12" s="1" customFormat="1" ht="30" customHeight="1" x14ac:dyDescent="0.25">
      <c r="A191" s="11" t="s">
        <v>0</v>
      </c>
      <c r="B191" s="10"/>
      <c r="C191" s="11" t="s">
        <v>1</v>
      </c>
      <c r="D191" s="10"/>
      <c r="E191" s="3"/>
      <c r="F191" s="11" t="s">
        <v>0</v>
      </c>
      <c r="G191" s="10"/>
      <c r="H191" s="11" t="s">
        <v>1</v>
      </c>
      <c r="I191" s="10"/>
    </row>
    <row r="192" spans="1:12" s="1" customFormat="1" ht="30" customHeight="1" x14ac:dyDescent="0.25">
      <c r="A192" s="11" t="s">
        <v>2</v>
      </c>
      <c r="B192" s="10"/>
      <c r="C192" s="11" t="s">
        <v>5</v>
      </c>
      <c r="D192" s="7" t="s">
        <v>55</v>
      </c>
      <c r="E192" s="4"/>
      <c r="F192" s="11" t="s">
        <v>2</v>
      </c>
      <c r="G192" s="10"/>
      <c r="H192" s="11" t="s">
        <v>5</v>
      </c>
      <c r="I192" s="7" t="str">
        <f>D192</f>
        <v>05C</v>
      </c>
    </row>
    <row r="193" spans="1:12" s="1" customFormat="1" ht="53.25" customHeight="1" x14ac:dyDescent="0.25">
      <c r="A193" s="8" t="s">
        <v>3</v>
      </c>
      <c r="B193" s="9">
        <v>28</v>
      </c>
      <c r="C193" s="11" t="s">
        <v>6</v>
      </c>
      <c r="D193" s="7" t="s">
        <v>56</v>
      </c>
      <c r="E193" s="4"/>
      <c r="F193" s="8" t="s">
        <v>3</v>
      </c>
      <c r="G193" s="9">
        <v>93</v>
      </c>
      <c r="H193" s="11" t="s">
        <v>6</v>
      </c>
      <c r="I193" s="7" t="str">
        <f>D193</f>
        <v>DER-B02</v>
      </c>
      <c r="K193" s="6" t="s">
        <v>8</v>
      </c>
      <c r="L193" s="6" t="s">
        <v>7</v>
      </c>
    </row>
    <row r="194" spans="1:12" s="1" customFormat="1" ht="30" customHeight="1" x14ac:dyDescent="0.25">
      <c r="A194" s="28" t="s">
        <v>57</v>
      </c>
      <c r="B194" s="29"/>
      <c r="C194" s="29"/>
      <c r="D194" s="30"/>
      <c r="E194" s="5"/>
      <c r="F194" s="28" t="s">
        <v>57</v>
      </c>
      <c r="G194" s="29"/>
      <c r="H194" s="29"/>
      <c r="I194" s="30"/>
      <c r="K194" s="1">
        <v>230</v>
      </c>
      <c r="L194" s="1">
        <v>20</v>
      </c>
    </row>
    <row r="195" spans="1:12" s="1" customFormat="1" ht="30" customHeight="1" x14ac:dyDescent="0.25">
      <c r="A195" s="31" t="s">
        <v>54</v>
      </c>
      <c r="B195" s="32"/>
      <c r="C195" s="33" t="s">
        <v>102</v>
      </c>
      <c r="D195" s="34"/>
      <c r="E195" s="4"/>
      <c r="F195" s="31" t="str">
        <f>A195</f>
        <v>PP6331</v>
      </c>
      <c r="G195" s="32"/>
      <c r="H195" s="33" t="str">
        <f>C195</f>
        <v>Yellow</v>
      </c>
      <c r="I195" s="34"/>
    </row>
    <row r="196" spans="1:12" s="1" customFormat="1" ht="30" customHeight="1" x14ac:dyDescent="0.25">
      <c r="A196" s="12" t="s">
        <v>4</v>
      </c>
      <c r="B196" s="25">
        <v>26094</v>
      </c>
      <c r="C196" s="25"/>
      <c r="D196" s="26"/>
      <c r="E196" s="4"/>
      <c r="F196" s="12" t="s">
        <v>4</v>
      </c>
      <c r="G196" s="25">
        <f>B196</f>
        <v>26094</v>
      </c>
      <c r="H196" s="25"/>
      <c r="I196" s="26"/>
    </row>
    <row r="197" spans="1:12" ht="63.75" customHeight="1" x14ac:dyDescent="0.25">
      <c r="A197" s="27" t="s">
        <v>19</v>
      </c>
      <c r="B197" s="27"/>
      <c r="C197" s="27"/>
      <c r="D197" s="27"/>
      <c r="E197" s="2"/>
      <c r="F197" s="27" t="str">
        <f>A197</f>
        <v>Round DER - Barrel</v>
      </c>
      <c r="G197" s="27"/>
      <c r="H197" s="27"/>
      <c r="I197" s="27"/>
    </row>
    <row r="198" spans="1:12" s="1" customFormat="1" ht="30" customHeight="1" x14ac:dyDescent="0.25">
      <c r="A198" s="11" t="s">
        <v>0</v>
      </c>
      <c r="B198" s="10"/>
      <c r="C198" s="11" t="s">
        <v>1</v>
      </c>
      <c r="D198" s="10"/>
      <c r="E198" s="3"/>
      <c r="F198" s="11" t="s">
        <v>0</v>
      </c>
      <c r="G198" s="10"/>
      <c r="H198" s="11" t="s">
        <v>1</v>
      </c>
      <c r="I198" s="10"/>
    </row>
    <row r="199" spans="1:12" s="1" customFormat="1" ht="30" customHeight="1" x14ac:dyDescent="0.25">
      <c r="A199" s="11" t="s">
        <v>2</v>
      </c>
      <c r="B199" s="10"/>
      <c r="C199" s="11" t="s">
        <v>5</v>
      </c>
      <c r="D199" s="7" t="s">
        <v>55</v>
      </c>
      <c r="E199" s="4"/>
      <c r="F199" s="11" t="s">
        <v>2</v>
      </c>
      <c r="G199" s="10"/>
      <c r="H199" s="11" t="s">
        <v>5</v>
      </c>
      <c r="I199" s="7" t="str">
        <f>D199</f>
        <v>05C</v>
      </c>
    </row>
    <row r="200" spans="1:12" s="1" customFormat="1" ht="53.25" customHeight="1" x14ac:dyDescent="0.25">
      <c r="A200" s="8" t="s">
        <v>3</v>
      </c>
      <c r="B200" s="9">
        <v>29</v>
      </c>
      <c r="C200" s="11" t="s">
        <v>6</v>
      </c>
      <c r="D200" s="7" t="s">
        <v>56</v>
      </c>
      <c r="E200" s="4"/>
      <c r="F200" s="8" t="s">
        <v>3</v>
      </c>
      <c r="G200" s="9">
        <v>94</v>
      </c>
      <c r="H200" s="11" t="s">
        <v>6</v>
      </c>
      <c r="I200" s="7" t="str">
        <f>D200</f>
        <v>DER-B02</v>
      </c>
      <c r="K200" s="6" t="s">
        <v>8</v>
      </c>
      <c r="L200" s="6" t="s">
        <v>7</v>
      </c>
    </row>
    <row r="201" spans="1:12" s="1" customFormat="1" ht="30" customHeight="1" x14ac:dyDescent="0.25">
      <c r="A201" s="28" t="s">
        <v>57</v>
      </c>
      <c r="B201" s="29"/>
      <c r="C201" s="29"/>
      <c r="D201" s="30"/>
      <c r="E201" s="5"/>
      <c r="F201" s="28" t="s">
        <v>57</v>
      </c>
      <c r="G201" s="29"/>
      <c r="H201" s="29"/>
      <c r="I201" s="30"/>
      <c r="K201" s="1">
        <v>230</v>
      </c>
      <c r="L201" s="1">
        <v>20</v>
      </c>
    </row>
    <row r="202" spans="1:12" s="1" customFormat="1" ht="30" customHeight="1" x14ac:dyDescent="0.25">
      <c r="A202" s="31" t="s">
        <v>54</v>
      </c>
      <c r="B202" s="32"/>
      <c r="C202" s="33" t="s">
        <v>102</v>
      </c>
      <c r="D202" s="34"/>
      <c r="E202" s="4"/>
      <c r="F202" s="31" t="str">
        <f>A202</f>
        <v>PP6331</v>
      </c>
      <c r="G202" s="32"/>
      <c r="H202" s="33" t="str">
        <f>C202</f>
        <v>Yellow</v>
      </c>
      <c r="I202" s="34"/>
    </row>
    <row r="203" spans="1:12" s="1" customFormat="1" ht="30" customHeight="1" x14ac:dyDescent="0.25">
      <c r="A203" s="12" t="s">
        <v>4</v>
      </c>
      <c r="B203" s="25">
        <v>26094</v>
      </c>
      <c r="C203" s="25"/>
      <c r="D203" s="26"/>
      <c r="E203" s="4"/>
      <c r="F203" s="12" t="s">
        <v>4</v>
      </c>
      <c r="G203" s="25">
        <f>B203</f>
        <v>26094</v>
      </c>
      <c r="H203" s="25"/>
      <c r="I203" s="26"/>
    </row>
    <row r="204" spans="1:12" ht="63.75" customHeight="1" x14ac:dyDescent="0.25">
      <c r="A204" s="27" t="s">
        <v>19</v>
      </c>
      <c r="B204" s="27"/>
      <c r="C204" s="27"/>
      <c r="D204" s="27"/>
      <c r="E204" s="2"/>
      <c r="F204" s="27" t="str">
        <f>A204</f>
        <v>Round DER - Barrel</v>
      </c>
      <c r="G204" s="27"/>
      <c r="H204" s="27"/>
      <c r="I204" s="27"/>
    </row>
    <row r="205" spans="1:12" s="1" customFormat="1" ht="30" customHeight="1" x14ac:dyDescent="0.25">
      <c r="A205" s="11" t="s">
        <v>0</v>
      </c>
      <c r="B205" s="10"/>
      <c r="C205" s="11" t="s">
        <v>1</v>
      </c>
      <c r="D205" s="10"/>
      <c r="E205" s="3"/>
      <c r="F205" s="11" t="s">
        <v>0</v>
      </c>
      <c r="G205" s="10"/>
      <c r="H205" s="11" t="s">
        <v>1</v>
      </c>
      <c r="I205" s="10"/>
    </row>
    <row r="206" spans="1:12" s="1" customFormat="1" ht="30" customHeight="1" x14ac:dyDescent="0.25">
      <c r="A206" s="11" t="s">
        <v>2</v>
      </c>
      <c r="B206" s="10"/>
      <c r="C206" s="11" t="s">
        <v>5</v>
      </c>
      <c r="D206" s="7" t="s">
        <v>55</v>
      </c>
      <c r="E206" s="4"/>
      <c r="F206" s="11" t="s">
        <v>2</v>
      </c>
      <c r="G206" s="10"/>
      <c r="H206" s="11" t="s">
        <v>5</v>
      </c>
      <c r="I206" s="7" t="str">
        <f>D206</f>
        <v>05C</v>
      </c>
    </row>
    <row r="207" spans="1:12" s="1" customFormat="1" ht="53.25" customHeight="1" x14ac:dyDescent="0.25">
      <c r="A207" s="8" t="s">
        <v>3</v>
      </c>
      <c r="B207" s="9">
        <v>30</v>
      </c>
      <c r="C207" s="11" t="s">
        <v>6</v>
      </c>
      <c r="D207" s="7" t="s">
        <v>56</v>
      </c>
      <c r="E207" s="4"/>
      <c r="F207" s="8" t="s">
        <v>3</v>
      </c>
      <c r="G207" s="9">
        <v>95</v>
      </c>
      <c r="H207" s="11" t="s">
        <v>6</v>
      </c>
      <c r="I207" s="7" t="str">
        <f>D207</f>
        <v>DER-B02</v>
      </c>
      <c r="K207" s="6" t="s">
        <v>8</v>
      </c>
      <c r="L207" s="6" t="s">
        <v>7</v>
      </c>
    </row>
    <row r="208" spans="1:12" s="1" customFormat="1" ht="30" customHeight="1" x14ac:dyDescent="0.25">
      <c r="A208" s="28" t="s">
        <v>57</v>
      </c>
      <c r="B208" s="29"/>
      <c r="C208" s="29"/>
      <c r="D208" s="30"/>
      <c r="E208" s="5"/>
      <c r="F208" s="28" t="s">
        <v>57</v>
      </c>
      <c r="G208" s="29"/>
      <c r="H208" s="29"/>
      <c r="I208" s="30"/>
      <c r="K208" s="1">
        <v>230</v>
      </c>
      <c r="L208" s="1">
        <v>20</v>
      </c>
    </row>
    <row r="209" spans="1:12" s="1" customFormat="1" ht="30" customHeight="1" x14ac:dyDescent="0.25">
      <c r="A209" s="31" t="s">
        <v>54</v>
      </c>
      <c r="B209" s="32"/>
      <c r="C209" s="33" t="s">
        <v>102</v>
      </c>
      <c r="D209" s="34"/>
      <c r="E209" s="4"/>
      <c r="F209" s="31" t="str">
        <f>A209</f>
        <v>PP6331</v>
      </c>
      <c r="G209" s="32"/>
      <c r="H209" s="33" t="str">
        <f>C209</f>
        <v>Yellow</v>
      </c>
      <c r="I209" s="34"/>
    </row>
    <row r="210" spans="1:12" s="1" customFormat="1" ht="30" customHeight="1" x14ac:dyDescent="0.25">
      <c r="A210" s="12" t="s">
        <v>4</v>
      </c>
      <c r="B210" s="25">
        <v>26094</v>
      </c>
      <c r="C210" s="25"/>
      <c r="D210" s="26"/>
      <c r="E210" s="4"/>
      <c r="F210" s="12" t="s">
        <v>4</v>
      </c>
      <c r="G210" s="25">
        <f>B210</f>
        <v>26094</v>
      </c>
      <c r="H210" s="25"/>
      <c r="I210" s="26"/>
    </row>
    <row r="211" spans="1:12" ht="63.75" customHeight="1" x14ac:dyDescent="0.25">
      <c r="A211" s="27" t="s">
        <v>19</v>
      </c>
      <c r="B211" s="27"/>
      <c r="C211" s="27"/>
      <c r="D211" s="27"/>
      <c r="E211" s="2"/>
      <c r="F211" s="27" t="str">
        <f>A211</f>
        <v>Round DER - Barrel</v>
      </c>
      <c r="G211" s="27"/>
      <c r="H211" s="27"/>
      <c r="I211" s="27"/>
    </row>
    <row r="212" spans="1:12" s="1" customFormat="1" ht="30" customHeight="1" x14ac:dyDescent="0.25">
      <c r="A212" s="11" t="s">
        <v>0</v>
      </c>
      <c r="B212" s="10"/>
      <c r="C212" s="11" t="s">
        <v>1</v>
      </c>
      <c r="D212" s="10"/>
      <c r="E212" s="3"/>
      <c r="F212" s="11" t="s">
        <v>0</v>
      </c>
      <c r="G212" s="10"/>
      <c r="H212" s="11" t="s">
        <v>1</v>
      </c>
      <c r="I212" s="10"/>
    </row>
    <row r="213" spans="1:12" s="1" customFormat="1" ht="30" customHeight="1" x14ac:dyDescent="0.25">
      <c r="A213" s="11" t="s">
        <v>2</v>
      </c>
      <c r="B213" s="10"/>
      <c r="C213" s="11" t="s">
        <v>5</v>
      </c>
      <c r="D213" s="7" t="s">
        <v>55</v>
      </c>
      <c r="E213" s="4"/>
      <c r="F213" s="11" t="s">
        <v>2</v>
      </c>
      <c r="G213" s="10"/>
      <c r="H213" s="11" t="s">
        <v>5</v>
      </c>
      <c r="I213" s="7" t="str">
        <f>D213</f>
        <v>05C</v>
      </c>
    </row>
    <row r="214" spans="1:12" s="1" customFormat="1" ht="53.25" customHeight="1" x14ac:dyDescent="0.25">
      <c r="A214" s="8" t="s">
        <v>3</v>
      </c>
      <c r="B214" s="9">
        <v>31</v>
      </c>
      <c r="C214" s="11" t="s">
        <v>6</v>
      </c>
      <c r="D214" s="7" t="s">
        <v>56</v>
      </c>
      <c r="E214" s="4"/>
      <c r="F214" s="8" t="s">
        <v>3</v>
      </c>
      <c r="G214" s="9">
        <v>96</v>
      </c>
      <c r="H214" s="11" t="s">
        <v>6</v>
      </c>
      <c r="I214" s="7" t="str">
        <f>D214</f>
        <v>DER-B02</v>
      </c>
      <c r="K214" s="6" t="s">
        <v>8</v>
      </c>
      <c r="L214" s="6" t="s">
        <v>7</v>
      </c>
    </row>
    <row r="215" spans="1:12" s="1" customFormat="1" ht="30" customHeight="1" x14ac:dyDescent="0.25">
      <c r="A215" s="28" t="s">
        <v>57</v>
      </c>
      <c r="B215" s="29"/>
      <c r="C215" s="29"/>
      <c r="D215" s="30"/>
      <c r="E215" s="5"/>
      <c r="F215" s="28" t="s">
        <v>57</v>
      </c>
      <c r="G215" s="29"/>
      <c r="H215" s="29"/>
      <c r="I215" s="30"/>
      <c r="K215" s="1">
        <v>230</v>
      </c>
      <c r="L215" s="1">
        <v>20</v>
      </c>
    </row>
    <row r="216" spans="1:12" s="1" customFormat="1" ht="30" customHeight="1" x14ac:dyDescent="0.25">
      <c r="A216" s="31" t="s">
        <v>54</v>
      </c>
      <c r="B216" s="32"/>
      <c r="C216" s="33" t="s">
        <v>102</v>
      </c>
      <c r="D216" s="34"/>
      <c r="E216" s="4"/>
      <c r="F216" s="31" t="str">
        <f>A216</f>
        <v>PP6331</v>
      </c>
      <c r="G216" s="32"/>
      <c r="H216" s="33" t="str">
        <f>C216</f>
        <v>Yellow</v>
      </c>
      <c r="I216" s="34"/>
    </row>
    <row r="217" spans="1:12" s="1" customFormat="1" ht="30" customHeight="1" x14ac:dyDescent="0.25">
      <c r="A217" s="12" t="s">
        <v>4</v>
      </c>
      <c r="B217" s="25">
        <v>26094</v>
      </c>
      <c r="C217" s="25"/>
      <c r="D217" s="26"/>
      <c r="E217" s="4"/>
      <c r="F217" s="12" t="s">
        <v>4</v>
      </c>
      <c r="G217" s="25">
        <f>B217</f>
        <v>26094</v>
      </c>
      <c r="H217" s="25"/>
      <c r="I217" s="26"/>
    </row>
    <row r="218" spans="1:12" ht="63.75" customHeight="1" x14ac:dyDescent="0.25">
      <c r="A218" s="27" t="s">
        <v>19</v>
      </c>
      <c r="B218" s="27"/>
      <c r="C218" s="27"/>
      <c r="D218" s="27"/>
      <c r="E218" s="2"/>
      <c r="F218" s="27" t="str">
        <f>A218</f>
        <v>Round DER - Barrel</v>
      </c>
      <c r="G218" s="27"/>
      <c r="H218" s="27"/>
      <c r="I218" s="27"/>
    </row>
    <row r="219" spans="1:12" s="1" customFormat="1" ht="30" customHeight="1" x14ac:dyDescent="0.25">
      <c r="A219" s="11" t="s">
        <v>0</v>
      </c>
      <c r="B219" s="10"/>
      <c r="C219" s="11" t="s">
        <v>1</v>
      </c>
      <c r="D219" s="10"/>
      <c r="E219" s="3"/>
      <c r="F219" s="11" t="s">
        <v>0</v>
      </c>
      <c r="G219" s="10"/>
      <c r="H219" s="11" t="s">
        <v>1</v>
      </c>
      <c r="I219" s="10"/>
    </row>
    <row r="220" spans="1:12" s="1" customFormat="1" ht="30" customHeight="1" x14ac:dyDescent="0.25">
      <c r="A220" s="11" t="s">
        <v>2</v>
      </c>
      <c r="B220" s="10"/>
      <c r="C220" s="11" t="s">
        <v>5</v>
      </c>
      <c r="D220" s="7" t="s">
        <v>55</v>
      </c>
      <c r="E220" s="4"/>
      <c r="F220" s="11" t="s">
        <v>2</v>
      </c>
      <c r="G220" s="10"/>
      <c r="H220" s="11" t="s">
        <v>5</v>
      </c>
      <c r="I220" s="7" t="str">
        <f>D220</f>
        <v>05C</v>
      </c>
    </row>
    <row r="221" spans="1:12" s="1" customFormat="1" ht="53.25" customHeight="1" x14ac:dyDescent="0.25">
      <c r="A221" s="8" t="s">
        <v>3</v>
      </c>
      <c r="B221" s="9">
        <v>32</v>
      </c>
      <c r="C221" s="11" t="s">
        <v>6</v>
      </c>
      <c r="D221" s="7" t="s">
        <v>56</v>
      </c>
      <c r="E221" s="4"/>
      <c r="F221" s="8" t="s">
        <v>3</v>
      </c>
      <c r="G221" s="9">
        <v>97</v>
      </c>
      <c r="H221" s="11" t="s">
        <v>6</v>
      </c>
      <c r="I221" s="7" t="str">
        <f>D221</f>
        <v>DER-B02</v>
      </c>
      <c r="K221" s="6" t="s">
        <v>8</v>
      </c>
      <c r="L221" s="6" t="s">
        <v>7</v>
      </c>
    </row>
    <row r="222" spans="1:12" s="1" customFormat="1" ht="30" customHeight="1" x14ac:dyDescent="0.25">
      <c r="A222" s="28" t="s">
        <v>57</v>
      </c>
      <c r="B222" s="29"/>
      <c r="C222" s="29"/>
      <c r="D222" s="30"/>
      <c r="E222" s="5"/>
      <c r="F222" s="28" t="s">
        <v>57</v>
      </c>
      <c r="G222" s="29"/>
      <c r="H222" s="29"/>
      <c r="I222" s="30"/>
      <c r="K222" s="1">
        <v>230</v>
      </c>
      <c r="L222" s="1">
        <v>20</v>
      </c>
    </row>
    <row r="223" spans="1:12" s="1" customFormat="1" ht="30" customHeight="1" x14ac:dyDescent="0.25">
      <c r="A223" s="31" t="s">
        <v>54</v>
      </c>
      <c r="B223" s="32"/>
      <c r="C223" s="33" t="s">
        <v>102</v>
      </c>
      <c r="D223" s="34"/>
      <c r="E223" s="4"/>
      <c r="F223" s="31" t="str">
        <f>A223</f>
        <v>PP6331</v>
      </c>
      <c r="G223" s="32"/>
      <c r="H223" s="33" t="str">
        <f>C223</f>
        <v>Yellow</v>
      </c>
      <c r="I223" s="34"/>
    </row>
    <row r="224" spans="1:12" s="1" customFormat="1" ht="30" customHeight="1" x14ac:dyDescent="0.25">
      <c r="A224" s="12" t="s">
        <v>4</v>
      </c>
      <c r="B224" s="25">
        <v>26094</v>
      </c>
      <c r="C224" s="25"/>
      <c r="D224" s="26"/>
      <c r="E224" s="4"/>
      <c r="F224" s="12" t="s">
        <v>4</v>
      </c>
      <c r="G224" s="25">
        <f>B224</f>
        <v>26094</v>
      </c>
      <c r="H224" s="25"/>
      <c r="I224" s="26"/>
    </row>
    <row r="225" spans="1:12" ht="63.75" customHeight="1" x14ac:dyDescent="0.25">
      <c r="A225" s="27" t="s">
        <v>19</v>
      </c>
      <c r="B225" s="27"/>
      <c r="C225" s="27"/>
      <c r="D225" s="27"/>
      <c r="E225" s="2"/>
      <c r="F225" s="27" t="str">
        <f>A225</f>
        <v>Round DER - Barrel</v>
      </c>
      <c r="G225" s="27"/>
      <c r="H225" s="27"/>
      <c r="I225" s="27"/>
    </row>
    <row r="226" spans="1:12" s="1" customFormat="1" ht="30" customHeight="1" x14ac:dyDescent="0.25">
      <c r="A226" s="11" t="s">
        <v>0</v>
      </c>
      <c r="B226" s="10"/>
      <c r="C226" s="11" t="s">
        <v>1</v>
      </c>
      <c r="D226" s="10"/>
      <c r="E226" s="3"/>
      <c r="F226" s="11" t="s">
        <v>0</v>
      </c>
      <c r="G226" s="10"/>
      <c r="H226" s="11" t="s">
        <v>1</v>
      </c>
      <c r="I226" s="10"/>
    </row>
    <row r="227" spans="1:12" s="1" customFormat="1" ht="30" customHeight="1" x14ac:dyDescent="0.25">
      <c r="A227" s="11" t="s">
        <v>2</v>
      </c>
      <c r="B227" s="10"/>
      <c r="C227" s="11" t="s">
        <v>5</v>
      </c>
      <c r="D227" s="7" t="s">
        <v>55</v>
      </c>
      <c r="E227" s="4"/>
      <c r="F227" s="11" t="s">
        <v>2</v>
      </c>
      <c r="G227" s="10"/>
      <c r="H227" s="11" t="s">
        <v>5</v>
      </c>
      <c r="I227" s="7" t="str">
        <f>D227</f>
        <v>05C</v>
      </c>
    </row>
    <row r="228" spans="1:12" s="1" customFormat="1" ht="53.25" customHeight="1" x14ac:dyDescent="0.25">
      <c r="A228" s="8" t="s">
        <v>3</v>
      </c>
      <c r="B228" s="9">
        <v>33</v>
      </c>
      <c r="C228" s="11" t="s">
        <v>6</v>
      </c>
      <c r="D228" s="7" t="s">
        <v>56</v>
      </c>
      <c r="E228" s="4"/>
      <c r="F228" s="8" t="s">
        <v>3</v>
      </c>
      <c r="G228" s="9">
        <v>98</v>
      </c>
      <c r="H228" s="11" t="s">
        <v>6</v>
      </c>
      <c r="I228" s="7" t="str">
        <f>D228</f>
        <v>DER-B02</v>
      </c>
      <c r="K228" s="6" t="s">
        <v>8</v>
      </c>
      <c r="L228" s="6" t="s">
        <v>7</v>
      </c>
    </row>
    <row r="229" spans="1:12" s="1" customFormat="1" ht="30" customHeight="1" x14ac:dyDescent="0.25">
      <c r="A229" s="28" t="s">
        <v>57</v>
      </c>
      <c r="B229" s="29"/>
      <c r="C229" s="29"/>
      <c r="D229" s="30"/>
      <c r="E229" s="5"/>
      <c r="F229" s="28" t="s">
        <v>57</v>
      </c>
      <c r="G229" s="29"/>
      <c r="H229" s="29"/>
      <c r="I229" s="30"/>
      <c r="K229" s="1">
        <v>230</v>
      </c>
      <c r="L229" s="1">
        <v>20</v>
      </c>
    </row>
    <row r="230" spans="1:12" s="1" customFormat="1" ht="30" customHeight="1" x14ac:dyDescent="0.25">
      <c r="A230" s="31" t="s">
        <v>54</v>
      </c>
      <c r="B230" s="32"/>
      <c r="C230" s="33" t="s">
        <v>102</v>
      </c>
      <c r="D230" s="34"/>
      <c r="E230" s="4"/>
      <c r="F230" s="31" t="str">
        <f>A230</f>
        <v>PP6331</v>
      </c>
      <c r="G230" s="32"/>
      <c r="H230" s="33" t="str">
        <f>C230</f>
        <v>Yellow</v>
      </c>
      <c r="I230" s="34"/>
    </row>
    <row r="231" spans="1:12" s="1" customFormat="1" ht="30" customHeight="1" x14ac:dyDescent="0.25">
      <c r="A231" s="12" t="s">
        <v>4</v>
      </c>
      <c r="B231" s="25">
        <v>26094</v>
      </c>
      <c r="C231" s="25"/>
      <c r="D231" s="26"/>
      <c r="E231" s="4"/>
      <c r="F231" s="12" t="s">
        <v>4</v>
      </c>
      <c r="G231" s="25">
        <f>B231</f>
        <v>26094</v>
      </c>
      <c r="H231" s="25"/>
      <c r="I231" s="26"/>
    </row>
    <row r="232" spans="1:12" ht="63.75" customHeight="1" x14ac:dyDescent="0.25">
      <c r="A232" s="27" t="s">
        <v>19</v>
      </c>
      <c r="B232" s="27"/>
      <c r="C232" s="27"/>
      <c r="D232" s="27"/>
      <c r="E232" s="2"/>
      <c r="F232" s="27" t="str">
        <f>A232</f>
        <v>Round DER - Barrel</v>
      </c>
      <c r="G232" s="27"/>
      <c r="H232" s="27"/>
      <c r="I232" s="27"/>
    </row>
    <row r="233" spans="1:12" s="1" customFormat="1" ht="30" customHeight="1" x14ac:dyDescent="0.25">
      <c r="A233" s="11" t="s">
        <v>0</v>
      </c>
      <c r="B233" s="10"/>
      <c r="C233" s="11" t="s">
        <v>1</v>
      </c>
      <c r="D233" s="10"/>
      <c r="E233" s="3"/>
      <c r="F233" s="11" t="s">
        <v>0</v>
      </c>
      <c r="G233" s="10"/>
      <c r="H233" s="11" t="s">
        <v>1</v>
      </c>
      <c r="I233" s="10"/>
    </row>
    <row r="234" spans="1:12" s="1" customFormat="1" ht="30" customHeight="1" x14ac:dyDescent="0.25">
      <c r="A234" s="11" t="s">
        <v>2</v>
      </c>
      <c r="B234" s="10"/>
      <c r="C234" s="11" t="s">
        <v>5</v>
      </c>
      <c r="D234" s="7" t="s">
        <v>55</v>
      </c>
      <c r="E234" s="4"/>
      <c r="F234" s="11" t="s">
        <v>2</v>
      </c>
      <c r="G234" s="10"/>
      <c r="H234" s="11" t="s">
        <v>5</v>
      </c>
      <c r="I234" s="7" t="str">
        <f>D234</f>
        <v>05C</v>
      </c>
    </row>
    <row r="235" spans="1:12" s="1" customFormat="1" ht="53.25" customHeight="1" x14ac:dyDescent="0.25">
      <c r="A235" s="8" t="s">
        <v>3</v>
      </c>
      <c r="B235" s="9">
        <v>34</v>
      </c>
      <c r="C235" s="11" t="s">
        <v>6</v>
      </c>
      <c r="D235" s="7" t="s">
        <v>56</v>
      </c>
      <c r="E235" s="4"/>
      <c r="F235" s="8" t="s">
        <v>3</v>
      </c>
      <c r="G235" s="9">
        <v>99</v>
      </c>
      <c r="H235" s="11" t="s">
        <v>6</v>
      </c>
      <c r="I235" s="7" t="str">
        <f>D235</f>
        <v>DER-B02</v>
      </c>
      <c r="K235" s="6" t="s">
        <v>8</v>
      </c>
      <c r="L235" s="6" t="s">
        <v>7</v>
      </c>
    </row>
    <row r="236" spans="1:12" s="1" customFormat="1" ht="30" customHeight="1" x14ac:dyDescent="0.25">
      <c r="A236" s="28" t="s">
        <v>57</v>
      </c>
      <c r="B236" s="29"/>
      <c r="C236" s="29"/>
      <c r="D236" s="30"/>
      <c r="E236" s="5"/>
      <c r="F236" s="28" t="s">
        <v>57</v>
      </c>
      <c r="G236" s="29"/>
      <c r="H236" s="29"/>
      <c r="I236" s="30"/>
      <c r="K236" s="1">
        <v>230</v>
      </c>
      <c r="L236" s="1">
        <v>20</v>
      </c>
    </row>
    <row r="237" spans="1:12" s="1" customFormat="1" ht="30" customHeight="1" x14ac:dyDescent="0.25">
      <c r="A237" s="31" t="s">
        <v>54</v>
      </c>
      <c r="B237" s="32"/>
      <c r="C237" s="33" t="s">
        <v>102</v>
      </c>
      <c r="D237" s="34"/>
      <c r="E237" s="4"/>
      <c r="F237" s="31" t="str">
        <f>A237</f>
        <v>PP6331</v>
      </c>
      <c r="G237" s="32"/>
      <c r="H237" s="33" t="str">
        <f>C237</f>
        <v>Yellow</v>
      </c>
      <c r="I237" s="34"/>
    </row>
    <row r="238" spans="1:12" s="1" customFormat="1" ht="30" customHeight="1" x14ac:dyDescent="0.25">
      <c r="A238" s="12" t="s">
        <v>4</v>
      </c>
      <c r="B238" s="25">
        <v>26094</v>
      </c>
      <c r="C238" s="25"/>
      <c r="D238" s="26"/>
      <c r="E238" s="4"/>
      <c r="F238" s="12" t="s">
        <v>4</v>
      </c>
      <c r="G238" s="25">
        <f>B238</f>
        <v>26094</v>
      </c>
      <c r="H238" s="25"/>
      <c r="I238" s="26"/>
    </row>
    <row r="239" spans="1:12" ht="63.75" customHeight="1" x14ac:dyDescent="0.25">
      <c r="A239" s="27" t="s">
        <v>19</v>
      </c>
      <c r="B239" s="27"/>
      <c r="C239" s="27"/>
      <c r="D239" s="27"/>
      <c r="E239" s="2"/>
      <c r="F239" s="27" t="str">
        <f>A239</f>
        <v>Round DER - Barrel</v>
      </c>
      <c r="G239" s="27"/>
      <c r="H239" s="27"/>
      <c r="I239" s="27"/>
    </row>
    <row r="240" spans="1:12" s="1" customFormat="1" ht="30" customHeight="1" x14ac:dyDescent="0.25">
      <c r="A240" s="11" t="s">
        <v>0</v>
      </c>
      <c r="B240" s="10"/>
      <c r="C240" s="11" t="s">
        <v>1</v>
      </c>
      <c r="D240" s="10"/>
      <c r="E240" s="3"/>
      <c r="F240" s="11" t="s">
        <v>0</v>
      </c>
      <c r="G240" s="10"/>
      <c r="H240" s="11" t="s">
        <v>1</v>
      </c>
      <c r="I240" s="10"/>
    </row>
    <row r="241" spans="1:12" s="1" customFormat="1" ht="30" customHeight="1" x14ac:dyDescent="0.25">
      <c r="A241" s="11" t="s">
        <v>2</v>
      </c>
      <c r="B241" s="10"/>
      <c r="C241" s="11" t="s">
        <v>5</v>
      </c>
      <c r="D241" s="7" t="s">
        <v>55</v>
      </c>
      <c r="E241" s="4"/>
      <c r="F241" s="11" t="s">
        <v>2</v>
      </c>
      <c r="G241" s="10"/>
      <c r="H241" s="11" t="s">
        <v>5</v>
      </c>
      <c r="I241" s="7" t="str">
        <f>D241</f>
        <v>05C</v>
      </c>
    </row>
    <row r="242" spans="1:12" s="1" customFormat="1" ht="53.25" customHeight="1" x14ac:dyDescent="0.25">
      <c r="A242" s="8" t="s">
        <v>3</v>
      </c>
      <c r="B242" s="9">
        <v>35</v>
      </c>
      <c r="C242" s="11" t="s">
        <v>6</v>
      </c>
      <c r="D242" s="7" t="s">
        <v>56</v>
      </c>
      <c r="E242" s="4"/>
      <c r="F242" s="8" t="s">
        <v>3</v>
      </c>
      <c r="G242" s="9">
        <v>100</v>
      </c>
      <c r="H242" s="11" t="s">
        <v>6</v>
      </c>
      <c r="I242" s="7" t="str">
        <f>D242</f>
        <v>DER-B02</v>
      </c>
      <c r="K242" s="6" t="s">
        <v>8</v>
      </c>
      <c r="L242" s="6" t="s">
        <v>7</v>
      </c>
    </row>
    <row r="243" spans="1:12" s="1" customFormat="1" ht="30" customHeight="1" x14ac:dyDescent="0.25">
      <c r="A243" s="28" t="s">
        <v>57</v>
      </c>
      <c r="B243" s="29"/>
      <c r="C243" s="29"/>
      <c r="D243" s="30"/>
      <c r="E243" s="5"/>
      <c r="F243" s="28" t="s">
        <v>57</v>
      </c>
      <c r="G243" s="29"/>
      <c r="H243" s="29"/>
      <c r="I243" s="30"/>
      <c r="K243" s="1">
        <v>230</v>
      </c>
      <c r="L243" s="1">
        <v>20</v>
      </c>
    </row>
    <row r="244" spans="1:12" s="1" customFormat="1" ht="30" customHeight="1" x14ac:dyDescent="0.25">
      <c r="A244" s="31" t="s">
        <v>54</v>
      </c>
      <c r="B244" s="32"/>
      <c r="C244" s="33" t="s">
        <v>102</v>
      </c>
      <c r="D244" s="34"/>
      <c r="E244" s="4"/>
      <c r="F244" s="31" t="str">
        <f>A244</f>
        <v>PP6331</v>
      </c>
      <c r="G244" s="32"/>
      <c r="H244" s="33" t="str">
        <f>C244</f>
        <v>Yellow</v>
      </c>
      <c r="I244" s="34"/>
    </row>
    <row r="245" spans="1:12" s="1" customFormat="1" ht="30" customHeight="1" x14ac:dyDescent="0.25">
      <c r="A245" s="12" t="s">
        <v>4</v>
      </c>
      <c r="B245" s="25">
        <v>26094</v>
      </c>
      <c r="C245" s="25"/>
      <c r="D245" s="26"/>
      <c r="E245" s="4"/>
      <c r="F245" s="12" t="s">
        <v>4</v>
      </c>
      <c r="G245" s="25">
        <f>B245</f>
        <v>26094</v>
      </c>
      <c r="H245" s="25"/>
      <c r="I245" s="26"/>
    </row>
    <row r="246" spans="1:12" ht="63.75" customHeight="1" x14ac:dyDescent="0.25">
      <c r="A246" s="27" t="s">
        <v>19</v>
      </c>
      <c r="B246" s="27"/>
      <c r="C246" s="27"/>
      <c r="D246" s="27"/>
      <c r="E246" s="2"/>
      <c r="F246" s="27" t="str">
        <f>A246</f>
        <v>Round DER - Barrel</v>
      </c>
      <c r="G246" s="27"/>
      <c r="H246" s="27"/>
      <c r="I246" s="27"/>
    </row>
    <row r="247" spans="1:12" s="1" customFormat="1" ht="30" customHeight="1" x14ac:dyDescent="0.25">
      <c r="A247" s="11" t="s">
        <v>0</v>
      </c>
      <c r="B247" s="10"/>
      <c r="C247" s="11" t="s">
        <v>1</v>
      </c>
      <c r="D247" s="10"/>
      <c r="E247" s="3"/>
      <c r="F247" s="11" t="s">
        <v>0</v>
      </c>
      <c r="G247" s="10"/>
      <c r="H247" s="11" t="s">
        <v>1</v>
      </c>
      <c r="I247" s="10"/>
    </row>
    <row r="248" spans="1:12" s="1" customFormat="1" ht="30" customHeight="1" x14ac:dyDescent="0.25">
      <c r="A248" s="11" t="s">
        <v>2</v>
      </c>
      <c r="B248" s="10"/>
      <c r="C248" s="11" t="s">
        <v>5</v>
      </c>
      <c r="D248" s="7" t="s">
        <v>55</v>
      </c>
      <c r="E248" s="4"/>
      <c r="F248" s="11" t="s">
        <v>2</v>
      </c>
      <c r="G248" s="10"/>
      <c r="H248" s="11" t="s">
        <v>5</v>
      </c>
      <c r="I248" s="7" t="str">
        <f>D248</f>
        <v>05C</v>
      </c>
    </row>
    <row r="249" spans="1:12" s="1" customFormat="1" ht="53.25" customHeight="1" x14ac:dyDescent="0.25">
      <c r="A249" s="8" t="s">
        <v>3</v>
      </c>
      <c r="B249" s="9">
        <v>36</v>
      </c>
      <c r="C249" s="11" t="s">
        <v>6</v>
      </c>
      <c r="D249" s="7" t="s">
        <v>56</v>
      </c>
      <c r="E249" s="4"/>
      <c r="F249" s="8" t="s">
        <v>3</v>
      </c>
      <c r="G249" s="9">
        <v>101</v>
      </c>
      <c r="H249" s="11" t="s">
        <v>6</v>
      </c>
      <c r="I249" s="7" t="str">
        <f>D249</f>
        <v>DER-B02</v>
      </c>
      <c r="K249" s="6" t="s">
        <v>8</v>
      </c>
      <c r="L249" s="6" t="s">
        <v>7</v>
      </c>
    </row>
    <row r="250" spans="1:12" s="1" customFormat="1" ht="30" customHeight="1" x14ac:dyDescent="0.25">
      <c r="A250" s="28" t="s">
        <v>57</v>
      </c>
      <c r="B250" s="29"/>
      <c r="C250" s="29"/>
      <c r="D250" s="30"/>
      <c r="E250" s="5"/>
      <c r="F250" s="28" t="s">
        <v>57</v>
      </c>
      <c r="G250" s="29"/>
      <c r="H250" s="29"/>
      <c r="I250" s="30"/>
      <c r="K250" s="1">
        <v>230</v>
      </c>
      <c r="L250" s="1">
        <v>20</v>
      </c>
    </row>
    <row r="251" spans="1:12" s="1" customFormat="1" ht="30" customHeight="1" x14ac:dyDescent="0.25">
      <c r="A251" s="31" t="s">
        <v>54</v>
      </c>
      <c r="B251" s="32"/>
      <c r="C251" s="33" t="s">
        <v>102</v>
      </c>
      <c r="D251" s="34"/>
      <c r="E251" s="4"/>
      <c r="F251" s="31" t="str">
        <f>A251</f>
        <v>PP6331</v>
      </c>
      <c r="G251" s="32"/>
      <c r="H251" s="33" t="str">
        <f>C251</f>
        <v>Yellow</v>
      </c>
      <c r="I251" s="34"/>
    </row>
    <row r="252" spans="1:12" s="1" customFormat="1" ht="30" customHeight="1" x14ac:dyDescent="0.25">
      <c r="A252" s="12" t="s">
        <v>4</v>
      </c>
      <c r="B252" s="25">
        <v>26094</v>
      </c>
      <c r="C252" s="25"/>
      <c r="D252" s="26"/>
      <c r="E252" s="4"/>
      <c r="F252" s="12" t="s">
        <v>4</v>
      </c>
      <c r="G252" s="25">
        <f>B252</f>
        <v>26094</v>
      </c>
      <c r="H252" s="25"/>
      <c r="I252" s="26"/>
    </row>
    <row r="253" spans="1:12" ht="63.75" customHeight="1" x14ac:dyDescent="0.25">
      <c r="A253" s="27" t="s">
        <v>19</v>
      </c>
      <c r="B253" s="27"/>
      <c r="C253" s="27"/>
      <c r="D253" s="27"/>
      <c r="E253" s="2"/>
      <c r="F253" s="27" t="str">
        <f>A253</f>
        <v>Round DER - Barrel</v>
      </c>
      <c r="G253" s="27"/>
      <c r="H253" s="27"/>
      <c r="I253" s="27"/>
    </row>
    <row r="254" spans="1:12" s="1" customFormat="1" ht="30" customHeight="1" x14ac:dyDescent="0.25">
      <c r="A254" s="11" t="s">
        <v>0</v>
      </c>
      <c r="B254" s="10"/>
      <c r="C254" s="11" t="s">
        <v>1</v>
      </c>
      <c r="D254" s="10"/>
      <c r="E254" s="3"/>
      <c r="F254" s="11" t="s">
        <v>0</v>
      </c>
      <c r="G254" s="10"/>
      <c r="H254" s="11" t="s">
        <v>1</v>
      </c>
      <c r="I254" s="10"/>
    </row>
    <row r="255" spans="1:12" s="1" customFormat="1" ht="30" customHeight="1" x14ac:dyDescent="0.25">
      <c r="A255" s="11" t="s">
        <v>2</v>
      </c>
      <c r="B255" s="10"/>
      <c r="C255" s="11" t="s">
        <v>5</v>
      </c>
      <c r="D255" s="7" t="s">
        <v>55</v>
      </c>
      <c r="E255" s="4"/>
      <c r="F255" s="11" t="s">
        <v>2</v>
      </c>
      <c r="G255" s="10"/>
      <c r="H255" s="11" t="s">
        <v>5</v>
      </c>
      <c r="I255" s="7" t="str">
        <f>D255</f>
        <v>05C</v>
      </c>
    </row>
    <row r="256" spans="1:12" s="1" customFormat="1" ht="53.25" customHeight="1" x14ac:dyDescent="0.25">
      <c r="A256" s="8" t="s">
        <v>3</v>
      </c>
      <c r="B256" s="9">
        <v>37</v>
      </c>
      <c r="C256" s="11" t="s">
        <v>6</v>
      </c>
      <c r="D256" s="7" t="s">
        <v>56</v>
      </c>
      <c r="E256" s="4"/>
      <c r="F256" s="8" t="s">
        <v>3</v>
      </c>
      <c r="G256" s="9">
        <v>102</v>
      </c>
      <c r="H256" s="11" t="s">
        <v>6</v>
      </c>
      <c r="I256" s="7" t="str">
        <f>D256</f>
        <v>DER-B02</v>
      </c>
      <c r="K256" s="6" t="s">
        <v>8</v>
      </c>
      <c r="L256" s="6" t="s">
        <v>7</v>
      </c>
    </row>
    <row r="257" spans="1:12" s="1" customFormat="1" ht="30" customHeight="1" x14ac:dyDescent="0.25">
      <c r="A257" s="28" t="s">
        <v>57</v>
      </c>
      <c r="B257" s="29"/>
      <c r="C257" s="29"/>
      <c r="D257" s="30"/>
      <c r="E257" s="5"/>
      <c r="F257" s="28" t="s">
        <v>57</v>
      </c>
      <c r="G257" s="29"/>
      <c r="H257" s="29"/>
      <c r="I257" s="30"/>
      <c r="K257" s="1">
        <v>230</v>
      </c>
      <c r="L257" s="1">
        <v>20</v>
      </c>
    </row>
    <row r="258" spans="1:12" s="1" customFormat="1" ht="30" customHeight="1" x14ac:dyDescent="0.25">
      <c r="A258" s="31" t="s">
        <v>54</v>
      </c>
      <c r="B258" s="32"/>
      <c r="C258" s="33" t="s">
        <v>102</v>
      </c>
      <c r="D258" s="34"/>
      <c r="E258" s="4"/>
      <c r="F258" s="31" t="str">
        <f>A258</f>
        <v>PP6331</v>
      </c>
      <c r="G258" s="32"/>
      <c r="H258" s="33" t="str">
        <f>C258</f>
        <v>Yellow</v>
      </c>
      <c r="I258" s="34"/>
    </row>
    <row r="259" spans="1:12" s="1" customFormat="1" ht="30" customHeight="1" x14ac:dyDescent="0.25">
      <c r="A259" s="12" t="s">
        <v>4</v>
      </c>
      <c r="B259" s="25">
        <v>26094</v>
      </c>
      <c r="C259" s="25"/>
      <c r="D259" s="26"/>
      <c r="E259" s="4"/>
      <c r="F259" s="12" t="s">
        <v>4</v>
      </c>
      <c r="G259" s="25">
        <f>B259</f>
        <v>26094</v>
      </c>
      <c r="H259" s="25"/>
      <c r="I259" s="26"/>
    </row>
    <row r="260" spans="1:12" ht="63.75" customHeight="1" x14ac:dyDescent="0.25">
      <c r="A260" s="27" t="s">
        <v>19</v>
      </c>
      <c r="B260" s="27"/>
      <c r="C260" s="27"/>
      <c r="D260" s="27"/>
      <c r="E260" s="2"/>
      <c r="F260" s="27" t="str">
        <f>A260</f>
        <v>Round DER - Barrel</v>
      </c>
      <c r="G260" s="27"/>
      <c r="H260" s="27"/>
      <c r="I260" s="27"/>
    </row>
    <row r="261" spans="1:12" s="1" customFormat="1" ht="30" customHeight="1" x14ac:dyDescent="0.25">
      <c r="A261" s="11" t="s">
        <v>0</v>
      </c>
      <c r="B261" s="10"/>
      <c r="C261" s="11" t="s">
        <v>1</v>
      </c>
      <c r="D261" s="10"/>
      <c r="E261" s="3"/>
      <c r="F261" s="11" t="s">
        <v>0</v>
      </c>
      <c r="G261" s="10"/>
      <c r="H261" s="11" t="s">
        <v>1</v>
      </c>
      <c r="I261" s="10"/>
    </row>
    <row r="262" spans="1:12" s="1" customFormat="1" ht="30" customHeight="1" x14ac:dyDescent="0.25">
      <c r="A262" s="11" t="s">
        <v>2</v>
      </c>
      <c r="B262" s="10"/>
      <c r="C262" s="11" t="s">
        <v>5</v>
      </c>
      <c r="D262" s="7" t="s">
        <v>55</v>
      </c>
      <c r="E262" s="4"/>
      <c r="F262" s="11" t="s">
        <v>2</v>
      </c>
      <c r="G262" s="10"/>
      <c r="H262" s="11" t="s">
        <v>5</v>
      </c>
      <c r="I262" s="7" t="str">
        <f>D262</f>
        <v>05C</v>
      </c>
    </row>
    <row r="263" spans="1:12" s="1" customFormat="1" ht="53.25" customHeight="1" x14ac:dyDescent="0.25">
      <c r="A263" s="8" t="s">
        <v>3</v>
      </c>
      <c r="B263" s="9">
        <v>38</v>
      </c>
      <c r="C263" s="11" t="s">
        <v>6</v>
      </c>
      <c r="D263" s="7" t="s">
        <v>56</v>
      </c>
      <c r="E263" s="4"/>
      <c r="F263" s="8" t="s">
        <v>3</v>
      </c>
      <c r="G263" s="9">
        <v>103</v>
      </c>
      <c r="H263" s="11" t="s">
        <v>6</v>
      </c>
      <c r="I263" s="7" t="str">
        <f>D263</f>
        <v>DER-B02</v>
      </c>
      <c r="K263" s="6" t="s">
        <v>8</v>
      </c>
      <c r="L263" s="6" t="s">
        <v>7</v>
      </c>
    </row>
    <row r="264" spans="1:12" s="1" customFormat="1" ht="30" customHeight="1" x14ac:dyDescent="0.25">
      <c r="A264" s="28" t="s">
        <v>57</v>
      </c>
      <c r="B264" s="29"/>
      <c r="C264" s="29"/>
      <c r="D264" s="30"/>
      <c r="E264" s="5"/>
      <c r="F264" s="28" t="s">
        <v>57</v>
      </c>
      <c r="G264" s="29"/>
      <c r="H264" s="29"/>
      <c r="I264" s="30"/>
      <c r="K264" s="1">
        <v>230</v>
      </c>
      <c r="L264" s="1">
        <v>20</v>
      </c>
    </row>
    <row r="265" spans="1:12" s="1" customFormat="1" ht="30" customHeight="1" x14ac:dyDescent="0.25">
      <c r="A265" s="31" t="s">
        <v>54</v>
      </c>
      <c r="B265" s="32"/>
      <c r="C265" s="33" t="s">
        <v>102</v>
      </c>
      <c r="D265" s="34"/>
      <c r="E265" s="4"/>
      <c r="F265" s="31" t="str">
        <f>A265</f>
        <v>PP6331</v>
      </c>
      <c r="G265" s="32"/>
      <c r="H265" s="33" t="str">
        <f>C265</f>
        <v>Yellow</v>
      </c>
      <c r="I265" s="34"/>
    </row>
    <row r="266" spans="1:12" s="1" customFormat="1" ht="30" customHeight="1" x14ac:dyDescent="0.25">
      <c r="A266" s="12" t="s">
        <v>4</v>
      </c>
      <c r="B266" s="25">
        <v>26094</v>
      </c>
      <c r="C266" s="25"/>
      <c r="D266" s="26"/>
      <c r="E266" s="4"/>
      <c r="F266" s="12" t="s">
        <v>4</v>
      </c>
      <c r="G266" s="25">
        <f>B266</f>
        <v>26094</v>
      </c>
      <c r="H266" s="25"/>
      <c r="I266" s="26"/>
    </row>
    <row r="267" spans="1:12" ht="63.75" customHeight="1" x14ac:dyDescent="0.25">
      <c r="A267" s="27" t="s">
        <v>19</v>
      </c>
      <c r="B267" s="27"/>
      <c r="C267" s="27"/>
      <c r="D267" s="27"/>
      <c r="E267" s="2"/>
      <c r="F267" s="27" t="str">
        <f>A267</f>
        <v>Round DER - Barrel</v>
      </c>
      <c r="G267" s="27"/>
      <c r="H267" s="27"/>
      <c r="I267" s="27"/>
    </row>
    <row r="268" spans="1:12" s="1" customFormat="1" ht="30" customHeight="1" x14ac:dyDescent="0.25">
      <c r="A268" s="11" t="s">
        <v>0</v>
      </c>
      <c r="B268" s="10"/>
      <c r="C268" s="11" t="s">
        <v>1</v>
      </c>
      <c r="D268" s="10"/>
      <c r="E268" s="3"/>
      <c r="F268" s="11" t="s">
        <v>0</v>
      </c>
      <c r="G268" s="10"/>
      <c r="H268" s="11" t="s">
        <v>1</v>
      </c>
      <c r="I268" s="10"/>
    </row>
    <row r="269" spans="1:12" s="1" customFormat="1" ht="30" customHeight="1" x14ac:dyDescent="0.25">
      <c r="A269" s="11" t="s">
        <v>2</v>
      </c>
      <c r="B269" s="10"/>
      <c r="C269" s="11" t="s">
        <v>5</v>
      </c>
      <c r="D269" s="7" t="s">
        <v>55</v>
      </c>
      <c r="E269" s="4"/>
      <c r="F269" s="11" t="s">
        <v>2</v>
      </c>
      <c r="G269" s="10"/>
      <c r="H269" s="11" t="s">
        <v>5</v>
      </c>
      <c r="I269" s="7" t="str">
        <f>D269</f>
        <v>05C</v>
      </c>
    </row>
    <row r="270" spans="1:12" s="1" customFormat="1" ht="53.25" customHeight="1" x14ac:dyDescent="0.25">
      <c r="A270" s="8" t="s">
        <v>3</v>
      </c>
      <c r="B270" s="9">
        <v>39</v>
      </c>
      <c r="C270" s="11" t="s">
        <v>6</v>
      </c>
      <c r="D270" s="7" t="s">
        <v>56</v>
      </c>
      <c r="E270" s="4"/>
      <c r="F270" s="8" t="s">
        <v>3</v>
      </c>
      <c r="G270" s="9">
        <v>104</v>
      </c>
      <c r="H270" s="11" t="s">
        <v>6</v>
      </c>
      <c r="I270" s="7" t="str">
        <f>D270</f>
        <v>DER-B02</v>
      </c>
      <c r="K270" s="6" t="s">
        <v>8</v>
      </c>
      <c r="L270" s="6" t="s">
        <v>7</v>
      </c>
    </row>
    <row r="271" spans="1:12" s="1" customFormat="1" ht="30" customHeight="1" x14ac:dyDescent="0.25">
      <c r="A271" s="28" t="s">
        <v>57</v>
      </c>
      <c r="B271" s="29"/>
      <c r="C271" s="29"/>
      <c r="D271" s="30"/>
      <c r="E271" s="5"/>
      <c r="F271" s="28" t="s">
        <v>57</v>
      </c>
      <c r="G271" s="29"/>
      <c r="H271" s="29"/>
      <c r="I271" s="30"/>
      <c r="K271" s="1">
        <v>230</v>
      </c>
      <c r="L271" s="1">
        <v>20</v>
      </c>
    </row>
    <row r="272" spans="1:12" s="1" customFormat="1" ht="30" customHeight="1" x14ac:dyDescent="0.25">
      <c r="A272" s="31" t="s">
        <v>54</v>
      </c>
      <c r="B272" s="32"/>
      <c r="C272" s="33" t="s">
        <v>102</v>
      </c>
      <c r="D272" s="34"/>
      <c r="E272" s="4"/>
      <c r="F272" s="31" t="str">
        <f>A272</f>
        <v>PP6331</v>
      </c>
      <c r="G272" s="32"/>
      <c r="H272" s="33" t="str">
        <f>C272</f>
        <v>Yellow</v>
      </c>
      <c r="I272" s="34"/>
    </row>
    <row r="273" spans="1:12" s="1" customFormat="1" ht="30" customHeight="1" x14ac:dyDescent="0.25">
      <c r="A273" s="12" t="s">
        <v>4</v>
      </c>
      <c r="B273" s="25">
        <v>26094</v>
      </c>
      <c r="C273" s="25"/>
      <c r="D273" s="26"/>
      <c r="E273" s="4"/>
      <c r="F273" s="12" t="s">
        <v>4</v>
      </c>
      <c r="G273" s="25">
        <f>B273</f>
        <v>26094</v>
      </c>
      <c r="H273" s="25"/>
      <c r="I273" s="26"/>
    </row>
    <row r="274" spans="1:12" ht="63.75" customHeight="1" x14ac:dyDescent="0.25">
      <c r="A274" s="27" t="s">
        <v>19</v>
      </c>
      <c r="B274" s="27"/>
      <c r="C274" s="27"/>
      <c r="D274" s="27"/>
      <c r="E274" s="2"/>
      <c r="F274" s="27" t="str">
        <f>A274</f>
        <v>Round DER - Barrel</v>
      </c>
      <c r="G274" s="27"/>
      <c r="H274" s="27"/>
      <c r="I274" s="27"/>
    </row>
    <row r="275" spans="1:12" s="1" customFormat="1" ht="30" customHeight="1" x14ac:dyDescent="0.25">
      <c r="A275" s="11" t="s">
        <v>0</v>
      </c>
      <c r="B275" s="10"/>
      <c r="C275" s="11" t="s">
        <v>1</v>
      </c>
      <c r="D275" s="10"/>
      <c r="E275" s="3"/>
      <c r="F275" s="11" t="s">
        <v>0</v>
      </c>
      <c r="G275" s="10"/>
      <c r="H275" s="11" t="s">
        <v>1</v>
      </c>
      <c r="I275" s="10"/>
    </row>
    <row r="276" spans="1:12" s="1" customFormat="1" ht="30" customHeight="1" x14ac:dyDescent="0.25">
      <c r="A276" s="11" t="s">
        <v>2</v>
      </c>
      <c r="B276" s="10"/>
      <c r="C276" s="11" t="s">
        <v>5</v>
      </c>
      <c r="D276" s="7" t="s">
        <v>55</v>
      </c>
      <c r="E276" s="4"/>
      <c r="F276" s="11" t="s">
        <v>2</v>
      </c>
      <c r="G276" s="10"/>
      <c r="H276" s="11" t="s">
        <v>5</v>
      </c>
      <c r="I276" s="7" t="str">
        <f>D276</f>
        <v>05C</v>
      </c>
    </row>
    <row r="277" spans="1:12" s="1" customFormat="1" ht="53.25" customHeight="1" x14ac:dyDescent="0.25">
      <c r="A277" s="8" t="s">
        <v>3</v>
      </c>
      <c r="B277" s="9">
        <v>40</v>
      </c>
      <c r="C277" s="11" t="s">
        <v>6</v>
      </c>
      <c r="D277" s="7" t="s">
        <v>56</v>
      </c>
      <c r="E277" s="4"/>
      <c r="F277" s="8" t="s">
        <v>3</v>
      </c>
      <c r="G277" s="9">
        <v>105</v>
      </c>
      <c r="H277" s="11" t="s">
        <v>6</v>
      </c>
      <c r="I277" s="7" t="str">
        <f>D277</f>
        <v>DER-B02</v>
      </c>
      <c r="K277" s="6" t="s">
        <v>8</v>
      </c>
      <c r="L277" s="6" t="s">
        <v>7</v>
      </c>
    </row>
    <row r="278" spans="1:12" s="1" customFormat="1" ht="30" customHeight="1" x14ac:dyDescent="0.25">
      <c r="A278" s="28" t="s">
        <v>57</v>
      </c>
      <c r="B278" s="29"/>
      <c r="C278" s="29"/>
      <c r="D278" s="30"/>
      <c r="E278" s="5"/>
      <c r="F278" s="28" t="s">
        <v>57</v>
      </c>
      <c r="G278" s="29"/>
      <c r="H278" s="29"/>
      <c r="I278" s="30"/>
      <c r="K278" s="1">
        <v>230</v>
      </c>
      <c r="L278" s="1">
        <v>20</v>
      </c>
    </row>
    <row r="279" spans="1:12" s="1" customFormat="1" ht="30" customHeight="1" x14ac:dyDescent="0.25">
      <c r="A279" s="31" t="s">
        <v>54</v>
      </c>
      <c r="B279" s="32"/>
      <c r="C279" s="33" t="s">
        <v>102</v>
      </c>
      <c r="D279" s="34"/>
      <c r="E279" s="4"/>
      <c r="F279" s="31" t="str">
        <f>A279</f>
        <v>PP6331</v>
      </c>
      <c r="G279" s="32"/>
      <c r="H279" s="33" t="str">
        <f>C279</f>
        <v>Yellow</v>
      </c>
      <c r="I279" s="34"/>
    </row>
    <row r="280" spans="1:12" s="1" customFormat="1" ht="30" customHeight="1" x14ac:dyDescent="0.25">
      <c r="A280" s="12" t="s">
        <v>4</v>
      </c>
      <c r="B280" s="25">
        <v>26094</v>
      </c>
      <c r="C280" s="25"/>
      <c r="D280" s="26"/>
      <c r="E280" s="4"/>
      <c r="F280" s="12" t="s">
        <v>4</v>
      </c>
      <c r="G280" s="25">
        <f>B280</f>
        <v>26094</v>
      </c>
      <c r="H280" s="25"/>
      <c r="I280" s="26"/>
    </row>
    <row r="281" spans="1:12" ht="63.75" customHeight="1" x14ac:dyDescent="0.25">
      <c r="A281" s="27" t="s">
        <v>19</v>
      </c>
      <c r="B281" s="27"/>
      <c r="C281" s="27"/>
      <c r="D281" s="27"/>
      <c r="E281" s="2"/>
      <c r="F281" s="27" t="str">
        <f>A281</f>
        <v>Round DER - Barrel</v>
      </c>
      <c r="G281" s="27"/>
      <c r="H281" s="27"/>
      <c r="I281" s="27"/>
    </row>
    <row r="282" spans="1:12" s="1" customFormat="1" ht="30" customHeight="1" x14ac:dyDescent="0.25">
      <c r="A282" s="11" t="s">
        <v>0</v>
      </c>
      <c r="B282" s="10"/>
      <c r="C282" s="11" t="s">
        <v>1</v>
      </c>
      <c r="D282" s="10"/>
      <c r="E282" s="3"/>
      <c r="F282" s="11" t="s">
        <v>0</v>
      </c>
      <c r="G282" s="10"/>
      <c r="H282" s="11" t="s">
        <v>1</v>
      </c>
      <c r="I282" s="10"/>
    </row>
    <row r="283" spans="1:12" s="1" customFormat="1" ht="30" customHeight="1" x14ac:dyDescent="0.25">
      <c r="A283" s="11" t="s">
        <v>2</v>
      </c>
      <c r="B283" s="10"/>
      <c r="C283" s="11" t="s">
        <v>5</v>
      </c>
      <c r="D283" s="7" t="s">
        <v>55</v>
      </c>
      <c r="E283" s="4"/>
      <c r="F283" s="11" t="s">
        <v>2</v>
      </c>
      <c r="G283" s="10"/>
      <c r="H283" s="11" t="s">
        <v>5</v>
      </c>
      <c r="I283" s="7" t="str">
        <f>D283</f>
        <v>05C</v>
      </c>
    </row>
    <row r="284" spans="1:12" s="1" customFormat="1" ht="53.25" customHeight="1" x14ac:dyDescent="0.25">
      <c r="A284" s="8" t="s">
        <v>3</v>
      </c>
      <c r="B284" s="9">
        <v>41</v>
      </c>
      <c r="C284" s="11" t="s">
        <v>6</v>
      </c>
      <c r="D284" s="7" t="s">
        <v>56</v>
      </c>
      <c r="E284" s="4"/>
      <c r="F284" s="8" t="s">
        <v>3</v>
      </c>
      <c r="G284" s="9">
        <v>106</v>
      </c>
      <c r="H284" s="11" t="s">
        <v>6</v>
      </c>
      <c r="I284" s="7" t="str">
        <f>D284</f>
        <v>DER-B02</v>
      </c>
      <c r="K284" s="6" t="s">
        <v>8</v>
      </c>
      <c r="L284" s="6" t="s">
        <v>7</v>
      </c>
    </row>
    <row r="285" spans="1:12" s="1" customFormat="1" ht="30" customHeight="1" x14ac:dyDescent="0.25">
      <c r="A285" s="28" t="s">
        <v>57</v>
      </c>
      <c r="B285" s="29"/>
      <c r="C285" s="29"/>
      <c r="D285" s="30"/>
      <c r="E285" s="5"/>
      <c r="F285" s="28" t="s">
        <v>57</v>
      </c>
      <c r="G285" s="29"/>
      <c r="H285" s="29"/>
      <c r="I285" s="30"/>
      <c r="K285" s="1">
        <v>230</v>
      </c>
      <c r="L285" s="1">
        <v>20</v>
      </c>
    </row>
    <row r="286" spans="1:12" s="1" customFormat="1" ht="30" customHeight="1" x14ac:dyDescent="0.25">
      <c r="A286" s="31" t="s">
        <v>54</v>
      </c>
      <c r="B286" s="32"/>
      <c r="C286" s="33" t="s">
        <v>102</v>
      </c>
      <c r="D286" s="34"/>
      <c r="E286" s="4"/>
      <c r="F286" s="31" t="str">
        <f>A286</f>
        <v>PP6331</v>
      </c>
      <c r="G286" s="32"/>
      <c r="H286" s="33" t="str">
        <f>C286</f>
        <v>Yellow</v>
      </c>
      <c r="I286" s="34"/>
    </row>
    <row r="287" spans="1:12" s="1" customFormat="1" ht="30" customHeight="1" x14ac:dyDescent="0.25">
      <c r="A287" s="12" t="s">
        <v>4</v>
      </c>
      <c r="B287" s="25">
        <v>26094</v>
      </c>
      <c r="C287" s="25"/>
      <c r="D287" s="26"/>
      <c r="E287" s="4"/>
      <c r="F287" s="12" t="s">
        <v>4</v>
      </c>
      <c r="G287" s="25">
        <f>B287</f>
        <v>26094</v>
      </c>
      <c r="H287" s="25"/>
      <c r="I287" s="26"/>
    </row>
    <row r="288" spans="1:12" ht="63.75" customHeight="1" x14ac:dyDescent="0.25">
      <c r="A288" s="27" t="s">
        <v>19</v>
      </c>
      <c r="B288" s="27"/>
      <c r="C288" s="27"/>
      <c r="D288" s="27"/>
      <c r="E288" s="2"/>
      <c r="F288" s="27" t="str">
        <f>A288</f>
        <v>Round DER - Barrel</v>
      </c>
      <c r="G288" s="27"/>
      <c r="H288" s="27"/>
      <c r="I288" s="27"/>
    </row>
    <row r="289" spans="1:12" s="1" customFormat="1" ht="30" customHeight="1" x14ac:dyDescent="0.25">
      <c r="A289" s="11" t="s">
        <v>0</v>
      </c>
      <c r="B289" s="10"/>
      <c r="C289" s="11" t="s">
        <v>1</v>
      </c>
      <c r="D289" s="10"/>
      <c r="E289" s="3"/>
      <c r="F289" s="11" t="s">
        <v>0</v>
      </c>
      <c r="G289" s="10"/>
      <c r="H289" s="11" t="s">
        <v>1</v>
      </c>
      <c r="I289" s="10"/>
    </row>
    <row r="290" spans="1:12" s="1" customFormat="1" ht="30" customHeight="1" x14ac:dyDescent="0.25">
      <c r="A290" s="11" t="s">
        <v>2</v>
      </c>
      <c r="B290" s="10"/>
      <c r="C290" s="11" t="s">
        <v>5</v>
      </c>
      <c r="D290" s="7" t="s">
        <v>55</v>
      </c>
      <c r="E290" s="4"/>
      <c r="F290" s="11" t="s">
        <v>2</v>
      </c>
      <c r="G290" s="10"/>
      <c r="H290" s="11" t="s">
        <v>5</v>
      </c>
      <c r="I290" s="7" t="str">
        <f>D290</f>
        <v>05C</v>
      </c>
    </row>
    <row r="291" spans="1:12" s="1" customFormat="1" ht="53.25" customHeight="1" x14ac:dyDescent="0.25">
      <c r="A291" s="8" t="s">
        <v>3</v>
      </c>
      <c r="B291" s="9">
        <v>42</v>
      </c>
      <c r="C291" s="11" t="s">
        <v>6</v>
      </c>
      <c r="D291" s="7" t="s">
        <v>56</v>
      </c>
      <c r="E291" s="4"/>
      <c r="F291" s="8" t="s">
        <v>3</v>
      </c>
      <c r="G291" s="9">
        <v>107</v>
      </c>
      <c r="H291" s="11" t="s">
        <v>6</v>
      </c>
      <c r="I291" s="7" t="str">
        <f>D291</f>
        <v>DER-B02</v>
      </c>
      <c r="K291" s="6" t="s">
        <v>8</v>
      </c>
      <c r="L291" s="6" t="s">
        <v>7</v>
      </c>
    </row>
    <row r="292" spans="1:12" s="1" customFormat="1" ht="30" customHeight="1" x14ac:dyDescent="0.25">
      <c r="A292" s="28" t="s">
        <v>57</v>
      </c>
      <c r="B292" s="29"/>
      <c r="C292" s="29"/>
      <c r="D292" s="30"/>
      <c r="E292" s="5"/>
      <c r="F292" s="28" t="s">
        <v>57</v>
      </c>
      <c r="G292" s="29"/>
      <c r="H292" s="29"/>
      <c r="I292" s="30"/>
      <c r="K292" s="1">
        <v>230</v>
      </c>
      <c r="L292" s="1">
        <v>20</v>
      </c>
    </row>
    <row r="293" spans="1:12" s="1" customFormat="1" ht="30" customHeight="1" x14ac:dyDescent="0.25">
      <c r="A293" s="31" t="s">
        <v>54</v>
      </c>
      <c r="B293" s="32"/>
      <c r="C293" s="33" t="s">
        <v>102</v>
      </c>
      <c r="D293" s="34"/>
      <c r="E293" s="4"/>
      <c r="F293" s="31" t="str">
        <f>A293</f>
        <v>PP6331</v>
      </c>
      <c r="G293" s="32"/>
      <c r="H293" s="33" t="str">
        <f>C293</f>
        <v>Yellow</v>
      </c>
      <c r="I293" s="34"/>
    </row>
    <row r="294" spans="1:12" s="1" customFormat="1" ht="30" customHeight="1" x14ac:dyDescent="0.25">
      <c r="A294" s="12" t="s">
        <v>4</v>
      </c>
      <c r="B294" s="25">
        <v>26094</v>
      </c>
      <c r="C294" s="25"/>
      <c r="D294" s="26"/>
      <c r="E294" s="4"/>
      <c r="F294" s="12" t="s">
        <v>4</v>
      </c>
      <c r="G294" s="25">
        <f>B294</f>
        <v>26094</v>
      </c>
      <c r="H294" s="25"/>
      <c r="I294" s="26"/>
    </row>
    <row r="295" spans="1:12" ht="63.75" customHeight="1" x14ac:dyDescent="0.25">
      <c r="A295" s="27" t="s">
        <v>19</v>
      </c>
      <c r="B295" s="27"/>
      <c r="C295" s="27"/>
      <c r="D295" s="27"/>
      <c r="E295" s="2"/>
      <c r="F295" s="27" t="str">
        <f>A295</f>
        <v>Round DER - Barrel</v>
      </c>
      <c r="G295" s="27"/>
      <c r="H295" s="27"/>
      <c r="I295" s="27"/>
    </row>
    <row r="296" spans="1:12" s="1" customFormat="1" ht="30" customHeight="1" x14ac:dyDescent="0.25">
      <c r="A296" s="11" t="s">
        <v>0</v>
      </c>
      <c r="B296" s="10"/>
      <c r="C296" s="11" t="s">
        <v>1</v>
      </c>
      <c r="D296" s="10"/>
      <c r="E296" s="3"/>
      <c r="F296" s="11" t="s">
        <v>0</v>
      </c>
      <c r="G296" s="10"/>
      <c r="H296" s="11" t="s">
        <v>1</v>
      </c>
      <c r="I296" s="10"/>
    </row>
    <row r="297" spans="1:12" s="1" customFormat="1" ht="30" customHeight="1" x14ac:dyDescent="0.25">
      <c r="A297" s="11" t="s">
        <v>2</v>
      </c>
      <c r="B297" s="10"/>
      <c r="C297" s="11" t="s">
        <v>5</v>
      </c>
      <c r="D297" s="7" t="s">
        <v>55</v>
      </c>
      <c r="E297" s="4"/>
      <c r="F297" s="11" t="s">
        <v>2</v>
      </c>
      <c r="G297" s="10"/>
      <c r="H297" s="11" t="s">
        <v>5</v>
      </c>
      <c r="I297" s="7" t="str">
        <f>D297</f>
        <v>05C</v>
      </c>
    </row>
    <row r="298" spans="1:12" s="1" customFormat="1" ht="53.25" customHeight="1" x14ac:dyDescent="0.25">
      <c r="A298" s="8" t="s">
        <v>3</v>
      </c>
      <c r="B298" s="9">
        <v>43</v>
      </c>
      <c r="C298" s="11" t="s">
        <v>6</v>
      </c>
      <c r="D298" s="7" t="s">
        <v>56</v>
      </c>
      <c r="E298" s="4"/>
      <c r="F298" s="8" t="s">
        <v>3</v>
      </c>
      <c r="G298" s="9">
        <v>108</v>
      </c>
      <c r="H298" s="11" t="s">
        <v>6</v>
      </c>
      <c r="I298" s="7" t="str">
        <f>D298</f>
        <v>DER-B02</v>
      </c>
      <c r="K298" s="6" t="s">
        <v>8</v>
      </c>
      <c r="L298" s="6" t="s">
        <v>7</v>
      </c>
    </row>
    <row r="299" spans="1:12" s="1" customFormat="1" ht="30" customHeight="1" x14ac:dyDescent="0.25">
      <c r="A299" s="28" t="s">
        <v>57</v>
      </c>
      <c r="B299" s="29"/>
      <c r="C299" s="29"/>
      <c r="D299" s="30"/>
      <c r="E299" s="5"/>
      <c r="F299" s="28" t="s">
        <v>57</v>
      </c>
      <c r="G299" s="29"/>
      <c r="H299" s="29"/>
      <c r="I299" s="30"/>
      <c r="K299" s="1">
        <v>230</v>
      </c>
      <c r="L299" s="1">
        <v>20</v>
      </c>
    </row>
    <row r="300" spans="1:12" s="1" customFormat="1" ht="30" customHeight="1" x14ac:dyDescent="0.25">
      <c r="A300" s="31" t="s">
        <v>54</v>
      </c>
      <c r="B300" s="32"/>
      <c r="C300" s="33" t="s">
        <v>102</v>
      </c>
      <c r="D300" s="34"/>
      <c r="E300" s="4"/>
      <c r="F300" s="31" t="str">
        <f>A300</f>
        <v>PP6331</v>
      </c>
      <c r="G300" s="32"/>
      <c r="H300" s="33" t="str">
        <f>C300</f>
        <v>Yellow</v>
      </c>
      <c r="I300" s="34"/>
    </row>
    <row r="301" spans="1:12" s="1" customFormat="1" ht="30" customHeight="1" x14ac:dyDescent="0.25">
      <c r="A301" s="12" t="s">
        <v>4</v>
      </c>
      <c r="B301" s="25">
        <v>26094</v>
      </c>
      <c r="C301" s="25"/>
      <c r="D301" s="26"/>
      <c r="E301" s="4"/>
      <c r="F301" s="12" t="s">
        <v>4</v>
      </c>
      <c r="G301" s="25">
        <f>B301</f>
        <v>26094</v>
      </c>
      <c r="H301" s="25"/>
      <c r="I301" s="26"/>
    </row>
    <row r="302" spans="1:12" ht="63.75" customHeight="1" x14ac:dyDescent="0.25">
      <c r="A302" s="27" t="s">
        <v>19</v>
      </c>
      <c r="B302" s="27"/>
      <c r="C302" s="27"/>
      <c r="D302" s="27"/>
      <c r="E302" s="2"/>
      <c r="F302" s="27" t="str">
        <f>A302</f>
        <v>Round DER - Barrel</v>
      </c>
      <c r="G302" s="27"/>
      <c r="H302" s="27"/>
      <c r="I302" s="27"/>
    </row>
    <row r="303" spans="1:12" s="1" customFormat="1" ht="30" customHeight="1" x14ac:dyDescent="0.25">
      <c r="A303" s="11" t="s">
        <v>0</v>
      </c>
      <c r="B303" s="10"/>
      <c r="C303" s="11" t="s">
        <v>1</v>
      </c>
      <c r="D303" s="10"/>
      <c r="E303" s="3"/>
      <c r="F303" s="11" t="s">
        <v>0</v>
      </c>
      <c r="G303" s="10"/>
      <c r="H303" s="11" t="s">
        <v>1</v>
      </c>
      <c r="I303" s="10"/>
    </row>
    <row r="304" spans="1:12" s="1" customFormat="1" ht="30" customHeight="1" x14ac:dyDescent="0.25">
      <c r="A304" s="11" t="s">
        <v>2</v>
      </c>
      <c r="B304" s="10"/>
      <c r="C304" s="11" t="s">
        <v>5</v>
      </c>
      <c r="D304" s="7" t="s">
        <v>55</v>
      </c>
      <c r="E304" s="4"/>
      <c r="F304" s="11" t="s">
        <v>2</v>
      </c>
      <c r="G304" s="10"/>
      <c r="H304" s="11" t="s">
        <v>5</v>
      </c>
      <c r="I304" s="7" t="str">
        <f>D304</f>
        <v>05C</v>
      </c>
    </row>
    <row r="305" spans="1:12" s="1" customFormat="1" ht="53.25" customHeight="1" x14ac:dyDescent="0.25">
      <c r="A305" s="8" t="s">
        <v>3</v>
      </c>
      <c r="B305" s="9">
        <v>44</v>
      </c>
      <c r="C305" s="11" t="s">
        <v>6</v>
      </c>
      <c r="D305" s="7" t="s">
        <v>56</v>
      </c>
      <c r="E305" s="4"/>
      <c r="F305" s="8" t="s">
        <v>3</v>
      </c>
      <c r="G305" s="9">
        <v>109</v>
      </c>
      <c r="H305" s="11" t="s">
        <v>6</v>
      </c>
      <c r="I305" s="7" t="str">
        <f>D305</f>
        <v>DER-B02</v>
      </c>
      <c r="K305" s="6" t="s">
        <v>8</v>
      </c>
      <c r="L305" s="6" t="s">
        <v>7</v>
      </c>
    </row>
    <row r="306" spans="1:12" s="1" customFormat="1" ht="30" customHeight="1" x14ac:dyDescent="0.25">
      <c r="A306" s="28" t="s">
        <v>57</v>
      </c>
      <c r="B306" s="29"/>
      <c r="C306" s="29"/>
      <c r="D306" s="30"/>
      <c r="E306" s="5"/>
      <c r="F306" s="28" t="s">
        <v>57</v>
      </c>
      <c r="G306" s="29"/>
      <c r="H306" s="29"/>
      <c r="I306" s="30"/>
      <c r="K306" s="1">
        <v>230</v>
      </c>
      <c r="L306" s="1">
        <v>20</v>
      </c>
    </row>
    <row r="307" spans="1:12" s="1" customFormat="1" ht="30" customHeight="1" x14ac:dyDescent="0.25">
      <c r="A307" s="31" t="s">
        <v>54</v>
      </c>
      <c r="B307" s="32"/>
      <c r="C307" s="33" t="s">
        <v>102</v>
      </c>
      <c r="D307" s="34"/>
      <c r="E307" s="4"/>
      <c r="F307" s="31" t="str">
        <f>A307</f>
        <v>PP6331</v>
      </c>
      <c r="G307" s="32"/>
      <c r="H307" s="33" t="str">
        <f>C307</f>
        <v>Yellow</v>
      </c>
      <c r="I307" s="34"/>
    </row>
    <row r="308" spans="1:12" s="1" customFormat="1" ht="30" customHeight="1" x14ac:dyDescent="0.25">
      <c r="A308" s="12" t="s">
        <v>4</v>
      </c>
      <c r="B308" s="25">
        <v>26094</v>
      </c>
      <c r="C308" s="25"/>
      <c r="D308" s="26"/>
      <c r="E308" s="4"/>
      <c r="F308" s="12" t="s">
        <v>4</v>
      </c>
      <c r="G308" s="25">
        <f>B308</f>
        <v>26094</v>
      </c>
      <c r="H308" s="25"/>
      <c r="I308" s="26"/>
    </row>
    <row r="309" spans="1:12" ht="63.75" customHeight="1" x14ac:dyDescent="0.25">
      <c r="A309" s="27" t="s">
        <v>19</v>
      </c>
      <c r="B309" s="27"/>
      <c r="C309" s="27"/>
      <c r="D309" s="27"/>
      <c r="E309" s="2"/>
      <c r="F309" s="27" t="str">
        <f>A309</f>
        <v>Round DER - Barrel</v>
      </c>
      <c r="G309" s="27"/>
      <c r="H309" s="27"/>
      <c r="I309" s="27"/>
    </row>
    <row r="310" spans="1:12" s="1" customFormat="1" ht="30" customHeight="1" x14ac:dyDescent="0.25">
      <c r="A310" s="11" t="s">
        <v>0</v>
      </c>
      <c r="B310" s="10"/>
      <c r="C310" s="11" t="s">
        <v>1</v>
      </c>
      <c r="D310" s="10"/>
      <c r="E310" s="3"/>
      <c r="F310" s="11" t="s">
        <v>0</v>
      </c>
      <c r="G310" s="10"/>
      <c r="H310" s="11" t="s">
        <v>1</v>
      </c>
      <c r="I310" s="10"/>
    </row>
    <row r="311" spans="1:12" s="1" customFormat="1" ht="30" customHeight="1" x14ac:dyDescent="0.25">
      <c r="A311" s="11" t="s">
        <v>2</v>
      </c>
      <c r="B311" s="10"/>
      <c r="C311" s="11" t="s">
        <v>5</v>
      </c>
      <c r="D311" s="7" t="s">
        <v>55</v>
      </c>
      <c r="E311" s="4"/>
      <c r="F311" s="11" t="s">
        <v>2</v>
      </c>
      <c r="G311" s="10"/>
      <c r="H311" s="11" t="s">
        <v>5</v>
      </c>
      <c r="I311" s="7" t="str">
        <f>D311</f>
        <v>05C</v>
      </c>
    </row>
    <row r="312" spans="1:12" s="1" customFormat="1" ht="53.25" customHeight="1" x14ac:dyDescent="0.25">
      <c r="A312" s="8" t="s">
        <v>3</v>
      </c>
      <c r="B312" s="9">
        <v>45</v>
      </c>
      <c r="C312" s="11" t="s">
        <v>6</v>
      </c>
      <c r="D312" s="7" t="s">
        <v>56</v>
      </c>
      <c r="E312" s="4"/>
      <c r="F312" s="8" t="s">
        <v>3</v>
      </c>
      <c r="G312" s="9">
        <v>110</v>
      </c>
      <c r="H312" s="11" t="s">
        <v>6</v>
      </c>
      <c r="I312" s="7" t="str">
        <f>D312</f>
        <v>DER-B02</v>
      </c>
      <c r="K312" s="6" t="s">
        <v>8</v>
      </c>
      <c r="L312" s="6" t="s">
        <v>7</v>
      </c>
    </row>
    <row r="313" spans="1:12" s="1" customFormat="1" ht="30" customHeight="1" x14ac:dyDescent="0.25">
      <c r="A313" s="28" t="s">
        <v>57</v>
      </c>
      <c r="B313" s="29"/>
      <c r="C313" s="29"/>
      <c r="D313" s="30"/>
      <c r="E313" s="5"/>
      <c r="F313" s="28" t="s">
        <v>57</v>
      </c>
      <c r="G313" s="29"/>
      <c r="H313" s="29"/>
      <c r="I313" s="30"/>
      <c r="K313" s="1">
        <v>230</v>
      </c>
      <c r="L313" s="1">
        <v>20</v>
      </c>
    </row>
    <row r="314" spans="1:12" s="1" customFormat="1" ht="30" customHeight="1" x14ac:dyDescent="0.25">
      <c r="A314" s="31" t="s">
        <v>54</v>
      </c>
      <c r="B314" s="32"/>
      <c r="C314" s="33" t="s">
        <v>102</v>
      </c>
      <c r="D314" s="34"/>
      <c r="E314" s="4"/>
      <c r="F314" s="31" t="str">
        <f>A314</f>
        <v>PP6331</v>
      </c>
      <c r="G314" s="32"/>
      <c r="H314" s="33" t="str">
        <f>C314</f>
        <v>Yellow</v>
      </c>
      <c r="I314" s="34"/>
    </row>
    <row r="315" spans="1:12" s="1" customFormat="1" ht="30" customHeight="1" x14ac:dyDescent="0.25">
      <c r="A315" s="12" t="s">
        <v>4</v>
      </c>
      <c r="B315" s="25">
        <v>26094</v>
      </c>
      <c r="C315" s="25"/>
      <c r="D315" s="26"/>
      <c r="E315" s="4"/>
      <c r="F315" s="12" t="s">
        <v>4</v>
      </c>
      <c r="G315" s="25">
        <f>B315</f>
        <v>26094</v>
      </c>
      <c r="H315" s="25"/>
      <c r="I315" s="26"/>
    </row>
    <row r="316" spans="1:12" ht="63.75" customHeight="1" x14ac:dyDescent="0.25">
      <c r="A316" s="27" t="s">
        <v>19</v>
      </c>
      <c r="B316" s="27"/>
      <c r="C316" s="27"/>
      <c r="D316" s="27"/>
      <c r="E316" s="2"/>
      <c r="F316" s="27" t="str">
        <f>A316</f>
        <v>Round DER - Barrel</v>
      </c>
      <c r="G316" s="27"/>
      <c r="H316" s="27"/>
      <c r="I316" s="27"/>
    </row>
    <row r="317" spans="1:12" s="1" customFormat="1" ht="30" customHeight="1" x14ac:dyDescent="0.25">
      <c r="A317" s="11" t="s">
        <v>0</v>
      </c>
      <c r="B317" s="10"/>
      <c r="C317" s="11" t="s">
        <v>1</v>
      </c>
      <c r="D317" s="10"/>
      <c r="E317" s="3"/>
      <c r="F317" s="11" t="s">
        <v>0</v>
      </c>
      <c r="G317" s="10"/>
      <c r="H317" s="11" t="s">
        <v>1</v>
      </c>
      <c r="I317" s="10"/>
    </row>
    <row r="318" spans="1:12" s="1" customFormat="1" ht="30" customHeight="1" x14ac:dyDescent="0.25">
      <c r="A318" s="11" t="s">
        <v>2</v>
      </c>
      <c r="B318" s="10"/>
      <c r="C318" s="11" t="s">
        <v>5</v>
      </c>
      <c r="D318" s="7" t="s">
        <v>55</v>
      </c>
      <c r="E318" s="4"/>
      <c r="F318" s="11" t="s">
        <v>2</v>
      </c>
      <c r="G318" s="10"/>
      <c r="H318" s="11" t="s">
        <v>5</v>
      </c>
      <c r="I318" s="7" t="str">
        <f>D318</f>
        <v>05C</v>
      </c>
    </row>
    <row r="319" spans="1:12" s="1" customFormat="1" ht="53.25" customHeight="1" x14ac:dyDescent="0.25">
      <c r="A319" s="8" t="s">
        <v>3</v>
      </c>
      <c r="B319" s="9">
        <v>46</v>
      </c>
      <c r="C319" s="11" t="s">
        <v>6</v>
      </c>
      <c r="D319" s="7" t="s">
        <v>56</v>
      </c>
      <c r="E319" s="4"/>
      <c r="F319" s="8" t="s">
        <v>3</v>
      </c>
      <c r="G319" s="9">
        <v>111</v>
      </c>
      <c r="H319" s="11" t="s">
        <v>6</v>
      </c>
      <c r="I319" s="7" t="str">
        <f>D319</f>
        <v>DER-B02</v>
      </c>
      <c r="K319" s="6" t="s">
        <v>8</v>
      </c>
      <c r="L319" s="6" t="s">
        <v>7</v>
      </c>
    </row>
    <row r="320" spans="1:12" s="1" customFormat="1" ht="30" customHeight="1" x14ac:dyDescent="0.25">
      <c r="A320" s="28" t="s">
        <v>57</v>
      </c>
      <c r="B320" s="29"/>
      <c r="C320" s="29"/>
      <c r="D320" s="30"/>
      <c r="E320" s="5"/>
      <c r="F320" s="28" t="s">
        <v>57</v>
      </c>
      <c r="G320" s="29"/>
      <c r="H320" s="29"/>
      <c r="I320" s="30"/>
      <c r="K320" s="1">
        <v>230</v>
      </c>
      <c r="L320" s="1">
        <v>20</v>
      </c>
    </row>
    <row r="321" spans="1:12" s="1" customFormat="1" ht="30" customHeight="1" x14ac:dyDescent="0.25">
      <c r="A321" s="31" t="s">
        <v>54</v>
      </c>
      <c r="B321" s="32"/>
      <c r="C321" s="33" t="s">
        <v>102</v>
      </c>
      <c r="D321" s="34"/>
      <c r="E321" s="4"/>
      <c r="F321" s="31" t="str">
        <f>A321</f>
        <v>PP6331</v>
      </c>
      <c r="G321" s="32"/>
      <c r="H321" s="33" t="str">
        <f>C321</f>
        <v>Yellow</v>
      </c>
      <c r="I321" s="34"/>
    </row>
    <row r="322" spans="1:12" s="1" customFormat="1" ht="30" customHeight="1" x14ac:dyDescent="0.25">
      <c r="A322" s="12" t="s">
        <v>4</v>
      </c>
      <c r="B322" s="25">
        <v>26094</v>
      </c>
      <c r="C322" s="25"/>
      <c r="D322" s="26"/>
      <c r="E322" s="4"/>
      <c r="F322" s="12" t="s">
        <v>4</v>
      </c>
      <c r="G322" s="25">
        <f>B322</f>
        <v>26094</v>
      </c>
      <c r="H322" s="25"/>
      <c r="I322" s="26"/>
    </row>
    <row r="323" spans="1:12" ht="63.75" customHeight="1" x14ac:dyDescent="0.25">
      <c r="A323" s="27" t="s">
        <v>19</v>
      </c>
      <c r="B323" s="27"/>
      <c r="C323" s="27"/>
      <c r="D323" s="27"/>
      <c r="E323" s="2"/>
      <c r="F323" s="27" t="str">
        <f>A323</f>
        <v>Round DER - Barrel</v>
      </c>
      <c r="G323" s="27"/>
      <c r="H323" s="27"/>
      <c r="I323" s="27"/>
    </row>
    <row r="324" spans="1:12" s="1" customFormat="1" ht="30" customHeight="1" x14ac:dyDescent="0.25">
      <c r="A324" s="11" t="s">
        <v>0</v>
      </c>
      <c r="B324" s="10"/>
      <c r="C324" s="11" t="s">
        <v>1</v>
      </c>
      <c r="D324" s="10"/>
      <c r="E324" s="3"/>
      <c r="F324" s="11" t="s">
        <v>0</v>
      </c>
      <c r="G324" s="10"/>
      <c r="H324" s="11" t="s">
        <v>1</v>
      </c>
      <c r="I324" s="10"/>
    </row>
    <row r="325" spans="1:12" s="1" customFormat="1" ht="30" customHeight="1" x14ac:dyDescent="0.25">
      <c r="A325" s="11" t="s">
        <v>2</v>
      </c>
      <c r="B325" s="10"/>
      <c r="C325" s="11" t="s">
        <v>5</v>
      </c>
      <c r="D325" s="7" t="s">
        <v>55</v>
      </c>
      <c r="E325" s="4"/>
      <c r="F325" s="11" t="s">
        <v>2</v>
      </c>
      <c r="G325" s="10"/>
      <c r="H325" s="11" t="s">
        <v>5</v>
      </c>
      <c r="I325" s="7" t="str">
        <f>D325</f>
        <v>05C</v>
      </c>
    </row>
    <row r="326" spans="1:12" s="1" customFormat="1" ht="53.25" customHeight="1" x14ac:dyDescent="0.25">
      <c r="A326" s="8" t="s">
        <v>3</v>
      </c>
      <c r="B326" s="9">
        <v>47</v>
      </c>
      <c r="C326" s="11" t="s">
        <v>6</v>
      </c>
      <c r="D326" s="7" t="s">
        <v>56</v>
      </c>
      <c r="E326" s="4"/>
      <c r="F326" s="8" t="s">
        <v>3</v>
      </c>
      <c r="G326" s="9">
        <v>112</v>
      </c>
      <c r="H326" s="11" t="s">
        <v>6</v>
      </c>
      <c r="I326" s="7" t="str">
        <f>D326</f>
        <v>DER-B02</v>
      </c>
      <c r="K326" s="6" t="s">
        <v>8</v>
      </c>
      <c r="L326" s="6" t="s">
        <v>7</v>
      </c>
    </row>
    <row r="327" spans="1:12" s="1" customFormat="1" ht="30" customHeight="1" x14ac:dyDescent="0.25">
      <c r="A327" s="28" t="s">
        <v>57</v>
      </c>
      <c r="B327" s="29"/>
      <c r="C327" s="29"/>
      <c r="D327" s="30"/>
      <c r="E327" s="5"/>
      <c r="F327" s="28" t="s">
        <v>57</v>
      </c>
      <c r="G327" s="29"/>
      <c r="H327" s="29"/>
      <c r="I327" s="30"/>
      <c r="K327" s="1">
        <v>230</v>
      </c>
      <c r="L327" s="1">
        <v>20</v>
      </c>
    </row>
    <row r="328" spans="1:12" s="1" customFormat="1" ht="30" customHeight="1" x14ac:dyDescent="0.25">
      <c r="A328" s="31" t="s">
        <v>54</v>
      </c>
      <c r="B328" s="32"/>
      <c r="C328" s="33" t="s">
        <v>102</v>
      </c>
      <c r="D328" s="34"/>
      <c r="E328" s="4"/>
      <c r="F328" s="31" t="str">
        <f>A328</f>
        <v>PP6331</v>
      </c>
      <c r="G328" s="32"/>
      <c r="H328" s="33" t="str">
        <f>C328</f>
        <v>Yellow</v>
      </c>
      <c r="I328" s="34"/>
    </row>
    <row r="329" spans="1:12" s="1" customFormat="1" ht="30" customHeight="1" x14ac:dyDescent="0.25">
      <c r="A329" s="12" t="s">
        <v>4</v>
      </c>
      <c r="B329" s="25">
        <v>26094</v>
      </c>
      <c r="C329" s="25"/>
      <c r="D329" s="26"/>
      <c r="E329" s="4"/>
      <c r="F329" s="12" t="s">
        <v>4</v>
      </c>
      <c r="G329" s="25">
        <f>B329</f>
        <v>26094</v>
      </c>
      <c r="H329" s="25"/>
      <c r="I329" s="26"/>
    </row>
    <row r="330" spans="1:12" ht="63.75" customHeight="1" x14ac:dyDescent="0.25">
      <c r="A330" s="27" t="s">
        <v>19</v>
      </c>
      <c r="B330" s="27"/>
      <c r="C330" s="27"/>
      <c r="D330" s="27"/>
      <c r="E330" s="2"/>
      <c r="F330" s="27" t="str">
        <f>A330</f>
        <v>Round DER - Barrel</v>
      </c>
      <c r="G330" s="27"/>
      <c r="H330" s="27"/>
      <c r="I330" s="27"/>
    </row>
    <row r="331" spans="1:12" s="1" customFormat="1" ht="30" customHeight="1" x14ac:dyDescent="0.25">
      <c r="A331" s="11" t="s">
        <v>0</v>
      </c>
      <c r="B331" s="10"/>
      <c r="C331" s="11" t="s">
        <v>1</v>
      </c>
      <c r="D331" s="10"/>
      <c r="E331" s="3"/>
      <c r="F331" s="11" t="s">
        <v>0</v>
      </c>
      <c r="G331" s="10"/>
      <c r="H331" s="11" t="s">
        <v>1</v>
      </c>
      <c r="I331" s="10"/>
    </row>
    <row r="332" spans="1:12" s="1" customFormat="1" ht="30" customHeight="1" x14ac:dyDescent="0.25">
      <c r="A332" s="11" t="s">
        <v>2</v>
      </c>
      <c r="B332" s="10"/>
      <c r="C332" s="11" t="s">
        <v>5</v>
      </c>
      <c r="D332" s="7" t="s">
        <v>55</v>
      </c>
      <c r="E332" s="4"/>
      <c r="F332" s="11" t="s">
        <v>2</v>
      </c>
      <c r="G332" s="10"/>
      <c r="H332" s="11" t="s">
        <v>5</v>
      </c>
      <c r="I332" s="7" t="str">
        <f>D332</f>
        <v>05C</v>
      </c>
    </row>
    <row r="333" spans="1:12" s="1" customFormat="1" ht="53.25" customHeight="1" x14ac:dyDescent="0.25">
      <c r="A333" s="8" t="s">
        <v>3</v>
      </c>
      <c r="B333" s="9">
        <v>48</v>
      </c>
      <c r="C333" s="11" t="s">
        <v>6</v>
      </c>
      <c r="D333" s="7" t="s">
        <v>56</v>
      </c>
      <c r="E333" s="4"/>
      <c r="F333" s="8" t="s">
        <v>3</v>
      </c>
      <c r="G333" s="9">
        <v>113</v>
      </c>
      <c r="H333" s="11" t="s">
        <v>6</v>
      </c>
      <c r="I333" s="7" t="str">
        <f>D333</f>
        <v>DER-B02</v>
      </c>
      <c r="K333" s="6" t="s">
        <v>8</v>
      </c>
      <c r="L333" s="6" t="s">
        <v>7</v>
      </c>
    </row>
    <row r="334" spans="1:12" s="1" customFormat="1" ht="30" customHeight="1" x14ac:dyDescent="0.25">
      <c r="A334" s="28" t="s">
        <v>57</v>
      </c>
      <c r="B334" s="29"/>
      <c r="C334" s="29"/>
      <c r="D334" s="30"/>
      <c r="E334" s="5"/>
      <c r="F334" s="28" t="s">
        <v>57</v>
      </c>
      <c r="G334" s="29"/>
      <c r="H334" s="29"/>
      <c r="I334" s="30"/>
      <c r="K334" s="1">
        <v>230</v>
      </c>
      <c r="L334" s="1">
        <v>20</v>
      </c>
    </row>
    <row r="335" spans="1:12" s="1" customFormat="1" ht="30" customHeight="1" x14ac:dyDescent="0.25">
      <c r="A335" s="31" t="s">
        <v>54</v>
      </c>
      <c r="B335" s="32"/>
      <c r="C335" s="33" t="s">
        <v>102</v>
      </c>
      <c r="D335" s="34"/>
      <c r="E335" s="4"/>
      <c r="F335" s="31" t="str">
        <f>A335</f>
        <v>PP6331</v>
      </c>
      <c r="G335" s="32"/>
      <c r="H335" s="33" t="str">
        <f>C335</f>
        <v>Yellow</v>
      </c>
      <c r="I335" s="34"/>
    </row>
    <row r="336" spans="1:12" s="1" customFormat="1" ht="30" customHeight="1" x14ac:dyDescent="0.25">
      <c r="A336" s="12" t="s">
        <v>4</v>
      </c>
      <c r="B336" s="25">
        <v>26094</v>
      </c>
      <c r="C336" s="25"/>
      <c r="D336" s="26"/>
      <c r="E336" s="4"/>
      <c r="F336" s="12" t="s">
        <v>4</v>
      </c>
      <c r="G336" s="25">
        <f>B336</f>
        <v>26094</v>
      </c>
      <c r="H336" s="25"/>
      <c r="I336" s="26"/>
    </row>
    <row r="337" spans="1:12" ht="63.75" customHeight="1" x14ac:dyDescent="0.25">
      <c r="A337" s="27" t="s">
        <v>19</v>
      </c>
      <c r="B337" s="27"/>
      <c r="C337" s="27"/>
      <c r="D337" s="27"/>
      <c r="E337" s="2"/>
      <c r="F337" s="27" t="str">
        <f>A337</f>
        <v>Round DER - Barrel</v>
      </c>
      <c r="G337" s="27"/>
      <c r="H337" s="27"/>
      <c r="I337" s="27"/>
    </row>
    <row r="338" spans="1:12" s="1" customFormat="1" ht="30" customHeight="1" x14ac:dyDescent="0.25">
      <c r="A338" s="11" t="s">
        <v>0</v>
      </c>
      <c r="B338" s="10"/>
      <c r="C338" s="11" t="s">
        <v>1</v>
      </c>
      <c r="D338" s="10"/>
      <c r="E338" s="3"/>
      <c r="F338" s="11" t="s">
        <v>0</v>
      </c>
      <c r="G338" s="10"/>
      <c r="H338" s="11" t="s">
        <v>1</v>
      </c>
      <c r="I338" s="10"/>
    </row>
    <row r="339" spans="1:12" s="1" customFormat="1" ht="30" customHeight="1" x14ac:dyDescent="0.25">
      <c r="A339" s="11" t="s">
        <v>2</v>
      </c>
      <c r="B339" s="10"/>
      <c r="C339" s="11" t="s">
        <v>5</v>
      </c>
      <c r="D339" s="7" t="s">
        <v>55</v>
      </c>
      <c r="E339" s="4"/>
      <c r="F339" s="11" t="s">
        <v>2</v>
      </c>
      <c r="G339" s="10"/>
      <c r="H339" s="11" t="s">
        <v>5</v>
      </c>
      <c r="I339" s="7" t="str">
        <f>D339</f>
        <v>05C</v>
      </c>
    </row>
    <row r="340" spans="1:12" s="1" customFormat="1" ht="53.25" customHeight="1" x14ac:dyDescent="0.25">
      <c r="A340" s="8" t="s">
        <v>3</v>
      </c>
      <c r="B340" s="9">
        <v>49</v>
      </c>
      <c r="C340" s="11" t="s">
        <v>6</v>
      </c>
      <c r="D340" s="7" t="s">
        <v>56</v>
      </c>
      <c r="E340" s="4"/>
      <c r="F340" s="8" t="s">
        <v>3</v>
      </c>
      <c r="G340" s="9">
        <v>114</v>
      </c>
      <c r="H340" s="11" t="s">
        <v>6</v>
      </c>
      <c r="I340" s="7" t="str">
        <f>D340</f>
        <v>DER-B02</v>
      </c>
      <c r="K340" s="6" t="s">
        <v>8</v>
      </c>
      <c r="L340" s="6" t="s">
        <v>7</v>
      </c>
    </row>
    <row r="341" spans="1:12" s="1" customFormat="1" ht="30" customHeight="1" x14ac:dyDescent="0.25">
      <c r="A341" s="28" t="s">
        <v>57</v>
      </c>
      <c r="B341" s="29"/>
      <c r="C341" s="29"/>
      <c r="D341" s="30"/>
      <c r="E341" s="5"/>
      <c r="F341" s="28" t="s">
        <v>57</v>
      </c>
      <c r="G341" s="29"/>
      <c r="H341" s="29"/>
      <c r="I341" s="30"/>
      <c r="K341" s="1">
        <v>230</v>
      </c>
      <c r="L341" s="1">
        <v>20</v>
      </c>
    </row>
    <row r="342" spans="1:12" s="1" customFormat="1" ht="30" customHeight="1" x14ac:dyDescent="0.25">
      <c r="A342" s="31" t="s">
        <v>54</v>
      </c>
      <c r="B342" s="32"/>
      <c r="C342" s="33" t="s">
        <v>102</v>
      </c>
      <c r="D342" s="34"/>
      <c r="E342" s="4"/>
      <c r="F342" s="31" t="str">
        <f>A342</f>
        <v>PP6331</v>
      </c>
      <c r="G342" s="32"/>
      <c r="H342" s="33" t="str">
        <f>C342</f>
        <v>Yellow</v>
      </c>
      <c r="I342" s="34"/>
    </row>
    <row r="343" spans="1:12" s="1" customFormat="1" ht="30" customHeight="1" x14ac:dyDescent="0.25">
      <c r="A343" s="12" t="s">
        <v>4</v>
      </c>
      <c r="B343" s="25">
        <v>26094</v>
      </c>
      <c r="C343" s="25"/>
      <c r="D343" s="26"/>
      <c r="E343" s="4"/>
      <c r="F343" s="12" t="s">
        <v>4</v>
      </c>
      <c r="G343" s="25">
        <f>B343</f>
        <v>26094</v>
      </c>
      <c r="H343" s="25"/>
      <c r="I343" s="26"/>
    </row>
    <row r="344" spans="1:12" ht="63.75" customHeight="1" x14ac:dyDescent="0.25">
      <c r="A344" s="27" t="s">
        <v>19</v>
      </c>
      <c r="B344" s="27"/>
      <c r="C344" s="27"/>
      <c r="D344" s="27"/>
      <c r="E344" s="2"/>
      <c r="F344" s="27" t="str">
        <f>A344</f>
        <v>Round DER - Barrel</v>
      </c>
      <c r="G344" s="27"/>
      <c r="H344" s="27"/>
      <c r="I344" s="27"/>
    </row>
    <row r="345" spans="1:12" s="1" customFormat="1" ht="30" customHeight="1" x14ac:dyDescent="0.25">
      <c r="A345" s="11" t="s">
        <v>0</v>
      </c>
      <c r="B345" s="10"/>
      <c r="C345" s="11" t="s">
        <v>1</v>
      </c>
      <c r="D345" s="10"/>
      <c r="E345" s="3"/>
      <c r="F345" s="11" t="s">
        <v>0</v>
      </c>
      <c r="G345" s="10"/>
      <c r="H345" s="11" t="s">
        <v>1</v>
      </c>
      <c r="I345" s="10"/>
    </row>
    <row r="346" spans="1:12" s="1" customFormat="1" ht="30" customHeight="1" x14ac:dyDescent="0.25">
      <c r="A346" s="11" t="s">
        <v>2</v>
      </c>
      <c r="B346" s="10"/>
      <c r="C346" s="11" t="s">
        <v>5</v>
      </c>
      <c r="D346" s="7" t="s">
        <v>55</v>
      </c>
      <c r="E346" s="4"/>
      <c r="F346" s="11" t="s">
        <v>2</v>
      </c>
      <c r="G346" s="10"/>
      <c r="H346" s="11" t="s">
        <v>5</v>
      </c>
      <c r="I346" s="7" t="str">
        <f>D346</f>
        <v>05C</v>
      </c>
    </row>
    <row r="347" spans="1:12" s="1" customFormat="1" ht="53.25" customHeight="1" x14ac:dyDescent="0.25">
      <c r="A347" s="8" t="s">
        <v>3</v>
      </c>
      <c r="B347" s="9">
        <v>50</v>
      </c>
      <c r="C347" s="11" t="s">
        <v>6</v>
      </c>
      <c r="D347" s="7" t="s">
        <v>56</v>
      </c>
      <c r="E347" s="4"/>
      <c r="F347" s="8" t="s">
        <v>3</v>
      </c>
      <c r="G347" s="9">
        <v>115</v>
      </c>
      <c r="H347" s="11" t="s">
        <v>6</v>
      </c>
      <c r="I347" s="7" t="str">
        <f>D347</f>
        <v>DER-B02</v>
      </c>
      <c r="K347" s="6" t="s">
        <v>8</v>
      </c>
      <c r="L347" s="6" t="s">
        <v>7</v>
      </c>
    </row>
    <row r="348" spans="1:12" s="1" customFormat="1" ht="30" customHeight="1" x14ac:dyDescent="0.25">
      <c r="A348" s="28" t="s">
        <v>57</v>
      </c>
      <c r="B348" s="29"/>
      <c r="C348" s="29"/>
      <c r="D348" s="30"/>
      <c r="E348" s="5"/>
      <c r="F348" s="28" t="s">
        <v>57</v>
      </c>
      <c r="G348" s="29"/>
      <c r="H348" s="29"/>
      <c r="I348" s="30"/>
      <c r="K348" s="1">
        <v>230</v>
      </c>
      <c r="L348" s="1">
        <v>20</v>
      </c>
    </row>
    <row r="349" spans="1:12" s="1" customFormat="1" ht="30" customHeight="1" x14ac:dyDescent="0.25">
      <c r="A349" s="31" t="s">
        <v>54</v>
      </c>
      <c r="B349" s="32"/>
      <c r="C349" s="33" t="s">
        <v>102</v>
      </c>
      <c r="D349" s="34"/>
      <c r="E349" s="4"/>
      <c r="F349" s="31" t="str">
        <f>A349</f>
        <v>PP6331</v>
      </c>
      <c r="G349" s="32"/>
      <c r="H349" s="33" t="str">
        <f>C349</f>
        <v>Yellow</v>
      </c>
      <c r="I349" s="34"/>
    </row>
    <row r="350" spans="1:12" s="1" customFormat="1" ht="30" customHeight="1" x14ac:dyDescent="0.25">
      <c r="A350" s="12" t="s">
        <v>4</v>
      </c>
      <c r="B350" s="25">
        <v>26094</v>
      </c>
      <c r="C350" s="25"/>
      <c r="D350" s="26"/>
      <c r="E350" s="4"/>
      <c r="F350" s="12" t="s">
        <v>4</v>
      </c>
      <c r="G350" s="25">
        <f>B350</f>
        <v>26094</v>
      </c>
      <c r="H350" s="25"/>
      <c r="I350" s="26"/>
    </row>
    <row r="351" spans="1:12" ht="63.75" customHeight="1" x14ac:dyDescent="0.25">
      <c r="A351" s="27" t="s">
        <v>19</v>
      </c>
      <c r="B351" s="27"/>
      <c r="C351" s="27"/>
      <c r="D351" s="27"/>
      <c r="E351" s="2"/>
      <c r="F351" s="27" t="str">
        <f>A351</f>
        <v>Round DER - Barrel</v>
      </c>
      <c r="G351" s="27"/>
      <c r="H351" s="27"/>
      <c r="I351" s="27"/>
    </row>
    <row r="352" spans="1:12" s="1" customFormat="1" ht="30" customHeight="1" x14ac:dyDescent="0.25">
      <c r="A352" s="11" t="s">
        <v>0</v>
      </c>
      <c r="B352" s="10"/>
      <c r="C352" s="11" t="s">
        <v>1</v>
      </c>
      <c r="D352" s="10"/>
      <c r="E352" s="3"/>
      <c r="F352" s="11" t="s">
        <v>0</v>
      </c>
      <c r="G352" s="10"/>
      <c r="H352" s="11" t="s">
        <v>1</v>
      </c>
      <c r="I352" s="10"/>
    </row>
    <row r="353" spans="1:12" s="1" customFormat="1" ht="30" customHeight="1" x14ac:dyDescent="0.25">
      <c r="A353" s="11" t="s">
        <v>2</v>
      </c>
      <c r="B353" s="10"/>
      <c r="C353" s="11" t="s">
        <v>5</v>
      </c>
      <c r="D353" s="7" t="s">
        <v>55</v>
      </c>
      <c r="E353" s="4"/>
      <c r="F353" s="11" t="s">
        <v>2</v>
      </c>
      <c r="G353" s="10"/>
      <c r="H353" s="11" t="s">
        <v>5</v>
      </c>
      <c r="I353" s="7" t="str">
        <f>D353</f>
        <v>05C</v>
      </c>
    </row>
    <row r="354" spans="1:12" s="1" customFormat="1" ht="53.25" customHeight="1" x14ac:dyDescent="0.25">
      <c r="A354" s="8" t="s">
        <v>3</v>
      </c>
      <c r="B354" s="9">
        <v>51</v>
      </c>
      <c r="C354" s="11" t="s">
        <v>6</v>
      </c>
      <c r="D354" s="7" t="s">
        <v>56</v>
      </c>
      <c r="E354" s="4"/>
      <c r="F354" s="8" t="s">
        <v>3</v>
      </c>
      <c r="G354" s="9">
        <v>116</v>
      </c>
      <c r="H354" s="11" t="s">
        <v>6</v>
      </c>
      <c r="I354" s="7" t="str">
        <f>D354</f>
        <v>DER-B02</v>
      </c>
      <c r="K354" s="6" t="s">
        <v>8</v>
      </c>
      <c r="L354" s="6" t="s">
        <v>7</v>
      </c>
    </row>
    <row r="355" spans="1:12" s="1" customFormat="1" ht="30" customHeight="1" x14ac:dyDescent="0.25">
      <c r="A355" s="28" t="s">
        <v>57</v>
      </c>
      <c r="B355" s="29"/>
      <c r="C355" s="29"/>
      <c r="D355" s="30"/>
      <c r="E355" s="5"/>
      <c r="F355" s="28" t="s">
        <v>57</v>
      </c>
      <c r="G355" s="29"/>
      <c r="H355" s="29"/>
      <c r="I355" s="30"/>
      <c r="K355" s="1">
        <v>230</v>
      </c>
      <c r="L355" s="1">
        <v>20</v>
      </c>
    </row>
    <row r="356" spans="1:12" s="1" customFormat="1" ht="30" customHeight="1" x14ac:dyDescent="0.25">
      <c r="A356" s="31" t="s">
        <v>54</v>
      </c>
      <c r="B356" s="32"/>
      <c r="C356" s="33" t="s">
        <v>102</v>
      </c>
      <c r="D356" s="34"/>
      <c r="E356" s="4"/>
      <c r="F356" s="31" t="str">
        <f>A356</f>
        <v>PP6331</v>
      </c>
      <c r="G356" s="32"/>
      <c r="H356" s="33" t="str">
        <f>C356</f>
        <v>Yellow</v>
      </c>
      <c r="I356" s="34"/>
    </row>
    <row r="357" spans="1:12" s="1" customFormat="1" ht="30" customHeight="1" x14ac:dyDescent="0.25">
      <c r="A357" s="12" t="s">
        <v>4</v>
      </c>
      <c r="B357" s="25">
        <v>26094</v>
      </c>
      <c r="C357" s="25"/>
      <c r="D357" s="26"/>
      <c r="E357" s="4"/>
      <c r="F357" s="12" t="s">
        <v>4</v>
      </c>
      <c r="G357" s="25">
        <f>B357</f>
        <v>26094</v>
      </c>
      <c r="H357" s="25"/>
      <c r="I357" s="26"/>
    </row>
    <row r="358" spans="1:12" ht="63.75" customHeight="1" x14ac:dyDescent="0.25">
      <c r="A358" s="27" t="s">
        <v>19</v>
      </c>
      <c r="B358" s="27"/>
      <c r="C358" s="27"/>
      <c r="D358" s="27"/>
      <c r="E358" s="2"/>
      <c r="F358" s="27" t="str">
        <f>A358</f>
        <v>Round DER - Barrel</v>
      </c>
      <c r="G358" s="27"/>
      <c r="H358" s="27"/>
      <c r="I358" s="27"/>
    </row>
    <row r="359" spans="1:12" s="1" customFormat="1" ht="30" customHeight="1" x14ac:dyDescent="0.25">
      <c r="A359" s="11" t="s">
        <v>0</v>
      </c>
      <c r="B359" s="10"/>
      <c r="C359" s="11" t="s">
        <v>1</v>
      </c>
      <c r="D359" s="10"/>
      <c r="E359" s="3"/>
      <c r="F359" s="11" t="s">
        <v>0</v>
      </c>
      <c r="G359" s="10"/>
      <c r="H359" s="11" t="s">
        <v>1</v>
      </c>
      <c r="I359" s="10"/>
    </row>
    <row r="360" spans="1:12" s="1" customFormat="1" ht="30" customHeight="1" x14ac:dyDescent="0.25">
      <c r="A360" s="11" t="s">
        <v>2</v>
      </c>
      <c r="B360" s="10"/>
      <c r="C360" s="11" t="s">
        <v>5</v>
      </c>
      <c r="D360" s="7" t="s">
        <v>55</v>
      </c>
      <c r="E360" s="4"/>
      <c r="F360" s="11" t="s">
        <v>2</v>
      </c>
      <c r="G360" s="10"/>
      <c r="H360" s="11" t="s">
        <v>5</v>
      </c>
      <c r="I360" s="7" t="str">
        <f>D360</f>
        <v>05C</v>
      </c>
    </row>
    <row r="361" spans="1:12" s="1" customFormat="1" ht="53.25" customHeight="1" x14ac:dyDescent="0.25">
      <c r="A361" s="8" t="s">
        <v>3</v>
      </c>
      <c r="B361" s="9">
        <v>52</v>
      </c>
      <c r="C361" s="11" t="s">
        <v>6</v>
      </c>
      <c r="D361" s="7" t="s">
        <v>56</v>
      </c>
      <c r="E361" s="4"/>
      <c r="F361" s="8" t="s">
        <v>3</v>
      </c>
      <c r="G361" s="9">
        <v>117</v>
      </c>
      <c r="H361" s="11" t="s">
        <v>6</v>
      </c>
      <c r="I361" s="7" t="str">
        <f>D361</f>
        <v>DER-B02</v>
      </c>
      <c r="K361" s="6" t="s">
        <v>8</v>
      </c>
      <c r="L361" s="6" t="s">
        <v>7</v>
      </c>
    </row>
    <row r="362" spans="1:12" s="1" customFormat="1" ht="30" customHeight="1" x14ac:dyDescent="0.25">
      <c r="A362" s="28" t="s">
        <v>57</v>
      </c>
      <c r="B362" s="29"/>
      <c r="C362" s="29"/>
      <c r="D362" s="30"/>
      <c r="E362" s="5"/>
      <c r="F362" s="28" t="s">
        <v>57</v>
      </c>
      <c r="G362" s="29"/>
      <c r="H362" s="29"/>
      <c r="I362" s="30"/>
      <c r="K362" s="1">
        <v>230</v>
      </c>
      <c r="L362" s="1">
        <v>20</v>
      </c>
    </row>
    <row r="363" spans="1:12" s="1" customFormat="1" ht="30" customHeight="1" x14ac:dyDescent="0.25">
      <c r="A363" s="31" t="s">
        <v>54</v>
      </c>
      <c r="B363" s="32"/>
      <c r="C363" s="33" t="s">
        <v>102</v>
      </c>
      <c r="D363" s="34"/>
      <c r="E363" s="4"/>
      <c r="F363" s="31" t="str">
        <f>A363</f>
        <v>PP6331</v>
      </c>
      <c r="G363" s="32"/>
      <c r="H363" s="33" t="str">
        <f>C363</f>
        <v>Yellow</v>
      </c>
      <c r="I363" s="34"/>
    </row>
    <row r="364" spans="1:12" s="1" customFormat="1" ht="30" customHeight="1" x14ac:dyDescent="0.25">
      <c r="A364" s="12" t="s">
        <v>4</v>
      </c>
      <c r="B364" s="25">
        <v>26094</v>
      </c>
      <c r="C364" s="25"/>
      <c r="D364" s="26"/>
      <c r="E364" s="4"/>
      <c r="F364" s="12" t="s">
        <v>4</v>
      </c>
      <c r="G364" s="25">
        <f>B364</f>
        <v>26094</v>
      </c>
      <c r="H364" s="25"/>
      <c r="I364" s="26"/>
    </row>
    <row r="365" spans="1:12" ht="63.75" customHeight="1" x14ac:dyDescent="0.25">
      <c r="A365" s="27" t="s">
        <v>19</v>
      </c>
      <c r="B365" s="27"/>
      <c r="C365" s="27"/>
      <c r="D365" s="27"/>
      <c r="E365" s="2"/>
      <c r="F365" s="27" t="str">
        <f>A365</f>
        <v>Round DER - Barrel</v>
      </c>
      <c r="G365" s="27"/>
      <c r="H365" s="27"/>
      <c r="I365" s="27"/>
    </row>
    <row r="366" spans="1:12" s="1" customFormat="1" ht="30" customHeight="1" x14ac:dyDescent="0.25">
      <c r="A366" s="11" t="s">
        <v>0</v>
      </c>
      <c r="B366" s="10"/>
      <c r="C366" s="11" t="s">
        <v>1</v>
      </c>
      <c r="D366" s="10"/>
      <c r="E366" s="3"/>
      <c r="F366" s="11" t="s">
        <v>0</v>
      </c>
      <c r="G366" s="10"/>
      <c r="H366" s="11" t="s">
        <v>1</v>
      </c>
      <c r="I366" s="10"/>
    </row>
    <row r="367" spans="1:12" s="1" customFormat="1" ht="30" customHeight="1" x14ac:dyDescent="0.25">
      <c r="A367" s="11" t="s">
        <v>2</v>
      </c>
      <c r="B367" s="10"/>
      <c r="C367" s="11" t="s">
        <v>5</v>
      </c>
      <c r="D367" s="7" t="s">
        <v>55</v>
      </c>
      <c r="E367" s="4"/>
      <c r="F367" s="11" t="s">
        <v>2</v>
      </c>
      <c r="G367" s="10"/>
      <c r="H367" s="11" t="s">
        <v>5</v>
      </c>
      <c r="I367" s="7" t="str">
        <f>D367</f>
        <v>05C</v>
      </c>
    </row>
    <row r="368" spans="1:12" s="1" customFormat="1" ht="53.25" customHeight="1" x14ac:dyDescent="0.25">
      <c r="A368" s="8" t="s">
        <v>3</v>
      </c>
      <c r="B368" s="9">
        <v>53</v>
      </c>
      <c r="C368" s="11" t="s">
        <v>6</v>
      </c>
      <c r="D368" s="7" t="s">
        <v>56</v>
      </c>
      <c r="E368" s="4"/>
      <c r="F368" s="8" t="s">
        <v>3</v>
      </c>
      <c r="G368" s="9">
        <v>118</v>
      </c>
      <c r="H368" s="11" t="s">
        <v>6</v>
      </c>
      <c r="I368" s="7" t="str">
        <f>D368</f>
        <v>DER-B02</v>
      </c>
      <c r="K368" s="6" t="s">
        <v>8</v>
      </c>
      <c r="L368" s="6" t="s">
        <v>7</v>
      </c>
    </row>
    <row r="369" spans="1:12" s="1" customFormat="1" ht="30" customHeight="1" x14ac:dyDescent="0.25">
      <c r="A369" s="28" t="s">
        <v>57</v>
      </c>
      <c r="B369" s="29"/>
      <c r="C369" s="29"/>
      <c r="D369" s="30"/>
      <c r="E369" s="5"/>
      <c r="F369" s="28" t="s">
        <v>57</v>
      </c>
      <c r="G369" s="29"/>
      <c r="H369" s="29"/>
      <c r="I369" s="30"/>
      <c r="K369" s="1">
        <v>230</v>
      </c>
      <c r="L369" s="1">
        <v>20</v>
      </c>
    </row>
    <row r="370" spans="1:12" s="1" customFormat="1" ht="30" customHeight="1" x14ac:dyDescent="0.25">
      <c r="A370" s="31" t="s">
        <v>54</v>
      </c>
      <c r="B370" s="32"/>
      <c r="C370" s="33" t="s">
        <v>102</v>
      </c>
      <c r="D370" s="34"/>
      <c r="E370" s="4"/>
      <c r="F370" s="31" t="str">
        <f>A370</f>
        <v>PP6331</v>
      </c>
      <c r="G370" s="32"/>
      <c r="H370" s="33" t="str">
        <f>C370</f>
        <v>Yellow</v>
      </c>
      <c r="I370" s="34"/>
    </row>
    <row r="371" spans="1:12" s="1" customFormat="1" ht="30" customHeight="1" x14ac:dyDescent="0.25">
      <c r="A371" s="12" t="s">
        <v>4</v>
      </c>
      <c r="B371" s="25">
        <v>26094</v>
      </c>
      <c r="C371" s="25"/>
      <c r="D371" s="26"/>
      <c r="E371" s="4"/>
      <c r="F371" s="12" t="s">
        <v>4</v>
      </c>
      <c r="G371" s="25">
        <f>B371</f>
        <v>26094</v>
      </c>
      <c r="H371" s="25"/>
      <c r="I371" s="26"/>
    </row>
    <row r="372" spans="1:12" ht="63.75" customHeight="1" x14ac:dyDescent="0.25">
      <c r="A372" s="27" t="s">
        <v>19</v>
      </c>
      <c r="B372" s="27"/>
      <c r="C372" s="27"/>
      <c r="D372" s="27"/>
      <c r="E372" s="2"/>
      <c r="F372" s="27" t="str">
        <f>A372</f>
        <v>Round DER - Barrel</v>
      </c>
      <c r="G372" s="27"/>
      <c r="H372" s="27"/>
      <c r="I372" s="27"/>
    </row>
    <row r="373" spans="1:12" s="1" customFormat="1" ht="30" customHeight="1" x14ac:dyDescent="0.25">
      <c r="A373" s="11" t="s">
        <v>0</v>
      </c>
      <c r="B373" s="10"/>
      <c r="C373" s="11" t="s">
        <v>1</v>
      </c>
      <c r="D373" s="10"/>
      <c r="E373" s="3"/>
      <c r="F373" s="11" t="s">
        <v>0</v>
      </c>
      <c r="G373" s="10"/>
      <c r="H373" s="11" t="s">
        <v>1</v>
      </c>
      <c r="I373" s="10"/>
    </row>
    <row r="374" spans="1:12" s="1" customFormat="1" ht="30" customHeight="1" x14ac:dyDescent="0.25">
      <c r="A374" s="11" t="s">
        <v>2</v>
      </c>
      <c r="B374" s="10"/>
      <c r="C374" s="11" t="s">
        <v>5</v>
      </c>
      <c r="D374" s="7" t="s">
        <v>55</v>
      </c>
      <c r="E374" s="4"/>
      <c r="F374" s="11" t="s">
        <v>2</v>
      </c>
      <c r="G374" s="10"/>
      <c r="H374" s="11" t="s">
        <v>5</v>
      </c>
      <c r="I374" s="7" t="str">
        <f>D374</f>
        <v>05C</v>
      </c>
    </row>
    <row r="375" spans="1:12" s="1" customFormat="1" ht="53.25" customHeight="1" x14ac:dyDescent="0.25">
      <c r="A375" s="8" t="s">
        <v>3</v>
      </c>
      <c r="B375" s="9">
        <v>54</v>
      </c>
      <c r="C375" s="11" t="s">
        <v>6</v>
      </c>
      <c r="D375" s="7" t="s">
        <v>56</v>
      </c>
      <c r="E375" s="4"/>
      <c r="F375" s="8" t="s">
        <v>3</v>
      </c>
      <c r="G375" s="9">
        <v>119</v>
      </c>
      <c r="H375" s="11" t="s">
        <v>6</v>
      </c>
      <c r="I375" s="7" t="str">
        <f>D375</f>
        <v>DER-B02</v>
      </c>
      <c r="K375" s="6" t="s">
        <v>8</v>
      </c>
      <c r="L375" s="6" t="s">
        <v>7</v>
      </c>
    </row>
    <row r="376" spans="1:12" s="1" customFormat="1" ht="30" customHeight="1" x14ac:dyDescent="0.25">
      <c r="A376" s="28" t="s">
        <v>57</v>
      </c>
      <c r="B376" s="29"/>
      <c r="C376" s="29"/>
      <c r="D376" s="30"/>
      <c r="E376" s="5"/>
      <c r="F376" s="28" t="s">
        <v>57</v>
      </c>
      <c r="G376" s="29"/>
      <c r="H376" s="29"/>
      <c r="I376" s="30"/>
      <c r="K376" s="1">
        <v>230</v>
      </c>
      <c r="L376" s="1">
        <v>20</v>
      </c>
    </row>
    <row r="377" spans="1:12" s="1" customFormat="1" ht="30" customHeight="1" x14ac:dyDescent="0.25">
      <c r="A377" s="31" t="s">
        <v>54</v>
      </c>
      <c r="B377" s="32"/>
      <c r="C377" s="33" t="s">
        <v>102</v>
      </c>
      <c r="D377" s="34"/>
      <c r="E377" s="4"/>
      <c r="F377" s="31" t="str">
        <f>A377</f>
        <v>PP6331</v>
      </c>
      <c r="G377" s="32"/>
      <c r="H377" s="33" t="str">
        <f>C377</f>
        <v>Yellow</v>
      </c>
      <c r="I377" s="34"/>
    </row>
    <row r="378" spans="1:12" s="1" customFormat="1" ht="30" customHeight="1" x14ac:dyDescent="0.25">
      <c r="A378" s="12" t="s">
        <v>4</v>
      </c>
      <c r="B378" s="25">
        <v>26094</v>
      </c>
      <c r="C378" s="25"/>
      <c r="D378" s="26"/>
      <c r="E378" s="4"/>
      <c r="F378" s="12" t="s">
        <v>4</v>
      </c>
      <c r="G378" s="25">
        <f>B378</f>
        <v>26094</v>
      </c>
      <c r="H378" s="25"/>
      <c r="I378" s="26"/>
    </row>
    <row r="379" spans="1:12" ht="63.75" customHeight="1" x14ac:dyDescent="0.25">
      <c r="A379" s="27" t="s">
        <v>19</v>
      </c>
      <c r="B379" s="27"/>
      <c r="C379" s="27"/>
      <c r="D379" s="27"/>
      <c r="E379" s="2"/>
      <c r="F379" s="27" t="str">
        <f>A379</f>
        <v>Round DER - Barrel</v>
      </c>
      <c r="G379" s="27"/>
      <c r="H379" s="27"/>
      <c r="I379" s="27"/>
    </row>
    <row r="380" spans="1:12" s="1" customFormat="1" ht="30" customHeight="1" x14ac:dyDescent="0.25">
      <c r="A380" s="11" t="s">
        <v>0</v>
      </c>
      <c r="B380" s="10"/>
      <c r="C380" s="11" t="s">
        <v>1</v>
      </c>
      <c r="D380" s="10"/>
      <c r="E380" s="3"/>
      <c r="F380" s="11" t="s">
        <v>0</v>
      </c>
      <c r="G380" s="10"/>
      <c r="H380" s="11" t="s">
        <v>1</v>
      </c>
      <c r="I380" s="10"/>
    </row>
    <row r="381" spans="1:12" s="1" customFormat="1" ht="30" customHeight="1" x14ac:dyDescent="0.25">
      <c r="A381" s="11" t="s">
        <v>2</v>
      </c>
      <c r="B381" s="10"/>
      <c r="C381" s="11" t="s">
        <v>5</v>
      </c>
      <c r="D381" s="7" t="s">
        <v>55</v>
      </c>
      <c r="E381" s="4"/>
      <c r="F381" s="11" t="s">
        <v>2</v>
      </c>
      <c r="G381" s="10"/>
      <c r="H381" s="11" t="s">
        <v>5</v>
      </c>
      <c r="I381" s="7" t="str">
        <f>D381</f>
        <v>05C</v>
      </c>
    </row>
    <row r="382" spans="1:12" s="1" customFormat="1" ht="53.25" customHeight="1" x14ac:dyDescent="0.25">
      <c r="A382" s="8" t="s">
        <v>3</v>
      </c>
      <c r="B382" s="9">
        <v>55</v>
      </c>
      <c r="C382" s="11" t="s">
        <v>6</v>
      </c>
      <c r="D382" s="7" t="s">
        <v>56</v>
      </c>
      <c r="E382" s="4"/>
      <c r="F382" s="8" t="s">
        <v>3</v>
      </c>
      <c r="G382" s="9">
        <v>120</v>
      </c>
      <c r="H382" s="11" t="s">
        <v>6</v>
      </c>
      <c r="I382" s="7" t="str">
        <f>D382</f>
        <v>DER-B02</v>
      </c>
      <c r="K382" s="6" t="s">
        <v>8</v>
      </c>
      <c r="L382" s="6" t="s">
        <v>7</v>
      </c>
    </row>
    <row r="383" spans="1:12" s="1" customFormat="1" ht="30" customHeight="1" x14ac:dyDescent="0.25">
      <c r="A383" s="28" t="s">
        <v>57</v>
      </c>
      <c r="B383" s="29"/>
      <c r="C383" s="29"/>
      <c r="D383" s="30"/>
      <c r="E383" s="5"/>
      <c r="F383" s="28" t="s">
        <v>57</v>
      </c>
      <c r="G383" s="29"/>
      <c r="H383" s="29"/>
      <c r="I383" s="30"/>
      <c r="K383" s="1">
        <v>230</v>
      </c>
      <c r="L383" s="1">
        <v>20</v>
      </c>
    </row>
    <row r="384" spans="1:12" s="1" customFormat="1" ht="30" customHeight="1" x14ac:dyDescent="0.25">
      <c r="A384" s="31" t="s">
        <v>54</v>
      </c>
      <c r="B384" s="32"/>
      <c r="C384" s="33" t="s">
        <v>102</v>
      </c>
      <c r="D384" s="34"/>
      <c r="E384" s="4"/>
      <c r="F384" s="31" t="str">
        <f>A384</f>
        <v>PP6331</v>
      </c>
      <c r="G384" s="32"/>
      <c r="H384" s="33" t="str">
        <f>C384</f>
        <v>Yellow</v>
      </c>
      <c r="I384" s="34"/>
    </row>
    <row r="385" spans="1:12" s="1" customFormat="1" ht="30" customHeight="1" x14ac:dyDescent="0.25">
      <c r="A385" s="12" t="s">
        <v>4</v>
      </c>
      <c r="B385" s="25">
        <v>26094</v>
      </c>
      <c r="C385" s="25"/>
      <c r="D385" s="26"/>
      <c r="E385" s="4"/>
      <c r="F385" s="12" t="s">
        <v>4</v>
      </c>
      <c r="G385" s="25">
        <f>B385</f>
        <v>26094</v>
      </c>
      <c r="H385" s="25"/>
      <c r="I385" s="26"/>
    </row>
    <row r="386" spans="1:12" ht="63.75" customHeight="1" x14ac:dyDescent="0.25">
      <c r="A386" s="27" t="s">
        <v>19</v>
      </c>
      <c r="B386" s="27"/>
      <c r="C386" s="27"/>
      <c r="D386" s="27"/>
      <c r="E386" s="2"/>
      <c r="F386" s="27" t="str">
        <f>A386</f>
        <v>Round DER - Barrel</v>
      </c>
      <c r="G386" s="27"/>
      <c r="H386" s="27"/>
      <c r="I386" s="27"/>
    </row>
    <row r="387" spans="1:12" s="1" customFormat="1" ht="30" customHeight="1" x14ac:dyDescent="0.25">
      <c r="A387" s="11" t="s">
        <v>0</v>
      </c>
      <c r="B387" s="10"/>
      <c r="C387" s="11" t="s">
        <v>1</v>
      </c>
      <c r="D387" s="10"/>
      <c r="E387" s="3"/>
      <c r="F387" s="11" t="s">
        <v>0</v>
      </c>
      <c r="G387" s="10"/>
      <c r="H387" s="11" t="s">
        <v>1</v>
      </c>
      <c r="I387" s="10"/>
    </row>
    <row r="388" spans="1:12" s="1" customFormat="1" ht="30" customHeight="1" x14ac:dyDescent="0.25">
      <c r="A388" s="11" t="s">
        <v>2</v>
      </c>
      <c r="B388" s="10"/>
      <c r="C388" s="11" t="s">
        <v>5</v>
      </c>
      <c r="D388" s="7" t="s">
        <v>55</v>
      </c>
      <c r="E388" s="4"/>
      <c r="F388" s="11" t="s">
        <v>2</v>
      </c>
      <c r="G388" s="10"/>
      <c r="H388" s="11" t="s">
        <v>5</v>
      </c>
      <c r="I388" s="7" t="str">
        <f>D388</f>
        <v>05C</v>
      </c>
    </row>
    <row r="389" spans="1:12" s="1" customFormat="1" ht="53.25" customHeight="1" x14ac:dyDescent="0.25">
      <c r="A389" s="8" t="s">
        <v>3</v>
      </c>
      <c r="B389" s="9">
        <v>56</v>
      </c>
      <c r="C389" s="11" t="s">
        <v>6</v>
      </c>
      <c r="D389" s="7" t="s">
        <v>56</v>
      </c>
      <c r="E389" s="4"/>
      <c r="F389" s="8" t="s">
        <v>3</v>
      </c>
      <c r="G389" s="9">
        <v>121</v>
      </c>
      <c r="H389" s="11" t="s">
        <v>6</v>
      </c>
      <c r="I389" s="7" t="str">
        <f>D389</f>
        <v>DER-B02</v>
      </c>
      <c r="K389" s="6" t="s">
        <v>8</v>
      </c>
      <c r="L389" s="6" t="s">
        <v>7</v>
      </c>
    </row>
    <row r="390" spans="1:12" s="1" customFormat="1" ht="30" customHeight="1" x14ac:dyDescent="0.25">
      <c r="A390" s="28" t="s">
        <v>57</v>
      </c>
      <c r="B390" s="29"/>
      <c r="C390" s="29"/>
      <c r="D390" s="30"/>
      <c r="E390" s="5"/>
      <c r="F390" s="28" t="s">
        <v>57</v>
      </c>
      <c r="G390" s="29"/>
      <c r="H390" s="29"/>
      <c r="I390" s="30"/>
      <c r="K390" s="1">
        <v>230</v>
      </c>
      <c r="L390" s="1">
        <v>20</v>
      </c>
    </row>
    <row r="391" spans="1:12" s="1" customFormat="1" ht="30" customHeight="1" x14ac:dyDescent="0.25">
      <c r="A391" s="31" t="s">
        <v>54</v>
      </c>
      <c r="B391" s="32"/>
      <c r="C391" s="33" t="s">
        <v>102</v>
      </c>
      <c r="D391" s="34"/>
      <c r="E391" s="4"/>
      <c r="F391" s="31" t="str">
        <f>A391</f>
        <v>PP6331</v>
      </c>
      <c r="G391" s="32"/>
      <c r="H391" s="33" t="str">
        <f>C391</f>
        <v>Yellow</v>
      </c>
      <c r="I391" s="34"/>
    </row>
    <row r="392" spans="1:12" s="1" customFormat="1" ht="30" customHeight="1" x14ac:dyDescent="0.25">
      <c r="A392" s="12" t="s">
        <v>4</v>
      </c>
      <c r="B392" s="25">
        <v>26094</v>
      </c>
      <c r="C392" s="25"/>
      <c r="D392" s="26"/>
      <c r="E392" s="4"/>
      <c r="F392" s="12" t="s">
        <v>4</v>
      </c>
      <c r="G392" s="25">
        <f>B392</f>
        <v>26094</v>
      </c>
      <c r="H392" s="25"/>
      <c r="I392" s="26"/>
    </row>
    <row r="393" spans="1:12" ht="63.75" customHeight="1" x14ac:dyDescent="0.25">
      <c r="A393" s="27" t="s">
        <v>19</v>
      </c>
      <c r="B393" s="27"/>
      <c r="C393" s="27"/>
      <c r="D393" s="27"/>
      <c r="E393" s="2"/>
      <c r="F393" s="27" t="str">
        <f>A393</f>
        <v>Round DER - Barrel</v>
      </c>
      <c r="G393" s="27"/>
      <c r="H393" s="27"/>
      <c r="I393" s="27"/>
    </row>
    <row r="394" spans="1:12" s="1" customFormat="1" ht="30" customHeight="1" x14ac:dyDescent="0.25">
      <c r="A394" s="11" t="s">
        <v>0</v>
      </c>
      <c r="B394" s="10"/>
      <c r="C394" s="11" t="s">
        <v>1</v>
      </c>
      <c r="D394" s="10"/>
      <c r="E394" s="3"/>
      <c r="F394" s="11" t="s">
        <v>0</v>
      </c>
      <c r="G394" s="10"/>
      <c r="H394" s="11" t="s">
        <v>1</v>
      </c>
      <c r="I394" s="10"/>
    </row>
    <row r="395" spans="1:12" s="1" customFormat="1" ht="30" customHeight="1" x14ac:dyDescent="0.25">
      <c r="A395" s="11" t="s">
        <v>2</v>
      </c>
      <c r="B395" s="10"/>
      <c r="C395" s="11" t="s">
        <v>5</v>
      </c>
      <c r="D395" s="7" t="s">
        <v>55</v>
      </c>
      <c r="E395" s="4"/>
      <c r="F395" s="11" t="s">
        <v>2</v>
      </c>
      <c r="G395" s="10"/>
      <c r="H395" s="11" t="s">
        <v>5</v>
      </c>
      <c r="I395" s="7" t="str">
        <f>D395</f>
        <v>05C</v>
      </c>
    </row>
    <row r="396" spans="1:12" s="1" customFormat="1" ht="53.25" customHeight="1" x14ac:dyDescent="0.25">
      <c r="A396" s="8" t="s">
        <v>3</v>
      </c>
      <c r="B396" s="9">
        <v>57</v>
      </c>
      <c r="C396" s="11" t="s">
        <v>6</v>
      </c>
      <c r="D396" s="7" t="s">
        <v>56</v>
      </c>
      <c r="E396" s="4"/>
      <c r="F396" s="8" t="s">
        <v>3</v>
      </c>
      <c r="G396" s="9">
        <v>122</v>
      </c>
      <c r="H396" s="11" t="s">
        <v>6</v>
      </c>
      <c r="I396" s="7" t="str">
        <f>D396</f>
        <v>DER-B02</v>
      </c>
      <c r="K396" s="6" t="s">
        <v>8</v>
      </c>
      <c r="L396" s="6" t="s">
        <v>7</v>
      </c>
    </row>
    <row r="397" spans="1:12" s="1" customFormat="1" ht="30" customHeight="1" x14ac:dyDescent="0.25">
      <c r="A397" s="28" t="s">
        <v>57</v>
      </c>
      <c r="B397" s="29"/>
      <c r="C397" s="29"/>
      <c r="D397" s="30"/>
      <c r="E397" s="5"/>
      <c r="F397" s="28" t="s">
        <v>57</v>
      </c>
      <c r="G397" s="29"/>
      <c r="H397" s="29"/>
      <c r="I397" s="30"/>
      <c r="K397" s="1">
        <v>230</v>
      </c>
      <c r="L397" s="1">
        <v>20</v>
      </c>
    </row>
    <row r="398" spans="1:12" s="1" customFormat="1" ht="30" customHeight="1" x14ac:dyDescent="0.25">
      <c r="A398" s="31" t="s">
        <v>54</v>
      </c>
      <c r="B398" s="32"/>
      <c r="C398" s="33" t="s">
        <v>102</v>
      </c>
      <c r="D398" s="34"/>
      <c r="E398" s="4"/>
      <c r="F398" s="31" t="str">
        <f>A398</f>
        <v>PP6331</v>
      </c>
      <c r="G398" s="32"/>
      <c r="H398" s="33" t="str">
        <f>C398</f>
        <v>Yellow</v>
      </c>
      <c r="I398" s="34"/>
    </row>
    <row r="399" spans="1:12" s="1" customFormat="1" ht="30" customHeight="1" x14ac:dyDescent="0.25">
      <c r="A399" s="12" t="s">
        <v>4</v>
      </c>
      <c r="B399" s="25">
        <v>26094</v>
      </c>
      <c r="C399" s="25"/>
      <c r="D399" s="26"/>
      <c r="E399" s="4"/>
      <c r="F399" s="12" t="s">
        <v>4</v>
      </c>
      <c r="G399" s="25">
        <f>B399</f>
        <v>26094</v>
      </c>
      <c r="H399" s="25"/>
      <c r="I399" s="26"/>
    </row>
    <row r="400" spans="1:12" ht="63.75" customHeight="1" x14ac:dyDescent="0.25">
      <c r="A400" s="27" t="s">
        <v>19</v>
      </c>
      <c r="B400" s="27"/>
      <c r="C400" s="27"/>
      <c r="D400" s="27"/>
      <c r="E400" s="2"/>
      <c r="F400" s="27" t="str">
        <f>A400</f>
        <v>Round DER - Barrel</v>
      </c>
      <c r="G400" s="27"/>
      <c r="H400" s="27"/>
      <c r="I400" s="27"/>
    </row>
    <row r="401" spans="1:12" s="1" customFormat="1" ht="30" customHeight="1" x14ac:dyDescent="0.25">
      <c r="A401" s="11" t="s">
        <v>0</v>
      </c>
      <c r="B401" s="10"/>
      <c r="C401" s="11" t="s">
        <v>1</v>
      </c>
      <c r="D401" s="10"/>
      <c r="E401" s="3"/>
      <c r="F401" s="11" t="s">
        <v>0</v>
      </c>
      <c r="G401" s="10"/>
      <c r="H401" s="11" t="s">
        <v>1</v>
      </c>
      <c r="I401" s="10"/>
    </row>
    <row r="402" spans="1:12" s="1" customFormat="1" ht="30" customHeight="1" x14ac:dyDescent="0.25">
      <c r="A402" s="11" t="s">
        <v>2</v>
      </c>
      <c r="B402" s="10"/>
      <c r="C402" s="11" t="s">
        <v>5</v>
      </c>
      <c r="D402" s="7" t="s">
        <v>55</v>
      </c>
      <c r="E402" s="4"/>
      <c r="F402" s="11" t="s">
        <v>2</v>
      </c>
      <c r="G402" s="10"/>
      <c r="H402" s="11" t="s">
        <v>5</v>
      </c>
      <c r="I402" s="7" t="str">
        <f>D402</f>
        <v>05C</v>
      </c>
    </row>
    <row r="403" spans="1:12" s="1" customFormat="1" ht="53.25" customHeight="1" x14ac:dyDescent="0.25">
      <c r="A403" s="8" t="s">
        <v>3</v>
      </c>
      <c r="B403" s="9">
        <v>58</v>
      </c>
      <c r="C403" s="11" t="s">
        <v>6</v>
      </c>
      <c r="D403" s="7" t="s">
        <v>56</v>
      </c>
      <c r="E403" s="4"/>
      <c r="F403" s="8" t="s">
        <v>3</v>
      </c>
      <c r="G403" s="9">
        <v>123</v>
      </c>
      <c r="H403" s="11" t="s">
        <v>6</v>
      </c>
      <c r="I403" s="7" t="str">
        <f>D403</f>
        <v>DER-B02</v>
      </c>
      <c r="K403" s="6" t="s">
        <v>8</v>
      </c>
      <c r="L403" s="6" t="s">
        <v>7</v>
      </c>
    </row>
    <row r="404" spans="1:12" s="1" customFormat="1" ht="30" customHeight="1" x14ac:dyDescent="0.25">
      <c r="A404" s="28" t="s">
        <v>57</v>
      </c>
      <c r="B404" s="29"/>
      <c r="C404" s="29"/>
      <c r="D404" s="30"/>
      <c r="E404" s="5"/>
      <c r="F404" s="28" t="s">
        <v>57</v>
      </c>
      <c r="G404" s="29"/>
      <c r="H404" s="29"/>
      <c r="I404" s="30"/>
      <c r="K404" s="1">
        <v>230</v>
      </c>
      <c r="L404" s="1">
        <v>20</v>
      </c>
    </row>
    <row r="405" spans="1:12" s="1" customFormat="1" ht="30" customHeight="1" x14ac:dyDescent="0.25">
      <c r="A405" s="31" t="s">
        <v>54</v>
      </c>
      <c r="B405" s="32"/>
      <c r="C405" s="33" t="s">
        <v>102</v>
      </c>
      <c r="D405" s="34"/>
      <c r="E405" s="4"/>
      <c r="F405" s="31" t="str">
        <f>A405</f>
        <v>PP6331</v>
      </c>
      <c r="G405" s="32"/>
      <c r="H405" s="33" t="str">
        <f>C405</f>
        <v>Yellow</v>
      </c>
      <c r="I405" s="34"/>
    </row>
    <row r="406" spans="1:12" s="1" customFormat="1" ht="30" customHeight="1" x14ac:dyDescent="0.25">
      <c r="A406" s="12" t="s">
        <v>4</v>
      </c>
      <c r="B406" s="25">
        <v>26094</v>
      </c>
      <c r="C406" s="25"/>
      <c r="D406" s="26"/>
      <c r="E406" s="4"/>
      <c r="F406" s="12" t="s">
        <v>4</v>
      </c>
      <c r="G406" s="25">
        <f>B406</f>
        <v>26094</v>
      </c>
      <c r="H406" s="25"/>
      <c r="I406" s="26"/>
    </row>
    <row r="407" spans="1:12" ht="63.75" customHeight="1" x14ac:dyDescent="0.25">
      <c r="A407" s="27" t="s">
        <v>19</v>
      </c>
      <c r="B407" s="27"/>
      <c r="C407" s="27"/>
      <c r="D407" s="27"/>
      <c r="E407" s="2"/>
      <c r="F407" s="27" t="str">
        <f>A407</f>
        <v>Round DER - Barrel</v>
      </c>
      <c r="G407" s="27"/>
      <c r="H407" s="27"/>
      <c r="I407" s="27"/>
    </row>
    <row r="408" spans="1:12" s="1" customFormat="1" ht="30" customHeight="1" x14ac:dyDescent="0.25">
      <c r="A408" s="11" t="s">
        <v>0</v>
      </c>
      <c r="B408" s="10"/>
      <c r="C408" s="11" t="s">
        <v>1</v>
      </c>
      <c r="D408" s="10"/>
      <c r="E408" s="3"/>
      <c r="F408" s="11" t="s">
        <v>0</v>
      </c>
      <c r="G408" s="10"/>
      <c r="H408" s="11" t="s">
        <v>1</v>
      </c>
      <c r="I408" s="10"/>
    </row>
    <row r="409" spans="1:12" s="1" customFormat="1" ht="30" customHeight="1" x14ac:dyDescent="0.25">
      <c r="A409" s="11" t="s">
        <v>2</v>
      </c>
      <c r="B409" s="10"/>
      <c r="C409" s="11" t="s">
        <v>5</v>
      </c>
      <c r="D409" s="7" t="s">
        <v>55</v>
      </c>
      <c r="E409" s="4"/>
      <c r="F409" s="11" t="s">
        <v>2</v>
      </c>
      <c r="G409" s="10"/>
      <c r="H409" s="11" t="s">
        <v>5</v>
      </c>
      <c r="I409" s="7" t="str">
        <f>D409</f>
        <v>05C</v>
      </c>
    </row>
    <row r="410" spans="1:12" s="1" customFormat="1" ht="53.25" customHeight="1" x14ac:dyDescent="0.25">
      <c r="A410" s="8" t="s">
        <v>3</v>
      </c>
      <c r="B410" s="9">
        <v>59</v>
      </c>
      <c r="C410" s="11" t="s">
        <v>6</v>
      </c>
      <c r="D410" s="7" t="s">
        <v>56</v>
      </c>
      <c r="E410" s="4"/>
      <c r="F410" s="8" t="s">
        <v>3</v>
      </c>
      <c r="G410" s="9">
        <v>124</v>
      </c>
      <c r="H410" s="11" t="s">
        <v>6</v>
      </c>
      <c r="I410" s="7" t="str">
        <f>D410</f>
        <v>DER-B02</v>
      </c>
      <c r="K410" s="6" t="s">
        <v>8</v>
      </c>
      <c r="L410" s="6" t="s">
        <v>7</v>
      </c>
    </row>
    <row r="411" spans="1:12" s="1" customFormat="1" ht="30" customHeight="1" x14ac:dyDescent="0.25">
      <c r="A411" s="28" t="s">
        <v>57</v>
      </c>
      <c r="B411" s="29"/>
      <c r="C411" s="29"/>
      <c r="D411" s="30"/>
      <c r="E411" s="5"/>
      <c r="F411" s="28" t="s">
        <v>57</v>
      </c>
      <c r="G411" s="29"/>
      <c r="H411" s="29"/>
      <c r="I411" s="30"/>
      <c r="K411" s="1">
        <v>230</v>
      </c>
      <c r="L411" s="1">
        <v>20</v>
      </c>
    </row>
    <row r="412" spans="1:12" s="1" customFormat="1" ht="30" customHeight="1" x14ac:dyDescent="0.25">
      <c r="A412" s="31" t="s">
        <v>54</v>
      </c>
      <c r="B412" s="32"/>
      <c r="C412" s="33" t="s">
        <v>102</v>
      </c>
      <c r="D412" s="34"/>
      <c r="E412" s="4"/>
      <c r="F412" s="31" t="str">
        <f>A412</f>
        <v>PP6331</v>
      </c>
      <c r="G412" s="32"/>
      <c r="H412" s="33" t="str">
        <f>C412</f>
        <v>Yellow</v>
      </c>
      <c r="I412" s="34"/>
    </row>
    <row r="413" spans="1:12" s="1" customFormat="1" ht="30" customHeight="1" x14ac:dyDescent="0.25">
      <c r="A413" s="12" t="s">
        <v>4</v>
      </c>
      <c r="B413" s="25">
        <v>26094</v>
      </c>
      <c r="C413" s="25"/>
      <c r="D413" s="26"/>
      <c r="E413" s="4"/>
      <c r="F413" s="12" t="s">
        <v>4</v>
      </c>
      <c r="G413" s="25">
        <f>B413</f>
        <v>26094</v>
      </c>
      <c r="H413" s="25"/>
      <c r="I413" s="26"/>
    </row>
    <row r="414" spans="1:12" ht="63.75" customHeight="1" x14ac:dyDescent="0.25">
      <c r="A414" s="27" t="s">
        <v>19</v>
      </c>
      <c r="B414" s="27"/>
      <c r="C414" s="27"/>
      <c r="D414" s="27"/>
      <c r="E414" s="2"/>
      <c r="F414" s="27" t="str">
        <f>A414</f>
        <v>Round DER - Barrel</v>
      </c>
      <c r="G414" s="27"/>
      <c r="H414" s="27"/>
      <c r="I414" s="27"/>
    </row>
    <row r="415" spans="1:12" s="1" customFormat="1" ht="30" customHeight="1" x14ac:dyDescent="0.25">
      <c r="A415" s="11" t="s">
        <v>0</v>
      </c>
      <c r="B415" s="10"/>
      <c r="C415" s="11" t="s">
        <v>1</v>
      </c>
      <c r="D415" s="10"/>
      <c r="E415" s="3"/>
      <c r="F415" s="11" t="s">
        <v>0</v>
      </c>
      <c r="G415" s="10"/>
      <c r="H415" s="11" t="s">
        <v>1</v>
      </c>
      <c r="I415" s="10"/>
    </row>
    <row r="416" spans="1:12" s="1" customFormat="1" ht="30" customHeight="1" x14ac:dyDescent="0.25">
      <c r="A416" s="11" t="s">
        <v>2</v>
      </c>
      <c r="B416" s="10"/>
      <c r="C416" s="11" t="s">
        <v>5</v>
      </c>
      <c r="D416" s="7" t="s">
        <v>55</v>
      </c>
      <c r="E416" s="4"/>
      <c r="F416" s="11" t="s">
        <v>2</v>
      </c>
      <c r="G416" s="10"/>
      <c r="H416" s="11" t="s">
        <v>5</v>
      </c>
      <c r="I416" s="7" t="str">
        <f>D416</f>
        <v>05C</v>
      </c>
    </row>
    <row r="417" spans="1:12" s="1" customFormat="1" ht="53.25" customHeight="1" x14ac:dyDescent="0.25">
      <c r="A417" s="8" t="s">
        <v>3</v>
      </c>
      <c r="B417" s="9">
        <v>60</v>
      </c>
      <c r="C417" s="11" t="s">
        <v>6</v>
      </c>
      <c r="D417" s="7" t="s">
        <v>56</v>
      </c>
      <c r="E417" s="4"/>
      <c r="F417" s="8" t="s">
        <v>3</v>
      </c>
      <c r="G417" s="9">
        <v>125</v>
      </c>
      <c r="H417" s="11" t="s">
        <v>6</v>
      </c>
      <c r="I417" s="7" t="str">
        <f>D417</f>
        <v>DER-B02</v>
      </c>
      <c r="K417" s="6" t="s">
        <v>8</v>
      </c>
      <c r="L417" s="6" t="s">
        <v>7</v>
      </c>
    </row>
    <row r="418" spans="1:12" s="1" customFormat="1" ht="30" customHeight="1" x14ac:dyDescent="0.25">
      <c r="A418" s="28" t="s">
        <v>57</v>
      </c>
      <c r="B418" s="29"/>
      <c r="C418" s="29"/>
      <c r="D418" s="30"/>
      <c r="E418" s="5"/>
      <c r="F418" s="28" t="s">
        <v>57</v>
      </c>
      <c r="G418" s="29"/>
      <c r="H418" s="29"/>
      <c r="I418" s="30"/>
      <c r="K418" s="1">
        <v>230</v>
      </c>
      <c r="L418" s="1">
        <v>20</v>
      </c>
    </row>
    <row r="419" spans="1:12" s="1" customFormat="1" ht="30" customHeight="1" x14ac:dyDescent="0.25">
      <c r="A419" s="31" t="s">
        <v>54</v>
      </c>
      <c r="B419" s="32"/>
      <c r="C419" s="33" t="s">
        <v>102</v>
      </c>
      <c r="D419" s="34"/>
      <c r="E419" s="4"/>
      <c r="F419" s="31" t="str">
        <f>A419</f>
        <v>PP6331</v>
      </c>
      <c r="G419" s="32"/>
      <c r="H419" s="33" t="str">
        <f>C419</f>
        <v>Yellow</v>
      </c>
      <c r="I419" s="34"/>
    </row>
    <row r="420" spans="1:12" s="1" customFormat="1" ht="30" customHeight="1" x14ac:dyDescent="0.25">
      <c r="A420" s="12" t="s">
        <v>4</v>
      </c>
      <c r="B420" s="25">
        <v>26094</v>
      </c>
      <c r="C420" s="25"/>
      <c r="D420" s="26"/>
      <c r="E420" s="4"/>
      <c r="F420" s="12" t="s">
        <v>4</v>
      </c>
      <c r="G420" s="25">
        <f>B420</f>
        <v>26094</v>
      </c>
      <c r="H420" s="25"/>
      <c r="I420" s="26"/>
    </row>
    <row r="421" spans="1:12" ht="63.75" customHeight="1" x14ac:dyDescent="0.25">
      <c r="A421" s="27" t="s">
        <v>19</v>
      </c>
      <c r="B421" s="27"/>
      <c r="C421" s="27"/>
      <c r="D421" s="27"/>
      <c r="E421" s="2"/>
      <c r="F421" s="27" t="str">
        <f>A421</f>
        <v>Round DER - Barrel</v>
      </c>
      <c r="G421" s="27"/>
      <c r="H421" s="27"/>
      <c r="I421" s="27"/>
    </row>
    <row r="422" spans="1:12" s="1" customFormat="1" ht="30" customHeight="1" x14ac:dyDescent="0.25">
      <c r="A422" s="11" t="s">
        <v>0</v>
      </c>
      <c r="B422" s="10"/>
      <c r="C422" s="11" t="s">
        <v>1</v>
      </c>
      <c r="D422" s="10"/>
      <c r="E422" s="3"/>
      <c r="F422" s="11" t="s">
        <v>0</v>
      </c>
      <c r="G422" s="10"/>
      <c r="H422" s="11" t="s">
        <v>1</v>
      </c>
      <c r="I422" s="10"/>
    </row>
    <row r="423" spans="1:12" s="1" customFormat="1" ht="30" customHeight="1" x14ac:dyDescent="0.25">
      <c r="A423" s="11" t="s">
        <v>2</v>
      </c>
      <c r="B423" s="10"/>
      <c r="C423" s="11" t="s">
        <v>5</v>
      </c>
      <c r="D423" s="7" t="s">
        <v>55</v>
      </c>
      <c r="E423" s="4"/>
      <c r="F423" s="11" t="s">
        <v>2</v>
      </c>
      <c r="G423" s="10"/>
      <c r="H423" s="11" t="s">
        <v>5</v>
      </c>
      <c r="I423" s="7" t="str">
        <f>D423</f>
        <v>05C</v>
      </c>
    </row>
    <row r="424" spans="1:12" s="1" customFormat="1" ht="53.25" customHeight="1" x14ac:dyDescent="0.25">
      <c r="A424" s="8" t="s">
        <v>3</v>
      </c>
      <c r="B424" s="9">
        <v>61</v>
      </c>
      <c r="C424" s="11" t="s">
        <v>6</v>
      </c>
      <c r="D424" s="7" t="s">
        <v>56</v>
      </c>
      <c r="E424" s="4"/>
      <c r="F424" s="8" t="s">
        <v>3</v>
      </c>
      <c r="G424" s="9">
        <v>126</v>
      </c>
      <c r="H424" s="11" t="s">
        <v>6</v>
      </c>
      <c r="I424" s="7" t="str">
        <f>D424</f>
        <v>DER-B02</v>
      </c>
      <c r="K424" s="6" t="s">
        <v>8</v>
      </c>
      <c r="L424" s="6" t="s">
        <v>7</v>
      </c>
    </row>
    <row r="425" spans="1:12" s="1" customFormat="1" ht="30" customHeight="1" x14ac:dyDescent="0.25">
      <c r="A425" s="28" t="s">
        <v>57</v>
      </c>
      <c r="B425" s="29"/>
      <c r="C425" s="29"/>
      <c r="D425" s="30"/>
      <c r="E425" s="5"/>
      <c r="F425" s="28" t="s">
        <v>57</v>
      </c>
      <c r="G425" s="29"/>
      <c r="H425" s="29"/>
      <c r="I425" s="30"/>
      <c r="K425" s="1">
        <v>230</v>
      </c>
      <c r="L425" s="1">
        <v>20</v>
      </c>
    </row>
    <row r="426" spans="1:12" s="1" customFormat="1" ht="30" customHeight="1" x14ac:dyDescent="0.25">
      <c r="A426" s="31" t="s">
        <v>54</v>
      </c>
      <c r="B426" s="32"/>
      <c r="C426" s="33" t="s">
        <v>102</v>
      </c>
      <c r="D426" s="34"/>
      <c r="E426" s="4"/>
      <c r="F426" s="31" t="str">
        <f>A426</f>
        <v>PP6331</v>
      </c>
      <c r="G426" s="32"/>
      <c r="H426" s="33" t="str">
        <f>C426</f>
        <v>Yellow</v>
      </c>
      <c r="I426" s="34"/>
    </row>
    <row r="427" spans="1:12" s="1" customFormat="1" ht="30" customHeight="1" x14ac:dyDescent="0.25">
      <c r="A427" s="12" t="s">
        <v>4</v>
      </c>
      <c r="B427" s="25">
        <v>26094</v>
      </c>
      <c r="C427" s="25"/>
      <c r="D427" s="26"/>
      <c r="E427" s="4"/>
      <c r="F427" s="12" t="s">
        <v>4</v>
      </c>
      <c r="G427" s="25">
        <f>B427</f>
        <v>26094</v>
      </c>
      <c r="H427" s="25"/>
      <c r="I427" s="26"/>
    </row>
    <row r="428" spans="1:12" ht="63.75" customHeight="1" x14ac:dyDescent="0.25">
      <c r="A428" s="27" t="s">
        <v>19</v>
      </c>
      <c r="B428" s="27"/>
      <c r="C428" s="27"/>
      <c r="D428" s="27"/>
      <c r="E428" s="2"/>
      <c r="F428" s="27" t="str">
        <f>A428</f>
        <v>Round DER - Barrel</v>
      </c>
      <c r="G428" s="27"/>
      <c r="H428" s="27"/>
      <c r="I428" s="27"/>
    </row>
    <row r="429" spans="1:12" s="1" customFormat="1" ht="30" customHeight="1" x14ac:dyDescent="0.25">
      <c r="A429" s="11" t="s">
        <v>0</v>
      </c>
      <c r="B429" s="10"/>
      <c r="C429" s="11" t="s">
        <v>1</v>
      </c>
      <c r="D429" s="10"/>
      <c r="E429" s="3"/>
      <c r="F429" s="11" t="s">
        <v>0</v>
      </c>
      <c r="G429" s="10"/>
      <c r="H429" s="11" t="s">
        <v>1</v>
      </c>
      <c r="I429" s="10"/>
    </row>
    <row r="430" spans="1:12" s="1" customFormat="1" ht="30" customHeight="1" x14ac:dyDescent="0.25">
      <c r="A430" s="11" t="s">
        <v>2</v>
      </c>
      <c r="B430" s="10"/>
      <c r="C430" s="11" t="s">
        <v>5</v>
      </c>
      <c r="D430" s="7" t="s">
        <v>55</v>
      </c>
      <c r="E430" s="4"/>
      <c r="F430" s="11" t="s">
        <v>2</v>
      </c>
      <c r="G430" s="10"/>
      <c r="H430" s="11" t="s">
        <v>5</v>
      </c>
      <c r="I430" s="7" t="str">
        <f>D430</f>
        <v>05C</v>
      </c>
    </row>
    <row r="431" spans="1:12" s="1" customFormat="1" ht="53.25" customHeight="1" x14ac:dyDescent="0.25">
      <c r="A431" s="8" t="s">
        <v>3</v>
      </c>
      <c r="B431" s="9">
        <v>62</v>
      </c>
      <c r="C431" s="11" t="s">
        <v>6</v>
      </c>
      <c r="D431" s="7" t="s">
        <v>56</v>
      </c>
      <c r="E431" s="4"/>
      <c r="F431" s="8" t="s">
        <v>3</v>
      </c>
      <c r="G431" s="9">
        <v>127</v>
      </c>
      <c r="H431" s="11" t="s">
        <v>6</v>
      </c>
      <c r="I431" s="7" t="str">
        <f>D431</f>
        <v>DER-B02</v>
      </c>
      <c r="K431" s="6" t="s">
        <v>8</v>
      </c>
      <c r="L431" s="6" t="s">
        <v>7</v>
      </c>
    </row>
    <row r="432" spans="1:12" s="1" customFormat="1" ht="30" customHeight="1" x14ac:dyDescent="0.25">
      <c r="A432" s="28" t="s">
        <v>57</v>
      </c>
      <c r="B432" s="29"/>
      <c r="C432" s="29"/>
      <c r="D432" s="30"/>
      <c r="E432" s="5"/>
      <c r="F432" s="28" t="s">
        <v>57</v>
      </c>
      <c r="G432" s="29"/>
      <c r="H432" s="29"/>
      <c r="I432" s="30"/>
      <c r="K432" s="1">
        <v>230</v>
      </c>
      <c r="L432" s="1">
        <v>20</v>
      </c>
    </row>
    <row r="433" spans="1:12" s="1" customFormat="1" ht="30" customHeight="1" x14ac:dyDescent="0.25">
      <c r="A433" s="31" t="s">
        <v>54</v>
      </c>
      <c r="B433" s="32"/>
      <c r="C433" s="33" t="s">
        <v>102</v>
      </c>
      <c r="D433" s="34"/>
      <c r="E433" s="4"/>
      <c r="F433" s="31" t="str">
        <f>A433</f>
        <v>PP6331</v>
      </c>
      <c r="G433" s="32"/>
      <c r="H433" s="33" t="str">
        <f>C433</f>
        <v>Yellow</v>
      </c>
      <c r="I433" s="34"/>
    </row>
    <row r="434" spans="1:12" s="1" customFormat="1" ht="30" customHeight="1" x14ac:dyDescent="0.25">
      <c r="A434" s="12" t="s">
        <v>4</v>
      </c>
      <c r="B434" s="25">
        <v>26094</v>
      </c>
      <c r="C434" s="25"/>
      <c r="D434" s="26"/>
      <c r="E434" s="4"/>
      <c r="F434" s="12" t="s">
        <v>4</v>
      </c>
      <c r="G434" s="25">
        <f>B434</f>
        <v>26094</v>
      </c>
      <c r="H434" s="25"/>
      <c r="I434" s="26"/>
    </row>
    <row r="435" spans="1:12" ht="63.75" customHeight="1" x14ac:dyDescent="0.25">
      <c r="A435" s="27" t="s">
        <v>19</v>
      </c>
      <c r="B435" s="27"/>
      <c r="C435" s="27"/>
      <c r="D435" s="27"/>
      <c r="E435" s="2"/>
      <c r="F435" s="27" t="str">
        <f>A435</f>
        <v>Round DER - Barrel</v>
      </c>
      <c r="G435" s="27"/>
      <c r="H435" s="27"/>
      <c r="I435" s="27"/>
    </row>
    <row r="436" spans="1:12" s="1" customFormat="1" ht="30" customHeight="1" x14ac:dyDescent="0.25">
      <c r="A436" s="11" t="s">
        <v>0</v>
      </c>
      <c r="B436" s="10"/>
      <c r="C436" s="11" t="s">
        <v>1</v>
      </c>
      <c r="D436" s="10"/>
      <c r="E436" s="3"/>
      <c r="F436" s="11" t="s">
        <v>0</v>
      </c>
      <c r="G436" s="10"/>
      <c r="H436" s="11" t="s">
        <v>1</v>
      </c>
      <c r="I436" s="10"/>
    </row>
    <row r="437" spans="1:12" s="1" customFormat="1" ht="30" customHeight="1" x14ac:dyDescent="0.25">
      <c r="A437" s="11" t="s">
        <v>2</v>
      </c>
      <c r="B437" s="10"/>
      <c r="C437" s="11" t="s">
        <v>5</v>
      </c>
      <c r="D437" s="7" t="s">
        <v>55</v>
      </c>
      <c r="E437" s="4"/>
      <c r="F437" s="11" t="s">
        <v>2</v>
      </c>
      <c r="G437" s="10"/>
      <c r="H437" s="11" t="s">
        <v>5</v>
      </c>
      <c r="I437" s="7" t="str">
        <f>D437</f>
        <v>05C</v>
      </c>
    </row>
    <row r="438" spans="1:12" s="1" customFormat="1" ht="53.25" customHeight="1" x14ac:dyDescent="0.25">
      <c r="A438" s="8" t="s">
        <v>3</v>
      </c>
      <c r="B438" s="9">
        <v>63</v>
      </c>
      <c r="C438" s="11" t="s">
        <v>6</v>
      </c>
      <c r="D438" s="7" t="s">
        <v>56</v>
      </c>
      <c r="E438" s="4"/>
      <c r="F438" s="8" t="s">
        <v>3</v>
      </c>
      <c r="G438" s="9">
        <v>128</v>
      </c>
      <c r="H438" s="11" t="s">
        <v>6</v>
      </c>
      <c r="I438" s="7" t="str">
        <f>D438</f>
        <v>DER-B02</v>
      </c>
      <c r="K438" s="6" t="s">
        <v>8</v>
      </c>
      <c r="L438" s="6" t="s">
        <v>7</v>
      </c>
    </row>
    <row r="439" spans="1:12" s="1" customFormat="1" ht="30" customHeight="1" x14ac:dyDescent="0.25">
      <c r="A439" s="28" t="s">
        <v>57</v>
      </c>
      <c r="B439" s="29"/>
      <c r="C439" s="29"/>
      <c r="D439" s="30"/>
      <c r="E439" s="5"/>
      <c r="F439" s="28" t="s">
        <v>57</v>
      </c>
      <c r="G439" s="29"/>
      <c r="H439" s="29"/>
      <c r="I439" s="30"/>
      <c r="K439" s="1">
        <v>230</v>
      </c>
      <c r="L439" s="1">
        <v>20</v>
      </c>
    </row>
    <row r="440" spans="1:12" s="1" customFormat="1" ht="30" customHeight="1" x14ac:dyDescent="0.25">
      <c r="A440" s="31" t="s">
        <v>54</v>
      </c>
      <c r="B440" s="32"/>
      <c r="C440" s="33" t="s">
        <v>102</v>
      </c>
      <c r="D440" s="34"/>
      <c r="E440" s="4"/>
      <c r="F440" s="31" t="str">
        <f>A440</f>
        <v>PP6331</v>
      </c>
      <c r="G440" s="32"/>
      <c r="H440" s="33" t="str">
        <f>C440</f>
        <v>Yellow</v>
      </c>
      <c r="I440" s="34"/>
    </row>
    <row r="441" spans="1:12" s="1" customFormat="1" ht="30" customHeight="1" x14ac:dyDescent="0.25">
      <c r="A441" s="12" t="s">
        <v>4</v>
      </c>
      <c r="B441" s="25">
        <v>26094</v>
      </c>
      <c r="C441" s="25"/>
      <c r="D441" s="26"/>
      <c r="E441" s="4"/>
      <c r="F441" s="12" t="s">
        <v>4</v>
      </c>
      <c r="G441" s="25">
        <f>B441</f>
        <v>26094</v>
      </c>
      <c r="H441" s="25"/>
      <c r="I441" s="26"/>
    </row>
    <row r="442" spans="1:12" ht="63.75" customHeight="1" x14ac:dyDescent="0.25">
      <c r="A442" s="27" t="s">
        <v>19</v>
      </c>
      <c r="B442" s="27"/>
      <c r="C442" s="27"/>
      <c r="D442" s="27"/>
      <c r="E442" s="2"/>
      <c r="F442" s="27" t="str">
        <f>A442</f>
        <v>Round DER - Barrel</v>
      </c>
      <c r="G442" s="27"/>
      <c r="H442" s="27"/>
      <c r="I442" s="27"/>
    </row>
    <row r="443" spans="1:12" s="1" customFormat="1" ht="30" customHeight="1" x14ac:dyDescent="0.25">
      <c r="A443" s="11" t="s">
        <v>0</v>
      </c>
      <c r="B443" s="10"/>
      <c r="C443" s="11" t="s">
        <v>1</v>
      </c>
      <c r="D443" s="10"/>
      <c r="E443" s="3"/>
      <c r="F443" s="11" t="s">
        <v>0</v>
      </c>
      <c r="G443" s="10"/>
      <c r="H443" s="11" t="s">
        <v>1</v>
      </c>
      <c r="I443" s="10"/>
    </row>
    <row r="444" spans="1:12" s="1" customFormat="1" ht="30" customHeight="1" x14ac:dyDescent="0.25">
      <c r="A444" s="11" t="s">
        <v>2</v>
      </c>
      <c r="B444" s="10"/>
      <c r="C444" s="11" t="s">
        <v>5</v>
      </c>
      <c r="D444" s="7" t="s">
        <v>55</v>
      </c>
      <c r="E444" s="4"/>
      <c r="F444" s="11" t="s">
        <v>2</v>
      </c>
      <c r="G444" s="10"/>
      <c r="H444" s="11" t="s">
        <v>5</v>
      </c>
      <c r="I444" s="7" t="str">
        <f>D444</f>
        <v>05C</v>
      </c>
    </row>
    <row r="445" spans="1:12" s="1" customFormat="1" ht="53.25" customHeight="1" x14ac:dyDescent="0.25">
      <c r="A445" s="8" t="s">
        <v>3</v>
      </c>
      <c r="B445" s="9">
        <v>64</v>
      </c>
      <c r="C445" s="11" t="s">
        <v>6</v>
      </c>
      <c r="D445" s="7" t="s">
        <v>56</v>
      </c>
      <c r="E445" s="4"/>
      <c r="F445" s="8" t="s">
        <v>3</v>
      </c>
      <c r="G445" s="9">
        <v>129</v>
      </c>
      <c r="H445" s="11" t="s">
        <v>6</v>
      </c>
      <c r="I445" s="7" t="str">
        <f>D445</f>
        <v>DER-B02</v>
      </c>
      <c r="K445" s="6" t="s">
        <v>8</v>
      </c>
      <c r="L445" s="6" t="s">
        <v>7</v>
      </c>
    </row>
    <row r="446" spans="1:12" s="1" customFormat="1" ht="30" customHeight="1" x14ac:dyDescent="0.25">
      <c r="A446" s="28" t="s">
        <v>57</v>
      </c>
      <c r="B446" s="29"/>
      <c r="C446" s="29"/>
      <c r="D446" s="30"/>
      <c r="E446" s="5"/>
      <c r="F446" s="28" t="s">
        <v>57</v>
      </c>
      <c r="G446" s="29"/>
      <c r="H446" s="29"/>
      <c r="I446" s="30"/>
      <c r="K446" s="1">
        <v>230</v>
      </c>
      <c r="L446" s="1">
        <v>20</v>
      </c>
    </row>
    <row r="447" spans="1:12" s="1" customFormat="1" ht="30" customHeight="1" x14ac:dyDescent="0.25">
      <c r="A447" s="31" t="s">
        <v>54</v>
      </c>
      <c r="B447" s="32"/>
      <c r="C447" s="33" t="s">
        <v>102</v>
      </c>
      <c r="D447" s="34"/>
      <c r="E447" s="4"/>
      <c r="F447" s="31" t="str">
        <f>A447</f>
        <v>PP6331</v>
      </c>
      <c r="G447" s="32"/>
      <c r="H447" s="33" t="str">
        <f>C447</f>
        <v>Yellow</v>
      </c>
      <c r="I447" s="34"/>
    </row>
    <row r="448" spans="1:12" s="1" customFormat="1" ht="30" customHeight="1" x14ac:dyDescent="0.25">
      <c r="A448" s="12" t="s">
        <v>4</v>
      </c>
      <c r="B448" s="25">
        <v>26094</v>
      </c>
      <c r="C448" s="25"/>
      <c r="D448" s="26"/>
      <c r="E448" s="4"/>
      <c r="F448" s="12" t="s">
        <v>4</v>
      </c>
      <c r="G448" s="25">
        <f>B448</f>
        <v>26094</v>
      </c>
      <c r="H448" s="25"/>
      <c r="I448" s="26"/>
    </row>
    <row r="449" spans="1:12" ht="63.75" customHeight="1" x14ac:dyDescent="0.25">
      <c r="A449" s="27" t="s">
        <v>19</v>
      </c>
      <c r="B449" s="27"/>
      <c r="C449" s="27"/>
      <c r="D449" s="27"/>
      <c r="E449" s="2"/>
      <c r="F449" s="27" t="str">
        <f>A449</f>
        <v>Round DER - Barrel</v>
      </c>
      <c r="G449" s="27"/>
      <c r="H449" s="27"/>
      <c r="I449" s="27"/>
    </row>
    <row r="450" spans="1:12" s="1" customFormat="1" ht="30" customHeight="1" x14ac:dyDescent="0.25">
      <c r="A450" s="11" t="s">
        <v>0</v>
      </c>
      <c r="B450" s="10"/>
      <c r="C450" s="11" t="s">
        <v>1</v>
      </c>
      <c r="D450" s="10"/>
      <c r="E450" s="3"/>
      <c r="F450" s="11" t="s">
        <v>0</v>
      </c>
      <c r="G450" s="10"/>
      <c r="H450" s="11" t="s">
        <v>1</v>
      </c>
      <c r="I450" s="10"/>
    </row>
    <row r="451" spans="1:12" s="1" customFormat="1" ht="30" customHeight="1" x14ac:dyDescent="0.25">
      <c r="A451" s="11" t="s">
        <v>2</v>
      </c>
      <c r="B451" s="10"/>
      <c r="C451" s="11" t="s">
        <v>5</v>
      </c>
      <c r="D451" s="7" t="s">
        <v>55</v>
      </c>
      <c r="E451" s="4"/>
      <c r="F451" s="11" t="s">
        <v>2</v>
      </c>
      <c r="G451" s="10"/>
      <c r="H451" s="11" t="s">
        <v>5</v>
      </c>
      <c r="I451" s="7" t="str">
        <f>D451</f>
        <v>05C</v>
      </c>
    </row>
    <row r="452" spans="1:12" s="1" customFormat="1" ht="53.25" customHeight="1" x14ac:dyDescent="0.25">
      <c r="A452" s="8" t="s">
        <v>3</v>
      </c>
      <c r="B452" s="9">
        <v>65</v>
      </c>
      <c r="C452" s="11" t="s">
        <v>6</v>
      </c>
      <c r="D452" s="7" t="s">
        <v>56</v>
      </c>
      <c r="E452" s="4"/>
      <c r="F452" s="8" t="s">
        <v>3</v>
      </c>
      <c r="G452" s="9">
        <v>130</v>
      </c>
      <c r="H452" s="11" t="s">
        <v>6</v>
      </c>
      <c r="I452" s="7" t="str">
        <f>D452</f>
        <v>DER-B02</v>
      </c>
      <c r="K452" s="6" t="s">
        <v>8</v>
      </c>
      <c r="L452" s="6" t="s">
        <v>7</v>
      </c>
    </row>
    <row r="453" spans="1:12" s="1" customFormat="1" ht="30" customHeight="1" x14ac:dyDescent="0.25">
      <c r="A453" s="28" t="s">
        <v>57</v>
      </c>
      <c r="B453" s="29"/>
      <c r="C453" s="29"/>
      <c r="D453" s="30"/>
      <c r="E453" s="5"/>
      <c r="F453" s="28" t="s">
        <v>57</v>
      </c>
      <c r="G453" s="29"/>
      <c r="H453" s="29"/>
      <c r="I453" s="30"/>
      <c r="K453" s="1">
        <v>230</v>
      </c>
      <c r="L453" s="1">
        <v>20</v>
      </c>
    </row>
    <row r="454" spans="1:12" s="1" customFormat="1" ht="30" customHeight="1" x14ac:dyDescent="0.25">
      <c r="A454" s="31" t="s">
        <v>54</v>
      </c>
      <c r="B454" s="32"/>
      <c r="C454" s="33" t="s">
        <v>102</v>
      </c>
      <c r="D454" s="34"/>
      <c r="E454" s="4"/>
      <c r="F454" s="31" t="str">
        <f>A454</f>
        <v>PP6331</v>
      </c>
      <c r="G454" s="32"/>
      <c r="H454" s="33" t="str">
        <f>C454</f>
        <v>Yellow</v>
      </c>
      <c r="I454" s="34"/>
    </row>
    <row r="455" spans="1:12" s="1" customFormat="1" ht="30" customHeight="1" x14ac:dyDescent="0.25">
      <c r="A455" s="12" t="s">
        <v>4</v>
      </c>
      <c r="B455" s="25">
        <v>26094</v>
      </c>
      <c r="C455" s="25"/>
      <c r="D455" s="26"/>
      <c r="E455" s="4"/>
      <c r="F455" s="12" t="s">
        <v>4</v>
      </c>
      <c r="G455" s="25">
        <f>B455</f>
        <v>26094</v>
      </c>
      <c r="H455" s="25"/>
      <c r="I455" s="26"/>
    </row>
  </sheetData>
  <mergeCells count="650">
    <mergeCell ref="A449:D449"/>
    <mergeCell ref="F449:I449"/>
    <mergeCell ref="A453:D453"/>
    <mergeCell ref="F453:I453"/>
    <mergeCell ref="A454:B454"/>
    <mergeCell ref="C454:D454"/>
    <mergeCell ref="F454:G454"/>
    <mergeCell ref="H454:I454"/>
    <mergeCell ref="B455:D455"/>
    <mergeCell ref="G455:I455"/>
    <mergeCell ref="A442:D442"/>
    <mergeCell ref="F442:I442"/>
    <mergeCell ref="A446:D446"/>
    <mergeCell ref="F446:I446"/>
    <mergeCell ref="A447:B447"/>
    <mergeCell ref="C447:D447"/>
    <mergeCell ref="F447:G447"/>
    <mergeCell ref="H447:I447"/>
    <mergeCell ref="B448:D448"/>
    <mergeCell ref="G448:I448"/>
    <mergeCell ref="A435:D435"/>
    <mergeCell ref="F435:I435"/>
    <mergeCell ref="A439:D439"/>
    <mergeCell ref="F439:I439"/>
    <mergeCell ref="A440:B440"/>
    <mergeCell ref="C440:D440"/>
    <mergeCell ref="F440:G440"/>
    <mergeCell ref="H440:I440"/>
    <mergeCell ref="B441:D441"/>
    <mergeCell ref="G441:I441"/>
    <mergeCell ref="A428:D428"/>
    <mergeCell ref="F428:I428"/>
    <mergeCell ref="A432:D432"/>
    <mergeCell ref="F432:I432"/>
    <mergeCell ref="A433:B433"/>
    <mergeCell ref="C433:D433"/>
    <mergeCell ref="F433:G433"/>
    <mergeCell ref="H433:I433"/>
    <mergeCell ref="B434:D434"/>
    <mergeCell ref="G434:I434"/>
    <mergeCell ref="A421:D421"/>
    <mergeCell ref="F421:I421"/>
    <mergeCell ref="A425:D425"/>
    <mergeCell ref="F425:I425"/>
    <mergeCell ref="A426:B426"/>
    <mergeCell ref="C426:D426"/>
    <mergeCell ref="F426:G426"/>
    <mergeCell ref="H426:I426"/>
    <mergeCell ref="B427:D427"/>
    <mergeCell ref="G427:I427"/>
    <mergeCell ref="A414:D414"/>
    <mergeCell ref="F414:I414"/>
    <mergeCell ref="A418:D418"/>
    <mergeCell ref="F418:I418"/>
    <mergeCell ref="A419:B419"/>
    <mergeCell ref="C419:D419"/>
    <mergeCell ref="F419:G419"/>
    <mergeCell ref="H419:I419"/>
    <mergeCell ref="B420:D420"/>
    <mergeCell ref="G420:I420"/>
    <mergeCell ref="A407:D407"/>
    <mergeCell ref="F407:I407"/>
    <mergeCell ref="A411:D411"/>
    <mergeCell ref="F411:I411"/>
    <mergeCell ref="A412:B412"/>
    <mergeCell ref="C412:D412"/>
    <mergeCell ref="F412:G412"/>
    <mergeCell ref="H412:I412"/>
    <mergeCell ref="B413:D413"/>
    <mergeCell ref="G413:I413"/>
    <mergeCell ref="A400:D400"/>
    <mergeCell ref="F400:I400"/>
    <mergeCell ref="A404:D404"/>
    <mergeCell ref="F404:I404"/>
    <mergeCell ref="A405:B405"/>
    <mergeCell ref="C405:D405"/>
    <mergeCell ref="F405:G405"/>
    <mergeCell ref="H405:I405"/>
    <mergeCell ref="B406:D406"/>
    <mergeCell ref="G406:I406"/>
    <mergeCell ref="A393:D393"/>
    <mergeCell ref="F393:I393"/>
    <mergeCell ref="A397:D397"/>
    <mergeCell ref="F397:I397"/>
    <mergeCell ref="A398:B398"/>
    <mergeCell ref="C398:D398"/>
    <mergeCell ref="F398:G398"/>
    <mergeCell ref="H398:I398"/>
    <mergeCell ref="B399:D399"/>
    <mergeCell ref="G399:I399"/>
    <mergeCell ref="A386:D386"/>
    <mergeCell ref="F386:I386"/>
    <mergeCell ref="A390:D390"/>
    <mergeCell ref="F390:I390"/>
    <mergeCell ref="A391:B391"/>
    <mergeCell ref="C391:D391"/>
    <mergeCell ref="F391:G391"/>
    <mergeCell ref="H391:I391"/>
    <mergeCell ref="B392:D392"/>
    <mergeCell ref="G392:I392"/>
    <mergeCell ref="A379:D379"/>
    <mergeCell ref="F379:I379"/>
    <mergeCell ref="A383:D383"/>
    <mergeCell ref="F383:I383"/>
    <mergeCell ref="A384:B384"/>
    <mergeCell ref="C384:D384"/>
    <mergeCell ref="F384:G384"/>
    <mergeCell ref="H384:I384"/>
    <mergeCell ref="B385:D385"/>
    <mergeCell ref="G385:I385"/>
    <mergeCell ref="A372:D372"/>
    <mergeCell ref="F372:I372"/>
    <mergeCell ref="A376:D376"/>
    <mergeCell ref="F376:I376"/>
    <mergeCell ref="A377:B377"/>
    <mergeCell ref="C377:D377"/>
    <mergeCell ref="F377:G377"/>
    <mergeCell ref="H377:I377"/>
    <mergeCell ref="B378:D378"/>
    <mergeCell ref="G378:I378"/>
    <mergeCell ref="A365:D365"/>
    <mergeCell ref="F365:I365"/>
    <mergeCell ref="A369:D369"/>
    <mergeCell ref="F369:I369"/>
    <mergeCell ref="A370:B370"/>
    <mergeCell ref="C370:D370"/>
    <mergeCell ref="F370:G370"/>
    <mergeCell ref="H370:I370"/>
    <mergeCell ref="B371:D371"/>
    <mergeCell ref="G371:I371"/>
    <mergeCell ref="A358:D358"/>
    <mergeCell ref="F358:I358"/>
    <mergeCell ref="A362:D362"/>
    <mergeCell ref="F362:I362"/>
    <mergeCell ref="A363:B363"/>
    <mergeCell ref="C363:D363"/>
    <mergeCell ref="F363:G363"/>
    <mergeCell ref="H363:I363"/>
    <mergeCell ref="B364:D364"/>
    <mergeCell ref="G364:I364"/>
    <mergeCell ref="A351:D351"/>
    <mergeCell ref="F351:I351"/>
    <mergeCell ref="A355:D355"/>
    <mergeCell ref="F355:I355"/>
    <mergeCell ref="A356:B356"/>
    <mergeCell ref="C356:D356"/>
    <mergeCell ref="F356:G356"/>
    <mergeCell ref="H356:I356"/>
    <mergeCell ref="B357:D357"/>
    <mergeCell ref="G357:I357"/>
    <mergeCell ref="A344:D344"/>
    <mergeCell ref="F344:I344"/>
    <mergeCell ref="A348:D348"/>
    <mergeCell ref="F348:I348"/>
    <mergeCell ref="A349:B349"/>
    <mergeCell ref="C349:D349"/>
    <mergeCell ref="F349:G349"/>
    <mergeCell ref="H349:I349"/>
    <mergeCell ref="B350:D350"/>
    <mergeCell ref="G350:I350"/>
    <mergeCell ref="A337:D337"/>
    <mergeCell ref="F337:I337"/>
    <mergeCell ref="A341:D341"/>
    <mergeCell ref="F341:I341"/>
    <mergeCell ref="A342:B342"/>
    <mergeCell ref="C342:D342"/>
    <mergeCell ref="F342:G342"/>
    <mergeCell ref="H342:I342"/>
    <mergeCell ref="B343:D343"/>
    <mergeCell ref="G343:I343"/>
    <mergeCell ref="A330:D330"/>
    <mergeCell ref="F330:I330"/>
    <mergeCell ref="A334:D334"/>
    <mergeCell ref="F334:I334"/>
    <mergeCell ref="A335:B335"/>
    <mergeCell ref="C335:D335"/>
    <mergeCell ref="F335:G335"/>
    <mergeCell ref="H335:I335"/>
    <mergeCell ref="B336:D336"/>
    <mergeCell ref="G336:I336"/>
    <mergeCell ref="A323:D323"/>
    <mergeCell ref="F323:I323"/>
    <mergeCell ref="A327:D327"/>
    <mergeCell ref="F327:I327"/>
    <mergeCell ref="A328:B328"/>
    <mergeCell ref="C328:D328"/>
    <mergeCell ref="F328:G328"/>
    <mergeCell ref="H328:I328"/>
    <mergeCell ref="B329:D329"/>
    <mergeCell ref="G329:I329"/>
    <mergeCell ref="A316:D316"/>
    <mergeCell ref="F316:I316"/>
    <mergeCell ref="A320:D320"/>
    <mergeCell ref="F320:I320"/>
    <mergeCell ref="A321:B321"/>
    <mergeCell ref="C321:D321"/>
    <mergeCell ref="F321:G321"/>
    <mergeCell ref="H321:I321"/>
    <mergeCell ref="B322:D322"/>
    <mergeCell ref="G322:I322"/>
    <mergeCell ref="A309:D309"/>
    <mergeCell ref="F309:I309"/>
    <mergeCell ref="A313:D313"/>
    <mergeCell ref="F313:I313"/>
    <mergeCell ref="A314:B314"/>
    <mergeCell ref="C314:D314"/>
    <mergeCell ref="F314:G314"/>
    <mergeCell ref="H314:I314"/>
    <mergeCell ref="B315:D315"/>
    <mergeCell ref="G315:I315"/>
    <mergeCell ref="A302:D302"/>
    <mergeCell ref="F302:I302"/>
    <mergeCell ref="A306:D306"/>
    <mergeCell ref="F306:I306"/>
    <mergeCell ref="A307:B307"/>
    <mergeCell ref="C307:D307"/>
    <mergeCell ref="F307:G307"/>
    <mergeCell ref="H307:I307"/>
    <mergeCell ref="B308:D308"/>
    <mergeCell ref="G308:I308"/>
    <mergeCell ref="A295:D295"/>
    <mergeCell ref="F295:I295"/>
    <mergeCell ref="A299:D299"/>
    <mergeCell ref="F299:I299"/>
    <mergeCell ref="A300:B300"/>
    <mergeCell ref="C300:D300"/>
    <mergeCell ref="F300:G300"/>
    <mergeCell ref="H300:I300"/>
    <mergeCell ref="B301:D301"/>
    <mergeCell ref="G301:I301"/>
    <mergeCell ref="A288:D288"/>
    <mergeCell ref="F288:I288"/>
    <mergeCell ref="A292:D292"/>
    <mergeCell ref="F292:I292"/>
    <mergeCell ref="A293:B293"/>
    <mergeCell ref="C293:D293"/>
    <mergeCell ref="F293:G293"/>
    <mergeCell ref="H293:I293"/>
    <mergeCell ref="B294:D294"/>
    <mergeCell ref="G294:I294"/>
    <mergeCell ref="A281:D281"/>
    <mergeCell ref="F281:I281"/>
    <mergeCell ref="A285:D285"/>
    <mergeCell ref="F285:I285"/>
    <mergeCell ref="A286:B286"/>
    <mergeCell ref="C286:D286"/>
    <mergeCell ref="F286:G286"/>
    <mergeCell ref="H286:I286"/>
    <mergeCell ref="B287:D287"/>
    <mergeCell ref="G287:I287"/>
    <mergeCell ref="A274:D274"/>
    <mergeCell ref="F274:I274"/>
    <mergeCell ref="A278:D278"/>
    <mergeCell ref="F278:I278"/>
    <mergeCell ref="A279:B279"/>
    <mergeCell ref="C279:D279"/>
    <mergeCell ref="F279:G279"/>
    <mergeCell ref="H279:I279"/>
    <mergeCell ref="B280:D280"/>
    <mergeCell ref="G280:I280"/>
    <mergeCell ref="A267:D267"/>
    <mergeCell ref="F267:I267"/>
    <mergeCell ref="A271:D271"/>
    <mergeCell ref="F271:I271"/>
    <mergeCell ref="A272:B272"/>
    <mergeCell ref="C272:D272"/>
    <mergeCell ref="F272:G272"/>
    <mergeCell ref="H272:I272"/>
    <mergeCell ref="B273:D273"/>
    <mergeCell ref="G273:I273"/>
    <mergeCell ref="A260:D260"/>
    <mergeCell ref="F260:I260"/>
    <mergeCell ref="A264:D264"/>
    <mergeCell ref="F264:I264"/>
    <mergeCell ref="A265:B265"/>
    <mergeCell ref="C265:D265"/>
    <mergeCell ref="F265:G265"/>
    <mergeCell ref="H265:I265"/>
    <mergeCell ref="B266:D266"/>
    <mergeCell ref="G266:I266"/>
    <mergeCell ref="A253:D253"/>
    <mergeCell ref="F253:I253"/>
    <mergeCell ref="A257:D257"/>
    <mergeCell ref="F257:I257"/>
    <mergeCell ref="A258:B258"/>
    <mergeCell ref="C258:D258"/>
    <mergeCell ref="F258:G258"/>
    <mergeCell ref="H258:I258"/>
    <mergeCell ref="B259:D259"/>
    <mergeCell ref="G259:I259"/>
    <mergeCell ref="A246:D246"/>
    <mergeCell ref="F246:I246"/>
    <mergeCell ref="A250:D250"/>
    <mergeCell ref="F250:I250"/>
    <mergeCell ref="A251:B251"/>
    <mergeCell ref="C251:D251"/>
    <mergeCell ref="F251:G251"/>
    <mergeCell ref="H251:I251"/>
    <mergeCell ref="B252:D252"/>
    <mergeCell ref="G252:I252"/>
    <mergeCell ref="A239:D239"/>
    <mergeCell ref="F239:I239"/>
    <mergeCell ref="A243:D243"/>
    <mergeCell ref="F243:I243"/>
    <mergeCell ref="A244:B244"/>
    <mergeCell ref="C244:D244"/>
    <mergeCell ref="F244:G244"/>
    <mergeCell ref="H244:I244"/>
    <mergeCell ref="B245:D245"/>
    <mergeCell ref="G245:I245"/>
    <mergeCell ref="A232:D232"/>
    <mergeCell ref="F232:I232"/>
    <mergeCell ref="A236:D236"/>
    <mergeCell ref="F236:I236"/>
    <mergeCell ref="A237:B237"/>
    <mergeCell ref="C237:D237"/>
    <mergeCell ref="F237:G237"/>
    <mergeCell ref="H237:I237"/>
    <mergeCell ref="B238:D238"/>
    <mergeCell ref="G238:I238"/>
    <mergeCell ref="A225:D225"/>
    <mergeCell ref="F225:I225"/>
    <mergeCell ref="A229:D229"/>
    <mergeCell ref="F229:I229"/>
    <mergeCell ref="A230:B230"/>
    <mergeCell ref="C230:D230"/>
    <mergeCell ref="F230:G230"/>
    <mergeCell ref="H230:I230"/>
    <mergeCell ref="B231:D231"/>
    <mergeCell ref="G231:I231"/>
    <mergeCell ref="A1:D1"/>
    <mergeCell ref="F1:I1"/>
    <mergeCell ref="A5:D5"/>
    <mergeCell ref="F5:I5"/>
    <mergeCell ref="A6:B6"/>
    <mergeCell ref="C6:D6"/>
    <mergeCell ref="F6:G6"/>
    <mergeCell ref="H6:I6"/>
    <mergeCell ref="A33:D33"/>
    <mergeCell ref="F33:I33"/>
    <mergeCell ref="A34:B34"/>
    <mergeCell ref="C34:D34"/>
    <mergeCell ref="F34:G34"/>
    <mergeCell ref="H34:I34"/>
    <mergeCell ref="A36:D36"/>
    <mergeCell ref="F36:I36"/>
    <mergeCell ref="B7:D7"/>
    <mergeCell ref="G7:I7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B56:D56"/>
    <mergeCell ref="G56:I56"/>
    <mergeCell ref="A41:B41"/>
    <mergeCell ref="C41:D41"/>
    <mergeCell ref="F41:G41"/>
    <mergeCell ref="H41:I41"/>
    <mergeCell ref="B42:D42"/>
    <mergeCell ref="G42:I42"/>
    <mergeCell ref="A43:D43"/>
    <mergeCell ref="F43:I43"/>
    <mergeCell ref="A47:D47"/>
    <mergeCell ref="F47:I47"/>
    <mergeCell ref="A48:B48"/>
    <mergeCell ref="C48:D48"/>
    <mergeCell ref="F48:G48"/>
    <mergeCell ref="H48:I48"/>
    <mergeCell ref="B49:D49"/>
    <mergeCell ref="G49:I49"/>
    <mergeCell ref="A50:D50"/>
    <mergeCell ref="F50:I50"/>
    <mergeCell ref="A54:D54"/>
    <mergeCell ref="F54:I54"/>
    <mergeCell ref="A55:B55"/>
    <mergeCell ref="C55:D55"/>
    <mergeCell ref="F55:G55"/>
    <mergeCell ref="H55:I55"/>
    <mergeCell ref="A22:D22"/>
    <mergeCell ref="F22:I22"/>
    <mergeCell ref="B28:D28"/>
    <mergeCell ref="G28:I28"/>
    <mergeCell ref="B35:D35"/>
    <mergeCell ref="G35:I35"/>
    <mergeCell ref="A20:B20"/>
    <mergeCell ref="C20:D20"/>
    <mergeCell ref="F20:G20"/>
    <mergeCell ref="H20:I20"/>
    <mergeCell ref="B21:D21"/>
    <mergeCell ref="G21:I21"/>
    <mergeCell ref="A26:D26"/>
    <mergeCell ref="F26:I26"/>
    <mergeCell ref="A27:B27"/>
    <mergeCell ref="C27:D27"/>
    <mergeCell ref="F27:G27"/>
    <mergeCell ref="H27:I27"/>
    <mergeCell ref="A40:D40"/>
    <mergeCell ref="F40:I40"/>
    <mergeCell ref="A29:D29"/>
    <mergeCell ref="F29:I29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B119:D119"/>
    <mergeCell ref="G119:I119"/>
    <mergeCell ref="A120:D120"/>
    <mergeCell ref="F120:I120"/>
    <mergeCell ref="A124:D124"/>
    <mergeCell ref="F124:I12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25:B125"/>
    <mergeCell ref="C125:D125"/>
    <mergeCell ref="F125:G125"/>
    <mergeCell ref="H125:I125"/>
    <mergeCell ref="B126:D126"/>
    <mergeCell ref="G126:I126"/>
    <mergeCell ref="A139:B139"/>
    <mergeCell ref="C139:D139"/>
    <mergeCell ref="F139:G139"/>
    <mergeCell ref="H139:I139"/>
    <mergeCell ref="B140:D140"/>
    <mergeCell ref="G140:I140"/>
    <mergeCell ref="B133:D133"/>
    <mergeCell ref="G133:I133"/>
    <mergeCell ref="A134:D134"/>
    <mergeCell ref="F134:I134"/>
    <mergeCell ref="A138:D138"/>
    <mergeCell ref="F138:I138"/>
    <mergeCell ref="B147:D147"/>
    <mergeCell ref="G147:I147"/>
    <mergeCell ref="A148:D148"/>
    <mergeCell ref="F148:I148"/>
    <mergeCell ref="A152:D152"/>
    <mergeCell ref="F152:I15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53:B153"/>
    <mergeCell ref="C153:D153"/>
    <mergeCell ref="F153:G153"/>
    <mergeCell ref="H153:I153"/>
    <mergeCell ref="B154:D154"/>
    <mergeCell ref="G154:I154"/>
    <mergeCell ref="A167:B167"/>
    <mergeCell ref="C167:D167"/>
    <mergeCell ref="F167:G167"/>
    <mergeCell ref="H167:I167"/>
    <mergeCell ref="B168:D168"/>
    <mergeCell ref="G168:I168"/>
    <mergeCell ref="B161:D161"/>
    <mergeCell ref="G161:I161"/>
    <mergeCell ref="A162:D162"/>
    <mergeCell ref="F162:I162"/>
    <mergeCell ref="A166:D166"/>
    <mergeCell ref="F166:I166"/>
    <mergeCell ref="B175:D175"/>
    <mergeCell ref="G175:I175"/>
    <mergeCell ref="A176:D176"/>
    <mergeCell ref="F176:I176"/>
    <mergeCell ref="A180:D180"/>
    <mergeCell ref="F180:I180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A181:B181"/>
    <mergeCell ref="C181:D181"/>
    <mergeCell ref="F181:G181"/>
    <mergeCell ref="H181:I181"/>
    <mergeCell ref="B182:D182"/>
    <mergeCell ref="G182:I182"/>
    <mergeCell ref="A195:B195"/>
    <mergeCell ref="C195:D195"/>
    <mergeCell ref="F195:G195"/>
    <mergeCell ref="H195:I195"/>
    <mergeCell ref="B196:D196"/>
    <mergeCell ref="G196:I196"/>
    <mergeCell ref="B189:D189"/>
    <mergeCell ref="G189:I189"/>
    <mergeCell ref="A190:D190"/>
    <mergeCell ref="F190:I190"/>
    <mergeCell ref="A194:D194"/>
    <mergeCell ref="F194:I194"/>
    <mergeCell ref="B203:D203"/>
    <mergeCell ref="G203:I203"/>
    <mergeCell ref="A204:D204"/>
    <mergeCell ref="F204:I204"/>
    <mergeCell ref="A208:D208"/>
    <mergeCell ref="F208:I208"/>
    <mergeCell ref="A197:D197"/>
    <mergeCell ref="F197:I197"/>
    <mergeCell ref="A201:D201"/>
    <mergeCell ref="F201:I201"/>
    <mergeCell ref="A202:B202"/>
    <mergeCell ref="C202:D202"/>
    <mergeCell ref="F202:G202"/>
    <mergeCell ref="H202:I202"/>
    <mergeCell ref="A211:D211"/>
    <mergeCell ref="F211:I211"/>
    <mergeCell ref="A215:D215"/>
    <mergeCell ref="F215:I215"/>
    <mergeCell ref="A216:B216"/>
    <mergeCell ref="C216:D216"/>
    <mergeCell ref="F216:G216"/>
    <mergeCell ref="H216:I216"/>
    <mergeCell ref="A209:B209"/>
    <mergeCell ref="C209:D209"/>
    <mergeCell ref="F209:G209"/>
    <mergeCell ref="H209:I209"/>
    <mergeCell ref="B210:D210"/>
    <mergeCell ref="G210:I210"/>
    <mergeCell ref="A223:B223"/>
    <mergeCell ref="C223:D223"/>
    <mergeCell ref="F223:G223"/>
    <mergeCell ref="H223:I223"/>
    <mergeCell ref="B224:D224"/>
    <mergeCell ref="G224:I224"/>
    <mergeCell ref="B217:D217"/>
    <mergeCell ref="G217:I217"/>
    <mergeCell ref="A218:D218"/>
    <mergeCell ref="F218:I218"/>
    <mergeCell ref="A222:D222"/>
    <mergeCell ref="F222:I222"/>
  </mergeCells>
  <pageMargins left="0.19685039370078741" right="0" top="0.19685039370078741" bottom="0.19685039370078741" header="0" footer="0"/>
  <pageSetup scale="9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1"/>
  <sheetViews>
    <sheetView view="pageBreakPreview" topLeftCell="A16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19</v>
      </c>
      <c r="B1" s="27"/>
      <c r="C1" s="27"/>
      <c r="D1" s="27"/>
      <c r="E1" s="2"/>
      <c r="F1" s="27" t="str">
        <f>A1</f>
        <v>Round DER - Barrel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12</v>
      </c>
      <c r="E3" s="4"/>
      <c r="F3" s="11" t="s">
        <v>2</v>
      </c>
      <c r="G3" s="10"/>
      <c r="H3" s="11" t="s">
        <v>5</v>
      </c>
      <c r="I3" s="7" t="str">
        <f>D3</f>
        <v>04C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41</v>
      </c>
      <c r="E4" s="4"/>
      <c r="F4" s="8" t="s">
        <v>3</v>
      </c>
      <c r="G4" s="9">
        <v>4</v>
      </c>
      <c r="H4" s="11" t="s">
        <v>6</v>
      </c>
      <c r="I4" s="7" t="str">
        <f>D4</f>
        <v>DER-B03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51</v>
      </c>
      <c r="B5" s="29"/>
      <c r="C5" s="29"/>
      <c r="D5" s="30"/>
      <c r="E5" s="5"/>
      <c r="F5" s="28" t="s">
        <v>51</v>
      </c>
      <c r="G5" s="29"/>
      <c r="H5" s="29"/>
      <c r="I5" s="30"/>
      <c r="K5" s="1">
        <v>200</v>
      </c>
      <c r="L5" s="1">
        <v>20</v>
      </c>
    </row>
    <row r="6" spans="1:12" s="1" customFormat="1" ht="30" customHeight="1" x14ac:dyDescent="0.25">
      <c r="A6" s="31" t="s">
        <v>32</v>
      </c>
      <c r="B6" s="32"/>
      <c r="C6" s="33" t="s">
        <v>91</v>
      </c>
      <c r="D6" s="34"/>
      <c r="E6" s="4"/>
      <c r="F6" s="31" t="str">
        <f>A6</f>
        <v>P814</v>
      </c>
      <c r="G6" s="32"/>
      <c r="H6" s="33" t="str">
        <f>C6</f>
        <v>Grey</v>
      </c>
      <c r="I6" s="34"/>
    </row>
    <row r="7" spans="1:12" s="1" customFormat="1" ht="30" customHeight="1" x14ac:dyDescent="0.25">
      <c r="A7" s="12" t="s">
        <v>4</v>
      </c>
      <c r="B7" s="25">
        <v>26870</v>
      </c>
      <c r="C7" s="25"/>
      <c r="D7" s="26"/>
      <c r="E7" s="4"/>
      <c r="F7" s="12" t="s">
        <v>4</v>
      </c>
      <c r="G7" s="25">
        <f>B7</f>
        <v>26870</v>
      </c>
      <c r="H7" s="25"/>
      <c r="I7" s="26"/>
    </row>
    <row r="8" spans="1:12" ht="63.75" customHeight="1" x14ac:dyDescent="0.25">
      <c r="A8" s="27" t="s">
        <v>19</v>
      </c>
      <c r="B8" s="27"/>
      <c r="C8" s="27"/>
      <c r="D8" s="27"/>
      <c r="E8" s="2"/>
      <c r="F8" s="27" t="str">
        <f>A8</f>
        <v>Round DER - Barrel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12</v>
      </c>
      <c r="E10" s="4"/>
      <c r="F10" s="11" t="s">
        <v>2</v>
      </c>
      <c r="G10" s="10"/>
      <c r="H10" s="11" t="s">
        <v>5</v>
      </c>
      <c r="I10" s="7" t="str">
        <f>D10</f>
        <v>04C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41</v>
      </c>
      <c r="E11" s="4"/>
      <c r="F11" s="8" t="s">
        <v>3</v>
      </c>
      <c r="G11" s="9">
        <v>5</v>
      </c>
      <c r="H11" s="11" t="s">
        <v>6</v>
      </c>
      <c r="I11" s="7" t="str">
        <f>D11</f>
        <v>DER-B03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51</v>
      </c>
      <c r="B12" s="29"/>
      <c r="C12" s="29"/>
      <c r="D12" s="30"/>
      <c r="E12" s="5"/>
      <c r="F12" s="28" t="s">
        <v>51</v>
      </c>
      <c r="G12" s="29"/>
      <c r="H12" s="29"/>
      <c r="I12" s="30"/>
      <c r="K12" s="1">
        <v>200</v>
      </c>
      <c r="L12" s="1">
        <v>20</v>
      </c>
    </row>
    <row r="13" spans="1:12" s="1" customFormat="1" ht="30" customHeight="1" x14ac:dyDescent="0.25">
      <c r="A13" s="31" t="s">
        <v>32</v>
      </c>
      <c r="B13" s="32"/>
      <c r="C13" s="33" t="s">
        <v>91</v>
      </c>
      <c r="D13" s="34"/>
      <c r="E13" s="4"/>
      <c r="F13" s="31" t="str">
        <f>A13</f>
        <v>P814</v>
      </c>
      <c r="G13" s="32"/>
      <c r="H13" s="33" t="str">
        <f>C13</f>
        <v>Grey</v>
      </c>
      <c r="I13" s="34"/>
    </row>
    <row r="14" spans="1:12" s="1" customFormat="1" ht="30" customHeight="1" x14ac:dyDescent="0.25">
      <c r="A14" s="12" t="s">
        <v>4</v>
      </c>
      <c r="B14" s="25">
        <v>26870</v>
      </c>
      <c r="C14" s="25"/>
      <c r="D14" s="26"/>
      <c r="E14" s="4"/>
      <c r="F14" s="12" t="s">
        <v>4</v>
      </c>
      <c r="G14" s="25">
        <f>B14</f>
        <v>26870</v>
      </c>
      <c r="H14" s="25"/>
      <c r="I14" s="26"/>
    </row>
    <row r="15" spans="1:12" ht="63.75" customHeight="1" x14ac:dyDescent="0.25">
      <c r="A15" s="27" t="s">
        <v>19</v>
      </c>
      <c r="B15" s="27"/>
      <c r="C15" s="27"/>
      <c r="D15" s="27"/>
      <c r="E15" s="2"/>
      <c r="F15" s="27" t="str">
        <f>A15</f>
        <v>Round DER - Barrel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12</v>
      </c>
      <c r="E17" s="4"/>
      <c r="F17" s="11" t="s">
        <v>2</v>
      </c>
      <c r="G17" s="10"/>
      <c r="H17" s="11" t="s">
        <v>5</v>
      </c>
      <c r="I17" s="7" t="str">
        <f>D17</f>
        <v>04C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41</v>
      </c>
      <c r="E18" s="4"/>
      <c r="F18" s="8" t="s">
        <v>3</v>
      </c>
      <c r="G18" s="9">
        <v>6</v>
      </c>
      <c r="H18" s="11" t="s">
        <v>6</v>
      </c>
      <c r="I18" s="7" t="str">
        <f>D18</f>
        <v>DER-B03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51</v>
      </c>
      <c r="B19" s="29"/>
      <c r="C19" s="29"/>
      <c r="D19" s="30"/>
      <c r="E19" s="5"/>
      <c r="F19" s="28" t="s">
        <v>92</v>
      </c>
      <c r="G19" s="29"/>
      <c r="H19" s="29"/>
      <c r="I19" s="30"/>
      <c r="K19" s="1">
        <v>200</v>
      </c>
      <c r="L19" s="1">
        <v>20</v>
      </c>
    </row>
    <row r="20" spans="1:12" s="1" customFormat="1" ht="30" customHeight="1" x14ac:dyDescent="0.25">
      <c r="A20" s="31" t="s">
        <v>32</v>
      </c>
      <c r="B20" s="32"/>
      <c r="C20" s="33" t="s">
        <v>91</v>
      </c>
      <c r="D20" s="34"/>
      <c r="E20" s="4"/>
      <c r="F20" s="31" t="str">
        <f>A20</f>
        <v>P814</v>
      </c>
      <c r="G20" s="32"/>
      <c r="H20" s="33" t="str">
        <f>C20</f>
        <v>Grey</v>
      </c>
      <c r="I20" s="34"/>
    </row>
    <row r="21" spans="1:12" s="1" customFormat="1" ht="30" customHeight="1" x14ac:dyDescent="0.25">
      <c r="A21" s="12" t="s">
        <v>4</v>
      </c>
      <c r="B21" s="25">
        <v>26870</v>
      </c>
      <c r="C21" s="25"/>
      <c r="D21" s="26"/>
      <c r="E21" s="4"/>
      <c r="F21" s="12" t="s">
        <v>4</v>
      </c>
      <c r="G21" s="25">
        <f>B21</f>
        <v>26870</v>
      </c>
      <c r="H21" s="25"/>
      <c r="I21" s="26"/>
    </row>
  </sheetData>
  <mergeCells count="30">
    <mergeCell ref="B21:D21"/>
    <mergeCell ref="G21:I21"/>
    <mergeCell ref="A13:B13"/>
    <mergeCell ref="C13:D13"/>
    <mergeCell ref="F13:G13"/>
    <mergeCell ref="H13:I13"/>
    <mergeCell ref="A15:D15"/>
    <mergeCell ref="F15:I15"/>
    <mergeCell ref="A20:B20"/>
    <mergeCell ref="C20:D20"/>
    <mergeCell ref="F20:G20"/>
    <mergeCell ref="H20:I20"/>
    <mergeCell ref="A19:D19"/>
    <mergeCell ref="F19:I19"/>
    <mergeCell ref="B14:D14"/>
    <mergeCell ref="G14:I14"/>
    <mergeCell ref="A1:D1"/>
    <mergeCell ref="F1:I1"/>
    <mergeCell ref="A5:D5"/>
    <mergeCell ref="F5:I5"/>
    <mergeCell ref="A6:B6"/>
    <mergeCell ref="C6:D6"/>
    <mergeCell ref="F6:G6"/>
    <mergeCell ref="H6:I6"/>
    <mergeCell ref="B7:D7"/>
    <mergeCell ref="G7:I7"/>
    <mergeCell ref="A8:D8"/>
    <mergeCell ref="F8:I8"/>
    <mergeCell ref="A12:D12"/>
    <mergeCell ref="F12:I12"/>
  </mergeCells>
  <pageMargins left="0.19685039370078741" right="0" top="0.19685039370078741" bottom="0.19685039370078741" header="0" footer="0"/>
  <pageSetup scale="9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35"/>
  <sheetViews>
    <sheetView view="pageBreakPreview" topLeftCell="A22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20</v>
      </c>
      <c r="B1" s="27"/>
      <c r="C1" s="27"/>
      <c r="D1" s="27"/>
      <c r="E1" s="2"/>
      <c r="F1" s="27" t="str">
        <f>A1</f>
        <v>Round DER - Inner Dome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17" t="s">
        <v>24</v>
      </c>
      <c r="E3" s="4"/>
      <c r="F3" s="11" t="s">
        <v>2</v>
      </c>
      <c r="G3" s="10"/>
      <c r="H3" s="11" t="s">
        <v>5</v>
      </c>
      <c r="I3" s="1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50</v>
      </c>
      <c r="E4" s="4"/>
      <c r="F4" s="8" t="s">
        <v>3</v>
      </c>
      <c r="G4" s="9">
        <v>6</v>
      </c>
      <c r="H4" s="11" t="s">
        <v>6</v>
      </c>
      <c r="I4" s="7" t="str">
        <f>D4</f>
        <v>DER-D05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49</v>
      </c>
      <c r="B5" s="29"/>
      <c r="C5" s="29"/>
      <c r="D5" s="30"/>
      <c r="E5" s="5"/>
      <c r="F5" s="28" t="s">
        <v>49</v>
      </c>
      <c r="G5" s="29"/>
      <c r="H5" s="29"/>
      <c r="I5" s="30"/>
      <c r="K5" s="1">
        <v>380</v>
      </c>
      <c r="L5" s="1">
        <v>80</v>
      </c>
    </row>
    <row r="6" spans="1:12" s="1" customFormat="1" ht="30" customHeight="1" x14ac:dyDescent="0.25">
      <c r="A6" s="31" t="s">
        <v>32</v>
      </c>
      <c r="B6" s="32"/>
      <c r="C6" s="33" t="s">
        <v>9</v>
      </c>
      <c r="D6" s="34"/>
      <c r="E6" s="4"/>
      <c r="F6" s="31" t="str">
        <f>A6</f>
        <v>P814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26068</v>
      </c>
      <c r="C7" s="25"/>
      <c r="D7" s="26"/>
      <c r="E7" s="4"/>
      <c r="F7" s="12" t="s">
        <v>4</v>
      </c>
      <c r="G7" s="25">
        <f>B7</f>
        <v>26068</v>
      </c>
      <c r="H7" s="25"/>
      <c r="I7" s="26"/>
    </row>
    <row r="8" spans="1:12" ht="63.75" customHeight="1" x14ac:dyDescent="0.25">
      <c r="A8" s="27" t="s">
        <v>20</v>
      </c>
      <c r="B8" s="27"/>
      <c r="C8" s="27"/>
      <c r="D8" s="27"/>
      <c r="E8" s="2"/>
      <c r="F8" s="27" t="str">
        <f>A8</f>
        <v>Round DER - Inner Dome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17" t="s">
        <v>24</v>
      </c>
      <c r="E10" s="4"/>
      <c r="F10" s="11" t="s">
        <v>2</v>
      </c>
      <c r="G10" s="10"/>
      <c r="H10" s="11" t="s">
        <v>5</v>
      </c>
      <c r="I10" s="17" t="str">
        <f>D10</f>
        <v>14A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50</v>
      </c>
      <c r="E11" s="4"/>
      <c r="F11" s="8" t="s">
        <v>3</v>
      </c>
      <c r="G11" s="9">
        <v>7</v>
      </c>
      <c r="H11" s="11" t="s">
        <v>6</v>
      </c>
      <c r="I11" s="7" t="str">
        <f>D11</f>
        <v>DER-D05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49</v>
      </c>
      <c r="B12" s="29"/>
      <c r="C12" s="29"/>
      <c r="D12" s="30"/>
      <c r="E12" s="5"/>
      <c r="F12" s="28" t="s">
        <v>49</v>
      </c>
      <c r="G12" s="29"/>
      <c r="H12" s="29"/>
      <c r="I12" s="30"/>
      <c r="K12" s="1">
        <v>380</v>
      </c>
      <c r="L12" s="1">
        <v>80</v>
      </c>
    </row>
    <row r="13" spans="1:12" s="1" customFormat="1" ht="30" customHeight="1" x14ac:dyDescent="0.25">
      <c r="A13" s="31" t="s">
        <v>32</v>
      </c>
      <c r="B13" s="32"/>
      <c r="C13" s="33" t="s">
        <v>9</v>
      </c>
      <c r="D13" s="34"/>
      <c r="E13" s="4"/>
      <c r="F13" s="31" t="str">
        <f>A13</f>
        <v>P814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26068</v>
      </c>
      <c r="C14" s="25"/>
      <c r="D14" s="26"/>
      <c r="E14" s="4"/>
      <c r="F14" s="12" t="s">
        <v>4</v>
      </c>
      <c r="G14" s="25">
        <f>B14</f>
        <v>26068</v>
      </c>
      <c r="H14" s="25"/>
      <c r="I14" s="26"/>
    </row>
    <row r="15" spans="1:12" ht="63.75" customHeight="1" x14ac:dyDescent="0.25">
      <c r="A15" s="27" t="s">
        <v>20</v>
      </c>
      <c r="B15" s="27"/>
      <c r="C15" s="27"/>
      <c r="D15" s="27"/>
      <c r="E15" s="2"/>
      <c r="F15" s="27" t="str">
        <f>A15</f>
        <v>Round DER - Inner Dome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17" t="s">
        <v>24</v>
      </c>
      <c r="E17" s="4"/>
      <c r="F17" s="11" t="s">
        <v>2</v>
      </c>
      <c r="G17" s="10"/>
      <c r="H17" s="11" t="s">
        <v>5</v>
      </c>
      <c r="I17" s="17" t="str">
        <f>D17</f>
        <v>14A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50</v>
      </c>
      <c r="E18" s="4"/>
      <c r="F18" s="8" t="s">
        <v>3</v>
      </c>
      <c r="G18" s="9">
        <v>8</v>
      </c>
      <c r="H18" s="11" t="s">
        <v>6</v>
      </c>
      <c r="I18" s="7" t="str">
        <f>D18</f>
        <v>DER-D05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49</v>
      </c>
      <c r="B19" s="29"/>
      <c r="C19" s="29"/>
      <c r="D19" s="30"/>
      <c r="E19" s="5"/>
      <c r="F19" s="28" t="s">
        <v>49</v>
      </c>
      <c r="G19" s="29"/>
      <c r="H19" s="29"/>
      <c r="I19" s="30"/>
      <c r="K19" s="1">
        <v>380</v>
      </c>
      <c r="L19" s="1">
        <v>80</v>
      </c>
    </row>
    <row r="20" spans="1:12" s="1" customFormat="1" ht="30" customHeight="1" x14ac:dyDescent="0.25">
      <c r="A20" s="31" t="s">
        <v>32</v>
      </c>
      <c r="B20" s="32"/>
      <c r="C20" s="33" t="s">
        <v>9</v>
      </c>
      <c r="D20" s="34"/>
      <c r="E20" s="4"/>
      <c r="F20" s="31" t="str">
        <f>A20</f>
        <v>P814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26068</v>
      </c>
      <c r="C21" s="25"/>
      <c r="D21" s="26"/>
      <c r="E21" s="4"/>
      <c r="F21" s="12" t="s">
        <v>4</v>
      </c>
      <c r="G21" s="25">
        <f>B21</f>
        <v>26068</v>
      </c>
      <c r="H21" s="25"/>
      <c r="I21" s="26"/>
    </row>
    <row r="22" spans="1:12" ht="63.75" customHeight="1" x14ac:dyDescent="0.25">
      <c r="A22" s="27" t="s">
        <v>20</v>
      </c>
      <c r="B22" s="27"/>
      <c r="C22" s="27"/>
      <c r="D22" s="27"/>
      <c r="E22" s="2"/>
      <c r="F22" s="27" t="str">
        <f>A22</f>
        <v>Round DER - Inner Dome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17" t="s">
        <v>24</v>
      </c>
      <c r="E24" s="4"/>
      <c r="F24" s="11" t="s">
        <v>2</v>
      </c>
      <c r="G24" s="10"/>
      <c r="H24" s="11" t="s">
        <v>5</v>
      </c>
      <c r="I24" s="17" t="str">
        <f>D24</f>
        <v>14A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50</v>
      </c>
      <c r="E25" s="4"/>
      <c r="F25" s="8" t="s">
        <v>3</v>
      </c>
      <c r="G25" s="9">
        <v>9</v>
      </c>
      <c r="H25" s="11" t="s">
        <v>6</v>
      </c>
      <c r="I25" s="7" t="str">
        <f>D25</f>
        <v>DER-D05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49</v>
      </c>
      <c r="B26" s="29"/>
      <c r="C26" s="29"/>
      <c r="D26" s="30"/>
      <c r="E26" s="5"/>
      <c r="F26" s="28" t="s">
        <v>79</v>
      </c>
      <c r="G26" s="29"/>
      <c r="H26" s="29"/>
      <c r="I26" s="30"/>
      <c r="K26" s="1">
        <v>380</v>
      </c>
      <c r="L26" s="1">
        <v>80</v>
      </c>
    </row>
    <row r="27" spans="1:12" s="1" customFormat="1" ht="30" customHeight="1" x14ac:dyDescent="0.25">
      <c r="A27" s="31" t="s">
        <v>32</v>
      </c>
      <c r="B27" s="32"/>
      <c r="C27" s="33" t="s">
        <v>9</v>
      </c>
      <c r="D27" s="34"/>
      <c r="E27" s="4"/>
      <c r="F27" s="31" t="str">
        <f>A27</f>
        <v>P814</v>
      </c>
      <c r="G27" s="32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26068</v>
      </c>
      <c r="C28" s="25"/>
      <c r="D28" s="26"/>
      <c r="E28" s="4"/>
      <c r="F28" s="12" t="s">
        <v>4</v>
      </c>
      <c r="G28" s="25">
        <f>B28</f>
        <v>26068</v>
      </c>
      <c r="H28" s="25"/>
      <c r="I28" s="26"/>
    </row>
    <row r="29" spans="1:12" ht="63.75" customHeight="1" x14ac:dyDescent="0.25">
      <c r="A29" s="27" t="s">
        <v>20</v>
      </c>
      <c r="B29" s="27"/>
      <c r="C29" s="27"/>
      <c r="D29" s="27"/>
      <c r="E29" s="2"/>
      <c r="F29" s="35" t="str">
        <f>A29</f>
        <v>Round DER - Inner Dome</v>
      </c>
      <c r="G29" s="35"/>
      <c r="H29" s="35"/>
      <c r="I29" s="35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6" t="s">
        <v>0</v>
      </c>
      <c r="G30" s="16"/>
      <c r="H30" s="16" t="s">
        <v>1</v>
      </c>
      <c r="I30" s="16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17" t="s">
        <v>24</v>
      </c>
      <c r="E31" s="4"/>
      <c r="F31" s="16" t="s">
        <v>2</v>
      </c>
      <c r="G31" s="16"/>
      <c r="H31" s="16" t="s">
        <v>5</v>
      </c>
      <c r="I31" s="18" t="str">
        <f>D31</f>
        <v>14A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50</v>
      </c>
      <c r="E32" s="4"/>
      <c r="F32" s="14" t="s">
        <v>3</v>
      </c>
      <c r="G32" s="15">
        <v>9</v>
      </c>
      <c r="H32" s="16" t="s">
        <v>6</v>
      </c>
      <c r="I32" s="13" t="str">
        <f>D32</f>
        <v>DER-D05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49</v>
      </c>
      <c r="B33" s="29"/>
      <c r="C33" s="29"/>
      <c r="D33" s="30"/>
      <c r="E33" s="5"/>
      <c r="F33" s="36" t="s">
        <v>79</v>
      </c>
      <c r="G33" s="36"/>
      <c r="H33" s="36"/>
      <c r="I33" s="36"/>
      <c r="K33" s="1">
        <v>380</v>
      </c>
      <c r="L33" s="1">
        <v>80</v>
      </c>
    </row>
    <row r="34" spans="1:12" s="1" customFormat="1" ht="30" customHeight="1" x14ac:dyDescent="0.25">
      <c r="A34" s="31" t="s">
        <v>32</v>
      </c>
      <c r="B34" s="32"/>
      <c r="C34" s="33" t="s">
        <v>9</v>
      </c>
      <c r="D34" s="34"/>
      <c r="E34" s="4"/>
      <c r="F34" s="38" t="str">
        <f>A34</f>
        <v>P814</v>
      </c>
      <c r="G34" s="38"/>
      <c r="H34" s="44" t="str">
        <f>C34</f>
        <v>White</v>
      </c>
      <c r="I34" s="39"/>
    </row>
    <row r="35" spans="1:12" s="1" customFormat="1" ht="30" customHeight="1" x14ac:dyDescent="0.25">
      <c r="A35" s="12" t="s">
        <v>4</v>
      </c>
      <c r="B35" s="25">
        <v>26068</v>
      </c>
      <c r="C35" s="25"/>
      <c r="D35" s="26"/>
      <c r="E35" s="4"/>
      <c r="F35" s="16" t="s">
        <v>4</v>
      </c>
      <c r="G35" s="38">
        <f>B35</f>
        <v>26068</v>
      </c>
      <c r="H35" s="38"/>
      <c r="I35" s="38"/>
    </row>
  </sheetData>
  <mergeCells count="50"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105"/>
  <sheetViews>
    <sheetView view="pageBreakPreview" topLeftCell="A100" zoomScaleNormal="100" zoomScaleSheetLayoutView="100" workbookViewId="0">
      <selection activeCell="F99" sqref="F99:I10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21</v>
      </c>
      <c r="B1" s="27"/>
      <c r="C1" s="27"/>
      <c r="D1" s="27"/>
      <c r="E1" s="2"/>
      <c r="F1" s="27" t="str">
        <f>A1</f>
        <v>Round DER - Platform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14</v>
      </c>
      <c r="E3" s="4"/>
      <c r="F3" s="11" t="s">
        <v>2</v>
      </c>
      <c r="G3" s="10"/>
      <c r="H3" s="11" t="s">
        <v>5</v>
      </c>
      <c r="I3" s="7" t="str">
        <f>D3</f>
        <v>01A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13</v>
      </c>
      <c r="E4" s="4"/>
      <c r="F4" s="8" t="s">
        <v>3</v>
      </c>
      <c r="G4" s="9">
        <v>16</v>
      </c>
      <c r="H4" s="11" t="s">
        <v>6</v>
      </c>
      <c r="I4" s="7" t="str">
        <f>D4</f>
        <v>DER-P02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28</v>
      </c>
      <c r="B5" s="29"/>
      <c r="C5" s="29"/>
      <c r="D5" s="30"/>
      <c r="E5" s="5"/>
      <c r="F5" s="28" t="s">
        <v>28</v>
      </c>
      <c r="G5" s="29"/>
      <c r="H5" s="29"/>
      <c r="I5" s="30"/>
      <c r="K5" s="1">
        <v>340</v>
      </c>
      <c r="L5" s="1">
        <v>80</v>
      </c>
    </row>
    <row r="6" spans="1:12" s="1" customFormat="1" ht="30" customHeight="1" x14ac:dyDescent="0.25">
      <c r="A6" s="31" t="s">
        <v>54</v>
      </c>
      <c r="B6" s="32"/>
      <c r="C6" s="33" t="s">
        <v>9</v>
      </c>
      <c r="D6" s="34"/>
      <c r="E6" s="4"/>
      <c r="F6" s="31" t="str">
        <f>A6</f>
        <v>PP6331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26348</v>
      </c>
      <c r="C7" s="25"/>
      <c r="D7" s="26"/>
      <c r="E7" s="4"/>
      <c r="F7" s="12" t="s">
        <v>4</v>
      </c>
      <c r="G7" s="25">
        <f>B7</f>
        <v>26348</v>
      </c>
      <c r="H7" s="25"/>
      <c r="I7" s="26"/>
    </row>
    <row r="8" spans="1:12" ht="63.75" customHeight="1" x14ac:dyDescent="0.25">
      <c r="A8" s="27" t="s">
        <v>21</v>
      </c>
      <c r="B8" s="27"/>
      <c r="C8" s="27"/>
      <c r="D8" s="27"/>
      <c r="E8" s="2"/>
      <c r="F8" s="27" t="str">
        <f>A8</f>
        <v>Round DER - Platform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14</v>
      </c>
      <c r="E10" s="4"/>
      <c r="F10" s="11" t="s">
        <v>2</v>
      </c>
      <c r="G10" s="10"/>
      <c r="H10" s="11" t="s">
        <v>5</v>
      </c>
      <c r="I10" s="7" t="str">
        <f>D10</f>
        <v>01A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13</v>
      </c>
      <c r="E11" s="4"/>
      <c r="F11" s="8" t="s">
        <v>3</v>
      </c>
      <c r="G11" s="9">
        <v>17</v>
      </c>
      <c r="H11" s="11" t="s">
        <v>6</v>
      </c>
      <c r="I11" s="7" t="str">
        <f>D11</f>
        <v>DER-P02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28</v>
      </c>
      <c r="B12" s="29"/>
      <c r="C12" s="29"/>
      <c r="D12" s="30"/>
      <c r="E12" s="5"/>
      <c r="F12" s="28" t="s">
        <v>28</v>
      </c>
      <c r="G12" s="29"/>
      <c r="H12" s="29"/>
      <c r="I12" s="30"/>
      <c r="K12" s="1">
        <v>340</v>
      </c>
      <c r="L12" s="1">
        <v>80</v>
      </c>
    </row>
    <row r="13" spans="1:12" s="1" customFormat="1" ht="30" customHeight="1" x14ac:dyDescent="0.25">
      <c r="A13" s="31" t="s">
        <v>54</v>
      </c>
      <c r="B13" s="32"/>
      <c r="C13" s="33" t="s">
        <v>9</v>
      </c>
      <c r="D13" s="34"/>
      <c r="E13" s="4"/>
      <c r="F13" s="31" t="str">
        <f>A13</f>
        <v>PP6331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26348</v>
      </c>
      <c r="C14" s="25"/>
      <c r="D14" s="26"/>
      <c r="E14" s="4"/>
      <c r="F14" s="12" t="s">
        <v>4</v>
      </c>
      <c r="G14" s="25">
        <f>B14</f>
        <v>26348</v>
      </c>
      <c r="H14" s="25"/>
      <c r="I14" s="26"/>
    </row>
    <row r="15" spans="1:12" ht="63.75" customHeight="1" x14ac:dyDescent="0.25">
      <c r="A15" s="27" t="s">
        <v>21</v>
      </c>
      <c r="B15" s="27"/>
      <c r="C15" s="27"/>
      <c r="D15" s="27"/>
      <c r="E15" s="2"/>
      <c r="F15" s="27" t="str">
        <f>A15</f>
        <v>Round DER - Platform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14</v>
      </c>
      <c r="E17" s="4"/>
      <c r="F17" s="11" t="s">
        <v>2</v>
      </c>
      <c r="G17" s="10"/>
      <c r="H17" s="11" t="s">
        <v>5</v>
      </c>
      <c r="I17" s="7" t="str">
        <f>D17</f>
        <v>01A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13</v>
      </c>
      <c r="E18" s="4"/>
      <c r="F18" s="8" t="s">
        <v>3</v>
      </c>
      <c r="G18" s="9">
        <v>18</v>
      </c>
      <c r="H18" s="11" t="s">
        <v>6</v>
      </c>
      <c r="I18" s="7" t="str">
        <f>D18</f>
        <v>DER-P02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28</v>
      </c>
      <c r="B19" s="29"/>
      <c r="C19" s="29"/>
      <c r="D19" s="30"/>
      <c r="E19" s="5"/>
      <c r="F19" s="28" t="s">
        <v>28</v>
      </c>
      <c r="G19" s="29"/>
      <c r="H19" s="29"/>
      <c r="I19" s="30"/>
      <c r="K19" s="1">
        <v>340</v>
      </c>
      <c r="L19" s="1">
        <v>80</v>
      </c>
    </row>
    <row r="20" spans="1:12" s="1" customFormat="1" ht="30" customHeight="1" x14ac:dyDescent="0.25">
      <c r="A20" s="31" t="s">
        <v>54</v>
      </c>
      <c r="B20" s="32"/>
      <c r="C20" s="33" t="s">
        <v>9</v>
      </c>
      <c r="D20" s="34"/>
      <c r="E20" s="4"/>
      <c r="F20" s="31" t="str">
        <f>A20</f>
        <v>PP6331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26348</v>
      </c>
      <c r="C21" s="25"/>
      <c r="D21" s="26"/>
      <c r="E21" s="4"/>
      <c r="F21" s="12" t="s">
        <v>4</v>
      </c>
      <c r="G21" s="25">
        <f>B21</f>
        <v>26348</v>
      </c>
      <c r="H21" s="25"/>
      <c r="I21" s="26"/>
    </row>
    <row r="22" spans="1:12" ht="63.75" customHeight="1" x14ac:dyDescent="0.25">
      <c r="A22" s="27" t="s">
        <v>21</v>
      </c>
      <c r="B22" s="27"/>
      <c r="C22" s="27"/>
      <c r="D22" s="27"/>
      <c r="E22" s="2"/>
      <c r="F22" s="27" t="str">
        <f>A22</f>
        <v>Round DER - Platform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14</v>
      </c>
      <c r="E24" s="4"/>
      <c r="F24" s="11" t="s">
        <v>2</v>
      </c>
      <c r="G24" s="10"/>
      <c r="H24" s="11" t="s">
        <v>5</v>
      </c>
      <c r="I24" s="7" t="str">
        <f>D24</f>
        <v>01A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13</v>
      </c>
      <c r="E25" s="4"/>
      <c r="F25" s="8" t="s">
        <v>3</v>
      </c>
      <c r="G25" s="9">
        <v>19</v>
      </c>
      <c r="H25" s="11" t="s">
        <v>6</v>
      </c>
      <c r="I25" s="7" t="str">
        <f>D25</f>
        <v>DER-P02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28</v>
      </c>
      <c r="B26" s="29"/>
      <c r="C26" s="29"/>
      <c r="D26" s="30"/>
      <c r="E26" s="5"/>
      <c r="F26" s="28" t="s">
        <v>28</v>
      </c>
      <c r="G26" s="29"/>
      <c r="H26" s="29"/>
      <c r="I26" s="30"/>
      <c r="K26" s="1">
        <v>340</v>
      </c>
      <c r="L26" s="1">
        <v>80</v>
      </c>
    </row>
    <row r="27" spans="1:12" s="1" customFormat="1" ht="30" customHeight="1" x14ac:dyDescent="0.25">
      <c r="A27" s="31" t="s">
        <v>54</v>
      </c>
      <c r="B27" s="32"/>
      <c r="C27" s="33" t="s">
        <v>9</v>
      </c>
      <c r="D27" s="34"/>
      <c r="E27" s="4"/>
      <c r="F27" s="31" t="str">
        <f>A27</f>
        <v>PP6331</v>
      </c>
      <c r="G27" s="32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26348</v>
      </c>
      <c r="C28" s="25"/>
      <c r="D28" s="26"/>
      <c r="E28" s="4"/>
      <c r="F28" s="12" t="s">
        <v>4</v>
      </c>
      <c r="G28" s="25">
        <f>B28</f>
        <v>26348</v>
      </c>
      <c r="H28" s="25"/>
      <c r="I28" s="26"/>
    </row>
    <row r="29" spans="1:12" ht="63.75" customHeight="1" x14ac:dyDescent="0.25">
      <c r="A29" s="27" t="s">
        <v>21</v>
      </c>
      <c r="B29" s="27"/>
      <c r="C29" s="27"/>
      <c r="D29" s="27"/>
      <c r="E29" s="2"/>
      <c r="F29" s="27" t="str">
        <f>A29</f>
        <v>Round DER - Platform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14</v>
      </c>
      <c r="E31" s="4"/>
      <c r="F31" s="11" t="s">
        <v>2</v>
      </c>
      <c r="G31" s="10"/>
      <c r="H31" s="11" t="s">
        <v>5</v>
      </c>
      <c r="I31" s="7" t="str">
        <f>D31</f>
        <v>01A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13</v>
      </c>
      <c r="E32" s="4"/>
      <c r="F32" s="8" t="s">
        <v>3</v>
      </c>
      <c r="G32" s="9">
        <v>20</v>
      </c>
      <c r="H32" s="11" t="s">
        <v>6</v>
      </c>
      <c r="I32" s="7" t="str">
        <f>D32</f>
        <v>DER-P02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28</v>
      </c>
      <c r="B33" s="29"/>
      <c r="C33" s="29"/>
      <c r="D33" s="30"/>
      <c r="E33" s="5"/>
      <c r="F33" s="28" t="s">
        <v>28</v>
      </c>
      <c r="G33" s="29"/>
      <c r="H33" s="29"/>
      <c r="I33" s="30"/>
      <c r="K33" s="1">
        <v>340</v>
      </c>
      <c r="L33" s="1">
        <v>80</v>
      </c>
    </row>
    <row r="34" spans="1:12" s="1" customFormat="1" ht="30" customHeight="1" x14ac:dyDescent="0.25">
      <c r="A34" s="31" t="s">
        <v>54</v>
      </c>
      <c r="B34" s="32"/>
      <c r="C34" s="33" t="s">
        <v>9</v>
      </c>
      <c r="D34" s="34"/>
      <c r="E34" s="4"/>
      <c r="F34" s="31" t="str">
        <f>A34</f>
        <v>PP6331</v>
      </c>
      <c r="G34" s="32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>
        <v>26348</v>
      </c>
      <c r="C35" s="25"/>
      <c r="D35" s="26"/>
      <c r="E35" s="4"/>
      <c r="F35" s="12" t="s">
        <v>4</v>
      </c>
      <c r="G35" s="25">
        <f>B35</f>
        <v>26348</v>
      </c>
      <c r="H35" s="25"/>
      <c r="I35" s="26"/>
    </row>
    <row r="36" spans="1:12" ht="63.75" customHeight="1" x14ac:dyDescent="0.25">
      <c r="A36" s="27" t="s">
        <v>21</v>
      </c>
      <c r="B36" s="27"/>
      <c r="C36" s="27"/>
      <c r="D36" s="27"/>
      <c r="E36" s="2"/>
      <c r="F36" s="27" t="str">
        <f>A36</f>
        <v>Round DER - Platform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14</v>
      </c>
      <c r="E38" s="4"/>
      <c r="F38" s="11" t="s">
        <v>2</v>
      </c>
      <c r="G38" s="10"/>
      <c r="H38" s="11" t="s">
        <v>5</v>
      </c>
      <c r="I38" s="7" t="str">
        <f>D38</f>
        <v>01A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13</v>
      </c>
      <c r="E39" s="4"/>
      <c r="F39" s="8" t="s">
        <v>3</v>
      </c>
      <c r="G39" s="9">
        <v>21</v>
      </c>
      <c r="H39" s="11" t="s">
        <v>6</v>
      </c>
      <c r="I39" s="7" t="str">
        <f>D39</f>
        <v>DER-P02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28</v>
      </c>
      <c r="B40" s="29"/>
      <c r="C40" s="29"/>
      <c r="D40" s="30"/>
      <c r="E40" s="5"/>
      <c r="F40" s="28" t="s">
        <v>28</v>
      </c>
      <c r="G40" s="29"/>
      <c r="H40" s="29"/>
      <c r="I40" s="30"/>
      <c r="K40" s="1">
        <v>340</v>
      </c>
      <c r="L40" s="1">
        <v>80</v>
      </c>
    </row>
    <row r="41" spans="1:12" s="1" customFormat="1" ht="30" customHeight="1" x14ac:dyDescent="0.25">
      <c r="A41" s="31" t="s">
        <v>54</v>
      </c>
      <c r="B41" s="32"/>
      <c r="C41" s="33" t="s">
        <v>9</v>
      </c>
      <c r="D41" s="34"/>
      <c r="E41" s="4"/>
      <c r="F41" s="31" t="str">
        <f>A41</f>
        <v>PP6331</v>
      </c>
      <c r="G41" s="32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>
        <v>26348</v>
      </c>
      <c r="C42" s="25"/>
      <c r="D42" s="26"/>
      <c r="E42" s="4"/>
      <c r="F42" s="12" t="s">
        <v>4</v>
      </c>
      <c r="G42" s="25">
        <f>B42</f>
        <v>26348</v>
      </c>
      <c r="H42" s="25"/>
      <c r="I42" s="26"/>
    </row>
    <row r="43" spans="1:12" ht="63.75" customHeight="1" x14ac:dyDescent="0.25">
      <c r="A43" s="27" t="s">
        <v>21</v>
      </c>
      <c r="B43" s="27"/>
      <c r="C43" s="27"/>
      <c r="D43" s="27"/>
      <c r="E43" s="2"/>
      <c r="F43" s="27" t="str">
        <f>A43</f>
        <v>Round DER - Platform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14</v>
      </c>
      <c r="E45" s="4"/>
      <c r="F45" s="11" t="s">
        <v>2</v>
      </c>
      <c r="G45" s="10"/>
      <c r="H45" s="11" t="s">
        <v>5</v>
      </c>
      <c r="I45" s="7" t="str">
        <f>D45</f>
        <v>01A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13</v>
      </c>
      <c r="E46" s="4"/>
      <c r="F46" s="8" t="s">
        <v>3</v>
      </c>
      <c r="G46" s="9">
        <v>22</v>
      </c>
      <c r="H46" s="11" t="s">
        <v>6</v>
      </c>
      <c r="I46" s="7" t="str">
        <f>D46</f>
        <v>DER-P02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28</v>
      </c>
      <c r="B47" s="29"/>
      <c r="C47" s="29"/>
      <c r="D47" s="30"/>
      <c r="E47" s="5"/>
      <c r="F47" s="28" t="s">
        <v>28</v>
      </c>
      <c r="G47" s="29"/>
      <c r="H47" s="29"/>
      <c r="I47" s="30"/>
      <c r="K47" s="1">
        <v>340</v>
      </c>
      <c r="L47" s="1">
        <v>80</v>
      </c>
    </row>
    <row r="48" spans="1:12" s="1" customFormat="1" ht="30" customHeight="1" x14ac:dyDescent="0.25">
      <c r="A48" s="31" t="s">
        <v>54</v>
      </c>
      <c r="B48" s="32"/>
      <c r="C48" s="33" t="s">
        <v>9</v>
      </c>
      <c r="D48" s="34"/>
      <c r="E48" s="4"/>
      <c r="F48" s="31" t="str">
        <f>A48</f>
        <v>PP6331</v>
      </c>
      <c r="G48" s="32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>
        <v>26348</v>
      </c>
      <c r="C49" s="25"/>
      <c r="D49" s="26"/>
      <c r="E49" s="4"/>
      <c r="F49" s="12" t="s">
        <v>4</v>
      </c>
      <c r="G49" s="25">
        <f>B49</f>
        <v>26348</v>
      </c>
      <c r="H49" s="25"/>
      <c r="I49" s="26"/>
    </row>
    <row r="50" spans="1:12" ht="63.75" customHeight="1" x14ac:dyDescent="0.25">
      <c r="A50" s="27" t="s">
        <v>21</v>
      </c>
      <c r="B50" s="27"/>
      <c r="C50" s="27"/>
      <c r="D50" s="27"/>
      <c r="E50" s="2"/>
      <c r="F50" s="27" t="str">
        <f>A50</f>
        <v>Round DER - Platform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14</v>
      </c>
      <c r="E52" s="4"/>
      <c r="F52" s="11" t="s">
        <v>2</v>
      </c>
      <c r="G52" s="10"/>
      <c r="H52" s="11" t="s">
        <v>5</v>
      </c>
      <c r="I52" s="7" t="str">
        <f>D52</f>
        <v>01A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13</v>
      </c>
      <c r="E53" s="4"/>
      <c r="F53" s="8" t="s">
        <v>3</v>
      </c>
      <c r="G53" s="9">
        <v>23</v>
      </c>
      <c r="H53" s="11" t="s">
        <v>6</v>
      </c>
      <c r="I53" s="7" t="str">
        <f>D53</f>
        <v>DER-P02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28</v>
      </c>
      <c r="B54" s="29"/>
      <c r="C54" s="29"/>
      <c r="D54" s="30"/>
      <c r="E54" s="5"/>
      <c r="F54" s="28" t="s">
        <v>28</v>
      </c>
      <c r="G54" s="29"/>
      <c r="H54" s="29"/>
      <c r="I54" s="30"/>
      <c r="K54" s="1">
        <v>340</v>
      </c>
      <c r="L54" s="1">
        <v>80</v>
      </c>
    </row>
    <row r="55" spans="1:12" s="1" customFormat="1" ht="30" customHeight="1" x14ac:dyDescent="0.25">
      <c r="A55" s="31" t="s">
        <v>54</v>
      </c>
      <c r="B55" s="32"/>
      <c r="C55" s="33" t="s">
        <v>9</v>
      </c>
      <c r="D55" s="34"/>
      <c r="E55" s="4"/>
      <c r="F55" s="31" t="str">
        <f>A55</f>
        <v>PP6331</v>
      </c>
      <c r="G55" s="32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>
        <v>26348</v>
      </c>
      <c r="C56" s="25"/>
      <c r="D56" s="26"/>
      <c r="E56" s="4"/>
      <c r="F56" s="12" t="s">
        <v>4</v>
      </c>
      <c r="G56" s="25">
        <f>B56</f>
        <v>26348</v>
      </c>
      <c r="H56" s="25"/>
      <c r="I56" s="26"/>
    </row>
    <row r="57" spans="1:12" ht="63.75" customHeight="1" x14ac:dyDescent="0.25">
      <c r="A57" s="27" t="s">
        <v>21</v>
      </c>
      <c r="B57" s="27"/>
      <c r="C57" s="27"/>
      <c r="D57" s="27"/>
      <c r="E57" s="2"/>
      <c r="F57" s="27" t="str">
        <f>A57</f>
        <v>Round DER - Platform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14</v>
      </c>
      <c r="E59" s="4"/>
      <c r="F59" s="11" t="s">
        <v>2</v>
      </c>
      <c r="G59" s="10"/>
      <c r="H59" s="11" t="s">
        <v>5</v>
      </c>
      <c r="I59" s="7" t="str">
        <f>D59</f>
        <v>01A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13</v>
      </c>
      <c r="E60" s="4"/>
      <c r="F60" s="8" t="s">
        <v>3</v>
      </c>
      <c r="G60" s="9">
        <v>24</v>
      </c>
      <c r="H60" s="11" t="s">
        <v>6</v>
      </c>
      <c r="I60" s="7" t="str">
        <f>D60</f>
        <v>DER-P02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28</v>
      </c>
      <c r="B61" s="29"/>
      <c r="C61" s="29"/>
      <c r="D61" s="30"/>
      <c r="E61" s="5"/>
      <c r="F61" s="28" t="s">
        <v>28</v>
      </c>
      <c r="G61" s="29"/>
      <c r="H61" s="29"/>
      <c r="I61" s="30"/>
      <c r="K61" s="1">
        <v>340</v>
      </c>
      <c r="L61" s="1">
        <v>80</v>
      </c>
    </row>
    <row r="62" spans="1:12" s="1" customFormat="1" ht="30" customHeight="1" x14ac:dyDescent="0.25">
      <c r="A62" s="31" t="s">
        <v>54</v>
      </c>
      <c r="B62" s="32"/>
      <c r="C62" s="33" t="s">
        <v>9</v>
      </c>
      <c r="D62" s="34"/>
      <c r="E62" s="4"/>
      <c r="F62" s="31" t="str">
        <f>A62</f>
        <v>PP6331</v>
      </c>
      <c r="G62" s="32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>
        <v>26348</v>
      </c>
      <c r="C63" s="25"/>
      <c r="D63" s="26"/>
      <c r="E63" s="4"/>
      <c r="F63" s="12" t="s">
        <v>4</v>
      </c>
      <c r="G63" s="25">
        <f>B63</f>
        <v>26348</v>
      </c>
      <c r="H63" s="25"/>
      <c r="I63" s="26"/>
    </row>
    <row r="64" spans="1:12" ht="63.75" customHeight="1" x14ac:dyDescent="0.25">
      <c r="A64" s="27" t="s">
        <v>21</v>
      </c>
      <c r="B64" s="27"/>
      <c r="C64" s="27"/>
      <c r="D64" s="27"/>
      <c r="E64" s="2"/>
      <c r="F64" s="27" t="str">
        <f>A64</f>
        <v>Round DER - Platform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14</v>
      </c>
      <c r="E66" s="4"/>
      <c r="F66" s="11" t="s">
        <v>2</v>
      </c>
      <c r="G66" s="10"/>
      <c r="H66" s="11" t="s">
        <v>5</v>
      </c>
      <c r="I66" s="7" t="str">
        <f>D66</f>
        <v>01A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13</v>
      </c>
      <c r="E67" s="4"/>
      <c r="F67" s="8" t="s">
        <v>3</v>
      </c>
      <c r="G67" s="9">
        <v>25</v>
      </c>
      <c r="H67" s="11" t="s">
        <v>6</v>
      </c>
      <c r="I67" s="7" t="str">
        <f>D67</f>
        <v>DER-P02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28</v>
      </c>
      <c r="B68" s="29"/>
      <c r="C68" s="29"/>
      <c r="D68" s="30"/>
      <c r="E68" s="5"/>
      <c r="F68" s="28" t="s">
        <v>28</v>
      </c>
      <c r="G68" s="29"/>
      <c r="H68" s="29"/>
      <c r="I68" s="30"/>
      <c r="K68" s="1">
        <v>340</v>
      </c>
      <c r="L68" s="1">
        <v>80</v>
      </c>
    </row>
    <row r="69" spans="1:12" s="1" customFormat="1" ht="30" customHeight="1" x14ac:dyDescent="0.25">
      <c r="A69" s="31" t="s">
        <v>54</v>
      </c>
      <c r="B69" s="32"/>
      <c r="C69" s="33" t="s">
        <v>9</v>
      </c>
      <c r="D69" s="34"/>
      <c r="E69" s="4"/>
      <c r="F69" s="31" t="str">
        <f>A69</f>
        <v>PP6331</v>
      </c>
      <c r="G69" s="32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5">
        <v>26348</v>
      </c>
      <c r="C70" s="25"/>
      <c r="D70" s="26"/>
      <c r="E70" s="4"/>
      <c r="F70" s="12" t="s">
        <v>4</v>
      </c>
      <c r="G70" s="25">
        <f>B70</f>
        <v>26348</v>
      </c>
      <c r="H70" s="25"/>
      <c r="I70" s="26"/>
    </row>
    <row r="71" spans="1:12" ht="63.75" customHeight="1" x14ac:dyDescent="0.25">
      <c r="A71" s="27" t="s">
        <v>21</v>
      </c>
      <c r="B71" s="27"/>
      <c r="C71" s="27"/>
      <c r="D71" s="27"/>
      <c r="E71" s="2"/>
      <c r="F71" s="27" t="str">
        <f>A71</f>
        <v>Round DER - Platform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14</v>
      </c>
      <c r="E73" s="4"/>
      <c r="F73" s="11" t="s">
        <v>2</v>
      </c>
      <c r="G73" s="10"/>
      <c r="H73" s="11" t="s">
        <v>5</v>
      </c>
      <c r="I73" s="7" t="str">
        <f>D73</f>
        <v>01A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13</v>
      </c>
      <c r="E74" s="4"/>
      <c r="F74" s="8" t="s">
        <v>3</v>
      </c>
      <c r="G74" s="9">
        <v>26</v>
      </c>
      <c r="H74" s="11" t="s">
        <v>6</v>
      </c>
      <c r="I74" s="7" t="str">
        <f>D74</f>
        <v>DER-P02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28</v>
      </c>
      <c r="B75" s="29"/>
      <c r="C75" s="29"/>
      <c r="D75" s="30"/>
      <c r="E75" s="5"/>
      <c r="F75" s="28" t="s">
        <v>28</v>
      </c>
      <c r="G75" s="29"/>
      <c r="H75" s="29"/>
      <c r="I75" s="30"/>
      <c r="K75" s="1">
        <v>340</v>
      </c>
      <c r="L75" s="1">
        <v>80</v>
      </c>
    </row>
    <row r="76" spans="1:12" s="1" customFormat="1" ht="30" customHeight="1" x14ac:dyDescent="0.25">
      <c r="A76" s="31" t="s">
        <v>54</v>
      </c>
      <c r="B76" s="32"/>
      <c r="C76" s="33" t="s">
        <v>9</v>
      </c>
      <c r="D76" s="34"/>
      <c r="E76" s="4"/>
      <c r="F76" s="31" t="str">
        <f>A76</f>
        <v>PP6331</v>
      </c>
      <c r="G76" s="32"/>
      <c r="H76" s="33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5">
        <v>26348</v>
      </c>
      <c r="C77" s="25"/>
      <c r="D77" s="26"/>
      <c r="E77" s="4"/>
      <c r="F77" s="12" t="s">
        <v>4</v>
      </c>
      <c r="G77" s="25">
        <f>B77</f>
        <v>26348</v>
      </c>
      <c r="H77" s="25"/>
      <c r="I77" s="26"/>
    </row>
    <row r="78" spans="1:12" ht="63.75" customHeight="1" x14ac:dyDescent="0.25">
      <c r="A78" s="27" t="s">
        <v>21</v>
      </c>
      <c r="B78" s="27"/>
      <c r="C78" s="27"/>
      <c r="D78" s="27"/>
      <c r="E78" s="2"/>
      <c r="F78" s="27" t="str">
        <f>A78</f>
        <v>Round DER - Platform</v>
      </c>
      <c r="G78" s="27"/>
      <c r="H78" s="27"/>
      <c r="I78" s="2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14</v>
      </c>
      <c r="E80" s="4"/>
      <c r="F80" s="11" t="s">
        <v>2</v>
      </c>
      <c r="G80" s="10"/>
      <c r="H80" s="11" t="s">
        <v>5</v>
      </c>
      <c r="I80" s="7" t="str">
        <f>D80</f>
        <v>01A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13</v>
      </c>
      <c r="E81" s="4"/>
      <c r="F81" s="8" t="s">
        <v>3</v>
      </c>
      <c r="G81" s="9">
        <v>27</v>
      </c>
      <c r="H81" s="11" t="s">
        <v>6</v>
      </c>
      <c r="I81" s="7" t="str">
        <f>D81</f>
        <v>DER-P02</v>
      </c>
      <c r="K81" s="6" t="s">
        <v>8</v>
      </c>
      <c r="L81" s="6" t="s">
        <v>7</v>
      </c>
    </row>
    <row r="82" spans="1:12" s="1" customFormat="1" ht="30" customHeight="1" x14ac:dyDescent="0.25">
      <c r="A82" s="28" t="s">
        <v>28</v>
      </c>
      <c r="B82" s="29"/>
      <c r="C82" s="29"/>
      <c r="D82" s="30"/>
      <c r="E82" s="5"/>
      <c r="F82" s="28" t="s">
        <v>28</v>
      </c>
      <c r="G82" s="29"/>
      <c r="H82" s="29"/>
      <c r="I82" s="30"/>
      <c r="K82" s="1">
        <v>340</v>
      </c>
      <c r="L82" s="1">
        <v>80</v>
      </c>
    </row>
    <row r="83" spans="1:12" s="1" customFormat="1" ht="30" customHeight="1" x14ac:dyDescent="0.25">
      <c r="A83" s="31" t="s">
        <v>54</v>
      </c>
      <c r="B83" s="32"/>
      <c r="C83" s="33" t="s">
        <v>9</v>
      </c>
      <c r="D83" s="34"/>
      <c r="E83" s="4"/>
      <c r="F83" s="31" t="str">
        <f>A83</f>
        <v>PP6331</v>
      </c>
      <c r="G83" s="32"/>
      <c r="H83" s="33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5">
        <v>26348</v>
      </c>
      <c r="C84" s="25"/>
      <c r="D84" s="26"/>
      <c r="E84" s="4"/>
      <c r="F84" s="12" t="s">
        <v>4</v>
      </c>
      <c r="G84" s="25">
        <f>B84</f>
        <v>26348</v>
      </c>
      <c r="H84" s="25"/>
      <c r="I84" s="26"/>
    </row>
    <row r="85" spans="1:12" ht="63.75" customHeight="1" x14ac:dyDescent="0.25">
      <c r="A85" s="27" t="s">
        <v>21</v>
      </c>
      <c r="B85" s="27"/>
      <c r="C85" s="27"/>
      <c r="D85" s="27"/>
      <c r="E85" s="2"/>
      <c r="F85" s="27" t="str">
        <f>A85</f>
        <v>Round DER - Platform</v>
      </c>
      <c r="G85" s="27"/>
      <c r="H85" s="27"/>
      <c r="I85" s="27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14</v>
      </c>
      <c r="E87" s="4"/>
      <c r="F87" s="11" t="s">
        <v>2</v>
      </c>
      <c r="G87" s="10"/>
      <c r="H87" s="11" t="s">
        <v>5</v>
      </c>
      <c r="I87" s="7" t="str">
        <f>D87</f>
        <v>01A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13</v>
      </c>
      <c r="E88" s="4"/>
      <c r="F88" s="8" t="s">
        <v>3</v>
      </c>
      <c r="G88" s="9">
        <v>28</v>
      </c>
      <c r="H88" s="11" t="s">
        <v>6</v>
      </c>
      <c r="I88" s="7" t="str">
        <f>D88</f>
        <v>DER-P02</v>
      </c>
      <c r="K88" s="6" t="s">
        <v>8</v>
      </c>
      <c r="L88" s="6" t="s">
        <v>7</v>
      </c>
    </row>
    <row r="89" spans="1:12" s="1" customFormat="1" ht="30" customHeight="1" x14ac:dyDescent="0.25">
      <c r="A89" s="28" t="s">
        <v>28</v>
      </c>
      <c r="B89" s="29"/>
      <c r="C89" s="29"/>
      <c r="D89" s="30"/>
      <c r="E89" s="5"/>
      <c r="F89" s="28" t="s">
        <v>28</v>
      </c>
      <c r="G89" s="29"/>
      <c r="H89" s="29"/>
      <c r="I89" s="30"/>
      <c r="K89" s="1">
        <v>340</v>
      </c>
      <c r="L89" s="1">
        <v>80</v>
      </c>
    </row>
    <row r="90" spans="1:12" s="1" customFormat="1" ht="30" customHeight="1" x14ac:dyDescent="0.25">
      <c r="A90" s="31" t="s">
        <v>54</v>
      </c>
      <c r="B90" s="32"/>
      <c r="C90" s="33" t="s">
        <v>9</v>
      </c>
      <c r="D90" s="34"/>
      <c r="E90" s="4"/>
      <c r="F90" s="31" t="str">
        <f>A90</f>
        <v>PP6331</v>
      </c>
      <c r="G90" s="32"/>
      <c r="H90" s="33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5">
        <v>26348</v>
      </c>
      <c r="C91" s="25"/>
      <c r="D91" s="26"/>
      <c r="E91" s="4"/>
      <c r="F91" s="12" t="s">
        <v>4</v>
      </c>
      <c r="G91" s="25">
        <f>B91</f>
        <v>26348</v>
      </c>
      <c r="H91" s="25"/>
      <c r="I91" s="26"/>
    </row>
    <row r="92" spans="1:12" ht="63.75" customHeight="1" x14ac:dyDescent="0.25">
      <c r="A92" s="27" t="s">
        <v>21</v>
      </c>
      <c r="B92" s="27"/>
      <c r="C92" s="27"/>
      <c r="D92" s="27"/>
      <c r="E92" s="2"/>
      <c r="F92" s="27" t="str">
        <f>A92</f>
        <v>Round DER - Platform</v>
      </c>
      <c r="G92" s="27"/>
      <c r="H92" s="27"/>
      <c r="I92" s="27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14</v>
      </c>
      <c r="E94" s="4"/>
      <c r="F94" s="11" t="s">
        <v>2</v>
      </c>
      <c r="G94" s="10"/>
      <c r="H94" s="11" t="s">
        <v>5</v>
      </c>
      <c r="I94" s="7" t="str">
        <f>D94</f>
        <v>01A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13</v>
      </c>
      <c r="E95" s="4"/>
      <c r="F95" s="8" t="s">
        <v>3</v>
      </c>
      <c r="G95" s="9">
        <v>29</v>
      </c>
      <c r="H95" s="11" t="s">
        <v>6</v>
      </c>
      <c r="I95" s="7" t="str">
        <f>D95</f>
        <v>DER-P02</v>
      </c>
      <c r="K95" s="6" t="s">
        <v>8</v>
      </c>
      <c r="L95" s="6" t="s">
        <v>7</v>
      </c>
    </row>
    <row r="96" spans="1:12" s="1" customFormat="1" ht="30" customHeight="1" x14ac:dyDescent="0.25">
      <c r="A96" s="28" t="s">
        <v>28</v>
      </c>
      <c r="B96" s="29"/>
      <c r="C96" s="29"/>
      <c r="D96" s="30"/>
      <c r="E96" s="5"/>
      <c r="F96" s="28" t="s">
        <v>28</v>
      </c>
      <c r="G96" s="29"/>
      <c r="H96" s="29"/>
      <c r="I96" s="30"/>
      <c r="K96" s="1">
        <v>340</v>
      </c>
      <c r="L96" s="1">
        <v>80</v>
      </c>
    </row>
    <row r="97" spans="1:12" s="1" customFormat="1" ht="30" customHeight="1" x14ac:dyDescent="0.25">
      <c r="A97" s="31" t="s">
        <v>54</v>
      </c>
      <c r="B97" s="32"/>
      <c r="C97" s="33" t="s">
        <v>9</v>
      </c>
      <c r="D97" s="34"/>
      <c r="E97" s="4"/>
      <c r="F97" s="31" t="str">
        <f>A97</f>
        <v>PP6331</v>
      </c>
      <c r="G97" s="32"/>
      <c r="H97" s="33" t="str">
        <f>C97</f>
        <v>White</v>
      </c>
      <c r="I97" s="34"/>
    </row>
    <row r="98" spans="1:12" s="1" customFormat="1" ht="30" customHeight="1" x14ac:dyDescent="0.25">
      <c r="A98" s="12" t="s">
        <v>4</v>
      </c>
      <c r="B98" s="25">
        <v>26348</v>
      </c>
      <c r="C98" s="25"/>
      <c r="D98" s="26"/>
      <c r="E98" s="4"/>
      <c r="F98" s="12" t="s">
        <v>4</v>
      </c>
      <c r="G98" s="25">
        <f>B98</f>
        <v>26348</v>
      </c>
      <c r="H98" s="25"/>
      <c r="I98" s="26"/>
    </row>
    <row r="99" spans="1:12" ht="63.75" customHeight="1" x14ac:dyDescent="0.25">
      <c r="A99" s="27" t="s">
        <v>21</v>
      </c>
      <c r="B99" s="27"/>
      <c r="C99" s="27"/>
      <c r="D99" s="27"/>
      <c r="E99" s="2"/>
      <c r="F99" s="27" t="str">
        <f>A99</f>
        <v>Round DER - Platform</v>
      </c>
      <c r="G99" s="27"/>
      <c r="H99" s="27"/>
      <c r="I99" s="27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14</v>
      </c>
      <c r="E101" s="4"/>
      <c r="F101" s="11" t="s">
        <v>2</v>
      </c>
      <c r="G101" s="10"/>
      <c r="H101" s="11" t="s">
        <v>5</v>
      </c>
      <c r="I101" s="7" t="str">
        <f>D101</f>
        <v>01A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13</v>
      </c>
      <c r="E102" s="4"/>
      <c r="F102" s="8" t="s">
        <v>3</v>
      </c>
      <c r="G102" s="9">
        <v>30</v>
      </c>
      <c r="H102" s="11" t="s">
        <v>6</v>
      </c>
      <c r="I102" s="7" t="str">
        <f>D102</f>
        <v>DER-P02</v>
      </c>
      <c r="K102" s="6" t="s">
        <v>8</v>
      </c>
      <c r="L102" s="6" t="s">
        <v>7</v>
      </c>
    </row>
    <row r="103" spans="1:12" s="1" customFormat="1" ht="30" customHeight="1" x14ac:dyDescent="0.25">
      <c r="A103" s="28" t="s">
        <v>28</v>
      </c>
      <c r="B103" s="29"/>
      <c r="C103" s="29"/>
      <c r="D103" s="30"/>
      <c r="E103" s="5"/>
      <c r="F103" s="28" t="s">
        <v>28</v>
      </c>
      <c r="G103" s="29"/>
      <c r="H103" s="29"/>
      <c r="I103" s="30"/>
      <c r="K103" s="1">
        <v>340</v>
      </c>
      <c r="L103" s="1">
        <v>80</v>
      </c>
    </row>
    <row r="104" spans="1:12" s="1" customFormat="1" ht="30" customHeight="1" x14ac:dyDescent="0.25">
      <c r="A104" s="31" t="s">
        <v>54</v>
      </c>
      <c r="B104" s="32"/>
      <c r="C104" s="33" t="s">
        <v>9</v>
      </c>
      <c r="D104" s="34"/>
      <c r="E104" s="4"/>
      <c r="F104" s="31" t="str">
        <f>A104</f>
        <v>PP6331</v>
      </c>
      <c r="G104" s="32"/>
      <c r="H104" s="33" t="str">
        <f>C104</f>
        <v>White</v>
      </c>
      <c r="I104" s="34"/>
    </row>
    <row r="105" spans="1:12" s="1" customFormat="1" ht="30" customHeight="1" x14ac:dyDescent="0.25">
      <c r="A105" s="12" t="s">
        <v>4</v>
      </c>
      <c r="B105" s="25">
        <v>26348</v>
      </c>
      <c r="C105" s="25"/>
      <c r="D105" s="26"/>
      <c r="E105" s="4"/>
      <c r="F105" s="12" t="s">
        <v>4</v>
      </c>
      <c r="G105" s="25">
        <f>B105</f>
        <v>26348</v>
      </c>
      <c r="H105" s="25"/>
      <c r="I105" s="26"/>
    </row>
  </sheetData>
  <mergeCells count="150">
    <mergeCell ref="B105:D105"/>
    <mergeCell ref="G105:I105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L105"/>
  <sheetViews>
    <sheetView tabSelected="1" view="pageBreakPreview" topLeftCell="A88" zoomScaleNormal="100" zoomScaleSheetLayoutView="100" workbookViewId="0">
      <selection activeCell="D8" sqref="D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22</v>
      </c>
      <c r="B1" s="27"/>
      <c r="C1" s="27"/>
      <c r="D1" s="27"/>
      <c r="E1" s="2"/>
      <c r="F1" s="27" t="str">
        <f>A1</f>
        <v>Round DER - Cartridge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24"/>
      <c r="H2" s="11" t="s">
        <v>1</v>
      </c>
      <c r="I2" s="24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15</v>
      </c>
      <c r="E3" s="4"/>
      <c r="F3" s="11" t="s">
        <v>2</v>
      </c>
      <c r="G3" s="24"/>
      <c r="H3" s="11" t="s">
        <v>5</v>
      </c>
      <c r="I3" s="7" t="str">
        <f>D3</f>
        <v>13A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16</v>
      </c>
      <c r="E4" s="4"/>
      <c r="F4" s="8" t="s">
        <v>3</v>
      </c>
      <c r="G4" s="9">
        <v>16</v>
      </c>
      <c r="H4" s="11" t="s">
        <v>6</v>
      </c>
      <c r="I4" s="7" t="str">
        <f>D4</f>
        <v>DER-R01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29</v>
      </c>
      <c r="B5" s="29"/>
      <c r="C5" s="29"/>
      <c r="D5" s="30"/>
      <c r="E5" s="5"/>
      <c r="F5" s="28" t="s">
        <v>29</v>
      </c>
      <c r="G5" s="29"/>
      <c r="H5" s="29"/>
      <c r="I5" s="30"/>
      <c r="K5" s="1">
        <v>215</v>
      </c>
      <c r="L5" s="1">
        <v>20</v>
      </c>
    </row>
    <row r="6" spans="1:12" s="1" customFormat="1" ht="30" customHeight="1" x14ac:dyDescent="0.25">
      <c r="A6" s="31" t="s">
        <v>54</v>
      </c>
      <c r="B6" s="32"/>
      <c r="C6" s="37" t="s">
        <v>9</v>
      </c>
      <c r="D6" s="34"/>
      <c r="E6" s="4"/>
      <c r="F6" s="31" t="str">
        <f>A6</f>
        <v>PP6331</v>
      </c>
      <c r="G6" s="32"/>
      <c r="H6" s="37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26094</v>
      </c>
      <c r="C7" s="25"/>
      <c r="D7" s="26"/>
      <c r="E7" s="4"/>
      <c r="F7" s="12" t="s">
        <v>4</v>
      </c>
      <c r="G7" s="25">
        <f>B7</f>
        <v>26094</v>
      </c>
      <c r="H7" s="25"/>
      <c r="I7" s="26"/>
    </row>
    <row r="8" spans="1:12" ht="63.75" customHeight="1" x14ac:dyDescent="0.25">
      <c r="A8" s="27" t="s">
        <v>22</v>
      </c>
      <c r="B8" s="27"/>
      <c r="C8" s="27"/>
      <c r="D8" s="27"/>
      <c r="E8" s="2"/>
      <c r="F8" s="27" t="str">
        <f>A8</f>
        <v>Round DER - Cartridge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15</v>
      </c>
      <c r="E10" s="4"/>
      <c r="F10" s="11" t="s">
        <v>2</v>
      </c>
      <c r="G10" s="10"/>
      <c r="H10" s="11" t="s">
        <v>5</v>
      </c>
      <c r="I10" s="7" t="str">
        <f>D10</f>
        <v>13A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16</v>
      </c>
      <c r="E11" s="4"/>
      <c r="F11" s="8" t="s">
        <v>3</v>
      </c>
      <c r="G11" s="9">
        <v>17</v>
      </c>
      <c r="H11" s="11" t="s">
        <v>6</v>
      </c>
      <c r="I11" s="7" t="str">
        <f>D11</f>
        <v>DER-R01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29</v>
      </c>
      <c r="B12" s="29"/>
      <c r="C12" s="29"/>
      <c r="D12" s="30"/>
      <c r="E12" s="5"/>
      <c r="F12" s="28" t="s">
        <v>29</v>
      </c>
      <c r="G12" s="29"/>
      <c r="H12" s="29"/>
      <c r="I12" s="30"/>
      <c r="K12" s="1">
        <v>215</v>
      </c>
      <c r="L12" s="1">
        <v>20</v>
      </c>
    </row>
    <row r="13" spans="1:12" s="1" customFormat="1" ht="30" customHeight="1" x14ac:dyDescent="0.25">
      <c r="A13" s="31" t="s">
        <v>54</v>
      </c>
      <c r="B13" s="32"/>
      <c r="C13" s="37" t="s">
        <v>9</v>
      </c>
      <c r="D13" s="34"/>
      <c r="E13" s="4"/>
      <c r="F13" s="31" t="str">
        <f>A13</f>
        <v>PP6331</v>
      </c>
      <c r="G13" s="32"/>
      <c r="H13" s="37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26094</v>
      </c>
      <c r="C14" s="25"/>
      <c r="D14" s="26"/>
      <c r="E14" s="4"/>
      <c r="F14" s="12" t="s">
        <v>4</v>
      </c>
      <c r="G14" s="25">
        <f>B14</f>
        <v>26094</v>
      </c>
      <c r="H14" s="25"/>
      <c r="I14" s="26"/>
    </row>
    <row r="15" spans="1:12" ht="63.75" customHeight="1" x14ac:dyDescent="0.25">
      <c r="A15" s="27" t="s">
        <v>22</v>
      </c>
      <c r="B15" s="27"/>
      <c r="C15" s="27"/>
      <c r="D15" s="27"/>
      <c r="E15" s="2"/>
      <c r="F15" s="27" t="str">
        <f>A15</f>
        <v>Round DER - Cartridge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15</v>
      </c>
      <c r="E17" s="4"/>
      <c r="F17" s="11" t="s">
        <v>2</v>
      </c>
      <c r="G17" s="10"/>
      <c r="H17" s="11" t="s">
        <v>5</v>
      </c>
      <c r="I17" s="7" t="str">
        <f>D17</f>
        <v>13A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16</v>
      </c>
      <c r="E18" s="4"/>
      <c r="F18" s="8" t="s">
        <v>3</v>
      </c>
      <c r="G18" s="9">
        <v>18</v>
      </c>
      <c r="H18" s="11" t="s">
        <v>6</v>
      </c>
      <c r="I18" s="7" t="str">
        <f>D18</f>
        <v>DER-R01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29</v>
      </c>
      <c r="B19" s="29"/>
      <c r="C19" s="29"/>
      <c r="D19" s="30"/>
      <c r="E19" s="5"/>
      <c r="F19" s="28" t="s">
        <v>29</v>
      </c>
      <c r="G19" s="29"/>
      <c r="H19" s="29"/>
      <c r="I19" s="30"/>
      <c r="K19" s="1">
        <v>215</v>
      </c>
      <c r="L19" s="1">
        <v>20</v>
      </c>
    </row>
    <row r="20" spans="1:12" s="1" customFormat="1" ht="30" customHeight="1" x14ac:dyDescent="0.25">
      <c r="A20" s="31" t="s">
        <v>54</v>
      </c>
      <c r="B20" s="32"/>
      <c r="C20" s="37" t="s">
        <v>9</v>
      </c>
      <c r="D20" s="34"/>
      <c r="E20" s="4"/>
      <c r="F20" s="31" t="str">
        <f>A20</f>
        <v>PP6331</v>
      </c>
      <c r="G20" s="32"/>
      <c r="H20" s="37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26094</v>
      </c>
      <c r="C21" s="25"/>
      <c r="D21" s="26"/>
      <c r="E21" s="4"/>
      <c r="F21" s="12" t="s">
        <v>4</v>
      </c>
      <c r="G21" s="25">
        <f>B21</f>
        <v>26094</v>
      </c>
      <c r="H21" s="25"/>
      <c r="I21" s="26"/>
    </row>
    <row r="22" spans="1:12" ht="63.75" customHeight="1" x14ac:dyDescent="0.25">
      <c r="A22" s="27" t="s">
        <v>22</v>
      </c>
      <c r="B22" s="27"/>
      <c r="C22" s="27"/>
      <c r="D22" s="27"/>
      <c r="E22" s="2"/>
      <c r="F22" s="27" t="str">
        <f>A22</f>
        <v>Round DER - Cartridge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15</v>
      </c>
      <c r="E24" s="4"/>
      <c r="F24" s="11" t="s">
        <v>2</v>
      </c>
      <c r="G24" s="10"/>
      <c r="H24" s="11" t="s">
        <v>5</v>
      </c>
      <c r="I24" s="7" t="str">
        <f>D24</f>
        <v>13A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16</v>
      </c>
      <c r="E25" s="4"/>
      <c r="F25" s="8" t="s">
        <v>3</v>
      </c>
      <c r="G25" s="9">
        <v>19</v>
      </c>
      <c r="H25" s="11" t="s">
        <v>6</v>
      </c>
      <c r="I25" s="7" t="str">
        <f>D25</f>
        <v>DER-R01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29</v>
      </c>
      <c r="B26" s="29"/>
      <c r="C26" s="29"/>
      <c r="D26" s="30"/>
      <c r="E26" s="5"/>
      <c r="F26" s="28" t="s">
        <v>29</v>
      </c>
      <c r="G26" s="29"/>
      <c r="H26" s="29"/>
      <c r="I26" s="30"/>
      <c r="K26" s="1">
        <v>215</v>
      </c>
      <c r="L26" s="1">
        <v>20</v>
      </c>
    </row>
    <row r="27" spans="1:12" s="1" customFormat="1" ht="30" customHeight="1" x14ac:dyDescent="0.25">
      <c r="A27" s="31" t="s">
        <v>54</v>
      </c>
      <c r="B27" s="32"/>
      <c r="C27" s="37" t="s">
        <v>9</v>
      </c>
      <c r="D27" s="34"/>
      <c r="E27" s="4"/>
      <c r="F27" s="31" t="str">
        <f>A27</f>
        <v>PP6331</v>
      </c>
      <c r="G27" s="32"/>
      <c r="H27" s="37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26094</v>
      </c>
      <c r="C28" s="25"/>
      <c r="D28" s="26"/>
      <c r="E28" s="4"/>
      <c r="F28" s="12" t="s">
        <v>4</v>
      </c>
      <c r="G28" s="25">
        <f>B28</f>
        <v>26094</v>
      </c>
      <c r="H28" s="25"/>
      <c r="I28" s="26"/>
    </row>
    <row r="29" spans="1:12" ht="63.75" customHeight="1" x14ac:dyDescent="0.25">
      <c r="A29" s="27" t="s">
        <v>22</v>
      </c>
      <c r="B29" s="27"/>
      <c r="C29" s="27"/>
      <c r="D29" s="27"/>
      <c r="E29" s="2"/>
      <c r="F29" s="27" t="str">
        <f>A29</f>
        <v>Round DER - Cartridge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15</v>
      </c>
      <c r="E31" s="4"/>
      <c r="F31" s="11" t="s">
        <v>2</v>
      </c>
      <c r="G31" s="10"/>
      <c r="H31" s="11" t="s">
        <v>5</v>
      </c>
      <c r="I31" s="7" t="str">
        <f>D31</f>
        <v>13A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16</v>
      </c>
      <c r="E32" s="4"/>
      <c r="F32" s="8" t="s">
        <v>3</v>
      </c>
      <c r="G32" s="9">
        <v>20</v>
      </c>
      <c r="H32" s="11" t="s">
        <v>6</v>
      </c>
      <c r="I32" s="7" t="str">
        <f>D32</f>
        <v>DER-R01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29</v>
      </c>
      <c r="B33" s="29"/>
      <c r="C33" s="29"/>
      <c r="D33" s="30"/>
      <c r="E33" s="5"/>
      <c r="F33" s="28" t="s">
        <v>29</v>
      </c>
      <c r="G33" s="29"/>
      <c r="H33" s="29"/>
      <c r="I33" s="30"/>
      <c r="K33" s="1">
        <v>215</v>
      </c>
      <c r="L33" s="1">
        <v>20</v>
      </c>
    </row>
    <row r="34" spans="1:12" s="1" customFormat="1" ht="30" customHeight="1" x14ac:dyDescent="0.25">
      <c r="A34" s="31" t="s">
        <v>54</v>
      </c>
      <c r="B34" s="32"/>
      <c r="C34" s="37" t="s">
        <v>9</v>
      </c>
      <c r="D34" s="34"/>
      <c r="E34" s="4"/>
      <c r="F34" s="31" t="str">
        <f>A34</f>
        <v>PP6331</v>
      </c>
      <c r="G34" s="32"/>
      <c r="H34" s="37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>
        <v>26094</v>
      </c>
      <c r="C35" s="25"/>
      <c r="D35" s="26"/>
      <c r="E35" s="4"/>
      <c r="F35" s="12" t="s">
        <v>4</v>
      </c>
      <c r="G35" s="25">
        <f>B35</f>
        <v>26094</v>
      </c>
      <c r="H35" s="25"/>
      <c r="I35" s="26"/>
    </row>
    <row r="36" spans="1:12" ht="63.75" customHeight="1" x14ac:dyDescent="0.25">
      <c r="A36" s="27" t="s">
        <v>22</v>
      </c>
      <c r="B36" s="27"/>
      <c r="C36" s="27"/>
      <c r="D36" s="27"/>
      <c r="E36" s="2"/>
      <c r="F36" s="27" t="str">
        <f>A36</f>
        <v>Round DER - Cartridge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15</v>
      </c>
      <c r="E38" s="4"/>
      <c r="F38" s="11" t="s">
        <v>2</v>
      </c>
      <c r="G38" s="10"/>
      <c r="H38" s="11" t="s">
        <v>5</v>
      </c>
      <c r="I38" s="7" t="str">
        <f>D38</f>
        <v>13A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16</v>
      </c>
      <c r="E39" s="4"/>
      <c r="F39" s="8" t="s">
        <v>3</v>
      </c>
      <c r="G39" s="9">
        <v>21</v>
      </c>
      <c r="H39" s="11" t="s">
        <v>6</v>
      </c>
      <c r="I39" s="7" t="str">
        <f>D39</f>
        <v>DER-R01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29</v>
      </c>
      <c r="B40" s="29"/>
      <c r="C40" s="29"/>
      <c r="D40" s="30"/>
      <c r="E40" s="5"/>
      <c r="F40" s="28" t="s">
        <v>29</v>
      </c>
      <c r="G40" s="29"/>
      <c r="H40" s="29"/>
      <c r="I40" s="30"/>
      <c r="K40" s="1">
        <v>215</v>
      </c>
      <c r="L40" s="1">
        <v>20</v>
      </c>
    </row>
    <row r="41" spans="1:12" s="1" customFormat="1" ht="30" customHeight="1" x14ac:dyDescent="0.25">
      <c r="A41" s="31" t="s">
        <v>54</v>
      </c>
      <c r="B41" s="32"/>
      <c r="C41" s="37" t="s">
        <v>9</v>
      </c>
      <c r="D41" s="34"/>
      <c r="E41" s="4"/>
      <c r="F41" s="31" t="str">
        <f>A41</f>
        <v>PP6331</v>
      </c>
      <c r="G41" s="32"/>
      <c r="H41" s="37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>
        <v>26094</v>
      </c>
      <c r="C42" s="25"/>
      <c r="D42" s="26"/>
      <c r="E42" s="4"/>
      <c r="F42" s="12" t="s">
        <v>4</v>
      </c>
      <c r="G42" s="25">
        <f>B42</f>
        <v>26094</v>
      </c>
      <c r="H42" s="25"/>
      <c r="I42" s="26"/>
    </row>
    <row r="43" spans="1:12" ht="63.75" customHeight="1" x14ac:dyDescent="0.25">
      <c r="A43" s="27" t="s">
        <v>22</v>
      </c>
      <c r="B43" s="27"/>
      <c r="C43" s="27"/>
      <c r="D43" s="27"/>
      <c r="E43" s="2"/>
      <c r="F43" s="27" t="str">
        <f>A43</f>
        <v>Round DER - Cartridge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15</v>
      </c>
      <c r="E45" s="4"/>
      <c r="F45" s="11" t="s">
        <v>2</v>
      </c>
      <c r="G45" s="10"/>
      <c r="H45" s="11" t="s">
        <v>5</v>
      </c>
      <c r="I45" s="7" t="str">
        <f>D45</f>
        <v>13A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16</v>
      </c>
      <c r="E46" s="4"/>
      <c r="F46" s="8" t="s">
        <v>3</v>
      </c>
      <c r="G46" s="9">
        <v>22</v>
      </c>
      <c r="H46" s="11" t="s">
        <v>6</v>
      </c>
      <c r="I46" s="7" t="str">
        <f>D46</f>
        <v>DER-R01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29</v>
      </c>
      <c r="B47" s="29"/>
      <c r="C47" s="29"/>
      <c r="D47" s="30"/>
      <c r="E47" s="5"/>
      <c r="F47" s="28" t="s">
        <v>29</v>
      </c>
      <c r="G47" s="29"/>
      <c r="H47" s="29"/>
      <c r="I47" s="30"/>
      <c r="K47" s="1">
        <v>215</v>
      </c>
      <c r="L47" s="1">
        <v>20</v>
      </c>
    </row>
    <row r="48" spans="1:12" s="1" customFormat="1" ht="30" customHeight="1" x14ac:dyDescent="0.25">
      <c r="A48" s="31" t="s">
        <v>54</v>
      </c>
      <c r="B48" s="32"/>
      <c r="C48" s="37" t="s">
        <v>9</v>
      </c>
      <c r="D48" s="34"/>
      <c r="E48" s="4"/>
      <c r="F48" s="31" t="str">
        <f>A48</f>
        <v>PP6331</v>
      </c>
      <c r="G48" s="32"/>
      <c r="H48" s="37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>
        <v>26094</v>
      </c>
      <c r="C49" s="25"/>
      <c r="D49" s="26"/>
      <c r="E49" s="4"/>
      <c r="F49" s="12" t="s">
        <v>4</v>
      </c>
      <c r="G49" s="25">
        <f>B49</f>
        <v>26094</v>
      </c>
      <c r="H49" s="25"/>
      <c r="I49" s="26"/>
    </row>
    <row r="50" spans="1:12" ht="63.75" customHeight="1" x14ac:dyDescent="0.25">
      <c r="A50" s="27" t="s">
        <v>22</v>
      </c>
      <c r="B50" s="27"/>
      <c r="C50" s="27"/>
      <c r="D50" s="27"/>
      <c r="E50" s="2"/>
      <c r="F50" s="27" t="str">
        <f>A50</f>
        <v>Round DER - Cartridge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15</v>
      </c>
      <c r="E52" s="4"/>
      <c r="F52" s="11" t="s">
        <v>2</v>
      </c>
      <c r="G52" s="10"/>
      <c r="H52" s="11" t="s">
        <v>5</v>
      </c>
      <c r="I52" s="7" t="str">
        <f>D52</f>
        <v>13A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16</v>
      </c>
      <c r="E53" s="4"/>
      <c r="F53" s="8" t="s">
        <v>3</v>
      </c>
      <c r="G53" s="9">
        <v>23</v>
      </c>
      <c r="H53" s="11" t="s">
        <v>6</v>
      </c>
      <c r="I53" s="7" t="str">
        <f>D53</f>
        <v>DER-R01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29</v>
      </c>
      <c r="B54" s="29"/>
      <c r="C54" s="29"/>
      <c r="D54" s="30"/>
      <c r="E54" s="5"/>
      <c r="F54" s="28" t="s">
        <v>29</v>
      </c>
      <c r="G54" s="29"/>
      <c r="H54" s="29"/>
      <c r="I54" s="30"/>
      <c r="K54" s="1">
        <v>215</v>
      </c>
      <c r="L54" s="1">
        <v>20</v>
      </c>
    </row>
    <row r="55" spans="1:12" s="1" customFormat="1" ht="30" customHeight="1" x14ac:dyDescent="0.25">
      <c r="A55" s="31" t="s">
        <v>54</v>
      </c>
      <c r="B55" s="32"/>
      <c r="C55" s="37" t="s">
        <v>9</v>
      </c>
      <c r="D55" s="34"/>
      <c r="E55" s="4"/>
      <c r="F55" s="31" t="str">
        <f>A55</f>
        <v>PP6331</v>
      </c>
      <c r="G55" s="32"/>
      <c r="H55" s="37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>
        <v>26094</v>
      </c>
      <c r="C56" s="25"/>
      <c r="D56" s="26"/>
      <c r="E56" s="4"/>
      <c r="F56" s="12" t="s">
        <v>4</v>
      </c>
      <c r="G56" s="25">
        <f>B56</f>
        <v>26094</v>
      </c>
      <c r="H56" s="25"/>
      <c r="I56" s="26"/>
    </row>
    <row r="57" spans="1:12" ht="63.75" customHeight="1" x14ac:dyDescent="0.25">
      <c r="A57" s="27" t="s">
        <v>22</v>
      </c>
      <c r="B57" s="27"/>
      <c r="C57" s="27"/>
      <c r="D57" s="27"/>
      <c r="E57" s="2"/>
      <c r="F57" s="27" t="str">
        <f>A57</f>
        <v>Round DER - Cartridge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15</v>
      </c>
      <c r="E59" s="4"/>
      <c r="F59" s="11" t="s">
        <v>2</v>
      </c>
      <c r="G59" s="10"/>
      <c r="H59" s="11" t="s">
        <v>5</v>
      </c>
      <c r="I59" s="7" t="str">
        <f>D59</f>
        <v>13A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16</v>
      </c>
      <c r="E60" s="4"/>
      <c r="F60" s="8" t="s">
        <v>3</v>
      </c>
      <c r="G60" s="9">
        <v>24</v>
      </c>
      <c r="H60" s="11" t="s">
        <v>6</v>
      </c>
      <c r="I60" s="7" t="str">
        <f>D60</f>
        <v>DER-R01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29</v>
      </c>
      <c r="B61" s="29"/>
      <c r="C61" s="29"/>
      <c r="D61" s="30"/>
      <c r="E61" s="5"/>
      <c r="F61" s="28" t="s">
        <v>29</v>
      </c>
      <c r="G61" s="29"/>
      <c r="H61" s="29"/>
      <c r="I61" s="30"/>
      <c r="K61" s="1">
        <v>215</v>
      </c>
      <c r="L61" s="1">
        <v>20</v>
      </c>
    </row>
    <row r="62" spans="1:12" s="1" customFormat="1" ht="30" customHeight="1" x14ac:dyDescent="0.25">
      <c r="A62" s="31" t="s">
        <v>54</v>
      </c>
      <c r="B62" s="32"/>
      <c r="C62" s="37" t="s">
        <v>9</v>
      </c>
      <c r="D62" s="34"/>
      <c r="E62" s="4"/>
      <c r="F62" s="31" t="str">
        <f>A62</f>
        <v>PP6331</v>
      </c>
      <c r="G62" s="32"/>
      <c r="H62" s="37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>
        <v>26094</v>
      </c>
      <c r="C63" s="25"/>
      <c r="D63" s="26"/>
      <c r="E63" s="4"/>
      <c r="F63" s="12" t="s">
        <v>4</v>
      </c>
      <c r="G63" s="25">
        <f>B63</f>
        <v>26094</v>
      </c>
      <c r="H63" s="25"/>
      <c r="I63" s="26"/>
    </row>
    <row r="64" spans="1:12" ht="63.75" customHeight="1" x14ac:dyDescent="0.25">
      <c r="A64" s="27" t="s">
        <v>22</v>
      </c>
      <c r="B64" s="27"/>
      <c r="C64" s="27"/>
      <c r="D64" s="27"/>
      <c r="E64" s="2"/>
      <c r="F64" s="27" t="str">
        <f>A64</f>
        <v>Round DER - Cartridge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15</v>
      </c>
      <c r="E66" s="4"/>
      <c r="F66" s="11" t="s">
        <v>2</v>
      </c>
      <c r="G66" s="10"/>
      <c r="H66" s="11" t="s">
        <v>5</v>
      </c>
      <c r="I66" s="7" t="str">
        <f>D66</f>
        <v>13A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16</v>
      </c>
      <c r="E67" s="4"/>
      <c r="F67" s="8" t="s">
        <v>3</v>
      </c>
      <c r="G67" s="9">
        <v>25</v>
      </c>
      <c r="H67" s="11" t="s">
        <v>6</v>
      </c>
      <c r="I67" s="7" t="str">
        <f>D67</f>
        <v>DER-R01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29</v>
      </c>
      <c r="B68" s="29"/>
      <c r="C68" s="29"/>
      <c r="D68" s="30"/>
      <c r="E68" s="5"/>
      <c r="F68" s="28" t="s">
        <v>29</v>
      </c>
      <c r="G68" s="29"/>
      <c r="H68" s="29"/>
      <c r="I68" s="30"/>
      <c r="K68" s="1">
        <v>215</v>
      </c>
      <c r="L68" s="1">
        <v>20</v>
      </c>
    </row>
    <row r="69" spans="1:12" s="1" customFormat="1" ht="30" customHeight="1" x14ac:dyDescent="0.25">
      <c r="A69" s="31" t="s">
        <v>54</v>
      </c>
      <c r="B69" s="32"/>
      <c r="C69" s="37" t="s">
        <v>9</v>
      </c>
      <c r="D69" s="34"/>
      <c r="E69" s="4"/>
      <c r="F69" s="31" t="str">
        <f>A69</f>
        <v>PP6331</v>
      </c>
      <c r="G69" s="32"/>
      <c r="H69" s="37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5">
        <v>26094</v>
      </c>
      <c r="C70" s="25"/>
      <c r="D70" s="26"/>
      <c r="E70" s="4"/>
      <c r="F70" s="12" t="s">
        <v>4</v>
      </c>
      <c r="G70" s="25">
        <f>B70</f>
        <v>26094</v>
      </c>
      <c r="H70" s="25"/>
      <c r="I70" s="26"/>
    </row>
    <row r="71" spans="1:12" ht="63.75" customHeight="1" x14ac:dyDescent="0.25">
      <c r="A71" s="27" t="s">
        <v>22</v>
      </c>
      <c r="B71" s="27"/>
      <c r="C71" s="27"/>
      <c r="D71" s="27"/>
      <c r="E71" s="2"/>
      <c r="F71" s="27" t="str">
        <f>A71</f>
        <v>Round DER - Cartridge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15</v>
      </c>
      <c r="E73" s="4"/>
      <c r="F73" s="11" t="s">
        <v>2</v>
      </c>
      <c r="G73" s="10"/>
      <c r="H73" s="11" t="s">
        <v>5</v>
      </c>
      <c r="I73" s="7" t="str">
        <f>D73</f>
        <v>13A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16</v>
      </c>
      <c r="E74" s="4"/>
      <c r="F74" s="8" t="s">
        <v>3</v>
      </c>
      <c r="G74" s="9">
        <v>26</v>
      </c>
      <c r="H74" s="11" t="s">
        <v>6</v>
      </c>
      <c r="I74" s="7" t="str">
        <f>D74</f>
        <v>DER-R01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29</v>
      </c>
      <c r="B75" s="29"/>
      <c r="C75" s="29"/>
      <c r="D75" s="30"/>
      <c r="E75" s="5"/>
      <c r="F75" s="28" t="s">
        <v>29</v>
      </c>
      <c r="G75" s="29"/>
      <c r="H75" s="29"/>
      <c r="I75" s="30"/>
      <c r="K75" s="1">
        <v>215</v>
      </c>
      <c r="L75" s="1">
        <v>20</v>
      </c>
    </row>
    <row r="76" spans="1:12" s="1" customFormat="1" ht="30" customHeight="1" x14ac:dyDescent="0.25">
      <c r="A76" s="31" t="s">
        <v>54</v>
      </c>
      <c r="B76" s="32"/>
      <c r="C76" s="37" t="s">
        <v>9</v>
      </c>
      <c r="D76" s="34"/>
      <c r="E76" s="4"/>
      <c r="F76" s="31" t="str">
        <f>A76</f>
        <v>PP6331</v>
      </c>
      <c r="G76" s="32"/>
      <c r="H76" s="37" t="str">
        <f>C76</f>
        <v>White</v>
      </c>
      <c r="I76" s="34"/>
    </row>
    <row r="77" spans="1:12" s="1" customFormat="1" ht="30" customHeight="1" x14ac:dyDescent="0.25">
      <c r="A77" s="12" t="s">
        <v>4</v>
      </c>
      <c r="B77" s="25">
        <v>26094</v>
      </c>
      <c r="C77" s="25"/>
      <c r="D77" s="26"/>
      <c r="E77" s="4"/>
      <c r="F77" s="12" t="s">
        <v>4</v>
      </c>
      <c r="G77" s="25">
        <f>B77</f>
        <v>26094</v>
      </c>
      <c r="H77" s="25"/>
      <c r="I77" s="26"/>
    </row>
    <row r="78" spans="1:12" ht="63.75" customHeight="1" x14ac:dyDescent="0.25">
      <c r="A78" s="27" t="s">
        <v>22</v>
      </c>
      <c r="B78" s="27"/>
      <c r="C78" s="27"/>
      <c r="D78" s="27"/>
      <c r="E78" s="2"/>
      <c r="F78" s="27" t="str">
        <f>A78</f>
        <v>Round DER - Cartridge</v>
      </c>
      <c r="G78" s="27"/>
      <c r="H78" s="27"/>
      <c r="I78" s="27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15</v>
      </c>
      <c r="E80" s="4"/>
      <c r="F80" s="11" t="s">
        <v>2</v>
      </c>
      <c r="G80" s="10"/>
      <c r="H80" s="11" t="s">
        <v>5</v>
      </c>
      <c r="I80" s="7" t="str">
        <f>D80</f>
        <v>13A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16</v>
      </c>
      <c r="E81" s="4"/>
      <c r="F81" s="8" t="s">
        <v>3</v>
      </c>
      <c r="G81" s="9">
        <v>27</v>
      </c>
      <c r="H81" s="11" t="s">
        <v>6</v>
      </c>
      <c r="I81" s="7" t="str">
        <f>D81</f>
        <v>DER-R01</v>
      </c>
      <c r="K81" s="6" t="s">
        <v>8</v>
      </c>
      <c r="L81" s="6" t="s">
        <v>7</v>
      </c>
    </row>
    <row r="82" spans="1:12" s="1" customFormat="1" ht="30" customHeight="1" x14ac:dyDescent="0.25">
      <c r="A82" s="28" t="s">
        <v>29</v>
      </c>
      <c r="B82" s="29"/>
      <c r="C82" s="29"/>
      <c r="D82" s="30"/>
      <c r="E82" s="5"/>
      <c r="F82" s="28" t="s">
        <v>29</v>
      </c>
      <c r="G82" s="29"/>
      <c r="H82" s="29"/>
      <c r="I82" s="30"/>
      <c r="K82" s="1">
        <v>215</v>
      </c>
      <c r="L82" s="1">
        <v>20</v>
      </c>
    </row>
    <row r="83" spans="1:12" s="1" customFormat="1" ht="30" customHeight="1" x14ac:dyDescent="0.25">
      <c r="A83" s="31" t="s">
        <v>54</v>
      </c>
      <c r="B83" s="32"/>
      <c r="C83" s="37" t="s">
        <v>9</v>
      </c>
      <c r="D83" s="34"/>
      <c r="E83" s="4"/>
      <c r="F83" s="31" t="str">
        <f>A83</f>
        <v>PP6331</v>
      </c>
      <c r="G83" s="32"/>
      <c r="H83" s="37" t="str">
        <f>C83</f>
        <v>White</v>
      </c>
      <c r="I83" s="34"/>
    </row>
    <row r="84" spans="1:12" s="1" customFormat="1" ht="30" customHeight="1" x14ac:dyDescent="0.25">
      <c r="A84" s="12" t="s">
        <v>4</v>
      </c>
      <c r="B84" s="25">
        <v>26094</v>
      </c>
      <c r="C84" s="25"/>
      <c r="D84" s="26"/>
      <c r="E84" s="4"/>
      <c r="F84" s="12" t="s">
        <v>4</v>
      </c>
      <c r="G84" s="25">
        <f>B84</f>
        <v>26094</v>
      </c>
      <c r="H84" s="25"/>
      <c r="I84" s="26"/>
    </row>
    <row r="85" spans="1:12" ht="63.75" customHeight="1" x14ac:dyDescent="0.25">
      <c r="A85" s="27" t="s">
        <v>22</v>
      </c>
      <c r="B85" s="27"/>
      <c r="C85" s="27"/>
      <c r="D85" s="27"/>
      <c r="E85" s="2"/>
      <c r="F85" s="27" t="str">
        <f>A85</f>
        <v>Round DER - Cartridge</v>
      </c>
      <c r="G85" s="27"/>
      <c r="H85" s="27"/>
      <c r="I85" s="27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15</v>
      </c>
      <c r="E87" s="4"/>
      <c r="F87" s="11" t="s">
        <v>2</v>
      </c>
      <c r="G87" s="10"/>
      <c r="H87" s="11" t="s">
        <v>5</v>
      </c>
      <c r="I87" s="7" t="str">
        <f>D87</f>
        <v>13A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16</v>
      </c>
      <c r="E88" s="4"/>
      <c r="F88" s="8" t="s">
        <v>3</v>
      </c>
      <c r="G88" s="9">
        <v>28</v>
      </c>
      <c r="H88" s="11" t="s">
        <v>6</v>
      </c>
      <c r="I88" s="7" t="str">
        <f>D88</f>
        <v>DER-R01</v>
      </c>
      <c r="K88" s="6" t="s">
        <v>8</v>
      </c>
      <c r="L88" s="6" t="s">
        <v>7</v>
      </c>
    </row>
    <row r="89" spans="1:12" s="1" customFormat="1" ht="30" customHeight="1" x14ac:dyDescent="0.25">
      <c r="A89" s="28" t="s">
        <v>29</v>
      </c>
      <c r="B89" s="29"/>
      <c r="C89" s="29"/>
      <c r="D89" s="30"/>
      <c r="E89" s="5"/>
      <c r="F89" s="28" t="s">
        <v>29</v>
      </c>
      <c r="G89" s="29"/>
      <c r="H89" s="29"/>
      <c r="I89" s="30"/>
      <c r="K89" s="1">
        <v>215</v>
      </c>
      <c r="L89" s="1">
        <v>20</v>
      </c>
    </row>
    <row r="90" spans="1:12" s="1" customFormat="1" ht="30" customHeight="1" x14ac:dyDescent="0.25">
      <c r="A90" s="31" t="s">
        <v>54</v>
      </c>
      <c r="B90" s="32"/>
      <c r="C90" s="37" t="s">
        <v>9</v>
      </c>
      <c r="D90" s="34"/>
      <c r="E90" s="4"/>
      <c r="F90" s="31" t="str">
        <f>A90</f>
        <v>PP6331</v>
      </c>
      <c r="G90" s="32"/>
      <c r="H90" s="37" t="str">
        <f>C90</f>
        <v>White</v>
      </c>
      <c r="I90" s="34"/>
    </row>
    <row r="91" spans="1:12" s="1" customFormat="1" ht="30" customHeight="1" x14ac:dyDescent="0.25">
      <c r="A91" s="12" t="s">
        <v>4</v>
      </c>
      <c r="B91" s="25">
        <v>26094</v>
      </c>
      <c r="C91" s="25"/>
      <c r="D91" s="26"/>
      <c r="E91" s="4"/>
      <c r="F91" s="12" t="s">
        <v>4</v>
      </c>
      <c r="G91" s="25">
        <f>B91</f>
        <v>26094</v>
      </c>
      <c r="H91" s="25"/>
      <c r="I91" s="26"/>
    </row>
    <row r="92" spans="1:12" ht="63.75" customHeight="1" x14ac:dyDescent="0.25">
      <c r="A92" s="27" t="s">
        <v>22</v>
      </c>
      <c r="B92" s="27"/>
      <c r="C92" s="27"/>
      <c r="D92" s="27"/>
      <c r="E92" s="2"/>
      <c r="F92" s="27" t="str">
        <f>A92</f>
        <v>Round DER - Cartridge</v>
      </c>
      <c r="G92" s="27"/>
      <c r="H92" s="27"/>
      <c r="I92" s="27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15</v>
      </c>
      <c r="E94" s="4"/>
      <c r="F94" s="11" t="s">
        <v>2</v>
      </c>
      <c r="G94" s="10"/>
      <c r="H94" s="11" t="s">
        <v>5</v>
      </c>
      <c r="I94" s="7" t="str">
        <f>D94</f>
        <v>13A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16</v>
      </c>
      <c r="E95" s="4"/>
      <c r="F95" s="8" t="s">
        <v>3</v>
      </c>
      <c r="G95" s="9">
        <v>29</v>
      </c>
      <c r="H95" s="11" t="s">
        <v>6</v>
      </c>
      <c r="I95" s="7" t="str">
        <f>D95</f>
        <v>DER-R01</v>
      </c>
      <c r="K95" s="6" t="s">
        <v>8</v>
      </c>
      <c r="L95" s="6" t="s">
        <v>7</v>
      </c>
    </row>
    <row r="96" spans="1:12" s="1" customFormat="1" ht="30" customHeight="1" x14ac:dyDescent="0.25">
      <c r="A96" s="28" t="s">
        <v>29</v>
      </c>
      <c r="B96" s="29"/>
      <c r="C96" s="29"/>
      <c r="D96" s="30"/>
      <c r="E96" s="5"/>
      <c r="F96" s="28" t="s">
        <v>29</v>
      </c>
      <c r="G96" s="29"/>
      <c r="H96" s="29"/>
      <c r="I96" s="30"/>
      <c r="K96" s="1">
        <v>215</v>
      </c>
      <c r="L96" s="1">
        <v>20</v>
      </c>
    </row>
    <row r="97" spans="1:12" s="1" customFormat="1" ht="30" customHeight="1" x14ac:dyDescent="0.25">
      <c r="A97" s="31" t="s">
        <v>54</v>
      </c>
      <c r="B97" s="32"/>
      <c r="C97" s="37" t="s">
        <v>9</v>
      </c>
      <c r="D97" s="34"/>
      <c r="E97" s="4"/>
      <c r="F97" s="31" t="str">
        <f>A97</f>
        <v>PP6331</v>
      </c>
      <c r="G97" s="32"/>
      <c r="H97" s="37" t="str">
        <f>C97</f>
        <v>White</v>
      </c>
      <c r="I97" s="34"/>
    </row>
    <row r="98" spans="1:12" s="1" customFormat="1" ht="30" customHeight="1" x14ac:dyDescent="0.25">
      <c r="A98" s="12" t="s">
        <v>4</v>
      </c>
      <c r="B98" s="25">
        <v>26094</v>
      </c>
      <c r="C98" s="25"/>
      <c r="D98" s="26"/>
      <c r="E98" s="4"/>
      <c r="F98" s="12" t="s">
        <v>4</v>
      </c>
      <c r="G98" s="25">
        <f>B98</f>
        <v>26094</v>
      </c>
      <c r="H98" s="25"/>
      <c r="I98" s="26"/>
    </row>
    <row r="99" spans="1:12" ht="63.75" customHeight="1" x14ac:dyDescent="0.25">
      <c r="A99" s="27" t="s">
        <v>22</v>
      </c>
      <c r="B99" s="27"/>
      <c r="C99" s="27"/>
      <c r="D99" s="27"/>
      <c r="E99" s="2"/>
      <c r="F99" s="27" t="str">
        <f>A99</f>
        <v>Round DER - Cartridge</v>
      </c>
      <c r="G99" s="27"/>
      <c r="H99" s="27"/>
      <c r="I99" s="27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15</v>
      </c>
      <c r="E101" s="4"/>
      <c r="F101" s="11" t="s">
        <v>2</v>
      </c>
      <c r="G101" s="10"/>
      <c r="H101" s="11" t="s">
        <v>5</v>
      </c>
      <c r="I101" s="7" t="str">
        <f>D101</f>
        <v>13A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16</v>
      </c>
      <c r="E102" s="4"/>
      <c r="F102" s="8" t="s">
        <v>3</v>
      </c>
      <c r="G102" s="9">
        <v>30</v>
      </c>
      <c r="H102" s="11" t="s">
        <v>6</v>
      </c>
      <c r="I102" s="7" t="str">
        <f>D102</f>
        <v>DER-R01</v>
      </c>
      <c r="K102" s="6" t="s">
        <v>8</v>
      </c>
      <c r="L102" s="6" t="s">
        <v>7</v>
      </c>
    </row>
    <row r="103" spans="1:12" s="1" customFormat="1" ht="30" customHeight="1" x14ac:dyDescent="0.25">
      <c r="A103" s="28" t="s">
        <v>29</v>
      </c>
      <c r="B103" s="29"/>
      <c r="C103" s="29"/>
      <c r="D103" s="30"/>
      <c r="E103" s="5"/>
      <c r="F103" s="28" t="s">
        <v>29</v>
      </c>
      <c r="G103" s="29"/>
      <c r="H103" s="29"/>
      <c r="I103" s="30"/>
      <c r="K103" s="1">
        <v>215</v>
      </c>
      <c r="L103" s="1">
        <v>20</v>
      </c>
    </row>
    <row r="104" spans="1:12" s="1" customFormat="1" ht="30" customHeight="1" x14ac:dyDescent="0.25">
      <c r="A104" s="31" t="s">
        <v>54</v>
      </c>
      <c r="B104" s="32"/>
      <c r="C104" s="37" t="s">
        <v>9</v>
      </c>
      <c r="D104" s="34"/>
      <c r="E104" s="4"/>
      <c r="F104" s="31" t="str">
        <f>A104</f>
        <v>PP6331</v>
      </c>
      <c r="G104" s="32"/>
      <c r="H104" s="37" t="str">
        <f>C104</f>
        <v>White</v>
      </c>
      <c r="I104" s="34"/>
    </row>
    <row r="105" spans="1:12" s="1" customFormat="1" ht="30" customHeight="1" x14ac:dyDescent="0.25">
      <c r="A105" s="12" t="s">
        <v>4</v>
      </c>
      <c r="B105" s="25">
        <v>26094</v>
      </c>
      <c r="C105" s="25"/>
      <c r="D105" s="26"/>
      <c r="E105" s="4"/>
      <c r="F105" s="12" t="s">
        <v>4</v>
      </c>
      <c r="G105" s="25">
        <f>B105</f>
        <v>26094</v>
      </c>
      <c r="H105" s="25"/>
      <c r="I105" s="26"/>
    </row>
  </sheetData>
  <mergeCells count="150"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21:D21"/>
    <mergeCell ref="G21:I21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L70"/>
  <sheetViews>
    <sheetView view="pageBreakPreview" zoomScaleNormal="100" zoomScaleSheetLayoutView="100" workbookViewId="0">
      <selection activeCell="F1" sqref="F1:I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101</v>
      </c>
      <c r="B1" s="27"/>
      <c r="C1" s="27"/>
      <c r="D1" s="27"/>
      <c r="E1" s="2"/>
      <c r="F1" s="27" t="str">
        <f>A1</f>
        <v>Round DER - Screw（短螺丝）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17</v>
      </c>
      <c r="E3" s="4"/>
      <c r="F3" s="11" t="s">
        <v>2</v>
      </c>
      <c r="G3" s="10"/>
      <c r="H3" s="11" t="s">
        <v>5</v>
      </c>
      <c r="I3" s="7" t="str">
        <f>D3</f>
        <v>15A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11</v>
      </c>
      <c r="H4" s="11" t="s">
        <v>6</v>
      </c>
      <c r="I4" s="7" t="str">
        <f>D4</f>
        <v>DER-S02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62</v>
      </c>
      <c r="B5" s="29"/>
      <c r="C5" s="29"/>
      <c r="D5" s="30"/>
      <c r="E5" s="5"/>
      <c r="F5" s="28" t="s">
        <v>62</v>
      </c>
      <c r="G5" s="29"/>
      <c r="H5" s="29"/>
      <c r="I5" s="30"/>
      <c r="K5" s="1">
        <v>1200</v>
      </c>
      <c r="L5" s="1">
        <v>16</v>
      </c>
    </row>
    <row r="6" spans="1:12" s="1" customFormat="1" ht="30" customHeight="1" x14ac:dyDescent="0.25">
      <c r="A6" s="31" t="s">
        <v>54</v>
      </c>
      <c r="B6" s="32"/>
      <c r="C6" s="33" t="s">
        <v>9</v>
      </c>
      <c r="D6" s="34"/>
      <c r="E6" s="4"/>
      <c r="F6" s="31" t="str">
        <f>A6</f>
        <v>PP6331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26098</v>
      </c>
      <c r="C7" s="25"/>
      <c r="D7" s="26"/>
      <c r="E7" s="4"/>
      <c r="F7" s="12" t="s">
        <v>4</v>
      </c>
      <c r="G7" s="25">
        <f>B7</f>
        <v>26098</v>
      </c>
      <c r="H7" s="25"/>
      <c r="I7" s="26"/>
    </row>
    <row r="8" spans="1:12" ht="63.75" customHeight="1" x14ac:dyDescent="0.25">
      <c r="A8" s="27" t="s">
        <v>101</v>
      </c>
      <c r="B8" s="27"/>
      <c r="C8" s="27"/>
      <c r="D8" s="27"/>
      <c r="E8" s="2"/>
      <c r="F8" s="27" t="str">
        <f>A8</f>
        <v>Round DER - Screw（短螺丝）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17</v>
      </c>
      <c r="E10" s="4"/>
      <c r="F10" s="11" t="s">
        <v>2</v>
      </c>
      <c r="G10" s="10"/>
      <c r="H10" s="11" t="s">
        <v>5</v>
      </c>
      <c r="I10" s="7" t="str">
        <f>D10</f>
        <v>15A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18</v>
      </c>
      <c r="E11" s="4"/>
      <c r="F11" s="8" t="s">
        <v>3</v>
      </c>
      <c r="G11" s="9">
        <v>12</v>
      </c>
      <c r="H11" s="11" t="s">
        <v>6</v>
      </c>
      <c r="I11" s="7" t="str">
        <f>D11</f>
        <v>DER-S02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62</v>
      </c>
      <c r="B12" s="29"/>
      <c r="C12" s="29"/>
      <c r="D12" s="30"/>
      <c r="E12" s="5"/>
      <c r="F12" s="28" t="s">
        <v>62</v>
      </c>
      <c r="G12" s="29"/>
      <c r="H12" s="29"/>
      <c r="I12" s="30"/>
      <c r="K12" s="1">
        <v>1200</v>
      </c>
      <c r="L12" s="1">
        <v>16</v>
      </c>
    </row>
    <row r="13" spans="1:12" s="1" customFormat="1" ht="30" customHeight="1" x14ac:dyDescent="0.25">
      <c r="A13" s="31" t="s">
        <v>54</v>
      </c>
      <c r="B13" s="32"/>
      <c r="C13" s="33" t="s">
        <v>9</v>
      </c>
      <c r="D13" s="34"/>
      <c r="E13" s="4"/>
      <c r="F13" s="31" t="str">
        <f>A13</f>
        <v>PP6331</v>
      </c>
      <c r="G13" s="32"/>
      <c r="H13" s="33" t="str">
        <f>C13</f>
        <v>White</v>
      </c>
      <c r="I13" s="34"/>
    </row>
    <row r="14" spans="1:12" s="1" customFormat="1" ht="30" customHeight="1" x14ac:dyDescent="0.25">
      <c r="A14" s="12" t="s">
        <v>4</v>
      </c>
      <c r="B14" s="25">
        <v>26098</v>
      </c>
      <c r="C14" s="25"/>
      <c r="D14" s="26"/>
      <c r="E14" s="4"/>
      <c r="F14" s="12" t="s">
        <v>4</v>
      </c>
      <c r="G14" s="25">
        <f>B14</f>
        <v>26098</v>
      </c>
      <c r="H14" s="25"/>
      <c r="I14" s="26"/>
    </row>
    <row r="15" spans="1:12" ht="63.75" customHeight="1" x14ac:dyDescent="0.25">
      <c r="A15" s="27" t="s">
        <v>101</v>
      </c>
      <c r="B15" s="27"/>
      <c r="C15" s="27"/>
      <c r="D15" s="27"/>
      <c r="E15" s="2"/>
      <c r="F15" s="27" t="str">
        <f>A15</f>
        <v>Round DER - Screw（短螺丝）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17</v>
      </c>
      <c r="E17" s="4"/>
      <c r="F17" s="11" t="s">
        <v>2</v>
      </c>
      <c r="G17" s="10"/>
      <c r="H17" s="11" t="s">
        <v>5</v>
      </c>
      <c r="I17" s="7" t="str">
        <f>D17</f>
        <v>15A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18</v>
      </c>
      <c r="E18" s="4"/>
      <c r="F18" s="8" t="s">
        <v>3</v>
      </c>
      <c r="G18" s="9">
        <v>13</v>
      </c>
      <c r="H18" s="11" t="s">
        <v>6</v>
      </c>
      <c r="I18" s="7" t="str">
        <f>D18</f>
        <v>DER-S02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62</v>
      </c>
      <c r="B19" s="29"/>
      <c r="C19" s="29"/>
      <c r="D19" s="30"/>
      <c r="E19" s="5"/>
      <c r="F19" s="28" t="s">
        <v>62</v>
      </c>
      <c r="G19" s="29"/>
      <c r="H19" s="29"/>
      <c r="I19" s="30"/>
      <c r="K19" s="1">
        <v>1200</v>
      </c>
      <c r="L19" s="1">
        <v>16</v>
      </c>
    </row>
    <row r="20" spans="1:12" s="1" customFormat="1" ht="30" customHeight="1" x14ac:dyDescent="0.25">
      <c r="A20" s="31" t="s">
        <v>54</v>
      </c>
      <c r="B20" s="32"/>
      <c r="C20" s="33" t="s">
        <v>9</v>
      </c>
      <c r="D20" s="34"/>
      <c r="E20" s="4"/>
      <c r="F20" s="31" t="str">
        <f>A20</f>
        <v>PP6331</v>
      </c>
      <c r="G20" s="32"/>
      <c r="H20" s="33" t="str">
        <f>C20</f>
        <v>White</v>
      </c>
      <c r="I20" s="34"/>
    </row>
    <row r="21" spans="1:12" s="1" customFormat="1" ht="30" customHeight="1" x14ac:dyDescent="0.25">
      <c r="A21" s="12" t="s">
        <v>4</v>
      </c>
      <c r="B21" s="25">
        <v>26098</v>
      </c>
      <c r="C21" s="25"/>
      <c r="D21" s="26"/>
      <c r="E21" s="4"/>
      <c r="F21" s="12" t="s">
        <v>4</v>
      </c>
      <c r="G21" s="25">
        <f>B21</f>
        <v>26098</v>
      </c>
      <c r="H21" s="25"/>
      <c r="I21" s="26"/>
    </row>
    <row r="22" spans="1:12" ht="63.75" customHeight="1" x14ac:dyDescent="0.25">
      <c r="A22" s="27" t="s">
        <v>101</v>
      </c>
      <c r="B22" s="27"/>
      <c r="C22" s="27"/>
      <c r="D22" s="27"/>
      <c r="E22" s="2"/>
      <c r="F22" s="27" t="str">
        <f>A22</f>
        <v>Round DER - Screw（短螺丝）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17</v>
      </c>
      <c r="E24" s="4"/>
      <c r="F24" s="11" t="s">
        <v>2</v>
      </c>
      <c r="G24" s="10"/>
      <c r="H24" s="11" t="s">
        <v>5</v>
      </c>
      <c r="I24" s="7" t="str">
        <f>D24</f>
        <v>15A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18</v>
      </c>
      <c r="E25" s="4"/>
      <c r="F25" s="8" t="s">
        <v>3</v>
      </c>
      <c r="G25" s="9">
        <v>14</v>
      </c>
      <c r="H25" s="11" t="s">
        <v>6</v>
      </c>
      <c r="I25" s="7" t="str">
        <f>D25</f>
        <v>DER-S02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62</v>
      </c>
      <c r="B26" s="29"/>
      <c r="C26" s="29"/>
      <c r="D26" s="30"/>
      <c r="E26" s="5"/>
      <c r="F26" s="28" t="s">
        <v>62</v>
      </c>
      <c r="G26" s="29"/>
      <c r="H26" s="29"/>
      <c r="I26" s="30"/>
      <c r="K26" s="1">
        <v>1200</v>
      </c>
      <c r="L26" s="1">
        <v>16</v>
      </c>
    </row>
    <row r="27" spans="1:12" s="1" customFormat="1" ht="30" customHeight="1" x14ac:dyDescent="0.25">
      <c r="A27" s="31" t="s">
        <v>54</v>
      </c>
      <c r="B27" s="32"/>
      <c r="C27" s="33" t="s">
        <v>9</v>
      </c>
      <c r="D27" s="34"/>
      <c r="E27" s="4"/>
      <c r="F27" s="31" t="str">
        <f>A27</f>
        <v>PP6331</v>
      </c>
      <c r="G27" s="32"/>
      <c r="H27" s="33" t="str">
        <f>C27</f>
        <v>White</v>
      </c>
      <c r="I27" s="34"/>
    </row>
    <row r="28" spans="1:12" s="1" customFormat="1" ht="30" customHeight="1" x14ac:dyDescent="0.25">
      <c r="A28" s="12" t="s">
        <v>4</v>
      </c>
      <c r="B28" s="25">
        <v>26098</v>
      </c>
      <c r="C28" s="25"/>
      <c r="D28" s="26"/>
      <c r="E28" s="4"/>
      <c r="F28" s="12" t="s">
        <v>4</v>
      </c>
      <c r="G28" s="25">
        <f>B28</f>
        <v>26098</v>
      </c>
      <c r="H28" s="25"/>
      <c r="I28" s="26"/>
    </row>
    <row r="29" spans="1:12" ht="63.75" customHeight="1" x14ac:dyDescent="0.25">
      <c r="A29" s="27" t="s">
        <v>101</v>
      </c>
      <c r="B29" s="27"/>
      <c r="C29" s="27"/>
      <c r="D29" s="27"/>
      <c r="E29" s="2"/>
      <c r="F29" s="27" t="str">
        <f>A29</f>
        <v>Round DER - Screw（短螺丝）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17</v>
      </c>
      <c r="E31" s="4"/>
      <c r="F31" s="11" t="s">
        <v>2</v>
      </c>
      <c r="G31" s="10"/>
      <c r="H31" s="11" t="s">
        <v>5</v>
      </c>
      <c r="I31" s="7" t="str">
        <f>D31</f>
        <v>15A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18</v>
      </c>
      <c r="E32" s="4"/>
      <c r="F32" s="8" t="s">
        <v>3</v>
      </c>
      <c r="G32" s="9">
        <v>15</v>
      </c>
      <c r="H32" s="11" t="s">
        <v>6</v>
      </c>
      <c r="I32" s="7" t="str">
        <f>D32</f>
        <v>DER-S02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62</v>
      </c>
      <c r="B33" s="29"/>
      <c r="C33" s="29"/>
      <c r="D33" s="30"/>
      <c r="E33" s="5"/>
      <c r="F33" s="28" t="s">
        <v>62</v>
      </c>
      <c r="G33" s="29"/>
      <c r="H33" s="29"/>
      <c r="I33" s="30"/>
      <c r="K33" s="1">
        <v>1200</v>
      </c>
      <c r="L33" s="1">
        <v>16</v>
      </c>
    </row>
    <row r="34" spans="1:12" s="1" customFormat="1" ht="30" customHeight="1" x14ac:dyDescent="0.25">
      <c r="A34" s="31" t="s">
        <v>54</v>
      </c>
      <c r="B34" s="32"/>
      <c r="C34" s="33" t="s">
        <v>9</v>
      </c>
      <c r="D34" s="34"/>
      <c r="E34" s="4"/>
      <c r="F34" s="31" t="str">
        <f>A34</f>
        <v>PP6331</v>
      </c>
      <c r="G34" s="32"/>
      <c r="H34" s="33" t="str">
        <f>C34</f>
        <v>White</v>
      </c>
      <c r="I34" s="34"/>
    </row>
    <row r="35" spans="1:12" s="1" customFormat="1" ht="30" customHeight="1" x14ac:dyDescent="0.25">
      <c r="A35" s="12" t="s">
        <v>4</v>
      </c>
      <c r="B35" s="25">
        <v>26098</v>
      </c>
      <c r="C35" s="25"/>
      <c r="D35" s="26"/>
      <c r="E35" s="4"/>
      <c r="F35" s="12" t="s">
        <v>4</v>
      </c>
      <c r="G35" s="25">
        <f>B35</f>
        <v>26098</v>
      </c>
      <c r="H35" s="25"/>
      <c r="I35" s="26"/>
    </row>
    <row r="36" spans="1:12" ht="63.75" customHeight="1" x14ac:dyDescent="0.25">
      <c r="A36" s="27" t="s">
        <v>101</v>
      </c>
      <c r="B36" s="27"/>
      <c r="C36" s="27"/>
      <c r="D36" s="27"/>
      <c r="E36" s="2"/>
      <c r="F36" s="27" t="str">
        <f>A36</f>
        <v>Round DER - Screw（短螺丝）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17</v>
      </c>
      <c r="E38" s="4"/>
      <c r="F38" s="11" t="s">
        <v>2</v>
      </c>
      <c r="G38" s="10"/>
      <c r="H38" s="11" t="s">
        <v>5</v>
      </c>
      <c r="I38" s="7" t="str">
        <f>D38</f>
        <v>15A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18</v>
      </c>
      <c r="E39" s="4"/>
      <c r="F39" s="8" t="s">
        <v>3</v>
      </c>
      <c r="G39" s="9">
        <v>16</v>
      </c>
      <c r="H39" s="11" t="s">
        <v>6</v>
      </c>
      <c r="I39" s="7" t="str">
        <f>D39</f>
        <v>DER-S02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62</v>
      </c>
      <c r="B40" s="29"/>
      <c r="C40" s="29"/>
      <c r="D40" s="30"/>
      <c r="E40" s="5"/>
      <c r="F40" s="28" t="s">
        <v>62</v>
      </c>
      <c r="G40" s="29"/>
      <c r="H40" s="29"/>
      <c r="I40" s="30"/>
      <c r="K40" s="1">
        <v>1200</v>
      </c>
      <c r="L40" s="1">
        <v>16</v>
      </c>
    </row>
    <row r="41" spans="1:12" s="1" customFormat="1" ht="30" customHeight="1" x14ac:dyDescent="0.25">
      <c r="A41" s="31" t="s">
        <v>54</v>
      </c>
      <c r="B41" s="32"/>
      <c r="C41" s="33" t="s">
        <v>9</v>
      </c>
      <c r="D41" s="34"/>
      <c r="E41" s="4"/>
      <c r="F41" s="31" t="str">
        <f>A41</f>
        <v>PP6331</v>
      </c>
      <c r="G41" s="32"/>
      <c r="H41" s="33" t="str">
        <f>C41</f>
        <v>White</v>
      </c>
      <c r="I41" s="34"/>
    </row>
    <row r="42" spans="1:12" s="1" customFormat="1" ht="30" customHeight="1" x14ac:dyDescent="0.25">
      <c r="A42" s="12" t="s">
        <v>4</v>
      </c>
      <c r="B42" s="25">
        <v>26098</v>
      </c>
      <c r="C42" s="25"/>
      <c r="D42" s="26"/>
      <c r="E42" s="4"/>
      <c r="F42" s="12" t="s">
        <v>4</v>
      </c>
      <c r="G42" s="25">
        <f>B42</f>
        <v>26098</v>
      </c>
      <c r="H42" s="25"/>
      <c r="I42" s="26"/>
    </row>
    <row r="43" spans="1:12" ht="63.75" customHeight="1" x14ac:dyDescent="0.25">
      <c r="A43" s="27" t="s">
        <v>101</v>
      </c>
      <c r="B43" s="27"/>
      <c r="C43" s="27"/>
      <c r="D43" s="27"/>
      <c r="E43" s="2"/>
      <c r="F43" s="27" t="str">
        <f>A43</f>
        <v>Round DER - Screw（短螺丝）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17</v>
      </c>
      <c r="E45" s="4"/>
      <c r="F45" s="11" t="s">
        <v>2</v>
      </c>
      <c r="G45" s="10"/>
      <c r="H45" s="11" t="s">
        <v>5</v>
      </c>
      <c r="I45" s="7" t="str">
        <f>D45</f>
        <v>15A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18</v>
      </c>
      <c r="E46" s="4"/>
      <c r="F46" s="8" t="s">
        <v>3</v>
      </c>
      <c r="G46" s="9">
        <v>17</v>
      </c>
      <c r="H46" s="11" t="s">
        <v>6</v>
      </c>
      <c r="I46" s="7" t="str">
        <f>D46</f>
        <v>DER-S02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62</v>
      </c>
      <c r="B47" s="29"/>
      <c r="C47" s="29"/>
      <c r="D47" s="30"/>
      <c r="E47" s="5"/>
      <c r="F47" s="28" t="s">
        <v>62</v>
      </c>
      <c r="G47" s="29"/>
      <c r="H47" s="29"/>
      <c r="I47" s="30"/>
      <c r="K47" s="1">
        <v>1200</v>
      </c>
      <c r="L47" s="1">
        <v>16</v>
      </c>
    </row>
    <row r="48" spans="1:12" s="1" customFormat="1" ht="30" customHeight="1" x14ac:dyDescent="0.25">
      <c r="A48" s="31" t="s">
        <v>54</v>
      </c>
      <c r="B48" s="32"/>
      <c r="C48" s="33" t="s">
        <v>9</v>
      </c>
      <c r="D48" s="34"/>
      <c r="E48" s="4"/>
      <c r="F48" s="31" t="str">
        <f>A48</f>
        <v>PP6331</v>
      </c>
      <c r="G48" s="32"/>
      <c r="H48" s="33" t="str">
        <f>C48</f>
        <v>White</v>
      </c>
      <c r="I48" s="34"/>
    </row>
    <row r="49" spans="1:12" s="1" customFormat="1" ht="30" customHeight="1" x14ac:dyDescent="0.25">
      <c r="A49" s="12" t="s">
        <v>4</v>
      </c>
      <c r="B49" s="25">
        <v>26098</v>
      </c>
      <c r="C49" s="25"/>
      <c r="D49" s="26"/>
      <c r="E49" s="4"/>
      <c r="F49" s="12" t="s">
        <v>4</v>
      </c>
      <c r="G49" s="25">
        <f>B49</f>
        <v>26098</v>
      </c>
      <c r="H49" s="25"/>
      <c r="I49" s="26"/>
    </row>
    <row r="50" spans="1:12" ht="63.75" customHeight="1" x14ac:dyDescent="0.25">
      <c r="A50" s="27" t="s">
        <v>101</v>
      </c>
      <c r="B50" s="27"/>
      <c r="C50" s="27"/>
      <c r="D50" s="27"/>
      <c r="E50" s="2"/>
      <c r="F50" s="27" t="str">
        <f>A50</f>
        <v>Round DER - Screw（短螺丝）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17</v>
      </c>
      <c r="E52" s="4"/>
      <c r="F52" s="11" t="s">
        <v>2</v>
      </c>
      <c r="G52" s="10"/>
      <c r="H52" s="11" t="s">
        <v>5</v>
      </c>
      <c r="I52" s="7" t="str">
        <f>D52</f>
        <v>15A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18</v>
      </c>
      <c r="E53" s="4"/>
      <c r="F53" s="8" t="s">
        <v>3</v>
      </c>
      <c r="G53" s="9">
        <v>18</v>
      </c>
      <c r="H53" s="11" t="s">
        <v>6</v>
      </c>
      <c r="I53" s="7" t="str">
        <f>D53</f>
        <v>DER-S02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62</v>
      </c>
      <c r="B54" s="29"/>
      <c r="C54" s="29"/>
      <c r="D54" s="30"/>
      <c r="E54" s="5"/>
      <c r="F54" s="28" t="s">
        <v>62</v>
      </c>
      <c r="G54" s="29"/>
      <c r="H54" s="29"/>
      <c r="I54" s="30"/>
      <c r="K54" s="1">
        <v>1200</v>
      </c>
      <c r="L54" s="1">
        <v>16</v>
      </c>
    </row>
    <row r="55" spans="1:12" s="1" customFormat="1" ht="30" customHeight="1" x14ac:dyDescent="0.25">
      <c r="A55" s="31" t="s">
        <v>54</v>
      </c>
      <c r="B55" s="32"/>
      <c r="C55" s="33" t="s">
        <v>9</v>
      </c>
      <c r="D55" s="34"/>
      <c r="E55" s="4"/>
      <c r="F55" s="31" t="str">
        <f>A55</f>
        <v>PP6331</v>
      </c>
      <c r="G55" s="32"/>
      <c r="H55" s="33" t="str">
        <f>C55</f>
        <v>White</v>
      </c>
      <c r="I55" s="34"/>
    </row>
    <row r="56" spans="1:12" s="1" customFormat="1" ht="30" customHeight="1" x14ac:dyDescent="0.25">
      <c r="A56" s="12" t="s">
        <v>4</v>
      </c>
      <c r="B56" s="25">
        <v>26098</v>
      </c>
      <c r="C56" s="25"/>
      <c r="D56" s="26"/>
      <c r="E56" s="4"/>
      <c r="F56" s="12" t="s">
        <v>4</v>
      </c>
      <c r="G56" s="25">
        <f>B56</f>
        <v>26098</v>
      </c>
      <c r="H56" s="25"/>
      <c r="I56" s="26"/>
    </row>
    <row r="57" spans="1:12" ht="63.75" customHeight="1" x14ac:dyDescent="0.25">
      <c r="A57" s="27" t="s">
        <v>101</v>
      </c>
      <c r="B57" s="27"/>
      <c r="C57" s="27"/>
      <c r="D57" s="27"/>
      <c r="E57" s="2"/>
      <c r="F57" s="27" t="str">
        <f>A57</f>
        <v>Round DER - Screw（短螺丝）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17</v>
      </c>
      <c r="E59" s="4"/>
      <c r="F59" s="11" t="s">
        <v>2</v>
      </c>
      <c r="G59" s="10"/>
      <c r="H59" s="11" t="s">
        <v>5</v>
      </c>
      <c r="I59" s="7" t="str">
        <f>D59</f>
        <v>15A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18</v>
      </c>
      <c r="E60" s="4"/>
      <c r="F60" s="8" t="s">
        <v>3</v>
      </c>
      <c r="G60" s="9">
        <v>19</v>
      </c>
      <c r="H60" s="11" t="s">
        <v>6</v>
      </c>
      <c r="I60" s="7" t="str">
        <f>D60</f>
        <v>DER-S02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62</v>
      </c>
      <c r="B61" s="29"/>
      <c r="C61" s="29"/>
      <c r="D61" s="30"/>
      <c r="E61" s="5"/>
      <c r="F61" s="28" t="s">
        <v>62</v>
      </c>
      <c r="G61" s="29"/>
      <c r="H61" s="29"/>
      <c r="I61" s="30"/>
      <c r="K61" s="1">
        <v>1200</v>
      </c>
      <c r="L61" s="1">
        <v>16</v>
      </c>
    </row>
    <row r="62" spans="1:12" s="1" customFormat="1" ht="30" customHeight="1" x14ac:dyDescent="0.25">
      <c r="A62" s="31" t="s">
        <v>54</v>
      </c>
      <c r="B62" s="32"/>
      <c r="C62" s="33" t="s">
        <v>9</v>
      </c>
      <c r="D62" s="34"/>
      <c r="E62" s="4"/>
      <c r="F62" s="31" t="str">
        <f>A62</f>
        <v>PP6331</v>
      </c>
      <c r="G62" s="32"/>
      <c r="H62" s="33" t="str">
        <f>C62</f>
        <v>White</v>
      </c>
      <c r="I62" s="34"/>
    </row>
    <row r="63" spans="1:12" s="1" customFormat="1" ht="30" customHeight="1" x14ac:dyDescent="0.25">
      <c r="A63" s="12" t="s">
        <v>4</v>
      </c>
      <c r="B63" s="25">
        <v>26098</v>
      </c>
      <c r="C63" s="25"/>
      <c r="D63" s="26"/>
      <c r="E63" s="4"/>
      <c r="F63" s="12" t="s">
        <v>4</v>
      </c>
      <c r="G63" s="25">
        <f>B63</f>
        <v>26098</v>
      </c>
      <c r="H63" s="25"/>
      <c r="I63" s="26"/>
    </row>
    <row r="64" spans="1:12" ht="63.75" customHeight="1" x14ac:dyDescent="0.25">
      <c r="A64" s="27" t="s">
        <v>101</v>
      </c>
      <c r="B64" s="27"/>
      <c r="C64" s="27"/>
      <c r="D64" s="27"/>
      <c r="E64" s="2"/>
      <c r="F64" s="27" t="str">
        <f>A64</f>
        <v>Round DER - Screw（短螺丝）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17</v>
      </c>
      <c r="E66" s="4"/>
      <c r="F66" s="11" t="s">
        <v>2</v>
      </c>
      <c r="G66" s="10"/>
      <c r="H66" s="11" t="s">
        <v>5</v>
      </c>
      <c r="I66" s="7" t="str">
        <f>D66</f>
        <v>15A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18</v>
      </c>
      <c r="E67" s="4"/>
      <c r="F67" s="8" t="s">
        <v>3</v>
      </c>
      <c r="G67" s="9">
        <v>20</v>
      </c>
      <c r="H67" s="11" t="s">
        <v>6</v>
      </c>
      <c r="I67" s="7" t="str">
        <f>D67</f>
        <v>DER-S02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62</v>
      </c>
      <c r="B68" s="29"/>
      <c r="C68" s="29"/>
      <c r="D68" s="30"/>
      <c r="E68" s="5"/>
      <c r="F68" s="28" t="s">
        <v>62</v>
      </c>
      <c r="G68" s="29"/>
      <c r="H68" s="29"/>
      <c r="I68" s="30"/>
      <c r="K68" s="1">
        <v>1200</v>
      </c>
      <c r="L68" s="1">
        <v>16</v>
      </c>
    </row>
    <row r="69" spans="1:12" s="1" customFormat="1" ht="30" customHeight="1" x14ac:dyDescent="0.25">
      <c r="A69" s="31" t="s">
        <v>54</v>
      </c>
      <c r="B69" s="32"/>
      <c r="C69" s="33" t="s">
        <v>9</v>
      </c>
      <c r="D69" s="34"/>
      <c r="E69" s="4"/>
      <c r="F69" s="31" t="str">
        <f>A69</f>
        <v>PP6331</v>
      </c>
      <c r="G69" s="32"/>
      <c r="H69" s="33" t="str">
        <f>C69</f>
        <v>White</v>
      </c>
      <c r="I69" s="34"/>
    </row>
    <row r="70" spans="1:12" s="1" customFormat="1" ht="30" customHeight="1" x14ac:dyDescent="0.25">
      <c r="A70" s="12" t="s">
        <v>4</v>
      </c>
      <c r="B70" s="25">
        <v>26098</v>
      </c>
      <c r="C70" s="25"/>
      <c r="D70" s="26"/>
      <c r="E70" s="4"/>
      <c r="F70" s="12" t="s">
        <v>4</v>
      </c>
      <c r="G70" s="25">
        <f>B70</f>
        <v>26098</v>
      </c>
      <c r="H70" s="25"/>
      <c r="I70" s="26"/>
    </row>
  </sheetData>
  <mergeCells count="10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  <mergeCell ref="B42:D42"/>
    <mergeCell ref="G42:I42"/>
    <mergeCell ref="A43:D43"/>
    <mergeCell ref="F43:I43"/>
    <mergeCell ref="A47:D47"/>
    <mergeCell ref="F47:I47"/>
    <mergeCell ref="A48:B48"/>
    <mergeCell ref="C48:D48"/>
    <mergeCell ref="F48:G48"/>
    <mergeCell ref="H48:I48"/>
    <mergeCell ref="B49:D49"/>
    <mergeCell ref="G49:I49"/>
    <mergeCell ref="A50:D50"/>
    <mergeCell ref="F50:I50"/>
    <mergeCell ref="A54:D54"/>
    <mergeCell ref="F54:I54"/>
    <mergeCell ref="A55:B55"/>
    <mergeCell ref="C55:D55"/>
    <mergeCell ref="F55:G55"/>
    <mergeCell ref="H55:I55"/>
    <mergeCell ref="B56:D56"/>
    <mergeCell ref="G56:I56"/>
    <mergeCell ref="A57:D57"/>
    <mergeCell ref="F57:I57"/>
    <mergeCell ref="A61:D61"/>
    <mergeCell ref="F61:I61"/>
    <mergeCell ref="A62:B62"/>
    <mergeCell ref="C62:D62"/>
    <mergeCell ref="F62:G62"/>
    <mergeCell ref="H62:I62"/>
    <mergeCell ref="B63:D63"/>
    <mergeCell ref="G63:I63"/>
    <mergeCell ref="A64:D64"/>
    <mergeCell ref="F64:I64"/>
    <mergeCell ref="A68:D68"/>
    <mergeCell ref="F68:I68"/>
    <mergeCell ref="A69:B69"/>
    <mergeCell ref="C69:D69"/>
    <mergeCell ref="F69:G69"/>
    <mergeCell ref="H69:I69"/>
    <mergeCell ref="B70:D70"/>
    <mergeCell ref="G70:I7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50"/>
  </sheetPr>
  <dimension ref="A1:L14"/>
  <sheetViews>
    <sheetView view="pageBreakPreview" zoomScaleNormal="100" zoomScaleSheetLayoutView="100" workbookViewId="0">
      <selection activeCell="F8" sqref="F8:I1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23</v>
      </c>
      <c r="B1" s="27"/>
      <c r="C1" s="27"/>
      <c r="D1" s="27"/>
      <c r="E1" s="2"/>
      <c r="F1" s="27" t="str">
        <f>A1</f>
        <v>Round DER - Bottom Cover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63</v>
      </c>
      <c r="E3" s="4"/>
      <c r="F3" s="11" t="s">
        <v>2</v>
      </c>
      <c r="G3" s="10"/>
      <c r="H3" s="11" t="s">
        <v>5</v>
      </c>
      <c r="I3" s="7" t="str">
        <f>D3</f>
        <v>03B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64</v>
      </c>
      <c r="E4" s="4"/>
      <c r="F4" s="8" t="s">
        <v>3</v>
      </c>
      <c r="G4" s="9">
        <v>3</v>
      </c>
      <c r="H4" s="11" t="s">
        <v>6</v>
      </c>
      <c r="I4" s="7" t="str">
        <f>D4</f>
        <v>DER-U01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33</v>
      </c>
      <c r="B5" s="29"/>
      <c r="C5" s="29"/>
      <c r="D5" s="30"/>
      <c r="E5" s="5"/>
      <c r="F5" s="28" t="s">
        <v>71</v>
      </c>
      <c r="G5" s="29"/>
      <c r="H5" s="29"/>
      <c r="I5" s="30"/>
      <c r="K5" s="1">
        <v>200</v>
      </c>
      <c r="L5" s="1">
        <v>80</v>
      </c>
    </row>
    <row r="6" spans="1:12" s="1" customFormat="1" ht="30" customHeight="1" x14ac:dyDescent="0.25">
      <c r="A6" s="31" t="s">
        <v>32</v>
      </c>
      <c r="B6" s="32"/>
      <c r="C6" s="33" t="s">
        <v>9</v>
      </c>
      <c r="D6" s="34"/>
      <c r="E6" s="4"/>
      <c r="F6" s="31" t="str">
        <f>A6</f>
        <v>P814</v>
      </c>
      <c r="G6" s="32"/>
      <c r="H6" s="33" t="str">
        <f>C6</f>
        <v>White</v>
      </c>
      <c r="I6" s="34"/>
    </row>
    <row r="7" spans="1:12" s="1" customFormat="1" ht="30" customHeight="1" x14ac:dyDescent="0.25">
      <c r="A7" s="12" t="s">
        <v>4</v>
      </c>
      <c r="B7" s="25">
        <v>25766</v>
      </c>
      <c r="C7" s="25"/>
      <c r="D7" s="26"/>
      <c r="E7" s="4"/>
      <c r="F7" s="12" t="s">
        <v>4</v>
      </c>
      <c r="G7" s="25">
        <f>B7</f>
        <v>25766</v>
      </c>
      <c r="H7" s="25"/>
      <c r="I7" s="26"/>
    </row>
    <row r="8" spans="1:12" ht="63.75" customHeight="1" x14ac:dyDescent="0.25">
      <c r="A8" s="27" t="s">
        <v>23</v>
      </c>
      <c r="B8" s="27"/>
      <c r="C8" s="27"/>
      <c r="D8" s="27"/>
      <c r="E8" s="2"/>
      <c r="F8" s="35" t="str">
        <f>A8</f>
        <v>Round DER - Bottom Cover</v>
      </c>
      <c r="G8" s="35"/>
      <c r="H8" s="35"/>
      <c r="I8" s="35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6" t="s">
        <v>0</v>
      </c>
      <c r="G9" s="16"/>
      <c r="H9" s="16" t="s">
        <v>1</v>
      </c>
      <c r="I9" s="16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63</v>
      </c>
      <c r="E10" s="4"/>
      <c r="F10" s="16" t="s">
        <v>2</v>
      </c>
      <c r="G10" s="16"/>
      <c r="H10" s="16" t="s">
        <v>5</v>
      </c>
      <c r="I10" s="13" t="str">
        <f>D10</f>
        <v>03B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64</v>
      </c>
      <c r="E11" s="4"/>
      <c r="F11" s="14" t="s">
        <v>3</v>
      </c>
      <c r="G11" s="15">
        <v>3</v>
      </c>
      <c r="H11" s="16" t="s">
        <v>6</v>
      </c>
      <c r="I11" s="13" t="str">
        <f>D11</f>
        <v>DER-U01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33</v>
      </c>
      <c r="B12" s="29"/>
      <c r="C12" s="29"/>
      <c r="D12" s="30"/>
      <c r="E12" s="5"/>
      <c r="F12" s="36" t="s">
        <v>71</v>
      </c>
      <c r="G12" s="36"/>
      <c r="H12" s="36"/>
      <c r="I12" s="36"/>
      <c r="K12" s="1">
        <v>200</v>
      </c>
      <c r="L12" s="1">
        <v>80</v>
      </c>
    </row>
    <row r="13" spans="1:12" s="1" customFormat="1" ht="30" customHeight="1" x14ac:dyDescent="0.25">
      <c r="A13" s="31" t="s">
        <v>32</v>
      </c>
      <c r="B13" s="32"/>
      <c r="C13" s="33" t="s">
        <v>9</v>
      </c>
      <c r="D13" s="34"/>
      <c r="E13" s="4"/>
      <c r="F13" s="38" t="str">
        <f>A13</f>
        <v>P814</v>
      </c>
      <c r="G13" s="38"/>
      <c r="H13" s="44" t="str">
        <f>C13</f>
        <v>White</v>
      </c>
      <c r="I13" s="39"/>
    </row>
    <row r="14" spans="1:12" s="1" customFormat="1" ht="30" customHeight="1" x14ac:dyDescent="0.25">
      <c r="A14" s="12" t="s">
        <v>4</v>
      </c>
      <c r="B14" s="25">
        <v>25766</v>
      </c>
      <c r="C14" s="25"/>
      <c r="D14" s="26"/>
      <c r="E14" s="4"/>
      <c r="F14" s="16" t="s">
        <v>4</v>
      </c>
      <c r="G14" s="38">
        <f>B14</f>
        <v>25766</v>
      </c>
      <c r="H14" s="38"/>
      <c r="I14" s="38"/>
    </row>
  </sheetData>
  <mergeCells count="20">
    <mergeCell ref="A8:D8"/>
    <mergeCell ref="F8:I8"/>
    <mergeCell ref="A12:D12"/>
    <mergeCell ref="F12:I12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13:B13"/>
    <mergeCell ref="C13:D13"/>
    <mergeCell ref="F13:G13"/>
    <mergeCell ref="H13:I13"/>
    <mergeCell ref="B14:D14"/>
    <mergeCell ref="G14:I1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L77"/>
  <sheetViews>
    <sheetView view="pageBreakPreview" topLeftCell="A70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103</v>
      </c>
      <c r="B1" s="27"/>
      <c r="C1" s="27"/>
      <c r="D1" s="27"/>
      <c r="E1" s="2"/>
      <c r="F1" s="27" t="str">
        <f>A1</f>
        <v>Round DER - Bottom Cover （光面）</v>
      </c>
      <c r="G1" s="27"/>
      <c r="H1" s="27"/>
      <c r="I1" s="27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52</v>
      </c>
      <c r="E3" s="4"/>
      <c r="F3" s="11" t="s">
        <v>2</v>
      </c>
      <c r="G3" s="10"/>
      <c r="H3" s="11" t="s">
        <v>5</v>
      </c>
      <c r="I3" s="7" t="str">
        <f>D3</f>
        <v>17A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53</v>
      </c>
      <c r="E4" s="4"/>
      <c r="F4" s="8" t="s">
        <v>3</v>
      </c>
      <c r="G4" s="9">
        <v>12</v>
      </c>
      <c r="H4" s="11" t="s">
        <v>6</v>
      </c>
      <c r="I4" s="7" t="str">
        <f>D4</f>
        <v>DER-U02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93</v>
      </c>
      <c r="B5" s="29"/>
      <c r="C5" s="29"/>
      <c r="D5" s="30"/>
      <c r="E5" s="5"/>
      <c r="F5" s="28" t="s">
        <v>93</v>
      </c>
      <c r="G5" s="29"/>
      <c r="H5" s="29"/>
      <c r="I5" s="30"/>
      <c r="K5" s="1">
        <v>195</v>
      </c>
      <c r="L5" s="1">
        <v>80</v>
      </c>
    </row>
    <row r="6" spans="1:12" s="1" customFormat="1" ht="30" customHeight="1" x14ac:dyDescent="0.25">
      <c r="A6" s="31" t="s">
        <v>54</v>
      </c>
      <c r="B6" s="32"/>
      <c r="C6" s="37" t="s">
        <v>104</v>
      </c>
      <c r="D6" s="34"/>
      <c r="E6" s="4"/>
      <c r="F6" s="31" t="str">
        <f>A6</f>
        <v>PP6331</v>
      </c>
      <c r="G6" s="32"/>
      <c r="H6" s="37" t="str">
        <f>C6</f>
        <v>Red</v>
      </c>
      <c r="I6" s="34"/>
    </row>
    <row r="7" spans="1:12" s="1" customFormat="1" ht="30" customHeight="1" x14ac:dyDescent="0.25">
      <c r="A7" s="12" t="s">
        <v>4</v>
      </c>
      <c r="B7" s="25">
        <v>26097</v>
      </c>
      <c r="C7" s="25"/>
      <c r="D7" s="26"/>
      <c r="E7" s="4"/>
      <c r="F7" s="12" t="s">
        <v>4</v>
      </c>
      <c r="G7" s="25">
        <f>B7</f>
        <v>26097</v>
      </c>
      <c r="H7" s="25"/>
      <c r="I7" s="26"/>
    </row>
    <row r="8" spans="1:12" ht="63.75" customHeight="1" x14ac:dyDescent="0.25">
      <c r="A8" s="27" t="s">
        <v>103</v>
      </c>
      <c r="B8" s="27"/>
      <c r="C8" s="27"/>
      <c r="D8" s="27"/>
      <c r="E8" s="2"/>
      <c r="F8" s="27" t="str">
        <f>A8</f>
        <v>Round DER - Bottom Cover （光面）</v>
      </c>
      <c r="G8" s="27"/>
      <c r="H8" s="27"/>
      <c r="I8" s="27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52</v>
      </c>
      <c r="E10" s="4"/>
      <c r="F10" s="11" t="s">
        <v>2</v>
      </c>
      <c r="G10" s="10"/>
      <c r="H10" s="11" t="s">
        <v>5</v>
      </c>
      <c r="I10" s="7" t="str">
        <f>D10</f>
        <v>17A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53</v>
      </c>
      <c r="E11" s="4"/>
      <c r="F11" s="8" t="s">
        <v>3</v>
      </c>
      <c r="G11" s="9">
        <v>13</v>
      </c>
      <c r="H11" s="11" t="s">
        <v>6</v>
      </c>
      <c r="I11" s="7" t="str">
        <f>D11</f>
        <v>DER-U02</v>
      </c>
      <c r="K11" s="6" t="s">
        <v>8</v>
      </c>
      <c r="L11" s="6" t="s">
        <v>7</v>
      </c>
    </row>
    <row r="12" spans="1:12" s="1" customFormat="1" ht="30" customHeight="1" x14ac:dyDescent="0.25">
      <c r="A12" s="28" t="s">
        <v>93</v>
      </c>
      <c r="B12" s="29"/>
      <c r="C12" s="29"/>
      <c r="D12" s="30"/>
      <c r="E12" s="5"/>
      <c r="F12" s="28" t="s">
        <v>93</v>
      </c>
      <c r="G12" s="29"/>
      <c r="H12" s="29"/>
      <c r="I12" s="30"/>
      <c r="K12" s="1">
        <v>195</v>
      </c>
      <c r="L12" s="1">
        <v>80</v>
      </c>
    </row>
    <row r="13" spans="1:12" s="1" customFormat="1" ht="30" customHeight="1" x14ac:dyDescent="0.25">
      <c r="A13" s="31" t="s">
        <v>54</v>
      </c>
      <c r="B13" s="32"/>
      <c r="C13" s="37" t="s">
        <v>104</v>
      </c>
      <c r="D13" s="34"/>
      <c r="E13" s="4"/>
      <c r="F13" s="31" t="str">
        <f>A13</f>
        <v>PP6331</v>
      </c>
      <c r="G13" s="32"/>
      <c r="H13" s="37" t="str">
        <f>C13</f>
        <v>Red</v>
      </c>
      <c r="I13" s="34"/>
    </row>
    <row r="14" spans="1:12" s="1" customFormat="1" ht="30" customHeight="1" x14ac:dyDescent="0.25">
      <c r="A14" s="12" t="s">
        <v>4</v>
      </c>
      <c r="B14" s="25">
        <v>26097</v>
      </c>
      <c r="C14" s="25"/>
      <c r="D14" s="26"/>
      <c r="E14" s="4"/>
      <c r="F14" s="12" t="s">
        <v>4</v>
      </c>
      <c r="G14" s="25">
        <f>B14</f>
        <v>26097</v>
      </c>
      <c r="H14" s="25"/>
      <c r="I14" s="26"/>
    </row>
    <row r="15" spans="1:12" ht="63.75" customHeight="1" x14ac:dyDescent="0.25">
      <c r="A15" s="27" t="s">
        <v>103</v>
      </c>
      <c r="B15" s="27"/>
      <c r="C15" s="27"/>
      <c r="D15" s="27"/>
      <c r="E15" s="2"/>
      <c r="F15" s="27" t="str">
        <f>A15</f>
        <v>Round DER - Bottom Cover （光面）</v>
      </c>
      <c r="G15" s="27"/>
      <c r="H15" s="27"/>
      <c r="I15" s="27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52</v>
      </c>
      <c r="E17" s="4"/>
      <c r="F17" s="11" t="s">
        <v>2</v>
      </c>
      <c r="G17" s="10"/>
      <c r="H17" s="11" t="s">
        <v>5</v>
      </c>
      <c r="I17" s="7" t="str">
        <f>D17</f>
        <v>17A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53</v>
      </c>
      <c r="E18" s="4"/>
      <c r="F18" s="8" t="s">
        <v>3</v>
      </c>
      <c r="G18" s="9">
        <v>14</v>
      </c>
      <c r="H18" s="11" t="s">
        <v>6</v>
      </c>
      <c r="I18" s="7" t="str">
        <f>D18</f>
        <v>DER-U02</v>
      </c>
      <c r="K18" s="6" t="s">
        <v>8</v>
      </c>
      <c r="L18" s="6" t="s">
        <v>7</v>
      </c>
    </row>
    <row r="19" spans="1:12" s="1" customFormat="1" ht="30" customHeight="1" x14ac:dyDescent="0.25">
      <c r="A19" s="28" t="s">
        <v>93</v>
      </c>
      <c r="B19" s="29"/>
      <c r="C19" s="29"/>
      <c r="D19" s="30"/>
      <c r="E19" s="5"/>
      <c r="F19" s="28" t="s">
        <v>93</v>
      </c>
      <c r="G19" s="29"/>
      <c r="H19" s="29"/>
      <c r="I19" s="30"/>
      <c r="K19" s="1">
        <v>195</v>
      </c>
      <c r="L19" s="1">
        <v>80</v>
      </c>
    </row>
    <row r="20" spans="1:12" s="1" customFormat="1" ht="30" customHeight="1" x14ac:dyDescent="0.25">
      <c r="A20" s="31" t="s">
        <v>54</v>
      </c>
      <c r="B20" s="32"/>
      <c r="C20" s="37" t="s">
        <v>104</v>
      </c>
      <c r="D20" s="34"/>
      <c r="E20" s="4"/>
      <c r="F20" s="31" t="str">
        <f>A20</f>
        <v>PP6331</v>
      </c>
      <c r="G20" s="32"/>
      <c r="H20" s="37" t="str">
        <f>C20</f>
        <v>Red</v>
      </c>
      <c r="I20" s="34"/>
    </row>
    <row r="21" spans="1:12" s="1" customFormat="1" ht="30" customHeight="1" x14ac:dyDescent="0.25">
      <c r="A21" s="12" t="s">
        <v>4</v>
      </c>
      <c r="B21" s="25">
        <v>26097</v>
      </c>
      <c r="C21" s="25"/>
      <c r="D21" s="26"/>
      <c r="E21" s="4"/>
      <c r="F21" s="12" t="s">
        <v>4</v>
      </c>
      <c r="G21" s="25">
        <f>B21</f>
        <v>26097</v>
      </c>
      <c r="H21" s="25"/>
      <c r="I21" s="26"/>
    </row>
    <row r="22" spans="1:12" ht="63.75" customHeight="1" x14ac:dyDescent="0.25">
      <c r="A22" s="27" t="s">
        <v>103</v>
      </c>
      <c r="B22" s="27"/>
      <c r="C22" s="27"/>
      <c r="D22" s="27"/>
      <c r="E22" s="2"/>
      <c r="F22" s="27" t="str">
        <f>A22</f>
        <v>Round DER - Bottom Cover （光面）</v>
      </c>
      <c r="G22" s="27"/>
      <c r="H22" s="27"/>
      <c r="I22" s="27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52</v>
      </c>
      <c r="E24" s="4"/>
      <c r="F24" s="11" t="s">
        <v>2</v>
      </c>
      <c r="G24" s="10"/>
      <c r="H24" s="11" t="s">
        <v>5</v>
      </c>
      <c r="I24" s="7" t="str">
        <f>D24</f>
        <v>17A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53</v>
      </c>
      <c r="E25" s="4"/>
      <c r="F25" s="8" t="s">
        <v>3</v>
      </c>
      <c r="G25" s="9">
        <v>15</v>
      </c>
      <c r="H25" s="11" t="s">
        <v>6</v>
      </c>
      <c r="I25" s="7" t="str">
        <f>D25</f>
        <v>DER-U02</v>
      </c>
      <c r="K25" s="6" t="s">
        <v>8</v>
      </c>
      <c r="L25" s="6" t="s">
        <v>7</v>
      </c>
    </row>
    <row r="26" spans="1:12" s="1" customFormat="1" ht="30" customHeight="1" x14ac:dyDescent="0.25">
      <c r="A26" s="28" t="s">
        <v>93</v>
      </c>
      <c r="B26" s="29"/>
      <c r="C26" s="29"/>
      <c r="D26" s="30"/>
      <c r="E26" s="5"/>
      <c r="F26" s="28" t="s">
        <v>93</v>
      </c>
      <c r="G26" s="29"/>
      <c r="H26" s="29"/>
      <c r="I26" s="30"/>
      <c r="K26" s="1">
        <v>195</v>
      </c>
      <c r="L26" s="1">
        <v>80</v>
      </c>
    </row>
    <row r="27" spans="1:12" s="1" customFormat="1" ht="30" customHeight="1" x14ac:dyDescent="0.25">
      <c r="A27" s="31" t="s">
        <v>54</v>
      </c>
      <c r="B27" s="32"/>
      <c r="C27" s="37" t="s">
        <v>104</v>
      </c>
      <c r="D27" s="34"/>
      <c r="E27" s="4"/>
      <c r="F27" s="31" t="str">
        <f>A27</f>
        <v>PP6331</v>
      </c>
      <c r="G27" s="32"/>
      <c r="H27" s="37" t="str">
        <f>C27</f>
        <v>Red</v>
      </c>
      <c r="I27" s="34"/>
    </row>
    <row r="28" spans="1:12" s="1" customFormat="1" ht="30" customHeight="1" x14ac:dyDescent="0.25">
      <c r="A28" s="12" t="s">
        <v>4</v>
      </c>
      <c r="B28" s="25">
        <v>26097</v>
      </c>
      <c r="C28" s="25"/>
      <c r="D28" s="26"/>
      <c r="E28" s="4"/>
      <c r="F28" s="12" t="s">
        <v>4</v>
      </c>
      <c r="G28" s="25">
        <f>B28</f>
        <v>26097</v>
      </c>
      <c r="H28" s="25"/>
      <c r="I28" s="26"/>
    </row>
    <row r="29" spans="1:12" ht="63.75" customHeight="1" x14ac:dyDescent="0.25">
      <c r="A29" s="27" t="s">
        <v>103</v>
      </c>
      <c r="B29" s="27"/>
      <c r="C29" s="27"/>
      <c r="D29" s="27"/>
      <c r="E29" s="2"/>
      <c r="F29" s="27" t="str">
        <f>A29</f>
        <v>Round DER - Bottom Cover （光面）</v>
      </c>
      <c r="G29" s="27"/>
      <c r="H29" s="27"/>
      <c r="I29" s="27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52</v>
      </c>
      <c r="E31" s="4"/>
      <c r="F31" s="11" t="s">
        <v>2</v>
      </c>
      <c r="G31" s="10"/>
      <c r="H31" s="11" t="s">
        <v>5</v>
      </c>
      <c r="I31" s="7" t="str">
        <f>D31</f>
        <v>17A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53</v>
      </c>
      <c r="E32" s="4"/>
      <c r="F32" s="8" t="s">
        <v>3</v>
      </c>
      <c r="G32" s="9">
        <v>16</v>
      </c>
      <c r="H32" s="11" t="s">
        <v>6</v>
      </c>
      <c r="I32" s="7" t="str">
        <f>D32</f>
        <v>DER-U02</v>
      </c>
      <c r="K32" s="6" t="s">
        <v>8</v>
      </c>
      <c r="L32" s="6" t="s">
        <v>7</v>
      </c>
    </row>
    <row r="33" spans="1:12" s="1" customFormat="1" ht="30" customHeight="1" x14ac:dyDescent="0.25">
      <c r="A33" s="28" t="s">
        <v>93</v>
      </c>
      <c r="B33" s="29"/>
      <c r="C33" s="29"/>
      <c r="D33" s="30"/>
      <c r="E33" s="5"/>
      <c r="F33" s="28" t="s">
        <v>93</v>
      </c>
      <c r="G33" s="29"/>
      <c r="H33" s="29"/>
      <c r="I33" s="30"/>
      <c r="K33" s="1">
        <v>195</v>
      </c>
      <c r="L33" s="1">
        <v>80</v>
      </c>
    </row>
    <row r="34" spans="1:12" s="1" customFormat="1" ht="30" customHeight="1" x14ac:dyDescent="0.25">
      <c r="A34" s="31" t="s">
        <v>54</v>
      </c>
      <c r="B34" s="32"/>
      <c r="C34" s="37" t="s">
        <v>104</v>
      </c>
      <c r="D34" s="34"/>
      <c r="E34" s="4"/>
      <c r="F34" s="31" t="str">
        <f>A34</f>
        <v>PP6331</v>
      </c>
      <c r="G34" s="32"/>
      <c r="H34" s="37" t="str">
        <f>C34</f>
        <v>Red</v>
      </c>
      <c r="I34" s="34"/>
    </row>
    <row r="35" spans="1:12" s="1" customFormat="1" ht="30" customHeight="1" x14ac:dyDescent="0.25">
      <c r="A35" s="12" t="s">
        <v>4</v>
      </c>
      <c r="B35" s="25">
        <v>26097</v>
      </c>
      <c r="C35" s="25"/>
      <c r="D35" s="26"/>
      <c r="E35" s="4"/>
      <c r="F35" s="12" t="s">
        <v>4</v>
      </c>
      <c r="G35" s="25">
        <f>B35</f>
        <v>26097</v>
      </c>
      <c r="H35" s="25"/>
      <c r="I35" s="26"/>
    </row>
    <row r="36" spans="1:12" ht="63.75" customHeight="1" x14ac:dyDescent="0.25">
      <c r="A36" s="27" t="s">
        <v>103</v>
      </c>
      <c r="B36" s="27"/>
      <c r="C36" s="27"/>
      <c r="D36" s="27"/>
      <c r="E36" s="2"/>
      <c r="F36" s="27" t="str">
        <f>A36</f>
        <v>Round DER - Bottom Cover （光面）</v>
      </c>
      <c r="G36" s="27"/>
      <c r="H36" s="27"/>
      <c r="I36" s="27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52</v>
      </c>
      <c r="E38" s="4"/>
      <c r="F38" s="11" t="s">
        <v>2</v>
      </c>
      <c r="G38" s="10"/>
      <c r="H38" s="11" t="s">
        <v>5</v>
      </c>
      <c r="I38" s="7" t="str">
        <f>D38</f>
        <v>17A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53</v>
      </c>
      <c r="E39" s="4"/>
      <c r="F39" s="8" t="s">
        <v>3</v>
      </c>
      <c r="G39" s="9">
        <v>17</v>
      </c>
      <c r="H39" s="11" t="s">
        <v>6</v>
      </c>
      <c r="I39" s="7" t="str">
        <f>D39</f>
        <v>DER-U02</v>
      </c>
      <c r="K39" s="6" t="s">
        <v>8</v>
      </c>
      <c r="L39" s="6" t="s">
        <v>7</v>
      </c>
    </row>
    <row r="40" spans="1:12" s="1" customFormat="1" ht="30" customHeight="1" x14ac:dyDescent="0.25">
      <c r="A40" s="28" t="s">
        <v>93</v>
      </c>
      <c r="B40" s="29"/>
      <c r="C40" s="29"/>
      <c r="D40" s="30"/>
      <c r="E40" s="5"/>
      <c r="F40" s="28" t="s">
        <v>93</v>
      </c>
      <c r="G40" s="29"/>
      <c r="H40" s="29"/>
      <c r="I40" s="30"/>
      <c r="K40" s="1">
        <v>195</v>
      </c>
      <c r="L40" s="1">
        <v>80</v>
      </c>
    </row>
    <row r="41" spans="1:12" s="1" customFormat="1" ht="30" customHeight="1" x14ac:dyDescent="0.25">
      <c r="A41" s="31" t="s">
        <v>54</v>
      </c>
      <c r="B41" s="32"/>
      <c r="C41" s="37" t="s">
        <v>104</v>
      </c>
      <c r="D41" s="34"/>
      <c r="E41" s="4"/>
      <c r="F41" s="31" t="str">
        <f>A41</f>
        <v>PP6331</v>
      </c>
      <c r="G41" s="32"/>
      <c r="H41" s="37" t="str">
        <f>C41</f>
        <v>Red</v>
      </c>
      <c r="I41" s="34"/>
    </row>
    <row r="42" spans="1:12" s="1" customFormat="1" ht="30" customHeight="1" x14ac:dyDescent="0.25">
      <c r="A42" s="12" t="s">
        <v>4</v>
      </c>
      <c r="B42" s="25">
        <v>26097</v>
      </c>
      <c r="C42" s="25"/>
      <c r="D42" s="26"/>
      <c r="E42" s="4"/>
      <c r="F42" s="12" t="s">
        <v>4</v>
      </c>
      <c r="G42" s="25">
        <f>B42</f>
        <v>26097</v>
      </c>
      <c r="H42" s="25"/>
      <c r="I42" s="26"/>
    </row>
    <row r="43" spans="1:12" ht="63.75" customHeight="1" x14ac:dyDescent="0.25">
      <c r="A43" s="27" t="s">
        <v>103</v>
      </c>
      <c r="B43" s="27"/>
      <c r="C43" s="27"/>
      <c r="D43" s="27"/>
      <c r="E43" s="2"/>
      <c r="F43" s="27" t="str">
        <f>A43</f>
        <v>Round DER - Bottom Cover （光面）</v>
      </c>
      <c r="G43" s="27"/>
      <c r="H43" s="27"/>
      <c r="I43" s="27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52</v>
      </c>
      <c r="E45" s="4"/>
      <c r="F45" s="11" t="s">
        <v>2</v>
      </c>
      <c r="G45" s="10"/>
      <c r="H45" s="11" t="s">
        <v>5</v>
      </c>
      <c r="I45" s="7" t="str">
        <f>D45</f>
        <v>17A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53</v>
      </c>
      <c r="E46" s="4"/>
      <c r="F46" s="8" t="s">
        <v>3</v>
      </c>
      <c r="G46" s="9">
        <v>18</v>
      </c>
      <c r="H46" s="11" t="s">
        <v>6</v>
      </c>
      <c r="I46" s="7" t="str">
        <f>D46</f>
        <v>DER-U02</v>
      </c>
      <c r="K46" s="6" t="s">
        <v>8</v>
      </c>
      <c r="L46" s="6" t="s">
        <v>7</v>
      </c>
    </row>
    <row r="47" spans="1:12" s="1" customFormat="1" ht="30" customHeight="1" x14ac:dyDescent="0.25">
      <c r="A47" s="28" t="s">
        <v>93</v>
      </c>
      <c r="B47" s="29"/>
      <c r="C47" s="29"/>
      <c r="D47" s="30"/>
      <c r="E47" s="5"/>
      <c r="F47" s="28" t="s">
        <v>93</v>
      </c>
      <c r="G47" s="29"/>
      <c r="H47" s="29"/>
      <c r="I47" s="30"/>
      <c r="K47" s="1">
        <v>195</v>
      </c>
      <c r="L47" s="1">
        <v>80</v>
      </c>
    </row>
    <row r="48" spans="1:12" s="1" customFormat="1" ht="30" customHeight="1" x14ac:dyDescent="0.25">
      <c r="A48" s="31" t="s">
        <v>54</v>
      </c>
      <c r="B48" s="32"/>
      <c r="C48" s="37" t="s">
        <v>104</v>
      </c>
      <c r="D48" s="34"/>
      <c r="E48" s="4"/>
      <c r="F48" s="31" t="str">
        <f>A48</f>
        <v>PP6331</v>
      </c>
      <c r="G48" s="32"/>
      <c r="H48" s="37" t="str">
        <f>C48</f>
        <v>Red</v>
      </c>
      <c r="I48" s="34"/>
    </row>
    <row r="49" spans="1:12" s="1" customFormat="1" ht="30" customHeight="1" x14ac:dyDescent="0.25">
      <c r="A49" s="12" t="s">
        <v>4</v>
      </c>
      <c r="B49" s="25">
        <v>26097</v>
      </c>
      <c r="C49" s="25"/>
      <c r="D49" s="26"/>
      <c r="E49" s="4"/>
      <c r="F49" s="12" t="s">
        <v>4</v>
      </c>
      <c r="G49" s="25">
        <f>B49</f>
        <v>26097</v>
      </c>
      <c r="H49" s="25"/>
      <c r="I49" s="26"/>
    </row>
    <row r="50" spans="1:12" ht="63.75" customHeight="1" x14ac:dyDescent="0.25">
      <c r="A50" s="27" t="s">
        <v>103</v>
      </c>
      <c r="B50" s="27"/>
      <c r="C50" s="27"/>
      <c r="D50" s="27"/>
      <c r="E50" s="2"/>
      <c r="F50" s="27" t="str">
        <f>A50</f>
        <v>Round DER - Bottom Cover （光面）</v>
      </c>
      <c r="G50" s="27"/>
      <c r="H50" s="27"/>
      <c r="I50" s="27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52</v>
      </c>
      <c r="E52" s="4"/>
      <c r="F52" s="11" t="s">
        <v>2</v>
      </c>
      <c r="G52" s="10"/>
      <c r="H52" s="11" t="s">
        <v>5</v>
      </c>
      <c r="I52" s="7" t="str">
        <f>D52</f>
        <v>17A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53</v>
      </c>
      <c r="E53" s="4"/>
      <c r="F53" s="8" t="s">
        <v>3</v>
      </c>
      <c r="G53" s="9">
        <v>19</v>
      </c>
      <c r="H53" s="11" t="s">
        <v>6</v>
      </c>
      <c r="I53" s="7" t="str">
        <f>D53</f>
        <v>DER-U02</v>
      </c>
      <c r="K53" s="6" t="s">
        <v>8</v>
      </c>
      <c r="L53" s="6" t="s">
        <v>7</v>
      </c>
    </row>
    <row r="54" spans="1:12" s="1" customFormat="1" ht="30" customHeight="1" x14ac:dyDescent="0.25">
      <c r="A54" s="28" t="s">
        <v>93</v>
      </c>
      <c r="B54" s="29"/>
      <c r="C54" s="29"/>
      <c r="D54" s="30"/>
      <c r="E54" s="5"/>
      <c r="F54" s="28" t="s">
        <v>93</v>
      </c>
      <c r="G54" s="29"/>
      <c r="H54" s="29"/>
      <c r="I54" s="30"/>
      <c r="K54" s="1">
        <v>195</v>
      </c>
      <c r="L54" s="1">
        <v>80</v>
      </c>
    </row>
    <row r="55" spans="1:12" s="1" customFormat="1" ht="30" customHeight="1" x14ac:dyDescent="0.25">
      <c r="A55" s="31" t="s">
        <v>54</v>
      </c>
      <c r="B55" s="32"/>
      <c r="C55" s="37" t="s">
        <v>104</v>
      </c>
      <c r="D55" s="34"/>
      <c r="E55" s="4"/>
      <c r="F55" s="31" t="str">
        <f>A55</f>
        <v>PP6331</v>
      </c>
      <c r="G55" s="32"/>
      <c r="H55" s="37" t="str">
        <f>C55</f>
        <v>Red</v>
      </c>
      <c r="I55" s="34"/>
    </row>
    <row r="56" spans="1:12" s="1" customFormat="1" ht="30" customHeight="1" x14ac:dyDescent="0.25">
      <c r="A56" s="12" t="s">
        <v>4</v>
      </c>
      <c r="B56" s="25">
        <v>26097</v>
      </c>
      <c r="C56" s="25"/>
      <c r="D56" s="26"/>
      <c r="E56" s="4"/>
      <c r="F56" s="12" t="s">
        <v>4</v>
      </c>
      <c r="G56" s="25">
        <f>B56</f>
        <v>26097</v>
      </c>
      <c r="H56" s="25"/>
      <c r="I56" s="26"/>
    </row>
    <row r="57" spans="1:12" ht="63.75" customHeight="1" x14ac:dyDescent="0.25">
      <c r="A57" s="27" t="s">
        <v>103</v>
      </c>
      <c r="B57" s="27"/>
      <c r="C57" s="27"/>
      <c r="D57" s="27"/>
      <c r="E57" s="2"/>
      <c r="F57" s="27" t="str">
        <f>A57</f>
        <v>Round DER - Bottom Cover （光面）</v>
      </c>
      <c r="G57" s="27"/>
      <c r="H57" s="27"/>
      <c r="I57" s="27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52</v>
      </c>
      <c r="E59" s="4"/>
      <c r="F59" s="11" t="s">
        <v>2</v>
      </c>
      <c r="G59" s="10"/>
      <c r="H59" s="11" t="s">
        <v>5</v>
      </c>
      <c r="I59" s="7" t="str">
        <f>D59</f>
        <v>17A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53</v>
      </c>
      <c r="E60" s="4"/>
      <c r="F60" s="8" t="s">
        <v>3</v>
      </c>
      <c r="G60" s="9">
        <v>20</v>
      </c>
      <c r="H60" s="11" t="s">
        <v>6</v>
      </c>
      <c r="I60" s="7" t="str">
        <f>D60</f>
        <v>DER-U02</v>
      </c>
      <c r="K60" s="6" t="s">
        <v>8</v>
      </c>
      <c r="L60" s="6" t="s">
        <v>7</v>
      </c>
    </row>
    <row r="61" spans="1:12" s="1" customFormat="1" ht="30" customHeight="1" x14ac:dyDescent="0.25">
      <c r="A61" s="28" t="s">
        <v>93</v>
      </c>
      <c r="B61" s="29"/>
      <c r="C61" s="29"/>
      <c r="D61" s="30"/>
      <c r="E61" s="5"/>
      <c r="F61" s="28" t="s">
        <v>93</v>
      </c>
      <c r="G61" s="29"/>
      <c r="H61" s="29"/>
      <c r="I61" s="30"/>
      <c r="K61" s="1">
        <v>195</v>
      </c>
      <c r="L61" s="1">
        <v>80</v>
      </c>
    </row>
    <row r="62" spans="1:12" s="1" customFormat="1" ht="30" customHeight="1" x14ac:dyDescent="0.25">
      <c r="A62" s="31" t="s">
        <v>54</v>
      </c>
      <c r="B62" s="32"/>
      <c r="C62" s="37" t="s">
        <v>104</v>
      </c>
      <c r="D62" s="34"/>
      <c r="E62" s="4"/>
      <c r="F62" s="31" t="str">
        <f>A62</f>
        <v>PP6331</v>
      </c>
      <c r="G62" s="32"/>
      <c r="H62" s="37" t="str">
        <f>C62</f>
        <v>Red</v>
      </c>
      <c r="I62" s="34"/>
    </row>
    <row r="63" spans="1:12" s="1" customFormat="1" ht="30" customHeight="1" x14ac:dyDescent="0.25">
      <c r="A63" s="12" t="s">
        <v>4</v>
      </c>
      <c r="B63" s="25">
        <v>26097</v>
      </c>
      <c r="C63" s="25"/>
      <c r="D63" s="26"/>
      <c r="E63" s="4"/>
      <c r="F63" s="12" t="s">
        <v>4</v>
      </c>
      <c r="G63" s="25">
        <f>B63</f>
        <v>26097</v>
      </c>
      <c r="H63" s="25"/>
      <c r="I63" s="26"/>
    </row>
    <row r="64" spans="1:12" ht="63.75" customHeight="1" x14ac:dyDescent="0.25">
      <c r="A64" s="27" t="s">
        <v>103</v>
      </c>
      <c r="B64" s="27"/>
      <c r="C64" s="27"/>
      <c r="D64" s="27"/>
      <c r="E64" s="2"/>
      <c r="F64" s="27" t="str">
        <f>A64</f>
        <v>Round DER - Bottom Cover （光面）</v>
      </c>
      <c r="G64" s="27"/>
      <c r="H64" s="27"/>
      <c r="I64" s="27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52</v>
      </c>
      <c r="E66" s="4"/>
      <c r="F66" s="11" t="s">
        <v>2</v>
      </c>
      <c r="G66" s="10"/>
      <c r="H66" s="11" t="s">
        <v>5</v>
      </c>
      <c r="I66" s="7" t="str">
        <f>D66</f>
        <v>17A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53</v>
      </c>
      <c r="E67" s="4"/>
      <c r="F67" s="8" t="s">
        <v>3</v>
      </c>
      <c r="G67" s="9">
        <v>21</v>
      </c>
      <c r="H67" s="11" t="s">
        <v>6</v>
      </c>
      <c r="I67" s="7" t="str">
        <f>D67</f>
        <v>DER-U02</v>
      </c>
      <c r="K67" s="6" t="s">
        <v>8</v>
      </c>
      <c r="L67" s="6" t="s">
        <v>7</v>
      </c>
    </row>
    <row r="68" spans="1:12" s="1" customFormat="1" ht="30" customHeight="1" x14ac:dyDescent="0.25">
      <c r="A68" s="28" t="s">
        <v>93</v>
      </c>
      <c r="B68" s="29"/>
      <c r="C68" s="29"/>
      <c r="D68" s="30"/>
      <c r="E68" s="5"/>
      <c r="F68" s="28" t="s">
        <v>93</v>
      </c>
      <c r="G68" s="29"/>
      <c r="H68" s="29"/>
      <c r="I68" s="30"/>
      <c r="K68" s="1">
        <v>195</v>
      </c>
      <c r="L68" s="1">
        <v>80</v>
      </c>
    </row>
    <row r="69" spans="1:12" s="1" customFormat="1" ht="30" customHeight="1" x14ac:dyDescent="0.25">
      <c r="A69" s="31" t="s">
        <v>54</v>
      </c>
      <c r="B69" s="32"/>
      <c r="C69" s="37" t="s">
        <v>104</v>
      </c>
      <c r="D69" s="34"/>
      <c r="E69" s="4"/>
      <c r="F69" s="31" t="str">
        <f>A69</f>
        <v>PP6331</v>
      </c>
      <c r="G69" s="32"/>
      <c r="H69" s="37" t="str">
        <f>C69</f>
        <v>Red</v>
      </c>
      <c r="I69" s="34"/>
    </row>
    <row r="70" spans="1:12" s="1" customFormat="1" ht="30" customHeight="1" x14ac:dyDescent="0.25">
      <c r="A70" s="12" t="s">
        <v>4</v>
      </c>
      <c r="B70" s="25">
        <v>26097</v>
      </c>
      <c r="C70" s="25"/>
      <c r="D70" s="26"/>
      <c r="E70" s="4"/>
      <c r="F70" s="12" t="s">
        <v>4</v>
      </c>
      <c r="G70" s="25">
        <f>B70</f>
        <v>26097</v>
      </c>
      <c r="H70" s="25"/>
      <c r="I70" s="26"/>
    </row>
    <row r="71" spans="1:12" ht="63.75" customHeight="1" x14ac:dyDescent="0.25">
      <c r="A71" s="27" t="s">
        <v>103</v>
      </c>
      <c r="B71" s="27"/>
      <c r="C71" s="27"/>
      <c r="D71" s="27"/>
      <c r="E71" s="2"/>
      <c r="F71" s="27" t="str">
        <f>A71</f>
        <v>Round DER - Bottom Cover （光面）</v>
      </c>
      <c r="G71" s="27"/>
      <c r="H71" s="27"/>
      <c r="I71" s="27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52</v>
      </c>
      <c r="E73" s="4"/>
      <c r="F73" s="11" t="s">
        <v>2</v>
      </c>
      <c r="G73" s="10"/>
      <c r="H73" s="11" t="s">
        <v>5</v>
      </c>
      <c r="I73" s="7" t="str">
        <f>D73</f>
        <v>17A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53</v>
      </c>
      <c r="E74" s="4"/>
      <c r="F74" s="8" t="s">
        <v>3</v>
      </c>
      <c r="G74" s="9">
        <v>22</v>
      </c>
      <c r="H74" s="11" t="s">
        <v>6</v>
      </c>
      <c r="I74" s="7" t="str">
        <f>D74</f>
        <v>DER-U02</v>
      </c>
      <c r="K74" s="6" t="s">
        <v>8</v>
      </c>
      <c r="L74" s="6" t="s">
        <v>7</v>
      </c>
    </row>
    <row r="75" spans="1:12" s="1" customFormat="1" ht="30" customHeight="1" x14ac:dyDescent="0.25">
      <c r="A75" s="28" t="s">
        <v>93</v>
      </c>
      <c r="B75" s="29"/>
      <c r="C75" s="29"/>
      <c r="D75" s="30"/>
      <c r="E75" s="5"/>
      <c r="F75" s="28" t="s">
        <v>105</v>
      </c>
      <c r="G75" s="29"/>
      <c r="H75" s="29"/>
      <c r="I75" s="30"/>
      <c r="K75" s="1">
        <v>195</v>
      </c>
      <c r="L75" s="1">
        <v>80</v>
      </c>
    </row>
    <row r="76" spans="1:12" s="1" customFormat="1" ht="30" customHeight="1" x14ac:dyDescent="0.25">
      <c r="A76" s="31" t="s">
        <v>54</v>
      </c>
      <c r="B76" s="32"/>
      <c r="C76" s="37" t="s">
        <v>104</v>
      </c>
      <c r="D76" s="34"/>
      <c r="E76" s="4"/>
      <c r="F76" s="31" t="str">
        <f>A76</f>
        <v>PP6331</v>
      </c>
      <c r="G76" s="32"/>
      <c r="H76" s="37" t="str">
        <f>C76</f>
        <v>Red</v>
      </c>
      <c r="I76" s="34"/>
    </row>
    <row r="77" spans="1:12" s="1" customFormat="1" ht="30" customHeight="1" x14ac:dyDescent="0.25">
      <c r="A77" s="12" t="s">
        <v>4</v>
      </c>
      <c r="B77" s="25">
        <v>26097</v>
      </c>
      <c r="C77" s="25"/>
      <c r="D77" s="26"/>
      <c r="E77" s="4"/>
      <c r="F77" s="12" t="s">
        <v>4</v>
      </c>
      <c r="G77" s="25">
        <f>B77</f>
        <v>26097</v>
      </c>
      <c r="H77" s="25"/>
      <c r="I77" s="26"/>
    </row>
  </sheetData>
  <mergeCells count="110">
    <mergeCell ref="B77:D77"/>
    <mergeCell ref="G77:I77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7"/>
  <sheetViews>
    <sheetView view="pageBreakPreview" zoomScaleNormal="100" zoomScaleSheetLayoutView="100" workbookViewId="0">
      <selection activeCell="B8" sqref="B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7" t="s">
        <v>31</v>
      </c>
      <c r="B1" s="27"/>
      <c r="C1" s="27"/>
      <c r="D1" s="27"/>
      <c r="E1" s="2"/>
      <c r="F1" s="35" t="str">
        <f>A1</f>
        <v>Round Stick - Plug</v>
      </c>
      <c r="G1" s="35"/>
      <c r="H1" s="35"/>
      <c r="I1" s="35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6" t="s">
        <v>0</v>
      </c>
      <c r="G2" s="16"/>
      <c r="H2" s="16" t="s">
        <v>1</v>
      </c>
      <c r="I2" s="16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47</v>
      </c>
      <c r="E3" s="4"/>
      <c r="F3" s="16" t="s">
        <v>2</v>
      </c>
      <c r="G3" s="16"/>
      <c r="H3" s="16" t="s">
        <v>5</v>
      </c>
      <c r="I3" s="13" t="str">
        <f>D3</f>
        <v>18A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25</v>
      </c>
      <c r="E4" s="4"/>
      <c r="F4" s="14" t="s">
        <v>3</v>
      </c>
      <c r="G4" s="15">
        <v>7</v>
      </c>
      <c r="H4" s="16" t="s">
        <v>6</v>
      </c>
      <c r="I4" s="13" t="str">
        <f>D4</f>
        <v>DER-W01</v>
      </c>
      <c r="K4" s="6" t="s">
        <v>8</v>
      </c>
      <c r="L4" s="6" t="s">
        <v>7</v>
      </c>
    </row>
    <row r="5" spans="1:12" s="1" customFormat="1" ht="30" customHeight="1" x14ac:dyDescent="0.25">
      <c r="A5" s="28" t="s">
        <v>106</v>
      </c>
      <c r="B5" s="29"/>
      <c r="C5" s="29"/>
      <c r="D5" s="30"/>
      <c r="E5" s="5"/>
      <c r="F5" s="36" t="s">
        <v>27</v>
      </c>
      <c r="G5" s="36"/>
      <c r="H5" s="36"/>
      <c r="I5" s="36"/>
      <c r="K5" s="1">
        <v>2600</v>
      </c>
      <c r="L5" s="1">
        <v>80</v>
      </c>
    </row>
    <row r="6" spans="1:12" s="1" customFormat="1" ht="30" customHeight="1" x14ac:dyDescent="0.25">
      <c r="A6" s="31">
        <v>6331</v>
      </c>
      <c r="B6" s="32"/>
      <c r="C6" s="37" t="s">
        <v>9</v>
      </c>
      <c r="D6" s="34"/>
      <c r="E6" s="4"/>
      <c r="F6" s="38">
        <f>A6</f>
        <v>6331</v>
      </c>
      <c r="G6" s="38"/>
      <c r="H6" s="39" t="str">
        <f>C6</f>
        <v>White</v>
      </c>
      <c r="I6" s="39"/>
    </row>
    <row r="7" spans="1:12" s="1" customFormat="1" ht="30" customHeight="1" x14ac:dyDescent="0.25">
      <c r="A7" s="12" t="s">
        <v>4</v>
      </c>
      <c r="B7" s="25">
        <v>27609</v>
      </c>
      <c r="C7" s="25"/>
      <c r="D7" s="26"/>
      <c r="E7" s="4"/>
      <c r="F7" s="16" t="s">
        <v>4</v>
      </c>
      <c r="G7" s="38">
        <f>B7</f>
        <v>27609</v>
      </c>
      <c r="H7" s="38"/>
      <c r="I7" s="38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22</vt:i4>
      </vt:variant>
    </vt:vector>
  </HeadingPairs>
  <TitlesOfParts>
    <vt:vector size="44" baseType="lpstr">
      <vt:lpstr>DER_21A_Screw</vt:lpstr>
      <vt:lpstr>DER_09B_Screw</vt:lpstr>
      <vt:lpstr>DER_11A_InnerDome-DER-D02B</vt:lpstr>
      <vt:lpstr>DER_08A_InnerDome-DER-D02B</vt:lpstr>
      <vt:lpstr>DER_08A_InnerDome-DER-D2-SOL</vt:lpstr>
      <vt:lpstr>DER_34ACap</vt:lpstr>
      <vt:lpstr>DER_34AR_OuterCap (2)</vt:lpstr>
      <vt:lpstr>DER_18A_OuterCap</vt:lpstr>
      <vt:lpstr>DER_24BB_InnerCap</vt:lpstr>
      <vt:lpstr>DER_16A_Cap</vt:lpstr>
      <vt:lpstr>DER_04B_Cap (2)</vt:lpstr>
      <vt:lpstr>DER_01C_Cap</vt:lpstr>
      <vt:lpstr>DER_05B_Barrel</vt:lpstr>
      <vt:lpstr>DER_05C_Barrel</vt:lpstr>
      <vt:lpstr>DER_04C_Barrel</vt:lpstr>
      <vt:lpstr>DER_14AB_InnerDome</vt:lpstr>
      <vt:lpstr>DER_01A_Platform</vt:lpstr>
      <vt:lpstr>DER_13A_Cartridge</vt:lpstr>
      <vt:lpstr>DER_15A_Screw</vt:lpstr>
      <vt:lpstr>DER_03B_DER-U01-BottomCover</vt:lpstr>
      <vt:lpstr>DER_17A_DER-U02-BottomCover</vt:lpstr>
      <vt:lpstr>DER_14A_Plug</vt:lpstr>
      <vt:lpstr>DER_01A_Platform!Print_Area</vt:lpstr>
      <vt:lpstr>DER_01C_Cap!Print_Area</vt:lpstr>
      <vt:lpstr>'DER_03B_DER-U01-BottomCover'!Print_Area</vt:lpstr>
      <vt:lpstr>'DER_04B_Cap (2)'!Print_Area</vt:lpstr>
      <vt:lpstr>DER_04C_Barrel!Print_Area</vt:lpstr>
      <vt:lpstr>DER_05B_Barrel!Print_Area</vt:lpstr>
      <vt:lpstr>DER_05C_Barrel!Print_Area</vt:lpstr>
      <vt:lpstr>'DER_08A_InnerDome-DER-D02B'!Print_Area</vt:lpstr>
      <vt:lpstr>'DER_08A_InnerDome-DER-D2-SOL'!Print_Area</vt:lpstr>
      <vt:lpstr>DER_09B_Screw!Print_Area</vt:lpstr>
      <vt:lpstr>'DER_11A_InnerDome-DER-D02B'!Print_Area</vt:lpstr>
      <vt:lpstr>DER_13A_Cartridge!Print_Area</vt:lpstr>
      <vt:lpstr>DER_14A_Plug!Print_Area</vt:lpstr>
      <vt:lpstr>DER_14AB_InnerDome!Print_Area</vt:lpstr>
      <vt:lpstr>DER_15A_Screw!Print_Area</vt:lpstr>
      <vt:lpstr>DER_16A_Cap!Print_Area</vt:lpstr>
      <vt:lpstr>'DER_17A_DER-U02-BottomCover'!Print_Area</vt:lpstr>
      <vt:lpstr>DER_18A_OuterCap!Print_Area</vt:lpstr>
      <vt:lpstr>DER_21A_Screw!Print_Area</vt:lpstr>
      <vt:lpstr>DER_24BB_InnerCap!Print_Area</vt:lpstr>
      <vt:lpstr>DER_34ACap!Print_Area</vt:lpstr>
      <vt:lpstr>'DER_34AR_OuterCap (2)'!Print_Area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2024-05-03T20:27:54Z</cp:lastPrinted>
  <dcterms:created xsi:type="dcterms:W3CDTF">2023-03-08T16:50:21Z</dcterms:created>
  <dcterms:modified xsi:type="dcterms:W3CDTF">2024-05-03T20:36:27Z</dcterms:modified>
</cp:coreProperties>
</file>