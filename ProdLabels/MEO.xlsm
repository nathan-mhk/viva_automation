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965" yWindow="5265" windowWidth="15600" windowHeight="8010" tabRatio="700" activeTab="3"/>
  </bookViews>
  <sheets>
    <sheet name="MEO_10A_Cap" sheetId="9" r:id="rId1"/>
    <sheet name="MEO_01B_Platform" sheetId="15" r:id="rId2"/>
    <sheet name="MEO_XXX_Barrel" sheetId="14" r:id="rId3"/>
    <sheet name="MEO_14A_Screw" sheetId="16" r:id="rId4"/>
  </sheets>
  <definedNames>
    <definedName name="_xlnm.Print_Area" localSheetId="1">MEO_01B_Platform!$A$1:$I$7</definedName>
    <definedName name="_xlnm.Print_Area" localSheetId="0">MEO_10A_Cap!$A$1:$I$70</definedName>
    <definedName name="_xlnm.Print_Area" localSheetId="3">MEO_14A_Screw!$A$1:$I$14</definedName>
    <definedName name="_xlnm.Print_Area" localSheetId="2">MEO_XXX_Barrel!$A$1:$I$7</definedName>
  </definedNames>
  <calcPr calcId="145621"/>
</workbook>
</file>

<file path=xl/calcChain.xml><?xml version="1.0" encoding="utf-8"?>
<calcChain xmlns="http://schemas.openxmlformats.org/spreadsheetml/2006/main">
  <c r="B14" i="16" l="1"/>
  <c r="G14" i="16" s="1"/>
  <c r="H13" i="16"/>
  <c r="F13" i="16"/>
  <c r="I11" i="16"/>
  <c r="I10" i="16"/>
  <c r="F8" i="16"/>
  <c r="B7" i="16"/>
  <c r="B7" i="14" l="1"/>
  <c r="G70" i="9"/>
  <c r="H69" i="9"/>
  <c r="F69" i="9"/>
  <c r="I67" i="9"/>
  <c r="I66" i="9"/>
  <c r="F64" i="9"/>
  <c r="G63" i="9"/>
  <c r="H62" i="9"/>
  <c r="F62" i="9"/>
  <c r="I60" i="9"/>
  <c r="I59" i="9"/>
  <c r="F57" i="9"/>
  <c r="G56" i="9"/>
  <c r="H55" i="9"/>
  <c r="F55" i="9"/>
  <c r="I53" i="9"/>
  <c r="I52" i="9"/>
  <c r="F50" i="9"/>
  <c r="G49" i="9"/>
  <c r="H48" i="9"/>
  <c r="F48" i="9"/>
  <c r="I46" i="9"/>
  <c r="I45" i="9"/>
  <c r="F43" i="9"/>
  <c r="G42" i="9"/>
  <c r="H41" i="9"/>
  <c r="F41" i="9"/>
  <c r="I39" i="9"/>
  <c r="I38" i="9"/>
  <c r="F36" i="9"/>
  <c r="G35" i="9"/>
  <c r="H34" i="9"/>
  <c r="F34" i="9"/>
  <c r="I32" i="9"/>
  <c r="I31" i="9"/>
  <c r="F29" i="9"/>
  <c r="G28" i="9"/>
  <c r="H27" i="9"/>
  <c r="F27" i="9"/>
  <c r="I25" i="9"/>
  <c r="I24" i="9"/>
  <c r="F22" i="9"/>
  <c r="G21" i="9"/>
  <c r="H20" i="9"/>
  <c r="F20" i="9"/>
  <c r="I18" i="9"/>
  <c r="I17" i="9"/>
  <c r="F15" i="9"/>
  <c r="G14" i="9"/>
  <c r="H13" i="9"/>
  <c r="F13" i="9"/>
  <c r="I11" i="9"/>
  <c r="I10" i="9"/>
  <c r="F8" i="9"/>
  <c r="F1" i="9"/>
  <c r="G7" i="16" l="1"/>
  <c r="H6" i="16"/>
  <c r="F6" i="16"/>
  <c r="I4" i="16"/>
  <c r="I3" i="16"/>
  <c r="F1" i="16"/>
  <c r="G7" i="15"/>
  <c r="H6" i="15"/>
  <c r="F6" i="15"/>
  <c r="I4" i="15"/>
  <c r="I3" i="15"/>
  <c r="F1" i="15"/>
  <c r="G7" i="14"/>
  <c r="H6" i="14"/>
  <c r="F6" i="14"/>
  <c r="I4" i="14"/>
  <c r="I3" i="14"/>
  <c r="F1" i="14"/>
  <c r="G7" i="9" l="1"/>
  <c r="H6" i="9"/>
  <c r="F6" i="9"/>
  <c r="I4" i="9"/>
  <c r="I3" i="9"/>
</calcChain>
</file>

<file path=xl/sharedStrings.xml><?xml version="1.0" encoding="utf-8"?>
<sst xmlns="http://schemas.openxmlformats.org/spreadsheetml/2006/main" count="333" uniqueCount="33">
  <si>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</si>
  <si>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</si>
  <si>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</si>
  <si>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</si>
  <si>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</si>
  <si>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</si>
  <si>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</si>
  <si>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</si>
  <si>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</si>
  <si>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White</t>
  </si>
  <si>
    <t>01B</t>
  </si>
  <si>
    <t>1,250 pcs x 80 trays = 100,000 pcs</t>
  </si>
  <si>
    <t>1,250 pcs x 23 trays = 28,750 pcs</t>
  </si>
  <si>
    <t>Mini Oval MEO - Barrel</t>
  </si>
  <si>
    <t>MEO-C01</t>
  </si>
  <si>
    <t>10A</t>
  </si>
  <si>
    <t>Mini Oval MEO - Cap</t>
  </si>
  <si>
    <t>MEO-B01</t>
  </si>
  <si>
    <t>Mini Oval MEO - Platform</t>
  </si>
  <si>
    <t>MEO-P01</t>
  </si>
  <si>
    <t>Mini Oval MEO - Screw</t>
  </si>
  <si>
    <t>MEO-S01</t>
  </si>
  <si>
    <t>PP6331</t>
  </si>
  <si>
    <t>140 pcs x 80 trays = 11,200 pcs</t>
  </si>
  <si>
    <t>24036, 24038</t>
  </si>
  <si>
    <t>2,300 pcs x 80 trays = 184,000 pcs</t>
  </si>
  <si>
    <t>2,300 pcs x 8 trays = 18,400 pcs</t>
  </si>
  <si>
    <t>140 pcs x 7 trays = 980 pcs</t>
  </si>
  <si>
    <t>24037, 24039</t>
  </si>
  <si>
    <t>FC2304E</t>
  </si>
  <si>
    <t>14A</t>
  </si>
  <si>
    <t>650 pcs x 80 trays = 52,000 pcs</t>
  </si>
  <si>
    <t>650 pcs x 31 trays = 20,150 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</si>
</sst>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2" fillId="0" borderId="3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70"/>
  <sheetViews>
    <sheetView view="pageBreakPreview" zoomScaleNormal="100" zoomScaleSheetLayoutView="100" workbookViewId="0">
      <selection activeCell="D4" sqref="D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16</v>
      </c>
      <c r="B1" s="25"/>
      <c r="C1" s="25"/>
      <c r="D1" s="25"/>
      <c r="E1" s="2"/>
      <c r="F1" s="25" t="str">
        <f>A1</f>
        <v>Mini Oval MEO - Cap</v>
      </c>
      <c r="G1" s="25"/>
      <c r="H1" s="25"/>
      <c r="I1" s="25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5" t="s">
        <v>0</v>
      </c>
      <c r="G2" s="16"/>
      <c r="H2" s="15" t="s">
        <v>1</v>
      </c>
      <c r="I2" s="16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15</v>
      </c>
      <c r="E3" s="4"/>
      <c r="F3" s="15" t="s">
        <v>2</v>
      </c>
      <c r="G3" s="16"/>
      <c r="H3" s="15" t="s">
        <v>5</v>
      </c>
      <c r="I3" s="7" t="str">
        <f>D3</f>
        <v>10A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14</v>
      </c>
      <c r="E4" s="4"/>
      <c r="F4" s="8" t="s">
        <v>3</v>
      </c>
      <c r="G4" s="9">
        <v>11</v>
      </c>
      <c r="H4" s="15" t="s">
        <v>6</v>
      </c>
      <c r="I4" s="7" t="str">
        <f>D4</f>
        <v>MEO-C01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23</v>
      </c>
      <c r="B5" s="27"/>
      <c r="C5" s="27"/>
      <c r="D5" s="28"/>
      <c r="E5" s="5"/>
      <c r="F5" s="26" t="s">
        <v>23</v>
      </c>
      <c r="G5" s="27"/>
      <c r="H5" s="27"/>
      <c r="I5" s="28"/>
      <c r="K5" s="1">
        <v>140</v>
      </c>
      <c r="L5" s="1">
        <v>80</v>
      </c>
    </row>
    <row r="6" spans="1:12" s="1" customFormat="1" ht="30" customHeight="1" x14ac:dyDescent="0.25">
      <c r="A6" s="29" t="s">
        <v>22</v>
      </c>
      <c r="B6" s="30"/>
      <c r="C6" s="30" t="s">
        <v>9</v>
      </c>
      <c r="D6" s="31"/>
      <c r="E6" s="4"/>
      <c r="F6" s="29" t="str">
        <f>A6</f>
        <v>PP6331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 t="s">
        <v>24</v>
      </c>
      <c r="C7" s="23"/>
      <c r="D7" s="24"/>
      <c r="E7" s="4"/>
      <c r="F7" s="12" t="s">
        <v>4</v>
      </c>
      <c r="G7" s="23" t="str">
        <f>B7</f>
        <v>24036, 24038</v>
      </c>
      <c r="H7" s="23"/>
      <c r="I7" s="24"/>
    </row>
    <row r="8" spans="1:12" ht="63.75" customHeight="1" x14ac:dyDescent="0.25">
      <c r="A8" s="25" t="s">
        <v>16</v>
      </c>
      <c r="B8" s="25"/>
      <c r="C8" s="25"/>
      <c r="D8" s="25"/>
      <c r="E8" s="2"/>
      <c r="F8" s="25" t="str">
        <f>A8</f>
        <v>Mini Oval MEO - Cap</v>
      </c>
      <c r="G8" s="25"/>
      <c r="H8" s="25"/>
      <c r="I8" s="25"/>
    </row>
    <row r="9" spans="1:12" s="1" customFormat="1" ht="30" customHeight="1" x14ac:dyDescent="0.25">
      <c r="A9" s="15" t="s">
        <v>0</v>
      </c>
      <c r="B9" s="16"/>
      <c r="C9" s="15" t="s">
        <v>1</v>
      </c>
      <c r="D9" s="16"/>
      <c r="E9" s="3"/>
      <c r="F9" s="15" t="s">
        <v>0</v>
      </c>
      <c r="G9" s="16"/>
      <c r="H9" s="15" t="s">
        <v>1</v>
      </c>
      <c r="I9" s="16"/>
    </row>
    <row r="10" spans="1:12" s="1" customFormat="1" ht="30" customHeight="1" x14ac:dyDescent="0.25">
      <c r="A10" s="15" t="s">
        <v>2</v>
      </c>
      <c r="B10" s="16"/>
      <c r="C10" s="15" t="s">
        <v>5</v>
      </c>
      <c r="D10" s="7" t="s">
        <v>15</v>
      </c>
      <c r="E10" s="4"/>
      <c r="F10" s="15" t="s">
        <v>2</v>
      </c>
      <c r="G10" s="16"/>
      <c r="H10" s="15" t="s">
        <v>5</v>
      </c>
      <c r="I10" s="7" t="str">
        <f>D10</f>
        <v>10A</v>
      </c>
    </row>
    <row r="11" spans="1:12" s="1" customFormat="1" ht="53.25" customHeight="1" x14ac:dyDescent="0.25">
      <c r="A11" s="8" t="s">
        <v>3</v>
      </c>
      <c r="B11" s="9">
        <v>2</v>
      </c>
      <c r="C11" s="15" t="s">
        <v>6</v>
      </c>
      <c r="D11" s="7" t="s">
        <v>14</v>
      </c>
      <c r="E11" s="4"/>
      <c r="F11" s="8" t="s">
        <v>3</v>
      </c>
      <c r="G11" s="9">
        <v>12</v>
      </c>
      <c r="H11" s="15" t="s">
        <v>6</v>
      </c>
      <c r="I11" s="7" t="str">
        <f>D11</f>
        <v>MEO-C01</v>
      </c>
      <c r="K11" s="6" t="s">
        <v>8</v>
      </c>
      <c r="L11" s="6" t="s">
        <v>7</v>
      </c>
    </row>
    <row r="12" spans="1:12" s="1" customFormat="1" ht="30" customHeight="1" x14ac:dyDescent="0.25">
      <c r="A12" s="26" t="s">
        <v>23</v>
      </c>
      <c r="B12" s="27"/>
      <c r="C12" s="27"/>
      <c r="D12" s="28"/>
      <c r="E12" s="5"/>
      <c r="F12" s="26" t="s">
        <v>23</v>
      </c>
      <c r="G12" s="27"/>
      <c r="H12" s="27"/>
      <c r="I12" s="28"/>
      <c r="K12" s="1">
        <v>140</v>
      </c>
      <c r="L12" s="1">
        <v>80</v>
      </c>
    </row>
    <row r="13" spans="1:12" s="1" customFormat="1" ht="30" customHeight="1" x14ac:dyDescent="0.25">
      <c r="A13" s="29" t="s">
        <v>22</v>
      </c>
      <c r="B13" s="30"/>
      <c r="C13" s="30" t="s">
        <v>9</v>
      </c>
      <c r="D13" s="31"/>
      <c r="E13" s="4"/>
      <c r="F13" s="29" t="str">
        <f>A13</f>
        <v>PP6331</v>
      </c>
      <c r="G13" s="30"/>
      <c r="H13" s="30" t="str">
        <f>C13</f>
        <v>White</v>
      </c>
      <c r="I13" s="31"/>
    </row>
    <row r="14" spans="1:12" s="1" customFormat="1" ht="30" customHeight="1" x14ac:dyDescent="0.25">
      <c r="A14" s="12" t="s">
        <v>4</v>
      </c>
      <c r="B14" s="23" t="s">
        <v>24</v>
      </c>
      <c r="C14" s="23"/>
      <c r="D14" s="24"/>
      <c r="E14" s="4"/>
      <c r="F14" s="12" t="s">
        <v>4</v>
      </c>
      <c r="G14" s="23" t="str">
        <f>B14</f>
        <v>24036, 24038</v>
      </c>
      <c r="H14" s="23"/>
      <c r="I14" s="24"/>
    </row>
    <row r="15" spans="1:12" ht="63.75" customHeight="1" x14ac:dyDescent="0.25">
      <c r="A15" s="25" t="s">
        <v>16</v>
      </c>
      <c r="B15" s="25"/>
      <c r="C15" s="25"/>
      <c r="D15" s="25"/>
      <c r="E15" s="2"/>
      <c r="F15" s="25" t="str">
        <f>A15</f>
        <v>Mini Oval MEO - Cap</v>
      </c>
      <c r="G15" s="25"/>
      <c r="H15" s="25"/>
      <c r="I15" s="25"/>
    </row>
    <row r="16" spans="1:12" s="1" customFormat="1" ht="30" customHeight="1" x14ac:dyDescent="0.25">
      <c r="A16" s="15" t="s">
        <v>0</v>
      </c>
      <c r="B16" s="16"/>
      <c r="C16" s="15" t="s">
        <v>1</v>
      </c>
      <c r="D16" s="16"/>
      <c r="E16" s="3"/>
      <c r="F16" s="15" t="s">
        <v>0</v>
      </c>
      <c r="G16" s="16"/>
      <c r="H16" s="15" t="s">
        <v>1</v>
      </c>
      <c r="I16" s="16"/>
    </row>
    <row r="17" spans="1:12" s="1" customFormat="1" ht="30" customHeight="1" x14ac:dyDescent="0.25">
      <c r="A17" s="15" t="s">
        <v>2</v>
      </c>
      <c r="B17" s="16"/>
      <c r="C17" s="15" t="s">
        <v>5</v>
      </c>
      <c r="D17" s="7" t="s">
        <v>15</v>
      </c>
      <c r="E17" s="4"/>
      <c r="F17" s="15" t="s">
        <v>2</v>
      </c>
      <c r="G17" s="16"/>
      <c r="H17" s="15" t="s">
        <v>5</v>
      </c>
      <c r="I17" s="7" t="str">
        <f>D17</f>
        <v>10A</v>
      </c>
    </row>
    <row r="18" spans="1:12" s="1" customFormat="1" ht="53.25" customHeight="1" x14ac:dyDescent="0.25">
      <c r="A18" s="8" t="s">
        <v>3</v>
      </c>
      <c r="B18" s="9">
        <v>3</v>
      </c>
      <c r="C18" s="15" t="s">
        <v>6</v>
      </c>
      <c r="D18" s="7" t="s">
        <v>14</v>
      </c>
      <c r="E18" s="4"/>
      <c r="F18" s="8" t="s">
        <v>3</v>
      </c>
      <c r="G18" s="9">
        <v>13</v>
      </c>
      <c r="H18" s="15" t="s">
        <v>6</v>
      </c>
      <c r="I18" s="7" t="str">
        <f>D18</f>
        <v>MEO-C01</v>
      </c>
      <c r="K18" s="6" t="s">
        <v>8</v>
      </c>
      <c r="L18" s="6" t="s">
        <v>7</v>
      </c>
    </row>
    <row r="19" spans="1:12" s="1" customFormat="1" ht="30" customHeight="1" x14ac:dyDescent="0.25">
      <c r="A19" s="26" t="s">
        <v>23</v>
      </c>
      <c r="B19" s="27"/>
      <c r="C19" s="27"/>
      <c r="D19" s="28"/>
      <c r="E19" s="5"/>
      <c r="F19" s="26" t="s">
        <v>23</v>
      </c>
      <c r="G19" s="27"/>
      <c r="H19" s="27"/>
      <c r="I19" s="28"/>
      <c r="K19" s="1">
        <v>140</v>
      </c>
      <c r="L19" s="1">
        <v>80</v>
      </c>
    </row>
    <row r="20" spans="1:12" s="1" customFormat="1" ht="30" customHeight="1" x14ac:dyDescent="0.25">
      <c r="A20" s="29" t="s">
        <v>22</v>
      </c>
      <c r="B20" s="30"/>
      <c r="C20" s="30" t="s">
        <v>9</v>
      </c>
      <c r="D20" s="31"/>
      <c r="E20" s="4"/>
      <c r="F20" s="29" t="str">
        <f>A20</f>
        <v>PP6331</v>
      </c>
      <c r="G20" s="30"/>
      <c r="H20" s="30" t="str">
        <f>C20</f>
        <v>White</v>
      </c>
      <c r="I20" s="31"/>
    </row>
    <row r="21" spans="1:12" s="1" customFormat="1" ht="30" customHeight="1" x14ac:dyDescent="0.25">
      <c r="A21" s="12" t="s">
        <v>4</v>
      </c>
      <c r="B21" s="23" t="s">
        <v>24</v>
      </c>
      <c r="C21" s="23"/>
      <c r="D21" s="24"/>
      <c r="E21" s="4"/>
      <c r="F21" s="12" t="s">
        <v>4</v>
      </c>
      <c r="G21" s="23" t="str">
        <f>B21</f>
        <v>24036, 24038</v>
      </c>
      <c r="H21" s="23"/>
      <c r="I21" s="24"/>
    </row>
    <row r="22" spans="1:12" ht="63.75" customHeight="1" x14ac:dyDescent="0.25">
      <c r="A22" s="25" t="s">
        <v>16</v>
      </c>
      <c r="B22" s="25"/>
      <c r="C22" s="25"/>
      <c r="D22" s="25"/>
      <c r="E22" s="2"/>
      <c r="F22" s="25" t="str">
        <f>A22</f>
        <v>Mini Oval MEO - Cap</v>
      </c>
      <c r="G22" s="25"/>
      <c r="H22" s="25"/>
      <c r="I22" s="25"/>
    </row>
    <row r="23" spans="1:12" s="1" customFormat="1" ht="30" customHeight="1" x14ac:dyDescent="0.25">
      <c r="A23" s="15" t="s">
        <v>0</v>
      </c>
      <c r="B23" s="16"/>
      <c r="C23" s="15" t="s">
        <v>1</v>
      </c>
      <c r="D23" s="16"/>
      <c r="E23" s="3"/>
      <c r="F23" s="15" t="s">
        <v>0</v>
      </c>
      <c r="G23" s="16"/>
      <c r="H23" s="15" t="s">
        <v>1</v>
      </c>
      <c r="I23" s="16"/>
    </row>
    <row r="24" spans="1:12" s="1" customFormat="1" ht="30" customHeight="1" x14ac:dyDescent="0.25">
      <c r="A24" s="15" t="s">
        <v>2</v>
      </c>
      <c r="B24" s="16"/>
      <c r="C24" s="15" t="s">
        <v>5</v>
      </c>
      <c r="D24" s="7" t="s">
        <v>15</v>
      </c>
      <c r="E24" s="4"/>
      <c r="F24" s="15" t="s">
        <v>2</v>
      </c>
      <c r="G24" s="16"/>
      <c r="H24" s="15" t="s">
        <v>5</v>
      </c>
      <c r="I24" s="7" t="str">
        <f>D24</f>
        <v>10A</v>
      </c>
    </row>
    <row r="25" spans="1:12" s="1" customFormat="1" ht="53.25" customHeight="1" x14ac:dyDescent="0.25">
      <c r="A25" s="8" t="s">
        <v>3</v>
      </c>
      <c r="B25" s="9">
        <v>4</v>
      </c>
      <c r="C25" s="15" t="s">
        <v>6</v>
      </c>
      <c r="D25" s="7" t="s">
        <v>14</v>
      </c>
      <c r="E25" s="4"/>
      <c r="F25" s="8" t="s">
        <v>3</v>
      </c>
      <c r="G25" s="9">
        <v>14</v>
      </c>
      <c r="H25" s="15" t="s">
        <v>6</v>
      </c>
      <c r="I25" s="7" t="str">
        <f>D25</f>
        <v>MEO-C01</v>
      </c>
      <c r="K25" s="6" t="s">
        <v>8</v>
      </c>
      <c r="L25" s="6" t="s">
        <v>7</v>
      </c>
    </row>
    <row r="26" spans="1:12" s="1" customFormat="1" ht="30" customHeight="1" x14ac:dyDescent="0.25">
      <c r="A26" s="26" t="s">
        <v>23</v>
      </c>
      <c r="B26" s="27"/>
      <c r="C26" s="27"/>
      <c r="D26" s="28"/>
      <c r="E26" s="5"/>
      <c r="F26" s="26" t="s">
        <v>23</v>
      </c>
      <c r="G26" s="27"/>
      <c r="H26" s="27"/>
      <c r="I26" s="28"/>
      <c r="K26" s="1">
        <v>140</v>
      </c>
      <c r="L26" s="1">
        <v>80</v>
      </c>
    </row>
    <row r="27" spans="1:12" s="1" customFormat="1" ht="30" customHeight="1" x14ac:dyDescent="0.25">
      <c r="A27" s="29" t="s">
        <v>22</v>
      </c>
      <c r="B27" s="30"/>
      <c r="C27" s="30" t="s">
        <v>9</v>
      </c>
      <c r="D27" s="31"/>
      <c r="E27" s="4"/>
      <c r="F27" s="29" t="str">
        <f>A27</f>
        <v>PP6331</v>
      </c>
      <c r="G27" s="30"/>
      <c r="H27" s="30" t="str">
        <f>C27</f>
        <v>White</v>
      </c>
      <c r="I27" s="31"/>
    </row>
    <row r="28" spans="1:12" s="1" customFormat="1" ht="30" customHeight="1" x14ac:dyDescent="0.25">
      <c r="A28" s="12" t="s">
        <v>4</v>
      </c>
      <c r="B28" s="23" t="s">
        <v>24</v>
      </c>
      <c r="C28" s="23"/>
      <c r="D28" s="24"/>
      <c r="E28" s="4"/>
      <c r="F28" s="12" t="s">
        <v>4</v>
      </c>
      <c r="G28" s="23" t="str">
        <f>B28</f>
        <v>24036, 24038</v>
      </c>
      <c r="H28" s="23"/>
      <c r="I28" s="24"/>
    </row>
    <row r="29" spans="1:12" ht="63.75" customHeight="1" x14ac:dyDescent="0.25">
      <c r="A29" s="25" t="s">
        <v>16</v>
      </c>
      <c r="B29" s="25"/>
      <c r="C29" s="25"/>
      <c r="D29" s="25"/>
      <c r="E29" s="2"/>
      <c r="F29" s="25" t="str">
        <f>A29</f>
        <v>Mini Oval MEO - Cap</v>
      </c>
      <c r="G29" s="25"/>
      <c r="H29" s="25"/>
      <c r="I29" s="25"/>
    </row>
    <row r="30" spans="1:12" s="1" customFormat="1" ht="30" customHeight="1" x14ac:dyDescent="0.25">
      <c r="A30" s="15" t="s">
        <v>0</v>
      </c>
      <c r="B30" s="16"/>
      <c r="C30" s="15" t="s">
        <v>1</v>
      </c>
      <c r="D30" s="16"/>
      <c r="E30" s="3"/>
      <c r="F30" s="15" t="s">
        <v>0</v>
      </c>
      <c r="G30" s="16"/>
      <c r="H30" s="15" t="s">
        <v>1</v>
      </c>
      <c r="I30" s="16"/>
    </row>
    <row r="31" spans="1:12" s="1" customFormat="1" ht="30" customHeight="1" x14ac:dyDescent="0.25">
      <c r="A31" s="15" t="s">
        <v>2</v>
      </c>
      <c r="B31" s="16"/>
      <c r="C31" s="15" t="s">
        <v>5</v>
      </c>
      <c r="D31" s="7" t="s">
        <v>15</v>
      </c>
      <c r="E31" s="4"/>
      <c r="F31" s="15" t="s">
        <v>2</v>
      </c>
      <c r="G31" s="16"/>
      <c r="H31" s="15" t="s">
        <v>5</v>
      </c>
      <c r="I31" s="7" t="str">
        <f>D31</f>
        <v>10A</v>
      </c>
    </row>
    <row r="32" spans="1:12" s="1" customFormat="1" ht="53.25" customHeight="1" x14ac:dyDescent="0.25">
      <c r="A32" s="8" t="s">
        <v>3</v>
      </c>
      <c r="B32" s="9">
        <v>5</v>
      </c>
      <c r="C32" s="15" t="s">
        <v>6</v>
      </c>
      <c r="D32" s="7" t="s">
        <v>14</v>
      </c>
      <c r="E32" s="4"/>
      <c r="F32" s="8" t="s">
        <v>3</v>
      </c>
      <c r="G32" s="9">
        <v>15</v>
      </c>
      <c r="H32" s="15" t="s">
        <v>6</v>
      </c>
      <c r="I32" s="7" t="str">
        <f>D32</f>
        <v>MEO-C01</v>
      </c>
      <c r="K32" s="6" t="s">
        <v>8</v>
      </c>
      <c r="L32" s="6" t="s">
        <v>7</v>
      </c>
    </row>
    <row r="33" spans="1:12" s="1" customFormat="1" ht="30" customHeight="1" x14ac:dyDescent="0.25">
      <c r="A33" s="26" t="s">
        <v>23</v>
      </c>
      <c r="B33" s="27"/>
      <c r="C33" s="27"/>
      <c r="D33" s="28"/>
      <c r="E33" s="5"/>
      <c r="F33" s="26" t="s">
        <v>23</v>
      </c>
      <c r="G33" s="27"/>
      <c r="H33" s="27"/>
      <c r="I33" s="28"/>
      <c r="K33" s="1">
        <v>140</v>
      </c>
      <c r="L33" s="1">
        <v>80</v>
      </c>
    </row>
    <row r="34" spans="1:12" s="1" customFormat="1" ht="30" customHeight="1" x14ac:dyDescent="0.25">
      <c r="A34" s="29" t="s">
        <v>22</v>
      </c>
      <c r="B34" s="30"/>
      <c r="C34" s="30" t="s">
        <v>9</v>
      </c>
      <c r="D34" s="31"/>
      <c r="E34" s="4"/>
      <c r="F34" s="29" t="str">
        <f>A34</f>
        <v>PP6331</v>
      </c>
      <c r="G34" s="30"/>
      <c r="H34" s="30" t="str">
        <f>C34</f>
        <v>White</v>
      </c>
      <c r="I34" s="31"/>
    </row>
    <row r="35" spans="1:12" s="1" customFormat="1" ht="30" customHeight="1" x14ac:dyDescent="0.25">
      <c r="A35" s="12" t="s">
        <v>4</v>
      </c>
      <c r="B35" s="23" t="s">
        <v>24</v>
      </c>
      <c r="C35" s="23"/>
      <c r="D35" s="24"/>
      <c r="E35" s="4"/>
      <c r="F35" s="12" t="s">
        <v>4</v>
      </c>
      <c r="G35" s="23" t="str">
        <f>B35</f>
        <v>24036, 24038</v>
      </c>
      <c r="H35" s="23"/>
      <c r="I35" s="24"/>
    </row>
    <row r="36" spans="1:12" ht="63.75" customHeight="1" x14ac:dyDescent="0.25">
      <c r="A36" s="25" t="s">
        <v>16</v>
      </c>
      <c r="B36" s="25"/>
      <c r="C36" s="25"/>
      <c r="D36" s="25"/>
      <c r="E36" s="2"/>
      <c r="F36" s="25" t="str">
        <f>A36</f>
        <v>Mini Oval MEO - Cap</v>
      </c>
      <c r="G36" s="25"/>
      <c r="H36" s="25"/>
      <c r="I36" s="25"/>
    </row>
    <row r="37" spans="1:12" s="1" customFormat="1" ht="30" customHeight="1" x14ac:dyDescent="0.25">
      <c r="A37" s="15" t="s">
        <v>0</v>
      </c>
      <c r="B37" s="16"/>
      <c r="C37" s="15" t="s">
        <v>1</v>
      </c>
      <c r="D37" s="16"/>
      <c r="E37" s="3"/>
      <c r="F37" s="15" t="s">
        <v>0</v>
      </c>
      <c r="G37" s="16"/>
      <c r="H37" s="15" t="s">
        <v>1</v>
      </c>
      <c r="I37" s="16"/>
    </row>
    <row r="38" spans="1:12" s="1" customFormat="1" ht="30" customHeight="1" x14ac:dyDescent="0.25">
      <c r="A38" s="15" t="s">
        <v>2</v>
      </c>
      <c r="B38" s="16"/>
      <c r="C38" s="15" t="s">
        <v>5</v>
      </c>
      <c r="D38" s="7" t="s">
        <v>15</v>
      </c>
      <c r="E38" s="4"/>
      <c r="F38" s="15" t="s">
        <v>2</v>
      </c>
      <c r="G38" s="16"/>
      <c r="H38" s="15" t="s">
        <v>5</v>
      </c>
      <c r="I38" s="7" t="str">
        <f>D38</f>
        <v>10A</v>
      </c>
    </row>
    <row r="39" spans="1:12" s="1" customFormat="1" ht="53.25" customHeight="1" x14ac:dyDescent="0.25">
      <c r="A39" s="8" t="s">
        <v>3</v>
      </c>
      <c r="B39" s="9">
        <v>6</v>
      </c>
      <c r="C39" s="15" t="s">
        <v>6</v>
      </c>
      <c r="D39" s="7" t="s">
        <v>14</v>
      </c>
      <c r="E39" s="4"/>
      <c r="F39" s="8" t="s">
        <v>3</v>
      </c>
      <c r="G39" s="9">
        <v>16</v>
      </c>
      <c r="H39" s="15" t="s">
        <v>6</v>
      </c>
      <c r="I39" s="7" t="str">
        <f>D39</f>
        <v>MEO-C01</v>
      </c>
      <c r="K39" s="6" t="s">
        <v>8</v>
      </c>
      <c r="L39" s="6" t="s">
        <v>7</v>
      </c>
    </row>
    <row r="40" spans="1:12" s="1" customFormat="1" ht="30" customHeight="1" x14ac:dyDescent="0.25">
      <c r="A40" s="26" t="s">
        <v>23</v>
      </c>
      <c r="B40" s="27"/>
      <c r="C40" s="27"/>
      <c r="D40" s="28"/>
      <c r="E40" s="5"/>
      <c r="F40" s="26" t="s">
        <v>23</v>
      </c>
      <c r="G40" s="27"/>
      <c r="H40" s="27"/>
      <c r="I40" s="28"/>
      <c r="K40" s="1">
        <v>140</v>
      </c>
      <c r="L40" s="1">
        <v>80</v>
      </c>
    </row>
    <row r="41" spans="1:12" s="1" customFormat="1" ht="30" customHeight="1" x14ac:dyDescent="0.25">
      <c r="A41" s="29" t="s">
        <v>22</v>
      </c>
      <c r="B41" s="30"/>
      <c r="C41" s="30" t="s">
        <v>9</v>
      </c>
      <c r="D41" s="31"/>
      <c r="E41" s="4"/>
      <c r="F41" s="29" t="str">
        <f>A41</f>
        <v>PP6331</v>
      </c>
      <c r="G41" s="30"/>
      <c r="H41" s="30" t="str">
        <f>C41</f>
        <v>White</v>
      </c>
      <c r="I41" s="31"/>
    </row>
    <row r="42" spans="1:12" s="1" customFormat="1" ht="30" customHeight="1" x14ac:dyDescent="0.25">
      <c r="A42" s="12" t="s">
        <v>4</v>
      </c>
      <c r="B42" s="23" t="s">
        <v>24</v>
      </c>
      <c r="C42" s="23"/>
      <c r="D42" s="24"/>
      <c r="E42" s="4"/>
      <c r="F42" s="12" t="s">
        <v>4</v>
      </c>
      <c r="G42" s="23" t="str">
        <f>B42</f>
        <v>24036, 24038</v>
      </c>
      <c r="H42" s="23"/>
      <c r="I42" s="24"/>
    </row>
    <row r="43" spans="1:12" ht="63.75" customHeight="1" x14ac:dyDescent="0.25">
      <c r="A43" s="25" t="s">
        <v>16</v>
      </c>
      <c r="B43" s="25"/>
      <c r="C43" s="25"/>
      <c r="D43" s="25"/>
      <c r="E43" s="2"/>
      <c r="F43" s="25" t="str">
        <f>A43</f>
        <v>Mini Oval MEO - Cap</v>
      </c>
      <c r="G43" s="25"/>
      <c r="H43" s="25"/>
      <c r="I43" s="25"/>
    </row>
    <row r="44" spans="1:12" s="1" customFormat="1" ht="30" customHeight="1" x14ac:dyDescent="0.25">
      <c r="A44" s="15" t="s">
        <v>0</v>
      </c>
      <c r="B44" s="16"/>
      <c r="C44" s="15" t="s">
        <v>1</v>
      </c>
      <c r="D44" s="16"/>
      <c r="E44" s="3"/>
      <c r="F44" s="15" t="s">
        <v>0</v>
      </c>
      <c r="G44" s="16"/>
      <c r="H44" s="15" t="s">
        <v>1</v>
      </c>
      <c r="I44" s="16"/>
    </row>
    <row r="45" spans="1:12" s="1" customFormat="1" ht="30" customHeight="1" x14ac:dyDescent="0.25">
      <c r="A45" s="15" t="s">
        <v>2</v>
      </c>
      <c r="B45" s="16"/>
      <c r="C45" s="15" t="s">
        <v>5</v>
      </c>
      <c r="D45" s="7" t="s">
        <v>15</v>
      </c>
      <c r="E45" s="4"/>
      <c r="F45" s="15" t="s">
        <v>2</v>
      </c>
      <c r="G45" s="16"/>
      <c r="H45" s="15" t="s">
        <v>5</v>
      </c>
      <c r="I45" s="7" t="str">
        <f>D45</f>
        <v>10A</v>
      </c>
    </row>
    <row r="46" spans="1:12" s="1" customFormat="1" ht="53.25" customHeight="1" x14ac:dyDescent="0.25">
      <c r="A46" s="8" t="s">
        <v>3</v>
      </c>
      <c r="B46" s="9">
        <v>7</v>
      </c>
      <c r="C46" s="15" t="s">
        <v>6</v>
      </c>
      <c r="D46" s="7" t="s">
        <v>14</v>
      </c>
      <c r="E46" s="4"/>
      <c r="F46" s="8" t="s">
        <v>3</v>
      </c>
      <c r="G46" s="9">
        <v>17</v>
      </c>
      <c r="H46" s="15" t="s">
        <v>6</v>
      </c>
      <c r="I46" s="7" t="str">
        <f>D46</f>
        <v>MEO-C01</v>
      </c>
      <c r="K46" s="6" t="s">
        <v>8</v>
      </c>
      <c r="L46" s="6" t="s">
        <v>7</v>
      </c>
    </row>
    <row r="47" spans="1:12" s="1" customFormat="1" ht="30" customHeight="1" x14ac:dyDescent="0.25">
      <c r="A47" s="26" t="s">
        <v>23</v>
      </c>
      <c r="B47" s="27"/>
      <c r="C47" s="27"/>
      <c r="D47" s="28"/>
      <c r="E47" s="5"/>
      <c r="F47" s="26" t="s">
        <v>23</v>
      </c>
      <c r="G47" s="27"/>
      <c r="H47" s="27"/>
      <c r="I47" s="28"/>
      <c r="K47" s="1">
        <v>140</v>
      </c>
      <c r="L47" s="1">
        <v>80</v>
      </c>
    </row>
    <row r="48" spans="1:12" s="1" customFormat="1" ht="30" customHeight="1" x14ac:dyDescent="0.25">
      <c r="A48" s="29" t="s">
        <v>22</v>
      </c>
      <c r="B48" s="30"/>
      <c r="C48" s="30" t="s">
        <v>9</v>
      </c>
      <c r="D48" s="31"/>
      <c r="E48" s="4"/>
      <c r="F48" s="29" t="str">
        <f>A48</f>
        <v>PP6331</v>
      </c>
      <c r="G48" s="30"/>
      <c r="H48" s="30" t="str">
        <f>C48</f>
        <v>White</v>
      </c>
      <c r="I48" s="31"/>
    </row>
    <row r="49" spans="1:12" s="1" customFormat="1" ht="30" customHeight="1" x14ac:dyDescent="0.25">
      <c r="A49" s="12" t="s">
        <v>4</v>
      </c>
      <c r="B49" s="23" t="s">
        <v>24</v>
      </c>
      <c r="C49" s="23"/>
      <c r="D49" s="24"/>
      <c r="E49" s="4"/>
      <c r="F49" s="12" t="s">
        <v>4</v>
      </c>
      <c r="G49" s="23" t="str">
        <f>B49</f>
        <v>24036, 24038</v>
      </c>
      <c r="H49" s="23"/>
      <c r="I49" s="24"/>
    </row>
    <row r="50" spans="1:12" ht="63.75" customHeight="1" x14ac:dyDescent="0.25">
      <c r="A50" s="25" t="s">
        <v>16</v>
      </c>
      <c r="B50" s="25"/>
      <c r="C50" s="25"/>
      <c r="D50" s="25"/>
      <c r="E50" s="2"/>
      <c r="F50" s="25" t="str">
        <f>A50</f>
        <v>Mini Oval MEO - Cap</v>
      </c>
      <c r="G50" s="25"/>
      <c r="H50" s="25"/>
      <c r="I50" s="25"/>
    </row>
    <row r="51" spans="1:12" s="1" customFormat="1" ht="30" customHeight="1" x14ac:dyDescent="0.25">
      <c r="A51" s="15" t="s">
        <v>0</v>
      </c>
      <c r="B51" s="16"/>
      <c r="C51" s="15" t="s">
        <v>1</v>
      </c>
      <c r="D51" s="16"/>
      <c r="E51" s="3"/>
      <c r="F51" s="15" t="s">
        <v>0</v>
      </c>
      <c r="G51" s="16"/>
      <c r="H51" s="15" t="s">
        <v>1</v>
      </c>
      <c r="I51" s="16"/>
    </row>
    <row r="52" spans="1:12" s="1" customFormat="1" ht="30" customHeight="1" x14ac:dyDescent="0.25">
      <c r="A52" s="15" t="s">
        <v>2</v>
      </c>
      <c r="B52" s="16"/>
      <c r="C52" s="15" t="s">
        <v>5</v>
      </c>
      <c r="D52" s="7" t="s">
        <v>15</v>
      </c>
      <c r="E52" s="4"/>
      <c r="F52" s="15" t="s">
        <v>2</v>
      </c>
      <c r="G52" s="16"/>
      <c r="H52" s="15" t="s">
        <v>5</v>
      </c>
      <c r="I52" s="7" t="str">
        <f>D52</f>
        <v>10A</v>
      </c>
    </row>
    <row r="53" spans="1:12" s="1" customFormat="1" ht="53.25" customHeight="1" x14ac:dyDescent="0.25">
      <c r="A53" s="8" t="s">
        <v>3</v>
      </c>
      <c r="B53" s="9">
        <v>8</v>
      </c>
      <c r="C53" s="15" t="s">
        <v>6</v>
      </c>
      <c r="D53" s="7" t="s">
        <v>14</v>
      </c>
      <c r="E53" s="4"/>
      <c r="F53" s="8" t="s">
        <v>3</v>
      </c>
      <c r="G53" s="9">
        <v>18</v>
      </c>
      <c r="H53" s="15" t="s">
        <v>6</v>
      </c>
      <c r="I53" s="7" t="str">
        <f>D53</f>
        <v>MEO-C01</v>
      </c>
      <c r="K53" s="6" t="s">
        <v>8</v>
      </c>
      <c r="L53" s="6" t="s">
        <v>7</v>
      </c>
    </row>
    <row r="54" spans="1:12" s="1" customFormat="1" ht="30" customHeight="1" x14ac:dyDescent="0.25">
      <c r="A54" s="26" t="s">
        <v>23</v>
      </c>
      <c r="B54" s="27"/>
      <c r="C54" s="27"/>
      <c r="D54" s="28"/>
      <c r="E54" s="5"/>
      <c r="F54" s="26" t="s">
        <v>23</v>
      </c>
      <c r="G54" s="27"/>
      <c r="H54" s="27"/>
      <c r="I54" s="28"/>
      <c r="K54" s="1">
        <v>140</v>
      </c>
      <c r="L54" s="1">
        <v>80</v>
      </c>
    </row>
    <row r="55" spans="1:12" s="1" customFormat="1" ht="30" customHeight="1" x14ac:dyDescent="0.25">
      <c r="A55" s="29" t="s">
        <v>22</v>
      </c>
      <c r="B55" s="30"/>
      <c r="C55" s="30" t="s">
        <v>9</v>
      </c>
      <c r="D55" s="31"/>
      <c r="E55" s="4"/>
      <c r="F55" s="29" t="str">
        <f>A55</f>
        <v>PP6331</v>
      </c>
      <c r="G55" s="30"/>
      <c r="H55" s="30" t="str">
        <f>C55</f>
        <v>White</v>
      </c>
      <c r="I55" s="31"/>
    </row>
    <row r="56" spans="1:12" s="1" customFormat="1" ht="30" customHeight="1" x14ac:dyDescent="0.25">
      <c r="A56" s="12" t="s">
        <v>4</v>
      </c>
      <c r="B56" s="23" t="s">
        <v>24</v>
      </c>
      <c r="C56" s="23"/>
      <c r="D56" s="24"/>
      <c r="E56" s="4"/>
      <c r="F56" s="12" t="s">
        <v>4</v>
      </c>
      <c r="G56" s="23" t="str">
        <f>B56</f>
        <v>24036, 24038</v>
      </c>
      <c r="H56" s="23"/>
      <c r="I56" s="24"/>
    </row>
    <row r="57" spans="1:12" ht="63.75" customHeight="1" x14ac:dyDescent="0.25">
      <c r="A57" s="25" t="s">
        <v>16</v>
      </c>
      <c r="B57" s="25"/>
      <c r="C57" s="25"/>
      <c r="D57" s="25"/>
      <c r="E57" s="2"/>
      <c r="F57" s="25" t="str">
        <f>A57</f>
        <v>Mini Oval MEO - Cap</v>
      </c>
      <c r="G57" s="25"/>
      <c r="H57" s="25"/>
      <c r="I57" s="25"/>
    </row>
    <row r="58" spans="1:12" s="1" customFormat="1" ht="30" customHeight="1" x14ac:dyDescent="0.25">
      <c r="A58" s="15" t="s">
        <v>0</v>
      </c>
      <c r="B58" s="16"/>
      <c r="C58" s="15" t="s">
        <v>1</v>
      </c>
      <c r="D58" s="16"/>
      <c r="E58" s="3"/>
      <c r="F58" s="15" t="s">
        <v>0</v>
      </c>
      <c r="G58" s="16"/>
      <c r="H58" s="15" t="s">
        <v>1</v>
      </c>
      <c r="I58" s="16"/>
    </row>
    <row r="59" spans="1:12" s="1" customFormat="1" ht="30" customHeight="1" x14ac:dyDescent="0.25">
      <c r="A59" s="15" t="s">
        <v>2</v>
      </c>
      <c r="B59" s="16"/>
      <c r="C59" s="15" t="s">
        <v>5</v>
      </c>
      <c r="D59" s="7" t="s">
        <v>15</v>
      </c>
      <c r="E59" s="4"/>
      <c r="F59" s="15" t="s">
        <v>2</v>
      </c>
      <c r="G59" s="16"/>
      <c r="H59" s="15" t="s">
        <v>5</v>
      </c>
      <c r="I59" s="7" t="str">
        <f>D59</f>
        <v>10A</v>
      </c>
    </row>
    <row r="60" spans="1:12" s="1" customFormat="1" ht="53.25" customHeight="1" x14ac:dyDescent="0.25">
      <c r="A60" s="8" t="s">
        <v>3</v>
      </c>
      <c r="B60" s="9">
        <v>9</v>
      </c>
      <c r="C60" s="15" t="s">
        <v>6</v>
      </c>
      <c r="D60" s="7" t="s">
        <v>14</v>
      </c>
      <c r="E60" s="4"/>
      <c r="F60" s="8" t="s">
        <v>3</v>
      </c>
      <c r="G60" s="9">
        <v>19</v>
      </c>
      <c r="H60" s="15" t="s">
        <v>6</v>
      </c>
      <c r="I60" s="7" t="str">
        <f>D60</f>
        <v>MEO-C01</v>
      </c>
      <c r="K60" s="6" t="s">
        <v>8</v>
      </c>
      <c r="L60" s="6" t="s">
        <v>7</v>
      </c>
    </row>
    <row r="61" spans="1:12" s="1" customFormat="1" ht="30" customHeight="1" x14ac:dyDescent="0.25">
      <c r="A61" s="26" t="s">
        <v>23</v>
      </c>
      <c r="B61" s="27"/>
      <c r="C61" s="27"/>
      <c r="D61" s="28"/>
      <c r="E61" s="5"/>
      <c r="F61" s="26" t="s">
        <v>27</v>
      </c>
      <c r="G61" s="27"/>
      <c r="H61" s="27"/>
      <c r="I61" s="28"/>
      <c r="K61" s="1">
        <v>140</v>
      </c>
      <c r="L61" s="1">
        <v>80</v>
      </c>
    </row>
    <row r="62" spans="1:12" s="1" customFormat="1" ht="30" customHeight="1" x14ac:dyDescent="0.25">
      <c r="A62" s="29" t="s">
        <v>22</v>
      </c>
      <c r="B62" s="30"/>
      <c r="C62" s="30" t="s">
        <v>9</v>
      </c>
      <c r="D62" s="31"/>
      <c r="E62" s="4"/>
      <c r="F62" s="29" t="str">
        <f>A62</f>
        <v>PP6331</v>
      </c>
      <c r="G62" s="30"/>
      <c r="H62" s="30" t="str">
        <f>C62</f>
        <v>White</v>
      </c>
      <c r="I62" s="31"/>
    </row>
    <row r="63" spans="1:12" s="1" customFormat="1" ht="30" customHeight="1" x14ac:dyDescent="0.25">
      <c r="A63" s="12" t="s">
        <v>4</v>
      </c>
      <c r="B63" s="23" t="s">
        <v>24</v>
      </c>
      <c r="C63" s="23"/>
      <c r="D63" s="24"/>
      <c r="E63" s="4"/>
      <c r="F63" s="12" t="s">
        <v>4</v>
      </c>
      <c r="G63" s="23" t="str">
        <f>B63</f>
        <v>24036, 24038</v>
      </c>
      <c r="H63" s="23"/>
      <c r="I63" s="24"/>
    </row>
    <row r="64" spans="1:12" ht="63.75" customHeight="1" x14ac:dyDescent="0.25">
      <c r="A64" s="25" t="s">
        <v>16</v>
      </c>
      <c r="B64" s="25"/>
      <c r="C64" s="25"/>
      <c r="D64" s="25"/>
      <c r="E64" s="2"/>
      <c r="F64" s="33" t="str">
        <f>A64</f>
        <v>Mini Oval MEO - Cap</v>
      </c>
      <c r="G64" s="33"/>
      <c r="H64" s="33"/>
      <c r="I64" s="33"/>
    </row>
    <row r="65" spans="1:12" s="1" customFormat="1" ht="30" customHeight="1" x14ac:dyDescent="0.25">
      <c r="A65" s="15" t="s">
        <v>0</v>
      </c>
      <c r="B65" s="16"/>
      <c r="C65" s="15" t="s">
        <v>1</v>
      </c>
      <c r="D65" s="16"/>
      <c r="E65" s="3"/>
      <c r="F65" s="17" t="s">
        <v>0</v>
      </c>
      <c r="G65" s="17"/>
      <c r="H65" s="17" t="s">
        <v>1</v>
      </c>
      <c r="I65" s="17"/>
    </row>
    <row r="66" spans="1:12" s="1" customFormat="1" ht="30" customHeight="1" x14ac:dyDescent="0.25">
      <c r="A66" s="15" t="s">
        <v>2</v>
      </c>
      <c r="B66" s="16"/>
      <c r="C66" s="15" t="s">
        <v>5</v>
      </c>
      <c r="D66" s="7" t="s">
        <v>15</v>
      </c>
      <c r="E66" s="4"/>
      <c r="F66" s="17" t="s">
        <v>2</v>
      </c>
      <c r="G66" s="17"/>
      <c r="H66" s="17" t="s">
        <v>5</v>
      </c>
      <c r="I66" s="18" t="str">
        <f>D66</f>
        <v>10A</v>
      </c>
    </row>
    <row r="67" spans="1:12" s="1" customFormat="1" ht="53.25" customHeight="1" x14ac:dyDescent="0.25">
      <c r="A67" s="8" t="s">
        <v>3</v>
      </c>
      <c r="B67" s="9">
        <v>10</v>
      </c>
      <c r="C67" s="15" t="s">
        <v>6</v>
      </c>
      <c r="D67" s="7" t="s">
        <v>14</v>
      </c>
      <c r="E67" s="4"/>
      <c r="F67" s="19" t="s">
        <v>3</v>
      </c>
      <c r="G67" s="20">
        <v>19</v>
      </c>
      <c r="H67" s="17" t="s">
        <v>6</v>
      </c>
      <c r="I67" s="18" t="str">
        <f>D67</f>
        <v>MEO-C01</v>
      </c>
      <c r="K67" s="6" t="s">
        <v>8</v>
      </c>
      <c r="L67" s="6" t="s">
        <v>7</v>
      </c>
    </row>
    <row r="68" spans="1:12" s="1" customFormat="1" ht="30" customHeight="1" x14ac:dyDescent="0.25">
      <c r="A68" s="26" t="s">
        <v>23</v>
      </c>
      <c r="B68" s="27"/>
      <c r="C68" s="27"/>
      <c r="D68" s="28"/>
      <c r="E68" s="5"/>
      <c r="F68" s="34" t="s">
        <v>27</v>
      </c>
      <c r="G68" s="34"/>
      <c r="H68" s="34"/>
      <c r="I68" s="34"/>
      <c r="K68" s="1">
        <v>140</v>
      </c>
      <c r="L68" s="1">
        <v>80</v>
      </c>
    </row>
    <row r="69" spans="1:12" s="1" customFormat="1" ht="30" customHeight="1" x14ac:dyDescent="0.25">
      <c r="A69" s="29" t="s">
        <v>22</v>
      </c>
      <c r="B69" s="30"/>
      <c r="C69" s="30" t="s">
        <v>9</v>
      </c>
      <c r="D69" s="31"/>
      <c r="E69" s="4"/>
      <c r="F69" s="35" t="str">
        <f>A69</f>
        <v>PP6331</v>
      </c>
      <c r="G69" s="35"/>
      <c r="H69" s="35" t="str">
        <f>C69</f>
        <v>White</v>
      </c>
      <c r="I69" s="35"/>
    </row>
    <row r="70" spans="1:12" s="1" customFormat="1" ht="30" customHeight="1" x14ac:dyDescent="0.25">
      <c r="A70" s="12" t="s">
        <v>4</v>
      </c>
      <c r="B70" s="23" t="s">
        <v>24</v>
      </c>
      <c r="C70" s="23"/>
      <c r="D70" s="24"/>
      <c r="E70" s="4"/>
      <c r="F70" s="17" t="s">
        <v>4</v>
      </c>
      <c r="G70" s="32" t="str">
        <f>B70</f>
        <v>24036, 24038</v>
      </c>
      <c r="H70" s="32"/>
      <c r="I70" s="32"/>
    </row>
  </sheetData>
  <mergeCells count="100">
    <mergeCell ref="B70:D70"/>
    <mergeCell ref="G70:I70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70C0"/>
  </sheetPr>
  <dimension ref="A1:L7"/>
  <sheetViews>
    <sheetView view="pageBreakPreview" zoomScaleNormal="100" zoomScaleSheetLayoutView="100" workbookViewId="0">
      <selection activeCell="G11" sqref="G1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18</v>
      </c>
      <c r="B1" s="25"/>
      <c r="C1" s="25"/>
      <c r="D1" s="25"/>
      <c r="E1" s="2"/>
      <c r="F1" s="25" t="str">
        <f>A1</f>
        <v>Mini Oval MEO - Platform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5" t="s">
        <v>0</v>
      </c>
      <c r="G2" s="16"/>
      <c r="H2" s="15" t="s">
        <v>1</v>
      </c>
      <c r="I2" s="16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10</v>
      </c>
      <c r="E3" s="4"/>
      <c r="F3" s="15" t="s">
        <v>2</v>
      </c>
      <c r="G3" s="16"/>
      <c r="H3" s="15" t="s">
        <v>5</v>
      </c>
      <c r="I3" s="7" t="str">
        <f>D3</f>
        <v>01B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19</v>
      </c>
      <c r="E4" s="4"/>
      <c r="F4" s="8" t="s">
        <v>3</v>
      </c>
      <c r="G4" s="9">
        <v>2</v>
      </c>
      <c r="H4" s="15" t="s">
        <v>6</v>
      </c>
      <c r="I4" s="7" t="str">
        <f>D4</f>
        <v>MEO-P01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25</v>
      </c>
      <c r="B5" s="27"/>
      <c r="C5" s="27"/>
      <c r="D5" s="28"/>
      <c r="E5" s="5"/>
      <c r="F5" s="26" t="s">
        <v>26</v>
      </c>
      <c r="G5" s="27"/>
      <c r="H5" s="27"/>
      <c r="I5" s="28"/>
      <c r="K5" s="1">
        <v>2300</v>
      </c>
      <c r="L5" s="1">
        <v>80</v>
      </c>
    </row>
    <row r="6" spans="1:12" s="1" customFormat="1" ht="30" customHeight="1" x14ac:dyDescent="0.25">
      <c r="A6" s="29" t="s">
        <v>29</v>
      </c>
      <c r="B6" s="30"/>
      <c r="C6" s="30" t="s">
        <v>9</v>
      </c>
      <c r="D6" s="31"/>
      <c r="E6" s="4"/>
      <c r="F6" s="29" t="str">
        <f>A6</f>
        <v>FC2304E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 t="s">
        <v>28</v>
      </c>
      <c r="C7" s="23"/>
      <c r="D7" s="24"/>
      <c r="E7" s="4"/>
      <c r="F7" s="12" t="s">
        <v>4</v>
      </c>
      <c r="G7" s="23" t="str">
        <f>B7</f>
        <v>24037, 24039</v>
      </c>
      <c r="H7" s="23"/>
      <c r="I7" s="24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1:L7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13</v>
      </c>
      <c r="B1" s="25"/>
      <c r="C1" s="25"/>
      <c r="D1" s="25"/>
      <c r="E1" s="2"/>
      <c r="F1" s="25" t="str">
        <f>A1</f>
        <v>Mini Oval MEO - Barrel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10</v>
      </c>
      <c r="E3" s="4"/>
      <c r="F3" s="13" t="s">
        <v>2</v>
      </c>
      <c r="G3" s="14"/>
      <c r="H3" s="13" t="s">
        <v>5</v>
      </c>
      <c r="I3" s="7" t="str">
        <f>D3</f>
        <v>01B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17</v>
      </c>
      <c r="E4" s="4"/>
      <c r="F4" s="8" t="s">
        <v>3</v>
      </c>
      <c r="G4" s="9">
        <v>2</v>
      </c>
      <c r="H4" s="13" t="s">
        <v>6</v>
      </c>
      <c r="I4" s="7" t="str">
        <f>D4</f>
        <v>MEO-B01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11</v>
      </c>
      <c r="B5" s="27"/>
      <c r="C5" s="27"/>
      <c r="D5" s="28"/>
      <c r="E5" s="5"/>
      <c r="F5" s="26" t="s">
        <v>12</v>
      </c>
      <c r="G5" s="27"/>
      <c r="H5" s="27"/>
      <c r="I5" s="28"/>
      <c r="K5" s="1">
        <v>140</v>
      </c>
      <c r="L5" s="1">
        <v>80</v>
      </c>
    </row>
    <row r="6" spans="1:12" s="1" customFormat="1" ht="30" customHeight="1" x14ac:dyDescent="0.25">
      <c r="A6" s="29" t="s">
        <v>22</v>
      </c>
      <c r="B6" s="30"/>
      <c r="C6" s="30" t="s">
        <v>9</v>
      </c>
      <c r="D6" s="31"/>
      <c r="E6" s="4"/>
      <c r="F6" s="29" t="str">
        <f>A6</f>
        <v>PP6331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 t="str">
        <f>MEO_01B_Platform!B7</f>
        <v>24037, 24039</v>
      </c>
      <c r="C7" s="23"/>
      <c r="D7" s="24"/>
      <c r="E7" s="4"/>
      <c r="F7" s="12" t="s">
        <v>4</v>
      </c>
      <c r="G7" s="23" t="str">
        <f>B7</f>
        <v>24037, 24039</v>
      </c>
      <c r="H7" s="23"/>
      <c r="I7" s="24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L14"/>
  <sheetViews>
    <sheetView tabSelected="1" view="pageBreakPreview" zoomScaleNormal="100" zoomScaleSheetLayoutView="100" workbookViewId="0">
      <selection activeCell="D3" sqref="D3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5" t="s">
        <v>20</v>
      </c>
      <c r="B1" s="25"/>
      <c r="C1" s="25"/>
      <c r="D1" s="25"/>
      <c r="E1" s="2"/>
      <c r="F1" s="25" t="str">
        <f>A1</f>
        <v>Mini Oval MEO - Screw</v>
      </c>
      <c r="G1" s="25"/>
      <c r="H1" s="25"/>
      <c r="I1" s="25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1" t="s">
        <v>0</v>
      </c>
      <c r="G2" s="22"/>
      <c r="H2" s="21" t="s">
        <v>1</v>
      </c>
      <c r="I2" s="22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30</v>
      </c>
      <c r="E3" s="4"/>
      <c r="F3" s="21" t="s">
        <v>2</v>
      </c>
      <c r="G3" s="22"/>
      <c r="H3" s="21" t="s">
        <v>5</v>
      </c>
      <c r="I3" s="7" t="str">
        <f>D3</f>
        <v>14A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21</v>
      </c>
      <c r="E4" s="4"/>
      <c r="F4" s="8" t="s">
        <v>3</v>
      </c>
      <c r="G4" s="9">
        <v>3</v>
      </c>
      <c r="H4" s="21" t="s">
        <v>6</v>
      </c>
      <c r="I4" s="7" t="str">
        <f>D4</f>
        <v>MEO-S01</v>
      </c>
      <c r="K4" s="6" t="s">
        <v>8</v>
      </c>
      <c r="L4" s="6" t="s">
        <v>7</v>
      </c>
    </row>
    <row r="5" spans="1:12" s="1" customFormat="1" ht="30" customHeight="1" x14ac:dyDescent="0.25">
      <c r="A5" s="26" t="s">
        <v>31</v>
      </c>
      <c r="B5" s="27"/>
      <c r="C5" s="27"/>
      <c r="D5" s="28"/>
      <c r="E5" s="5"/>
      <c r="F5" s="26" t="s">
        <v>31</v>
      </c>
      <c r="G5" s="27"/>
      <c r="H5" s="27"/>
      <c r="I5" s="28"/>
      <c r="K5" s="1">
        <v>650</v>
      </c>
      <c r="L5" s="1">
        <v>80</v>
      </c>
    </row>
    <row r="6" spans="1:12" s="1" customFormat="1" ht="30" customHeight="1" x14ac:dyDescent="0.25">
      <c r="A6" s="29" t="s">
        <v>22</v>
      </c>
      <c r="B6" s="30"/>
      <c r="C6" s="30" t="s">
        <v>9</v>
      </c>
      <c r="D6" s="31"/>
      <c r="E6" s="4"/>
      <c r="F6" s="29" t="str">
        <f>A6</f>
        <v>PP6331</v>
      </c>
      <c r="G6" s="30"/>
      <c r="H6" s="30" t="str">
        <f>C6</f>
        <v>White</v>
      </c>
      <c r="I6" s="31"/>
    </row>
    <row r="7" spans="1:12" s="1" customFormat="1" ht="30" customHeight="1" x14ac:dyDescent="0.25">
      <c r="A7" s="12" t="s">
        <v>4</v>
      </c>
      <c r="B7" s="23" t="str">
        <f>MEO_01B_Platform!$B$7</f>
        <v>24037, 24039</v>
      </c>
      <c r="C7" s="23"/>
      <c r="D7" s="24"/>
      <c r="E7" s="4"/>
      <c r="F7" s="12" t="s">
        <v>4</v>
      </c>
      <c r="G7" s="23" t="str">
        <f>B7</f>
        <v>24037, 24039</v>
      </c>
      <c r="H7" s="23"/>
      <c r="I7" s="24"/>
    </row>
    <row r="8" spans="1:12" ht="63.75" customHeight="1" x14ac:dyDescent="0.25">
      <c r="A8" s="25" t="s">
        <v>20</v>
      </c>
      <c r="B8" s="25"/>
      <c r="C8" s="25"/>
      <c r="D8" s="25"/>
      <c r="E8" s="2"/>
      <c r="F8" s="25" t="str">
        <f>A8</f>
        <v>Mini Oval MEO - Screw</v>
      </c>
      <c r="G8" s="25"/>
      <c r="H8" s="25"/>
      <c r="I8" s="25"/>
    </row>
    <row r="9" spans="1:12" s="1" customFormat="1" ht="30" customHeight="1" x14ac:dyDescent="0.25">
      <c r="A9" s="21" t="s">
        <v>0</v>
      </c>
      <c r="B9" s="22"/>
      <c r="C9" s="21" t="s">
        <v>1</v>
      </c>
      <c r="D9" s="22"/>
      <c r="E9" s="3"/>
      <c r="F9" s="21" t="s">
        <v>0</v>
      </c>
      <c r="G9" s="22"/>
      <c r="H9" s="21" t="s">
        <v>1</v>
      </c>
      <c r="I9" s="22"/>
    </row>
    <row r="10" spans="1:12" s="1" customFormat="1" ht="30" customHeight="1" x14ac:dyDescent="0.25">
      <c r="A10" s="21" t="s">
        <v>2</v>
      </c>
      <c r="B10" s="22"/>
      <c r="C10" s="21" t="s">
        <v>5</v>
      </c>
      <c r="D10" s="7" t="s">
        <v>30</v>
      </c>
      <c r="E10" s="4"/>
      <c r="F10" s="21" t="s">
        <v>2</v>
      </c>
      <c r="G10" s="22"/>
      <c r="H10" s="21" t="s">
        <v>5</v>
      </c>
      <c r="I10" s="7" t="str">
        <f>D10</f>
        <v>14A</v>
      </c>
    </row>
    <row r="11" spans="1:12" s="1" customFormat="1" ht="53.25" customHeight="1" x14ac:dyDescent="0.25">
      <c r="A11" s="8" t="s">
        <v>3</v>
      </c>
      <c r="B11" s="9">
        <v>2</v>
      </c>
      <c r="C11" s="21" t="s">
        <v>6</v>
      </c>
      <c r="D11" s="7" t="s">
        <v>21</v>
      </c>
      <c r="E11" s="4"/>
      <c r="F11" s="8" t="s">
        <v>3</v>
      </c>
      <c r="G11" s="9">
        <v>4</v>
      </c>
      <c r="H11" s="21" t="s">
        <v>6</v>
      </c>
      <c r="I11" s="7" t="str">
        <f>D11</f>
        <v>MEO-S01</v>
      </c>
      <c r="K11" s="6" t="s">
        <v>8</v>
      </c>
      <c r="L11" s="6" t="s">
        <v>7</v>
      </c>
    </row>
    <row r="12" spans="1:12" s="1" customFormat="1" ht="30" customHeight="1" x14ac:dyDescent="0.25">
      <c r="A12" s="26" t="s">
        <v>31</v>
      </c>
      <c r="B12" s="27"/>
      <c r="C12" s="27"/>
      <c r="D12" s="28"/>
      <c r="E12" s="5"/>
      <c r="F12" s="26" t="s">
        <v>32</v>
      </c>
      <c r="G12" s="27"/>
      <c r="H12" s="27"/>
      <c r="I12" s="28"/>
      <c r="K12" s="1">
        <v>650</v>
      </c>
      <c r="L12" s="1">
        <v>80</v>
      </c>
    </row>
    <row r="13" spans="1:12" s="1" customFormat="1" ht="30" customHeight="1" x14ac:dyDescent="0.25">
      <c r="A13" s="29" t="s">
        <v>22</v>
      </c>
      <c r="B13" s="30"/>
      <c r="C13" s="30" t="s">
        <v>9</v>
      </c>
      <c r="D13" s="31"/>
      <c r="E13" s="4"/>
      <c r="F13" s="29" t="str">
        <f>A13</f>
        <v>PP6331</v>
      </c>
      <c r="G13" s="30"/>
      <c r="H13" s="30" t="str">
        <f>C13</f>
        <v>White</v>
      </c>
      <c r="I13" s="31"/>
    </row>
    <row r="14" spans="1:12" s="1" customFormat="1" ht="30" customHeight="1" x14ac:dyDescent="0.25">
      <c r="A14" s="12" t="s">
        <v>4</v>
      </c>
      <c r="B14" s="23" t="str">
        <f>MEO_01B_Platform!$B$7</f>
        <v>24037, 24039</v>
      </c>
      <c r="C14" s="23"/>
      <c r="D14" s="24"/>
      <c r="E14" s="4"/>
      <c r="F14" s="12" t="s">
        <v>4</v>
      </c>
      <c r="G14" s="23" t="str">
        <f>B14</f>
        <v>24037, 24039</v>
      </c>
      <c r="H14" s="23"/>
      <c r="I14" s="24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MEO_10A_Cap</vt:lpstr>
      <vt:lpstr>MEO_01B_Platform</vt:lpstr>
      <vt:lpstr>MEO_XXX_Barrel</vt:lpstr>
      <vt:lpstr>MEO_14A_Screw</vt:lpstr>
      <vt:lpstr>MEO_01B_Platform!Print_Area</vt:lpstr>
      <vt:lpstr>MEO_10A_Cap!Print_Area</vt:lpstr>
      <vt:lpstr>MEO_14A_Screw!Print_Area</vt:lpstr>
      <vt:lpstr>MEO_XXX_Barrel!Print_Area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2023-05-10T14:32:44Z</cp:lastPrinted>
  <dcterms:created xsi:type="dcterms:W3CDTF">2023-03-08T16:50:21Z</dcterms:created>
  <dcterms:modified xsi:type="dcterms:W3CDTF">2023-05-10T14:32:46Z</dcterms:modified>
</cp:coreProperties>
</file>