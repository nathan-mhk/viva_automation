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4505" yWindow="6390" windowWidth="14310" windowHeight="6420" tabRatio="700" activeTab="5"/>
  </bookViews>
  <sheets>
    <sheet name="DER_01C_Cap" sheetId="14" r:id="rId1"/>
    <sheet name="DER_14B_Cap" sheetId="9" r:id="rId2"/>
    <sheet name="DER_04C_Barrel" sheetId="15" r:id="rId3"/>
    <sheet name="DER_08B_InnerDome" sheetId="16" r:id="rId4"/>
    <sheet name="DER_01A_Platform" sheetId="17" r:id="rId5"/>
    <sheet name="DER_13A_Cartridge" sheetId="18" r:id="rId6"/>
    <sheet name="DER_15A_Screw" sheetId="19" r:id="rId7"/>
    <sheet name="DER_15B_BottomCover" sheetId="20" r:id="rId8"/>
  </sheets>
  <definedNames>
    <definedName name="_xlnm.Print_Area" localSheetId="4">DER_01A_Platform!$A$1:$I$7</definedName>
    <definedName name="_xlnm.Print_Area" localSheetId="0">DER_01C_Cap!$A$1:$I$7</definedName>
    <definedName name="_xlnm.Print_Area" localSheetId="2">DER_04C_Barrel!$A$1:$I$21</definedName>
    <definedName name="_xlnm.Print_Area" localSheetId="3">DER_08B_InnerDome!$A$1:$I$7</definedName>
    <definedName name="_xlnm.Print_Area" localSheetId="5">DER_13A_Cartridge!$A$1:$I$7</definedName>
    <definedName name="_xlnm.Print_Area" localSheetId="1">DER_14B_Cap!$A$1:$I$7</definedName>
    <definedName name="_xlnm.Print_Area" localSheetId="6">DER_15A_Screw!$A$1:$I$7</definedName>
    <definedName name="_xlnm.Print_Area" localSheetId="7">DER_15B_BottomCover!$A$1:$I$7</definedName>
  </definedNames>
  <calcPr calcId="145621"/>
</workbook>
</file>

<file path=xl/calcChain.xml><?xml version="1.0" encoding="utf-8"?>
<calcChain xmlns="http://schemas.openxmlformats.org/spreadsheetml/2006/main">
  <c r="G21" i="15" l="1"/>
  <c r="H20" i="15"/>
  <c r="F20" i="15"/>
  <c r="I18" i="15"/>
  <c r="I17" i="15"/>
  <c r="F15" i="15"/>
  <c r="G14" i="15"/>
  <c r="H13" i="15"/>
  <c r="F13" i="15"/>
  <c r="I11" i="15"/>
  <c r="I10" i="15"/>
  <c r="F8" i="15"/>
  <c r="B7" i="19" l="1"/>
  <c r="B7" i="18"/>
  <c r="B7" i="16"/>
  <c r="G7" i="20" l="1"/>
  <c r="H6" i="20"/>
  <c r="F6" i="20"/>
  <c r="I4" i="20"/>
  <c r="I3" i="20"/>
  <c r="F1" i="20"/>
  <c r="G7" i="19"/>
  <c r="H6" i="19"/>
  <c r="F6" i="19"/>
  <c r="I4" i="19"/>
  <c r="I3" i="19"/>
  <c r="F1" i="19"/>
  <c r="G7" i="18"/>
  <c r="H6" i="18"/>
  <c r="F6" i="18"/>
  <c r="I4" i="18"/>
  <c r="I3" i="18"/>
  <c r="F1" i="18"/>
  <c r="G7" i="17"/>
  <c r="H6" i="17"/>
  <c r="F6" i="17"/>
  <c r="I4" i="17"/>
  <c r="I3" i="17"/>
  <c r="F1" i="17"/>
  <c r="G7" i="16"/>
  <c r="H6" i="16"/>
  <c r="F6" i="16"/>
  <c r="I4" i="16"/>
  <c r="I3" i="16"/>
  <c r="F1" i="16"/>
  <c r="G7" i="15"/>
  <c r="H6" i="15"/>
  <c r="F6" i="15"/>
  <c r="I4" i="15"/>
  <c r="I3" i="15"/>
  <c r="F1" i="15"/>
  <c r="G7" i="14"/>
  <c r="H6" i="14"/>
  <c r="F6" i="14"/>
  <c r="I4" i="14"/>
  <c r="I3" i="14"/>
  <c r="F1" i="14"/>
  <c r="G7" i="9" l="1"/>
  <c r="H6" i="9"/>
  <c r="F6" i="9"/>
  <c r="I4" i="9"/>
  <c r="I3" i="9"/>
  <c r="F1" i="9"/>
</calcChain>
</file>

<file path=xl/sharedStrings.xml><?xml version="1.0" encoding="utf-8"?>
<sst xmlns="http://schemas.openxmlformats.org/spreadsheetml/2006/main" count="230" uniqueCount="42">
  <si>
    <t>Date:</t>
  </si>
  <si>
    <t>MO:</t>
  </si>
  <si>
    <t>Shift:</t>
  </si>
  <si>
    <t>Plt. No:</t>
  </si>
  <si>
    <t>Index:</t>
  </si>
  <si>
    <t>Machine:</t>
  </si>
  <si>
    <t>Mold:</t>
  </si>
  <si>
    <t>Trays Per Pallet</t>
  </si>
  <si>
    <t>Pcs Per Tray</t>
  </si>
  <si>
    <t>PCR-Q</t>
  </si>
  <si>
    <t>White</t>
  </si>
  <si>
    <t>1,250 pcs x 80 trays = 100,000 pcs</t>
  </si>
  <si>
    <t>1,250 pcs x 23 trays = 28,750 pcs</t>
  </si>
  <si>
    <t>18B</t>
  </si>
  <si>
    <t>DER-C03</t>
  </si>
  <si>
    <t>01C</t>
  </si>
  <si>
    <t>DER-C02</t>
  </si>
  <si>
    <t>04C</t>
  </si>
  <si>
    <t>DER-B02</t>
  </si>
  <si>
    <t>08B</t>
  </si>
  <si>
    <t>DER-D02</t>
  </si>
  <si>
    <t>DER-P02</t>
  </si>
  <si>
    <t>01A</t>
  </si>
  <si>
    <t>13A</t>
  </si>
  <si>
    <t>DER-R01</t>
  </si>
  <si>
    <t>15A</t>
  </si>
  <si>
    <t>DER-S02</t>
  </si>
  <si>
    <t>15B</t>
  </si>
  <si>
    <t>DER-U02</t>
  </si>
  <si>
    <t>Round DER - Cap</t>
  </si>
  <si>
    <t>Round DER - Barrel</t>
  </si>
  <si>
    <t>Round DER - Inner Dome</t>
  </si>
  <si>
    <t>Round DER - Platform</t>
  </si>
  <si>
    <t>Round DER - Cartridge</t>
  </si>
  <si>
    <t>Round DER - Screw</t>
  </si>
  <si>
    <t>Round DER - Bottom Cover</t>
  </si>
  <si>
    <t>400 pcs x 80 trays = 32,000 pcs</t>
  </si>
  <si>
    <t>Pink</t>
  </si>
  <si>
    <t>PP6331</t>
  </si>
  <si>
    <t>250 pcs x 20 trays = 5,000 pcs</t>
  </si>
  <si>
    <t>250 pcs x 1 trays = 250 pcs</t>
  </si>
  <si>
    <t>250 pcs x 80 trays = 20,000 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</si>
</sst>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Source Code Pro Semibold"/>
      <family val="2"/>
    </font>
    <font>
      <sz val="20"/>
      <color theme="1"/>
      <name val="Microsoft JhengHei"/>
      <family val="2"/>
    </font>
    <font>
      <sz val="18"/>
      <color theme="1"/>
      <name val="Microsoft JhengHei"/>
      <family val="2"/>
    </font>
    <font>
      <sz val="16"/>
      <color theme="1"/>
      <name val="Microsoft JhengHei"/>
      <family val="2"/>
    </font>
    <font>
      <sz val="18"/>
      <name val="Microsoft JhengHei"/>
      <family val="2"/>
    </font>
    <font>
      <b/>
      <sz val="36"/>
      <name val="Microsoft JhengHei"/>
      <family val="2"/>
    </font>
    <font>
      <sz val="14"/>
      <name val="Microsoft JhengHei"/>
      <family val="2"/>
    </font>
    <font>
      <sz val="20"/>
      <color rgb="FFFFFFFF"/>
      <name val="Microsoft JhengHei"/>
      <family val="2"/>
    </font>
    <font>
      <sz val="18"/>
      <color rgb="FFFFFFFF"/>
      <name val="Microsoft JhengHei"/>
      <family val="2"/>
    </font>
    <font>
      <b/>
      <sz val="36"/>
      <color rgb="FFFFFFFF"/>
      <name val="Microsoft JhengHei"/>
      <family val="2"/>
    </font>
    <font>
      <sz val="14"/>
      <color rgb="FFFFFFFF"/>
      <name val="Microsoft JhengHe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2" fillId="0" borderId="3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L7"/>
  <sheetViews>
    <sheetView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29</v>
      </c>
      <c r="B1" s="25"/>
      <c r="C1" s="25"/>
      <c r="D1" s="25"/>
      <c r="E1" s="2"/>
      <c r="F1" s="25" t="str">
        <f>A1</f>
        <v>Round DER - Cap</v>
      </c>
      <c r="G1" s="25"/>
      <c r="H1" s="25"/>
      <c r="I1" s="25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15</v>
      </c>
      <c r="E3" s="4"/>
      <c r="F3" s="13" t="s">
        <v>2</v>
      </c>
      <c r="G3" s="14"/>
      <c r="H3" s="13" t="s">
        <v>5</v>
      </c>
      <c r="I3" s="7" t="str">
        <f>D3</f>
        <v>01C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16</v>
      </c>
      <c r="E4" s="4"/>
      <c r="F4" s="8" t="s">
        <v>3</v>
      </c>
      <c r="G4" s="9">
        <v>2</v>
      </c>
      <c r="H4" s="13" t="s">
        <v>6</v>
      </c>
      <c r="I4" s="7" t="str">
        <f>D4</f>
        <v>DER-C02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11</v>
      </c>
      <c r="B5" s="27"/>
      <c r="C5" s="27"/>
      <c r="D5" s="28"/>
      <c r="E5" s="5"/>
      <c r="F5" s="26" t="s">
        <v>12</v>
      </c>
      <c r="G5" s="27"/>
      <c r="H5" s="27"/>
      <c r="I5" s="28"/>
      <c r="K5" s="1">
        <v>500</v>
      </c>
      <c r="L5" s="1">
        <v>20</v>
      </c>
    </row>
    <row r="6" spans="1:12" s="1" customFormat="1" ht="30" customHeight="1" x14ac:dyDescent="0.25">
      <c r="A6" s="29" t="s">
        <v>9</v>
      </c>
      <c r="B6" s="30"/>
      <c r="C6" s="30" t="s">
        <v>10</v>
      </c>
      <c r="D6" s="31"/>
      <c r="E6" s="4"/>
      <c r="F6" s="29" t="str">
        <f>A6</f>
        <v>PCR-Q</v>
      </c>
      <c r="G6" s="30"/>
      <c r="H6" s="30" t="str">
        <f>C6</f>
        <v>White</v>
      </c>
      <c r="I6" s="31"/>
    </row>
    <row r="7" spans="1:12" s="1" customFormat="1" ht="30" customHeight="1" x14ac:dyDescent="0.25">
      <c r="A7" s="12" t="s">
        <v>4</v>
      </c>
      <c r="B7" s="23">
        <v>22794</v>
      </c>
      <c r="C7" s="23"/>
      <c r="D7" s="24"/>
      <c r="E7" s="4"/>
      <c r="F7" s="12" t="s">
        <v>4</v>
      </c>
      <c r="G7" s="23">
        <f>B7</f>
        <v>22794</v>
      </c>
      <c r="H7" s="23"/>
      <c r="I7" s="24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7"/>
  <sheetViews>
    <sheetView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29</v>
      </c>
      <c r="B1" s="25"/>
      <c r="C1" s="25"/>
      <c r="D1" s="25"/>
      <c r="E1" s="2"/>
      <c r="F1" s="25" t="str">
        <f>A1</f>
        <v>Round DER - Cap</v>
      </c>
      <c r="G1" s="25"/>
      <c r="H1" s="25"/>
      <c r="I1" s="25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13</v>
      </c>
      <c r="E3" s="4"/>
      <c r="F3" s="11" t="s">
        <v>2</v>
      </c>
      <c r="G3" s="10"/>
      <c r="H3" s="11" t="s">
        <v>5</v>
      </c>
      <c r="I3" s="7" t="str">
        <f>D3</f>
        <v>18B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14</v>
      </c>
      <c r="E4" s="4"/>
      <c r="F4" s="8" t="s">
        <v>3</v>
      </c>
      <c r="G4" s="9">
        <v>2</v>
      </c>
      <c r="H4" s="11" t="s">
        <v>6</v>
      </c>
      <c r="I4" s="7" t="str">
        <f>D4</f>
        <v>DER-C03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11</v>
      </c>
      <c r="B5" s="27"/>
      <c r="C5" s="27"/>
      <c r="D5" s="28"/>
      <c r="E5" s="5"/>
      <c r="F5" s="26" t="s">
        <v>12</v>
      </c>
      <c r="G5" s="27"/>
      <c r="H5" s="27"/>
      <c r="I5" s="28"/>
      <c r="K5" s="1">
        <v>500</v>
      </c>
      <c r="L5" s="1">
        <v>20</v>
      </c>
    </row>
    <row r="6" spans="1:12" s="1" customFormat="1" ht="30" customHeight="1" x14ac:dyDescent="0.25">
      <c r="A6" s="29" t="s">
        <v>9</v>
      </c>
      <c r="B6" s="30"/>
      <c r="C6" s="30" t="s">
        <v>10</v>
      </c>
      <c r="D6" s="31"/>
      <c r="E6" s="4"/>
      <c r="F6" s="29" t="str">
        <f>A6</f>
        <v>PCR-Q</v>
      </c>
      <c r="G6" s="30"/>
      <c r="H6" s="30" t="str">
        <f>C6</f>
        <v>White</v>
      </c>
      <c r="I6" s="31"/>
    </row>
    <row r="7" spans="1:12" s="1" customFormat="1" ht="30" customHeight="1" x14ac:dyDescent="0.25">
      <c r="A7" s="12" t="s">
        <v>4</v>
      </c>
      <c r="B7" s="23">
        <v>22794</v>
      </c>
      <c r="C7" s="23"/>
      <c r="D7" s="24"/>
      <c r="E7" s="4"/>
      <c r="F7" s="12" t="s">
        <v>4</v>
      </c>
      <c r="G7" s="23">
        <f>B7</f>
        <v>22794</v>
      </c>
      <c r="H7" s="23"/>
      <c r="I7" s="24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21"/>
  <sheetViews>
    <sheetView view="pageBreakPreview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30</v>
      </c>
      <c r="B1" s="25"/>
      <c r="C1" s="25"/>
      <c r="D1" s="25"/>
      <c r="E1" s="2"/>
      <c r="F1" s="25" t="str">
        <f>A1</f>
        <v>Round DER - Barrel</v>
      </c>
      <c r="G1" s="25"/>
      <c r="H1" s="25"/>
      <c r="I1" s="25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9" t="s">
        <v>0</v>
      </c>
      <c r="G2" s="20"/>
      <c r="H2" s="19" t="s">
        <v>1</v>
      </c>
      <c r="I2" s="20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17</v>
      </c>
      <c r="E3" s="4"/>
      <c r="F3" s="19" t="s">
        <v>2</v>
      </c>
      <c r="G3" s="20"/>
      <c r="H3" s="19" t="s">
        <v>5</v>
      </c>
      <c r="I3" s="7" t="str">
        <f>D3</f>
        <v>04C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18</v>
      </c>
      <c r="E4" s="4"/>
      <c r="F4" s="8" t="s">
        <v>3</v>
      </c>
      <c r="G4" s="9">
        <v>4</v>
      </c>
      <c r="H4" s="19" t="s">
        <v>6</v>
      </c>
      <c r="I4" s="7" t="str">
        <f>D4</f>
        <v>DER-B02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39</v>
      </c>
      <c r="B5" s="27"/>
      <c r="C5" s="27"/>
      <c r="D5" s="28"/>
      <c r="E5" s="5"/>
      <c r="F5" s="26" t="s">
        <v>39</v>
      </c>
      <c r="G5" s="27"/>
      <c r="H5" s="27"/>
      <c r="I5" s="28"/>
      <c r="K5" s="1">
        <v>250</v>
      </c>
      <c r="L5" s="1">
        <v>20</v>
      </c>
    </row>
    <row r="6" spans="1:12" s="1" customFormat="1" ht="30" customHeight="1" x14ac:dyDescent="0.25">
      <c r="A6" s="29" t="s">
        <v>38</v>
      </c>
      <c r="B6" s="30"/>
      <c r="C6" s="30" t="s">
        <v>37</v>
      </c>
      <c r="D6" s="31"/>
      <c r="E6" s="4"/>
      <c r="F6" s="29" t="str">
        <f>A6</f>
        <v>PP6331</v>
      </c>
      <c r="G6" s="30"/>
      <c r="H6" s="30" t="str">
        <f>C6</f>
        <v>Pink</v>
      </c>
      <c r="I6" s="31"/>
    </row>
    <row r="7" spans="1:12" s="1" customFormat="1" ht="30" customHeight="1" x14ac:dyDescent="0.25">
      <c r="A7" s="12" t="s">
        <v>4</v>
      </c>
      <c r="B7" s="23">
        <v>23281</v>
      </c>
      <c r="C7" s="23"/>
      <c r="D7" s="24"/>
      <c r="E7" s="4"/>
      <c r="F7" s="12" t="s">
        <v>4</v>
      </c>
      <c r="G7" s="23">
        <f>B7</f>
        <v>23281</v>
      </c>
      <c r="H7" s="23"/>
      <c r="I7" s="24"/>
    </row>
    <row r="8" spans="1:12" ht="63.75" customHeight="1" x14ac:dyDescent="0.25">
      <c r="A8" s="25" t="s">
        <v>30</v>
      </c>
      <c r="B8" s="25"/>
      <c r="C8" s="25"/>
      <c r="D8" s="25"/>
      <c r="E8" s="2"/>
      <c r="F8" s="25" t="str">
        <f>A8</f>
        <v>Round DER - Barrel</v>
      </c>
      <c r="G8" s="25"/>
      <c r="H8" s="25"/>
      <c r="I8" s="25"/>
    </row>
    <row r="9" spans="1:12" s="1" customFormat="1" ht="30" customHeight="1" x14ac:dyDescent="0.25">
      <c r="A9" s="19" t="s">
        <v>0</v>
      </c>
      <c r="B9" s="20"/>
      <c r="C9" s="19" t="s">
        <v>1</v>
      </c>
      <c r="D9" s="20"/>
      <c r="E9" s="3"/>
      <c r="F9" s="19" t="s">
        <v>0</v>
      </c>
      <c r="G9" s="20"/>
      <c r="H9" s="19" t="s">
        <v>1</v>
      </c>
      <c r="I9" s="20"/>
    </row>
    <row r="10" spans="1:12" s="1" customFormat="1" ht="30" customHeight="1" x14ac:dyDescent="0.25">
      <c r="A10" s="19" t="s">
        <v>2</v>
      </c>
      <c r="B10" s="20"/>
      <c r="C10" s="19" t="s">
        <v>5</v>
      </c>
      <c r="D10" s="7" t="s">
        <v>17</v>
      </c>
      <c r="E10" s="4"/>
      <c r="F10" s="19" t="s">
        <v>2</v>
      </c>
      <c r="G10" s="20"/>
      <c r="H10" s="19" t="s">
        <v>5</v>
      </c>
      <c r="I10" s="7" t="str">
        <f>D10</f>
        <v>04C</v>
      </c>
    </row>
    <row r="11" spans="1:12" s="1" customFormat="1" ht="53.25" customHeight="1" x14ac:dyDescent="0.25">
      <c r="A11" s="8" t="s">
        <v>3</v>
      </c>
      <c r="B11" s="9">
        <v>2</v>
      </c>
      <c r="C11" s="19" t="s">
        <v>6</v>
      </c>
      <c r="D11" s="7" t="s">
        <v>18</v>
      </c>
      <c r="E11" s="4"/>
      <c r="F11" s="8" t="s">
        <v>3</v>
      </c>
      <c r="G11" s="9">
        <v>5</v>
      </c>
      <c r="H11" s="19" t="s">
        <v>6</v>
      </c>
      <c r="I11" s="7" t="str">
        <f>D11</f>
        <v>DER-B02</v>
      </c>
      <c r="K11" s="6" t="s">
        <v>8</v>
      </c>
      <c r="L11" s="6" t="s">
        <v>7</v>
      </c>
    </row>
    <row r="12" spans="1:12" s="1" customFormat="1" ht="30" customHeight="1" x14ac:dyDescent="0.25">
      <c r="A12" s="26" t="s">
        <v>39</v>
      </c>
      <c r="B12" s="27"/>
      <c r="C12" s="27"/>
      <c r="D12" s="28"/>
      <c r="E12" s="5"/>
      <c r="F12" s="26" t="s">
        <v>40</v>
      </c>
      <c r="G12" s="27"/>
      <c r="H12" s="27"/>
      <c r="I12" s="28"/>
      <c r="K12" s="1">
        <v>250</v>
      </c>
      <c r="L12" s="1">
        <v>20</v>
      </c>
    </row>
    <row r="13" spans="1:12" s="1" customFormat="1" ht="30" customHeight="1" x14ac:dyDescent="0.25">
      <c r="A13" s="29" t="s">
        <v>38</v>
      </c>
      <c r="B13" s="30"/>
      <c r="C13" s="30" t="s">
        <v>37</v>
      </c>
      <c r="D13" s="31"/>
      <c r="E13" s="4"/>
      <c r="F13" s="29" t="str">
        <f>A13</f>
        <v>PP6331</v>
      </c>
      <c r="G13" s="30"/>
      <c r="H13" s="30" t="str">
        <f>C13</f>
        <v>Pink</v>
      </c>
      <c r="I13" s="31"/>
    </row>
    <row r="14" spans="1:12" s="1" customFormat="1" ht="30" customHeight="1" x14ac:dyDescent="0.25">
      <c r="A14" s="12" t="s">
        <v>4</v>
      </c>
      <c r="B14" s="23">
        <v>23281</v>
      </c>
      <c r="C14" s="23"/>
      <c r="D14" s="24"/>
      <c r="E14" s="4"/>
      <c r="F14" s="12" t="s">
        <v>4</v>
      </c>
      <c r="G14" s="23">
        <f>B14</f>
        <v>23281</v>
      </c>
      <c r="H14" s="23"/>
      <c r="I14" s="24"/>
    </row>
    <row r="15" spans="1:12" ht="63.75" customHeight="1" x14ac:dyDescent="0.25">
      <c r="A15" s="25" t="s">
        <v>30</v>
      </c>
      <c r="B15" s="25"/>
      <c r="C15" s="25"/>
      <c r="D15" s="25"/>
      <c r="E15" s="2"/>
      <c r="F15" s="34" t="str">
        <f>A15</f>
        <v>Round DER - Barrel</v>
      </c>
      <c r="G15" s="34"/>
      <c r="H15" s="34"/>
      <c r="I15" s="34"/>
    </row>
    <row r="16" spans="1:12" s="1" customFormat="1" ht="30" customHeight="1" x14ac:dyDescent="0.25">
      <c r="A16" s="19" t="s">
        <v>0</v>
      </c>
      <c r="B16" s="20"/>
      <c r="C16" s="19" t="s">
        <v>1</v>
      </c>
      <c r="D16" s="20"/>
      <c r="E16" s="3"/>
      <c r="F16" s="21" t="s">
        <v>0</v>
      </c>
      <c r="G16" s="21"/>
      <c r="H16" s="21" t="s">
        <v>1</v>
      </c>
      <c r="I16" s="21"/>
    </row>
    <row r="17" spans="1:12" s="1" customFormat="1" ht="30" customHeight="1" x14ac:dyDescent="0.25">
      <c r="A17" s="19" t="s">
        <v>2</v>
      </c>
      <c r="B17" s="20"/>
      <c r="C17" s="19" t="s">
        <v>5</v>
      </c>
      <c r="D17" s="7" t="s">
        <v>17</v>
      </c>
      <c r="E17" s="4"/>
      <c r="F17" s="21" t="s">
        <v>2</v>
      </c>
      <c r="G17" s="21"/>
      <c r="H17" s="21" t="s">
        <v>5</v>
      </c>
      <c r="I17" s="16" t="str">
        <f>D17</f>
        <v>04C</v>
      </c>
    </row>
    <row r="18" spans="1:12" s="1" customFormat="1" ht="53.25" customHeight="1" x14ac:dyDescent="0.25">
      <c r="A18" s="8" t="s">
        <v>3</v>
      </c>
      <c r="B18" s="9">
        <v>3</v>
      </c>
      <c r="C18" s="19" t="s">
        <v>6</v>
      </c>
      <c r="D18" s="7" t="s">
        <v>18</v>
      </c>
      <c r="E18" s="4"/>
      <c r="F18" s="17" t="s">
        <v>3</v>
      </c>
      <c r="G18" s="18">
        <v>5</v>
      </c>
      <c r="H18" s="21" t="s">
        <v>6</v>
      </c>
      <c r="I18" s="16" t="str">
        <f>D18</f>
        <v>DER-B02</v>
      </c>
      <c r="K18" s="6" t="s">
        <v>8</v>
      </c>
      <c r="L18" s="6" t="s">
        <v>7</v>
      </c>
    </row>
    <row r="19" spans="1:12" s="1" customFormat="1" ht="30" customHeight="1" x14ac:dyDescent="0.25">
      <c r="A19" s="26" t="s">
        <v>39</v>
      </c>
      <c r="B19" s="27"/>
      <c r="C19" s="27"/>
      <c r="D19" s="28"/>
      <c r="E19" s="5"/>
      <c r="F19" s="35" t="s">
        <v>40</v>
      </c>
      <c r="G19" s="35"/>
      <c r="H19" s="35"/>
      <c r="I19" s="35"/>
      <c r="K19" s="1">
        <v>250</v>
      </c>
      <c r="L19" s="1">
        <v>20</v>
      </c>
    </row>
    <row r="20" spans="1:12" s="1" customFormat="1" ht="30" customHeight="1" x14ac:dyDescent="0.25">
      <c r="A20" s="29" t="s">
        <v>38</v>
      </c>
      <c r="B20" s="30"/>
      <c r="C20" s="30" t="s">
        <v>37</v>
      </c>
      <c r="D20" s="31"/>
      <c r="E20" s="4"/>
      <c r="F20" s="32" t="str">
        <f>A20</f>
        <v>PP6331</v>
      </c>
      <c r="G20" s="32"/>
      <c r="H20" s="32" t="str">
        <f>C20</f>
        <v>Pink</v>
      </c>
      <c r="I20" s="32"/>
    </row>
    <row r="21" spans="1:12" s="1" customFormat="1" ht="30" customHeight="1" x14ac:dyDescent="0.25">
      <c r="A21" s="12" t="s">
        <v>4</v>
      </c>
      <c r="B21" s="23">
        <v>23281</v>
      </c>
      <c r="C21" s="23"/>
      <c r="D21" s="24"/>
      <c r="E21" s="4"/>
      <c r="F21" s="21" t="s">
        <v>4</v>
      </c>
      <c r="G21" s="33">
        <f>B21</f>
        <v>23281</v>
      </c>
      <c r="H21" s="33"/>
      <c r="I21" s="33"/>
    </row>
  </sheetData>
  <mergeCells count="3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L7"/>
  <sheetViews>
    <sheetView view="pageBreakPreview" zoomScaleNormal="100" zoomScaleSheetLayoutView="100" workbookViewId="0">
      <selection activeCell="G13" sqref="G13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31</v>
      </c>
      <c r="B1" s="25"/>
      <c r="C1" s="25"/>
      <c r="D1" s="25"/>
      <c r="E1" s="2"/>
      <c r="F1" s="34" t="str">
        <f>A1</f>
        <v>Round DER - Inner Dome</v>
      </c>
      <c r="G1" s="34"/>
      <c r="H1" s="34"/>
      <c r="I1" s="34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2" t="s">
        <v>0</v>
      </c>
      <c r="G2" s="22"/>
      <c r="H2" s="22" t="s">
        <v>1</v>
      </c>
      <c r="I2" s="22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19</v>
      </c>
      <c r="E3" s="4"/>
      <c r="F3" s="22" t="s">
        <v>2</v>
      </c>
      <c r="G3" s="22"/>
      <c r="H3" s="22" t="s">
        <v>5</v>
      </c>
      <c r="I3" s="16" t="str">
        <f>D3</f>
        <v>08B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20</v>
      </c>
      <c r="E4" s="4"/>
      <c r="F4" s="17" t="s">
        <v>3</v>
      </c>
      <c r="G4" s="18">
        <v>2</v>
      </c>
      <c r="H4" s="22" t="s">
        <v>6</v>
      </c>
      <c r="I4" s="16" t="str">
        <f>D4</f>
        <v>DER-D02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41</v>
      </c>
      <c r="B5" s="27"/>
      <c r="C5" s="27"/>
      <c r="D5" s="28"/>
      <c r="E5" s="5"/>
      <c r="F5" s="35" t="s">
        <v>12</v>
      </c>
      <c r="G5" s="35"/>
      <c r="H5" s="35"/>
      <c r="I5" s="35"/>
      <c r="K5" s="1">
        <v>250</v>
      </c>
      <c r="L5" s="1">
        <v>80</v>
      </c>
    </row>
    <row r="6" spans="1:12" s="1" customFormat="1" ht="30" customHeight="1" x14ac:dyDescent="0.25">
      <c r="A6" s="29" t="s">
        <v>9</v>
      </c>
      <c r="B6" s="30"/>
      <c r="C6" s="30" t="s">
        <v>10</v>
      </c>
      <c r="D6" s="31"/>
      <c r="E6" s="4"/>
      <c r="F6" s="32" t="str">
        <f>A6</f>
        <v>PCR-Q</v>
      </c>
      <c r="G6" s="32"/>
      <c r="H6" s="32" t="str">
        <f>C6</f>
        <v>White</v>
      </c>
      <c r="I6" s="32"/>
    </row>
    <row r="7" spans="1:12" s="1" customFormat="1" ht="30" customHeight="1" x14ac:dyDescent="0.25">
      <c r="A7" s="12" t="s">
        <v>4</v>
      </c>
      <c r="B7" s="23">
        <f>DER_04C_Barrel!$B$7</f>
        <v>23281</v>
      </c>
      <c r="C7" s="23"/>
      <c r="D7" s="24"/>
      <c r="E7" s="4"/>
      <c r="F7" s="22" t="s">
        <v>4</v>
      </c>
      <c r="G7" s="33">
        <f>B7</f>
        <v>23281</v>
      </c>
      <c r="H7" s="33"/>
      <c r="I7" s="33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L7"/>
  <sheetViews>
    <sheetView view="pageBreakPreview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32</v>
      </c>
      <c r="B1" s="25"/>
      <c r="C1" s="25"/>
      <c r="D1" s="25"/>
      <c r="E1" s="2"/>
      <c r="F1" s="34" t="str">
        <f>A1</f>
        <v>Round DER - Platform</v>
      </c>
      <c r="G1" s="34"/>
      <c r="H1" s="34"/>
      <c r="I1" s="34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5" t="s">
        <v>0</v>
      </c>
      <c r="G2" s="15"/>
      <c r="H2" s="15" t="s">
        <v>1</v>
      </c>
      <c r="I2" s="15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22</v>
      </c>
      <c r="E3" s="4"/>
      <c r="F3" s="15" t="s">
        <v>2</v>
      </c>
      <c r="G3" s="15"/>
      <c r="H3" s="15" t="s">
        <v>5</v>
      </c>
      <c r="I3" s="16" t="str">
        <f>D3</f>
        <v>01A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21</v>
      </c>
      <c r="E4" s="4"/>
      <c r="F4" s="17" t="s">
        <v>3</v>
      </c>
      <c r="G4" s="18">
        <v>2</v>
      </c>
      <c r="H4" s="15" t="s">
        <v>6</v>
      </c>
      <c r="I4" s="16" t="str">
        <f>D4</f>
        <v>DER-P02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36</v>
      </c>
      <c r="B5" s="27"/>
      <c r="C5" s="27"/>
      <c r="D5" s="28"/>
      <c r="E5" s="5"/>
      <c r="F5" s="35" t="s">
        <v>12</v>
      </c>
      <c r="G5" s="35"/>
      <c r="H5" s="35"/>
      <c r="I5" s="35"/>
      <c r="K5" s="1">
        <v>400</v>
      </c>
      <c r="L5" s="1">
        <v>80</v>
      </c>
    </row>
    <row r="6" spans="1:12" s="1" customFormat="1" ht="30" customHeight="1" x14ac:dyDescent="0.25">
      <c r="A6" s="29" t="s">
        <v>9</v>
      </c>
      <c r="B6" s="30"/>
      <c r="C6" s="30" t="s">
        <v>10</v>
      </c>
      <c r="D6" s="31"/>
      <c r="E6" s="4"/>
      <c r="F6" s="32" t="str">
        <f>A6</f>
        <v>PCR-Q</v>
      </c>
      <c r="G6" s="32"/>
      <c r="H6" s="32" t="str">
        <f>C6</f>
        <v>White</v>
      </c>
      <c r="I6" s="32"/>
    </row>
    <row r="7" spans="1:12" s="1" customFormat="1" ht="30" customHeight="1" x14ac:dyDescent="0.25">
      <c r="A7" s="12" t="s">
        <v>4</v>
      </c>
      <c r="B7" s="23">
        <v>23281</v>
      </c>
      <c r="C7" s="23"/>
      <c r="D7" s="24"/>
      <c r="E7" s="4"/>
      <c r="F7" s="15" t="s">
        <v>4</v>
      </c>
      <c r="G7" s="33">
        <f>B7</f>
        <v>23281</v>
      </c>
      <c r="H7" s="33"/>
      <c r="I7" s="33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L7"/>
  <sheetViews>
    <sheetView tabSelected="1"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33</v>
      </c>
      <c r="B1" s="25"/>
      <c r="C1" s="25"/>
      <c r="D1" s="25"/>
      <c r="E1" s="2"/>
      <c r="F1" s="25" t="str">
        <f>A1</f>
        <v>Round DER - Cartridge</v>
      </c>
      <c r="G1" s="25"/>
      <c r="H1" s="25"/>
      <c r="I1" s="25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23</v>
      </c>
      <c r="E3" s="4"/>
      <c r="F3" s="13" t="s">
        <v>2</v>
      </c>
      <c r="G3" s="14"/>
      <c r="H3" s="13" t="s">
        <v>5</v>
      </c>
      <c r="I3" s="7" t="str">
        <f>D3</f>
        <v>13A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24</v>
      </c>
      <c r="E4" s="4"/>
      <c r="F4" s="8" t="s">
        <v>3</v>
      </c>
      <c r="G4" s="9">
        <v>2</v>
      </c>
      <c r="H4" s="13" t="s">
        <v>6</v>
      </c>
      <c r="I4" s="7" t="str">
        <f>D4</f>
        <v>DER-R01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11</v>
      </c>
      <c r="B5" s="27"/>
      <c r="C5" s="27"/>
      <c r="D5" s="28"/>
      <c r="E5" s="5"/>
      <c r="F5" s="26" t="s">
        <v>12</v>
      </c>
      <c r="G5" s="27"/>
      <c r="H5" s="27"/>
      <c r="I5" s="28"/>
      <c r="K5" s="1">
        <v>240</v>
      </c>
      <c r="L5" s="1">
        <v>20</v>
      </c>
    </row>
    <row r="6" spans="1:12" s="1" customFormat="1" ht="30" customHeight="1" x14ac:dyDescent="0.25">
      <c r="A6" s="29" t="s">
        <v>9</v>
      </c>
      <c r="B6" s="30"/>
      <c r="C6" s="30" t="s">
        <v>10</v>
      </c>
      <c r="D6" s="31"/>
      <c r="E6" s="4"/>
      <c r="F6" s="29" t="str">
        <f>A6</f>
        <v>PCR-Q</v>
      </c>
      <c r="G6" s="30"/>
      <c r="H6" s="30" t="str">
        <f>C6</f>
        <v>White</v>
      </c>
      <c r="I6" s="31"/>
    </row>
    <row r="7" spans="1:12" s="1" customFormat="1" ht="30" customHeight="1" x14ac:dyDescent="0.25">
      <c r="A7" s="12" t="s">
        <v>4</v>
      </c>
      <c r="B7" s="23">
        <f>DER_04C_Barrel!$B$7</f>
        <v>23281</v>
      </c>
      <c r="C7" s="23"/>
      <c r="D7" s="24"/>
      <c r="E7" s="4"/>
      <c r="F7" s="12" t="s">
        <v>4</v>
      </c>
      <c r="G7" s="23">
        <f>B7</f>
        <v>23281</v>
      </c>
      <c r="H7" s="23"/>
      <c r="I7" s="24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L7"/>
  <sheetViews>
    <sheetView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34</v>
      </c>
      <c r="B1" s="25"/>
      <c r="C1" s="25"/>
      <c r="D1" s="25"/>
      <c r="E1" s="2"/>
      <c r="F1" s="25" t="str">
        <f>A1</f>
        <v>Round DER - Screw</v>
      </c>
      <c r="G1" s="25"/>
      <c r="H1" s="25"/>
      <c r="I1" s="25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25</v>
      </c>
      <c r="E3" s="4"/>
      <c r="F3" s="13" t="s">
        <v>2</v>
      </c>
      <c r="G3" s="14"/>
      <c r="H3" s="13" t="s">
        <v>5</v>
      </c>
      <c r="I3" s="7" t="str">
        <f>D3</f>
        <v>15A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26</v>
      </c>
      <c r="E4" s="4"/>
      <c r="F4" s="8" t="s">
        <v>3</v>
      </c>
      <c r="G4" s="9">
        <v>2</v>
      </c>
      <c r="H4" s="13" t="s">
        <v>6</v>
      </c>
      <c r="I4" s="7" t="str">
        <f>D4</f>
        <v>DER-S02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11</v>
      </c>
      <c r="B5" s="27"/>
      <c r="C5" s="27"/>
      <c r="D5" s="28"/>
      <c r="E5" s="5"/>
      <c r="F5" s="26" t="s">
        <v>12</v>
      </c>
      <c r="G5" s="27"/>
      <c r="H5" s="27"/>
      <c r="I5" s="28"/>
      <c r="K5" s="1">
        <v>240</v>
      </c>
      <c r="L5" s="1">
        <v>20</v>
      </c>
    </row>
    <row r="6" spans="1:12" s="1" customFormat="1" ht="30" customHeight="1" x14ac:dyDescent="0.25">
      <c r="A6" s="29" t="s">
        <v>9</v>
      </c>
      <c r="B6" s="30"/>
      <c r="C6" s="30" t="s">
        <v>10</v>
      </c>
      <c r="D6" s="31"/>
      <c r="E6" s="4"/>
      <c r="F6" s="29" t="str">
        <f>A6</f>
        <v>PCR-Q</v>
      </c>
      <c r="G6" s="30"/>
      <c r="H6" s="30" t="str">
        <f>C6</f>
        <v>White</v>
      </c>
      <c r="I6" s="31"/>
    </row>
    <row r="7" spans="1:12" s="1" customFormat="1" ht="30" customHeight="1" x14ac:dyDescent="0.25">
      <c r="A7" s="12" t="s">
        <v>4</v>
      </c>
      <c r="B7" s="23">
        <f>DER_04C_Barrel!$B$7</f>
        <v>23281</v>
      </c>
      <c r="C7" s="23"/>
      <c r="D7" s="24"/>
      <c r="E7" s="4"/>
      <c r="F7" s="12" t="s">
        <v>4</v>
      </c>
      <c r="G7" s="23">
        <f>B7</f>
        <v>23281</v>
      </c>
      <c r="H7" s="23"/>
      <c r="I7" s="24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L7"/>
  <sheetViews>
    <sheetView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35</v>
      </c>
      <c r="B1" s="25"/>
      <c r="C1" s="25"/>
      <c r="D1" s="25"/>
      <c r="E1" s="2"/>
      <c r="F1" s="25" t="str">
        <f>A1</f>
        <v>Round DER - Bottom Cover</v>
      </c>
      <c r="G1" s="25"/>
      <c r="H1" s="25"/>
      <c r="I1" s="25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27</v>
      </c>
      <c r="E3" s="4"/>
      <c r="F3" s="13" t="s">
        <v>2</v>
      </c>
      <c r="G3" s="14"/>
      <c r="H3" s="13" t="s">
        <v>5</v>
      </c>
      <c r="I3" s="7" t="str">
        <f>D3</f>
        <v>15B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28</v>
      </c>
      <c r="E4" s="4"/>
      <c r="F4" s="8" t="s">
        <v>3</v>
      </c>
      <c r="G4" s="9">
        <v>2</v>
      </c>
      <c r="H4" s="13" t="s">
        <v>6</v>
      </c>
      <c r="I4" s="7" t="str">
        <f>D4</f>
        <v>DER-U02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11</v>
      </c>
      <c r="B5" s="27"/>
      <c r="C5" s="27"/>
      <c r="D5" s="28"/>
      <c r="E5" s="5"/>
      <c r="F5" s="26" t="s">
        <v>12</v>
      </c>
      <c r="G5" s="27"/>
      <c r="H5" s="27"/>
      <c r="I5" s="28"/>
      <c r="K5" s="1">
        <v>720</v>
      </c>
      <c r="L5" s="1">
        <v>48</v>
      </c>
    </row>
    <row r="6" spans="1:12" s="1" customFormat="1" ht="30" customHeight="1" x14ac:dyDescent="0.25">
      <c r="A6" s="29" t="s">
        <v>9</v>
      </c>
      <c r="B6" s="30"/>
      <c r="C6" s="30" t="s">
        <v>10</v>
      </c>
      <c r="D6" s="31"/>
      <c r="E6" s="4"/>
      <c r="F6" s="29" t="str">
        <f>A6</f>
        <v>PCR-Q</v>
      </c>
      <c r="G6" s="30"/>
      <c r="H6" s="30" t="str">
        <f>C6</f>
        <v>White</v>
      </c>
      <c r="I6" s="31"/>
    </row>
    <row r="7" spans="1:12" s="1" customFormat="1" ht="30" customHeight="1" x14ac:dyDescent="0.25">
      <c r="A7" s="12" t="s">
        <v>4</v>
      </c>
      <c r="B7" s="23">
        <v>22794</v>
      </c>
      <c r="C7" s="23"/>
      <c r="D7" s="24"/>
      <c r="E7" s="4"/>
      <c r="F7" s="12" t="s">
        <v>4</v>
      </c>
      <c r="G7" s="23">
        <f>B7</f>
        <v>22794</v>
      </c>
      <c r="H7" s="23"/>
      <c r="I7" s="24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DER_01C_Cap</vt:lpstr>
      <vt:lpstr>DER_14B_Cap</vt:lpstr>
      <vt:lpstr>DER_04C_Barrel</vt:lpstr>
      <vt:lpstr>DER_08B_InnerDome</vt:lpstr>
      <vt:lpstr>DER_01A_Platform</vt:lpstr>
      <vt:lpstr>DER_13A_Cartridge</vt:lpstr>
      <vt:lpstr>DER_15A_Screw</vt:lpstr>
      <vt:lpstr>DER_15B_BottomCover</vt:lpstr>
      <vt:lpstr>DER_01A_Platform!Print_Area</vt:lpstr>
      <vt:lpstr>DER_01C_Cap!Print_Area</vt:lpstr>
      <vt:lpstr>DER_04C_Barrel!Print_Area</vt:lpstr>
      <vt:lpstr>DER_08B_InnerDome!Print_Area</vt:lpstr>
      <vt:lpstr>DER_13A_Cartridge!Print_Area</vt:lpstr>
      <vt:lpstr>DER_14B_Cap!Print_Area</vt:lpstr>
      <vt:lpstr>DER_15A_Screw!Print_Area</vt:lpstr>
      <vt:lpstr>DER_15B_BottomCover!Print_Area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2023-05-08T12:42:38Z</cp:lastPrinted>
  <dcterms:created xsi:type="dcterms:W3CDTF">2023-03-08T16:50:21Z</dcterms:created>
  <dcterms:modified xsi:type="dcterms:W3CDTF">2023-05-08T20:54:52Z</dcterms:modified>
</cp:coreProperties>
</file>