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4520" windowHeight="6405" tabRatio="700" activeTab="7"/>
  </bookViews>
  <sheets>
    <sheet name="DSTF_18B_Barrel" sheetId="9" r:id="rId1"/>
    <sheet name="DSTF_09A_Platform" sheetId="10" r:id="rId2"/>
    <sheet name="DSTF_19A_Cartridge" sheetId="12" r:id="rId3"/>
    <sheet name="DSTF_11A_Screw" sheetId="11" r:id="rId4"/>
    <sheet name="DSTF_23A_Wheel" sheetId="13" r:id="rId5"/>
    <sheet name="DSTF_19B_Cap" sheetId="6" r:id="rId6"/>
    <sheet name="DSTF_01B_InnerCap" sheetId="7" r:id="rId7"/>
    <sheet name="DSTF_23B_CreamScreen" sheetId="8" r:id="rId8"/>
  </sheets>
  <functionGroups builtInGroupCount="17"/>
  <definedNames>
    <definedName name="_xlnm.Print_Area" localSheetId="6">DSTF_01B_InnerCap!$A$1:$I$14</definedName>
    <definedName name="_xlnm.Print_Area" localSheetId="1">DSTF_09A_Platform!$A$1:$I$14</definedName>
    <definedName name="_xlnm.Print_Area" localSheetId="3">DSTF_11A_Screw!$A$1:$I$14</definedName>
    <definedName name="_xlnm.Print_Area" localSheetId="0">DSTF_18B_Barrel!$A$1:$I$105</definedName>
    <definedName name="_xlnm.Print_Area" localSheetId="2">DSTF_19A_Cartridge!$A$1:$I$91</definedName>
    <definedName name="_xlnm.Print_Area" localSheetId="5">DSTF_19B_Cap!$A$1:$I$14</definedName>
    <definedName name="_xlnm.Print_Area" localSheetId="4">DSTF_23A_Wheel!$A$1:$I$14</definedName>
    <definedName name="_xlnm.Print_Area" localSheetId="7">DSTF_23B_CreamScreen!$A$1:$I$84</definedName>
  </definedNames>
  <calcPr calcId="145621"/>
</workbook>
</file>

<file path=xl/calcChain.xml><?xml version="1.0" encoding="utf-8"?>
<calcChain xmlns="http://schemas.openxmlformats.org/spreadsheetml/2006/main">
  <c r="B14" i="13" l="1"/>
  <c r="G14" i="13" s="1"/>
  <c r="H13" i="13"/>
  <c r="F13" i="13"/>
  <c r="I11" i="13"/>
  <c r="I10" i="13"/>
  <c r="F8" i="13"/>
  <c r="B14" i="11"/>
  <c r="G14" i="11" s="1"/>
  <c r="H13" i="11"/>
  <c r="F13" i="11"/>
  <c r="I11" i="11"/>
  <c r="I10" i="11"/>
  <c r="F8" i="11"/>
  <c r="B91" i="12"/>
  <c r="G91" i="12" s="1"/>
  <c r="H90" i="12"/>
  <c r="F90" i="12"/>
  <c r="I88" i="12"/>
  <c r="I87" i="12"/>
  <c r="F85" i="12"/>
  <c r="B84" i="12"/>
  <c r="G84" i="12" s="1"/>
  <c r="H83" i="12"/>
  <c r="F83" i="12"/>
  <c r="I81" i="12"/>
  <c r="I80" i="12"/>
  <c r="F78" i="12"/>
  <c r="B77" i="12"/>
  <c r="G77" i="12" s="1"/>
  <c r="H76" i="12"/>
  <c r="F76" i="12"/>
  <c r="I74" i="12"/>
  <c r="I73" i="12"/>
  <c r="F71" i="12"/>
  <c r="B70" i="12"/>
  <c r="G70" i="12" s="1"/>
  <c r="H69" i="12"/>
  <c r="F69" i="12"/>
  <c r="I67" i="12"/>
  <c r="I66" i="12"/>
  <c r="F64" i="12"/>
  <c r="B63" i="12"/>
  <c r="G63" i="12" s="1"/>
  <c r="H62" i="12"/>
  <c r="F62" i="12"/>
  <c r="I60" i="12"/>
  <c r="I59" i="12"/>
  <c r="F57" i="12"/>
  <c r="B56" i="12"/>
  <c r="G56" i="12" s="1"/>
  <c r="H55" i="12"/>
  <c r="F55" i="12"/>
  <c r="I53" i="12"/>
  <c r="I52" i="12"/>
  <c r="F50" i="12"/>
  <c r="B49" i="12"/>
  <c r="G49" i="12" s="1"/>
  <c r="H48" i="12"/>
  <c r="F48" i="12"/>
  <c r="I46" i="12"/>
  <c r="I45" i="12"/>
  <c r="F43" i="12"/>
  <c r="B42" i="12"/>
  <c r="G42" i="12" s="1"/>
  <c r="H41" i="12"/>
  <c r="F41" i="12"/>
  <c r="I39" i="12"/>
  <c r="I38" i="12"/>
  <c r="F36" i="12"/>
  <c r="B35" i="12"/>
  <c r="G35" i="12" s="1"/>
  <c r="H34" i="12"/>
  <c r="F34" i="12"/>
  <c r="I32" i="12"/>
  <c r="I31" i="12"/>
  <c r="F29" i="12"/>
  <c r="B28" i="12"/>
  <c r="G28" i="12" s="1"/>
  <c r="H27" i="12"/>
  <c r="F27" i="12"/>
  <c r="I25" i="12"/>
  <c r="I24" i="12"/>
  <c r="F22" i="12"/>
  <c r="B21" i="12"/>
  <c r="G21" i="12" s="1"/>
  <c r="H20" i="12"/>
  <c r="F20" i="12"/>
  <c r="I18" i="12"/>
  <c r="I17" i="12"/>
  <c r="F15" i="12"/>
  <c r="B14" i="12"/>
  <c r="G14" i="12" s="1"/>
  <c r="H13" i="12"/>
  <c r="F13" i="12"/>
  <c r="I11" i="12"/>
  <c r="I10" i="12"/>
  <c r="F8" i="12"/>
  <c r="B14" i="10"/>
  <c r="G14" i="10" s="1"/>
  <c r="H13" i="10"/>
  <c r="F13" i="10"/>
  <c r="I11" i="10"/>
  <c r="I10" i="10"/>
  <c r="F8" i="10"/>
  <c r="G105" i="9"/>
  <c r="H104" i="9"/>
  <c r="F104" i="9"/>
  <c r="I102" i="9"/>
  <c r="I101" i="9"/>
  <c r="F99" i="9"/>
  <c r="G98" i="9"/>
  <c r="H97" i="9"/>
  <c r="F97" i="9"/>
  <c r="I95" i="9"/>
  <c r="I94" i="9"/>
  <c r="F92" i="9"/>
  <c r="G91" i="9"/>
  <c r="H90" i="9"/>
  <c r="F90" i="9"/>
  <c r="I88" i="9"/>
  <c r="I87" i="9"/>
  <c r="F85" i="9"/>
  <c r="G84" i="9"/>
  <c r="H83" i="9"/>
  <c r="F83" i="9"/>
  <c r="I81" i="9"/>
  <c r="I80" i="9"/>
  <c r="F78" i="9"/>
  <c r="G77" i="9"/>
  <c r="H76" i="9"/>
  <c r="F76" i="9"/>
  <c r="I74" i="9"/>
  <c r="I73" i="9"/>
  <c r="F71" i="9"/>
  <c r="G70" i="9"/>
  <c r="H69" i="9"/>
  <c r="F69" i="9"/>
  <c r="I67" i="9"/>
  <c r="I66" i="9"/>
  <c r="F64" i="9"/>
  <c r="G63" i="9"/>
  <c r="H62" i="9"/>
  <c r="F62" i="9"/>
  <c r="I60" i="9"/>
  <c r="I59" i="9"/>
  <c r="F57" i="9"/>
  <c r="G56" i="9"/>
  <c r="H55" i="9"/>
  <c r="F55" i="9"/>
  <c r="I53" i="9"/>
  <c r="I52" i="9"/>
  <c r="F50" i="9"/>
  <c r="G49" i="9"/>
  <c r="H48" i="9"/>
  <c r="F48" i="9"/>
  <c r="I46" i="9"/>
  <c r="I45" i="9"/>
  <c r="F43" i="9"/>
  <c r="G42" i="9"/>
  <c r="H41" i="9"/>
  <c r="F41" i="9"/>
  <c r="I39" i="9"/>
  <c r="I38" i="9"/>
  <c r="F36" i="9"/>
  <c r="G35" i="9"/>
  <c r="H34" i="9"/>
  <c r="F34" i="9"/>
  <c r="I32" i="9"/>
  <c r="I31" i="9"/>
  <c r="F29" i="9"/>
  <c r="G28" i="9"/>
  <c r="H27" i="9"/>
  <c r="F27" i="9"/>
  <c r="I25" i="9"/>
  <c r="I24" i="9"/>
  <c r="F22" i="9"/>
  <c r="G21" i="9"/>
  <c r="H20" i="9"/>
  <c r="F20" i="9"/>
  <c r="I18" i="9"/>
  <c r="I17" i="9"/>
  <c r="F15" i="9"/>
  <c r="G14" i="9"/>
  <c r="H13" i="9"/>
  <c r="F13" i="9"/>
  <c r="I11" i="9"/>
  <c r="I10" i="9"/>
  <c r="F8" i="9"/>
  <c r="C6" i="7" l="1"/>
  <c r="G14" i="7"/>
  <c r="H13" i="7"/>
  <c r="F13" i="7"/>
  <c r="I11" i="7"/>
  <c r="I10" i="7"/>
  <c r="F8" i="7"/>
  <c r="G84" i="8" l="1"/>
  <c r="H83" i="8"/>
  <c r="F83" i="8"/>
  <c r="I81" i="8"/>
  <c r="I80" i="8"/>
  <c r="F78" i="8"/>
  <c r="G77" i="8"/>
  <c r="H76" i="8"/>
  <c r="F76" i="8"/>
  <c r="I74" i="8"/>
  <c r="I73" i="8"/>
  <c r="F71" i="8"/>
  <c r="G70" i="8"/>
  <c r="H69" i="8"/>
  <c r="F69" i="8"/>
  <c r="I67" i="8"/>
  <c r="I66" i="8"/>
  <c r="F64" i="8"/>
  <c r="G63" i="8"/>
  <c r="H62" i="8"/>
  <c r="F62" i="8"/>
  <c r="I60" i="8"/>
  <c r="I59" i="8"/>
  <c r="F57" i="8"/>
  <c r="G56" i="8"/>
  <c r="H55" i="8"/>
  <c r="F55" i="8"/>
  <c r="I53" i="8"/>
  <c r="I52" i="8"/>
  <c r="F50" i="8"/>
  <c r="G49" i="8"/>
  <c r="H48" i="8"/>
  <c r="F48" i="8"/>
  <c r="I46" i="8"/>
  <c r="I45" i="8"/>
  <c r="F43" i="8"/>
  <c r="G42" i="8"/>
  <c r="H41" i="8"/>
  <c r="F41" i="8"/>
  <c r="I39" i="8"/>
  <c r="I38" i="8"/>
  <c r="F36" i="8"/>
  <c r="G35" i="8"/>
  <c r="H34" i="8"/>
  <c r="F34" i="8"/>
  <c r="I32" i="8"/>
  <c r="I31" i="8"/>
  <c r="F29" i="8"/>
  <c r="G28" i="8"/>
  <c r="H27" i="8"/>
  <c r="F27" i="8"/>
  <c r="I25" i="8"/>
  <c r="I24" i="8"/>
  <c r="F22" i="8"/>
  <c r="G21" i="8"/>
  <c r="H20" i="8"/>
  <c r="F20" i="8"/>
  <c r="I18" i="8"/>
  <c r="I17" i="8"/>
  <c r="F15" i="8"/>
  <c r="G14" i="8"/>
  <c r="H13" i="8"/>
  <c r="F13" i="8"/>
  <c r="I11" i="8"/>
  <c r="I10" i="8"/>
  <c r="F8" i="8"/>
  <c r="G14" i="6" l="1"/>
  <c r="H13" i="6"/>
  <c r="F13" i="6"/>
  <c r="I11" i="6"/>
  <c r="I10" i="6"/>
  <c r="F8" i="6"/>
  <c r="B7" i="13" l="1"/>
  <c r="B7" i="11"/>
  <c r="B7" i="12"/>
  <c r="B7" i="10"/>
  <c r="G7" i="13" l="1"/>
  <c r="H6" i="13"/>
  <c r="F6" i="13"/>
  <c r="I4" i="13"/>
  <c r="I3" i="13"/>
  <c r="F1" i="13"/>
  <c r="G7" i="12"/>
  <c r="H6" i="12"/>
  <c r="F6" i="12"/>
  <c r="I4" i="12"/>
  <c r="I3" i="12"/>
  <c r="F1" i="12"/>
  <c r="G7" i="11"/>
  <c r="H6" i="11"/>
  <c r="F6" i="11"/>
  <c r="I4" i="11"/>
  <c r="I3" i="11"/>
  <c r="F1" i="11"/>
  <c r="G7" i="10"/>
  <c r="H6" i="10"/>
  <c r="F6" i="10"/>
  <c r="I4" i="10"/>
  <c r="I3" i="10"/>
  <c r="F1" i="10"/>
  <c r="G7" i="9"/>
  <c r="H6" i="9"/>
  <c r="F6" i="9"/>
  <c r="I4" i="9"/>
  <c r="I3" i="9"/>
  <c r="F1" i="9"/>
  <c r="G7" i="8"/>
  <c r="H6" i="8"/>
  <c r="F6" i="8"/>
  <c r="I4" i="8"/>
  <c r="I3" i="8"/>
  <c r="F1" i="8"/>
  <c r="G7" i="7"/>
  <c r="H6" i="7"/>
  <c r="F6" i="7"/>
  <c r="I4" i="7"/>
  <c r="I3" i="7"/>
  <c r="F1" i="7"/>
  <c r="G7" i="6"/>
  <c r="H6" i="6"/>
  <c r="F6" i="6"/>
  <c r="I4" i="6"/>
  <c r="I3" i="6"/>
  <c r="F1" i="6"/>
</calcChain>
</file>

<file path=xl/sharedStrings.xml><?xml version="1.0" encoding="utf-8"?>
<sst xmlns="http://schemas.openxmlformats.org/spreadsheetml/2006/main" count="1163" uniqueCount="52">
  <si>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</si>
  <si>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</si>
  <si>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</si>
  <si>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</si>
  <si>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</si>
  <si>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</si>
  <si>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</si>
  <si>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</si>
  <si>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</si>
  <si>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Oval DS Top-Fill - Cap</t>
  </si>
  <si>
    <t>19B</t>
  </si>
  <si>
    <t>DEO-C03</t>
  </si>
  <si>
    <t>PCR-Q</t>
  </si>
  <si>
    <t>White</t>
  </si>
  <si>
    <t>690 pcs x 20 trays = 13,800 pcs</t>
  </si>
  <si>
    <t>Oval DS Top-Fill - Inner Cap</t>
  </si>
  <si>
    <t>01B</t>
  </si>
  <si>
    <t>1,250 pcs x 80 trays = 100,000 pcs</t>
  </si>
  <si>
    <t>DS-D03</t>
  </si>
  <si>
    <t>Oval DS Top-Fill - Cream Screen</t>
  </si>
  <si>
    <t>23B</t>
  </si>
  <si>
    <t>DS-D02</t>
  </si>
  <si>
    <t>Oval DS Top-Fill - Barrel</t>
  </si>
  <si>
    <t>18B</t>
  </si>
  <si>
    <t>DS-B01</t>
  </si>
  <si>
    <t>Oval DS Top-Fill - Platform</t>
  </si>
  <si>
    <t>09A</t>
  </si>
  <si>
    <t>DS-P02</t>
  </si>
  <si>
    <t>Oval DS Top-Fill - Screw</t>
  </si>
  <si>
    <t>11A</t>
  </si>
  <si>
    <t>DS-S01</t>
  </si>
  <si>
    <t>Oval DS Top-Fill - Cartridge</t>
  </si>
  <si>
    <t>19A</t>
  </si>
  <si>
    <t>DS-R01</t>
  </si>
  <si>
    <t>Oval DS Top-Fill - Wheel</t>
  </si>
  <si>
    <t>23A</t>
  </si>
  <si>
    <t>DS-W02</t>
  </si>
  <si>
    <t>215 pcs x 20 trays = 4,300 pcs</t>
  </si>
  <si>
    <t>540 pcs x 80 trays = 43,200 pcs</t>
  </si>
  <si>
    <t>540 pcs x 32 trays = 17,280 pcs</t>
  </si>
  <si>
    <t>TPE RG-10190</t>
  </si>
  <si>
    <t>1,250 pcs x 29 trays = 36,250 pcs</t>
  </si>
  <si>
    <t>500 pcs x 80 trays = 40,000 pcs</t>
  </si>
  <si>
    <t>250 pcs x 20 trays = 5,000 pcs</t>
  </si>
  <si>
    <t>400 pcs x 80 trays = 32,000 pcs</t>
  </si>
  <si>
    <t>FC2304E</t>
  </si>
  <si>
    <t>35U1</t>
  </si>
  <si>
    <t>22388-1</t>
  </si>
  <si>
    <t>215 pcs x 5 trays = 1,075 pcs</t>
  </si>
  <si>
    <t>500 pcs x 4 trays = 2,000 pcs</t>
  </si>
  <si>
    <t>250 pcs x 2 trays = 500 pcs</t>
  </si>
  <si>
    <t>400 pcs x 69 trays = 27,600 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</si>
</sst>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2" fillId="0" borderId="3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105"/>
  <sheetViews>
    <sheetView view="pageBreakPreview" zoomScaleNormal="100" zoomScaleSheetLayoutView="100" workbookViewId="0">
      <selection activeCell="M2" sqref="M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22</v>
      </c>
      <c r="B1" s="28"/>
      <c r="C1" s="28"/>
      <c r="D1" s="28"/>
      <c r="E1" s="2"/>
      <c r="F1" s="28" t="str">
        <f>A1</f>
        <v>Oval DS Top-Fill - Barrel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23</v>
      </c>
      <c r="E3" s="4"/>
      <c r="F3" s="24" t="s">
        <v>2</v>
      </c>
      <c r="G3" s="25"/>
      <c r="H3" s="24" t="s">
        <v>5</v>
      </c>
      <c r="I3" s="7" t="str">
        <f>D3</f>
        <v>18B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24</v>
      </c>
      <c r="E4" s="4"/>
      <c r="F4" s="8" t="s">
        <v>3</v>
      </c>
      <c r="G4" s="9">
        <v>16</v>
      </c>
      <c r="H4" s="24" t="s">
        <v>6</v>
      </c>
      <c r="I4" s="7" t="str">
        <f>D4</f>
        <v>DS-B01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37</v>
      </c>
      <c r="B5" s="30"/>
      <c r="C5" s="30"/>
      <c r="D5" s="31"/>
      <c r="E5" s="5"/>
      <c r="F5" s="29" t="s">
        <v>37</v>
      </c>
      <c r="G5" s="30"/>
      <c r="H5" s="30"/>
      <c r="I5" s="31"/>
      <c r="K5" s="1">
        <v>215</v>
      </c>
      <c r="L5" s="1">
        <v>20</v>
      </c>
    </row>
    <row r="6" spans="1:12" s="1" customFormat="1" ht="30" customHeight="1" x14ac:dyDescent="0.25">
      <c r="A6" s="32" t="s">
        <v>12</v>
      </c>
      <c r="B6" s="33"/>
      <c r="C6" s="33" t="s">
        <v>13</v>
      </c>
      <c r="D6" s="34"/>
      <c r="E6" s="4"/>
      <c r="F6" s="32" t="str">
        <f>A6</f>
        <v>PCR-Q</v>
      </c>
      <c r="G6" s="33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6" t="s">
        <v>47</v>
      </c>
      <c r="C7" s="26"/>
      <c r="D7" s="27"/>
      <c r="E7" s="4"/>
      <c r="F7" s="12" t="s">
        <v>4</v>
      </c>
      <c r="G7" s="26" t="str">
        <f>B7</f>
        <v>22388-1</v>
      </c>
      <c r="H7" s="26"/>
      <c r="I7" s="27"/>
    </row>
    <row r="8" spans="1:12" ht="63.75" customHeight="1" x14ac:dyDescent="0.25">
      <c r="A8" s="28" t="s">
        <v>22</v>
      </c>
      <c r="B8" s="28"/>
      <c r="C8" s="28"/>
      <c r="D8" s="28"/>
      <c r="E8" s="2"/>
      <c r="F8" s="28" t="str">
        <f>A8</f>
        <v>Oval DS Top-Fill - Barrel</v>
      </c>
      <c r="G8" s="28"/>
      <c r="H8" s="28"/>
      <c r="I8" s="28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23</v>
      </c>
      <c r="E10" s="4"/>
      <c r="F10" s="24" t="s">
        <v>2</v>
      </c>
      <c r="G10" s="25"/>
      <c r="H10" s="24" t="s">
        <v>5</v>
      </c>
      <c r="I10" s="7" t="str">
        <f>D10</f>
        <v>18B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24</v>
      </c>
      <c r="E11" s="4"/>
      <c r="F11" s="8" t="s">
        <v>3</v>
      </c>
      <c r="G11" s="9">
        <v>17</v>
      </c>
      <c r="H11" s="24" t="s">
        <v>6</v>
      </c>
      <c r="I11" s="7" t="str">
        <f>D11</f>
        <v>DS-B01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37</v>
      </c>
      <c r="B12" s="30"/>
      <c r="C12" s="30"/>
      <c r="D12" s="31"/>
      <c r="E12" s="5"/>
      <c r="F12" s="29" t="s">
        <v>37</v>
      </c>
      <c r="G12" s="30"/>
      <c r="H12" s="30"/>
      <c r="I12" s="31"/>
      <c r="K12" s="1">
        <v>215</v>
      </c>
      <c r="L12" s="1">
        <v>20</v>
      </c>
    </row>
    <row r="13" spans="1:12" s="1" customFormat="1" ht="30" customHeight="1" x14ac:dyDescent="0.25">
      <c r="A13" s="32" t="s">
        <v>12</v>
      </c>
      <c r="B13" s="33"/>
      <c r="C13" s="33" t="s">
        <v>13</v>
      </c>
      <c r="D13" s="34"/>
      <c r="E13" s="4"/>
      <c r="F13" s="32" t="str">
        <f>A13</f>
        <v>PCR-Q</v>
      </c>
      <c r="G13" s="33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6" t="s">
        <v>47</v>
      </c>
      <c r="C14" s="26"/>
      <c r="D14" s="27"/>
      <c r="E14" s="4"/>
      <c r="F14" s="12" t="s">
        <v>4</v>
      </c>
      <c r="G14" s="26" t="str">
        <f>B14</f>
        <v>22388-1</v>
      </c>
      <c r="H14" s="26"/>
      <c r="I14" s="27"/>
    </row>
    <row r="15" spans="1:12" ht="63.75" customHeight="1" x14ac:dyDescent="0.25">
      <c r="A15" s="28" t="s">
        <v>22</v>
      </c>
      <c r="B15" s="28"/>
      <c r="C15" s="28"/>
      <c r="D15" s="28"/>
      <c r="E15" s="2"/>
      <c r="F15" s="28" t="str">
        <f>A15</f>
        <v>Oval DS Top-Fill - Barrel</v>
      </c>
      <c r="G15" s="28"/>
      <c r="H15" s="28"/>
      <c r="I15" s="28"/>
    </row>
    <row r="16" spans="1:12" s="1" customFormat="1" ht="30" customHeight="1" x14ac:dyDescent="0.25">
      <c r="A16" s="24" t="s">
        <v>0</v>
      </c>
      <c r="B16" s="25"/>
      <c r="C16" s="24" t="s">
        <v>1</v>
      </c>
      <c r="D16" s="25"/>
      <c r="E16" s="3"/>
      <c r="F16" s="24" t="s">
        <v>0</v>
      </c>
      <c r="G16" s="25"/>
      <c r="H16" s="24" t="s">
        <v>1</v>
      </c>
      <c r="I16" s="25"/>
    </row>
    <row r="17" spans="1:12" s="1" customFormat="1" ht="30" customHeight="1" x14ac:dyDescent="0.25">
      <c r="A17" s="24" t="s">
        <v>2</v>
      </c>
      <c r="B17" s="25"/>
      <c r="C17" s="24" t="s">
        <v>5</v>
      </c>
      <c r="D17" s="7" t="s">
        <v>23</v>
      </c>
      <c r="E17" s="4"/>
      <c r="F17" s="24" t="s">
        <v>2</v>
      </c>
      <c r="G17" s="25"/>
      <c r="H17" s="24" t="s">
        <v>5</v>
      </c>
      <c r="I17" s="7" t="str">
        <f>D17</f>
        <v>18B</v>
      </c>
    </row>
    <row r="18" spans="1:12" s="1" customFormat="1" ht="53.25" customHeight="1" x14ac:dyDescent="0.25">
      <c r="A18" s="8" t="s">
        <v>3</v>
      </c>
      <c r="B18" s="9">
        <v>3</v>
      </c>
      <c r="C18" s="24" t="s">
        <v>6</v>
      </c>
      <c r="D18" s="7" t="s">
        <v>24</v>
      </c>
      <c r="E18" s="4"/>
      <c r="F18" s="8" t="s">
        <v>3</v>
      </c>
      <c r="G18" s="9">
        <v>18</v>
      </c>
      <c r="H18" s="24" t="s">
        <v>6</v>
      </c>
      <c r="I18" s="7" t="str">
        <f>D18</f>
        <v>DS-B01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37</v>
      </c>
      <c r="B19" s="30"/>
      <c r="C19" s="30"/>
      <c r="D19" s="31"/>
      <c r="E19" s="5"/>
      <c r="F19" s="29" t="s">
        <v>37</v>
      </c>
      <c r="G19" s="30"/>
      <c r="H19" s="30"/>
      <c r="I19" s="31"/>
      <c r="K19" s="1">
        <v>215</v>
      </c>
      <c r="L19" s="1">
        <v>20</v>
      </c>
    </row>
    <row r="20" spans="1:12" s="1" customFormat="1" ht="30" customHeight="1" x14ac:dyDescent="0.25">
      <c r="A20" s="32" t="s">
        <v>12</v>
      </c>
      <c r="B20" s="33"/>
      <c r="C20" s="33" t="s">
        <v>13</v>
      </c>
      <c r="D20" s="34"/>
      <c r="E20" s="4"/>
      <c r="F20" s="32" t="str">
        <f>A20</f>
        <v>PCR-Q</v>
      </c>
      <c r="G20" s="33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6" t="s">
        <v>47</v>
      </c>
      <c r="C21" s="26"/>
      <c r="D21" s="27"/>
      <c r="E21" s="4"/>
      <c r="F21" s="12" t="s">
        <v>4</v>
      </c>
      <c r="G21" s="26" t="str">
        <f>B21</f>
        <v>22388-1</v>
      </c>
      <c r="H21" s="26"/>
      <c r="I21" s="27"/>
    </row>
    <row r="22" spans="1:12" ht="63.75" customHeight="1" x14ac:dyDescent="0.25">
      <c r="A22" s="28" t="s">
        <v>22</v>
      </c>
      <c r="B22" s="28"/>
      <c r="C22" s="28"/>
      <c r="D22" s="28"/>
      <c r="E22" s="2"/>
      <c r="F22" s="28" t="str">
        <f>A22</f>
        <v>Oval DS Top-Fill - Barrel</v>
      </c>
      <c r="G22" s="28"/>
      <c r="H22" s="28"/>
      <c r="I22" s="28"/>
    </row>
    <row r="23" spans="1:12" s="1" customFormat="1" ht="30" customHeight="1" x14ac:dyDescent="0.25">
      <c r="A23" s="24" t="s">
        <v>0</v>
      </c>
      <c r="B23" s="25"/>
      <c r="C23" s="24" t="s">
        <v>1</v>
      </c>
      <c r="D23" s="25"/>
      <c r="E23" s="3"/>
      <c r="F23" s="24" t="s">
        <v>0</v>
      </c>
      <c r="G23" s="25"/>
      <c r="H23" s="24" t="s">
        <v>1</v>
      </c>
      <c r="I23" s="25"/>
    </row>
    <row r="24" spans="1:12" s="1" customFormat="1" ht="30" customHeight="1" x14ac:dyDescent="0.25">
      <c r="A24" s="24" t="s">
        <v>2</v>
      </c>
      <c r="B24" s="25"/>
      <c r="C24" s="24" t="s">
        <v>5</v>
      </c>
      <c r="D24" s="7" t="s">
        <v>23</v>
      </c>
      <c r="E24" s="4"/>
      <c r="F24" s="24" t="s">
        <v>2</v>
      </c>
      <c r="G24" s="25"/>
      <c r="H24" s="24" t="s">
        <v>5</v>
      </c>
      <c r="I24" s="7" t="str">
        <f>D24</f>
        <v>18B</v>
      </c>
    </row>
    <row r="25" spans="1:12" s="1" customFormat="1" ht="53.25" customHeight="1" x14ac:dyDescent="0.25">
      <c r="A25" s="8" t="s">
        <v>3</v>
      </c>
      <c r="B25" s="9">
        <v>4</v>
      </c>
      <c r="C25" s="24" t="s">
        <v>6</v>
      </c>
      <c r="D25" s="7" t="s">
        <v>24</v>
      </c>
      <c r="E25" s="4"/>
      <c r="F25" s="8" t="s">
        <v>3</v>
      </c>
      <c r="G25" s="9">
        <v>19</v>
      </c>
      <c r="H25" s="24" t="s">
        <v>6</v>
      </c>
      <c r="I25" s="7" t="str">
        <f>D25</f>
        <v>DS-B01</v>
      </c>
      <c r="K25" s="6" t="s">
        <v>8</v>
      </c>
      <c r="L25" s="6" t="s">
        <v>7</v>
      </c>
    </row>
    <row r="26" spans="1:12" s="1" customFormat="1" ht="30" customHeight="1" x14ac:dyDescent="0.25">
      <c r="A26" s="29" t="s">
        <v>37</v>
      </c>
      <c r="B26" s="30"/>
      <c r="C26" s="30"/>
      <c r="D26" s="31"/>
      <c r="E26" s="5"/>
      <c r="F26" s="29" t="s">
        <v>37</v>
      </c>
      <c r="G26" s="30"/>
      <c r="H26" s="30"/>
      <c r="I26" s="31"/>
      <c r="K26" s="1">
        <v>215</v>
      </c>
      <c r="L26" s="1">
        <v>20</v>
      </c>
    </row>
    <row r="27" spans="1:12" s="1" customFormat="1" ht="30" customHeight="1" x14ac:dyDescent="0.25">
      <c r="A27" s="32" t="s">
        <v>12</v>
      </c>
      <c r="B27" s="33"/>
      <c r="C27" s="33" t="s">
        <v>13</v>
      </c>
      <c r="D27" s="34"/>
      <c r="E27" s="4"/>
      <c r="F27" s="32" t="str">
        <f>A27</f>
        <v>PCR-Q</v>
      </c>
      <c r="G27" s="33"/>
      <c r="H27" s="33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6" t="s">
        <v>47</v>
      </c>
      <c r="C28" s="26"/>
      <c r="D28" s="27"/>
      <c r="E28" s="4"/>
      <c r="F28" s="12" t="s">
        <v>4</v>
      </c>
      <c r="G28" s="26" t="str">
        <f>B28</f>
        <v>22388-1</v>
      </c>
      <c r="H28" s="26"/>
      <c r="I28" s="27"/>
    </row>
    <row r="29" spans="1:12" ht="63.75" customHeight="1" x14ac:dyDescent="0.25">
      <c r="A29" s="28" t="s">
        <v>22</v>
      </c>
      <c r="B29" s="28"/>
      <c r="C29" s="28"/>
      <c r="D29" s="28"/>
      <c r="E29" s="2"/>
      <c r="F29" s="28" t="str">
        <f>A29</f>
        <v>Oval DS Top-Fill - Barrel</v>
      </c>
      <c r="G29" s="28"/>
      <c r="H29" s="28"/>
      <c r="I29" s="28"/>
    </row>
    <row r="30" spans="1:12" s="1" customFormat="1" ht="30" customHeight="1" x14ac:dyDescent="0.25">
      <c r="A30" s="24" t="s">
        <v>0</v>
      </c>
      <c r="B30" s="25"/>
      <c r="C30" s="24" t="s">
        <v>1</v>
      </c>
      <c r="D30" s="25"/>
      <c r="E30" s="3"/>
      <c r="F30" s="24" t="s">
        <v>0</v>
      </c>
      <c r="G30" s="25"/>
      <c r="H30" s="24" t="s">
        <v>1</v>
      </c>
      <c r="I30" s="25"/>
    </row>
    <row r="31" spans="1:12" s="1" customFormat="1" ht="30" customHeight="1" x14ac:dyDescent="0.25">
      <c r="A31" s="24" t="s">
        <v>2</v>
      </c>
      <c r="B31" s="25"/>
      <c r="C31" s="24" t="s">
        <v>5</v>
      </c>
      <c r="D31" s="7" t="s">
        <v>23</v>
      </c>
      <c r="E31" s="4"/>
      <c r="F31" s="24" t="s">
        <v>2</v>
      </c>
      <c r="G31" s="25"/>
      <c r="H31" s="24" t="s">
        <v>5</v>
      </c>
      <c r="I31" s="7" t="str">
        <f>D31</f>
        <v>18B</v>
      </c>
    </row>
    <row r="32" spans="1:12" s="1" customFormat="1" ht="53.25" customHeight="1" x14ac:dyDescent="0.25">
      <c r="A32" s="8" t="s">
        <v>3</v>
      </c>
      <c r="B32" s="9">
        <v>5</v>
      </c>
      <c r="C32" s="24" t="s">
        <v>6</v>
      </c>
      <c r="D32" s="7" t="s">
        <v>24</v>
      </c>
      <c r="E32" s="4"/>
      <c r="F32" s="8" t="s">
        <v>3</v>
      </c>
      <c r="G32" s="9">
        <v>20</v>
      </c>
      <c r="H32" s="24" t="s">
        <v>6</v>
      </c>
      <c r="I32" s="7" t="str">
        <f>D32</f>
        <v>DS-B01</v>
      </c>
      <c r="K32" s="6" t="s">
        <v>8</v>
      </c>
      <c r="L32" s="6" t="s">
        <v>7</v>
      </c>
    </row>
    <row r="33" spans="1:12" s="1" customFormat="1" ht="30" customHeight="1" x14ac:dyDescent="0.25">
      <c r="A33" s="29" t="s">
        <v>37</v>
      </c>
      <c r="B33" s="30"/>
      <c r="C33" s="30"/>
      <c r="D33" s="31"/>
      <c r="E33" s="5"/>
      <c r="F33" s="29" t="s">
        <v>37</v>
      </c>
      <c r="G33" s="30"/>
      <c r="H33" s="30"/>
      <c r="I33" s="31"/>
      <c r="K33" s="1">
        <v>215</v>
      </c>
      <c r="L33" s="1">
        <v>20</v>
      </c>
    </row>
    <row r="34" spans="1:12" s="1" customFormat="1" ht="30" customHeight="1" x14ac:dyDescent="0.25">
      <c r="A34" s="32" t="s">
        <v>12</v>
      </c>
      <c r="B34" s="33"/>
      <c r="C34" s="33" t="s">
        <v>13</v>
      </c>
      <c r="D34" s="34"/>
      <c r="E34" s="4"/>
      <c r="F34" s="32" t="str">
        <f>A34</f>
        <v>PCR-Q</v>
      </c>
      <c r="G34" s="33"/>
      <c r="H34" s="33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6" t="s">
        <v>47</v>
      </c>
      <c r="C35" s="26"/>
      <c r="D35" s="27"/>
      <c r="E35" s="4"/>
      <c r="F35" s="12" t="s">
        <v>4</v>
      </c>
      <c r="G35" s="26" t="str">
        <f>B35</f>
        <v>22388-1</v>
      </c>
      <c r="H35" s="26"/>
      <c r="I35" s="27"/>
    </row>
    <row r="36" spans="1:12" ht="63.75" customHeight="1" x14ac:dyDescent="0.25">
      <c r="A36" s="28" t="s">
        <v>22</v>
      </c>
      <c r="B36" s="28"/>
      <c r="C36" s="28"/>
      <c r="D36" s="28"/>
      <c r="E36" s="2"/>
      <c r="F36" s="28" t="str">
        <f>A36</f>
        <v>Oval DS Top-Fill - Barrel</v>
      </c>
      <c r="G36" s="28"/>
      <c r="H36" s="28"/>
      <c r="I36" s="28"/>
    </row>
    <row r="37" spans="1:12" s="1" customFormat="1" ht="30" customHeight="1" x14ac:dyDescent="0.25">
      <c r="A37" s="24" t="s">
        <v>0</v>
      </c>
      <c r="B37" s="25"/>
      <c r="C37" s="24" t="s">
        <v>1</v>
      </c>
      <c r="D37" s="25"/>
      <c r="E37" s="3"/>
      <c r="F37" s="24" t="s">
        <v>0</v>
      </c>
      <c r="G37" s="25"/>
      <c r="H37" s="24" t="s">
        <v>1</v>
      </c>
      <c r="I37" s="25"/>
    </row>
    <row r="38" spans="1:12" s="1" customFormat="1" ht="30" customHeight="1" x14ac:dyDescent="0.25">
      <c r="A38" s="24" t="s">
        <v>2</v>
      </c>
      <c r="B38" s="25"/>
      <c r="C38" s="24" t="s">
        <v>5</v>
      </c>
      <c r="D38" s="7" t="s">
        <v>23</v>
      </c>
      <c r="E38" s="4"/>
      <c r="F38" s="24" t="s">
        <v>2</v>
      </c>
      <c r="G38" s="25"/>
      <c r="H38" s="24" t="s">
        <v>5</v>
      </c>
      <c r="I38" s="7" t="str">
        <f>D38</f>
        <v>18B</v>
      </c>
    </row>
    <row r="39" spans="1:12" s="1" customFormat="1" ht="53.25" customHeight="1" x14ac:dyDescent="0.25">
      <c r="A39" s="8" t="s">
        <v>3</v>
      </c>
      <c r="B39" s="9">
        <v>6</v>
      </c>
      <c r="C39" s="24" t="s">
        <v>6</v>
      </c>
      <c r="D39" s="7" t="s">
        <v>24</v>
      </c>
      <c r="E39" s="4"/>
      <c r="F39" s="8" t="s">
        <v>3</v>
      </c>
      <c r="G39" s="9">
        <v>21</v>
      </c>
      <c r="H39" s="24" t="s">
        <v>6</v>
      </c>
      <c r="I39" s="7" t="str">
        <f>D39</f>
        <v>DS-B01</v>
      </c>
      <c r="K39" s="6" t="s">
        <v>8</v>
      </c>
      <c r="L39" s="6" t="s">
        <v>7</v>
      </c>
    </row>
    <row r="40" spans="1:12" s="1" customFormat="1" ht="30" customHeight="1" x14ac:dyDescent="0.25">
      <c r="A40" s="29" t="s">
        <v>37</v>
      </c>
      <c r="B40" s="30"/>
      <c r="C40" s="30"/>
      <c r="D40" s="31"/>
      <c r="E40" s="5"/>
      <c r="F40" s="29" t="s">
        <v>37</v>
      </c>
      <c r="G40" s="30"/>
      <c r="H40" s="30"/>
      <c r="I40" s="31"/>
      <c r="K40" s="1">
        <v>215</v>
      </c>
      <c r="L40" s="1">
        <v>20</v>
      </c>
    </row>
    <row r="41" spans="1:12" s="1" customFormat="1" ht="30" customHeight="1" x14ac:dyDescent="0.25">
      <c r="A41" s="32" t="s">
        <v>12</v>
      </c>
      <c r="B41" s="33"/>
      <c r="C41" s="33" t="s">
        <v>13</v>
      </c>
      <c r="D41" s="34"/>
      <c r="E41" s="4"/>
      <c r="F41" s="32" t="str">
        <f>A41</f>
        <v>PCR-Q</v>
      </c>
      <c r="G41" s="33"/>
      <c r="H41" s="33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6" t="s">
        <v>47</v>
      </c>
      <c r="C42" s="26"/>
      <c r="D42" s="27"/>
      <c r="E42" s="4"/>
      <c r="F42" s="12" t="s">
        <v>4</v>
      </c>
      <c r="G42" s="26" t="str">
        <f>B42</f>
        <v>22388-1</v>
      </c>
      <c r="H42" s="26"/>
      <c r="I42" s="27"/>
    </row>
    <row r="43" spans="1:12" ht="63.75" customHeight="1" x14ac:dyDescent="0.25">
      <c r="A43" s="28" t="s">
        <v>22</v>
      </c>
      <c r="B43" s="28"/>
      <c r="C43" s="28"/>
      <c r="D43" s="28"/>
      <c r="E43" s="2"/>
      <c r="F43" s="28" t="str">
        <f>A43</f>
        <v>Oval DS Top-Fill - Barrel</v>
      </c>
      <c r="G43" s="28"/>
      <c r="H43" s="28"/>
      <c r="I43" s="28"/>
    </row>
    <row r="44" spans="1:12" s="1" customFormat="1" ht="30" customHeight="1" x14ac:dyDescent="0.25">
      <c r="A44" s="24" t="s">
        <v>0</v>
      </c>
      <c r="B44" s="25"/>
      <c r="C44" s="24" t="s">
        <v>1</v>
      </c>
      <c r="D44" s="25"/>
      <c r="E44" s="3"/>
      <c r="F44" s="24" t="s">
        <v>0</v>
      </c>
      <c r="G44" s="25"/>
      <c r="H44" s="24" t="s">
        <v>1</v>
      </c>
      <c r="I44" s="25"/>
    </row>
    <row r="45" spans="1:12" s="1" customFormat="1" ht="30" customHeight="1" x14ac:dyDescent="0.25">
      <c r="A45" s="24" t="s">
        <v>2</v>
      </c>
      <c r="B45" s="25"/>
      <c r="C45" s="24" t="s">
        <v>5</v>
      </c>
      <c r="D45" s="7" t="s">
        <v>23</v>
      </c>
      <c r="E45" s="4"/>
      <c r="F45" s="24" t="s">
        <v>2</v>
      </c>
      <c r="G45" s="25"/>
      <c r="H45" s="24" t="s">
        <v>5</v>
      </c>
      <c r="I45" s="7" t="str">
        <f>D45</f>
        <v>18B</v>
      </c>
    </row>
    <row r="46" spans="1:12" s="1" customFormat="1" ht="53.25" customHeight="1" x14ac:dyDescent="0.25">
      <c r="A46" s="8" t="s">
        <v>3</v>
      </c>
      <c r="B46" s="9">
        <v>7</v>
      </c>
      <c r="C46" s="24" t="s">
        <v>6</v>
      </c>
      <c r="D46" s="7" t="s">
        <v>24</v>
      </c>
      <c r="E46" s="4"/>
      <c r="F46" s="8" t="s">
        <v>3</v>
      </c>
      <c r="G46" s="9">
        <v>22</v>
      </c>
      <c r="H46" s="24" t="s">
        <v>6</v>
      </c>
      <c r="I46" s="7" t="str">
        <f>D46</f>
        <v>DS-B01</v>
      </c>
      <c r="K46" s="6" t="s">
        <v>8</v>
      </c>
      <c r="L46" s="6" t="s">
        <v>7</v>
      </c>
    </row>
    <row r="47" spans="1:12" s="1" customFormat="1" ht="30" customHeight="1" x14ac:dyDescent="0.25">
      <c r="A47" s="29" t="s">
        <v>37</v>
      </c>
      <c r="B47" s="30"/>
      <c r="C47" s="30"/>
      <c r="D47" s="31"/>
      <c r="E47" s="5"/>
      <c r="F47" s="29" t="s">
        <v>37</v>
      </c>
      <c r="G47" s="30"/>
      <c r="H47" s="30"/>
      <c r="I47" s="31"/>
      <c r="K47" s="1">
        <v>215</v>
      </c>
      <c r="L47" s="1">
        <v>20</v>
      </c>
    </row>
    <row r="48" spans="1:12" s="1" customFormat="1" ht="30" customHeight="1" x14ac:dyDescent="0.25">
      <c r="A48" s="32" t="s">
        <v>12</v>
      </c>
      <c r="B48" s="33"/>
      <c r="C48" s="33" t="s">
        <v>13</v>
      </c>
      <c r="D48" s="34"/>
      <c r="E48" s="4"/>
      <c r="F48" s="32" t="str">
        <f>A48</f>
        <v>PCR-Q</v>
      </c>
      <c r="G48" s="33"/>
      <c r="H48" s="33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6" t="s">
        <v>47</v>
      </c>
      <c r="C49" s="26"/>
      <c r="D49" s="27"/>
      <c r="E49" s="4"/>
      <c r="F49" s="12" t="s">
        <v>4</v>
      </c>
      <c r="G49" s="26" t="str">
        <f>B49</f>
        <v>22388-1</v>
      </c>
      <c r="H49" s="26"/>
      <c r="I49" s="27"/>
    </row>
    <row r="50" spans="1:12" ht="63.75" customHeight="1" x14ac:dyDescent="0.25">
      <c r="A50" s="28" t="s">
        <v>22</v>
      </c>
      <c r="B50" s="28"/>
      <c r="C50" s="28"/>
      <c r="D50" s="28"/>
      <c r="E50" s="2"/>
      <c r="F50" s="28" t="str">
        <f>A50</f>
        <v>Oval DS Top-Fill - Barrel</v>
      </c>
      <c r="G50" s="28"/>
      <c r="H50" s="28"/>
      <c r="I50" s="28"/>
    </row>
    <row r="51" spans="1:12" s="1" customFormat="1" ht="30" customHeight="1" x14ac:dyDescent="0.25">
      <c r="A51" s="24" t="s">
        <v>0</v>
      </c>
      <c r="B51" s="25"/>
      <c r="C51" s="24" t="s">
        <v>1</v>
      </c>
      <c r="D51" s="25"/>
      <c r="E51" s="3"/>
      <c r="F51" s="24" t="s">
        <v>0</v>
      </c>
      <c r="G51" s="25"/>
      <c r="H51" s="24" t="s">
        <v>1</v>
      </c>
      <c r="I51" s="25"/>
    </row>
    <row r="52" spans="1:12" s="1" customFormat="1" ht="30" customHeight="1" x14ac:dyDescent="0.25">
      <c r="A52" s="24" t="s">
        <v>2</v>
      </c>
      <c r="B52" s="25"/>
      <c r="C52" s="24" t="s">
        <v>5</v>
      </c>
      <c r="D52" s="7" t="s">
        <v>23</v>
      </c>
      <c r="E52" s="4"/>
      <c r="F52" s="24" t="s">
        <v>2</v>
      </c>
      <c r="G52" s="25"/>
      <c r="H52" s="24" t="s">
        <v>5</v>
      </c>
      <c r="I52" s="7" t="str">
        <f>D52</f>
        <v>18B</v>
      </c>
    </row>
    <row r="53" spans="1:12" s="1" customFormat="1" ht="53.25" customHeight="1" x14ac:dyDescent="0.25">
      <c r="A53" s="8" t="s">
        <v>3</v>
      </c>
      <c r="B53" s="9">
        <v>8</v>
      </c>
      <c r="C53" s="24" t="s">
        <v>6</v>
      </c>
      <c r="D53" s="7" t="s">
        <v>24</v>
      </c>
      <c r="E53" s="4"/>
      <c r="F53" s="8" t="s">
        <v>3</v>
      </c>
      <c r="G53" s="9">
        <v>23</v>
      </c>
      <c r="H53" s="24" t="s">
        <v>6</v>
      </c>
      <c r="I53" s="7" t="str">
        <f>D53</f>
        <v>DS-B01</v>
      </c>
      <c r="K53" s="6" t="s">
        <v>8</v>
      </c>
      <c r="L53" s="6" t="s">
        <v>7</v>
      </c>
    </row>
    <row r="54" spans="1:12" s="1" customFormat="1" ht="30" customHeight="1" x14ac:dyDescent="0.25">
      <c r="A54" s="29" t="s">
        <v>37</v>
      </c>
      <c r="B54" s="30"/>
      <c r="C54" s="30"/>
      <c r="D54" s="31"/>
      <c r="E54" s="5"/>
      <c r="F54" s="29" t="s">
        <v>37</v>
      </c>
      <c r="G54" s="30"/>
      <c r="H54" s="30"/>
      <c r="I54" s="31"/>
      <c r="K54" s="1">
        <v>215</v>
      </c>
      <c r="L54" s="1">
        <v>20</v>
      </c>
    </row>
    <row r="55" spans="1:12" s="1" customFormat="1" ht="30" customHeight="1" x14ac:dyDescent="0.25">
      <c r="A55" s="32" t="s">
        <v>12</v>
      </c>
      <c r="B55" s="33"/>
      <c r="C55" s="33" t="s">
        <v>13</v>
      </c>
      <c r="D55" s="34"/>
      <c r="E55" s="4"/>
      <c r="F55" s="32" t="str">
        <f>A55</f>
        <v>PCR-Q</v>
      </c>
      <c r="G55" s="33"/>
      <c r="H55" s="33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6" t="s">
        <v>47</v>
      </c>
      <c r="C56" s="26"/>
      <c r="D56" s="27"/>
      <c r="E56" s="4"/>
      <c r="F56" s="12" t="s">
        <v>4</v>
      </c>
      <c r="G56" s="26" t="str">
        <f>B56</f>
        <v>22388-1</v>
      </c>
      <c r="H56" s="26"/>
      <c r="I56" s="27"/>
    </row>
    <row r="57" spans="1:12" ht="63.75" customHeight="1" x14ac:dyDescent="0.25">
      <c r="A57" s="28" t="s">
        <v>22</v>
      </c>
      <c r="B57" s="28"/>
      <c r="C57" s="28"/>
      <c r="D57" s="28"/>
      <c r="E57" s="2"/>
      <c r="F57" s="28" t="str">
        <f>A57</f>
        <v>Oval DS Top-Fill - Barrel</v>
      </c>
      <c r="G57" s="28"/>
      <c r="H57" s="28"/>
      <c r="I57" s="28"/>
    </row>
    <row r="58" spans="1:12" s="1" customFormat="1" ht="30" customHeight="1" x14ac:dyDescent="0.25">
      <c r="A58" s="24" t="s">
        <v>0</v>
      </c>
      <c r="B58" s="25"/>
      <c r="C58" s="24" t="s">
        <v>1</v>
      </c>
      <c r="D58" s="25"/>
      <c r="E58" s="3"/>
      <c r="F58" s="24" t="s">
        <v>0</v>
      </c>
      <c r="G58" s="25"/>
      <c r="H58" s="24" t="s">
        <v>1</v>
      </c>
      <c r="I58" s="25"/>
    </row>
    <row r="59" spans="1:12" s="1" customFormat="1" ht="30" customHeight="1" x14ac:dyDescent="0.25">
      <c r="A59" s="24" t="s">
        <v>2</v>
      </c>
      <c r="B59" s="25"/>
      <c r="C59" s="24" t="s">
        <v>5</v>
      </c>
      <c r="D59" s="7" t="s">
        <v>23</v>
      </c>
      <c r="E59" s="4"/>
      <c r="F59" s="24" t="s">
        <v>2</v>
      </c>
      <c r="G59" s="25"/>
      <c r="H59" s="24" t="s">
        <v>5</v>
      </c>
      <c r="I59" s="7" t="str">
        <f>D59</f>
        <v>18B</v>
      </c>
    </row>
    <row r="60" spans="1:12" s="1" customFormat="1" ht="53.25" customHeight="1" x14ac:dyDescent="0.25">
      <c r="A60" s="8" t="s">
        <v>3</v>
      </c>
      <c r="B60" s="9">
        <v>9</v>
      </c>
      <c r="C60" s="24" t="s">
        <v>6</v>
      </c>
      <c r="D60" s="7" t="s">
        <v>24</v>
      </c>
      <c r="E60" s="4"/>
      <c r="F60" s="8" t="s">
        <v>3</v>
      </c>
      <c r="G60" s="9">
        <v>24</v>
      </c>
      <c r="H60" s="24" t="s">
        <v>6</v>
      </c>
      <c r="I60" s="7" t="str">
        <f>D60</f>
        <v>DS-B01</v>
      </c>
      <c r="K60" s="6" t="s">
        <v>8</v>
      </c>
      <c r="L60" s="6" t="s">
        <v>7</v>
      </c>
    </row>
    <row r="61" spans="1:12" s="1" customFormat="1" ht="30" customHeight="1" x14ac:dyDescent="0.25">
      <c r="A61" s="29" t="s">
        <v>37</v>
      </c>
      <c r="B61" s="30"/>
      <c r="C61" s="30"/>
      <c r="D61" s="31"/>
      <c r="E61" s="5"/>
      <c r="F61" s="29" t="s">
        <v>37</v>
      </c>
      <c r="G61" s="30"/>
      <c r="H61" s="30"/>
      <c r="I61" s="31"/>
      <c r="K61" s="1">
        <v>215</v>
      </c>
      <c r="L61" s="1">
        <v>20</v>
      </c>
    </row>
    <row r="62" spans="1:12" s="1" customFormat="1" ht="30" customHeight="1" x14ac:dyDescent="0.25">
      <c r="A62" s="32" t="s">
        <v>12</v>
      </c>
      <c r="B62" s="33"/>
      <c r="C62" s="33" t="s">
        <v>13</v>
      </c>
      <c r="D62" s="34"/>
      <c r="E62" s="4"/>
      <c r="F62" s="32" t="str">
        <f>A62</f>
        <v>PCR-Q</v>
      </c>
      <c r="G62" s="33"/>
      <c r="H62" s="33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6" t="s">
        <v>47</v>
      </c>
      <c r="C63" s="26"/>
      <c r="D63" s="27"/>
      <c r="E63" s="4"/>
      <c r="F63" s="12" t="s">
        <v>4</v>
      </c>
      <c r="G63" s="26" t="str">
        <f>B63</f>
        <v>22388-1</v>
      </c>
      <c r="H63" s="26"/>
      <c r="I63" s="27"/>
    </row>
    <row r="64" spans="1:12" ht="63.75" customHeight="1" x14ac:dyDescent="0.25">
      <c r="A64" s="28" t="s">
        <v>22</v>
      </c>
      <c r="B64" s="28"/>
      <c r="C64" s="28"/>
      <c r="D64" s="28"/>
      <c r="E64" s="2"/>
      <c r="F64" s="28" t="str">
        <f>A64</f>
        <v>Oval DS Top-Fill - Barrel</v>
      </c>
      <c r="G64" s="28"/>
      <c r="H64" s="28"/>
      <c r="I64" s="28"/>
    </row>
    <row r="65" spans="1:12" s="1" customFormat="1" ht="30" customHeight="1" x14ac:dyDescent="0.25">
      <c r="A65" s="24" t="s">
        <v>0</v>
      </c>
      <c r="B65" s="25"/>
      <c r="C65" s="24" t="s">
        <v>1</v>
      </c>
      <c r="D65" s="25"/>
      <c r="E65" s="3"/>
      <c r="F65" s="24" t="s">
        <v>0</v>
      </c>
      <c r="G65" s="25"/>
      <c r="H65" s="24" t="s">
        <v>1</v>
      </c>
      <c r="I65" s="25"/>
    </row>
    <row r="66" spans="1:12" s="1" customFormat="1" ht="30" customHeight="1" x14ac:dyDescent="0.25">
      <c r="A66" s="24" t="s">
        <v>2</v>
      </c>
      <c r="B66" s="25"/>
      <c r="C66" s="24" t="s">
        <v>5</v>
      </c>
      <c r="D66" s="7" t="s">
        <v>23</v>
      </c>
      <c r="E66" s="4"/>
      <c r="F66" s="24" t="s">
        <v>2</v>
      </c>
      <c r="G66" s="25"/>
      <c r="H66" s="24" t="s">
        <v>5</v>
      </c>
      <c r="I66" s="7" t="str">
        <f>D66</f>
        <v>18B</v>
      </c>
    </row>
    <row r="67" spans="1:12" s="1" customFormat="1" ht="53.25" customHeight="1" x14ac:dyDescent="0.25">
      <c r="A67" s="8" t="s">
        <v>3</v>
      </c>
      <c r="B67" s="9">
        <v>10</v>
      </c>
      <c r="C67" s="24" t="s">
        <v>6</v>
      </c>
      <c r="D67" s="7" t="s">
        <v>24</v>
      </c>
      <c r="E67" s="4"/>
      <c r="F67" s="8" t="s">
        <v>3</v>
      </c>
      <c r="G67" s="9">
        <v>25</v>
      </c>
      <c r="H67" s="24" t="s">
        <v>6</v>
      </c>
      <c r="I67" s="7" t="str">
        <f>D67</f>
        <v>DS-B01</v>
      </c>
      <c r="K67" s="6" t="s">
        <v>8</v>
      </c>
      <c r="L67" s="6" t="s">
        <v>7</v>
      </c>
    </row>
    <row r="68" spans="1:12" s="1" customFormat="1" ht="30" customHeight="1" x14ac:dyDescent="0.25">
      <c r="A68" s="29" t="s">
        <v>37</v>
      </c>
      <c r="B68" s="30"/>
      <c r="C68" s="30"/>
      <c r="D68" s="31"/>
      <c r="E68" s="5"/>
      <c r="F68" s="29" t="s">
        <v>37</v>
      </c>
      <c r="G68" s="30"/>
      <c r="H68" s="30"/>
      <c r="I68" s="31"/>
      <c r="K68" s="1">
        <v>215</v>
      </c>
      <c r="L68" s="1">
        <v>20</v>
      </c>
    </row>
    <row r="69" spans="1:12" s="1" customFormat="1" ht="30" customHeight="1" x14ac:dyDescent="0.25">
      <c r="A69" s="32" t="s">
        <v>12</v>
      </c>
      <c r="B69" s="33"/>
      <c r="C69" s="33" t="s">
        <v>13</v>
      </c>
      <c r="D69" s="34"/>
      <c r="E69" s="4"/>
      <c r="F69" s="32" t="str">
        <f>A69</f>
        <v>PCR-Q</v>
      </c>
      <c r="G69" s="33"/>
      <c r="H69" s="33" t="str">
        <f>C69</f>
        <v>White</v>
      </c>
      <c r="I69" s="34"/>
    </row>
    <row r="70" spans="1:12" s="1" customFormat="1" ht="30" customHeight="1" x14ac:dyDescent="0.25">
      <c r="A70" s="12" t="s">
        <v>4</v>
      </c>
      <c r="B70" s="26" t="s">
        <v>47</v>
      </c>
      <c r="C70" s="26"/>
      <c r="D70" s="27"/>
      <c r="E70" s="4"/>
      <c r="F70" s="12" t="s">
        <v>4</v>
      </c>
      <c r="G70" s="26" t="str">
        <f>B70</f>
        <v>22388-1</v>
      </c>
      <c r="H70" s="26"/>
      <c r="I70" s="27"/>
    </row>
    <row r="71" spans="1:12" ht="63.75" customHeight="1" x14ac:dyDescent="0.25">
      <c r="A71" s="28" t="s">
        <v>22</v>
      </c>
      <c r="B71" s="28"/>
      <c r="C71" s="28"/>
      <c r="D71" s="28"/>
      <c r="E71" s="2"/>
      <c r="F71" s="28" t="str">
        <f>A71</f>
        <v>Oval DS Top-Fill - Barrel</v>
      </c>
      <c r="G71" s="28"/>
      <c r="H71" s="28"/>
      <c r="I71" s="28"/>
    </row>
    <row r="72" spans="1:12" s="1" customFormat="1" ht="30" customHeight="1" x14ac:dyDescent="0.25">
      <c r="A72" s="24" t="s">
        <v>0</v>
      </c>
      <c r="B72" s="25"/>
      <c r="C72" s="24" t="s">
        <v>1</v>
      </c>
      <c r="D72" s="25"/>
      <c r="E72" s="3"/>
      <c r="F72" s="24" t="s">
        <v>0</v>
      </c>
      <c r="G72" s="25"/>
      <c r="H72" s="24" t="s">
        <v>1</v>
      </c>
      <c r="I72" s="25"/>
    </row>
    <row r="73" spans="1:12" s="1" customFormat="1" ht="30" customHeight="1" x14ac:dyDescent="0.25">
      <c r="A73" s="24" t="s">
        <v>2</v>
      </c>
      <c r="B73" s="25"/>
      <c r="C73" s="24" t="s">
        <v>5</v>
      </c>
      <c r="D73" s="7" t="s">
        <v>23</v>
      </c>
      <c r="E73" s="4"/>
      <c r="F73" s="24" t="s">
        <v>2</v>
      </c>
      <c r="G73" s="25"/>
      <c r="H73" s="24" t="s">
        <v>5</v>
      </c>
      <c r="I73" s="7" t="str">
        <f>D73</f>
        <v>18B</v>
      </c>
    </row>
    <row r="74" spans="1:12" s="1" customFormat="1" ht="53.25" customHeight="1" x14ac:dyDescent="0.25">
      <c r="A74" s="8" t="s">
        <v>3</v>
      </c>
      <c r="B74" s="9">
        <v>11</v>
      </c>
      <c r="C74" s="24" t="s">
        <v>6</v>
      </c>
      <c r="D74" s="7" t="s">
        <v>24</v>
      </c>
      <c r="E74" s="4"/>
      <c r="F74" s="8" t="s">
        <v>3</v>
      </c>
      <c r="G74" s="9">
        <v>26</v>
      </c>
      <c r="H74" s="24" t="s">
        <v>6</v>
      </c>
      <c r="I74" s="7" t="str">
        <f>D74</f>
        <v>DS-B01</v>
      </c>
      <c r="K74" s="6" t="s">
        <v>8</v>
      </c>
      <c r="L74" s="6" t="s">
        <v>7</v>
      </c>
    </row>
    <row r="75" spans="1:12" s="1" customFormat="1" ht="30" customHeight="1" x14ac:dyDescent="0.25">
      <c r="A75" s="29" t="s">
        <v>37</v>
      </c>
      <c r="B75" s="30"/>
      <c r="C75" s="30"/>
      <c r="D75" s="31"/>
      <c r="E75" s="5"/>
      <c r="F75" s="29" t="s">
        <v>37</v>
      </c>
      <c r="G75" s="30"/>
      <c r="H75" s="30"/>
      <c r="I75" s="31"/>
      <c r="K75" s="1">
        <v>215</v>
      </c>
      <c r="L75" s="1">
        <v>20</v>
      </c>
    </row>
    <row r="76" spans="1:12" s="1" customFormat="1" ht="30" customHeight="1" x14ac:dyDescent="0.25">
      <c r="A76" s="32" t="s">
        <v>12</v>
      </c>
      <c r="B76" s="33"/>
      <c r="C76" s="33" t="s">
        <v>13</v>
      </c>
      <c r="D76" s="34"/>
      <c r="E76" s="4"/>
      <c r="F76" s="32" t="str">
        <f>A76</f>
        <v>PCR-Q</v>
      </c>
      <c r="G76" s="33"/>
      <c r="H76" s="33" t="str">
        <f>C76</f>
        <v>White</v>
      </c>
      <c r="I76" s="34"/>
    </row>
    <row r="77" spans="1:12" s="1" customFormat="1" ht="30" customHeight="1" x14ac:dyDescent="0.25">
      <c r="A77" s="12" t="s">
        <v>4</v>
      </c>
      <c r="B77" s="26" t="s">
        <v>47</v>
      </c>
      <c r="C77" s="26"/>
      <c r="D77" s="27"/>
      <c r="E77" s="4"/>
      <c r="F77" s="12" t="s">
        <v>4</v>
      </c>
      <c r="G77" s="26" t="str">
        <f>B77</f>
        <v>22388-1</v>
      </c>
      <c r="H77" s="26"/>
      <c r="I77" s="27"/>
    </row>
    <row r="78" spans="1:12" ht="63.75" customHeight="1" x14ac:dyDescent="0.25">
      <c r="A78" s="28" t="s">
        <v>22</v>
      </c>
      <c r="B78" s="28"/>
      <c r="C78" s="28"/>
      <c r="D78" s="28"/>
      <c r="E78" s="2"/>
      <c r="F78" s="28" t="str">
        <f>A78</f>
        <v>Oval DS Top-Fill - Barrel</v>
      </c>
      <c r="G78" s="28"/>
      <c r="H78" s="28"/>
      <c r="I78" s="28"/>
    </row>
    <row r="79" spans="1:12" s="1" customFormat="1" ht="30" customHeight="1" x14ac:dyDescent="0.25">
      <c r="A79" s="24" t="s">
        <v>0</v>
      </c>
      <c r="B79" s="25"/>
      <c r="C79" s="24" t="s">
        <v>1</v>
      </c>
      <c r="D79" s="25"/>
      <c r="E79" s="3"/>
      <c r="F79" s="24" t="s">
        <v>0</v>
      </c>
      <c r="G79" s="25"/>
      <c r="H79" s="24" t="s">
        <v>1</v>
      </c>
      <c r="I79" s="25"/>
    </row>
    <row r="80" spans="1:12" s="1" customFormat="1" ht="30" customHeight="1" x14ac:dyDescent="0.25">
      <c r="A80" s="24" t="s">
        <v>2</v>
      </c>
      <c r="B80" s="25"/>
      <c r="C80" s="24" t="s">
        <v>5</v>
      </c>
      <c r="D80" s="7" t="s">
        <v>23</v>
      </c>
      <c r="E80" s="4"/>
      <c r="F80" s="24" t="s">
        <v>2</v>
      </c>
      <c r="G80" s="25"/>
      <c r="H80" s="24" t="s">
        <v>5</v>
      </c>
      <c r="I80" s="7" t="str">
        <f>D80</f>
        <v>18B</v>
      </c>
    </row>
    <row r="81" spans="1:12" s="1" customFormat="1" ht="53.25" customHeight="1" x14ac:dyDescent="0.25">
      <c r="A81" s="8" t="s">
        <v>3</v>
      </c>
      <c r="B81" s="9">
        <v>12</v>
      </c>
      <c r="C81" s="24" t="s">
        <v>6</v>
      </c>
      <c r="D81" s="7" t="s">
        <v>24</v>
      </c>
      <c r="E81" s="4"/>
      <c r="F81" s="8" t="s">
        <v>3</v>
      </c>
      <c r="G81" s="9">
        <v>27</v>
      </c>
      <c r="H81" s="24" t="s">
        <v>6</v>
      </c>
      <c r="I81" s="7" t="str">
        <f>D81</f>
        <v>DS-B01</v>
      </c>
      <c r="K81" s="6" t="s">
        <v>8</v>
      </c>
      <c r="L81" s="6" t="s">
        <v>7</v>
      </c>
    </row>
    <row r="82" spans="1:12" s="1" customFormat="1" ht="30" customHeight="1" x14ac:dyDescent="0.25">
      <c r="A82" s="29" t="s">
        <v>37</v>
      </c>
      <c r="B82" s="30"/>
      <c r="C82" s="30"/>
      <c r="D82" s="31"/>
      <c r="E82" s="5"/>
      <c r="F82" s="29" t="s">
        <v>37</v>
      </c>
      <c r="G82" s="30"/>
      <c r="H82" s="30"/>
      <c r="I82" s="31"/>
      <c r="K82" s="1">
        <v>215</v>
      </c>
      <c r="L82" s="1">
        <v>20</v>
      </c>
    </row>
    <row r="83" spans="1:12" s="1" customFormat="1" ht="30" customHeight="1" x14ac:dyDescent="0.25">
      <c r="A83" s="32" t="s">
        <v>12</v>
      </c>
      <c r="B83" s="33"/>
      <c r="C83" s="33" t="s">
        <v>13</v>
      </c>
      <c r="D83" s="34"/>
      <c r="E83" s="4"/>
      <c r="F83" s="32" t="str">
        <f>A83</f>
        <v>PCR-Q</v>
      </c>
      <c r="G83" s="33"/>
      <c r="H83" s="33" t="str">
        <f>C83</f>
        <v>White</v>
      </c>
      <c r="I83" s="34"/>
    </row>
    <row r="84" spans="1:12" s="1" customFormat="1" ht="30" customHeight="1" x14ac:dyDescent="0.25">
      <c r="A84" s="12" t="s">
        <v>4</v>
      </c>
      <c r="B84" s="26" t="s">
        <v>47</v>
      </c>
      <c r="C84" s="26"/>
      <c r="D84" s="27"/>
      <c r="E84" s="4"/>
      <c r="F84" s="12" t="s">
        <v>4</v>
      </c>
      <c r="G84" s="26" t="str">
        <f>B84</f>
        <v>22388-1</v>
      </c>
      <c r="H84" s="26"/>
      <c r="I84" s="27"/>
    </row>
    <row r="85" spans="1:12" ht="63.75" customHeight="1" x14ac:dyDescent="0.25">
      <c r="A85" s="28" t="s">
        <v>22</v>
      </c>
      <c r="B85" s="28"/>
      <c r="C85" s="28"/>
      <c r="D85" s="28"/>
      <c r="E85" s="2"/>
      <c r="F85" s="28" t="str">
        <f>A85</f>
        <v>Oval DS Top-Fill - Barrel</v>
      </c>
      <c r="G85" s="28"/>
      <c r="H85" s="28"/>
      <c r="I85" s="28"/>
    </row>
    <row r="86" spans="1:12" s="1" customFormat="1" ht="30" customHeight="1" x14ac:dyDescent="0.25">
      <c r="A86" s="24" t="s">
        <v>0</v>
      </c>
      <c r="B86" s="25"/>
      <c r="C86" s="24" t="s">
        <v>1</v>
      </c>
      <c r="D86" s="25"/>
      <c r="E86" s="3"/>
      <c r="F86" s="24" t="s">
        <v>0</v>
      </c>
      <c r="G86" s="25"/>
      <c r="H86" s="24" t="s">
        <v>1</v>
      </c>
      <c r="I86" s="25"/>
    </row>
    <row r="87" spans="1:12" s="1" customFormat="1" ht="30" customHeight="1" x14ac:dyDescent="0.25">
      <c r="A87" s="24" t="s">
        <v>2</v>
      </c>
      <c r="B87" s="25"/>
      <c r="C87" s="24" t="s">
        <v>5</v>
      </c>
      <c r="D87" s="7" t="s">
        <v>23</v>
      </c>
      <c r="E87" s="4"/>
      <c r="F87" s="24" t="s">
        <v>2</v>
      </c>
      <c r="G87" s="25"/>
      <c r="H87" s="24" t="s">
        <v>5</v>
      </c>
      <c r="I87" s="7" t="str">
        <f>D87</f>
        <v>18B</v>
      </c>
    </row>
    <row r="88" spans="1:12" s="1" customFormat="1" ht="53.25" customHeight="1" x14ac:dyDescent="0.25">
      <c r="A88" s="8" t="s">
        <v>3</v>
      </c>
      <c r="B88" s="9">
        <v>13</v>
      </c>
      <c r="C88" s="24" t="s">
        <v>6</v>
      </c>
      <c r="D88" s="7" t="s">
        <v>24</v>
      </c>
      <c r="E88" s="4"/>
      <c r="F88" s="8" t="s">
        <v>3</v>
      </c>
      <c r="G88" s="9">
        <v>28</v>
      </c>
      <c r="H88" s="24" t="s">
        <v>6</v>
      </c>
      <c r="I88" s="7" t="str">
        <f>D88</f>
        <v>DS-B01</v>
      </c>
      <c r="K88" s="6" t="s">
        <v>8</v>
      </c>
      <c r="L88" s="6" t="s">
        <v>7</v>
      </c>
    </row>
    <row r="89" spans="1:12" s="1" customFormat="1" ht="30" customHeight="1" x14ac:dyDescent="0.25">
      <c r="A89" s="29" t="s">
        <v>37</v>
      </c>
      <c r="B89" s="30"/>
      <c r="C89" s="30"/>
      <c r="D89" s="31"/>
      <c r="E89" s="5"/>
      <c r="F89" s="29" t="s">
        <v>37</v>
      </c>
      <c r="G89" s="30"/>
      <c r="H89" s="30"/>
      <c r="I89" s="31"/>
      <c r="K89" s="1">
        <v>215</v>
      </c>
      <c r="L89" s="1">
        <v>20</v>
      </c>
    </row>
    <row r="90" spans="1:12" s="1" customFormat="1" ht="30" customHeight="1" x14ac:dyDescent="0.25">
      <c r="A90" s="32" t="s">
        <v>12</v>
      </c>
      <c r="B90" s="33"/>
      <c r="C90" s="33" t="s">
        <v>13</v>
      </c>
      <c r="D90" s="34"/>
      <c r="E90" s="4"/>
      <c r="F90" s="32" t="str">
        <f>A90</f>
        <v>PCR-Q</v>
      </c>
      <c r="G90" s="33"/>
      <c r="H90" s="33" t="str">
        <f>C90</f>
        <v>White</v>
      </c>
      <c r="I90" s="34"/>
    </row>
    <row r="91" spans="1:12" s="1" customFormat="1" ht="30" customHeight="1" x14ac:dyDescent="0.25">
      <c r="A91" s="12" t="s">
        <v>4</v>
      </c>
      <c r="B91" s="26" t="s">
        <v>47</v>
      </c>
      <c r="C91" s="26"/>
      <c r="D91" s="27"/>
      <c r="E91" s="4"/>
      <c r="F91" s="12" t="s">
        <v>4</v>
      </c>
      <c r="G91" s="26" t="str">
        <f>B91</f>
        <v>22388-1</v>
      </c>
      <c r="H91" s="26"/>
      <c r="I91" s="27"/>
    </row>
    <row r="92" spans="1:12" ht="63.75" customHeight="1" x14ac:dyDescent="0.25">
      <c r="A92" s="28" t="s">
        <v>22</v>
      </c>
      <c r="B92" s="28"/>
      <c r="C92" s="28"/>
      <c r="D92" s="28"/>
      <c r="E92" s="2"/>
      <c r="F92" s="28" t="str">
        <f>A92</f>
        <v>Oval DS Top-Fill - Barrel</v>
      </c>
      <c r="G92" s="28"/>
      <c r="H92" s="28"/>
      <c r="I92" s="28"/>
    </row>
    <row r="93" spans="1:12" s="1" customFormat="1" ht="30" customHeight="1" x14ac:dyDescent="0.25">
      <c r="A93" s="24" t="s">
        <v>0</v>
      </c>
      <c r="B93" s="25"/>
      <c r="C93" s="24" t="s">
        <v>1</v>
      </c>
      <c r="D93" s="25"/>
      <c r="E93" s="3"/>
      <c r="F93" s="24" t="s">
        <v>0</v>
      </c>
      <c r="G93" s="25"/>
      <c r="H93" s="24" t="s">
        <v>1</v>
      </c>
      <c r="I93" s="25"/>
    </row>
    <row r="94" spans="1:12" s="1" customFormat="1" ht="30" customHeight="1" x14ac:dyDescent="0.25">
      <c r="A94" s="24" t="s">
        <v>2</v>
      </c>
      <c r="B94" s="25"/>
      <c r="C94" s="24" t="s">
        <v>5</v>
      </c>
      <c r="D94" s="7" t="s">
        <v>23</v>
      </c>
      <c r="E94" s="4"/>
      <c r="F94" s="24" t="s">
        <v>2</v>
      </c>
      <c r="G94" s="25"/>
      <c r="H94" s="24" t="s">
        <v>5</v>
      </c>
      <c r="I94" s="7" t="str">
        <f>D94</f>
        <v>18B</v>
      </c>
    </row>
    <row r="95" spans="1:12" s="1" customFormat="1" ht="53.25" customHeight="1" x14ac:dyDescent="0.25">
      <c r="A95" s="8" t="s">
        <v>3</v>
      </c>
      <c r="B95" s="9">
        <v>14</v>
      </c>
      <c r="C95" s="24" t="s">
        <v>6</v>
      </c>
      <c r="D95" s="7" t="s">
        <v>24</v>
      </c>
      <c r="E95" s="4"/>
      <c r="F95" s="8" t="s">
        <v>3</v>
      </c>
      <c r="G95" s="9">
        <v>29</v>
      </c>
      <c r="H95" s="24" t="s">
        <v>6</v>
      </c>
      <c r="I95" s="7" t="str">
        <f>D95</f>
        <v>DS-B01</v>
      </c>
      <c r="K95" s="6" t="s">
        <v>8</v>
      </c>
      <c r="L95" s="6" t="s">
        <v>7</v>
      </c>
    </row>
    <row r="96" spans="1:12" s="1" customFormat="1" ht="30" customHeight="1" x14ac:dyDescent="0.25">
      <c r="A96" s="29" t="s">
        <v>37</v>
      </c>
      <c r="B96" s="30"/>
      <c r="C96" s="30"/>
      <c r="D96" s="31"/>
      <c r="E96" s="5"/>
      <c r="F96" s="29" t="s">
        <v>37</v>
      </c>
      <c r="G96" s="30"/>
      <c r="H96" s="30"/>
      <c r="I96" s="31"/>
      <c r="K96" s="1">
        <v>215</v>
      </c>
      <c r="L96" s="1">
        <v>20</v>
      </c>
    </row>
    <row r="97" spans="1:12" s="1" customFormat="1" ht="30" customHeight="1" x14ac:dyDescent="0.25">
      <c r="A97" s="32" t="s">
        <v>12</v>
      </c>
      <c r="B97" s="33"/>
      <c r="C97" s="33" t="s">
        <v>13</v>
      </c>
      <c r="D97" s="34"/>
      <c r="E97" s="4"/>
      <c r="F97" s="32" t="str">
        <f>A97</f>
        <v>PCR-Q</v>
      </c>
      <c r="G97" s="33"/>
      <c r="H97" s="33" t="str">
        <f>C97</f>
        <v>White</v>
      </c>
      <c r="I97" s="34"/>
    </row>
    <row r="98" spans="1:12" s="1" customFormat="1" ht="30" customHeight="1" x14ac:dyDescent="0.25">
      <c r="A98" s="12" t="s">
        <v>4</v>
      </c>
      <c r="B98" s="26" t="s">
        <v>47</v>
      </c>
      <c r="C98" s="26"/>
      <c r="D98" s="27"/>
      <c r="E98" s="4"/>
      <c r="F98" s="12" t="s">
        <v>4</v>
      </c>
      <c r="G98" s="26" t="str">
        <f>B98</f>
        <v>22388-1</v>
      </c>
      <c r="H98" s="26"/>
      <c r="I98" s="27"/>
    </row>
    <row r="99" spans="1:12" ht="63.75" customHeight="1" x14ac:dyDescent="0.25">
      <c r="A99" s="28" t="s">
        <v>22</v>
      </c>
      <c r="B99" s="28"/>
      <c r="C99" s="28"/>
      <c r="D99" s="28"/>
      <c r="E99" s="2"/>
      <c r="F99" s="28" t="str">
        <f>A99</f>
        <v>Oval DS Top-Fill - Barrel</v>
      </c>
      <c r="G99" s="28"/>
      <c r="H99" s="28"/>
      <c r="I99" s="28"/>
    </row>
    <row r="100" spans="1:12" s="1" customFormat="1" ht="30" customHeight="1" x14ac:dyDescent="0.25">
      <c r="A100" s="24" t="s">
        <v>0</v>
      </c>
      <c r="B100" s="25"/>
      <c r="C100" s="24" t="s">
        <v>1</v>
      </c>
      <c r="D100" s="25"/>
      <c r="E100" s="3"/>
      <c r="F100" s="24" t="s">
        <v>0</v>
      </c>
      <c r="G100" s="25"/>
      <c r="H100" s="24" t="s">
        <v>1</v>
      </c>
      <c r="I100" s="25"/>
    </row>
    <row r="101" spans="1:12" s="1" customFormat="1" ht="30" customHeight="1" x14ac:dyDescent="0.25">
      <c r="A101" s="24" t="s">
        <v>2</v>
      </c>
      <c r="B101" s="25"/>
      <c r="C101" s="24" t="s">
        <v>5</v>
      </c>
      <c r="D101" s="7" t="s">
        <v>23</v>
      </c>
      <c r="E101" s="4"/>
      <c r="F101" s="24" t="s">
        <v>2</v>
      </c>
      <c r="G101" s="25"/>
      <c r="H101" s="24" t="s">
        <v>5</v>
      </c>
      <c r="I101" s="7" t="str">
        <f>D101</f>
        <v>18B</v>
      </c>
    </row>
    <row r="102" spans="1:12" s="1" customFormat="1" ht="53.25" customHeight="1" x14ac:dyDescent="0.25">
      <c r="A102" s="8" t="s">
        <v>3</v>
      </c>
      <c r="B102" s="9">
        <v>15</v>
      </c>
      <c r="C102" s="24" t="s">
        <v>6</v>
      </c>
      <c r="D102" s="7" t="s">
        <v>24</v>
      </c>
      <c r="E102" s="4"/>
      <c r="F102" s="8" t="s">
        <v>3</v>
      </c>
      <c r="G102" s="9">
        <v>30</v>
      </c>
      <c r="H102" s="24" t="s">
        <v>6</v>
      </c>
      <c r="I102" s="7" t="str">
        <f>D102</f>
        <v>DS-B01</v>
      </c>
      <c r="K102" s="6" t="s">
        <v>8</v>
      </c>
      <c r="L102" s="6" t="s">
        <v>7</v>
      </c>
    </row>
    <row r="103" spans="1:12" s="1" customFormat="1" ht="30" customHeight="1" x14ac:dyDescent="0.25">
      <c r="A103" s="29" t="s">
        <v>37</v>
      </c>
      <c r="B103" s="30"/>
      <c r="C103" s="30"/>
      <c r="D103" s="31"/>
      <c r="E103" s="5"/>
      <c r="F103" s="29" t="s">
        <v>48</v>
      </c>
      <c r="G103" s="30"/>
      <c r="H103" s="30"/>
      <c r="I103" s="31"/>
      <c r="K103" s="1">
        <v>215</v>
      </c>
      <c r="L103" s="1">
        <v>20</v>
      </c>
    </row>
    <row r="104" spans="1:12" s="1" customFormat="1" ht="30" customHeight="1" x14ac:dyDescent="0.25">
      <c r="A104" s="32" t="s">
        <v>12</v>
      </c>
      <c r="B104" s="33"/>
      <c r="C104" s="33" t="s">
        <v>13</v>
      </c>
      <c r="D104" s="34"/>
      <c r="E104" s="4"/>
      <c r="F104" s="32" t="str">
        <f>A104</f>
        <v>PCR-Q</v>
      </c>
      <c r="G104" s="33"/>
      <c r="H104" s="33" t="str">
        <f>C104</f>
        <v>White</v>
      </c>
      <c r="I104" s="34"/>
    </row>
    <row r="105" spans="1:12" s="1" customFormat="1" ht="30" customHeight="1" x14ac:dyDescent="0.25">
      <c r="A105" s="12" t="s">
        <v>4</v>
      </c>
      <c r="B105" s="26" t="s">
        <v>47</v>
      </c>
      <c r="C105" s="26"/>
      <c r="D105" s="27"/>
      <c r="E105" s="4"/>
      <c r="F105" s="12" t="s">
        <v>4</v>
      </c>
      <c r="G105" s="26" t="str">
        <f>B105</f>
        <v>22388-1</v>
      </c>
      <c r="H105" s="26"/>
      <c r="I105" s="27"/>
    </row>
  </sheetData>
  <mergeCells count="150">
    <mergeCell ref="A104:B104"/>
    <mergeCell ref="C104:D104"/>
    <mergeCell ref="F104:G104"/>
    <mergeCell ref="H104:I104"/>
    <mergeCell ref="B105:D105"/>
    <mergeCell ref="G105:I105"/>
    <mergeCell ref="B98:D98"/>
    <mergeCell ref="G98:I98"/>
    <mergeCell ref="A99:D99"/>
    <mergeCell ref="F99:I99"/>
    <mergeCell ref="A103:D103"/>
    <mergeCell ref="F103:I103"/>
    <mergeCell ref="A92:D92"/>
    <mergeCell ref="F92:I92"/>
    <mergeCell ref="A96:D96"/>
    <mergeCell ref="F96:I96"/>
    <mergeCell ref="A97:B97"/>
    <mergeCell ref="C97:D97"/>
    <mergeCell ref="F97:G97"/>
    <mergeCell ref="H97:I97"/>
    <mergeCell ref="A90:B90"/>
    <mergeCell ref="C90:D90"/>
    <mergeCell ref="F90:G90"/>
    <mergeCell ref="H90:I90"/>
    <mergeCell ref="B91:D91"/>
    <mergeCell ref="G91:I91"/>
    <mergeCell ref="B84:D84"/>
    <mergeCell ref="G84:I84"/>
    <mergeCell ref="A85:D85"/>
    <mergeCell ref="F85:I85"/>
    <mergeCell ref="A89:D89"/>
    <mergeCell ref="F89:I89"/>
    <mergeCell ref="A78:D78"/>
    <mergeCell ref="F78:I78"/>
    <mergeCell ref="A82:D82"/>
    <mergeCell ref="F82:I82"/>
    <mergeCell ref="A83:B83"/>
    <mergeCell ref="C83:D83"/>
    <mergeCell ref="F83:G83"/>
    <mergeCell ref="H83:I83"/>
    <mergeCell ref="A76:B76"/>
    <mergeCell ref="C76:D76"/>
    <mergeCell ref="F76:G76"/>
    <mergeCell ref="H76:I76"/>
    <mergeCell ref="B77:D77"/>
    <mergeCell ref="G77:I77"/>
    <mergeCell ref="B70:D70"/>
    <mergeCell ref="G70:I70"/>
    <mergeCell ref="A71:D71"/>
    <mergeCell ref="F71:I71"/>
    <mergeCell ref="A75:D75"/>
    <mergeCell ref="F75:I75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L14"/>
  <sheetViews>
    <sheetView view="pageBreakPreview" zoomScaleNormal="100" zoomScaleSheetLayoutView="100" workbookViewId="0">
      <selection activeCell="M2" sqref="M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25</v>
      </c>
      <c r="B1" s="28"/>
      <c r="C1" s="28"/>
      <c r="D1" s="28"/>
      <c r="E1" s="2"/>
      <c r="F1" s="28" t="str">
        <f>A1</f>
        <v>Oval DS Top-Fill - Platform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26</v>
      </c>
      <c r="E3" s="4"/>
      <c r="F3" s="24" t="s">
        <v>2</v>
      </c>
      <c r="G3" s="25"/>
      <c r="H3" s="24" t="s">
        <v>5</v>
      </c>
      <c r="I3" s="7" t="str">
        <f>D3</f>
        <v>09A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27</v>
      </c>
      <c r="E4" s="4"/>
      <c r="F4" s="8" t="s">
        <v>3</v>
      </c>
      <c r="G4" s="9">
        <v>3</v>
      </c>
      <c r="H4" s="24" t="s">
        <v>6</v>
      </c>
      <c r="I4" s="7" t="str">
        <f>D4</f>
        <v>DS-P02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42</v>
      </c>
      <c r="B5" s="30"/>
      <c r="C5" s="30"/>
      <c r="D5" s="31"/>
      <c r="E5" s="5"/>
      <c r="F5" s="29" t="s">
        <v>42</v>
      </c>
      <c r="G5" s="30"/>
      <c r="H5" s="30"/>
      <c r="I5" s="31"/>
      <c r="K5" s="1">
        <v>500</v>
      </c>
      <c r="L5" s="1">
        <v>80</v>
      </c>
    </row>
    <row r="6" spans="1:12" s="1" customFormat="1" ht="30" customHeight="1" x14ac:dyDescent="0.25">
      <c r="A6" s="32" t="s">
        <v>45</v>
      </c>
      <c r="B6" s="33"/>
      <c r="C6" s="33" t="s">
        <v>13</v>
      </c>
      <c r="D6" s="34"/>
      <c r="E6" s="4"/>
      <c r="F6" s="32" t="str">
        <f>A6</f>
        <v>FC2304E</v>
      </c>
      <c r="G6" s="33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6" t="str">
        <f>DSTF_18B_Barrel!$B$7</f>
        <v>22388-1</v>
      </c>
      <c r="C7" s="26"/>
      <c r="D7" s="27"/>
      <c r="E7" s="4"/>
      <c r="F7" s="12" t="s">
        <v>4</v>
      </c>
      <c r="G7" s="26" t="str">
        <f>B7</f>
        <v>22388-1</v>
      </c>
      <c r="H7" s="26"/>
      <c r="I7" s="27"/>
    </row>
    <row r="8" spans="1:12" ht="63.75" customHeight="1" x14ac:dyDescent="0.25">
      <c r="A8" s="28" t="s">
        <v>25</v>
      </c>
      <c r="B8" s="28"/>
      <c r="C8" s="28"/>
      <c r="D8" s="28"/>
      <c r="E8" s="2"/>
      <c r="F8" s="28" t="str">
        <f>A8</f>
        <v>Oval DS Top-Fill - Platform</v>
      </c>
      <c r="G8" s="28"/>
      <c r="H8" s="28"/>
      <c r="I8" s="28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26</v>
      </c>
      <c r="E10" s="4"/>
      <c r="F10" s="24" t="s">
        <v>2</v>
      </c>
      <c r="G10" s="25"/>
      <c r="H10" s="24" t="s">
        <v>5</v>
      </c>
      <c r="I10" s="7" t="str">
        <f>D10</f>
        <v>09A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27</v>
      </c>
      <c r="E11" s="4"/>
      <c r="F11" s="8" t="s">
        <v>3</v>
      </c>
      <c r="G11" s="9">
        <v>4</v>
      </c>
      <c r="H11" s="24" t="s">
        <v>6</v>
      </c>
      <c r="I11" s="7" t="str">
        <f>D11</f>
        <v>DS-P02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42</v>
      </c>
      <c r="B12" s="30"/>
      <c r="C12" s="30"/>
      <c r="D12" s="31"/>
      <c r="E12" s="5"/>
      <c r="F12" s="29" t="s">
        <v>49</v>
      </c>
      <c r="G12" s="30"/>
      <c r="H12" s="30"/>
      <c r="I12" s="31"/>
      <c r="K12" s="1">
        <v>500</v>
      </c>
      <c r="L12" s="1">
        <v>80</v>
      </c>
    </row>
    <row r="13" spans="1:12" s="1" customFormat="1" ht="30" customHeight="1" x14ac:dyDescent="0.25">
      <c r="A13" s="32" t="s">
        <v>45</v>
      </c>
      <c r="B13" s="33"/>
      <c r="C13" s="33" t="s">
        <v>13</v>
      </c>
      <c r="D13" s="34"/>
      <c r="E13" s="4"/>
      <c r="F13" s="32" t="str">
        <f>A13</f>
        <v>FC2304E</v>
      </c>
      <c r="G13" s="33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6" t="str">
        <f>DSTF_18B_Barrel!$B$7</f>
        <v>22388-1</v>
      </c>
      <c r="C14" s="26"/>
      <c r="D14" s="27"/>
      <c r="E14" s="4"/>
      <c r="F14" s="12" t="s">
        <v>4</v>
      </c>
      <c r="G14" s="26" t="str">
        <f>B14</f>
        <v>22388-1</v>
      </c>
      <c r="H14" s="26"/>
      <c r="I14" s="27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L91"/>
  <sheetViews>
    <sheetView view="pageBreakPreview" zoomScaleNormal="100" zoomScaleSheetLayoutView="100" workbookViewId="0">
      <selection activeCell="M2" sqref="M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31</v>
      </c>
      <c r="B1" s="28"/>
      <c r="C1" s="28"/>
      <c r="D1" s="28"/>
      <c r="E1" s="2"/>
      <c r="F1" s="28" t="str">
        <f>A1</f>
        <v>Oval DS Top-Fill - Cartridge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32</v>
      </c>
      <c r="E3" s="4"/>
      <c r="F3" s="24" t="s">
        <v>2</v>
      </c>
      <c r="G3" s="25"/>
      <c r="H3" s="24" t="s">
        <v>5</v>
      </c>
      <c r="I3" s="7" t="str">
        <f>D3</f>
        <v>19A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33</v>
      </c>
      <c r="E4" s="4"/>
      <c r="F4" s="8" t="s">
        <v>3</v>
      </c>
      <c r="G4" s="9">
        <v>14</v>
      </c>
      <c r="H4" s="24" t="s">
        <v>6</v>
      </c>
      <c r="I4" s="7" t="str">
        <f>D4</f>
        <v>DS-R01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43</v>
      </c>
      <c r="B5" s="30"/>
      <c r="C5" s="30"/>
      <c r="D5" s="31"/>
      <c r="E5" s="5"/>
      <c r="F5" s="29" t="s">
        <v>43</v>
      </c>
      <c r="G5" s="30"/>
      <c r="H5" s="30"/>
      <c r="I5" s="31"/>
      <c r="K5" s="1">
        <v>250</v>
      </c>
      <c r="L5" s="1">
        <v>20</v>
      </c>
    </row>
    <row r="6" spans="1:12" s="1" customFormat="1" ht="30" customHeight="1" x14ac:dyDescent="0.25">
      <c r="A6" s="32" t="s">
        <v>12</v>
      </c>
      <c r="B6" s="33"/>
      <c r="C6" s="33" t="s">
        <v>13</v>
      </c>
      <c r="D6" s="34"/>
      <c r="E6" s="4"/>
      <c r="F6" s="32" t="str">
        <f>A6</f>
        <v>PCR-Q</v>
      </c>
      <c r="G6" s="33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6" t="str">
        <f>DSTF_18B_Barrel!$B$7</f>
        <v>22388-1</v>
      </c>
      <c r="C7" s="26"/>
      <c r="D7" s="27"/>
      <c r="E7" s="4"/>
      <c r="F7" s="12" t="s">
        <v>4</v>
      </c>
      <c r="G7" s="26" t="str">
        <f>B7</f>
        <v>22388-1</v>
      </c>
      <c r="H7" s="26"/>
      <c r="I7" s="27"/>
    </row>
    <row r="8" spans="1:12" ht="63.75" customHeight="1" x14ac:dyDescent="0.25">
      <c r="A8" s="28" t="s">
        <v>31</v>
      </c>
      <c r="B8" s="28"/>
      <c r="C8" s="28"/>
      <c r="D8" s="28"/>
      <c r="E8" s="2"/>
      <c r="F8" s="28" t="str">
        <f>A8</f>
        <v>Oval DS Top-Fill - Cartridge</v>
      </c>
      <c r="G8" s="28"/>
      <c r="H8" s="28"/>
      <c r="I8" s="28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32</v>
      </c>
      <c r="E10" s="4"/>
      <c r="F10" s="24" t="s">
        <v>2</v>
      </c>
      <c r="G10" s="25"/>
      <c r="H10" s="24" t="s">
        <v>5</v>
      </c>
      <c r="I10" s="7" t="str">
        <f>D10</f>
        <v>19A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33</v>
      </c>
      <c r="E11" s="4"/>
      <c r="F11" s="8" t="s">
        <v>3</v>
      </c>
      <c r="G11" s="9">
        <v>15</v>
      </c>
      <c r="H11" s="24" t="s">
        <v>6</v>
      </c>
      <c r="I11" s="7" t="str">
        <f>D11</f>
        <v>DS-R01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43</v>
      </c>
      <c r="B12" s="30"/>
      <c r="C12" s="30"/>
      <c r="D12" s="31"/>
      <c r="E12" s="5"/>
      <c r="F12" s="29" t="s">
        <v>43</v>
      </c>
      <c r="G12" s="30"/>
      <c r="H12" s="30"/>
      <c r="I12" s="31"/>
      <c r="K12" s="1">
        <v>250</v>
      </c>
      <c r="L12" s="1">
        <v>20</v>
      </c>
    </row>
    <row r="13" spans="1:12" s="1" customFormat="1" ht="30" customHeight="1" x14ac:dyDescent="0.25">
      <c r="A13" s="32" t="s">
        <v>12</v>
      </c>
      <c r="B13" s="33"/>
      <c r="C13" s="33" t="s">
        <v>13</v>
      </c>
      <c r="D13" s="34"/>
      <c r="E13" s="4"/>
      <c r="F13" s="32" t="str">
        <f>A13</f>
        <v>PCR-Q</v>
      </c>
      <c r="G13" s="33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6" t="str">
        <f>DSTF_18B_Barrel!$B$7</f>
        <v>22388-1</v>
      </c>
      <c r="C14" s="26"/>
      <c r="D14" s="27"/>
      <c r="E14" s="4"/>
      <c r="F14" s="12" t="s">
        <v>4</v>
      </c>
      <c r="G14" s="26" t="str">
        <f>B14</f>
        <v>22388-1</v>
      </c>
      <c r="H14" s="26"/>
      <c r="I14" s="27"/>
    </row>
    <row r="15" spans="1:12" ht="63.75" customHeight="1" x14ac:dyDescent="0.25">
      <c r="A15" s="28" t="s">
        <v>31</v>
      </c>
      <c r="B15" s="28"/>
      <c r="C15" s="28"/>
      <c r="D15" s="28"/>
      <c r="E15" s="2"/>
      <c r="F15" s="28" t="str">
        <f>A15</f>
        <v>Oval DS Top-Fill - Cartridge</v>
      </c>
      <c r="G15" s="28"/>
      <c r="H15" s="28"/>
      <c r="I15" s="28"/>
    </row>
    <row r="16" spans="1:12" s="1" customFormat="1" ht="30" customHeight="1" x14ac:dyDescent="0.25">
      <c r="A16" s="24" t="s">
        <v>0</v>
      </c>
      <c r="B16" s="25"/>
      <c r="C16" s="24" t="s">
        <v>1</v>
      </c>
      <c r="D16" s="25"/>
      <c r="E16" s="3"/>
      <c r="F16" s="24" t="s">
        <v>0</v>
      </c>
      <c r="G16" s="25"/>
      <c r="H16" s="24" t="s">
        <v>1</v>
      </c>
      <c r="I16" s="25"/>
    </row>
    <row r="17" spans="1:12" s="1" customFormat="1" ht="30" customHeight="1" x14ac:dyDescent="0.25">
      <c r="A17" s="24" t="s">
        <v>2</v>
      </c>
      <c r="B17" s="25"/>
      <c r="C17" s="24" t="s">
        <v>5</v>
      </c>
      <c r="D17" s="7" t="s">
        <v>32</v>
      </c>
      <c r="E17" s="4"/>
      <c r="F17" s="24" t="s">
        <v>2</v>
      </c>
      <c r="G17" s="25"/>
      <c r="H17" s="24" t="s">
        <v>5</v>
      </c>
      <c r="I17" s="7" t="str">
        <f>D17</f>
        <v>19A</v>
      </c>
    </row>
    <row r="18" spans="1:12" s="1" customFormat="1" ht="53.25" customHeight="1" x14ac:dyDescent="0.25">
      <c r="A18" s="8" t="s">
        <v>3</v>
      </c>
      <c r="B18" s="9">
        <v>3</v>
      </c>
      <c r="C18" s="24" t="s">
        <v>6</v>
      </c>
      <c r="D18" s="7" t="s">
        <v>33</v>
      </c>
      <c r="E18" s="4"/>
      <c r="F18" s="8" t="s">
        <v>3</v>
      </c>
      <c r="G18" s="9">
        <v>16</v>
      </c>
      <c r="H18" s="24" t="s">
        <v>6</v>
      </c>
      <c r="I18" s="7" t="str">
        <f>D18</f>
        <v>DS-R01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43</v>
      </c>
      <c r="B19" s="30"/>
      <c r="C19" s="30"/>
      <c r="D19" s="31"/>
      <c r="E19" s="5"/>
      <c r="F19" s="29" t="s">
        <v>43</v>
      </c>
      <c r="G19" s="30"/>
      <c r="H19" s="30"/>
      <c r="I19" s="31"/>
      <c r="K19" s="1">
        <v>250</v>
      </c>
      <c r="L19" s="1">
        <v>20</v>
      </c>
    </row>
    <row r="20" spans="1:12" s="1" customFormat="1" ht="30" customHeight="1" x14ac:dyDescent="0.25">
      <c r="A20" s="32" t="s">
        <v>12</v>
      </c>
      <c r="B20" s="33"/>
      <c r="C20" s="33" t="s">
        <v>13</v>
      </c>
      <c r="D20" s="34"/>
      <c r="E20" s="4"/>
      <c r="F20" s="32" t="str">
        <f>A20</f>
        <v>PCR-Q</v>
      </c>
      <c r="G20" s="33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6" t="str">
        <f>DSTF_18B_Barrel!$B$7</f>
        <v>22388-1</v>
      </c>
      <c r="C21" s="26"/>
      <c r="D21" s="27"/>
      <c r="E21" s="4"/>
      <c r="F21" s="12" t="s">
        <v>4</v>
      </c>
      <c r="G21" s="26" t="str">
        <f>B21</f>
        <v>22388-1</v>
      </c>
      <c r="H21" s="26"/>
      <c r="I21" s="27"/>
    </row>
    <row r="22" spans="1:12" ht="63.75" customHeight="1" x14ac:dyDescent="0.25">
      <c r="A22" s="28" t="s">
        <v>31</v>
      </c>
      <c r="B22" s="28"/>
      <c r="C22" s="28"/>
      <c r="D22" s="28"/>
      <c r="E22" s="2"/>
      <c r="F22" s="28" t="str">
        <f>A22</f>
        <v>Oval DS Top-Fill - Cartridge</v>
      </c>
      <c r="G22" s="28"/>
      <c r="H22" s="28"/>
      <c r="I22" s="28"/>
    </row>
    <row r="23" spans="1:12" s="1" customFormat="1" ht="30" customHeight="1" x14ac:dyDescent="0.25">
      <c r="A23" s="24" t="s">
        <v>0</v>
      </c>
      <c r="B23" s="25"/>
      <c r="C23" s="24" t="s">
        <v>1</v>
      </c>
      <c r="D23" s="25"/>
      <c r="E23" s="3"/>
      <c r="F23" s="24" t="s">
        <v>0</v>
      </c>
      <c r="G23" s="25"/>
      <c r="H23" s="24" t="s">
        <v>1</v>
      </c>
      <c r="I23" s="25"/>
    </row>
    <row r="24" spans="1:12" s="1" customFormat="1" ht="30" customHeight="1" x14ac:dyDescent="0.25">
      <c r="A24" s="24" t="s">
        <v>2</v>
      </c>
      <c r="B24" s="25"/>
      <c r="C24" s="24" t="s">
        <v>5</v>
      </c>
      <c r="D24" s="7" t="s">
        <v>32</v>
      </c>
      <c r="E24" s="4"/>
      <c r="F24" s="24" t="s">
        <v>2</v>
      </c>
      <c r="G24" s="25"/>
      <c r="H24" s="24" t="s">
        <v>5</v>
      </c>
      <c r="I24" s="7" t="str">
        <f>D24</f>
        <v>19A</v>
      </c>
    </row>
    <row r="25" spans="1:12" s="1" customFormat="1" ht="53.25" customHeight="1" x14ac:dyDescent="0.25">
      <c r="A25" s="8" t="s">
        <v>3</v>
      </c>
      <c r="B25" s="9">
        <v>4</v>
      </c>
      <c r="C25" s="24" t="s">
        <v>6</v>
      </c>
      <c r="D25" s="7" t="s">
        <v>33</v>
      </c>
      <c r="E25" s="4"/>
      <c r="F25" s="8" t="s">
        <v>3</v>
      </c>
      <c r="G25" s="9">
        <v>17</v>
      </c>
      <c r="H25" s="24" t="s">
        <v>6</v>
      </c>
      <c r="I25" s="7" t="str">
        <f>D25</f>
        <v>DS-R01</v>
      </c>
      <c r="K25" s="6" t="s">
        <v>8</v>
      </c>
      <c r="L25" s="6" t="s">
        <v>7</v>
      </c>
    </row>
    <row r="26" spans="1:12" s="1" customFormat="1" ht="30" customHeight="1" x14ac:dyDescent="0.25">
      <c r="A26" s="29" t="s">
        <v>43</v>
      </c>
      <c r="B26" s="30"/>
      <c r="C26" s="30"/>
      <c r="D26" s="31"/>
      <c r="E26" s="5"/>
      <c r="F26" s="29" t="s">
        <v>43</v>
      </c>
      <c r="G26" s="30"/>
      <c r="H26" s="30"/>
      <c r="I26" s="31"/>
      <c r="K26" s="1">
        <v>250</v>
      </c>
      <c r="L26" s="1">
        <v>20</v>
      </c>
    </row>
    <row r="27" spans="1:12" s="1" customFormat="1" ht="30" customHeight="1" x14ac:dyDescent="0.25">
      <c r="A27" s="32" t="s">
        <v>12</v>
      </c>
      <c r="B27" s="33"/>
      <c r="C27" s="33" t="s">
        <v>13</v>
      </c>
      <c r="D27" s="34"/>
      <c r="E27" s="4"/>
      <c r="F27" s="32" t="str">
        <f>A27</f>
        <v>PCR-Q</v>
      </c>
      <c r="G27" s="33"/>
      <c r="H27" s="33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6" t="str">
        <f>DSTF_18B_Barrel!$B$7</f>
        <v>22388-1</v>
      </c>
      <c r="C28" s="26"/>
      <c r="D28" s="27"/>
      <c r="E28" s="4"/>
      <c r="F28" s="12" t="s">
        <v>4</v>
      </c>
      <c r="G28" s="26" t="str">
        <f>B28</f>
        <v>22388-1</v>
      </c>
      <c r="H28" s="26"/>
      <c r="I28" s="27"/>
    </row>
    <row r="29" spans="1:12" ht="63.75" customHeight="1" x14ac:dyDescent="0.25">
      <c r="A29" s="28" t="s">
        <v>31</v>
      </c>
      <c r="B29" s="28"/>
      <c r="C29" s="28"/>
      <c r="D29" s="28"/>
      <c r="E29" s="2"/>
      <c r="F29" s="28" t="str">
        <f>A29</f>
        <v>Oval DS Top-Fill - Cartridge</v>
      </c>
      <c r="G29" s="28"/>
      <c r="H29" s="28"/>
      <c r="I29" s="28"/>
    </row>
    <row r="30" spans="1:12" s="1" customFormat="1" ht="30" customHeight="1" x14ac:dyDescent="0.25">
      <c r="A30" s="24" t="s">
        <v>0</v>
      </c>
      <c r="B30" s="25"/>
      <c r="C30" s="24" t="s">
        <v>1</v>
      </c>
      <c r="D30" s="25"/>
      <c r="E30" s="3"/>
      <c r="F30" s="24" t="s">
        <v>0</v>
      </c>
      <c r="G30" s="25"/>
      <c r="H30" s="24" t="s">
        <v>1</v>
      </c>
      <c r="I30" s="25"/>
    </row>
    <row r="31" spans="1:12" s="1" customFormat="1" ht="30" customHeight="1" x14ac:dyDescent="0.25">
      <c r="A31" s="24" t="s">
        <v>2</v>
      </c>
      <c r="B31" s="25"/>
      <c r="C31" s="24" t="s">
        <v>5</v>
      </c>
      <c r="D31" s="7" t="s">
        <v>32</v>
      </c>
      <c r="E31" s="4"/>
      <c r="F31" s="24" t="s">
        <v>2</v>
      </c>
      <c r="G31" s="25"/>
      <c r="H31" s="24" t="s">
        <v>5</v>
      </c>
      <c r="I31" s="7" t="str">
        <f>D31</f>
        <v>19A</v>
      </c>
    </row>
    <row r="32" spans="1:12" s="1" customFormat="1" ht="53.25" customHeight="1" x14ac:dyDescent="0.25">
      <c r="A32" s="8" t="s">
        <v>3</v>
      </c>
      <c r="B32" s="9">
        <v>5</v>
      </c>
      <c r="C32" s="24" t="s">
        <v>6</v>
      </c>
      <c r="D32" s="7" t="s">
        <v>33</v>
      </c>
      <c r="E32" s="4"/>
      <c r="F32" s="8" t="s">
        <v>3</v>
      </c>
      <c r="G32" s="9">
        <v>18</v>
      </c>
      <c r="H32" s="24" t="s">
        <v>6</v>
      </c>
      <c r="I32" s="7" t="str">
        <f>D32</f>
        <v>DS-R01</v>
      </c>
      <c r="K32" s="6" t="s">
        <v>8</v>
      </c>
      <c r="L32" s="6" t="s">
        <v>7</v>
      </c>
    </row>
    <row r="33" spans="1:12" s="1" customFormat="1" ht="30" customHeight="1" x14ac:dyDescent="0.25">
      <c r="A33" s="29" t="s">
        <v>43</v>
      </c>
      <c r="B33" s="30"/>
      <c r="C33" s="30"/>
      <c r="D33" s="31"/>
      <c r="E33" s="5"/>
      <c r="F33" s="29" t="s">
        <v>43</v>
      </c>
      <c r="G33" s="30"/>
      <c r="H33" s="30"/>
      <c r="I33" s="31"/>
      <c r="K33" s="1">
        <v>250</v>
      </c>
      <c r="L33" s="1">
        <v>20</v>
      </c>
    </row>
    <row r="34" spans="1:12" s="1" customFormat="1" ht="30" customHeight="1" x14ac:dyDescent="0.25">
      <c r="A34" s="32" t="s">
        <v>12</v>
      </c>
      <c r="B34" s="33"/>
      <c r="C34" s="33" t="s">
        <v>13</v>
      </c>
      <c r="D34" s="34"/>
      <c r="E34" s="4"/>
      <c r="F34" s="32" t="str">
        <f>A34</f>
        <v>PCR-Q</v>
      </c>
      <c r="G34" s="33"/>
      <c r="H34" s="33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6" t="str">
        <f>DSTF_18B_Barrel!$B$7</f>
        <v>22388-1</v>
      </c>
      <c r="C35" s="26"/>
      <c r="D35" s="27"/>
      <c r="E35" s="4"/>
      <c r="F35" s="12" t="s">
        <v>4</v>
      </c>
      <c r="G35" s="26" t="str">
        <f>B35</f>
        <v>22388-1</v>
      </c>
      <c r="H35" s="26"/>
      <c r="I35" s="27"/>
    </row>
    <row r="36" spans="1:12" ht="63.75" customHeight="1" x14ac:dyDescent="0.25">
      <c r="A36" s="28" t="s">
        <v>31</v>
      </c>
      <c r="B36" s="28"/>
      <c r="C36" s="28"/>
      <c r="D36" s="28"/>
      <c r="E36" s="2"/>
      <c r="F36" s="28" t="str">
        <f>A36</f>
        <v>Oval DS Top-Fill - Cartridge</v>
      </c>
      <c r="G36" s="28"/>
      <c r="H36" s="28"/>
      <c r="I36" s="28"/>
    </row>
    <row r="37" spans="1:12" s="1" customFormat="1" ht="30" customHeight="1" x14ac:dyDescent="0.25">
      <c r="A37" s="24" t="s">
        <v>0</v>
      </c>
      <c r="B37" s="25"/>
      <c r="C37" s="24" t="s">
        <v>1</v>
      </c>
      <c r="D37" s="25"/>
      <c r="E37" s="3"/>
      <c r="F37" s="24" t="s">
        <v>0</v>
      </c>
      <c r="G37" s="25"/>
      <c r="H37" s="24" t="s">
        <v>1</v>
      </c>
      <c r="I37" s="25"/>
    </row>
    <row r="38" spans="1:12" s="1" customFormat="1" ht="30" customHeight="1" x14ac:dyDescent="0.25">
      <c r="A38" s="24" t="s">
        <v>2</v>
      </c>
      <c r="B38" s="25"/>
      <c r="C38" s="24" t="s">
        <v>5</v>
      </c>
      <c r="D38" s="7" t="s">
        <v>32</v>
      </c>
      <c r="E38" s="4"/>
      <c r="F38" s="24" t="s">
        <v>2</v>
      </c>
      <c r="G38" s="25"/>
      <c r="H38" s="24" t="s">
        <v>5</v>
      </c>
      <c r="I38" s="7" t="str">
        <f>D38</f>
        <v>19A</v>
      </c>
    </row>
    <row r="39" spans="1:12" s="1" customFormat="1" ht="53.25" customHeight="1" x14ac:dyDescent="0.25">
      <c r="A39" s="8" t="s">
        <v>3</v>
      </c>
      <c r="B39" s="9">
        <v>6</v>
      </c>
      <c r="C39" s="24" t="s">
        <v>6</v>
      </c>
      <c r="D39" s="7" t="s">
        <v>33</v>
      </c>
      <c r="E39" s="4"/>
      <c r="F39" s="8" t="s">
        <v>3</v>
      </c>
      <c r="G39" s="9">
        <v>19</v>
      </c>
      <c r="H39" s="24" t="s">
        <v>6</v>
      </c>
      <c r="I39" s="7" t="str">
        <f>D39</f>
        <v>DS-R01</v>
      </c>
      <c r="K39" s="6" t="s">
        <v>8</v>
      </c>
      <c r="L39" s="6" t="s">
        <v>7</v>
      </c>
    </row>
    <row r="40" spans="1:12" s="1" customFormat="1" ht="30" customHeight="1" x14ac:dyDescent="0.25">
      <c r="A40" s="29" t="s">
        <v>43</v>
      </c>
      <c r="B40" s="30"/>
      <c r="C40" s="30"/>
      <c r="D40" s="31"/>
      <c r="E40" s="5"/>
      <c r="F40" s="29" t="s">
        <v>43</v>
      </c>
      <c r="G40" s="30"/>
      <c r="H40" s="30"/>
      <c r="I40" s="31"/>
      <c r="K40" s="1">
        <v>250</v>
      </c>
      <c r="L40" s="1">
        <v>20</v>
      </c>
    </row>
    <row r="41" spans="1:12" s="1" customFormat="1" ht="30" customHeight="1" x14ac:dyDescent="0.25">
      <c r="A41" s="32" t="s">
        <v>12</v>
      </c>
      <c r="B41" s="33"/>
      <c r="C41" s="33" t="s">
        <v>13</v>
      </c>
      <c r="D41" s="34"/>
      <c r="E41" s="4"/>
      <c r="F41" s="32" t="str">
        <f>A41</f>
        <v>PCR-Q</v>
      </c>
      <c r="G41" s="33"/>
      <c r="H41" s="33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6" t="str">
        <f>DSTF_18B_Barrel!$B$7</f>
        <v>22388-1</v>
      </c>
      <c r="C42" s="26"/>
      <c r="D42" s="27"/>
      <c r="E42" s="4"/>
      <c r="F42" s="12" t="s">
        <v>4</v>
      </c>
      <c r="G42" s="26" t="str">
        <f>B42</f>
        <v>22388-1</v>
      </c>
      <c r="H42" s="26"/>
      <c r="I42" s="27"/>
    </row>
    <row r="43" spans="1:12" ht="63.75" customHeight="1" x14ac:dyDescent="0.25">
      <c r="A43" s="28" t="s">
        <v>31</v>
      </c>
      <c r="B43" s="28"/>
      <c r="C43" s="28"/>
      <c r="D43" s="28"/>
      <c r="E43" s="2"/>
      <c r="F43" s="28" t="str">
        <f>A43</f>
        <v>Oval DS Top-Fill - Cartridge</v>
      </c>
      <c r="G43" s="28"/>
      <c r="H43" s="28"/>
      <c r="I43" s="28"/>
    </row>
    <row r="44" spans="1:12" s="1" customFormat="1" ht="30" customHeight="1" x14ac:dyDescent="0.25">
      <c r="A44" s="24" t="s">
        <v>0</v>
      </c>
      <c r="B44" s="25"/>
      <c r="C44" s="24" t="s">
        <v>1</v>
      </c>
      <c r="D44" s="25"/>
      <c r="E44" s="3"/>
      <c r="F44" s="24" t="s">
        <v>0</v>
      </c>
      <c r="G44" s="25"/>
      <c r="H44" s="24" t="s">
        <v>1</v>
      </c>
      <c r="I44" s="25"/>
    </row>
    <row r="45" spans="1:12" s="1" customFormat="1" ht="30" customHeight="1" x14ac:dyDescent="0.25">
      <c r="A45" s="24" t="s">
        <v>2</v>
      </c>
      <c r="B45" s="25"/>
      <c r="C45" s="24" t="s">
        <v>5</v>
      </c>
      <c r="D45" s="7" t="s">
        <v>32</v>
      </c>
      <c r="E45" s="4"/>
      <c r="F45" s="24" t="s">
        <v>2</v>
      </c>
      <c r="G45" s="25"/>
      <c r="H45" s="24" t="s">
        <v>5</v>
      </c>
      <c r="I45" s="7" t="str">
        <f>D45</f>
        <v>19A</v>
      </c>
    </row>
    <row r="46" spans="1:12" s="1" customFormat="1" ht="53.25" customHeight="1" x14ac:dyDescent="0.25">
      <c r="A46" s="8" t="s">
        <v>3</v>
      </c>
      <c r="B46" s="9">
        <v>7</v>
      </c>
      <c r="C46" s="24" t="s">
        <v>6</v>
      </c>
      <c r="D46" s="7" t="s">
        <v>33</v>
      </c>
      <c r="E46" s="4"/>
      <c r="F46" s="8" t="s">
        <v>3</v>
      </c>
      <c r="G46" s="9">
        <v>20</v>
      </c>
      <c r="H46" s="24" t="s">
        <v>6</v>
      </c>
      <c r="I46" s="7" t="str">
        <f>D46</f>
        <v>DS-R01</v>
      </c>
      <c r="K46" s="6" t="s">
        <v>8</v>
      </c>
      <c r="L46" s="6" t="s">
        <v>7</v>
      </c>
    </row>
    <row r="47" spans="1:12" s="1" customFormat="1" ht="30" customHeight="1" x14ac:dyDescent="0.25">
      <c r="A47" s="29" t="s">
        <v>43</v>
      </c>
      <c r="B47" s="30"/>
      <c r="C47" s="30"/>
      <c r="D47" s="31"/>
      <c r="E47" s="5"/>
      <c r="F47" s="29" t="s">
        <v>43</v>
      </c>
      <c r="G47" s="30"/>
      <c r="H47" s="30"/>
      <c r="I47" s="31"/>
      <c r="K47" s="1">
        <v>250</v>
      </c>
      <c r="L47" s="1">
        <v>20</v>
      </c>
    </row>
    <row r="48" spans="1:12" s="1" customFormat="1" ht="30" customHeight="1" x14ac:dyDescent="0.25">
      <c r="A48" s="32" t="s">
        <v>12</v>
      </c>
      <c r="B48" s="33"/>
      <c r="C48" s="33" t="s">
        <v>13</v>
      </c>
      <c r="D48" s="34"/>
      <c r="E48" s="4"/>
      <c r="F48" s="32" t="str">
        <f>A48</f>
        <v>PCR-Q</v>
      </c>
      <c r="G48" s="33"/>
      <c r="H48" s="33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6" t="str">
        <f>DSTF_18B_Barrel!$B$7</f>
        <v>22388-1</v>
      </c>
      <c r="C49" s="26"/>
      <c r="D49" s="27"/>
      <c r="E49" s="4"/>
      <c r="F49" s="12" t="s">
        <v>4</v>
      </c>
      <c r="G49" s="26" t="str">
        <f>B49</f>
        <v>22388-1</v>
      </c>
      <c r="H49" s="26"/>
      <c r="I49" s="27"/>
    </row>
    <row r="50" spans="1:12" ht="63.75" customHeight="1" x14ac:dyDescent="0.25">
      <c r="A50" s="28" t="s">
        <v>31</v>
      </c>
      <c r="B50" s="28"/>
      <c r="C50" s="28"/>
      <c r="D50" s="28"/>
      <c r="E50" s="2"/>
      <c r="F50" s="28" t="str">
        <f>A50</f>
        <v>Oval DS Top-Fill - Cartridge</v>
      </c>
      <c r="G50" s="28"/>
      <c r="H50" s="28"/>
      <c r="I50" s="28"/>
    </row>
    <row r="51" spans="1:12" s="1" customFormat="1" ht="30" customHeight="1" x14ac:dyDescent="0.25">
      <c r="A51" s="24" t="s">
        <v>0</v>
      </c>
      <c r="B51" s="25"/>
      <c r="C51" s="24" t="s">
        <v>1</v>
      </c>
      <c r="D51" s="25"/>
      <c r="E51" s="3"/>
      <c r="F51" s="24" t="s">
        <v>0</v>
      </c>
      <c r="G51" s="25"/>
      <c r="H51" s="24" t="s">
        <v>1</v>
      </c>
      <c r="I51" s="25"/>
    </row>
    <row r="52" spans="1:12" s="1" customFormat="1" ht="30" customHeight="1" x14ac:dyDescent="0.25">
      <c r="A52" s="24" t="s">
        <v>2</v>
      </c>
      <c r="B52" s="25"/>
      <c r="C52" s="24" t="s">
        <v>5</v>
      </c>
      <c r="D52" s="7" t="s">
        <v>32</v>
      </c>
      <c r="E52" s="4"/>
      <c r="F52" s="24" t="s">
        <v>2</v>
      </c>
      <c r="G52" s="25"/>
      <c r="H52" s="24" t="s">
        <v>5</v>
      </c>
      <c r="I52" s="7" t="str">
        <f>D52</f>
        <v>19A</v>
      </c>
    </row>
    <row r="53" spans="1:12" s="1" customFormat="1" ht="53.25" customHeight="1" x14ac:dyDescent="0.25">
      <c r="A53" s="8" t="s">
        <v>3</v>
      </c>
      <c r="B53" s="9">
        <v>8</v>
      </c>
      <c r="C53" s="24" t="s">
        <v>6</v>
      </c>
      <c r="D53" s="7" t="s">
        <v>33</v>
      </c>
      <c r="E53" s="4"/>
      <c r="F53" s="8" t="s">
        <v>3</v>
      </c>
      <c r="G53" s="9">
        <v>21</v>
      </c>
      <c r="H53" s="24" t="s">
        <v>6</v>
      </c>
      <c r="I53" s="7" t="str">
        <f>D53</f>
        <v>DS-R01</v>
      </c>
      <c r="K53" s="6" t="s">
        <v>8</v>
      </c>
      <c r="L53" s="6" t="s">
        <v>7</v>
      </c>
    </row>
    <row r="54" spans="1:12" s="1" customFormat="1" ht="30" customHeight="1" x14ac:dyDescent="0.25">
      <c r="A54" s="29" t="s">
        <v>43</v>
      </c>
      <c r="B54" s="30"/>
      <c r="C54" s="30"/>
      <c r="D54" s="31"/>
      <c r="E54" s="5"/>
      <c r="F54" s="29" t="s">
        <v>43</v>
      </c>
      <c r="G54" s="30"/>
      <c r="H54" s="30"/>
      <c r="I54" s="31"/>
      <c r="K54" s="1">
        <v>250</v>
      </c>
      <c r="L54" s="1">
        <v>20</v>
      </c>
    </row>
    <row r="55" spans="1:12" s="1" customFormat="1" ht="30" customHeight="1" x14ac:dyDescent="0.25">
      <c r="A55" s="32" t="s">
        <v>12</v>
      </c>
      <c r="B55" s="33"/>
      <c r="C55" s="33" t="s">
        <v>13</v>
      </c>
      <c r="D55" s="34"/>
      <c r="E55" s="4"/>
      <c r="F55" s="32" t="str">
        <f>A55</f>
        <v>PCR-Q</v>
      </c>
      <c r="G55" s="33"/>
      <c r="H55" s="33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6" t="str">
        <f>DSTF_18B_Barrel!$B$7</f>
        <v>22388-1</v>
      </c>
      <c r="C56" s="26"/>
      <c r="D56" s="27"/>
      <c r="E56" s="4"/>
      <c r="F56" s="12" t="s">
        <v>4</v>
      </c>
      <c r="G56" s="26" t="str">
        <f>B56</f>
        <v>22388-1</v>
      </c>
      <c r="H56" s="26"/>
      <c r="I56" s="27"/>
    </row>
    <row r="57" spans="1:12" ht="63.75" customHeight="1" x14ac:dyDescent="0.25">
      <c r="A57" s="28" t="s">
        <v>31</v>
      </c>
      <c r="B57" s="28"/>
      <c r="C57" s="28"/>
      <c r="D57" s="28"/>
      <c r="E57" s="2"/>
      <c r="F57" s="28" t="str">
        <f>A57</f>
        <v>Oval DS Top-Fill - Cartridge</v>
      </c>
      <c r="G57" s="28"/>
      <c r="H57" s="28"/>
      <c r="I57" s="28"/>
    </row>
    <row r="58" spans="1:12" s="1" customFormat="1" ht="30" customHeight="1" x14ac:dyDescent="0.25">
      <c r="A58" s="24" t="s">
        <v>0</v>
      </c>
      <c r="B58" s="25"/>
      <c r="C58" s="24" t="s">
        <v>1</v>
      </c>
      <c r="D58" s="25"/>
      <c r="E58" s="3"/>
      <c r="F58" s="24" t="s">
        <v>0</v>
      </c>
      <c r="G58" s="25"/>
      <c r="H58" s="24" t="s">
        <v>1</v>
      </c>
      <c r="I58" s="25"/>
    </row>
    <row r="59" spans="1:12" s="1" customFormat="1" ht="30" customHeight="1" x14ac:dyDescent="0.25">
      <c r="A59" s="24" t="s">
        <v>2</v>
      </c>
      <c r="B59" s="25"/>
      <c r="C59" s="24" t="s">
        <v>5</v>
      </c>
      <c r="D59" s="7" t="s">
        <v>32</v>
      </c>
      <c r="E59" s="4"/>
      <c r="F59" s="24" t="s">
        <v>2</v>
      </c>
      <c r="G59" s="25"/>
      <c r="H59" s="24" t="s">
        <v>5</v>
      </c>
      <c r="I59" s="7" t="str">
        <f>D59</f>
        <v>19A</v>
      </c>
    </row>
    <row r="60" spans="1:12" s="1" customFormat="1" ht="53.25" customHeight="1" x14ac:dyDescent="0.25">
      <c r="A60" s="8" t="s">
        <v>3</v>
      </c>
      <c r="B60" s="9">
        <v>9</v>
      </c>
      <c r="C60" s="24" t="s">
        <v>6</v>
      </c>
      <c r="D60" s="7" t="s">
        <v>33</v>
      </c>
      <c r="E60" s="4"/>
      <c r="F60" s="8" t="s">
        <v>3</v>
      </c>
      <c r="G60" s="9">
        <v>22</v>
      </c>
      <c r="H60" s="24" t="s">
        <v>6</v>
      </c>
      <c r="I60" s="7" t="str">
        <f>D60</f>
        <v>DS-R01</v>
      </c>
      <c r="K60" s="6" t="s">
        <v>8</v>
      </c>
      <c r="L60" s="6" t="s">
        <v>7</v>
      </c>
    </row>
    <row r="61" spans="1:12" s="1" customFormat="1" ht="30" customHeight="1" x14ac:dyDescent="0.25">
      <c r="A61" s="29" t="s">
        <v>43</v>
      </c>
      <c r="B61" s="30"/>
      <c r="C61" s="30"/>
      <c r="D61" s="31"/>
      <c r="E61" s="5"/>
      <c r="F61" s="29" t="s">
        <v>43</v>
      </c>
      <c r="G61" s="30"/>
      <c r="H61" s="30"/>
      <c r="I61" s="31"/>
      <c r="K61" s="1">
        <v>250</v>
      </c>
      <c r="L61" s="1">
        <v>20</v>
      </c>
    </row>
    <row r="62" spans="1:12" s="1" customFormat="1" ht="30" customHeight="1" x14ac:dyDescent="0.25">
      <c r="A62" s="32" t="s">
        <v>12</v>
      </c>
      <c r="B62" s="33"/>
      <c r="C62" s="33" t="s">
        <v>13</v>
      </c>
      <c r="D62" s="34"/>
      <c r="E62" s="4"/>
      <c r="F62" s="32" t="str">
        <f>A62</f>
        <v>PCR-Q</v>
      </c>
      <c r="G62" s="33"/>
      <c r="H62" s="33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6" t="str">
        <f>DSTF_18B_Barrel!$B$7</f>
        <v>22388-1</v>
      </c>
      <c r="C63" s="26"/>
      <c r="D63" s="27"/>
      <c r="E63" s="4"/>
      <c r="F63" s="12" t="s">
        <v>4</v>
      </c>
      <c r="G63" s="26" t="str">
        <f>B63</f>
        <v>22388-1</v>
      </c>
      <c r="H63" s="26"/>
      <c r="I63" s="27"/>
    </row>
    <row r="64" spans="1:12" ht="63.75" customHeight="1" x14ac:dyDescent="0.25">
      <c r="A64" s="28" t="s">
        <v>31</v>
      </c>
      <c r="B64" s="28"/>
      <c r="C64" s="28"/>
      <c r="D64" s="28"/>
      <c r="E64" s="2"/>
      <c r="F64" s="28" t="str">
        <f>A64</f>
        <v>Oval DS Top-Fill - Cartridge</v>
      </c>
      <c r="G64" s="28"/>
      <c r="H64" s="28"/>
      <c r="I64" s="28"/>
    </row>
    <row r="65" spans="1:12" s="1" customFormat="1" ht="30" customHeight="1" x14ac:dyDescent="0.25">
      <c r="A65" s="24" t="s">
        <v>0</v>
      </c>
      <c r="B65" s="25"/>
      <c r="C65" s="24" t="s">
        <v>1</v>
      </c>
      <c r="D65" s="25"/>
      <c r="E65" s="3"/>
      <c r="F65" s="24" t="s">
        <v>0</v>
      </c>
      <c r="G65" s="25"/>
      <c r="H65" s="24" t="s">
        <v>1</v>
      </c>
      <c r="I65" s="25"/>
    </row>
    <row r="66" spans="1:12" s="1" customFormat="1" ht="30" customHeight="1" x14ac:dyDescent="0.25">
      <c r="A66" s="24" t="s">
        <v>2</v>
      </c>
      <c r="B66" s="25"/>
      <c r="C66" s="24" t="s">
        <v>5</v>
      </c>
      <c r="D66" s="7" t="s">
        <v>32</v>
      </c>
      <c r="E66" s="4"/>
      <c r="F66" s="24" t="s">
        <v>2</v>
      </c>
      <c r="G66" s="25"/>
      <c r="H66" s="24" t="s">
        <v>5</v>
      </c>
      <c r="I66" s="7" t="str">
        <f>D66</f>
        <v>19A</v>
      </c>
    </row>
    <row r="67" spans="1:12" s="1" customFormat="1" ht="53.25" customHeight="1" x14ac:dyDescent="0.25">
      <c r="A67" s="8" t="s">
        <v>3</v>
      </c>
      <c r="B67" s="9">
        <v>10</v>
      </c>
      <c r="C67" s="24" t="s">
        <v>6</v>
      </c>
      <c r="D67" s="7" t="s">
        <v>33</v>
      </c>
      <c r="E67" s="4"/>
      <c r="F67" s="8" t="s">
        <v>3</v>
      </c>
      <c r="G67" s="9">
        <v>23</v>
      </c>
      <c r="H67" s="24" t="s">
        <v>6</v>
      </c>
      <c r="I67" s="7" t="str">
        <f>D67</f>
        <v>DS-R01</v>
      </c>
      <c r="K67" s="6" t="s">
        <v>8</v>
      </c>
      <c r="L67" s="6" t="s">
        <v>7</v>
      </c>
    </row>
    <row r="68" spans="1:12" s="1" customFormat="1" ht="30" customHeight="1" x14ac:dyDescent="0.25">
      <c r="A68" s="29" t="s">
        <v>43</v>
      </c>
      <c r="B68" s="30"/>
      <c r="C68" s="30"/>
      <c r="D68" s="31"/>
      <c r="E68" s="5"/>
      <c r="F68" s="29" t="s">
        <v>43</v>
      </c>
      <c r="G68" s="30"/>
      <c r="H68" s="30"/>
      <c r="I68" s="31"/>
      <c r="K68" s="1">
        <v>250</v>
      </c>
      <c r="L68" s="1">
        <v>20</v>
      </c>
    </row>
    <row r="69" spans="1:12" s="1" customFormat="1" ht="30" customHeight="1" x14ac:dyDescent="0.25">
      <c r="A69" s="32" t="s">
        <v>12</v>
      </c>
      <c r="B69" s="33"/>
      <c r="C69" s="33" t="s">
        <v>13</v>
      </c>
      <c r="D69" s="34"/>
      <c r="E69" s="4"/>
      <c r="F69" s="32" t="str">
        <f>A69</f>
        <v>PCR-Q</v>
      </c>
      <c r="G69" s="33"/>
      <c r="H69" s="33" t="str">
        <f>C69</f>
        <v>White</v>
      </c>
      <c r="I69" s="34"/>
    </row>
    <row r="70" spans="1:12" s="1" customFormat="1" ht="30" customHeight="1" x14ac:dyDescent="0.25">
      <c r="A70" s="12" t="s">
        <v>4</v>
      </c>
      <c r="B70" s="26" t="str">
        <f>DSTF_18B_Barrel!$B$7</f>
        <v>22388-1</v>
      </c>
      <c r="C70" s="26"/>
      <c r="D70" s="27"/>
      <c r="E70" s="4"/>
      <c r="F70" s="12" t="s">
        <v>4</v>
      </c>
      <c r="G70" s="26" t="str">
        <f>B70</f>
        <v>22388-1</v>
      </c>
      <c r="H70" s="26"/>
      <c r="I70" s="27"/>
    </row>
    <row r="71" spans="1:12" ht="63.75" customHeight="1" x14ac:dyDescent="0.25">
      <c r="A71" s="28" t="s">
        <v>31</v>
      </c>
      <c r="B71" s="28"/>
      <c r="C71" s="28"/>
      <c r="D71" s="28"/>
      <c r="E71" s="2"/>
      <c r="F71" s="28" t="str">
        <f>A71</f>
        <v>Oval DS Top-Fill - Cartridge</v>
      </c>
      <c r="G71" s="28"/>
      <c r="H71" s="28"/>
      <c r="I71" s="28"/>
    </row>
    <row r="72" spans="1:12" s="1" customFormat="1" ht="30" customHeight="1" x14ac:dyDescent="0.25">
      <c r="A72" s="24" t="s">
        <v>0</v>
      </c>
      <c r="B72" s="25"/>
      <c r="C72" s="24" t="s">
        <v>1</v>
      </c>
      <c r="D72" s="25"/>
      <c r="E72" s="3"/>
      <c r="F72" s="24" t="s">
        <v>0</v>
      </c>
      <c r="G72" s="25"/>
      <c r="H72" s="24" t="s">
        <v>1</v>
      </c>
      <c r="I72" s="25"/>
    </row>
    <row r="73" spans="1:12" s="1" customFormat="1" ht="30" customHeight="1" x14ac:dyDescent="0.25">
      <c r="A73" s="24" t="s">
        <v>2</v>
      </c>
      <c r="B73" s="25"/>
      <c r="C73" s="24" t="s">
        <v>5</v>
      </c>
      <c r="D73" s="7" t="s">
        <v>32</v>
      </c>
      <c r="E73" s="4"/>
      <c r="F73" s="24" t="s">
        <v>2</v>
      </c>
      <c r="G73" s="25"/>
      <c r="H73" s="24" t="s">
        <v>5</v>
      </c>
      <c r="I73" s="7" t="str">
        <f>D73</f>
        <v>19A</v>
      </c>
    </row>
    <row r="74" spans="1:12" s="1" customFormat="1" ht="53.25" customHeight="1" x14ac:dyDescent="0.25">
      <c r="A74" s="8" t="s">
        <v>3</v>
      </c>
      <c r="B74" s="9">
        <v>11</v>
      </c>
      <c r="C74" s="24" t="s">
        <v>6</v>
      </c>
      <c r="D74" s="7" t="s">
        <v>33</v>
      </c>
      <c r="E74" s="4"/>
      <c r="F74" s="8" t="s">
        <v>3</v>
      </c>
      <c r="G74" s="9">
        <v>24</v>
      </c>
      <c r="H74" s="24" t="s">
        <v>6</v>
      </c>
      <c r="I74" s="7" t="str">
        <f>D74</f>
        <v>DS-R01</v>
      </c>
      <c r="K74" s="6" t="s">
        <v>8</v>
      </c>
      <c r="L74" s="6" t="s">
        <v>7</v>
      </c>
    </row>
    <row r="75" spans="1:12" s="1" customFormat="1" ht="30" customHeight="1" x14ac:dyDescent="0.25">
      <c r="A75" s="29" t="s">
        <v>43</v>
      </c>
      <c r="B75" s="30"/>
      <c r="C75" s="30"/>
      <c r="D75" s="31"/>
      <c r="E75" s="5"/>
      <c r="F75" s="29" t="s">
        <v>43</v>
      </c>
      <c r="G75" s="30"/>
      <c r="H75" s="30"/>
      <c r="I75" s="31"/>
      <c r="K75" s="1">
        <v>250</v>
      </c>
      <c r="L75" s="1">
        <v>20</v>
      </c>
    </row>
    <row r="76" spans="1:12" s="1" customFormat="1" ht="30" customHeight="1" x14ac:dyDescent="0.25">
      <c r="A76" s="32" t="s">
        <v>12</v>
      </c>
      <c r="B76" s="33"/>
      <c r="C76" s="33" t="s">
        <v>13</v>
      </c>
      <c r="D76" s="34"/>
      <c r="E76" s="4"/>
      <c r="F76" s="32" t="str">
        <f>A76</f>
        <v>PCR-Q</v>
      </c>
      <c r="G76" s="33"/>
      <c r="H76" s="33" t="str">
        <f>C76</f>
        <v>White</v>
      </c>
      <c r="I76" s="34"/>
    </row>
    <row r="77" spans="1:12" s="1" customFormat="1" ht="30" customHeight="1" x14ac:dyDescent="0.25">
      <c r="A77" s="12" t="s">
        <v>4</v>
      </c>
      <c r="B77" s="26" t="str">
        <f>DSTF_18B_Barrel!$B$7</f>
        <v>22388-1</v>
      </c>
      <c r="C77" s="26"/>
      <c r="D77" s="27"/>
      <c r="E77" s="4"/>
      <c r="F77" s="12" t="s">
        <v>4</v>
      </c>
      <c r="G77" s="26" t="str">
        <f>B77</f>
        <v>22388-1</v>
      </c>
      <c r="H77" s="26"/>
      <c r="I77" s="27"/>
    </row>
    <row r="78" spans="1:12" ht="63.75" customHeight="1" x14ac:dyDescent="0.25">
      <c r="A78" s="28" t="s">
        <v>31</v>
      </c>
      <c r="B78" s="28"/>
      <c r="C78" s="28"/>
      <c r="D78" s="28"/>
      <c r="E78" s="2"/>
      <c r="F78" s="28" t="str">
        <f>A78</f>
        <v>Oval DS Top-Fill - Cartridge</v>
      </c>
      <c r="G78" s="28"/>
      <c r="H78" s="28"/>
      <c r="I78" s="28"/>
    </row>
    <row r="79" spans="1:12" s="1" customFormat="1" ht="30" customHeight="1" x14ac:dyDescent="0.25">
      <c r="A79" s="24" t="s">
        <v>0</v>
      </c>
      <c r="B79" s="25"/>
      <c r="C79" s="24" t="s">
        <v>1</v>
      </c>
      <c r="D79" s="25"/>
      <c r="E79" s="3"/>
      <c r="F79" s="24" t="s">
        <v>0</v>
      </c>
      <c r="G79" s="25"/>
      <c r="H79" s="24" t="s">
        <v>1</v>
      </c>
      <c r="I79" s="25"/>
    </row>
    <row r="80" spans="1:12" s="1" customFormat="1" ht="30" customHeight="1" x14ac:dyDescent="0.25">
      <c r="A80" s="24" t="s">
        <v>2</v>
      </c>
      <c r="B80" s="25"/>
      <c r="C80" s="24" t="s">
        <v>5</v>
      </c>
      <c r="D80" s="7" t="s">
        <v>32</v>
      </c>
      <c r="E80" s="4"/>
      <c r="F80" s="24" t="s">
        <v>2</v>
      </c>
      <c r="G80" s="25"/>
      <c r="H80" s="24" t="s">
        <v>5</v>
      </c>
      <c r="I80" s="7" t="str">
        <f>D80</f>
        <v>19A</v>
      </c>
    </row>
    <row r="81" spans="1:12" s="1" customFormat="1" ht="53.25" customHeight="1" x14ac:dyDescent="0.25">
      <c r="A81" s="8" t="s">
        <v>3</v>
      </c>
      <c r="B81" s="9">
        <v>12</v>
      </c>
      <c r="C81" s="24" t="s">
        <v>6</v>
      </c>
      <c r="D81" s="7" t="s">
        <v>33</v>
      </c>
      <c r="E81" s="4"/>
      <c r="F81" s="8" t="s">
        <v>3</v>
      </c>
      <c r="G81" s="9">
        <v>25</v>
      </c>
      <c r="H81" s="24" t="s">
        <v>6</v>
      </c>
      <c r="I81" s="7" t="str">
        <f>D81</f>
        <v>DS-R01</v>
      </c>
      <c r="K81" s="6" t="s">
        <v>8</v>
      </c>
      <c r="L81" s="6" t="s">
        <v>7</v>
      </c>
    </row>
    <row r="82" spans="1:12" s="1" customFormat="1" ht="30" customHeight="1" x14ac:dyDescent="0.25">
      <c r="A82" s="29" t="s">
        <v>43</v>
      </c>
      <c r="B82" s="30"/>
      <c r="C82" s="30"/>
      <c r="D82" s="31"/>
      <c r="E82" s="5"/>
      <c r="F82" s="29" t="s">
        <v>43</v>
      </c>
      <c r="G82" s="30"/>
      <c r="H82" s="30"/>
      <c r="I82" s="31"/>
      <c r="K82" s="1">
        <v>250</v>
      </c>
      <c r="L82" s="1">
        <v>20</v>
      </c>
    </row>
    <row r="83" spans="1:12" s="1" customFormat="1" ht="30" customHeight="1" x14ac:dyDescent="0.25">
      <c r="A83" s="32" t="s">
        <v>12</v>
      </c>
      <c r="B83" s="33"/>
      <c r="C83" s="33" t="s">
        <v>13</v>
      </c>
      <c r="D83" s="34"/>
      <c r="E83" s="4"/>
      <c r="F83" s="32" t="str">
        <f>A83</f>
        <v>PCR-Q</v>
      </c>
      <c r="G83" s="33"/>
      <c r="H83" s="33" t="str">
        <f>C83</f>
        <v>White</v>
      </c>
      <c r="I83" s="34"/>
    </row>
    <row r="84" spans="1:12" s="1" customFormat="1" ht="30" customHeight="1" x14ac:dyDescent="0.25">
      <c r="A84" s="12" t="s">
        <v>4</v>
      </c>
      <c r="B84" s="26" t="str">
        <f>DSTF_18B_Barrel!$B$7</f>
        <v>22388-1</v>
      </c>
      <c r="C84" s="26"/>
      <c r="D84" s="27"/>
      <c r="E84" s="4"/>
      <c r="F84" s="12" t="s">
        <v>4</v>
      </c>
      <c r="G84" s="26" t="str">
        <f>B84</f>
        <v>22388-1</v>
      </c>
      <c r="H84" s="26"/>
      <c r="I84" s="27"/>
    </row>
    <row r="85" spans="1:12" ht="63.75" customHeight="1" x14ac:dyDescent="0.25">
      <c r="A85" s="28" t="s">
        <v>31</v>
      </c>
      <c r="B85" s="28"/>
      <c r="C85" s="28"/>
      <c r="D85" s="28"/>
      <c r="E85" s="2"/>
      <c r="F85" s="28" t="str">
        <f>A85</f>
        <v>Oval DS Top-Fill - Cartridge</v>
      </c>
      <c r="G85" s="28"/>
      <c r="H85" s="28"/>
      <c r="I85" s="28"/>
    </row>
    <row r="86" spans="1:12" s="1" customFormat="1" ht="30" customHeight="1" x14ac:dyDescent="0.25">
      <c r="A86" s="24" t="s">
        <v>0</v>
      </c>
      <c r="B86" s="25"/>
      <c r="C86" s="24" t="s">
        <v>1</v>
      </c>
      <c r="D86" s="25"/>
      <c r="E86" s="3"/>
      <c r="F86" s="24" t="s">
        <v>0</v>
      </c>
      <c r="G86" s="25"/>
      <c r="H86" s="24" t="s">
        <v>1</v>
      </c>
      <c r="I86" s="25"/>
    </row>
    <row r="87" spans="1:12" s="1" customFormat="1" ht="30" customHeight="1" x14ac:dyDescent="0.25">
      <c r="A87" s="24" t="s">
        <v>2</v>
      </c>
      <c r="B87" s="25"/>
      <c r="C87" s="24" t="s">
        <v>5</v>
      </c>
      <c r="D87" s="7" t="s">
        <v>32</v>
      </c>
      <c r="E87" s="4"/>
      <c r="F87" s="24" t="s">
        <v>2</v>
      </c>
      <c r="G87" s="25"/>
      <c r="H87" s="24" t="s">
        <v>5</v>
      </c>
      <c r="I87" s="7" t="str">
        <f>D87</f>
        <v>19A</v>
      </c>
    </row>
    <row r="88" spans="1:12" s="1" customFormat="1" ht="53.25" customHeight="1" x14ac:dyDescent="0.25">
      <c r="A88" s="8" t="s">
        <v>3</v>
      </c>
      <c r="B88" s="9">
        <v>13</v>
      </c>
      <c r="C88" s="24" t="s">
        <v>6</v>
      </c>
      <c r="D88" s="7" t="s">
        <v>33</v>
      </c>
      <c r="E88" s="4"/>
      <c r="F88" s="8" t="s">
        <v>3</v>
      </c>
      <c r="G88" s="9">
        <v>26</v>
      </c>
      <c r="H88" s="24" t="s">
        <v>6</v>
      </c>
      <c r="I88" s="7" t="str">
        <f>D88</f>
        <v>DS-R01</v>
      </c>
      <c r="K88" s="6" t="s">
        <v>8</v>
      </c>
      <c r="L88" s="6" t="s">
        <v>7</v>
      </c>
    </row>
    <row r="89" spans="1:12" s="1" customFormat="1" ht="30" customHeight="1" x14ac:dyDescent="0.25">
      <c r="A89" s="29" t="s">
        <v>43</v>
      </c>
      <c r="B89" s="30"/>
      <c r="C89" s="30"/>
      <c r="D89" s="31"/>
      <c r="E89" s="5"/>
      <c r="F89" s="29" t="s">
        <v>50</v>
      </c>
      <c r="G89" s="30"/>
      <c r="H89" s="30"/>
      <c r="I89" s="31"/>
      <c r="K89" s="1">
        <v>250</v>
      </c>
      <c r="L89" s="1">
        <v>20</v>
      </c>
    </row>
    <row r="90" spans="1:12" s="1" customFormat="1" ht="30" customHeight="1" x14ac:dyDescent="0.25">
      <c r="A90" s="32" t="s">
        <v>12</v>
      </c>
      <c r="B90" s="33"/>
      <c r="C90" s="33" t="s">
        <v>13</v>
      </c>
      <c r="D90" s="34"/>
      <c r="E90" s="4"/>
      <c r="F90" s="32" t="str">
        <f>A90</f>
        <v>PCR-Q</v>
      </c>
      <c r="G90" s="33"/>
      <c r="H90" s="33" t="str">
        <f>C90</f>
        <v>White</v>
      </c>
      <c r="I90" s="34"/>
    </row>
    <row r="91" spans="1:12" s="1" customFormat="1" ht="30" customHeight="1" x14ac:dyDescent="0.25">
      <c r="A91" s="12" t="s">
        <v>4</v>
      </c>
      <c r="B91" s="26" t="str">
        <f>DSTF_18B_Barrel!$B$7</f>
        <v>22388-1</v>
      </c>
      <c r="C91" s="26"/>
      <c r="D91" s="27"/>
      <c r="E91" s="4"/>
      <c r="F91" s="12" t="s">
        <v>4</v>
      </c>
      <c r="G91" s="26" t="str">
        <f>B91</f>
        <v>22388-1</v>
      </c>
      <c r="H91" s="26"/>
      <c r="I91" s="27"/>
    </row>
  </sheetData>
  <mergeCells count="130">
    <mergeCell ref="B91:D91"/>
    <mergeCell ref="G91:I91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H27:I27"/>
    <mergeCell ref="B28:D28"/>
    <mergeCell ref="G28:I28"/>
    <mergeCell ref="A29:D29"/>
    <mergeCell ref="F29:I29"/>
    <mergeCell ref="A33:D33"/>
    <mergeCell ref="F33:I33"/>
    <mergeCell ref="A34:B34"/>
    <mergeCell ref="C34:D34"/>
    <mergeCell ref="F34:G34"/>
    <mergeCell ref="H34:I34"/>
    <mergeCell ref="B35:D35"/>
    <mergeCell ref="G35:I35"/>
    <mergeCell ref="B42:D42"/>
    <mergeCell ref="G42:I42"/>
    <mergeCell ref="A36:D36"/>
    <mergeCell ref="F36:I36"/>
    <mergeCell ref="A40:D40"/>
    <mergeCell ref="F40:I40"/>
    <mergeCell ref="A41:B41"/>
    <mergeCell ref="C41:D41"/>
    <mergeCell ref="F41:G41"/>
    <mergeCell ref="H41:I41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14"/>
  <sheetViews>
    <sheetView view="pageBreakPreview" zoomScaleNormal="100" zoomScaleSheetLayoutView="100" workbookViewId="0">
      <selection activeCell="M2" sqref="M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28</v>
      </c>
      <c r="B1" s="28"/>
      <c r="C1" s="28"/>
      <c r="D1" s="28"/>
      <c r="E1" s="2"/>
      <c r="F1" s="28" t="str">
        <f>A1</f>
        <v>Oval DS Top-Fill - Screw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29</v>
      </c>
      <c r="E3" s="4"/>
      <c r="F3" s="24" t="s">
        <v>2</v>
      </c>
      <c r="G3" s="25"/>
      <c r="H3" s="24" t="s">
        <v>5</v>
      </c>
      <c r="I3" s="7" t="str">
        <f>D3</f>
        <v>11A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30</v>
      </c>
      <c r="E4" s="4"/>
      <c r="F4" s="8" t="s">
        <v>3</v>
      </c>
      <c r="G4" s="9">
        <v>3</v>
      </c>
      <c r="H4" s="24" t="s">
        <v>6</v>
      </c>
      <c r="I4" s="7" t="str">
        <f>D4</f>
        <v>DS-S01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44</v>
      </c>
      <c r="B5" s="30"/>
      <c r="C5" s="30"/>
      <c r="D5" s="31"/>
      <c r="E5" s="5"/>
      <c r="F5" s="29" t="s">
        <v>44</v>
      </c>
      <c r="G5" s="30"/>
      <c r="H5" s="30"/>
      <c r="I5" s="31"/>
      <c r="K5" s="1">
        <v>400</v>
      </c>
      <c r="L5" s="1">
        <v>80</v>
      </c>
    </row>
    <row r="6" spans="1:12" s="1" customFormat="1" ht="30" customHeight="1" x14ac:dyDescent="0.25">
      <c r="A6" s="32" t="s">
        <v>12</v>
      </c>
      <c r="B6" s="33"/>
      <c r="C6" s="33" t="s">
        <v>13</v>
      </c>
      <c r="D6" s="34"/>
      <c r="E6" s="4"/>
      <c r="F6" s="32" t="str">
        <f>A6</f>
        <v>PCR-Q</v>
      </c>
      <c r="G6" s="33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6" t="str">
        <f>DSTF_18B_Barrel!$B$7</f>
        <v>22388-1</v>
      </c>
      <c r="C7" s="26"/>
      <c r="D7" s="27"/>
      <c r="E7" s="4"/>
      <c r="F7" s="12" t="s">
        <v>4</v>
      </c>
      <c r="G7" s="26" t="str">
        <f>B7</f>
        <v>22388-1</v>
      </c>
      <c r="H7" s="26"/>
      <c r="I7" s="27"/>
    </row>
    <row r="8" spans="1:12" ht="63.75" customHeight="1" x14ac:dyDescent="0.25">
      <c r="A8" s="28" t="s">
        <v>28</v>
      </c>
      <c r="B8" s="28"/>
      <c r="C8" s="28"/>
      <c r="D8" s="28"/>
      <c r="E8" s="2"/>
      <c r="F8" s="28" t="str">
        <f>A8</f>
        <v>Oval DS Top-Fill - Screw</v>
      </c>
      <c r="G8" s="28"/>
      <c r="H8" s="28"/>
      <c r="I8" s="28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29</v>
      </c>
      <c r="E10" s="4"/>
      <c r="F10" s="24" t="s">
        <v>2</v>
      </c>
      <c r="G10" s="25"/>
      <c r="H10" s="24" t="s">
        <v>5</v>
      </c>
      <c r="I10" s="7" t="str">
        <f>D10</f>
        <v>11A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30</v>
      </c>
      <c r="E11" s="4"/>
      <c r="F11" s="8" t="s">
        <v>3</v>
      </c>
      <c r="G11" s="9">
        <v>4</v>
      </c>
      <c r="H11" s="24" t="s">
        <v>6</v>
      </c>
      <c r="I11" s="7" t="str">
        <f>D11</f>
        <v>DS-S01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44</v>
      </c>
      <c r="B12" s="30"/>
      <c r="C12" s="30"/>
      <c r="D12" s="31"/>
      <c r="E12" s="5"/>
      <c r="F12" s="29" t="s">
        <v>51</v>
      </c>
      <c r="G12" s="30"/>
      <c r="H12" s="30"/>
      <c r="I12" s="31"/>
      <c r="K12" s="1">
        <v>400</v>
      </c>
      <c r="L12" s="1">
        <v>80</v>
      </c>
    </row>
    <row r="13" spans="1:12" s="1" customFormat="1" ht="30" customHeight="1" x14ac:dyDescent="0.25">
      <c r="A13" s="32" t="s">
        <v>12</v>
      </c>
      <c r="B13" s="33"/>
      <c r="C13" s="33" t="s">
        <v>13</v>
      </c>
      <c r="D13" s="34"/>
      <c r="E13" s="4"/>
      <c r="F13" s="32" t="str">
        <f>A13</f>
        <v>PCR-Q</v>
      </c>
      <c r="G13" s="33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6" t="str">
        <f>DSTF_18B_Barrel!$B$7</f>
        <v>22388-1</v>
      </c>
      <c r="C14" s="26"/>
      <c r="D14" s="27"/>
      <c r="E14" s="4"/>
      <c r="F14" s="12" t="s">
        <v>4</v>
      </c>
      <c r="G14" s="26" t="str">
        <f>B14</f>
        <v>22388-1</v>
      </c>
      <c r="H14" s="26"/>
      <c r="I14" s="27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L14"/>
  <sheetViews>
    <sheetView view="pageBreakPreview" zoomScaleNormal="100" zoomScaleSheetLayoutView="100" workbookViewId="0">
      <selection activeCell="M2" sqref="M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34</v>
      </c>
      <c r="B1" s="28"/>
      <c r="C1" s="28"/>
      <c r="D1" s="28"/>
      <c r="E1" s="2"/>
      <c r="F1" s="28" t="str">
        <f>A1</f>
        <v>Oval DS Top-Fill - Wheel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35</v>
      </c>
      <c r="E3" s="4"/>
      <c r="F3" s="24" t="s">
        <v>2</v>
      </c>
      <c r="G3" s="25"/>
      <c r="H3" s="24" t="s">
        <v>5</v>
      </c>
      <c r="I3" s="7" t="str">
        <f>D3</f>
        <v>23A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36</v>
      </c>
      <c r="E4" s="4"/>
      <c r="F4" s="8" t="s">
        <v>3</v>
      </c>
      <c r="G4" s="9">
        <v>3</v>
      </c>
      <c r="H4" s="24" t="s">
        <v>6</v>
      </c>
      <c r="I4" s="7" t="str">
        <f>D4</f>
        <v>DS-W02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42</v>
      </c>
      <c r="B5" s="30"/>
      <c r="C5" s="30"/>
      <c r="D5" s="31"/>
      <c r="E5" s="5"/>
      <c r="F5" s="29" t="s">
        <v>42</v>
      </c>
      <c r="G5" s="30"/>
      <c r="H5" s="30"/>
      <c r="I5" s="31"/>
      <c r="K5" s="1">
        <v>500</v>
      </c>
      <c r="L5" s="1">
        <v>80</v>
      </c>
    </row>
    <row r="6" spans="1:12" s="1" customFormat="1" ht="30" customHeight="1" x14ac:dyDescent="0.25">
      <c r="A6" s="32" t="s">
        <v>12</v>
      </c>
      <c r="B6" s="33"/>
      <c r="C6" s="33" t="s">
        <v>13</v>
      </c>
      <c r="D6" s="34"/>
      <c r="E6" s="4"/>
      <c r="F6" s="32" t="str">
        <f>A6</f>
        <v>PCR-Q</v>
      </c>
      <c r="G6" s="33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6" t="str">
        <f>DSTF_18B_Barrel!$B$7</f>
        <v>22388-1</v>
      </c>
      <c r="C7" s="26"/>
      <c r="D7" s="27"/>
      <c r="E7" s="4"/>
      <c r="F7" s="12" t="s">
        <v>4</v>
      </c>
      <c r="G7" s="26" t="str">
        <f>B7</f>
        <v>22388-1</v>
      </c>
      <c r="H7" s="26"/>
      <c r="I7" s="27"/>
    </row>
    <row r="8" spans="1:12" ht="63.75" customHeight="1" x14ac:dyDescent="0.25">
      <c r="A8" s="28" t="s">
        <v>34</v>
      </c>
      <c r="B8" s="28"/>
      <c r="C8" s="28"/>
      <c r="D8" s="28"/>
      <c r="E8" s="2"/>
      <c r="F8" s="28" t="str">
        <f>A8</f>
        <v>Oval DS Top-Fill - Wheel</v>
      </c>
      <c r="G8" s="28"/>
      <c r="H8" s="28"/>
      <c r="I8" s="28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35</v>
      </c>
      <c r="E10" s="4"/>
      <c r="F10" s="24" t="s">
        <v>2</v>
      </c>
      <c r="G10" s="25"/>
      <c r="H10" s="24" t="s">
        <v>5</v>
      </c>
      <c r="I10" s="7" t="str">
        <f>D10</f>
        <v>23A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36</v>
      </c>
      <c r="E11" s="4"/>
      <c r="F11" s="8" t="s">
        <v>3</v>
      </c>
      <c r="G11" s="9">
        <v>4</v>
      </c>
      <c r="H11" s="24" t="s">
        <v>6</v>
      </c>
      <c r="I11" s="7" t="str">
        <f>D11</f>
        <v>DS-W02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42</v>
      </c>
      <c r="B12" s="30"/>
      <c r="C12" s="30"/>
      <c r="D12" s="31"/>
      <c r="E12" s="5"/>
      <c r="F12" s="29" t="s">
        <v>49</v>
      </c>
      <c r="G12" s="30"/>
      <c r="H12" s="30"/>
      <c r="I12" s="31"/>
      <c r="K12" s="1">
        <v>500</v>
      </c>
      <c r="L12" s="1">
        <v>80</v>
      </c>
    </row>
    <row r="13" spans="1:12" s="1" customFormat="1" ht="30" customHeight="1" x14ac:dyDescent="0.25">
      <c r="A13" s="32" t="s">
        <v>12</v>
      </c>
      <c r="B13" s="33"/>
      <c r="C13" s="33" t="s">
        <v>13</v>
      </c>
      <c r="D13" s="34"/>
      <c r="E13" s="4"/>
      <c r="F13" s="32" t="str">
        <f>A13</f>
        <v>PCR-Q</v>
      </c>
      <c r="G13" s="33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6" t="str">
        <f>DSTF_18B_Barrel!$B$7</f>
        <v>22388-1</v>
      </c>
      <c r="C14" s="26"/>
      <c r="D14" s="27"/>
      <c r="E14" s="4"/>
      <c r="F14" s="12" t="s">
        <v>4</v>
      </c>
      <c r="G14" s="26" t="str">
        <f>B14</f>
        <v>22388-1</v>
      </c>
      <c r="H14" s="26"/>
      <c r="I14" s="27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L14"/>
  <sheetViews>
    <sheetView view="pageBreakPreview" zoomScaleNormal="100" zoomScaleSheetLayoutView="100" workbookViewId="0">
      <selection activeCell="F14" sqref="F1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9</v>
      </c>
      <c r="B1" s="28"/>
      <c r="C1" s="28"/>
      <c r="D1" s="28"/>
      <c r="E1" s="2"/>
      <c r="F1" s="28" t="str">
        <f>A1</f>
        <v>Oval DS Top-Fill - Cap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10</v>
      </c>
      <c r="E3" s="4"/>
      <c r="F3" s="13" t="s">
        <v>2</v>
      </c>
      <c r="G3" s="14"/>
      <c r="H3" s="13" t="s">
        <v>5</v>
      </c>
      <c r="I3" s="7" t="str">
        <f>D3</f>
        <v>19B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11</v>
      </c>
      <c r="E4" s="4"/>
      <c r="F4" s="8" t="s">
        <v>3</v>
      </c>
      <c r="G4" s="9">
        <v>3</v>
      </c>
      <c r="H4" s="13" t="s">
        <v>6</v>
      </c>
      <c r="I4" s="7" t="str">
        <f>D4</f>
        <v>DEO-C03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14</v>
      </c>
      <c r="B5" s="30"/>
      <c r="C5" s="30"/>
      <c r="D5" s="31"/>
      <c r="E5" s="5"/>
      <c r="F5" s="29" t="s">
        <v>14</v>
      </c>
      <c r="G5" s="30"/>
      <c r="H5" s="30"/>
      <c r="I5" s="31"/>
      <c r="K5" s="1">
        <v>690</v>
      </c>
      <c r="L5" s="1">
        <v>20</v>
      </c>
    </row>
    <row r="6" spans="1:12" s="1" customFormat="1" ht="30" customHeight="1" x14ac:dyDescent="0.25">
      <c r="A6" s="32" t="s">
        <v>12</v>
      </c>
      <c r="B6" s="33"/>
      <c r="C6" s="33" t="s">
        <v>13</v>
      </c>
      <c r="D6" s="34"/>
      <c r="E6" s="4"/>
      <c r="F6" s="32" t="str">
        <f>A6</f>
        <v>PCR-Q</v>
      </c>
      <c r="G6" s="33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6">
        <v>22399</v>
      </c>
      <c r="C7" s="26"/>
      <c r="D7" s="27"/>
      <c r="E7" s="4"/>
      <c r="F7" s="12" t="s">
        <v>4</v>
      </c>
      <c r="G7" s="26">
        <f>B7</f>
        <v>22399</v>
      </c>
      <c r="H7" s="26"/>
      <c r="I7" s="27"/>
    </row>
    <row r="8" spans="1:12" ht="63.75" customHeight="1" x14ac:dyDescent="0.25">
      <c r="A8" s="28" t="s">
        <v>9</v>
      </c>
      <c r="B8" s="28"/>
      <c r="C8" s="28"/>
      <c r="D8" s="28"/>
      <c r="E8" s="2"/>
      <c r="F8" s="28" t="str">
        <f>A8</f>
        <v>Oval DS Top-Fill - Cap</v>
      </c>
      <c r="G8" s="28"/>
      <c r="H8" s="28"/>
      <c r="I8" s="28"/>
    </row>
    <row r="9" spans="1:12" s="1" customFormat="1" ht="30" customHeight="1" x14ac:dyDescent="0.25">
      <c r="A9" s="13" t="s">
        <v>0</v>
      </c>
      <c r="B9" s="14"/>
      <c r="C9" s="13" t="s">
        <v>1</v>
      </c>
      <c r="D9" s="14"/>
      <c r="E9" s="3"/>
      <c r="F9" s="13" t="s">
        <v>0</v>
      </c>
      <c r="G9" s="14"/>
      <c r="H9" s="13" t="s">
        <v>1</v>
      </c>
      <c r="I9" s="14"/>
    </row>
    <row r="10" spans="1:12" s="1" customFormat="1" ht="30" customHeight="1" x14ac:dyDescent="0.25">
      <c r="A10" s="13" t="s">
        <v>2</v>
      </c>
      <c r="B10" s="14"/>
      <c r="C10" s="13" t="s">
        <v>5</v>
      </c>
      <c r="D10" s="7" t="s">
        <v>10</v>
      </c>
      <c r="E10" s="4"/>
      <c r="F10" s="13" t="s">
        <v>2</v>
      </c>
      <c r="G10" s="14"/>
      <c r="H10" s="13" t="s">
        <v>5</v>
      </c>
      <c r="I10" s="7" t="str">
        <f>D10</f>
        <v>19B</v>
      </c>
    </row>
    <row r="11" spans="1:12" s="1" customFormat="1" ht="53.25" customHeight="1" x14ac:dyDescent="0.25">
      <c r="A11" s="8" t="s">
        <v>3</v>
      </c>
      <c r="B11" s="9">
        <v>2</v>
      </c>
      <c r="C11" s="13" t="s">
        <v>6</v>
      </c>
      <c r="D11" s="7" t="s">
        <v>11</v>
      </c>
      <c r="E11" s="4"/>
      <c r="F11" s="8" t="s">
        <v>3</v>
      </c>
      <c r="G11" s="9">
        <v>4</v>
      </c>
      <c r="H11" s="13" t="s">
        <v>6</v>
      </c>
      <c r="I11" s="7" t="str">
        <f>D11</f>
        <v>DEO-C03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14</v>
      </c>
      <c r="B12" s="30"/>
      <c r="C12" s="30"/>
      <c r="D12" s="31"/>
      <c r="E12" s="5"/>
      <c r="F12" s="29" t="s">
        <v>14</v>
      </c>
      <c r="G12" s="30"/>
      <c r="H12" s="30"/>
      <c r="I12" s="31"/>
      <c r="K12" s="1">
        <v>690</v>
      </c>
      <c r="L12" s="1">
        <v>20</v>
      </c>
    </row>
    <row r="13" spans="1:12" s="1" customFormat="1" ht="30" customHeight="1" x14ac:dyDescent="0.25">
      <c r="A13" s="32" t="s">
        <v>12</v>
      </c>
      <c r="B13" s="33"/>
      <c r="C13" s="33" t="s">
        <v>13</v>
      </c>
      <c r="D13" s="34"/>
      <c r="E13" s="4"/>
      <c r="F13" s="32" t="str">
        <f>A13</f>
        <v>PCR-Q</v>
      </c>
      <c r="G13" s="33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6">
        <v>22399</v>
      </c>
      <c r="C14" s="26"/>
      <c r="D14" s="27"/>
      <c r="E14" s="4"/>
      <c r="F14" s="12" t="s">
        <v>4</v>
      </c>
      <c r="G14" s="26">
        <f>B14</f>
        <v>22399</v>
      </c>
      <c r="H14" s="26"/>
      <c r="I14" s="27"/>
    </row>
  </sheetData>
  <mergeCells count="20">
    <mergeCell ref="A8:D8"/>
    <mergeCell ref="F8:I8"/>
    <mergeCell ref="A12:D12"/>
    <mergeCell ref="F12:I12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13:B13"/>
    <mergeCell ref="C13:D13"/>
    <mergeCell ref="F13:G13"/>
    <mergeCell ref="H13:I13"/>
    <mergeCell ref="B14:D14"/>
    <mergeCell ref="G14:I14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L14"/>
  <sheetViews>
    <sheetView view="pageBreakPreview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15</v>
      </c>
      <c r="B1" s="28"/>
      <c r="C1" s="28"/>
      <c r="D1" s="28"/>
      <c r="E1" s="2"/>
      <c r="F1" s="28" t="str">
        <f>A1</f>
        <v>Oval DS Top-Fill - Inner Cap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1" t="s">
        <v>0</v>
      </c>
      <c r="G2" s="22"/>
      <c r="H2" s="21" t="s">
        <v>1</v>
      </c>
      <c r="I2" s="22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46</v>
      </c>
      <c r="E3" s="4"/>
      <c r="F3" s="21" t="s">
        <v>2</v>
      </c>
      <c r="G3" s="22"/>
      <c r="H3" s="21" t="s">
        <v>5</v>
      </c>
      <c r="I3" s="7" t="str">
        <f>D3</f>
        <v>35U1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18</v>
      </c>
      <c r="E4" s="4"/>
      <c r="F4" s="8" t="s">
        <v>3</v>
      </c>
      <c r="G4" s="9">
        <v>3</v>
      </c>
      <c r="H4" s="21" t="s">
        <v>6</v>
      </c>
      <c r="I4" s="7" t="str">
        <f>D4</f>
        <v>DS-D03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17</v>
      </c>
      <c r="B5" s="30"/>
      <c r="C5" s="30"/>
      <c r="D5" s="31"/>
      <c r="E5" s="5"/>
      <c r="F5" s="29" t="s">
        <v>41</v>
      </c>
      <c r="G5" s="30"/>
      <c r="H5" s="30"/>
      <c r="I5" s="31"/>
      <c r="K5" s="1">
        <v>1250</v>
      </c>
      <c r="L5" s="1">
        <v>80</v>
      </c>
    </row>
    <row r="6" spans="1:12" s="1" customFormat="1" ht="30" customHeight="1" x14ac:dyDescent="0.25">
      <c r="A6" s="32" t="s">
        <v>40</v>
      </c>
      <c r="B6" s="33"/>
      <c r="C6" s="33" t="str">
        <f>""</f>
        <v/>
      </c>
      <c r="D6" s="34"/>
      <c r="E6" s="4"/>
      <c r="F6" s="32" t="str">
        <f>A6</f>
        <v>TPE RG-10190</v>
      </c>
      <c r="G6" s="33"/>
      <c r="H6" s="33" t="str">
        <f>C6</f>
        <v/>
      </c>
      <c r="I6" s="34"/>
    </row>
    <row r="7" spans="1:12" s="1" customFormat="1" ht="30" customHeight="1" x14ac:dyDescent="0.25">
      <c r="A7" s="12" t="s">
        <v>4</v>
      </c>
      <c r="B7" s="26">
        <v>22790</v>
      </c>
      <c r="C7" s="26"/>
      <c r="D7" s="27"/>
      <c r="E7" s="4"/>
      <c r="F7" s="12" t="s">
        <v>4</v>
      </c>
      <c r="G7" s="26">
        <f>B7</f>
        <v>22790</v>
      </c>
      <c r="H7" s="26"/>
      <c r="I7" s="27"/>
    </row>
    <row r="8" spans="1:12" ht="63.75" customHeight="1" x14ac:dyDescent="0.25">
      <c r="A8" s="28" t="s">
        <v>15</v>
      </c>
      <c r="B8" s="28"/>
      <c r="C8" s="28"/>
      <c r="D8" s="28"/>
      <c r="E8" s="2"/>
      <c r="F8" s="35" t="str">
        <f>A8</f>
        <v>Oval DS Top-Fill - Inner Cap</v>
      </c>
      <c r="G8" s="35"/>
      <c r="H8" s="35"/>
      <c r="I8" s="35"/>
    </row>
    <row r="9" spans="1:12" s="1" customFormat="1" ht="30" customHeight="1" x14ac:dyDescent="0.25">
      <c r="A9" s="21" t="s">
        <v>0</v>
      </c>
      <c r="B9" s="22"/>
      <c r="C9" s="21" t="s">
        <v>1</v>
      </c>
      <c r="D9" s="22"/>
      <c r="E9" s="3"/>
      <c r="F9" s="23" t="s">
        <v>0</v>
      </c>
      <c r="G9" s="23"/>
      <c r="H9" s="23" t="s">
        <v>1</v>
      </c>
      <c r="I9" s="23"/>
    </row>
    <row r="10" spans="1:12" s="1" customFormat="1" ht="30" customHeight="1" x14ac:dyDescent="0.25">
      <c r="A10" s="21" t="s">
        <v>2</v>
      </c>
      <c r="B10" s="22"/>
      <c r="C10" s="21" t="s">
        <v>5</v>
      </c>
      <c r="D10" s="7" t="s">
        <v>16</v>
      </c>
      <c r="E10" s="4"/>
      <c r="F10" s="23" t="s">
        <v>2</v>
      </c>
      <c r="G10" s="23"/>
      <c r="H10" s="23" t="s">
        <v>5</v>
      </c>
      <c r="I10" s="17" t="str">
        <f>D10</f>
        <v>01B</v>
      </c>
    </row>
    <row r="11" spans="1:12" s="1" customFormat="1" ht="53.25" customHeight="1" x14ac:dyDescent="0.25">
      <c r="A11" s="8" t="s">
        <v>3</v>
      </c>
      <c r="B11" s="9">
        <v>2</v>
      </c>
      <c r="C11" s="21" t="s">
        <v>6</v>
      </c>
      <c r="D11" s="7" t="s">
        <v>18</v>
      </c>
      <c r="E11" s="4"/>
      <c r="F11" s="18" t="s">
        <v>3</v>
      </c>
      <c r="G11" s="19">
        <v>3</v>
      </c>
      <c r="H11" s="23" t="s">
        <v>6</v>
      </c>
      <c r="I11" s="17" t="str">
        <f>D11</f>
        <v>DS-D03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17</v>
      </c>
      <c r="B12" s="30"/>
      <c r="C12" s="30"/>
      <c r="D12" s="31"/>
      <c r="E12" s="5"/>
      <c r="F12" s="36" t="s">
        <v>41</v>
      </c>
      <c r="G12" s="36"/>
      <c r="H12" s="36"/>
      <c r="I12" s="36"/>
      <c r="K12" s="1">
        <v>1250</v>
      </c>
      <c r="L12" s="1">
        <v>80</v>
      </c>
    </row>
    <row r="13" spans="1:12" s="1" customFormat="1" ht="30" customHeight="1" x14ac:dyDescent="0.25">
      <c r="A13" s="32" t="s">
        <v>40</v>
      </c>
      <c r="B13" s="33"/>
      <c r="C13" s="33"/>
      <c r="D13" s="34"/>
      <c r="E13" s="4"/>
      <c r="F13" s="37" t="str">
        <f>A13</f>
        <v>TPE RG-10190</v>
      </c>
      <c r="G13" s="37"/>
      <c r="H13" s="37">
        <f>C13</f>
        <v>0</v>
      </c>
      <c r="I13" s="37"/>
    </row>
    <row r="14" spans="1:12" s="1" customFormat="1" ht="30" customHeight="1" x14ac:dyDescent="0.25">
      <c r="A14" s="12" t="s">
        <v>4</v>
      </c>
      <c r="B14" s="26">
        <v>22790</v>
      </c>
      <c r="C14" s="26"/>
      <c r="D14" s="27"/>
      <c r="E14" s="4"/>
      <c r="F14" s="23" t="s">
        <v>4</v>
      </c>
      <c r="G14" s="38">
        <f>B14</f>
        <v>22790</v>
      </c>
      <c r="H14" s="38"/>
      <c r="I14" s="38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70C0"/>
  </sheetPr>
  <dimension ref="A1:L84"/>
  <sheetViews>
    <sheetView tabSelected="1" view="pageBreakPreview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8" t="s">
        <v>19</v>
      </c>
      <c r="B1" s="28"/>
      <c r="C1" s="28"/>
      <c r="D1" s="28"/>
      <c r="E1" s="2"/>
      <c r="F1" s="28" t="str">
        <f>A1</f>
        <v>Oval DS Top-Fill - Cream Screen</v>
      </c>
      <c r="G1" s="28"/>
      <c r="H1" s="28"/>
      <c r="I1" s="28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5" t="s">
        <v>0</v>
      </c>
      <c r="G2" s="16"/>
      <c r="H2" s="15" t="s">
        <v>1</v>
      </c>
      <c r="I2" s="16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20</v>
      </c>
      <c r="E3" s="4"/>
      <c r="F3" s="15" t="s">
        <v>2</v>
      </c>
      <c r="G3" s="16"/>
      <c r="H3" s="15" t="s">
        <v>5</v>
      </c>
      <c r="I3" s="7" t="str">
        <f>D3</f>
        <v>23B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21</v>
      </c>
      <c r="E4" s="4"/>
      <c r="F4" s="8" t="s">
        <v>3</v>
      </c>
      <c r="G4" s="9">
        <v>13</v>
      </c>
      <c r="H4" s="15" t="s">
        <v>6</v>
      </c>
      <c r="I4" s="7" t="str">
        <f>D4</f>
        <v>DS-D02</v>
      </c>
      <c r="K4" s="6" t="s">
        <v>8</v>
      </c>
      <c r="L4" s="6" t="s">
        <v>7</v>
      </c>
    </row>
    <row r="5" spans="1:12" s="1" customFormat="1" ht="30" customHeight="1" x14ac:dyDescent="0.25">
      <c r="A5" s="29" t="s">
        <v>38</v>
      </c>
      <c r="B5" s="30"/>
      <c r="C5" s="30"/>
      <c r="D5" s="31"/>
      <c r="E5" s="5"/>
      <c r="F5" s="29" t="s">
        <v>38</v>
      </c>
      <c r="G5" s="30"/>
      <c r="H5" s="30"/>
      <c r="I5" s="31"/>
      <c r="K5" s="1">
        <v>540</v>
      </c>
      <c r="L5" s="1">
        <v>80</v>
      </c>
    </row>
    <row r="6" spans="1:12" s="1" customFormat="1" ht="30" customHeight="1" x14ac:dyDescent="0.25">
      <c r="A6" s="32" t="s">
        <v>12</v>
      </c>
      <c r="B6" s="33"/>
      <c r="C6" s="33" t="s">
        <v>13</v>
      </c>
      <c r="D6" s="34"/>
      <c r="E6" s="4"/>
      <c r="F6" s="32" t="str">
        <f>A6</f>
        <v>PCR-Q</v>
      </c>
      <c r="G6" s="33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6">
        <v>22795</v>
      </c>
      <c r="C7" s="26"/>
      <c r="D7" s="27"/>
      <c r="E7" s="4"/>
      <c r="F7" s="12" t="s">
        <v>4</v>
      </c>
      <c r="G7" s="26">
        <f>B7</f>
        <v>22795</v>
      </c>
      <c r="H7" s="26"/>
      <c r="I7" s="27"/>
    </row>
    <row r="8" spans="1:12" ht="63.75" customHeight="1" x14ac:dyDescent="0.25">
      <c r="A8" s="28" t="s">
        <v>19</v>
      </c>
      <c r="B8" s="28"/>
      <c r="C8" s="28"/>
      <c r="D8" s="28"/>
      <c r="E8" s="2"/>
      <c r="F8" s="28" t="str">
        <f>A8</f>
        <v>Oval DS Top-Fill - Cream Screen</v>
      </c>
      <c r="G8" s="28"/>
      <c r="H8" s="28"/>
      <c r="I8" s="28"/>
    </row>
    <row r="9" spans="1:12" s="1" customFormat="1" ht="30" customHeight="1" x14ac:dyDescent="0.25">
      <c r="A9" s="15" t="s">
        <v>0</v>
      </c>
      <c r="B9" s="16"/>
      <c r="C9" s="15" t="s">
        <v>1</v>
      </c>
      <c r="D9" s="16"/>
      <c r="E9" s="3"/>
      <c r="F9" s="15" t="s">
        <v>0</v>
      </c>
      <c r="G9" s="16"/>
      <c r="H9" s="15" t="s">
        <v>1</v>
      </c>
      <c r="I9" s="16"/>
    </row>
    <row r="10" spans="1:12" s="1" customFormat="1" ht="30" customHeight="1" x14ac:dyDescent="0.25">
      <c r="A10" s="15" t="s">
        <v>2</v>
      </c>
      <c r="B10" s="16"/>
      <c r="C10" s="15" t="s">
        <v>5</v>
      </c>
      <c r="D10" s="7" t="s">
        <v>20</v>
      </c>
      <c r="E10" s="4"/>
      <c r="F10" s="15" t="s">
        <v>2</v>
      </c>
      <c r="G10" s="16"/>
      <c r="H10" s="15" t="s">
        <v>5</v>
      </c>
      <c r="I10" s="7" t="str">
        <f>D10</f>
        <v>23B</v>
      </c>
    </row>
    <row r="11" spans="1:12" s="1" customFormat="1" ht="53.25" customHeight="1" x14ac:dyDescent="0.25">
      <c r="A11" s="8" t="s">
        <v>3</v>
      </c>
      <c r="B11" s="9">
        <v>2</v>
      </c>
      <c r="C11" s="15" t="s">
        <v>6</v>
      </c>
      <c r="D11" s="7" t="s">
        <v>21</v>
      </c>
      <c r="E11" s="4"/>
      <c r="F11" s="8" t="s">
        <v>3</v>
      </c>
      <c r="G11" s="9">
        <v>14</v>
      </c>
      <c r="H11" s="15" t="s">
        <v>6</v>
      </c>
      <c r="I11" s="7" t="str">
        <f>D11</f>
        <v>DS-D02</v>
      </c>
      <c r="K11" s="6" t="s">
        <v>8</v>
      </c>
      <c r="L11" s="6" t="s">
        <v>7</v>
      </c>
    </row>
    <row r="12" spans="1:12" s="1" customFormat="1" ht="30" customHeight="1" x14ac:dyDescent="0.25">
      <c r="A12" s="29" t="s">
        <v>38</v>
      </c>
      <c r="B12" s="30"/>
      <c r="C12" s="30"/>
      <c r="D12" s="31"/>
      <c r="E12" s="5"/>
      <c r="F12" s="29" t="s">
        <v>38</v>
      </c>
      <c r="G12" s="30"/>
      <c r="H12" s="30"/>
      <c r="I12" s="31"/>
      <c r="K12" s="1">
        <v>540</v>
      </c>
      <c r="L12" s="1">
        <v>80</v>
      </c>
    </row>
    <row r="13" spans="1:12" s="1" customFormat="1" ht="30" customHeight="1" x14ac:dyDescent="0.25">
      <c r="A13" s="32" t="s">
        <v>12</v>
      </c>
      <c r="B13" s="33"/>
      <c r="C13" s="33" t="s">
        <v>13</v>
      </c>
      <c r="D13" s="34"/>
      <c r="E13" s="4"/>
      <c r="F13" s="32" t="str">
        <f>A13</f>
        <v>PCR-Q</v>
      </c>
      <c r="G13" s="33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6">
        <v>22795</v>
      </c>
      <c r="C14" s="26"/>
      <c r="D14" s="27"/>
      <c r="E14" s="4"/>
      <c r="F14" s="12" t="s">
        <v>4</v>
      </c>
      <c r="G14" s="26">
        <f>B14</f>
        <v>22795</v>
      </c>
      <c r="H14" s="26"/>
      <c r="I14" s="27"/>
    </row>
    <row r="15" spans="1:12" ht="63.75" customHeight="1" x14ac:dyDescent="0.25">
      <c r="A15" s="28" t="s">
        <v>19</v>
      </c>
      <c r="B15" s="28"/>
      <c r="C15" s="28"/>
      <c r="D15" s="28"/>
      <c r="E15" s="2"/>
      <c r="F15" s="28" t="str">
        <f>A15</f>
        <v>Oval DS Top-Fill - Cream Screen</v>
      </c>
      <c r="G15" s="28"/>
      <c r="H15" s="28"/>
      <c r="I15" s="28"/>
    </row>
    <row r="16" spans="1:12" s="1" customFormat="1" ht="30" customHeight="1" x14ac:dyDescent="0.25">
      <c r="A16" s="15" t="s">
        <v>0</v>
      </c>
      <c r="B16" s="16"/>
      <c r="C16" s="15" t="s">
        <v>1</v>
      </c>
      <c r="D16" s="16"/>
      <c r="E16" s="3"/>
      <c r="F16" s="15" t="s">
        <v>0</v>
      </c>
      <c r="G16" s="16"/>
      <c r="H16" s="15" t="s">
        <v>1</v>
      </c>
      <c r="I16" s="16"/>
    </row>
    <row r="17" spans="1:12" s="1" customFormat="1" ht="30" customHeight="1" x14ac:dyDescent="0.25">
      <c r="A17" s="15" t="s">
        <v>2</v>
      </c>
      <c r="B17" s="16"/>
      <c r="C17" s="15" t="s">
        <v>5</v>
      </c>
      <c r="D17" s="7" t="s">
        <v>20</v>
      </c>
      <c r="E17" s="4"/>
      <c r="F17" s="15" t="s">
        <v>2</v>
      </c>
      <c r="G17" s="16"/>
      <c r="H17" s="15" t="s">
        <v>5</v>
      </c>
      <c r="I17" s="7" t="str">
        <f>D17</f>
        <v>23B</v>
      </c>
    </row>
    <row r="18" spans="1:12" s="1" customFormat="1" ht="53.25" customHeight="1" x14ac:dyDescent="0.25">
      <c r="A18" s="8" t="s">
        <v>3</v>
      </c>
      <c r="B18" s="9">
        <v>3</v>
      </c>
      <c r="C18" s="15" t="s">
        <v>6</v>
      </c>
      <c r="D18" s="7" t="s">
        <v>21</v>
      </c>
      <c r="E18" s="4"/>
      <c r="F18" s="8" t="s">
        <v>3</v>
      </c>
      <c r="G18" s="9">
        <v>15</v>
      </c>
      <c r="H18" s="15" t="s">
        <v>6</v>
      </c>
      <c r="I18" s="7" t="str">
        <f>D18</f>
        <v>DS-D02</v>
      </c>
      <c r="K18" s="6" t="s">
        <v>8</v>
      </c>
      <c r="L18" s="6" t="s">
        <v>7</v>
      </c>
    </row>
    <row r="19" spans="1:12" s="1" customFormat="1" ht="30" customHeight="1" x14ac:dyDescent="0.25">
      <c r="A19" s="29" t="s">
        <v>38</v>
      </c>
      <c r="B19" s="30"/>
      <c r="C19" s="30"/>
      <c r="D19" s="31"/>
      <c r="E19" s="5"/>
      <c r="F19" s="29" t="s">
        <v>38</v>
      </c>
      <c r="G19" s="30"/>
      <c r="H19" s="30"/>
      <c r="I19" s="31"/>
      <c r="K19" s="1">
        <v>540</v>
      </c>
      <c r="L19" s="1">
        <v>80</v>
      </c>
    </row>
    <row r="20" spans="1:12" s="1" customFormat="1" ht="30" customHeight="1" x14ac:dyDescent="0.25">
      <c r="A20" s="32" t="s">
        <v>12</v>
      </c>
      <c r="B20" s="33"/>
      <c r="C20" s="33" t="s">
        <v>13</v>
      </c>
      <c r="D20" s="34"/>
      <c r="E20" s="4"/>
      <c r="F20" s="32" t="str">
        <f>A20</f>
        <v>PCR-Q</v>
      </c>
      <c r="G20" s="33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6">
        <v>22795</v>
      </c>
      <c r="C21" s="26"/>
      <c r="D21" s="27"/>
      <c r="E21" s="4"/>
      <c r="F21" s="12" t="s">
        <v>4</v>
      </c>
      <c r="G21" s="26">
        <f>B21</f>
        <v>22795</v>
      </c>
      <c r="H21" s="26"/>
      <c r="I21" s="27"/>
    </row>
    <row r="22" spans="1:12" ht="63.75" customHeight="1" x14ac:dyDescent="0.25">
      <c r="A22" s="28" t="s">
        <v>19</v>
      </c>
      <c r="B22" s="28"/>
      <c r="C22" s="28"/>
      <c r="D22" s="28"/>
      <c r="E22" s="2"/>
      <c r="F22" s="28" t="str">
        <f>A22</f>
        <v>Oval DS Top-Fill - Cream Screen</v>
      </c>
      <c r="G22" s="28"/>
      <c r="H22" s="28"/>
      <c r="I22" s="28"/>
    </row>
    <row r="23" spans="1:12" s="1" customFormat="1" ht="30" customHeight="1" x14ac:dyDescent="0.25">
      <c r="A23" s="15" t="s">
        <v>0</v>
      </c>
      <c r="B23" s="16"/>
      <c r="C23" s="15" t="s">
        <v>1</v>
      </c>
      <c r="D23" s="16"/>
      <c r="E23" s="3"/>
      <c r="F23" s="15" t="s">
        <v>0</v>
      </c>
      <c r="G23" s="16"/>
      <c r="H23" s="15" t="s">
        <v>1</v>
      </c>
      <c r="I23" s="16"/>
    </row>
    <row r="24" spans="1:12" s="1" customFormat="1" ht="30" customHeight="1" x14ac:dyDescent="0.25">
      <c r="A24" s="15" t="s">
        <v>2</v>
      </c>
      <c r="B24" s="16"/>
      <c r="C24" s="15" t="s">
        <v>5</v>
      </c>
      <c r="D24" s="7" t="s">
        <v>20</v>
      </c>
      <c r="E24" s="4"/>
      <c r="F24" s="15" t="s">
        <v>2</v>
      </c>
      <c r="G24" s="16"/>
      <c r="H24" s="15" t="s">
        <v>5</v>
      </c>
      <c r="I24" s="7" t="str">
        <f>D24</f>
        <v>23B</v>
      </c>
    </row>
    <row r="25" spans="1:12" s="1" customFormat="1" ht="53.25" customHeight="1" x14ac:dyDescent="0.25">
      <c r="A25" s="8" t="s">
        <v>3</v>
      </c>
      <c r="B25" s="9">
        <v>4</v>
      </c>
      <c r="C25" s="15" t="s">
        <v>6</v>
      </c>
      <c r="D25" s="7" t="s">
        <v>21</v>
      </c>
      <c r="E25" s="4"/>
      <c r="F25" s="8" t="s">
        <v>3</v>
      </c>
      <c r="G25" s="9">
        <v>16</v>
      </c>
      <c r="H25" s="15" t="s">
        <v>6</v>
      </c>
      <c r="I25" s="7" t="str">
        <f>D25</f>
        <v>DS-D02</v>
      </c>
      <c r="K25" s="6" t="s">
        <v>8</v>
      </c>
      <c r="L25" s="6" t="s">
        <v>7</v>
      </c>
    </row>
    <row r="26" spans="1:12" s="1" customFormat="1" ht="30" customHeight="1" x14ac:dyDescent="0.25">
      <c r="A26" s="29" t="s">
        <v>38</v>
      </c>
      <c r="B26" s="30"/>
      <c r="C26" s="30"/>
      <c r="D26" s="31"/>
      <c r="E26" s="5"/>
      <c r="F26" s="29" t="s">
        <v>38</v>
      </c>
      <c r="G26" s="30"/>
      <c r="H26" s="30"/>
      <c r="I26" s="31"/>
      <c r="K26" s="1">
        <v>540</v>
      </c>
      <c r="L26" s="1">
        <v>80</v>
      </c>
    </row>
    <row r="27" spans="1:12" s="1" customFormat="1" ht="30" customHeight="1" x14ac:dyDescent="0.25">
      <c r="A27" s="32" t="s">
        <v>12</v>
      </c>
      <c r="B27" s="33"/>
      <c r="C27" s="33" t="s">
        <v>13</v>
      </c>
      <c r="D27" s="34"/>
      <c r="E27" s="4"/>
      <c r="F27" s="32" t="str">
        <f>A27</f>
        <v>PCR-Q</v>
      </c>
      <c r="G27" s="33"/>
      <c r="H27" s="33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6">
        <v>22795</v>
      </c>
      <c r="C28" s="26"/>
      <c r="D28" s="27"/>
      <c r="E28" s="4"/>
      <c r="F28" s="12" t="s">
        <v>4</v>
      </c>
      <c r="G28" s="26">
        <f>B28</f>
        <v>22795</v>
      </c>
      <c r="H28" s="26"/>
      <c r="I28" s="27"/>
    </row>
    <row r="29" spans="1:12" ht="63.75" customHeight="1" x14ac:dyDescent="0.25">
      <c r="A29" s="28" t="s">
        <v>19</v>
      </c>
      <c r="B29" s="28"/>
      <c r="C29" s="28"/>
      <c r="D29" s="28"/>
      <c r="E29" s="2"/>
      <c r="F29" s="28" t="str">
        <f>A29</f>
        <v>Oval DS Top-Fill - Cream Screen</v>
      </c>
      <c r="G29" s="28"/>
      <c r="H29" s="28"/>
      <c r="I29" s="28"/>
    </row>
    <row r="30" spans="1:12" s="1" customFormat="1" ht="30" customHeight="1" x14ac:dyDescent="0.25">
      <c r="A30" s="15" t="s">
        <v>0</v>
      </c>
      <c r="B30" s="16"/>
      <c r="C30" s="15" t="s">
        <v>1</v>
      </c>
      <c r="D30" s="16"/>
      <c r="E30" s="3"/>
      <c r="F30" s="15" t="s">
        <v>0</v>
      </c>
      <c r="G30" s="16"/>
      <c r="H30" s="15" t="s">
        <v>1</v>
      </c>
      <c r="I30" s="16"/>
    </row>
    <row r="31" spans="1:12" s="1" customFormat="1" ht="30" customHeight="1" x14ac:dyDescent="0.25">
      <c r="A31" s="15" t="s">
        <v>2</v>
      </c>
      <c r="B31" s="16"/>
      <c r="C31" s="15" t="s">
        <v>5</v>
      </c>
      <c r="D31" s="7" t="s">
        <v>20</v>
      </c>
      <c r="E31" s="4"/>
      <c r="F31" s="15" t="s">
        <v>2</v>
      </c>
      <c r="G31" s="16"/>
      <c r="H31" s="15" t="s">
        <v>5</v>
      </c>
      <c r="I31" s="7" t="str">
        <f>D31</f>
        <v>23B</v>
      </c>
    </row>
    <row r="32" spans="1:12" s="1" customFormat="1" ht="53.25" customHeight="1" x14ac:dyDescent="0.25">
      <c r="A32" s="8" t="s">
        <v>3</v>
      </c>
      <c r="B32" s="9">
        <v>5</v>
      </c>
      <c r="C32" s="15" t="s">
        <v>6</v>
      </c>
      <c r="D32" s="7" t="s">
        <v>21</v>
      </c>
      <c r="E32" s="4"/>
      <c r="F32" s="8" t="s">
        <v>3</v>
      </c>
      <c r="G32" s="9">
        <v>17</v>
      </c>
      <c r="H32" s="15" t="s">
        <v>6</v>
      </c>
      <c r="I32" s="7" t="str">
        <f>D32</f>
        <v>DS-D02</v>
      </c>
      <c r="K32" s="6" t="s">
        <v>8</v>
      </c>
      <c r="L32" s="6" t="s">
        <v>7</v>
      </c>
    </row>
    <row r="33" spans="1:12" s="1" customFormat="1" ht="30" customHeight="1" x14ac:dyDescent="0.25">
      <c r="A33" s="29" t="s">
        <v>38</v>
      </c>
      <c r="B33" s="30"/>
      <c r="C33" s="30"/>
      <c r="D33" s="31"/>
      <c r="E33" s="5"/>
      <c r="F33" s="29" t="s">
        <v>38</v>
      </c>
      <c r="G33" s="30"/>
      <c r="H33" s="30"/>
      <c r="I33" s="31"/>
      <c r="K33" s="1">
        <v>540</v>
      </c>
      <c r="L33" s="1">
        <v>80</v>
      </c>
    </row>
    <row r="34" spans="1:12" s="1" customFormat="1" ht="30" customHeight="1" x14ac:dyDescent="0.25">
      <c r="A34" s="32" t="s">
        <v>12</v>
      </c>
      <c r="B34" s="33"/>
      <c r="C34" s="33" t="s">
        <v>13</v>
      </c>
      <c r="D34" s="34"/>
      <c r="E34" s="4"/>
      <c r="F34" s="32" t="str">
        <f>A34</f>
        <v>PCR-Q</v>
      </c>
      <c r="G34" s="33"/>
      <c r="H34" s="33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6">
        <v>22795</v>
      </c>
      <c r="C35" s="26"/>
      <c r="D35" s="27"/>
      <c r="E35" s="4"/>
      <c r="F35" s="12" t="s">
        <v>4</v>
      </c>
      <c r="G35" s="26">
        <f>B35</f>
        <v>22795</v>
      </c>
      <c r="H35" s="26"/>
      <c r="I35" s="27"/>
    </row>
    <row r="36" spans="1:12" ht="63.75" customHeight="1" x14ac:dyDescent="0.25">
      <c r="A36" s="28" t="s">
        <v>19</v>
      </c>
      <c r="B36" s="28"/>
      <c r="C36" s="28"/>
      <c r="D36" s="28"/>
      <c r="E36" s="2"/>
      <c r="F36" s="28" t="str">
        <f>A36</f>
        <v>Oval DS Top-Fill - Cream Screen</v>
      </c>
      <c r="G36" s="28"/>
      <c r="H36" s="28"/>
      <c r="I36" s="28"/>
    </row>
    <row r="37" spans="1:12" s="1" customFormat="1" ht="30" customHeight="1" x14ac:dyDescent="0.25">
      <c r="A37" s="15" t="s">
        <v>0</v>
      </c>
      <c r="B37" s="16"/>
      <c r="C37" s="15" t="s">
        <v>1</v>
      </c>
      <c r="D37" s="16"/>
      <c r="E37" s="3"/>
      <c r="F37" s="15" t="s">
        <v>0</v>
      </c>
      <c r="G37" s="16"/>
      <c r="H37" s="15" t="s">
        <v>1</v>
      </c>
      <c r="I37" s="16"/>
    </row>
    <row r="38" spans="1:12" s="1" customFormat="1" ht="30" customHeight="1" x14ac:dyDescent="0.25">
      <c r="A38" s="15" t="s">
        <v>2</v>
      </c>
      <c r="B38" s="16"/>
      <c r="C38" s="15" t="s">
        <v>5</v>
      </c>
      <c r="D38" s="7" t="s">
        <v>20</v>
      </c>
      <c r="E38" s="4"/>
      <c r="F38" s="15" t="s">
        <v>2</v>
      </c>
      <c r="G38" s="16"/>
      <c r="H38" s="15" t="s">
        <v>5</v>
      </c>
      <c r="I38" s="7" t="str">
        <f>D38</f>
        <v>23B</v>
      </c>
    </row>
    <row r="39" spans="1:12" s="1" customFormat="1" ht="53.25" customHeight="1" x14ac:dyDescent="0.25">
      <c r="A39" s="8" t="s">
        <v>3</v>
      </c>
      <c r="B39" s="9">
        <v>6</v>
      </c>
      <c r="C39" s="15" t="s">
        <v>6</v>
      </c>
      <c r="D39" s="7" t="s">
        <v>21</v>
      </c>
      <c r="E39" s="4"/>
      <c r="F39" s="8" t="s">
        <v>3</v>
      </c>
      <c r="G39" s="9">
        <v>18</v>
      </c>
      <c r="H39" s="15" t="s">
        <v>6</v>
      </c>
      <c r="I39" s="7" t="str">
        <f>D39</f>
        <v>DS-D02</v>
      </c>
      <c r="K39" s="6" t="s">
        <v>8</v>
      </c>
      <c r="L39" s="6" t="s">
        <v>7</v>
      </c>
    </row>
    <row r="40" spans="1:12" s="1" customFormat="1" ht="30" customHeight="1" x14ac:dyDescent="0.25">
      <c r="A40" s="29" t="s">
        <v>38</v>
      </c>
      <c r="B40" s="30"/>
      <c r="C40" s="30"/>
      <c r="D40" s="31"/>
      <c r="E40" s="5"/>
      <c r="F40" s="29" t="s">
        <v>38</v>
      </c>
      <c r="G40" s="30"/>
      <c r="H40" s="30"/>
      <c r="I40" s="31"/>
      <c r="K40" s="1">
        <v>540</v>
      </c>
      <c r="L40" s="1">
        <v>80</v>
      </c>
    </row>
    <row r="41" spans="1:12" s="1" customFormat="1" ht="30" customHeight="1" x14ac:dyDescent="0.25">
      <c r="A41" s="32" t="s">
        <v>12</v>
      </c>
      <c r="B41" s="33"/>
      <c r="C41" s="33" t="s">
        <v>13</v>
      </c>
      <c r="D41" s="34"/>
      <c r="E41" s="4"/>
      <c r="F41" s="32" t="str">
        <f>A41</f>
        <v>PCR-Q</v>
      </c>
      <c r="G41" s="33"/>
      <c r="H41" s="33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6">
        <v>22795</v>
      </c>
      <c r="C42" s="26"/>
      <c r="D42" s="27"/>
      <c r="E42" s="4"/>
      <c r="F42" s="12" t="s">
        <v>4</v>
      </c>
      <c r="G42" s="26">
        <f>B42</f>
        <v>22795</v>
      </c>
      <c r="H42" s="26"/>
      <c r="I42" s="27"/>
    </row>
    <row r="43" spans="1:12" ht="63.75" customHeight="1" x14ac:dyDescent="0.25">
      <c r="A43" s="28" t="s">
        <v>19</v>
      </c>
      <c r="B43" s="28"/>
      <c r="C43" s="28"/>
      <c r="D43" s="28"/>
      <c r="E43" s="2"/>
      <c r="F43" s="28" t="str">
        <f>A43</f>
        <v>Oval DS Top-Fill - Cream Screen</v>
      </c>
      <c r="G43" s="28"/>
      <c r="H43" s="28"/>
      <c r="I43" s="28"/>
    </row>
    <row r="44" spans="1:12" s="1" customFormat="1" ht="30" customHeight="1" x14ac:dyDescent="0.25">
      <c r="A44" s="15" t="s">
        <v>0</v>
      </c>
      <c r="B44" s="16"/>
      <c r="C44" s="15" t="s">
        <v>1</v>
      </c>
      <c r="D44" s="16"/>
      <c r="E44" s="3"/>
      <c r="F44" s="15" t="s">
        <v>0</v>
      </c>
      <c r="G44" s="16"/>
      <c r="H44" s="15" t="s">
        <v>1</v>
      </c>
      <c r="I44" s="16"/>
    </row>
    <row r="45" spans="1:12" s="1" customFormat="1" ht="30" customHeight="1" x14ac:dyDescent="0.25">
      <c r="A45" s="15" t="s">
        <v>2</v>
      </c>
      <c r="B45" s="16"/>
      <c r="C45" s="15" t="s">
        <v>5</v>
      </c>
      <c r="D45" s="7" t="s">
        <v>20</v>
      </c>
      <c r="E45" s="4"/>
      <c r="F45" s="15" t="s">
        <v>2</v>
      </c>
      <c r="G45" s="16"/>
      <c r="H45" s="15" t="s">
        <v>5</v>
      </c>
      <c r="I45" s="7" t="str">
        <f>D45</f>
        <v>23B</v>
      </c>
    </row>
    <row r="46" spans="1:12" s="1" customFormat="1" ht="53.25" customHeight="1" x14ac:dyDescent="0.25">
      <c r="A46" s="8" t="s">
        <v>3</v>
      </c>
      <c r="B46" s="9">
        <v>7</v>
      </c>
      <c r="C46" s="15" t="s">
        <v>6</v>
      </c>
      <c r="D46" s="7" t="s">
        <v>21</v>
      </c>
      <c r="E46" s="4"/>
      <c r="F46" s="8" t="s">
        <v>3</v>
      </c>
      <c r="G46" s="9">
        <v>19</v>
      </c>
      <c r="H46" s="15" t="s">
        <v>6</v>
      </c>
      <c r="I46" s="7" t="str">
        <f>D46</f>
        <v>DS-D02</v>
      </c>
      <c r="K46" s="6" t="s">
        <v>8</v>
      </c>
      <c r="L46" s="6" t="s">
        <v>7</v>
      </c>
    </row>
    <row r="47" spans="1:12" s="1" customFormat="1" ht="30" customHeight="1" x14ac:dyDescent="0.25">
      <c r="A47" s="29" t="s">
        <v>38</v>
      </c>
      <c r="B47" s="30"/>
      <c r="C47" s="30"/>
      <c r="D47" s="31"/>
      <c r="E47" s="5"/>
      <c r="F47" s="29" t="s">
        <v>38</v>
      </c>
      <c r="G47" s="30"/>
      <c r="H47" s="30"/>
      <c r="I47" s="31"/>
      <c r="K47" s="1">
        <v>540</v>
      </c>
      <c r="L47" s="1">
        <v>80</v>
      </c>
    </row>
    <row r="48" spans="1:12" s="1" customFormat="1" ht="30" customHeight="1" x14ac:dyDescent="0.25">
      <c r="A48" s="32" t="s">
        <v>12</v>
      </c>
      <c r="B48" s="33"/>
      <c r="C48" s="33" t="s">
        <v>13</v>
      </c>
      <c r="D48" s="34"/>
      <c r="E48" s="4"/>
      <c r="F48" s="32" t="str">
        <f>A48</f>
        <v>PCR-Q</v>
      </c>
      <c r="G48" s="33"/>
      <c r="H48" s="33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6">
        <v>22795</v>
      </c>
      <c r="C49" s="26"/>
      <c r="D49" s="27"/>
      <c r="E49" s="4"/>
      <c r="F49" s="12" t="s">
        <v>4</v>
      </c>
      <c r="G49" s="26">
        <f>B49</f>
        <v>22795</v>
      </c>
      <c r="H49" s="26"/>
      <c r="I49" s="27"/>
    </row>
    <row r="50" spans="1:12" ht="63.75" customHeight="1" x14ac:dyDescent="0.25">
      <c r="A50" s="28" t="s">
        <v>19</v>
      </c>
      <c r="B50" s="28"/>
      <c r="C50" s="28"/>
      <c r="D50" s="28"/>
      <c r="E50" s="2"/>
      <c r="F50" s="28" t="str">
        <f>A50</f>
        <v>Oval DS Top-Fill - Cream Screen</v>
      </c>
      <c r="G50" s="28"/>
      <c r="H50" s="28"/>
      <c r="I50" s="28"/>
    </row>
    <row r="51" spans="1:12" s="1" customFormat="1" ht="30" customHeight="1" x14ac:dyDescent="0.25">
      <c r="A51" s="15" t="s">
        <v>0</v>
      </c>
      <c r="B51" s="16"/>
      <c r="C51" s="15" t="s">
        <v>1</v>
      </c>
      <c r="D51" s="16"/>
      <c r="E51" s="3"/>
      <c r="F51" s="15" t="s">
        <v>0</v>
      </c>
      <c r="G51" s="16"/>
      <c r="H51" s="15" t="s">
        <v>1</v>
      </c>
      <c r="I51" s="16"/>
    </row>
    <row r="52" spans="1:12" s="1" customFormat="1" ht="30" customHeight="1" x14ac:dyDescent="0.25">
      <c r="A52" s="15" t="s">
        <v>2</v>
      </c>
      <c r="B52" s="16"/>
      <c r="C52" s="15" t="s">
        <v>5</v>
      </c>
      <c r="D52" s="7" t="s">
        <v>20</v>
      </c>
      <c r="E52" s="4"/>
      <c r="F52" s="15" t="s">
        <v>2</v>
      </c>
      <c r="G52" s="16"/>
      <c r="H52" s="15" t="s">
        <v>5</v>
      </c>
      <c r="I52" s="7" t="str">
        <f>D52</f>
        <v>23B</v>
      </c>
    </row>
    <row r="53" spans="1:12" s="1" customFormat="1" ht="53.25" customHeight="1" x14ac:dyDescent="0.25">
      <c r="A53" s="8" t="s">
        <v>3</v>
      </c>
      <c r="B53" s="9">
        <v>8</v>
      </c>
      <c r="C53" s="15" t="s">
        <v>6</v>
      </c>
      <c r="D53" s="7" t="s">
        <v>21</v>
      </c>
      <c r="E53" s="4"/>
      <c r="F53" s="8" t="s">
        <v>3</v>
      </c>
      <c r="G53" s="9">
        <v>20</v>
      </c>
      <c r="H53" s="15" t="s">
        <v>6</v>
      </c>
      <c r="I53" s="7" t="str">
        <f>D53</f>
        <v>DS-D02</v>
      </c>
      <c r="K53" s="6" t="s">
        <v>8</v>
      </c>
      <c r="L53" s="6" t="s">
        <v>7</v>
      </c>
    </row>
    <row r="54" spans="1:12" s="1" customFormat="1" ht="30" customHeight="1" x14ac:dyDescent="0.25">
      <c r="A54" s="29" t="s">
        <v>38</v>
      </c>
      <c r="B54" s="30"/>
      <c r="C54" s="30"/>
      <c r="D54" s="31"/>
      <c r="E54" s="5"/>
      <c r="F54" s="29" t="s">
        <v>38</v>
      </c>
      <c r="G54" s="30"/>
      <c r="H54" s="30"/>
      <c r="I54" s="31"/>
      <c r="K54" s="1">
        <v>540</v>
      </c>
      <c r="L54" s="1">
        <v>80</v>
      </c>
    </row>
    <row r="55" spans="1:12" s="1" customFormat="1" ht="30" customHeight="1" x14ac:dyDescent="0.25">
      <c r="A55" s="32" t="s">
        <v>12</v>
      </c>
      <c r="B55" s="33"/>
      <c r="C55" s="33" t="s">
        <v>13</v>
      </c>
      <c r="D55" s="34"/>
      <c r="E55" s="4"/>
      <c r="F55" s="32" t="str">
        <f>A55</f>
        <v>PCR-Q</v>
      </c>
      <c r="G55" s="33"/>
      <c r="H55" s="33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6">
        <v>22795</v>
      </c>
      <c r="C56" s="26"/>
      <c r="D56" s="27"/>
      <c r="E56" s="4"/>
      <c r="F56" s="12" t="s">
        <v>4</v>
      </c>
      <c r="G56" s="26">
        <f>B56</f>
        <v>22795</v>
      </c>
      <c r="H56" s="26"/>
      <c r="I56" s="27"/>
    </row>
    <row r="57" spans="1:12" ht="63.75" customHeight="1" x14ac:dyDescent="0.25">
      <c r="A57" s="28" t="s">
        <v>19</v>
      </c>
      <c r="B57" s="28"/>
      <c r="C57" s="28"/>
      <c r="D57" s="28"/>
      <c r="E57" s="2"/>
      <c r="F57" s="28" t="str">
        <f>A57</f>
        <v>Oval DS Top-Fill - Cream Screen</v>
      </c>
      <c r="G57" s="28"/>
      <c r="H57" s="28"/>
      <c r="I57" s="28"/>
    </row>
    <row r="58" spans="1:12" s="1" customFormat="1" ht="30" customHeight="1" x14ac:dyDescent="0.25">
      <c r="A58" s="15" t="s">
        <v>0</v>
      </c>
      <c r="B58" s="16"/>
      <c r="C58" s="15" t="s">
        <v>1</v>
      </c>
      <c r="D58" s="16"/>
      <c r="E58" s="3"/>
      <c r="F58" s="15" t="s">
        <v>0</v>
      </c>
      <c r="G58" s="16"/>
      <c r="H58" s="15" t="s">
        <v>1</v>
      </c>
      <c r="I58" s="16"/>
    </row>
    <row r="59" spans="1:12" s="1" customFormat="1" ht="30" customHeight="1" x14ac:dyDescent="0.25">
      <c r="A59" s="15" t="s">
        <v>2</v>
      </c>
      <c r="B59" s="16"/>
      <c r="C59" s="15" t="s">
        <v>5</v>
      </c>
      <c r="D59" s="7" t="s">
        <v>20</v>
      </c>
      <c r="E59" s="4"/>
      <c r="F59" s="15" t="s">
        <v>2</v>
      </c>
      <c r="G59" s="16"/>
      <c r="H59" s="15" t="s">
        <v>5</v>
      </c>
      <c r="I59" s="7" t="str">
        <f>D59</f>
        <v>23B</v>
      </c>
    </row>
    <row r="60" spans="1:12" s="1" customFormat="1" ht="53.25" customHeight="1" x14ac:dyDescent="0.25">
      <c r="A60" s="8" t="s">
        <v>3</v>
      </c>
      <c r="B60" s="9">
        <v>9</v>
      </c>
      <c r="C60" s="15" t="s">
        <v>6</v>
      </c>
      <c r="D60" s="7" t="s">
        <v>21</v>
      </c>
      <c r="E60" s="4"/>
      <c r="F60" s="8" t="s">
        <v>3</v>
      </c>
      <c r="G60" s="9">
        <v>21</v>
      </c>
      <c r="H60" s="15" t="s">
        <v>6</v>
      </c>
      <c r="I60" s="7" t="str">
        <f>D60</f>
        <v>DS-D02</v>
      </c>
      <c r="K60" s="6" t="s">
        <v>8</v>
      </c>
      <c r="L60" s="6" t="s">
        <v>7</v>
      </c>
    </row>
    <row r="61" spans="1:12" s="1" customFormat="1" ht="30" customHeight="1" x14ac:dyDescent="0.25">
      <c r="A61" s="29" t="s">
        <v>38</v>
      </c>
      <c r="B61" s="30"/>
      <c r="C61" s="30"/>
      <c r="D61" s="31"/>
      <c r="E61" s="5"/>
      <c r="F61" s="29" t="s">
        <v>38</v>
      </c>
      <c r="G61" s="30"/>
      <c r="H61" s="30"/>
      <c r="I61" s="31"/>
      <c r="K61" s="1">
        <v>540</v>
      </c>
      <c r="L61" s="1">
        <v>80</v>
      </c>
    </row>
    <row r="62" spans="1:12" s="1" customFormat="1" ht="30" customHeight="1" x14ac:dyDescent="0.25">
      <c r="A62" s="32" t="s">
        <v>12</v>
      </c>
      <c r="B62" s="33"/>
      <c r="C62" s="33" t="s">
        <v>13</v>
      </c>
      <c r="D62" s="34"/>
      <c r="E62" s="4"/>
      <c r="F62" s="32" t="str">
        <f>A62</f>
        <v>PCR-Q</v>
      </c>
      <c r="G62" s="33"/>
      <c r="H62" s="33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6">
        <v>22795</v>
      </c>
      <c r="C63" s="26"/>
      <c r="D63" s="27"/>
      <c r="E63" s="4"/>
      <c r="F63" s="12" t="s">
        <v>4</v>
      </c>
      <c r="G63" s="26">
        <f>B63</f>
        <v>22795</v>
      </c>
      <c r="H63" s="26"/>
      <c r="I63" s="27"/>
    </row>
    <row r="64" spans="1:12" ht="63.75" customHeight="1" x14ac:dyDescent="0.25">
      <c r="A64" s="28" t="s">
        <v>19</v>
      </c>
      <c r="B64" s="28"/>
      <c r="C64" s="28"/>
      <c r="D64" s="28"/>
      <c r="E64" s="2"/>
      <c r="F64" s="28" t="str">
        <f>A64</f>
        <v>Oval DS Top-Fill - Cream Screen</v>
      </c>
      <c r="G64" s="28"/>
      <c r="H64" s="28"/>
      <c r="I64" s="28"/>
    </row>
    <row r="65" spans="1:12" s="1" customFormat="1" ht="30" customHeight="1" x14ac:dyDescent="0.25">
      <c r="A65" s="15" t="s">
        <v>0</v>
      </c>
      <c r="B65" s="16"/>
      <c r="C65" s="15" t="s">
        <v>1</v>
      </c>
      <c r="D65" s="16"/>
      <c r="E65" s="3"/>
      <c r="F65" s="15" t="s">
        <v>0</v>
      </c>
      <c r="G65" s="16"/>
      <c r="H65" s="15" t="s">
        <v>1</v>
      </c>
      <c r="I65" s="16"/>
    </row>
    <row r="66" spans="1:12" s="1" customFormat="1" ht="30" customHeight="1" x14ac:dyDescent="0.25">
      <c r="A66" s="15" t="s">
        <v>2</v>
      </c>
      <c r="B66" s="16"/>
      <c r="C66" s="15" t="s">
        <v>5</v>
      </c>
      <c r="D66" s="7" t="s">
        <v>20</v>
      </c>
      <c r="E66" s="4"/>
      <c r="F66" s="15" t="s">
        <v>2</v>
      </c>
      <c r="G66" s="16"/>
      <c r="H66" s="15" t="s">
        <v>5</v>
      </c>
      <c r="I66" s="7" t="str">
        <f>D66</f>
        <v>23B</v>
      </c>
    </row>
    <row r="67" spans="1:12" s="1" customFormat="1" ht="53.25" customHeight="1" x14ac:dyDescent="0.25">
      <c r="A67" s="8" t="s">
        <v>3</v>
      </c>
      <c r="B67" s="9">
        <v>10</v>
      </c>
      <c r="C67" s="15" t="s">
        <v>6</v>
      </c>
      <c r="D67" s="7" t="s">
        <v>21</v>
      </c>
      <c r="E67" s="4"/>
      <c r="F67" s="8" t="s">
        <v>3</v>
      </c>
      <c r="G67" s="9">
        <v>22</v>
      </c>
      <c r="H67" s="15" t="s">
        <v>6</v>
      </c>
      <c r="I67" s="7" t="str">
        <f>D67</f>
        <v>DS-D02</v>
      </c>
      <c r="K67" s="6" t="s">
        <v>8</v>
      </c>
      <c r="L67" s="6" t="s">
        <v>7</v>
      </c>
    </row>
    <row r="68" spans="1:12" s="1" customFormat="1" ht="30" customHeight="1" x14ac:dyDescent="0.25">
      <c r="A68" s="29" t="s">
        <v>38</v>
      </c>
      <c r="B68" s="30"/>
      <c r="C68" s="30"/>
      <c r="D68" s="31"/>
      <c r="E68" s="5"/>
      <c r="F68" s="29" t="s">
        <v>38</v>
      </c>
      <c r="G68" s="30"/>
      <c r="H68" s="30"/>
      <c r="I68" s="31"/>
      <c r="K68" s="1">
        <v>540</v>
      </c>
      <c r="L68" s="1">
        <v>80</v>
      </c>
    </row>
    <row r="69" spans="1:12" s="1" customFormat="1" ht="30" customHeight="1" x14ac:dyDescent="0.25">
      <c r="A69" s="32" t="s">
        <v>12</v>
      </c>
      <c r="B69" s="33"/>
      <c r="C69" s="33" t="s">
        <v>13</v>
      </c>
      <c r="D69" s="34"/>
      <c r="E69" s="4"/>
      <c r="F69" s="32" t="str">
        <f>A69</f>
        <v>PCR-Q</v>
      </c>
      <c r="G69" s="33"/>
      <c r="H69" s="33" t="str">
        <f>C69</f>
        <v>White</v>
      </c>
      <c r="I69" s="34"/>
    </row>
    <row r="70" spans="1:12" s="1" customFormat="1" ht="30" customHeight="1" x14ac:dyDescent="0.25">
      <c r="A70" s="12" t="s">
        <v>4</v>
      </c>
      <c r="B70" s="26">
        <v>22795</v>
      </c>
      <c r="C70" s="26"/>
      <c r="D70" s="27"/>
      <c r="E70" s="4"/>
      <c r="F70" s="12" t="s">
        <v>4</v>
      </c>
      <c r="G70" s="26">
        <f>B70</f>
        <v>22795</v>
      </c>
      <c r="H70" s="26"/>
      <c r="I70" s="27"/>
    </row>
    <row r="71" spans="1:12" ht="63.75" customHeight="1" x14ac:dyDescent="0.25">
      <c r="A71" s="28" t="s">
        <v>19</v>
      </c>
      <c r="B71" s="28"/>
      <c r="C71" s="28"/>
      <c r="D71" s="28"/>
      <c r="E71" s="2"/>
      <c r="F71" s="28" t="str">
        <f>A71</f>
        <v>Oval DS Top-Fill - Cream Screen</v>
      </c>
      <c r="G71" s="28"/>
      <c r="H71" s="28"/>
      <c r="I71" s="28"/>
    </row>
    <row r="72" spans="1:12" s="1" customFormat="1" ht="30" customHeight="1" x14ac:dyDescent="0.25">
      <c r="A72" s="15" t="s">
        <v>0</v>
      </c>
      <c r="B72" s="16"/>
      <c r="C72" s="15" t="s">
        <v>1</v>
      </c>
      <c r="D72" s="16"/>
      <c r="E72" s="3"/>
      <c r="F72" s="15" t="s">
        <v>0</v>
      </c>
      <c r="G72" s="16"/>
      <c r="H72" s="15" t="s">
        <v>1</v>
      </c>
      <c r="I72" s="16"/>
    </row>
    <row r="73" spans="1:12" s="1" customFormat="1" ht="30" customHeight="1" x14ac:dyDescent="0.25">
      <c r="A73" s="15" t="s">
        <v>2</v>
      </c>
      <c r="B73" s="16"/>
      <c r="C73" s="15" t="s">
        <v>5</v>
      </c>
      <c r="D73" s="7" t="s">
        <v>20</v>
      </c>
      <c r="E73" s="4"/>
      <c r="F73" s="15" t="s">
        <v>2</v>
      </c>
      <c r="G73" s="16"/>
      <c r="H73" s="15" t="s">
        <v>5</v>
      </c>
      <c r="I73" s="7" t="str">
        <f>D73</f>
        <v>23B</v>
      </c>
    </row>
    <row r="74" spans="1:12" s="1" customFormat="1" ht="53.25" customHeight="1" x14ac:dyDescent="0.25">
      <c r="A74" s="8" t="s">
        <v>3</v>
      </c>
      <c r="B74" s="9">
        <v>11</v>
      </c>
      <c r="C74" s="15" t="s">
        <v>6</v>
      </c>
      <c r="D74" s="7" t="s">
        <v>21</v>
      </c>
      <c r="E74" s="4"/>
      <c r="F74" s="8" t="s">
        <v>3</v>
      </c>
      <c r="G74" s="9">
        <v>23</v>
      </c>
      <c r="H74" s="15" t="s">
        <v>6</v>
      </c>
      <c r="I74" s="7" t="str">
        <f>D74</f>
        <v>DS-D02</v>
      </c>
      <c r="K74" s="6" t="s">
        <v>8</v>
      </c>
      <c r="L74" s="6" t="s">
        <v>7</v>
      </c>
    </row>
    <row r="75" spans="1:12" s="1" customFormat="1" ht="30" customHeight="1" x14ac:dyDescent="0.25">
      <c r="A75" s="29" t="s">
        <v>38</v>
      </c>
      <c r="B75" s="30"/>
      <c r="C75" s="30"/>
      <c r="D75" s="31"/>
      <c r="E75" s="5"/>
      <c r="F75" s="29" t="s">
        <v>39</v>
      </c>
      <c r="G75" s="30"/>
      <c r="H75" s="30"/>
      <c r="I75" s="31"/>
      <c r="K75" s="1">
        <v>540</v>
      </c>
      <c r="L75" s="1">
        <v>80</v>
      </c>
    </row>
    <row r="76" spans="1:12" s="1" customFormat="1" ht="30" customHeight="1" x14ac:dyDescent="0.25">
      <c r="A76" s="32" t="s">
        <v>12</v>
      </c>
      <c r="B76" s="33"/>
      <c r="C76" s="33" t="s">
        <v>13</v>
      </c>
      <c r="D76" s="34"/>
      <c r="E76" s="4"/>
      <c r="F76" s="32" t="str">
        <f>A76</f>
        <v>PCR-Q</v>
      </c>
      <c r="G76" s="33"/>
      <c r="H76" s="33" t="str">
        <f>C76</f>
        <v>White</v>
      </c>
      <c r="I76" s="34"/>
    </row>
    <row r="77" spans="1:12" s="1" customFormat="1" ht="30" customHeight="1" x14ac:dyDescent="0.25">
      <c r="A77" s="12" t="s">
        <v>4</v>
      </c>
      <c r="B77" s="26">
        <v>22795</v>
      </c>
      <c r="C77" s="26"/>
      <c r="D77" s="27"/>
      <c r="E77" s="4"/>
      <c r="F77" s="12" t="s">
        <v>4</v>
      </c>
      <c r="G77" s="26">
        <f>B77</f>
        <v>22795</v>
      </c>
      <c r="H77" s="26"/>
      <c r="I77" s="27"/>
    </row>
    <row r="78" spans="1:12" ht="63.75" customHeight="1" x14ac:dyDescent="0.25">
      <c r="A78" s="28" t="s">
        <v>19</v>
      </c>
      <c r="B78" s="28"/>
      <c r="C78" s="28"/>
      <c r="D78" s="28"/>
      <c r="E78" s="2"/>
      <c r="F78" s="35" t="str">
        <f>A78</f>
        <v>Oval DS Top-Fill - Cream Screen</v>
      </c>
      <c r="G78" s="35"/>
      <c r="H78" s="35"/>
      <c r="I78" s="35"/>
    </row>
    <row r="79" spans="1:12" s="1" customFormat="1" ht="30" customHeight="1" x14ac:dyDescent="0.25">
      <c r="A79" s="15" t="s">
        <v>0</v>
      </c>
      <c r="B79" s="16"/>
      <c r="C79" s="15" t="s">
        <v>1</v>
      </c>
      <c r="D79" s="16"/>
      <c r="E79" s="3"/>
      <c r="F79" s="20" t="s">
        <v>0</v>
      </c>
      <c r="G79" s="20"/>
      <c r="H79" s="20" t="s">
        <v>1</v>
      </c>
      <c r="I79" s="20"/>
    </row>
    <row r="80" spans="1:12" s="1" customFormat="1" ht="30" customHeight="1" x14ac:dyDescent="0.25">
      <c r="A80" s="15" t="s">
        <v>2</v>
      </c>
      <c r="B80" s="16"/>
      <c r="C80" s="15" t="s">
        <v>5</v>
      </c>
      <c r="D80" s="7" t="s">
        <v>20</v>
      </c>
      <c r="E80" s="4"/>
      <c r="F80" s="20" t="s">
        <v>2</v>
      </c>
      <c r="G80" s="20"/>
      <c r="H80" s="20" t="s">
        <v>5</v>
      </c>
      <c r="I80" s="17" t="str">
        <f>D80</f>
        <v>23B</v>
      </c>
    </row>
    <row r="81" spans="1:12" s="1" customFormat="1" ht="53.25" customHeight="1" x14ac:dyDescent="0.25">
      <c r="A81" s="8" t="s">
        <v>3</v>
      </c>
      <c r="B81" s="9">
        <v>12</v>
      </c>
      <c r="C81" s="15" t="s">
        <v>6</v>
      </c>
      <c r="D81" s="7" t="s">
        <v>21</v>
      </c>
      <c r="E81" s="4"/>
      <c r="F81" s="18" t="s">
        <v>3</v>
      </c>
      <c r="G81" s="19">
        <v>23</v>
      </c>
      <c r="H81" s="20" t="s">
        <v>6</v>
      </c>
      <c r="I81" s="17" t="str">
        <f>D81</f>
        <v>DS-D02</v>
      </c>
      <c r="K81" s="6" t="s">
        <v>8</v>
      </c>
      <c r="L81" s="6" t="s">
        <v>7</v>
      </c>
    </row>
    <row r="82" spans="1:12" s="1" customFormat="1" ht="30" customHeight="1" x14ac:dyDescent="0.25">
      <c r="A82" s="29" t="s">
        <v>38</v>
      </c>
      <c r="B82" s="30"/>
      <c r="C82" s="30"/>
      <c r="D82" s="31"/>
      <c r="E82" s="5"/>
      <c r="F82" s="36" t="s">
        <v>39</v>
      </c>
      <c r="G82" s="36"/>
      <c r="H82" s="36"/>
      <c r="I82" s="36"/>
      <c r="K82" s="1">
        <v>540</v>
      </c>
      <c r="L82" s="1">
        <v>80</v>
      </c>
    </row>
    <row r="83" spans="1:12" s="1" customFormat="1" ht="30" customHeight="1" x14ac:dyDescent="0.25">
      <c r="A83" s="32" t="s">
        <v>12</v>
      </c>
      <c r="B83" s="33"/>
      <c r="C83" s="33" t="s">
        <v>13</v>
      </c>
      <c r="D83" s="34"/>
      <c r="E83" s="4"/>
      <c r="F83" s="37" t="str">
        <f>A83</f>
        <v>PCR-Q</v>
      </c>
      <c r="G83" s="37"/>
      <c r="H83" s="37" t="str">
        <f>C83</f>
        <v>White</v>
      </c>
      <c r="I83" s="37"/>
    </row>
    <row r="84" spans="1:12" s="1" customFormat="1" ht="30" customHeight="1" x14ac:dyDescent="0.25">
      <c r="A84" s="12" t="s">
        <v>4</v>
      </c>
      <c r="B84" s="26">
        <v>22795</v>
      </c>
      <c r="C84" s="26"/>
      <c r="D84" s="27"/>
      <c r="E84" s="4"/>
      <c r="F84" s="20" t="s">
        <v>4</v>
      </c>
      <c r="G84" s="38">
        <f>B84</f>
        <v>22795</v>
      </c>
      <c r="H84" s="38"/>
      <c r="I84" s="38"/>
    </row>
  </sheetData>
  <mergeCells count="120"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A76:B76"/>
    <mergeCell ref="C76:D76"/>
    <mergeCell ref="F76:G76"/>
    <mergeCell ref="H76:I76"/>
    <mergeCell ref="B77:D77"/>
    <mergeCell ref="G77:I77"/>
    <mergeCell ref="B70:D70"/>
    <mergeCell ref="G70:I70"/>
    <mergeCell ref="A71:D71"/>
    <mergeCell ref="F71:I71"/>
    <mergeCell ref="A75:D75"/>
    <mergeCell ref="F75:I75"/>
    <mergeCell ref="B84:D84"/>
    <mergeCell ref="G84:I84"/>
    <mergeCell ref="A78:D78"/>
    <mergeCell ref="F78:I78"/>
    <mergeCell ref="A82:D82"/>
    <mergeCell ref="F82:I82"/>
    <mergeCell ref="A83:B83"/>
    <mergeCell ref="C83:D83"/>
    <mergeCell ref="F83:G83"/>
    <mergeCell ref="H83:I83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DSTF_18B_Barrel</vt:lpstr>
      <vt:lpstr>DSTF_09A_Platform</vt:lpstr>
      <vt:lpstr>DSTF_19A_Cartridge</vt:lpstr>
      <vt:lpstr>DSTF_11A_Screw</vt:lpstr>
      <vt:lpstr>DSTF_23A_Wheel</vt:lpstr>
      <vt:lpstr>DSTF_19B_Cap</vt:lpstr>
      <vt:lpstr>DSTF_01B_InnerCap</vt:lpstr>
      <vt:lpstr>DSTF_23B_CreamScreen</vt:lpstr>
      <vt:lpstr>DSTF_01B_InnerCap!Print_Area</vt:lpstr>
      <vt:lpstr>DSTF_09A_Platform!Print_Area</vt:lpstr>
      <vt:lpstr>DSTF_11A_Screw!Print_Area</vt:lpstr>
      <vt:lpstr>DSTF_18B_Barrel!Print_Area</vt:lpstr>
      <vt:lpstr>DSTF_19A_Cartridge!Print_Area</vt:lpstr>
      <vt:lpstr>DSTF_19B_Cap!Print_Area</vt:lpstr>
      <vt:lpstr>DSTF_23A_Wheel!Print_Area</vt:lpstr>
      <vt:lpstr>DSTF_23B_CreamScreen!Print_Area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2023-05-08T13:17:34Z</cp:lastPrinted>
  <dcterms:created xsi:type="dcterms:W3CDTF">2023-03-08T16:50:21Z</dcterms:created>
  <dcterms:modified xsi:type="dcterms:W3CDTF">2023-05-08T19:21:25Z</dcterms:modified>
</cp:coreProperties>
</file>