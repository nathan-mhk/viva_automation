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1" state="hidden" r:id="rId3"/>
    <sheet name="Production" sheetId="5" r:id="rId4"/>
    <sheet name="Assembly (DW)" sheetId="6" r:id="rId5"/>
    <sheet name="Final Assem (DW)" sheetId="9" r:id="rId6"/>
    <sheet name="Graph Summary" sheetId="10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(DW)'!$A:$AB</definedName>
    <definedName name="_xlnm.Print_Area" localSheetId="5">'Final Assem (DW)'!$A:$AL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7" r:id="rId9"/>
    <pivotCache cacheId="1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5" i="9" l="1"/>
  <c r="E55" i="9" s="1"/>
  <c r="I54" i="9"/>
  <c r="E54" i="9" s="1"/>
  <c r="I53" i="9"/>
  <c r="E53" i="9" s="1"/>
  <c r="I52" i="9"/>
  <c r="E52" i="9" s="1"/>
  <c r="I72" i="6"/>
  <c r="E72" i="6" s="1"/>
  <c r="I71" i="6"/>
  <c r="E71" i="6" s="1"/>
  <c r="I70" i="6"/>
  <c r="E70" i="6"/>
  <c r="I69" i="6"/>
  <c r="E69" i="6" s="1"/>
  <c r="I68" i="6"/>
  <c r="E68" i="6" s="1"/>
  <c r="I67" i="6"/>
  <c r="E67" i="6" s="1"/>
  <c r="BC119" i="5"/>
  <c r="BB119" i="5"/>
  <c r="BA119" i="5"/>
  <c r="AZ119" i="5"/>
  <c r="AU119" i="5"/>
  <c r="AT119" i="5"/>
  <c r="AS119" i="5"/>
  <c r="AV119" i="5" s="1"/>
  <c r="Y119" i="5"/>
  <c r="X119" i="5"/>
  <c r="S119" i="5"/>
  <c r="R119" i="5" s="1"/>
  <c r="M119" i="5"/>
  <c r="L119" i="5" s="1"/>
  <c r="G119" i="5"/>
  <c r="BC113" i="5"/>
  <c r="BB113" i="5"/>
  <c r="BA113" i="5"/>
  <c r="AZ113" i="5"/>
  <c r="AU113" i="5"/>
  <c r="AT113" i="5"/>
  <c r="AV113" i="5" s="1"/>
  <c r="AS113" i="5"/>
  <c r="Y113" i="5"/>
  <c r="X113" i="5" s="1"/>
  <c r="S113" i="5"/>
  <c r="R113" i="5" s="1"/>
  <c r="M113" i="5"/>
  <c r="L113" i="5" s="1"/>
  <c r="G113" i="5"/>
  <c r="BC110" i="5"/>
  <c r="BB110" i="5"/>
  <c r="BA110" i="5"/>
  <c r="AZ110" i="5"/>
  <c r="AU110" i="5"/>
  <c r="AV110" i="5" s="1"/>
  <c r="AT110" i="5"/>
  <c r="AS110" i="5"/>
  <c r="Y110" i="5"/>
  <c r="X110" i="5" s="1"/>
  <c r="S110" i="5"/>
  <c r="R110" i="5" s="1"/>
  <c r="M110" i="5"/>
  <c r="L110" i="5" s="1"/>
  <c r="G110" i="5"/>
  <c r="BC129" i="5"/>
  <c r="BB129" i="5"/>
  <c r="BA129" i="5"/>
  <c r="AZ129" i="5"/>
  <c r="AU129" i="5"/>
  <c r="AT129" i="5"/>
  <c r="AS129" i="5"/>
  <c r="Y129" i="5"/>
  <c r="X129" i="5" s="1"/>
  <c r="S129" i="5"/>
  <c r="R129" i="5" s="1"/>
  <c r="M129" i="5"/>
  <c r="L129" i="5" s="1"/>
  <c r="G129" i="5"/>
  <c r="BC128" i="5"/>
  <c r="BB128" i="5"/>
  <c r="BA128" i="5"/>
  <c r="AZ128" i="5"/>
  <c r="AU128" i="5"/>
  <c r="AT128" i="5"/>
  <c r="AS128" i="5"/>
  <c r="X128" i="5"/>
  <c r="R128" i="5"/>
  <c r="L128" i="5"/>
  <c r="G128" i="5"/>
  <c r="BC127" i="5"/>
  <c r="BB127" i="5"/>
  <c r="BA127" i="5"/>
  <c r="AZ127" i="5"/>
  <c r="AU127" i="5"/>
  <c r="AT127" i="5"/>
  <c r="AS127" i="5"/>
  <c r="Y127" i="5"/>
  <c r="X127" i="5" s="1"/>
  <c r="S127" i="5"/>
  <c r="R127" i="5" s="1"/>
  <c r="M127" i="5"/>
  <c r="L127" i="5" s="1"/>
  <c r="G127" i="5"/>
  <c r="BC126" i="5"/>
  <c r="BB126" i="5"/>
  <c r="BA126" i="5"/>
  <c r="AZ126" i="5"/>
  <c r="AU126" i="5"/>
  <c r="AT126" i="5"/>
  <c r="AS126" i="5"/>
  <c r="Y126" i="5"/>
  <c r="X126" i="5" s="1"/>
  <c r="S126" i="5"/>
  <c r="R126" i="5" s="1"/>
  <c r="M126" i="5"/>
  <c r="L126" i="5" s="1"/>
  <c r="G126" i="5"/>
  <c r="BC125" i="5"/>
  <c r="BB125" i="5"/>
  <c r="BA125" i="5"/>
  <c r="AZ125" i="5"/>
  <c r="AU125" i="5"/>
  <c r="AT125" i="5"/>
  <c r="AS125" i="5"/>
  <c r="Y125" i="5"/>
  <c r="X125" i="5" s="1"/>
  <c r="S125" i="5"/>
  <c r="R125" i="5" s="1"/>
  <c r="M125" i="5"/>
  <c r="L125" i="5" s="1"/>
  <c r="G125" i="5"/>
  <c r="BC124" i="5"/>
  <c r="BB124" i="5"/>
  <c r="BA124" i="5"/>
  <c r="AZ124" i="5"/>
  <c r="AU124" i="5"/>
  <c r="AT124" i="5"/>
  <c r="AS124" i="5"/>
  <c r="Y124" i="5"/>
  <c r="X124" i="5" s="1"/>
  <c r="S124" i="5"/>
  <c r="R124" i="5" s="1"/>
  <c r="M124" i="5"/>
  <c r="L124" i="5" s="1"/>
  <c r="G124" i="5"/>
  <c r="BC123" i="5"/>
  <c r="BB123" i="5"/>
  <c r="BA123" i="5"/>
  <c r="AZ123" i="5"/>
  <c r="AU123" i="5"/>
  <c r="AT123" i="5"/>
  <c r="AS123" i="5"/>
  <c r="X123" i="5"/>
  <c r="R123" i="5"/>
  <c r="L123" i="5"/>
  <c r="G123" i="5"/>
  <c r="BC122" i="5"/>
  <c r="BB122" i="5"/>
  <c r="BA122" i="5"/>
  <c r="AZ122" i="5"/>
  <c r="AU122" i="5"/>
  <c r="AT122" i="5"/>
  <c r="AS122" i="5"/>
  <c r="Y122" i="5"/>
  <c r="X122" i="5" s="1"/>
  <c r="S122" i="5"/>
  <c r="R122" i="5" s="1"/>
  <c r="M122" i="5"/>
  <c r="L122" i="5" s="1"/>
  <c r="G122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X120" i="5"/>
  <c r="R120" i="5"/>
  <c r="L120" i="5"/>
  <c r="G120" i="5"/>
  <c r="BD119" i="5"/>
  <c r="BD113" i="5"/>
  <c r="BD110" i="5"/>
  <c r="BD129" i="5"/>
  <c r="BD127" i="5"/>
  <c r="BD124" i="5"/>
  <c r="BD128" i="5"/>
  <c r="BD122" i="5"/>
  <c r="BD126" i="5"/>
  <c r="BD120" i="5"/>
  <c r="BD123" i="5"/>
  <c r="BD121" i="5"/>
  <c r="BD125" i="5"/>
  <c r="Z119" i="5" l="1"/>
  <c r="AV124" i="5"/>
  <c r="AA119" i="5"/>
  <c r="Z113" i="5"/>
  <c r="AA113" i="5"/>
  <c r="AA110" i="5"/>
  <c r="Z110" i="5"/>
  <c r="AV128" i="5"/>
  <c r="AV129" i="5"/>
  <c r="AV125" i="5"/>
  <c r="AV123" i="5"/>
  <c r="Z124" i="5"/>
  <c r="AB124" i="5" s="1"/>
  <c r="Z128" i="5"/>
  <c r="Z120" i="5"/>
  <c r="Z129" i="5"/>
  <c r="AB129" i="5" s="1"/>
  <c r="AV122" i="5"/>
  <c r="AV120" i="5"/>
  <c r="Z121" i="5"/>
  <c r="Z125" i="5"/>
  <c r="AB125" i="5" s="1"/>
  <c r="AV127" i="5"/>
  <c r="AV121" i="5"/>
  <c r="Z122" i="5"/>
  <c r="AB122" i="5" s="1"/>
  <c r="Z123" i="5"/>
  <c r="AV126" i="5"/>
  <c r="Z127" i="5"/>
  <c r="AB127" i="5" s="1"/>
  <c r="AA122" i="5"/>
  <c r="AA125" i="5"/>
  <c r="AA127" i="5"/>
  <c r="Z126" i="5"/>
  <c r="AB126" i="5" s="1"/>
  <c r="AA126" i="5"/>
  <c r="AA124" i="5"/>
  <c r="AA129" i="5"/>
  <c r="I47" i="9"/>
  <c r="E47" i="9" s="1"/>
  <c r="I49" i="9"/>
  <c r="E49" i="9" s="1"/>
  <c r="I48" i="9"/>
  <c r="E48" i="9" s="1"/>
  <c r="I50" i="9"/>
  <c r="E50" i="9" s="1"/>
  <c r="I58" i="6"/>
  <c r="E58" i="6" s="1"/>
  <c r="I66" i="6"/>
  <c r="E66" i="6" s="1"/>
  <c r="I65" i="6"/>
  <c r="E65" i="6" s="1"/>
  <c r="I64" i="6"/>
  <c r="E64" i="6" s="1"/>
  <c r="I63" i="6"/>
  <c r="E63" i="6" s="1"/>
  <c r="I62" i="6"/>
  <c r="E62" i="6" s="1"/>
  <c r="I61" i="6"/>
  <c r="E61" i="6" s="1"/>
  <c r="BC118" i="5"/>
  <c r="BB118" i="5"/>
  <c r="BA118" i="5"/>
  <c r="AZ118" i="5"/>
  <c r="AU118" i="5"/>
  <c r="AT118" i="5"/>
  <c r="AS118" i="5"/>
  <c r="Y118" i="5"/>
  <c r="X118" i="5" s="1"/>
  <c r="S118" i="5"/>
  <c r="R118" i="5" s="1"/>
  <c r="M118" i="5"/>
  <c r="G118" i="5"/>
  <c r="BC106" i="5"/>
  <c r="BB106" i="5"/>
  <c r="BA106" i="5"/>
  <c r="AZ106" i="5"/>
  <c r="AU106" i="5"/>
  <c r="AT106" i="5"/>
  <c r="AS106" i="5"/>
  <c r="Y106" i="5"/>
  <c r="X106" i="5" s="1"/>
  <c r="S106" i="5"/>
  <c r="R106" i="5" s="1"/>
  <c r="M106" i="5"/>
  <c r="L106" i="5" s="1"/>
  <c r="G106" i="5"/>
  <c r="BC104" i="5"/>
  <c r="BB104" i="5"/>
  <c r="BA104" i="5"/>
  <c r="AZ104" i="5"/>
  <c r="AU104" i="5"/>
  <c r="AT104" i="5"/>
  <c r="AS104" i="5"/>
  <c r="Y104" i="5"/>
  <c r="X104" i="5" s="1"/>
  <c r="S104" i="5"/>
  <c r="R104" i="5" s="1"/>
  <c r="M104" i="5"/>
  <c r="L104" i="5" s="1"/>
  <c r="G104" i="5"/>
  <c r="BC102" i="5"/>
  <c r="BB102" i="5"/>
  <c r="BA102" i="5"/>
  <c r="AZ102" i="5"/>
  <c r="AU102" i="5"/>
  <c r="AT102" i="5"/>
  <c r="AS102" i="5"/>
  <c r="Y102" i="5"/>
  <c r="X102" i="5" s="1"/>
  <c r="S102" i="5"/>
  <c r="R102" i="5" s="1"/>
  <c r="M102" i="5"/>
  <c r="L102" i="5" s="1"/>
  <c r="G102" i="5"/>
  <c r="Y109" i="5"/>
  <c r="X109" i="5" s="1"/>
  <c r="Y97" i="5"/>
  <c r="S109" i="5"/>
  <c r="R109" i="5" s="1"/>
  <c r="S97" i="5"/>
  <c r="R97" i="5" s="1"/>
  <c r="M109" i="5"/>
  <c r="L109" i="5" s="1"/>
  <c r="M97" i="5"/>
  <c r="L97" i="5" s="1"/>
  <c r="M99" i="5"/>
  <c r="V97" i="5"/>
  <c r="AU97" i="5" s="1"/>
  <c r="BC97" i="5"/>
  <c r="BB97" i="5"/>
  <c r="BA97" i="5"/>
  <c r="AZ97" i="5"/>
  <c r="AT97" i="5"/>
  <c r="AS97" i="5"/>
  <c r="G97" i="5"/>
  <c r="BC109" i="5"/>
  <c r="BB109" i="5"/>
  <c r="BA109" i="5"/>
  <c r="AZ109" i="5"/>
  <c r="AU109" i="5"/>
  <c r="AT109" i="5"/>
  <c r="AS109" i="5"/>
  <c r="G109" i="5"/>
  <c r="BC117" i="5"/>
  <c r="BB117" i="5"/>
  <c r="BA117" i="5"/>
  <c r="AZ117" i="5"/>
  <c r="AU117" i="5"/>
  <c r="AT117" i="5"/>
  <c r="AS117" i="5"/>
  <c r="X117" i="5"/>
  <c r="R117" i="5"/>
  <c r="L117" i="5"/>
  <c r="G117" i="5"/>
  <c r="BC116" i="5"/>
  <c r="BB116" i="5"/>
  <c r="BA116" i="5"/>
  <c r="AZ116" i="5"/>
  <c r="AU116" i="5"/>
  <c r="AT116" i="5"/>
  <c r="AS116" i="5"/>
  <c r="Y116" i="5"/>
  <c r="X116" i="5" s="1"/>
  <c r="S116" i="5"/>
  <c r="R116" i="5" s="1"/>
  <c r="M116" i="5"/>
  <c r="L116" i="5" s="1"/>
  <c r="G116" i="5"/>
  <c r="BC115" i="5"/>
  <c r="BB115" i="5"/>
  <c r="BA115" i="5"/>
  <c r="AZ115" i="5"/>
  <c r="AU115" i="5"/>
  <c r="AT115" i="5"/>
  <c r="AS115" i="5"/>
  <c r="Y115" i="5"/>
  <c r="X115" i="5" s="1"/>
  <c r="S115" i="5"/>
  <c r="R115" i="5" s="1"/>
  <c r="M115" i="5"/>
  <c r="L115" i="5" s="1"/>
  <c r="G115" i="5"/>
  <c r="BC114" i="5"/>
  <c r="BB114" i="5"/>
  <c r="BA114" i="5"/>
  <c r="AZ114" i="5"/>
  <c r="AU114" i="5"/>
  <c r="AT114" i="5"/>
  <c r="AS114" i="5"/>
  <c r="Y114" i="5"/>
  <c r="X114" i="5" s="1"/>
  <c r="S114" i="5"/>
  <c r="R114" i="5" s="1"/>
  <c r="M114" i="5"/>
  <c r="L114" i="5" s="1"/>
  <c r="G114" i="5"/>
  <c r="BC112" i="5"/>
  <c r="BB112" i="5"/>
  <c r="BA112" i="5"/>
  <c r="AZ112" i="5"/>
  <c r="AU112" i="5"/>
  <c r="AT112" i="5"/>
  <c r="AS112" i="5"/>
  <c r="Y112" i="5"/>
  <c r="X112" i="5" s="1"/>
  <c r="S112" i="5"/>
  <c r="M112" i="5"/>
  <c r="L112" i="5" s="1"/>
  <c r="G112" i="5"/>
  <c r="BC111" i="5"/>
  <c r="BB111" i="5"/>
  <c r="BA111" i="5"/>
  <c r="AZ111" i="5"/>
  <c r="AU111" i="5"/>
  <c r="AT111" i="5"/>
  <c r="AS111" i="5"/>
  <c r="X111" i="5"/>
  <c r="R111" i="5"/>
  <c r="L111" i="5"/>
  <c r="G111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X107" i="5"/>
  <c r="R107" i="5"/>
  <c r="L107" i="5"/>
  <c r="G107" i="5"/>
  <c r="BD102" i="5"/>
  <c r="BD97" i="5"/>
  <c r="BD106" i="5"/>
  <c r="BD104" i="5"/>
  <c r="BD115" i="5"/>
  <c r="BD111" i="5"/>
  <c r="BD114" i="5"/>
  <c r="BD107" i="5"/>
  <c r="BD116" i="5"/>
  <c r="BD109" i="5"/>
  <c r="BD112" i="5"/>
  <c r="BD118" i="5"/>
  <c r="BD108" i="5"/>
  <c r="BD117" i="5"/>
  <c r="AB119" i="5" l="1"/>
  <c r="AB113" i="5"/>
  <c r="AB110" i="5"/>
  <c r="AV118" i="5"/>
  <c r="AA118" i="5"/>
  <c r="L118" i="5"/>
  <c r="Z118" i="5" s="1"/>
  <c r="AV106" i="5"/>
  <c r="Z106" i="5"/>
  <c r="AA106" i="5"/>
  <c r="AV104" i="5"/>
  <c r="X97" i="5"/>
  <c r="Z97" i="5" s="1"/>
  <c r="Z104" i="5"/>
  <c r="AA104" i="5"/>
  <c r="AV102" i="5"/>
  <c r="Z102" i="5"/>
  <c r="AA109" i="5"/>
  <c r="AA102" i="5"/>
  <c r="AV111" i="5"/>
  <c r="AV114" i="5"/>
  <c r="AA97" i="5"/>
  <c r="Z109" i="5"/>
  <c r="AV97" i="5"/>
  <c r="AV117" i="5"/>
  <c r="AV115" i="5"/>
  <c r="AV109" i="5"/>
  <c r="Z108" i="5"/>
  <c r="Z114" i="5"/>
  <c r="AA112" i="5"/>
  <c r="Z117" i="5"/>
  <c r="AV112" i="5"/>
  <c r="Z107" i="5"/>
  <c r="AV108" i="5"/>
  <c r="AV107" i="5"/>
  <c r="R112" i="5"/>
  <c r="Z112" i="5" s="1"/>
  <c r="Z116" i="5"/>
  <c r="AB116" i="5" s="1"/>
  <c r="AA114" i="5"/>
  <c r="Z111" i="5"/>
  <c r="Z115" i="5"/>
  <c r="AV116" i="5"/>
  <c r="AA116" i="5"/>
  <c r="AA115" i="5"/>
  <c r="I44" i="9"/>
  <c r="E44" i="9" s="1"/>
  <c r="I43" i="9"/>
  <c r="E43" i="9" s="1"/>
  <c r="I42" i="9"/>
  <c r="E42" i="9" s="1"/>
  <c r="I41" i="9"/>
  <c r="E41" i="9" s="1"/>
  <c r="I60" i="6"/>
  <c r="E60" i="6" s="1"/>
  <c r="I59" i="6"/>
  <c r="E59" i="6" s="1"/>
  <c r="I57" i="6"/>
  <c r="E57" i="6" s="1"/>
  <c r="I56" i="6"/>
  <c r="E56" i="6" s="1"/>
  <c r="I55" i="6"/>
  <c r="E55" i="6" s="1"/>
  <c r="I54" i="6"/>
  <c r="E54" i="6" s="1"/>
  <c r="BC91" i="5"/>
  <c r="BB91" i="5"/>
  <c r="BA91" i="5"/>
  <c r="AZ91" i="5"/>
  <c r="AU91" i="5"/>
  <c r="AT91" i="5"/>
  <c r="AS91" i="5"/>
  <c r="Y91" i="5"/>
  <c r="X91" i="5" s="1"/>
  <c r="S91" i="5"/>
  <c r="R91" i="5" s="1"/>
  <c r="M91" i="5"/>
  <c r="G91" i="5"/>
  <c r="BC89" i="5"/>
  <c r="BB89" i="5"/>
  <c r="BA89" i="5"/>
  <c r="AZ89" i="5"/>
  <c r="AU89" i="5"/>
  <c r="AT89" i="5"/>
  <c r="AS89" i="5"/>
  <c r="Y89" i="5"/>
  <c r="X89" i="5" s="1"/>
  <c r="S89" i="5"/>
  <c r="R89" i="5" s="1"/>
  <c r="M89" i="5"/>
  <c r="L89" i="5" s="1"/>
  <c r="G89" i="5"/>
  <c r="BC93" i="5"/>
  <c r="BB93" i="5"/>
  <c r="BA93" i="5"/>
  <c r="AZ93" i="5"/>
  <c r="AU93" i="5"/>
  <c r="AT93" i="5"/>
  <c r="AS93" i="5"/>
  <c r="Y93" i="5"/>
  <c r="X93" i="5" s="1"/>
  <c r="S93" i="5"/>
  <c r="R93" i="5" s="1"/>
  <c r="M93" i="5"/>
  <c r="L93" i="5" s="1"/>
  <c r="G93" i="5"/>
  <c r="BC86" i="5"/>
  <c r="BB86" i="5"/>
  <c r="BA86" i="5"/>
  <c r="AZ86" i="5"/>
  <c r="AU86" i="5"/>
  <c r="AT86" i="5"/>
  <c r="AS86" i="5"/>
  <c r="Y86" i="5"/>
  <c r="X86" i="5" s="1"/>
  <c r="S86" i="5"/>
  <c r="R86" i="5" s="1"/>
  <c r="M86" i="5"/>
  <c r="L86" i="5" s="1"/>
  <c r="G86" i="5"/>
  <c r="BC84" i="5"/>
  <c r="BB84" i="5"/>
  <c r="BA84" i="5"/>
  <c r="AZ84" i="5"/>
  <c r="AU84" i="5"/>
  <c r="AT84" i="5"/>
  <c r="AS84" i="5"/>
  <c r="Y84" i="5"/>
  <c r="X84" i="5" s="1"/>
  <c r="S84" i="5"/>
  <c r="R84" i="5" s="1"/>
  <c r="M84" i="5"/>
  <c r="L84" i="5" s="1"/>
  <c r="G84" i="5"/>
  <c r="BC85" i="5"/>
  <c r="BB85" i="5"/>
  <c r="BA85" i="5"/>
  <c r="AZ85" i="5"/>
  <c r="AU85" i="5"/>
  <c r="AT85" i="5"/>
  <c r="AS85" i="5"/>
  <c r="Y85" i="5"/>
  <c r="X85" i="5" s="1"/>
  <c r="S85" i="5"/>
  <c r="R85" i="5" s="1"/>
  <c r="M85" i="5"/>
  <c r="L85" i="5" s="1"/>
  <c r="G85" i="5"/>
  <c r="BC105" i="5"/>
  <c r="BB105" i="5"/>
  <c r="BA105" i="5"/>
  <c r="AZ105" i="5"/>
  <c r="AU105" i="5"/>
  <c r="AT105" i="5"/>
  <c r="AS105" i="5"/>
  <c r="X105" i="5"/>
  <c r="R105" i="5"/>
  <c r="L105" i="5"/>
  <c r="G105" i="5"/>
  <c r="BC103" i="5"/>
  <c r="BB103" i="5"/>
  <c r="BA103" i="5"/>
  <c r="AZ103" i="5"/>
  <c r="AU103" i="5"/>
  <c r="AT103" i="5"/>
  <c r="AS103" i="5"/>
  <c r="Y103" i="5"/>
  <c r="X103" i="5" s="1"/>
  <c r="S103" i="5"/>
  <c r="R103" i="5" s="1"/>
  <c r="M103" i="5"/>
  <c r="L103" i="5" s="1"/>
  <c r="G103" i="5"/>
  <c r="BC101" i="5"/>
  <c r="BB101" i="5"/>
  <c r="BA101" i="5"/>
  <c r="AZ101" i="5"/>
  <c r="AU101" i="5"/>
  <c r="AT101" i="5"/>
  <c r="AS101" i="5"/>
  <c r="Y101" i="5"/>
  <c r="X101" i="5" s="1"/>
  <c r="S101" i="5"/>
  <c r="R101" i="5" s="1"/>
  <c r="M101" i="5"/>
  <c r="L101" i="5" s="1"/>
  <c r="G101" i="5"/>
  <c r="BC100" i="5"/>
  <c r="BB100" i="5"/>
  <c r="BA100" i="5"/>
  <c r="AZ100" i="5"/>
  <c r="AU100" i="5"/>
  <c r="AT100" i="5"/>
  <c r="AS100" i="5"/>
  <c r="Y100" i="5"/>
  <c r="X100" i="5" s="1"/>
  <c r="S100" i="5"/>
  <c r="M100" i="5"/>
  <c r="L100" i="5" s="1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L99" i="5"/>
  <c r="G99" i="5"/>
  <c r="BC98" i="5"/>
  <c r="BB98" i="5"/>
  <c r="BA98" i="5"/>
  <c r="AZ98" i="5"/>
  <c r="AU98" i="5"/>
  <c r="AT98" i="5"/>
  <c r="AS98" i="5"/>
  <c r="X98" i="5"/>
  <c r="R98" i="5"/>
  <c r="L98" i="5"/>
  <c r="G98" i="5"/>
  <c r="BC96" i="5"/>
  <c r="BB96" i="5"/>
  <c r="BA96" i="5"/>
  <c r="AZ96" i="5"/>
  <c r="AU96" i="5"/>
  <c r="AT96" i="5"/>
  <c r="AS96" i="5"/>
  <c r="X96" i="5"/>
  <c r="R96" i="5"/>
  <c r="L96" i="5"/>
  <c r="G96" i="5"/>
  <c r="BC95" i="5"/>
  <c r="BB95" i="5"/>
  <c r="BA95" i="5"/>
  <c r="AZ95" i="5"/>
  <c r="AU95" i="5"/>
  <c r="AT95" i="5"/>
  <c r="AS95" i="5"/>
  <c r="X95" i="5"/>
  <c r="R95" i="5"/>
  <c r="L95" i="5"/>
  <c r="G95" i="5"/>
  <c r="I39" i="9"/>
  <c r="E39" i="9" s="1"/>
  <c r="I38" i="9"/>
  <c r="E38" i="9" s="1"/>
  <c r="I37" i="9"/>
  <c r="E37" i="9" s="1"/>
  <c r="I36" i="9"/>
  <c r="E36" i="9" s="1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BC78" i="5"/>
  <c r="BB78" i="5"/>
  <c r="BA78" i="5"/>
  <c r="AZ78" i="5"/>
  <c r="AU78" i="5"/>
  <c r="AT78" i="5"/>
  <c r="AS78" i="5"/>
  <c r="Y78" i="5"/>
  <c r="X78" i="5" s="1"/>
  <c r="S78" i="5"/>
  <c r="R78" i="5" s="1"/>
  <c r="M78" i="5"/>
  <c r="L78" i="5" s="1"/>
  <c r="G78" i="5"/>
  <c r="BC75" i="5"/>
  <c r="BB75" i="5"/>
  <c r="BA75" i="5"/>
  <c r="AZ75" i="5"/>
  <c r="AU75" i="5"/>
  <c r="AT75" i="5"/>
  <c r="AS75" i="5"/>
  <c r="Y75" i="5"/>
  <c r="X75" i="5" s="1"/>
  <c r="S75" i="5"/>
  <c r="R75" i="5" s="1"/>
  <c r="M75" i="5"/>
  <c r="L75" i="5" s="1"/>
  <c r="G75" i="5"/>
  <c r="BC79" i="5"/>
  <c r="BB79" i="5"/>
  <c r="BA79" i="5"/>
  <c r="AZ79" i="5"/>
  <c r="AU79" i="5"/>
  <c r="AT79" i="5"/>
  <c r="AS79" i="5"/>
  <c r="Y79" i="5"/>
  <c r="X79" i="5" s="1"/>
  <c r="S79" i="5"/>
  <c r="R79" i="5" s="1"/>
  <c r="M79" i="5"/>
  <c r="L79" i="5" s="1"/>
  <c r="G79" i="5"/>
  <c r="BC72" i="5"/>
  <c r="BB72" i="5"/>
  <c r="BA72" i="5"/>
  <c r="AZ72" i="5"/>
  <c r="AU72" i="5"/>
  <c r="AT72" i="5"/>
  <c r="AS72" i="5"/>
  <c r="Y72" i="5"/>
  <c r="X72" i="5" s="1"/>
  <c r="S72" i="5"/>
  <c r="R72" i="5" s="1"/>
  <c r="M72" i="5"/>
  <c r="L72" i="5" s="1"/>
  <c r="G72" i="5"/>
  <c r="BC94" i="5"/>
  <c r="BB94" i="5"/>
  <c r="BA94" i="5"/>
  <c r="AZ94" i="5"/>
  <c r="AU94" i="5"/>
  <c r="AT94" i="5"/>
  <c r="AS94" i="5"/>
  <c r="X94" i="5"/>
  <c r="R94" i="5"/>
  <c r="L94" i="5"/>
  <c r="G94" i="5"/>
  <c r="BC92" i="5"/>
  <c r="BB92" i="5"/>
  <c r="BA92" i="5"/>
  <c r="AZ92" i="5"/>
  <c r="AU92" i="5"/>
  <c r="AT92" i="5"/>
  <c r="AS92" i="5"/>
  <c r="Y92" i="5"/>
  <c r="X92" i="5" s="1"/>
  <c r="S92" i="5"/>
  <c r="R92" i="5" s="1"/>
  <c r="M92" i="5"/>
  <c r="G92" i="5"/>
  <c r="BC90" i="5"/>
  <c r="BB90" i="5"/>
  <c r="BA90" i="5"/>
  <c r="AZ90" i="5"/>
  <c r="AU90" i="5"/>
  <c r="AT90" i="5"/>
  <c r="AS90" i="5"/>
  <c r="Y90" i="5"/>
  <c r="X90" i="5" s="1"/>
  <c r="S90" i="5"/>
  <c r="R90" i="5" s="1"/>
  <c r="M90" i="5"/>
  <c r="L90" i="5" s="1"/>
  <c r="G90" i="5"/>
  <c r="BC88" i="5"/>
  <c r="BB88" i="5"/>
  <c r="BA88" i="5"/>
  <c r="AZ88" i="5"/>
  <c r="AU88" i="5"/>
  <c r="AT88" i="5"/>
  <c r="AS88" i="5"/>
  <c r="Y88" i="5"/>
  <c r="X88" i="5" s="1"/>
  <c r="S88" i="5"/>
  <c r="M88" i="5"/>
  <c r="L88" i="5" s="1"/>
  <c r="G88" i="5"/>
  <c r="BC87" i="5"/>
  <c r="BB87" i="5"/>
  <c r="BA87" i="5"/>
  <c r="AZ87" i="5"/>
  <c r="AU87" i="5"/>
  <c r="AT87" i="5"/>
  <c r="AS87" i="5"/>
  <c r="Y87" i="5"/>
  <c r="X87" i="5" s="1"/>
  <c r="S87" i="5"/>
  <c r="R87" i="5" s="1"/>
  <c r="M87" i="5"/>
  <c r="L87" i="5" s="1"/>
  <c r="G87" i="5"/>
  <c r="BC83" i="5"/>
  <c r="BB83" i="5"/>
  <c r="BA83" i="5"/>
  <c r="AZ83" i="5"/>
  <c r="AU83" i="5"/>
  <c r="AT83" i="5"/>
  <c r="AS83" i="5"/>
  <c r="X83" i="5"/>
  <c r="R83" i="5"/>
  <c r="L83" i="5"/>
  <c r="G83" i="5"/>
  <c r="BC82" i="5"/>
  <c r="BB82" i="5"/>
  <c r="BA82" i="5"/>
  <c r="AZ82" i="5"/>
  <c r="AU82" i="5"/>
  <c r="AT82" i="5"/>
  <c r="AS82" i="5"/>
  <c r="X82" i="5"/>
  <c r="R82" i="5"/>
  <c r="L82" i="5"/>
  <c r="G82" i="5"/>
  <c r="BC81" i="5"/>
  <c r="BB81" i="5"/>
  <c r="BA81" i="5"/>
  <c r="AZ81" i="5"/>
  <c r="AU81" i="5"/>
  <c r="AT81" i="5"/>
  <c r="AS81" i="5"/>
  <c r="X81" i="5"/>
  <c r="R81" i="5"/>
  <c r="L81" i="5"/>
  <c r="G81" i="5"/>
  <c r="I31" i="9"/>
  <c r="E31" i="9" s="1"/>
  <c r="I32" i="9"/>
  <c r="E32" i="9" s="1"/>
  <c r="I34" i="9"/>
  <c r="E34" i="9" s="1"/>
  <c r="I33" i="9"/>
  <c r="E33" i="9" s="1"/>
  <c r="I30" i="9"/>
  <c r="E30" i="9" s="1"/>
  <c r="I29" i="9"/>
  <c r="E29" i="9" s="1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BC61" i="5"/>
  <c r="BB61" i="5"/>
  <c r="BA61" i="5"/>
  <c r="AZ61" i="5"/>
  <c r="AU61" i="5"/>
  <c r="AT61" i="5"/>
  <c r="AS61" i="5"/>
  <c r="Y61" i="5"/>
  <c r="X61" i="5" s="1"/>
  <c r="S61" i="5"/>
  <c r="R61" i="5" s="1"/>
  <c r="M61" i="5"/>
  <c r="L61" i="5" s="1"/>
  <c r="G61" i="5"/>
  <c r="BC67" i="5"/>
  <c r="BB67" i="5"/>
  <c r="BA67" i="5"/>
  <c r="AZ67" i="5"/>
  <c r="AU67" i="5"/>
  <c r="AT67" i="5"/>
  <c r="AS67" i="5"/>
  <c r="Y67" i="5"/>
  <c r="X67" i="5" s="1"/>
  <c r="S67" i="5"/>
  <c r="R67" i="5" s="1"/>
  <c r="M67" i="5"/>
  <c r="L67" i="5" s="1"/>
  <c r="G67" i="5"/>
  <c r="BC62" i="5"/>
  <c r="BB62" i="5"/>
  <c r="BA62" i="5"/>
  <c r="AZ62" i="5"/>
  <c r="AU62" i="5"/>
  <c r="AT62" i="5"/>
  <c r="AS62" i="5"/>
  <c r="Y62" i="5"/>
  <c r="X62" i="5" s="1"/>
  <c r="S62" i="5"/>
  <c r="R62" i="5" s="1"/>
  <c r="M62" i="5"/>
  <c r="L62" i="5" s="1"/>
  <c r="G62" i="5"/>
  <c r="BC80" i="5"/>
  <c r="BB80" i="5"/>
  <c r="BA80" i="5"/>
  <c r="AZ80" i="5"/>
  <c r="AU80" i="5"/>
  <c r="AT80" i="5"/>
  <c r="AS80" i="5"/>
  <c r="X80" i="5"/>
  <c r="R80" i="5"/>
  <c r="L80" i="5"/>
  <c r="G80" i="5"/>
  <c r="BC77" i="5"/>
  <c r="BB77" i="5"/>
  <c r="BA77" i="5"/>
  <c r="AZ77" i="5"/>
  <c r="AU77" i="5"/>
  <c r="AT77" i="5"/>
  <c r="AS77" i="5"/>
  <c r="Y77" i="5"/>
  <c r="X77" i="5" s="1"/>
  <c r="S77" i="5"/>
  <c r="R77" i="5" s="1"/>
  <c r="M77" i="5"/>
  <c r="L77" i="5" s="1"/>
  <c r="G77" i="5"/>
  <c r="BC76" i="5"/>
  <c r="BB76" i="5"/>
  <c r="BA76" i="5"/>
  <c r="AZ76" i="5"/>
  <c r="AU76" i="5"/>
  <c r="AT76" i="5"/>
  <c r="AS76" i="5"/>
  <c r="Y76" i="5"/>
  <c r="X76" i="5" s="1"/>
  <c r="S76" i="5"/>
  <c r="R76" i="5" s="1"/>
  <c r="M76" i="5"/>
  <c r="L76" i="5" s="1"/>
  <c r="G76" i="5"/>
  <c r="BC74" i="5"/>
  <c r="BB74" i="5"/>
  <c r="BA74" i="5"/>
  <c r="AZ74" i="5"/>
  <c r="AU74" i="5"/>
  <c r="AT74" i="5"/>
  <c r="AS74" i="5"/>
  <c r="Y74" i="5"/>
  <c r="X74" i="5" s="1"/>
  <c r="S74" i="5"/>
  <c r="R74" i="5" s="1"/>
  <c r="M74" i="5"/>
  <c r="L74" i="5" s="1"/>
  <c r="G74" i="5"/>
  <c r="BC73" i="5"/>
  <c r="BB73" i="5"/>
  <c r="BA73" i="5"/>
  <c r="AZ73" i="5"/>
  <c r="AU73" i="5"/>
  <c r="AT73" i="5"/>
  <c r="AS73" i="5"/>
  <c r="Y73" i="5"/>
  <c r="X73" i="5" s="1"/>
  <c r="S73" i="5"/>
  <c r="R73" i="5" s="1"/>
  <c r="M73" i="5"/>
  <c r="L73" i="5" s="1"/>
  <c r="G73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X70" i="5"/>
  <c r="R70" i="5"/>
  <c r="L70" i="5"/>
  <c r="G70" i="5"/>
  <c r="BC69" i="5"/>
  <c r="BB69" i="5"/>
  <c r="BA69" i="5"/>
  <c r="AZ69" i="5"/>
  <c r="AU69" i="5"/>
  <c r="AT69" i="5"/>
  <c r="AS69" i="5"/>
  <c r="X69" i="5"/>
  <c r="R69" i="5"/>
  <c r="L69" i="5"/>
  <c r="G69" i="5"/>
  <c r="I27" i="9"/>
  <c r="E27" i="9" s="1"/>
  <c r="I26" i="9"/>
  <c r="E26" i="9" s="1"/>
  <c r="I25" i="9"/>
  <c r="E25" i="9" s="1"/>
  <c r="I24" i="9"/>
  <c r="E24" i="9" s="1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55" i="5"/>
  <c r="BB55" i="5"/>
  <c r="BA55" i="5"/>
  <c r="AZ55" i="5"/>
  <c r="AU55" i="5"/>
  <c r="AT55" i="5"/>
  <c r="AS55" i="5"/>
  <c r="Y55" i="5"/>
  <c r="X55" i="5" s="1"/>
  <c r="S55" i="5"/>
  <c r="R55" i="5" s="1"/>
  <c r="M55" i="5"/>
  <c r="L55" i="5" s="1"/>
  <c r="G55" i="5"/>
  <c r="BC53" i="5"/>
  <c r="BB53" i="5"/>
  <c r="BA53" i="5"/>
  <c r="AZ53" i="5"/>
  <c r="AU53" i="5"/>
  <c r="AT53" i="5"/>
  <c r="AS53" i="5"/>
  <c r="Y53" i="5"/>
  <c r="S53" i="5"/>
  <c r="R53" i="5" s="1"/>
  <c r="M53" i="5"/>
  <c r="L53" i="5" s="1"/>
  <c r="G53" i="5"/>
  <c r="BC49" i="5"/>
  <c r="BB49" i="5"/>
  <c r="BA49" i="5"/>
  <c r="AZ49" i="5"/>
  <c r="AU49" i="5"/>
  <c r="AT49" i="5"/>
  <c r="AS49" i="5"/>
  <c r="Y49" i="5"/>
  <c r="S49" i="5"/>
  <c r="R49" i="5" s="1"/>
  <c r="M49" i="5"/>
  <c r="L49" i="5" s="1"/>
  <c r="G49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48" i="5"/>
  <c r="BB48" i="5"/>
  <c r="BA48" i="5"/>
  <c r="AZ48" i="5"/>
  <c r="AU48" i="5"/>
  <c r="AT48" i="5"/>
  <c r="AS48" i="5"/>
  <c r="Y48" i="5"/>
  <c r="X48" i="5" s="1"/>
  <c r="S48" i="5"/>
  <c r="R48" i="5" s="1"/>
  <c r="M48" i="5"/>
  <c r="G48" i="5"/>
  <c r="BC68" i="5"/>
  <c r="BB68" i="5"/>
  <c r="BA68" i="5"/>
  <c r="AZ68" i="5"/>
  <c r="AU68" i="5"/>
  <c r="AT68" i="5"/>
  <c r="AS68" i="5"/>
  <c r="X68" i="5"/>
  <c r="R68" i="5"/>
  <c r="L68" i="5"/>
  <c r="G68" i="5"/>
  <c r="BC66" i="5"/>
  <c r="BB66" i="5"/>
  <c r="BA66" i="5"/>
  <c r="AZ66" i="5"/>
  <c r="AU66" i="5"/>
  <c r="AT66" i="5"/>
  <c r="AS66" i="5"/>
  <c r="Y66" i="5"/>
  <c r="X66" i="5" s="1"/>
  <c r="S66" i="5"/>
  <c r="R66" i="5" s="1"/>
  <c r="M66" i="5"/>
  <c r="L66" i="5" s="1"/>
  <c r="G66" i="5"/>
  <c r="BC65" i="5"/>
  <c r="BB65" i="5"/>
  <c r="BA65" i="5"/>
  <c r="AZ65" i="5"/>
  <c r="AU65" i="5"/>
  <c r="AT65" i="5"/>
  <c r="AS65" i="5"/>
  <c r="Y65" i="5"/>
  <c r="X65" i="5" s="1"/>
  <c r="S65" i="5"/>
  <c r="R65" i="5" s="1"/>
  <c r="M65" i="5"/>
  <c r="L65" i="5" s="1"/>
  <c r="G65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Y63" i="5"/>
  <c r="X63" i="5" s="1"/>
  <c r="S63" i="5"/>
  <c r="R63" i="5" s="1"/>
  <c r="M63" i="5"/>
  <c r="L63" i="5" s="1"/>
  <c r="G63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X58" i="5"/>
  <c r="R58" i="5"/>
  <c r="L58" i="5"/>
  <c r="G58" i="5"/>
  <c r="I23" i="9"/>
  <c r="E23" i="9" s="1"/>
  <c r="I21" i="9"/>
  <c r="E21" i="9" s="1"/>
  <c r="I20" i="9"/>
  <c r="E20" i="9" s="1"/>
  <c r="I19" i="9"/>
  <c r="E19" i="9" s="1"/>
  <c r="I18" i="9"/>
  <c r="E18" i="9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BC43" i="5"/>
  <c r="BB43" i="5"/>
  <c r="BA43" i="5"/>
  <c r="AZ43" i="5"/>
  <c r="AU43" i="5"/>
  <c r="AT43" i="5"/>
  <c r="AS43" i="5"/>
  <c r="Y43" i="5"/>
  <c r="X43" i="5" s="1"/>
  <c r="S43" i="5"/>
  <c r="R43" i="5" s="1"/>
  <c r="M43" i="5"/>
  <c r="L43" i="5" s="1"/>
  <c r="G43" i="5"/>
  <c r="BC38" i="5"/>
  <c r="BB38" i="5"/>
  <c r="BA38" i="5"/>
  <c r="AZ38" i="5"/>
  <c r="AU38" i="5"/>
  <c r="AT38" i="5"/>
  <c r="AS38" i="5"/>
  <c r="Y38" i="5"/>
  <c r="X38" i="5" s="1"/>
  <c r="S38" i="5"/>
  <c r="R38" i="5" s="1"/>
  <c r="M38" i="5"/>
  <c r="G38" i="5"/>
  <c r="BC57" i="5"/>
  <c r="BB57" i="5"/>
  <c r="BA57" i="5"/>
  <c r="AZ57" i="5"/>
  <c r="AU57" i="5"/>
  <c r="AT57" i="5"/>
  <c r="AS57" i="5"/>
  <c r="X57" i="5"/>
  <c r="R57" i="5"/>
  <c r="L57" i="5"/>
  <c r="G57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L54" i="5" s="1"/>
  <c r="G54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51" i="5"/>
  <c r="BB51" i="5"/>
  <c r="BA51" i="5"/>
  <c r="AZ51" i="5"/>
  <c r="AU51" i="5"/>
  <c r="AT51" i="5"/>
  <c r="AS51" i="5"/>
  <c r="Y51" i="5"/>
  <c r="X51" i="5" s="1"/>
  <c r="S51" i="5"/>
  <c r="M51" i="5"/>
  <c r="L51" i="5" s="1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X46" i="5"/>
  <c r="R46" i="5"/>
  <c r="L46" i="5"/>
  <c r="G46" i="5"/>
  <c r="BC45" i="5"/>
  <c r="BB45" i="5"/>
  <c r="BA45" i="5"/>
  <c r="AZ45" i="5"/>
  <c r="AU45" i="5"/>
  <c r="AT45" i="5"/>
  <c r="AS45" i="5"/>
  <c r="X45" i="5"/>
  <c r="R45" i="5"/>
  <c r="L45" i="5"/>
  <c r="G45" i="5"/>
  <c r="I16" i="9"/>
  <c r="E16" i="9" s="1"/>
  <c r="I15" i="9"/>
  <c r="E15" i="9" s="1"/>
  <c r="I14" i="9"/>
  <c r="E14" i="9" s="1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BC29" i="5"/>
  <c r="BB29" i="5"/>
  <c r="BA29" i="5"/>
  <c r="AZ29" i="5"/>
  <c r="AU29" i="5"/>
  <c r="AT29" i="5"/>
  <c r="AS29" i="5"/>
  <c r="Y29" i="5"/>
  <c r="X29" i="5" s="1"/>
  <c r="S29" i="5"/>
  <c r="R29" i="5" s="1"/>
  <c r="M29" i="5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31" i="5"/>
  <c r="BB31" i="5"/>
  <c r="BA31" i="5"/>
  <c r="AZ31" i="5"/>
  <c r="AU31" i="5"/>
  <c r="AT31" i="5"/>
  <c r="AS31" i="5"/>
  <c r="Y31" i="5"/>
  <c r="X31" i="5" s="1"/>
  <c r="S31" i="5"/>
  <c r="R31" i="5" s="1"/>
  <c r="M31" i="5"/>
  <c r="L31" i="5" s="1"/>
  <c r="G31" i="5"/>
  <c r="BC44" i="5"/>
  <c r="BB44" i="5"/>
  <c r="BA44" i="5"/>
  <c r="AZ44" i="5"/>
  <c r="AU44" i="5"/>
  <c r="AT44" i="5"/>
  <c r="AS44" i="5"/>
  <c r="X44" i="5"/>
  <c r="R44" i="5"/>
  <c r="L44" i="5"/>
  <c r="G44" i="5"/>
  <c r="BC42" i="5"/>
  <c r="BB42" i="5"/>
  <c r="BA42" i="5"/>
  <c r="AZ42" i="5"/>
  <c r="AU42" i="5"/>
  <c r="AT42" i="5"/>
  <c r="AS42" i="5"/>
  <c r="Y42" i="5"/>
  <c r="X42" i="5" s="1"/>
  <c r="S42" i="5"/>
  <c r="M42" i="5"/>
  <c r="L42" i="5" s="1"/>
  <c r="G42" i="5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L41" i="5" s="1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7" i="5"/>
  <c r="BB37" i="5"/>
  <c r="BA37" i="5"/>
  <c r="AZ37" i="5"/>
  <c r="AU37" i="5"/>
  <c r="AT37" i="5"/>
  <c r="AS37" i="5"/>
  <c r="X37" i="5"/>
  <c r="R37" i="5"/>
  <c r="L37" i="5"/>
  <c r="G37" i="5"/>
  <c r="BC36" i="5"/>
  <c r="BB36" i="5"/>
  <c r="BA36" i="5"/>
  <c r="AZ36" i="5"/>
  <c r="AU36" i="5"/>
  <c r="AT36" i="5"/>
  <c r="AS36" i="5"/>
  <c r="X36" i="5"/>
  <c r="R36" i="5"/>
  <c r="L36" i="5"/>
  <c r="G36" i="5"/>
  <c r="BC35" i="5"/>
  <c r="BB35" i="5"/>
  <c r="BA35" i="5"/>
  <c r="AZ35" i="5"/>
  <c r="AU35" i="5"/>
  <c r="AT35" i="5"/>
  <c r="AS35" i="5"/>
  <c r="X35" i="5"/>
  <c r="R35" i="5"/>
  <c r="L35" i="5"/>
  <c r="G35" i="5"/>
  <c r="BD75" i="5"/>
  <c r="BD98" i="5"/>
  <c r="BD92" i="5"/>
  <c r="BD95" i="5"/>
  <c r="BD64" i="5"/>
  <c r="BD54" i="5"/>
  <c r="BD38" i="5"/>
  <c r="BD79" i="5"/>
  <c r="BD76" i="5"/>
  <c r="BD74" i="5"/>
  <c r="BD50" i="5"/>
  <c r="BD68" i="5"/>
  <c r="BD83" i="5"/>
  <c r="BD39" i="5"/>
  <c r="BD37" i="5"/>
  <c r="BD88" i="5"/>
  <c r="BD44" i="5"/>
  <c r="BD73" i="5"/>
  <c r="BD61" i="5"/>
  <c r="BD62" i="5"/>
  <c r="BD91" i="5"/>
  <c r="BD49" i="5"/>
  <c r="BD71" i="5"/>
  <c r="BD67" i="5"/>
  <c r="BD72" i="5"/>
  <c r="BD51" i="5"/>
  <c r="BD63" i="5"/>
  <c r="BD82" i="5"/>
  <c r="BD94" i="5"/>
  <c r="BD87" i="5"/>
  <c r="BD65" i="5"/>
  <c r="BD89" i="5"/>
  <c r="BD85" i="5"/>
  <c r="BD40" i="5"/>
  <c r="BD55" i="5"/>
  <c r="BD43" i="5"/>
  <c r="BD59" i="5"/>
  <c r="BD48" i="5"/>
  <c r="BD52" i="5"/>
  <c r="BD80" i="5"/>
  <c r="BD31" i="5"/>
  <c r="BD103" i="5"/>
  <c r="BD53" i="5"/>
  <c r="BD66" i="5"/>
  <c r="BD46" i="5"/>
  <c r="BD86" i="5"/>
  <c r="BD28" i="5"/>
  <c r="BD99" i="5"/>
  <c r="BD101" i="5"/>
  <c r="BD77" i="5"/>
  <c r="BD100" i="5"/>
  <c r="BD41" i="5"/>
  <c r="BD78" i="5"/>
  <c r="BD96" i="5"/>
  <c r="BD60" i="5"/>
  <c r="BD47" i="5"/>
  <c r="BD29" i="5"/>
  <c r="BD58" i="5"/>
  <c r="BD45" i="5"/>
  <c r="BD105" i="5"/>
  <c r="BD57" i="5"/>
  <c r="BD42" i="5"/>
  <c r="BD84" i="5"/>
  <c r="BD35" i="5"/>
  <c r="BD36" i="5"/>
  <c r="BD69" i="5"/>
  <c r="BD93" i="5"/>
  <c r="BD90" i="5"/>
  <c r="BD70" i="5"/>
  <c r="BD56" i="5"/>
  <c r="BD81" i="5"/>
  <c r="AB118" i="5" l="1"/>
  <c r="AB115" i="5"/>
  <c r="AB114" i="5"/>
  <c r="AB112" i="5"/>
  <c r="AB109" i="5"/>
  <c r="AB106" i="5"/>
  <c r="AB97" i="5"/>
  <c r="AB104" i="5"/>
  <c r="AB102" i="5"/>
  <c r="AV93" i="5"/>
  <c r="AV91" i="5"/>
  <c r="Z93" i="5"/>
  <c r="AA91" i="5"/>
  <c r="L91" i="5"/>
  <c r="Z91" i="5" s="1"/>
  <c r="AA93" i="5"/>
  <c r="AV89" i="5"/>
  <c r="Z89" i="5"/>
  <c r="AA89" i="5"/>
  <c r="AV84" i="5"/>
  <c r="AV86" i="5"/>
  <c r="Z86" i="5"/>
  <c r="Z84" i="5"/>
  <c r="AA86" i="5"/>
  <c r="Z85" i="5"/>
  <c r="AA84" i="5"/>
  <c r="AV85" i="5"/>
  <c r="AA85" i="5"/>
  <c r="AV98" i="5"/>
  <c r="AV99" i="5"/>
  <c r="Z101" i="5"/>
  <c r="Z98" i="5"/>
  <c r="Z99" i="5"/>
  <c r="AA103" i="5"/>
  <c r="AA100" i="5"/>
  <c r="Z95" i="5"/>
  <c r="AV105" i="5"/>
  <c r="AV100" i="5"/>
  <c r="AV103" i="5"/>
  <c r="AV96" i="5"/>
  <c r="AV95" i="5"/>
  <c r="AV101" i="5"/>
  <c r="Z105" i="5"/>
  <c r="Z103" i="5"/>
  <c r="Z96" i="5"/>
  <c r="Z78" i="5"/>
  <c r="AA99" i="5"/>
  <c r="R100" i="5"/>
  <c r="Z100" i="5" s="1"/>
  <c r="AA101" i="5"/>
  <c r="AV75" i="5"/>
  <c r="Z82" i="5"/>
  <c r="AV78" i="5"/>
  <c r="AA78" i="5"/>
  <c r="Z87" i="5"/>
  <c r="AV79" i="5"/>
  <c r="AA75" i="5"/>
  <c r="Z75" i="5"/>
  <c r="AA79" i="5"/>
  <c r="Z72" i="5"/>
  <c r="AV94" i="5"/>
  <c r="AV72" i="5"/>
  <c r="AV88" i="5"/>
  <c r="AA72" i="5"/>
  <c r="Z94" i="5"/>
  <c r="Z79" i="5"/>
  <c r="AA87" i="5"/>
  <c r="AV92" i="5"/>
  <c r="AV90" i="5"/>
  <c r="AV77" i="5"/>
  <c r="Z83" i="5"/>
  <c r="AA92" i="5"/>
  <c r="AV71" i="5"/>
  <c r="Z90" i="5"/>
  <c r="AA88" i="5"/>
  <c r="AA90" i="5"/>
  <c r="Z81" i="5"/>
  <c r="AV83" i="5"/>
  <c r="R88" i="5"/>
  <c r="Z88" i="5" s="1"/>
  <c r="AV82" i="5"/>
  <c r="AV81" i="5"/>
  <c r="AV87" i="5"/>
  <c r="L92" i="5"/>
  <c r="Z92" i="5" s="1"/>
  <c r="AV76" i="5"/>
  <c r="AV73" i="5"/>
  <c r="AA61" i="5"/>
  <c r="Z61" i="5"/>
  <c r="AV61" i="5"/>
  <c r="AV67" i="5"/>
  <c r="Z71" i="5"/>
  <c r="Z62" i="5"/>
  <c r="Z67" i="5"/>
  <c r="AA67" i="5"/>
  <c r="AV80" i="5"/>
  <c r="AV62" i="5"/>
  <c r="AV55" i="5"/>
  <c r="AA62" i="5"/>
  <c r="Z69" i="5"/>
  <c r="AV69" i="5"/>
  <c r="Z74" i="5"/>
  <c r="Z80" i="5"/>
  <c r="AA74" i="5"/>
  <c r="AV74" i="5"/>
  <c r="AA77" i="5"/>
  <c r="Z73" i="5"/>
  <c r="Z70" i="5"/>
  <c r="Z77" i="5"/>
  <c r="AV70" i="5"/>
  <c r="Z76" i="5"/>
  <c r="AA73" i="5"/>
  <c r="AA76" i="5"/>
  <c r="AA55" i="5"/>
  <c r="Z55" i="5"/>
  <c r="AV53" i="5"/>
  <c r="AA53" i="5"/>
  <c r="X53" i="5"/>
  <c r="Z53" i="5" s="1"/>
  <c r="AV66" i="5"/>
  <c r="AA49" i="5"/>
  <c r="AV49" i="5"/>
  <c r="X49" i="5"/>
  <c r="Z49" i="5" s="1"/>
  <c r="Z56" i="5"/>
  <c r="AV48" i="5"/>
  <c r="AV68" i="5"/>
  <c r="AA56" i="5"/>
  <c r="AV56" i="5"/>
  <c r="AA48" i="5"/>
  <c r="L48" i="5"/>
  <c r="Z48" i="5" s="1"/>
  <c r="Z64" i="5"/>
  <c r="Z60" i="5"/>
  <c r="Z58" i="5"/>
  <c r="AV60" i="5"/>
  <c r="AV58" i="5"/>
  <c r="AV59" i="5"/>
  <c r="AA64" i="5"/>
  <c r="AV65" i="5"/>
  <c r="AV38" i="5"/>
  <c r="Z63" i="5"/>
  <c r="Z68" i="5"/>
  <c r="AV64" i="5"/>
  <c r="AA66" i="5"/>
  <c r="Z59" i="5"/>
  <c r="AV63" i="5"/>
  <c r="Z65" i="5"/>
  <c r="Z66" i="5"/>
  <c r="AA63" i="5"/>
  <c r="AA65" i="5"/>
  <c r="AV57" i="5"/>
  <c r="AV43" i="5"/>
  <c r="Z46" i="5"/>
  <c r="AV54" i="5"/>
  <c r="AA43" i="5"/>
  <c r="Z43" i="5"/>
  <c r="AV47" i="5"/>
  <c r="AV50" i="5"/>
  <c r="AA51" i="5"/>
  <c r="AV31" i="5"/>
  <c r="AA38" i="5"/>
  <c r="L38" i="5"/>
  <c r="Z38" i="5" s="1"/>
  <c r="AV45" i="5"/>
  <c r="AV46" i="5"/>
  <c r="AV52" i="5"/>
  <c r="AV51" i="5"/>
  <c r="R51" i="5"/>
  <c r="Z51" i="5" s="1"/>
  <c r="AA50" i="5"/>
  <c r="AA52" i="5"/>
  <c r="Z57" i="5"/>
  <c r="AA54" i="5"/>
  <c r="Z50" i="5"/>
  <c r="Z47" i="5"/>
  <c r="Z45" i="5"/>
  <c r="Z52" i="5"/>
  <c r="Z54" i="5"/>
  <c r="AV41" i="5"/>
  <c r="AV40" i="5"/>
  <c r="AV42" i="5"/>
  <c r="AA29" i="5"/>
  <c r="AV29" i="5"/>
  <c r="L29" i="5"/>
  <c r="Z29" i="5" s="1"/>
  <c r="Z28" i="5"/>
  <c r="AV39" i="5"/>
  <c r="AV28" i="5"/>
  <c r="AA31" i="5"/>
  <c r="AA28" i="5"/>
  <c r="AV44" i="5"/>
  <c r="AV37" i="5"/>
  <c r="AV36" i="5"/>
  <c r="Z40" i="5"/>
  <c r="AA42" i="5"/>
  <c r="Z31" i="5"/>
  <c r="Z36" i="5"/>
  <c r="Z35" i="5"/>
  <c r="AV35" i="5"/>
  <c r="AA40" i="5"/>
  <c r="R42" i="5"/>
  <c r="Z42" i="5" s="1"/>
  <c r="AB42" i="5" s="1"/>
  <c r="Z44" i="5"/>
  <c r="Z39" i="5"/>
  <c r="Z37" i="5"/>
  <c r="Z41" i="5"/>
  <c r="AA39" i="5"/>
  <c r="AA41" i="5"/>
  <c r="I13" i="9"/>
  <c r="E13" i="9" s="1"/>
  <c r="I12" i="9"/>
  <c r="E12" i="9" s="1"/>
  <c r="I11" i="9"/>
  <c r="E11" i="9" s="1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Y33" i="5"/>
  <c r="X33" i="5" s="1"/>
  <c r="S33" i="5"/>
  <c r="R33" i="5" s="1"/>
  <c r="M33" i="5"/>
  <c r="L33" i="5" s="1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L30" i="5" s="1"/>
  <c r="G30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X26" i="5"/>
  <c r="R26" i="5"/>
  <c r="L26" i="5"/>
  <c r="G26" i="5"/>
  <c r="BC25" i="5"/>
  <c r="BB25" i="5"/>
  <c r="BA25" i="5"/>
  <c r="AZ25" i="5"/>
  <c r="AU25" i="5"/>
  <c r="AT25" i="5"/>
  <c r="AS25" i="5"/>
  <c r="X25" i="5"/>
  <c r="R25" i="5"/>
  <c r="L25" i="5"/>
  <c r="G25" i="5"/>
  <c r="BD15" i="5"/>
  <c r="BD9" i="5"/>
  <c r="BD6" i="5"/>
  <c r="BD16" i="5"/>
  <c r="BD17" i="5"/>
  <c r="BD11" i="5"/>
  <c r="BD8" i="5"/>
  <c r="BD20" i="5"/>
  <c r="BD12" i="5"/>
  <c r="BD10" i="5"/>
  <c r="BD23" i="5"/>
  <c r="BD21" i="5"/>
  <c r="BD27" i="5"/>
  <c r="BD25" i="5"/>
  <c r="BD22" i="5"/>
  <c r="BD26" i="5"/>
  <c r="BD19" i="5"/>
  <c r="BD24" i="5"/>
  <c r="BD13" i="5"/>
  <c r="BD34" i="5"/>
  <c r="BD14" i="5"/>
  <c r="BD7" i="5"/>
  <c r="BD33" i="5"/>
  <c r="BD32" i="5"/>
  <c r="BD30" i="5"/>
  <c r="BD18" i="5"/>
  <c r="AB103" i="5" l="1"/>
  <c r="AB101" i="5"/>
  <c r="AB100" i="5"/>
  <c r="AB99" i="5"/>
  <c r="AB91" i="5"/>
  <c r="AB93" i="5"/>
  <c r="AB92" i="5"/>
  <c r="AB90" i="5"/>
  <c r="AB89" i="5"/>
  <c r="AB88" i="5"/>
  <c r="AB87" i="5"/>
  <c r="AB86" i="5"/>
  <c r="AB85" i="5"/>
  <c r="AB84" i="5"/>
  <c r="AB78" i="5"/>
  <c r="AB75" i="5"/>
  <c r="AB79" i="5"/>
  <c r="AB72" i="5"/>
  <c r="AB77" i="5"/>
  <c r="AB76" i="5"/>
  <c r="AB74" i="5"/>
  <c r="AB73" i="5"/>
  <c r="AB67" i="5"/>
  <c r="AB66" i="5"/>
  <c r="AB65" i="5"/>
  <c r="AB62" i="5"/>
  <c r="AB61" i="5"/>
  <c r="AB63" i="5"/>
  <c r="AB64" i="5"/>
  <c r="AB54" i="5"/>
  <c r="AB51" i="5"/>
  <c r="AB56" i="5"/>
  <c r="AB55" i="5"/>
  <c r="AB53" i="5"/>
  <c r="AB52" i="5"/>
  <c r="AB50" i="5"/>
  <c r="AB49" i="5"/>
  <c r="AB48" i="5"/>
  <c r="AB39" i="5"/>
  <c r="AB40" i="5"/>
  <c r="AB43" i="5"/>
  <c r="AB41" i="5"/>
  <c r="AB38" i="5"/>
  <c r="AB29" i="5"/>
  <c r="AB28" i="5"/>
  <c r="AB31" i="5"/>
  <c r="AV34" i="5"/>
  <c r="Z30" i="5"/>
  <c r="AW3" i="5"/>
  <c r="Z27" i="5"/>
  <c r="Z34" i="5"/>
  <c r="AV26" i="5"/>
  <c r="AV25" i="5"/>
  <c r="AA30" i="5"/>
  <c r="AV30" i="5"/>
  <c r="AV32" i="5"/>
  <c r="Z25" i="5"/>
  <c r="AV27" i="5"/>
  <c r="Z32" i="5"/>
  <c r="AV33" i="5"/>
  <c r="Z26" i="5"/>
  <c r="Z33" i="5"/>
  <c r="AB33" i="5" s="1"/>
  <c r="AA33" i="5"/>
  <c r="AA32" i="5"/>
  <c r="K1" i="8"/>
  <c r="J2" i="6"/>
  <c r="J2" i="9"/>
  <c r="I9" i="9"/>
  <c r="E9" i="9" s="1"/>
  <c r="I7" i="9"/>
  <c r="E7" i="9" s="1"/>
  <c r="I8" i="9"/>
  <c r="E8" i="9" s="1"/>
  <c r="I10" i="9"/>
  <c r="E10" i="9" s="1"/>
  <c r="I17" i="9"/>
  <c r="E17" i="9" s="1"/>
  <c r="I22" i="9"/>
  <c r="E22" i="9" s="1"/>
  <c r="I28" i="9"/>
  <c r="E28" i="9" s="1"/>
  <c r="I35" i="9"/>
  <c r="E35" i="9" s="1"/>
  <c r="I40" i="9"/>
  <c r="E40" i="9" s="1"/>
  <c r="I45" i="9"/>
  <c r="E45" i="9" s="1"/>
  <c r="I46" i="9"/>
  <c r="E46" i="9" s="1"/>
  <c r="I51" i="9"/>
  <c r="E51" i="9" s="1"/>
  <c r="I56" i="9"/>
  <c r="E56" i="9" s="1"/>
  <c r="I57" i="9"/>
  <c r="E57" i="9" s="1"/>
  <c r="I58" i="9"/>
  <c r="E58" i="9" s="1"/>
  <c r="I59" i="9"/>
  <c r="E59" i="9" s="1"/>
  <c r="I60" i="9"/>
  <c r="E60" i="9" s="1"/>
  <c r="I61" i="9"/>
  <c r="E61" i="9" s="1"/>
  <c r="I62" i="9"/>
  <c r="E62" i="9" s="1"/>
  <c r="I63" i="9"/>
  <c r="E63" i="9" s="1"/>
  <c r="I64" i="9"/>
  <c r="E64" i="9" s="1"/>
  <c r="I65" i="9"/>
  <c r="E65" i="9" s="1"/>
  <c r="I66" i="9"/>
  <c r="E66" i="9" s="1"/>
  <c r="I67" i="9"/>
  <c r="E67" i="9" s="1"/>
  <c r="I68" i="9"/>
  <c r="E68" i="9" s="1"/>
  <c r="I69" i="9"/>
  <c r="E69" i="9" s="1"/>
  <c r="I70" i="9"/>
  <c r="E70" i="9" s="1"/>
  <c r="I71" i="9"/>
  <c r="E71" i="9" s="1"/>
  <c r="I72" i="9"/>
  <c r="E72" i="9" s="1"/>
  <c r="I73" i="9"/>
  <c r="E73" i="9" s="1"/>
  <c r="I74" i="9"/>
  <c r="E74" i="9" s="1"/>
  <c r="I75" i="9"/>
  <c r="E75" i="9" s="1"/>
  <c r="I76" i="9"/>
  <c r="E76" i="9" s="1"/>
  <c r="I6" i="9"/>
  <c r="E6" i="9" s="1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M2" i="5"/>
  <c r="BC10" i="5"/>
  <c r="BB10" i="5"/>
  <c r="BA10" i="5"/>
  <c r="AZ10" i="5"/>
  <c r="AU10" i="5"/>
  <c r="AT10" i="5"/>
  <c r="AS10" i="5"/>
  <c r="Y10" i="5"/>
  <c r="X10" i="5" s="1"/>
  <c r="S10" i="5"/>
  <c r="M10" i="5"/>
  <c r="L10" i="5" s="1"/>
  <c r="G10" i="5"/>
  <c r="BC15" i="5"/>
  <c r="BB15" i="5"/>
  <c r="BA15" i="5"/>
  <c r="AZ15" i="5"/>
  <c r="AU15" i="5"/>
  <c r="AT15" i="5"/>
  <c r="AS15" i="5"/>
  <c r="Y15" i="5"/>
  <c r="X15" i="5" s="1"/>
  <c r="S15" i="5"/>
  <c r="M15" i="5"/>
  <c r="L15" i="5" s="1"/>
  <c r="G15" i="5"/>
  <c r="BC13" i="5"/>
  <c r="BB13" i="5"/>
  <c r="BA13" i="5"/>
  <c r="AZ13" i="5"/>
  <c r="AU13" i="5"/>
  <c r="AT13" i="5"/>
  <c r="AS13" i="5"/>
  <c r="Y13" i="5"/>
  <c r="X13" i="5" s="1"/>
  <c r="S13" i="5"/>
  <c r="M13" i="5"/>
  <c r="L13" i="5" s="1"/>
  <c r="G13" i="5"/>
  <c r="BC24" i="5"/>
  <c r="BB24" i="5"/>
  <c r="BA24" i="5"/>
  <c r="AZ24" i="5"/>
  <c r="AU24" i="5"/>
  <c r="AT24" i="5"/>
  <c r="AS24" i="5"/>
  <c r="X24" i="5"/>
  <c r="R24" i="5"/>
  <c r="L24" i="5"/>
  <c r="G24" i="5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L23" i="5" s="1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M21" i="5"/>
  <c r="L21" i="5" s="1"/>
  <c r="G21" i="5"/>
  <c r="BC20" i="5"/>
  <c r="BB20" i="5"/>
  <c r="BA20" i="5"/>
  <c r="AZ20" i="5"/>
  <c r="AU20" i="5"/>
  <c r="AT20" i="5"/>
  <c r="AS20" i="5"/>
  <c r="Y20" i="5"/>
  <c r="X20" i="5" s="1"/>
  <c r="S20" i="5"/>
  <c r="R20" i="5" s="1"/>
  <c r="M20" i="5"/>
  <c r="L20" i="5" s="1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X18" i="5"/>
  <c r="R18" i="5"/>
  <c r="L18" i="5"/>
  <c r="G18" i="5"/>
  <c r="BC17" i="5"/>
  <c r="BB17" i="5"/>
  <c r="BA17" i="5"/>
  <c r="AZ17" i="5"/>
  <c r="AU17" i="5"/>
  <c r="AT17" i="5"/>
  <c r="AS17" i="5"/>
  <c r="X17" i="5"/>
  <c r="R17" i="5"/>
  <c r="L17" i="5"/>
  <c r="G17" i="5"/>
  <c r="AB32" i="5" l="1"/>
  <c r="AB30" i="5"/>
  <c r="AA10" i="5"/>
  <c r="AV10" i="5"/>
  <c r="Z17" i="5"/>
  <c r="R10" i="5"/>
  <c r="Z10" i="5" s="1"/>
  <c r="AA15" i="5"/>
  <c r="AV15" i="5"/>
  <c r="AV13" i="5"/>
  <c r="R15" i="5"/>
  <c r="Z15" i="5" s="1"/>
  <c r="AA13" i="5"/>
  <c r="R13" i="5"/>
  <c r="Z13" i="5" s="1"/>
  <c r="Z20" i="5"/>
  <c r="Z22" i="5"/>
  <c r="AV20" i="5"/>
  <c r="AV24" i="5"/>
  <c r="Z18" i="5"/>
  <c r="Z24" i="5"/>
  <c r="AV18" i="5"/>
  <c r="AV19" i="5"/>
  <c r="AV21" i="5"/>
  <c r="AV22" i="5"/>
  <c r="Z23" i="5"/>
  <c r="Z19" i="5"/>
  <c r="AA21" i="5"/>
  <c r="AV17" i="5"/>
  <c r="AV23" i="5"/>
  <c r="AA22" i="5"/>
  <c r="R21" i="5"/>
  <c r="Z21" i="5" s="1"/>
  <c r="AA23" i="5"/>
  <c r="AA20" i="5"/>
  <c r="AB21" i="5" l="1"/>
  <c r="AB20" i="5"/>
  <c r="AB23" i="5"/>
  <c r="AB22" i="5"/>
  <c r="AB10" i="5"/>
  <c r="AB13" i="5"/>
  <c r="AB15" i="5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6" i="5"/>
  <c r="BB16" i="5"/>
  <c r="BA16" i="5"/>
  <c r="AZ16" i="5"/>
  <c r="AU16" i="5"/>
  <c r="AT16" i="5"/>
  <c r="AS16" i="5"/>
  <c r="X16" i="5"/>
  <c r="R16" i="5"/>
  <c r="L16" i="5"/>
  <c r="G16" i="5"/>
  <c r="BC14" i="5"/>
  <c r="BB14" i="5"/>
  <c r="BA14" i="5"/>
  <c r="AZ14" i="5"/>
  <c r="AU14" i="5"/>
  <c r="AT14" i="5"/>
  <c r="AS14" i="5"/>
  <c r="Y14" i="5"/>
  <c r="X14" i="5" s="1"/>
  <c r="S14" i="5"/>
  <c r="R14" i="5" s="1"/>
  <c r="M14" i="5"/>
  <c r="L14" i="5" s="1"/>
  <c r="G14" i="5"/>
  <c r="BC12" i="5"/>
  <c r="BB12" i="5"/>
  <c r="BA12" i="5"/>
  <c r="AZ12" i="5"/>
  <c r="AU12" i="5"/>
  <c r="AT12" i="5"/>
  <c r="AS12" i="5"/>
  <c r="Y12" i="5"/>
  <c r="X12" i="5" s="1"/>
  <c r="S12" i="5"/>
  <c r="R12" i="5" s="1"/>
  <c r="M12" i="5"/>
  <c r="L12" i="5" s="1"/>
  <c r="G12" i="5"/>
  <c r="BC11" i="5"/>
  <c r="BB11" i="5"/>
  <c r="BA11" i="5"/>
  <c r="AZ11" i="5"/>
  <c r="AU11" i="5"/>
  <c r="AT11" i="5"/>
  <c r="AS11" i="5"/>
  <c r="Y11" i="5"/>
  <c r="X11" i="5" s="1"/>
  <c r="S11" i="5"/>
  <c r="M11" i="5"/>
  <c r="L11" i="5" s="1"/>
  <c r="G11" i="5"/>
  <c r="BC9" i="5"/>
  <c r="BB9" i="5"/>
  <c r="BA9" i="5"/>
  <c r="AZ9" i="5"/>
  <c r="AU9" i="5"/>
  <c r="AT9" i="5"/>
  <c r="AS9" i="5"/>
  <c r="Y9" i="5"/>
  <c r="X9" i="5" s="1"/>
  <c r="S9" i="5"/>
  <c r="R9" i="5" s="1"/>
  <c r="M9" i="5"/>
  <c r="L9" i="5" s="1"/>
  <c r="G9" i="5"/>
  <c r="BC8" i="5"/>
  <c r="BB8" i="5"/>
  <c r="BA8" i="5"/>
  <c r="AZ8" i="5"/>
  <c r="AU8" i="5"/>
  <c r="AT8" i="5"/>
  <c r="AS8" i="5"/>
  <c r="X8" i="5"/>
  <c r="R8" i="5"/>
  <c r="L8" i="5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AV14" i="5" l="1"/>
  <c r="AV7" i="5"/>
  <c r="AV8" i="5"/>
  <c r="AA11" i="5"/>
  <c r="Z7" i="5"/>
  <c r="AV11" i="5"/>
  <c r="AV9" i="5"/>
  <c r="Z16" i="5"/>
  <c r="Z6" i="5"/>
  <c r="AV12" i="5"/>
  <c r="Z8" i="5"/>
  <c r="AV16" i="5"/>
  <c r="AV6" i="5"/>
  <c r="Z14" i="5"/>
  <c r="Z9" i="5"/>
  <c r="Z12" i="5"/>
  <c r="AA12" i="5"/>
  <c r="R11" i="5"/>
  <c r="Z11" i="5" s="1"/>
  <c r="AA14" i="5"/>
  <c r="AA9" i="5"/>
  <c r="AB9" i="5" l="1"/>
  <c r="AB11" i="5"/>
  <c r="AB12" i="5"/>
  <c r="AB14" i="5"/>
  <c r="AV3" i="5" l="1"/>
  <c r="I6" i="11" l="1"/>
  <c r="J6" i="11" s="1"/>
  <c r="I5" i="11" l="1"/>
  <c r="J5" i="11" s="1"/>
  <c r="I4" i="11"/>
  <c r="J4" i="11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Q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W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W620" i="3"/>
  <c r="Y620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W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W541" i="3" s="1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W533" i="3" s="1"/>
  <c r="Q533" i="3"/>
  <c r="L533" i="3"/>
  <c r="G533" i="3"/>
  <c r="Q532" i="3"/>
  <c r="L532" i="3"/>
  <c r="G532" i="3"/>
  <c r="Z531" i="3"/>
  <c r="X531" i="3"/>
  <c r="V531" i="3"/>
  <c r="U531" i="3"/>
  <c r="AA531" i="3" s="1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W479" i="3" s="1"/>
  <c r="Q479" i="3"/>
  <c r="L479" i="3"/>
  <c r="G479" i="3"/>
  <c r="Q478" i="3"/>
  <c r="L478" i="3"/>
  <c r="G478" i="3"/>
  <c r="Z477" i="3"/>
  <c r="X477" i="3"/>
  <c r="V477" i="3"/>
  <c r="U477" i="3"/>
  <c r="W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W446" i="3" s="1"/>
  <c r="Q446" i="3"/>
  <c r="L446" i="3"/>
  <c r="G446" i="3"/>
  <c r="Q445" i="3"/>
  <c r="L445" i="3"/>
  <c r="G445" i="3"/>
  <c r="Z444" i="3"/>
  <c r="X444" i="3"/>
  <c r="V444" i="3"/>
  <c r="U444" i="3"/>
  <c r="AA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W415" i="3" s="1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W365" i="3" s="1"/>
  <c r="Q365" i="3"/>
  <c r="L365" i="3"/>
  <c r="G365" i="3"/>
  <c r="Q364" i="3"/>
  <c r="L364" i="3"/>
  <c r="G364" i="3"/>
  <c r="Z363" i="3"/>
  <c r="X363" i="3"/>
  <c r="V363" i="3"/>
  <c r="U363" i="3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W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W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W154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AA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W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W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W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Q11" i="3"/>
  <c r="L11" i="3"/>
  <c r="G11" i="3"/>
  <c r="Q10" i="3"/>
  <c r="L10" i="3"/>
  <c r="G10" i="3"/>
  <c r="Z9" i="3"/>
  <c r="X9" i="3"/>
  <c r="V9" i="3"/>
  <c r="U9" i="3"/>
  <c r="AA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19" i="3"/>
  <c r="W48" i="3"/>
  <c r="Y48" i="3"/>
  <c r="W158" i="3"/>
  <c r="Y158" i="3"/>
  <c r="W162" i="3"/>
  <c r="Y162" i="3"/>
  <c r="Q170" i="3"/>
  <c r="W100" i="3"/>
  <c r="Y100" i="3"/>
  <c r="W104" i="3"/>
  <c r="Y104" i="3"/>
  <c r="W214" i="3"/>
  <c r="Y359" i="3"/>
  <c r="W367" i="3"/>
  <c r="Y367" i="3"/>
  <c r="W328" i="3"/>
  <c r="Y328" i="3"/>
  <c r="AA328" i="3"/>
  <c r="Y241" i="3"/>
  <c r="AA241" i="3"/>
  <c r="W251" i="3"/>
  <c r="W274" i="3"/>
  <c r="W386" i="3"/>
  <c r="Y386" i="3"/>
  <c r="AA386" i="3"/>
  <c r="Y419" i="3"/>
  <c r="W423" i="3"/>
  <c r="Y423" i="3"/>
  <c r="W417" i="3"/>
  <c r="Y417" i="3"/>
  <c r="W425" i="3"/>
  <c r="Y425" i="3"/>
  <c r="W562" i="3"/>
  <c r="Y562" i="3"/>
  <c r="Q547" i="3"/>
  <c r="Y506" i="3"/>
  <c r="Q518" i="3"/>
  <c r="W504" i="3"/>
  <c r="Y504" i="3"/>
  <c r="Q489" i="3"/>
  <c r="Y483" i="3"/>
  <c r="W597" i="3"/>
  <c r="Y597" i="3"/>
  <c r="Y9" i="3" l="1"/>
  <c r="AA270" i="3"/>
  <c r="AA508" i="3"/>
  <c r="W481" i="3"/>
  <c r="AA299" i="3"/>
  <c r="W218" i="3"/>
  <c r="AA212" i="3"/>
  <c r="W270" i="3"/>
  <c r="W305" i="3"/>
  <c r="Y481" i="3"/>
  <c r="Y502" i="3"/>
  <c r="Y537" i="3"/>
  <c r="Y560" i="3"/>
  <c r="W359" i="3"/>
  <c r="W243" i="3"/>
  <c r="Y593" i="3"/>
  <c r="AA243" i="3"/>
  <c r="W276" i="3"/>
  <c r="Y160" i="3"/>
  <c r="AA96" i="3"/>
  <c r="W249" i="3"/>
  <c r="Y272" i="3"/>
  <c r="Y96" i="3"/>
  <c r="W593" i="3"/>
  <c r="W502" i="3"/>
  <c r="W361" i="3"/>
  <c r="Y131" i="3"/>
  <c r="AA154" i="3"/>
  <c r="AA560" i="3"/>
  <c r="W570" i="3"/>
  <c r="W131" i="3"/>
  <c r="Y154" i="3"/>
  <c r="Y13" i="3"/>
  <c r="AA185" i="3"/>
  <c r="Y220" i="3"/>
  <c r="Y570" i="3"/>
  <c r="Y129" i="3"/>
  <c r="W13" i="3"/>
  <c r="W241" i="3"/>
  <c r="W44" i="3"/>
  <c r="W566" i="3"/>
  <c r="Y44" i="3"/>
  <c r="Y106" i="3"/>
  <c r="Y390" i="3"/>
  <c r="W106" i="3"/>
  <c r="W212" i="3"/>
  <c r="Y212" i="3"/>
  <c r="Y479" i="3"/>
  <c r="Y164" i="3"/>
  <c r="W390" i="3"/>
  <c r="W164" i="3"/>
  <c r="Y77" i="3"/>
  <c r="W129" i="3"/>
  <c r="Y450" i="3"/>
  <c r="W77" i="3"/>
  <c r="Y251" i="3"/>
  <c r="Y361" i="3"/>
  <c r="Y595" i="3"/>
  <c r="W450" i="3"/>
  <c r="Y214" i="3"/>
  <c r="W595" i="3"/>
  <c r="W160" i="3"/>
  <c r="AA357" i="3"/>
  <c r="Y357" i="3"/>
  <c r="P489" i="3"/>
  <c r="Y568" i="3"/>
  <c r="Y475" i="3"/>
  <c r="Y448" i="3"/>
  <c r="Y218" i="3"/>
  <c r="W9" i="3"/>
  <c r="W475" i="3"/>
  <c r="W448" i="3"/>
  <c r="Y274" i="3"/>
  <c r="Y309" i="3"/>
  <c r="AA365" i="3"/>
  <c r="W191" i="3"/>
  <c r="Y626" i="3"/>
  <c r="Y591" i="3"/>
  <c r="S634" i="3"/>
  <c r="AA125" i="3"/>
  <c r="Y125" i="3"/>
  <c r="AA479" i="3"/>
  <c r="W591" i="3"/>
  <c r="AA222" i="3"/>
  <c r="AA301" i="3"/>
  <c r="Z434" i="2"/>
  <c r="AB434" i="2" s="1"/>
  <c r="Q460" i="3"/>
  <c r="Q605" i="3"/>
  <c r="Y566" i="3"/>
  <c r="Y396" i="3"/>
  <c r="Y444" i="3"/>
  <c r="W396" i="3"/>
  <c r="AA251" i="3"/>
  <c r="AA274" i="3"/>
  <c r="Z357" i="2"/>
  <c r="AB357" i="2" s="1"/>
  <c r="AA568" i="3"/>
  <c r="W444" i="3"/>
  <c r="W193" i="3"/>
  <c r="U166" i="3"/>
  <c r="R431" i="3"/>
  <c r="S431" i="3" s="1"/>
  <c r="Z485" i="3"/>
  <c r="AA272" i="3"/>
  <c r="Y156" i="3"/>
  <c r="Z16" i="2"/>
  <c r="AB16" i="2" s="1"/>
  <c r="Y245" i="3"/>
  <c r="AA280" i="3"/>
  <c r="W272" i="3"/>
  <c r="Y365" i="3"/>
  <c r="Y98" i="3"/>
  <c r="Y133" i="3"/>
  <c r="W156" i="3"/>
  <c r="P141" i="3"/>
  <c r="P170" i="3"/>
  <c r="Z246" i="2"/>
  <c r="AB246" i="2" s="1"/>
  <c r="Z363" i="2"/>
  <c r="AB363" i="2" s="1"/>
  <c r="W98" i="3"/>
  <c r="Z150" i="2"/>
  <c r="R141" i="3"/>
  <c r="R257" i="3"/>
  <c r="S257" i="3" s="1"/>
  <c r="U630" i="3"/>
  <c r="Y630" i="3" s="1"/>
  <c r="Y415" i="3"/>
  <c r="Q112" i="3"/>
  <c r="Z64" i="2"/>
  <c r="AB64" i="2" s="1"/>
  <c r="W537" i="3"/>
  <c r="Y330" i="3"/>
  <c r="U369" i="3"/>
  <c r="W369" i="3" s="1"/>
  <c r="W133" i="3"/>
  <c r="W330" i="3"/>
  <c r="R634" i="3"/>
  <c r="W483" i="3"/>
  <c r="Y243" i="3"/>
  <c r="Y301" i="3"/>
  <c r="Y187" i="3"/>
  <c r="Z56" i="2"/>
  <c r="AB56" i="2" s="1"/>
  <c r="AA288" i="2"/>
  <c r="AA290" i="2"/>
  <c r="W245" i="3"/>
  <c r="P257" i="3"/>
  <c r="Q257" i="3" s="1"/>
  <c r="Z365" i="2"/>
  <c r="AB365" i="2" s="1"/>
  <c r="Z378" i="2"/>
  <c r="AB378" i="2" s="1"/>
  <c r="AA481" i="3"/>
  <c r="P634" i="3"/>
  <c r="W506" i="3"/>
  <c r="Y222" i="3"/>
  <c r="Y40" i="3"/>
  <c r="Z79" i="3"/>
  <c r="W185" i="3"/>
  <c r="Z424" i="2"/>
  <c r="AB424" i="2" s="1"/>
  <c r="W40" i="3"/>
  <c r="Z89" i="2"/>
  <c r="AB89" i="2" s="1"/>
  <c r="AA276" i="3"/>
  <c r="Z334" i="2"/>
  <c r="AB334" i="2" s="1"/>
  <c r="Y541" i="3"/>
  <c r="Z495" i="2"/>
  <c r="AB495" i="2" s="1"/>
  <c r="Z499" i="2"/>
  <c r="AB499" i="2" s="1"/>
  <c r="W222" i="3"/>
  <c r="W301" i="3"/>
  <c r="W338" i="3"/>
  <c r="W220" i="3"/>
  <c r="Y38" i="3"/>
  <c r="Z33" i="2"/>
  <c r="AB33" i="2" s="1"/>
  <c r="AA242" i="2"/>
  <c r="Z248" i="2"/>
  <c r="AB248" i="2" s="1"/>
  <c r="Z269" i="2"/>
  <c r="AB269" i="2" s="1"/>
  <c r="AA311" i="2"/>
  <c r="AA313" i="2"/>
  <c r="Y338" i="3"/>
  <c r="Y564" i="3"/>
  <c r="Z60" i="2"/>
  <c r="AB60" i="2" s="1"/>
  <c r="Z135" i="2"/>
  <c r="AB135" i="2" s="1"/>
  <c r="AA265" i="2"/>
  <c r="Z311" i="2"/>
  <c r="AB311" i="2" s="1"/>
  <c r="R402" i="3"/>
  <c r="S402" i="3" s="1"/>
  <c r="AA537" i="3"/>
  <c r="U572" i="3"/>
  <c r="AA589" i="3"/>
  <c r="W564" i="3"/>
  <c r="Y19" i="3"/>
  <c r="R199" i="3"/>
  <c r="V572" i="3"/>
  <c r="Y589" i="3"/>
  <c r="W280" i="3"/>
  <c r="Y336" i="3"/>
  <c r="Y73" i="3"/>
  <c r="AA12" i="2"/>
  <c r="R344" i="3"/>
  <c r="S344" i="3" s="1"/>
  <c r="AA512" i="3"/>
  <c r="Z355" i="2"/>
  <c r="AB355" i="2" s="1"/>
  <c r="Y392" i="3"/>
  <c r="W392" i="3"/>
  <c r="Y280" i="3"/>
  <c r="W336" i="3"/>
  <c r="W73" i="3"/>
  <c r="W187" i="3"/>
  <c r="Z288" i="2"/>
  <c r="AB288" i="2" s="1"/>
  <c r="W531" i="3"/>
  <c r="AA473" i="3"/>
  <c r="Y454" i="3"/>
  <c r="Y394" i="3"/>
  <c r="Q141" i="3"/>
  <c r="Z204" i="2"/>
  <c r="AB204" i="2" s="1"/>
  <c r="U340" i="3"/>
  <c r="W340" i="3" s="1"/>
  <c r="W454" i="3"/>
  <c r="W394" i="3"/>
  <c r="Y185" i="3"/>
  <c r="X108" i="3"/>
  <c r="V456" i="3"/>
  <c r="AA380" i="2"/>
  <c r="Z14" i="2"/>
  <c r="AB14" i="2" s="1"/>
  <c r="Z85" i="2"/>
  <c r="AB85" i="2" s="1"/>
  <c r="Z102" i="2"/>
  <c r="AB102" i="2" s="1"/>
  <c r="X282" i="3"/>
  <c r="Y512" i="3"/>
  <c r="AA14" i="2"/>
  <c r="AA81" i="2"/>
  <c r="AA83" i="2"/>
  <c r="Z158" i="2"/>
  <c r="AB158" i="2" s="1"/>
  <c r="Z196" i="2"/>
  <c r="Z198" i="2"/>
  <c r="Z265" i="2"/>
  <c r="AB265" i="2" s="1"/>
  <c r="Z296" i="2"/>
  <c r="AB296" i="2" s="1"/>
  <c r="Z369" i="3"/>
  <c r="U398" i="3"/>
  <c r="AA426" i="2"/>
  <c r="W510" i="3"/>
  <c r="Y622" i="3"/>
  <c r="AA495" i="2"/>
  <c r="AA497" i="2"/>
  <c r="W512" i="3"/>
  <c r="Y535" i="3"/>
  <c r="Z81" i="2"/>
  <c r="AB81" i="2" s="1"/>
  <c r="Z110" i="2"/>
  <c r="AB110" i="2" s="1"/>
  <c r="Z127" i="2"/>
  <c r="AB127" i="2" s="1"/>
  <c r="Z129" i="2"/>
  <c r="AB129" i="2" s="1"/>
  <c r="Z131" i="2"/>
  <c r="AB131" i="2" s="1"/>
  <c r="Z267" i="2"/>
  <c r="AB267" i="2" s="1"/>
  <c r="Z338" i="2"/>
  <c r="AB338" i="2" s="1"/>
  <c r="P431" i="3"/>
  <c r="Y510" i="3"/>
  <c r="AA570" i="3"/>
  <c r="W535" i="3"/>
  <c r="X79" i="3"/>
  <c r="Z58" i="2"/>
  <c r="AB58" i="2" s="1"/>
  <c r="AA127" i="2"/>
  <c r="AA129" i="2"/>
  <c r="V137" i="3"/>
  <c r="Y191" i="3"/>
  <c r="Z200" i="2"/>
  <c r="AB200" i="2" s="1"/>
  <c r="AA267" i="2"/>
  <c r="Y305" i="3"/>
  <c r="AA334" i="2"/>
  <c r="AA336" i="2"/>
  <c r="Z503" i="2"/>
  <c r="AB503" i="2" s="1"/>
  <c r="Y332" i="3"/>
  <c r="U21" i="3"/>
  <c r="Y21" i="3" s="1"/>
  <c r="V21" i="3"/>
  <c r="Z35" i="2"/>
  <c r="AB35" i="2" s="1"/>
  <c r="Z37" i="2"/>
  <c r="AB37" i="2" s="1"/>
  <c r="Z39" i="2"/>
  <c r="AB39" i="2" s="1"/>
  <c r="AA58" i="2"/>
  <c r="Z62" i="2"/>
  <c r="AB62" i="2" s="1"/>
  <c r="Q431" i="3"/>
  <c r="Z407" i="2"/>
  <c r="AB407" i="2" s="1"/>
  <c r="V543" i="3"/>
  <c r="Y599" i="3"/>
  <c r="W560" i="3"/>
  <c r="W332" i="3"/>
  <c r="AA35" i="2"/>
  <c r="AA37" i="2"/>
  <c r="R54" i="3"/>
  <c r="AA173" i="2"/>
  <c r="AA175" i="2"/>
  <c r="P112" i="3"/>
  <c r="Z137" i="3"/>
  <c r="R170" i="3"/>
  <c r="P228" i="3"/>
  <c r="Q228" i="3" s="1"/>
  <c r="Z225" i="2"/>
  <c r="AB225" i="2" s="1"/>
  <c r="Z244" i="2"/>
  <c r="AB244" i="2" s="1"/>
  <c r="Z273" i="2"/>
  <c r="AB273" i="2" s="1"/>
  <c r="R315" i="3"/>
  <c r="S315" i="3" s="1"/>
  <c r="Z340" i="3"/>
  <c r="P344" i="3"/>
  <c r="Q344" i="3" s="1"/>
  <c r="Z359" i="2"/>
  <c r="W599" i="3"/>
  <c r="P199" i="3"/>
  <c r="AA403" i="2"/>
  <c r="Z449" i="2"/>
  <c r="AB449" i="2" s="1"/>
  <c r="Z451" i="2"/>
  <c r="AB451" i="2" s="1"/>
  <c r="Z453" i="2"/>
  <c r="AB453" i="2" s="1"/>
  <c r="U601" i="3"/>
  <c r="P605" i="3"/>
  <c r="Y421" i="3"/>
  <c r="Y307" i="3"/>
  <c r="Y71" i="3"/>
  <c r="X21" i="3"/>
  <c r="Z66" i="2"/>
  <c r="AB66" i="2" s="1"/>
  <c r="Z104" i="2"/>
  <c r="AB104" i="2" s="1"/>
  <c r="Z361" i="2"/>
  <c r="AB361" i="2" s="1"/>
  <c r="AA449" i="2"/>
  <c r="AA451" i="2"/>
  <c r="V601" i="3"/>
  <c r="R605" i="3"/>
  <c r="Z472" i="2"/>
  <c r="AB472" i="2" s="1"/>
  <c r="Z476" i="2"/>
  <c r="AB476" i="2" s="1"/>
  <c r="Z630" i="3"/>
  <c r="W421" i="3"/>
  <c r="W71" i="3"/>
  <c r="Y15" i="3"/>
  <c r="Z18" i="2"/>
  <c r="AB18" i="2" s="1"/>
  <c r="Z21" i="3"/>
  <c r="R25" i="3"/>
  <c r="V50" i="3"/>
  <c r="AA104" i="2"/>
  <c r="Z202" i="2"/>
  <c r="AB202" i="2" s="1"/>
  <c r="Z250" i="2"/>
  <c r="AB250" i="2" s="1"/>
  <c r="Y249" i="3"/>
  <c r="Y276" i="3"/>
  <c r="Z427" i="3"/>
  <c r="Z380" i="2"/>
  <c r="AB380" i="2" s="1"/>
  <c r="Z401" i="2"/>
  <c r="AB401" i="2" s="1"/>
  <c r="AA472" i="2"/>
  <c r="AA474" i="2"/>
  <c r="Y388" i="3"/>
  <c r="W15" i="3"/>
  <c r="Z106" i="2"/>
  <c r="AB106" i="2" s="1"/>
  <c r="Z112" i="2"/>
  <c r="AB112" i="2" s="1"/>
  <c r="Z171" i="2"/>
  <c r="AB171" i="2" s="1"/>
  <c r="Z240" i="2"/>
  <c r="AB240" i="2" s="1"/>
  <c r="AA309" i="3"/>
  <c r="P373" i="3"/>
  <c r="Q373" i="3" s="1"/>
  <c r="Z384" i="2"/>
  <c r="AB384" i="2" s="1"/>
  <c r="Q576" i="3"/>
  <c r="W388" i="3"/>
  <c r="Z154" i="2"/>
  <c r="AB154" i="2" s="1"/>
  <c r="AA220" i="3"/>
  <c r="AA219" i="2"/>
  <c r="AA221" i="2"/>
  <c r="Z271" i="2"/>
  <c r="AB271" i="2" s="1"/>
  <c r="W309" i="3"/>
  <c r="R489" i="3"/>
  <c r="R576" i="3"/>
  <c r="Z480" i="2"/>
  <c r="AB480" i="2" s="1"/>
  <c r="AA539" i="3"/>
  <c r="W539" i="3"/>
  <c r="Y539" i="3"/>
  <c r="AA17" i="3"/>
  <c r="W17" i="3"/>
  <c r="Z217" i="2"/>
  <c r="AB217" i="2" s="1"/>
  <c r="AA334" i="3"/>
  <c r="W334" i="3"/>
  <c r="Y334" i="3"/>
  <c r="AA363" i="3"/>
  <c r="W363" i="3"/>
  <c r="Y363" i="3"/>
  <c r="U427" i="3"/>
  <c r="AA415" i="3"/>
  <c r="AA419" i="3"/>
  <c r="W419" i="3"/>
  <c r="U485" i="3"/>
  <c r="W473" i="3"/>
  <c r="Y473" i="3"/>
  <c r="AA477" i="3"/>
  <c r="Y477" i="3"/>
  <c r="X543" i="3"/>
  <c r="Y531" i="3"/>
  <c r="AA533" i="3"/>
  <c r="U543" i="3"/>
  <c r="Y533" i="3"/>
  <c r="AA127" i="3"/>
  <c r="W127" i="3"/>
  <c r="Y127" i="3"/>
  <c r="Y183" i="3"/>
  <c r="Q25" i="3"/>
  <c r="AA135" i="3"/>
  <c r="W135" i="3"/>
  <c r="Y135" i="3"/>
  <c r="AA216" i="3"/>
  <c r="Y216" i="3"/>
  <c r="U224" i="3"/>
  <c r="Q83" i="3"/>
  <c r="Y42" i="3"/>
  <c r="Y17" i="3"/>
  <c r="P25" i="3"/>
  <c r="U79" i="3"/>
  <c r="Y79" i="3" s="1"/>
  <c r="W67" i="3"/>
  <c r="Y67" i="3"/>
  <c r="W69" i="3"/>
  <c r="Y69" i="3"/>
  <c r="Z108" i="3"/>
  <c r="AA102" i="3"/>
  <c r="W102" i="3"/>
  <c r="Y102" i="3"/>
  <c r="S199" i="3"/>
  <c r="Q199" i="3"/>
  <c r="V224" i="3"/>
  <c r="V311" i="3"/>
  <c r="W299" i="3"/>
  <c r="AA303" i="3"/>
  <c r="Y303" i="3"/>
  <c r="U311" i="3"/>
  <c r="AA307" i="3"/>
  <c r="AA452" i="3"/>
  <c r="W452" i="3"/>
  <c r="Y452" i="3"/>
  <c r="Z426" i="2"/>
  <c r="AB426" i="2" s="1"/>
  <c r="Z514" i="3"/>
  <c r="AA502" i="3"/>
  <c r="W508" i="3"/>
  <c r="Y508" i="3"/>
  <c r="P518" i="3"/>
  <c r="AA46" i="3"/>
  <c r="Y46" i="3"/>
  <c r="AA183" i="3"/>
  <c r="U195" i="3"/>
  <c r="AA75" i="3"/>
  <c r="W75" i="3"/>
  <c r="W216" i="3"/>
  <c r="Y193" i="3"/>
  <c r="Y75" i="3"/>
  <c r="Z12" i="2"/>
  <c r="AB12" i="2" s="1"/>
  <c r="Z20" i="2"/>
  <c r="AB20" i="2" s="1"/>
  <c r="AA11" i="3"/>
  <c r="W11" i="3"/>
  <c r="Y11" i="3"/>
  <c r="Z41" i="2"/>
  <c r="AB41" i="2" s="1"/>
  <c r="U50" i="3"/>
  <c r="AA50" i="3" s="1"/>
  <c r="AA38" i="3"/>
  <c r="AA42" i="3"/>
  <c r="S54" i="3"/>
  <c r="Q54" i="3"/>
  <c r="V79" i="3"/>
  <c r="AA106" i="2"/>
  <c r="AA189" i="3"/>
  <c r="W189" i="3"/>
  <c r="Y189" i="3"/>
  <c r="AA193" i="3"/>
  <c r="AA247" i="3"/>
  <c r="W247" i="3"/>
  <c r="Y247" i="3"/>
  <c r="AA278" i="3"/>
  <c r="Y278" i="3"/>
  <c r="U282" i="3"/>
  <c r="W278" i="3"/>
  <c r="X311" i="3"/>
  <c r="Y299" i="3"/>
  <c r="X456" i="3"/>
  <c r="AA446" i="3"/>
  <c r="U456" i="3"/>
  <c r="Y446" i="3"/>
  <c r="Z403" i="2"/>
  <c r="AB403" i="2" s="1"/>
  <c r="Z430" i="2"/>
  <c r="AB430" i="2" s="1"/>
  <c r="Z447" i="2"/>
  <c r="AB447" i="2" s="1"/>
  <c r="X50" i="3"/>
  <c r="P83" i="3"/>
  <c r="AA60" i="2"/>
  <c r="Z79" i="2"/>
  <c r="AB79" i="2" s="1"/>
  <c r="Z108" i="2"/>
  <c r="AB108" i="2" s="1"/>
  <c r="Z133" i="2"/>
  <c r="AB133" i="2" s="1"/>
  <c r="V195" i="3"/>
  <c r="U253" i="3"/>
  <c r="Z282" i="3"/>
  <c r="P315" i="3"/>
  <c r="Q315" i="3" s="1"/>
  <c r="R373" i="3"/>
  <c r="S373" i="3" s="1"/>
  <c r="Z319" i="2"/>
  <c r="AB319" i="2" s="1"/>
  <c r="Z398" i="3"/>
  <c r="P402" i="3"/>
  <c r="Q402" i="3" s="1"/>
  <c r="R460" i="3"/>
  <c r="Z388" i="2"/>
  <c r="AB388" i="2" s="1"/>
  <c r="Z411" i="2"/>
  <c r="AB411" i="2" s="1"/>
  <c r="U514" i="3"/>
  <c r="Z10" i="2"/>
  <c r="AB10" i="2" s="1"/>
  <c r="Z43" i="2"/>
  <c r="AB43" i="2" s="1"/>
  <c r="Z50" i="3"/>
  <c r="P54" i="3"/>
  <c r="R83" i="3"/>
  <c r="Z83" i="2"/>
  <c r="AB83" i="2" s="1"/>
  <c r="Z87" i="2"/>
  <c r="AB87" i="2" s="1"/>
  <c r="Z177" i="2"/>
  <c r="AB177" i="2" s="1"/>
  <c r="V108" i="3"/>
  <c r="X137" i="3"/>
  <c r="V166" i="3"/>
  <c r="R228" i="3"/>
  <c r="S228" i="3" s="1"/>
  <c r="Z242" i="2"/>
  <c r="AB242" i="2" s="1"/>
  <c r="Z292" i="2"/>
  <c r="AB292" i="2" s="1"/>
  <c r="V253" i="3"/>
  <c r="AA245" i="3"/>
  <c r="X340" i="3"/>
  <c r="Z315" i="2"/>
  <c r="AB315" i="2" s="1"/>
  <c r="Z342" i="2"/>
  <c r="AB342" i="2" s="1"/>
  <c r="Z386" i="2"/>
  <c r="AB386" i="2" s="1"/>
  <c r="Z409" i="2"/>
  <c r="AB409" i="2" s="1"/>
  <c r="Z455" i="2"/>
  <c r="AB455" i="2" s="1"/>
  <c r="AA624" i="3"/>
  <c r="Y624" i="3"/>
  <c r="W626" i="3"/>
  <c r="Z148" i="2"/>
  <c r="AB148" i="2" s="1"/>
  <c r="Z152" i="2"/>
  <c r="Z156" i="2"/>
  <c r="AB156" i="2" s="1"/>
  <c r="Z181" i="2"/>
  <c r="AB181" i="2" s="1"/>
  <c r="R112" i="3"/>
  <c r="U137" i="3"/>
  <c r="AA137" i="3" s="1"/>
  <c r="X166" i="3"/>
  <c r="X195" i="3"/>
  <c r="AA191" i="3"/>
  <c r="X224" i="3"/>
  <c r="AA214" i="3"/>
  <c r="Z194" i="2"/>
  <c r="AB194" i="2" s="1"/>
  <c r="AA196" i="2"/>
  <c r="AA198" i="2"/>
  <c r="Z227" i="2"/>
  <c r="AB227" i="2" s="1"/>
  <c r="AA244" i="2"/>
  <c r="Z286" i="2"/>
  <c r="AB286" i="2" s="1"/>
  <c r="X253" i="3"/>
  <c r="AA249" i="3"/>
  <c r="Y270" i="3"/>
  <c r="P286" i="3"/>
  <c r="Q286" i="3" s="1"/>
  <c r="Z311" i="3"/>
  <c r="AA305" i="3"/>
  <c r="V369" i="3"/>
  <c r="Z309" i="2"/>
  <c r="AB309" i="2" s="1"/>
  <c r="V398" i="3"/>
  <c r="Z332" i="2"/>
  <c r="AB332" i="2" s="1"/>
  <c r="V427" i="3"/>
  <c r="AA357" i="2"/>
  <c r="AA359" i="2"/>
  <c r="Z456" i="3"/>
  <c r="Z382" i="2"/>
  <c r="Z405" i="2"/>
  <c r="AB405" i="2" s="1"/>
  <c r="Z428" i="2"/>
  <c r="AB428" i="2" s="1"/>
  <c r="Z432" i="2"/>
  <c r="AB432" i="2" s="1"/>
  <c r="V485" i="3"/>
  <c r="V514" i="3"/>
  <c r="R518" i="3"/>
  <c r="Z543" i="3"/>
  <c r="P547" i="3"/>
  <c r="X572" i="3"/>
  <c r="X601" i="3"/>
  <c r="Z470" i="2"/>
  <c r="AB470" i="2" s="1"/>
  <c r="Z493" i="2"/>
  <c r="AB493" i="2" s="1"/>
  <c r="V630" i="3"/>
  <c r="Z125" i="2"/>
  <c r="AB125" i="2" s="1"/>
  <c r="AA150" i="2"/>
  <c r="AA152" i="2"/>
  <c r="Z173" i="2"/>
  <c r="AB173" i="2" s="1"/>
  <c r="Z175" i="2"/>
  <c r="Z179" i="2"/>
  <c r="AB179" i="2" s="1"/>
  <c r="U108" i="3"/>
  <c r="AA108" i="3" s="1"/>
  <c r="Z166" i="3"/>
  <c r="Z195" i="3"/>
  <c r="Z224" i="3"/>
  <c r="AA218" i="3"/>
  <c r="Z219" i="2"/>
  <c r="Z221" i="2"/>
  <c r="Z223" i="2"/>
  <c r="AB223" i="2" s="1"/>
  <c r="Z263" i="2"/>
  <c r="AB263" i="2" s="1"/>
  <c r="Z290" i="2"/>
  <c r="AB290" i="2" s="1"/>
  <c r="Z294" i="2"/>
  <c r="AB294" i="2" s="1"/>
  <c r="Z253" i="3"/>
  <c r="V282" i="3"/>
  <c r="R286" i="3"/>
  <c r="S286" i="3" s="1"/>
  <c r="V340" i="3"/>
  <c r="X369" i="3"/>
  <c r="Z313" i="2"/>
  <c r="AB313" i="2" s="1"/>
  <c r="Z317" i="2"/>
  <c r="AB317" i="2" s="1"/>
  <c r="X398" i="3"/>
  <c r="Z336" i="2"/>
  <c r="AB336" i="2" s="1"/>
  <c r="Z340" i="2"/>
  <c r="AB340" i="2" s="1"/>
  <c r="X427" i="3"/>
  <c r="P460" i="3"/>
  <c r="AA382" i="2"/>
  <c r="AA405" i="2"/>
  <c r="AA428" i="2"/>
  <c r="Z457" i="2"/>
  <c r="AB457" i="2" s="1"/>
  <c r="X485" i="3"/>
  <c r="X514" i="3"/>
  <c r="AA510" i="3"/>
  <c r="AA541" i="3"/>
  <c r="R547" i="3"/>
  <c r="Z572" i="3"/>
  <c r="AA572" i="3" s="1"/>
  <c r="AA566" i="3"/>
  <c r="P576" i="3"/>
  <c r="Z601" i="3"/>
  <c r="Z474" i="2"/>
  <c r="AB474" i="2" s="1"/>
  <c r="Z478" i="2"/>
  <c r="AB478" i="2" s="1"/>
  <c r="W622" i="3"/>
  <c r="Z497" i="2"/>
  <c r="AB497" i="2" s="1"/>
  <c r="Z501" i="2"/>
  <c r="AB501" i="2" s="1"/>
  <c r="X630" i="3"/>
  <c r="AA369" i="3" l="1"/>
  <c r="Y369" i="3"/>
  <c r="Y572" i="3"/>
  <c r="AB359" i="2"/>
  <c r="AB150" i="2"/>
  <c r="W108" i="3"/>
  <c r="AA340" i="3"/>
  <c r="Y137" i="3"/>
  <c r="W137" i="3"/>
  <c r="AB219" i="2"/>
  <c r="Y108" i="3"/>
  <c r="AA224" i="3"/>
  <c r="AA630" i="3"/>
  <c r="W630" i="3"/>
  <c r="Y340" i="3"/>
  <c r="AA166" i="3"/>
  <c r="Y166" i="3"/>
  <c r="W166" i="3"/>
  <c r="AB175" i="2"/>
  <c r="W79" i="3"/>
  <c r="AA79" i="3"/>
  <c r="W572" i="3"/>
  <c r="AB382" i="2"/>
  <c r="AB196" i="2"/>
  <c r="AB221" i="2"/>
  <c r="W50" i="3"/>
  <c r="Y195" i="3"/>
  <c r="Y50" i="3"/>
  <c r="AA398" i="3"/>
  <c r="Y398" i="3"/>
  <c r="W398" i="3"/>
  <c r="AB198" i="2"/>
  <c r="AA601" i="3"/>
  <c r="Y601" i="3"/>
  <c r="W601" i="3"/>
  <c r="AA21" i="3"/>
  <c r="W21" i="3"/>
  <c r="Y253" i="3"/>
  <c r="W253" i="3"/>
  <c r="AA253" i="3"/>
  <c r="AA456" i="3"/>
  <c r="Y456" i="3"/>
  <c r="W456" i="3"/>
  <c r="W311" i="3"/>
  <c r="AA311" i="3"/>
  <c r="Y311" i="3"/>
  <c r="W224" i="3"/>
  <c r="Y224" i="3"/>
  <c r="AB152" i="2"/>
  <c r="AA514" i="3"/>
  <c r="W514" i="3"/>
  <c r="Y514" i="3"/>
  <c r="Y282" i="3"/>
  <c r="AA282" i="3"/>
  <c r="W282" i="3"/>
  <c r="W195" i="3"/>
  <c r="AA195" i="3"/>
  <c r="Y543" i="3"/>
  <c r="AA543" i="3"/>
  <c r="W543" i="3"/>
  <c r="AA485" i="3"/>
  <c r="Y485" i="3"/>
  <c r="W485" i="3"/>
  <c r="Y427" i="3"/>
  <c r="W427" i="3"/>
  <c r="AA427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18)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`Ctrl-ShiftC` before entering data below the highlighted range.
Need to modify the code when more machines were added. (Current: 10)</t>
        </r>
      </text>
    </comment>
  </commentList>
</comments>
</file>

<file path=xl/sharedStrings.xml><?xml version="1.0" encoding="utf-8"?>
<sst xmlns="http://schemas.openxmlformats.org/spreadsheetml/2006/main" count="5204" uniqueCount="269">
  <si>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</si>
  <si>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</si>
  <si>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</si>
  <si>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</si>
  <si>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</si>
  <si>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</si>
  <si>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</si>
  <si>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</si>
  <si>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</si>
  <si>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</si>
  <si>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</si>
  <si>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</si>
  <si>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</si>
  <si>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</si>
  <si>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</si>
  <si>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</si>
  <si>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</si>
  <si>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</si>
  <si>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</si>
  <si>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</si>
  <si>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</si>
  <si>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</si>
  <si>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</si>
  <si>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</si>
  <si>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</si>
  <si>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</si>
  <si>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</si>
  <si>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</si>
  <si>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</si>
  <si>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</si>
  <si>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</si>
  <si>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</si>
  <si>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</si>
  <si>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</si>
  <si>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</si>
  <si>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</si>
  <si>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</si>
  <si>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</si>
  <si>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</si>
  <si>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</si>
  <si>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</si>
  <si>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</si>
  <si>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</si>
  <si>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</si>
  <si>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</si>
  <si>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</si>
  <si>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</si>
  <si>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</si>
  <si>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</si>
  <si>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</si>
  <si>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</si>
  <si>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</si>
  <si>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</si>
  <si>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</si>
  <si>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</si>
  <si>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</si>
  <si>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</si>
  <si>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</si>
  <si>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</si>
  <si>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</si>
  <si>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</si>
  <si>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</si>
  <si>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</si>
  <si>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</si>
  <si>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</si>
  <si>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</si>
  <si>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</si>
  <si>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</si>
  <si>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</si>
  <si>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</si>
  <si>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</si>
  <si>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</si>
  <si>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</si>
  <si>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</si>
  <si>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</si>
  <si>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</si>
  <si>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</si>
  <si>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</si>
  <si>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</si>
  <si>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</si>
  <si>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</si>
  <si>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</si>
  <si>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</si>
  <si>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</si>
  <si>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</si>
  <si>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</si>
  <si>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</si>
  <si>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</si>
  <si>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</si>
  <si>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</si>
  <si>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</si>
  <si>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</si>
  <si>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</si>
  <si>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</si>
  <si>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</si>
  <si>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</si>
  <si>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</si>
  <si>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</si>
  <si>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</si>
  <si>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</si>
  <si>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</si>
  <si>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</si>
  <si>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</si>
  <si>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</si>
  <si>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</si>
  <si>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</si>
  <si>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</si>
  <si>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</si>
  <si>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</si>
  <si>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</si>
  <si>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</si>
  <si>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</si>
  <si>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</si>
  <si>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</si>
  <si>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</si>
  <si>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</si>
  <si>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</si>
  <si>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</si>
  <si>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</si>
  <si>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</si>
  <si>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</si>
  <si>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</si>
  <si>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</si>
  <si>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</si>
  <si>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</si>
  <si>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</si>
  <si>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</si>
  <si>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</si>
  <si>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</si>
  <si>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</si>
  <si>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</si>
  <si>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</si>
  <si>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</si>
  <si>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</si>
  <si>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</si>
  <si>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</si>
  <si>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</si>
  <si>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</si>
  <si>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</si>
  <si>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</si>
  <si>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</si>
  <si>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</si>
  <si>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</si>
  <si>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</si>
  <si>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</si>
  <si>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</si>
  <si>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</si>
  <si>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</si>
  <si>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</si>
  <si>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</si>
  <si>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Finch DEO Production Defects Count</t>
  </si>
  <si>
    <t>Total Number of</t>
  </si>
  <si>
    <t>Defects</t>
  </si>
  <si>
    <t>HrStrtCls</t>
  </si>
  <si>
    <t>HrMaint</t>
  </si>
  <si>
    <t>HrSample</t>
  </si>
  <si>
    <t>Deo (Good)</t>
  </si>
  <si>
    <t>Grand Total</t>
  </si>
  <si>
    <t>Pcs/Carton</t>
  </si>
  <si>
    <t>Row Labels</t>
  </si>
  <si>
    <t>Sum of HrStrtCls</t>
  </si>
  <si>
    <t>Sum of HrMaint</t>
  </si>
  <si>
    <t>Sum of HrSample</t>
  </si>
  <si>
    <t>Sum of HrProd</t>
  </si>
  <si>
    <t>Sum of CycleTime</t>
  </si>
  <si>
    <t>Max of Cavity</t>
  </si>
  <si>
    <t>StdOutputPerHr</t>
  </si>
  <si>
    <t>S1CycleNotZero</t>
  </si>
  <si>
    <t>S2CycleNotZero</t>
  </si>
  <si>
    <t>S3CycleNotZero</t>
  </si>
  <si>
    <t>AverageCycle</t>
  </si>
  <si>
    <t>Sum of CycleNotZero</t>
  </si>
  <si>
    <t>09A</t>
  </si>
  <si>
    <t>DW-P01</t>
  </si>
  <si>
    <t>DER-W01</t>
  </si>
  <si>
    <t>14B</t>
  </si>
  <si>
    <t>DW-B01</t>
  </si>
  <si>
    <t>15B</t>
  </si>
  <si>
    <t>DW-C01</t>
  </si>
  <si>
    <t>11A</t>
  </si>
  <si>
    <t>DW-D02</t>
  </si>
  <si>
    <t>23A</t>
  </si>
  <si>
    <t>DW-S02</t>
  </si>
  <si>
    <t>Daily Output</t>
  </si>
  <si>
    <t>Dr.Squatch</t>
  </si>
  <si>
    <t>Finch Wide Stick Production Line Status Report</t>
  </si>
  <si>
    <t>22B</t>
  </si>
  <si>
    <t>23B</t>
  </si>
  <si>
    <t>DW-B02</t>
  </si>
  <si>
    <t>DW-C02</t>
  </si>
  <si>
    <t>Line#1 Regular</t>
  </si>
  <si>
    <t>Beige</t>
  </si>
  <si>
    <t>18A</t>
  </si>
  <si>
    <t>25151-2</t>
  </si>
  <si>
    <t>26363-5</t>
  </si>
  <si>
    <t>Shift-1, 2 螺絲機間中打 #25151-2</t>
  </si>
  <si>
    <t>26367-1</t>
  </si>
  <si>
    <t>26367-5</t>
  </si>
  <si>
    <t>Shift-1 維修1小時</t>
  </si>
  <si>
    <t>Shift-3 03:30 開機</t>
  </si>
  <si>
    <t>自動機組裝 Shift-1 #26367-5; Shift-1, 2, 3 #26363-5</t>
  </si>
  <si>
    <t>Shift-2 转单26367-1</t>
  </si>
  <si>
    <t>Shift-1 转单26363-5</t>
  </si>
  <si>
    <t>Shift-2 转单26363-5</t>
  </si>
  <si>
    <t>Shift-3 無故障顯示但頻繁報警</t>
  </si>
  <si>
    <t>26363-6</t>
  </si>
  <si>
    <t>Shift-3 04:45 開機</t>
  </si>
  <si>
    <t>Shift-2 #26367-1完單轉打#26367-2</t>
  </si>
  <si>
    <t>自動機組裝 Shift-1, 2, 3 #26363-5</t>
  </si>
  <si>
    <t>26367-2</t>
  </si>
  <si>
    <t>Shift-3 貨不足，挑螺絲挑貨</t>
  </si>
  <si>
    <t>Shift-2 够数停机</t>
  </si>
  <si>
    <t>Shift-3 Molding machines issue, waiting for barrels</t>
  </si>
  <si>
    <t>B/C</t>
  </si>
  <si>
    <t>26366-1</t>
  </si>
  <si>
    <t>26365-1</t>
  </si>
  <si>
    <t>13B</t>
  </si>
  <si>
    <t>DW-B03</t>
  </si>
  <si>
    <t>Shift-3 转单26365-1</t>
  </si>
  <si>
    <t>Shift-2 维修</t>
  </si>
  <si>
    <t>Shift1，Shift-2，Shift-3 自动机组装26363-5转26366-1</t>
  </si>
  <si>
    <t>螺丝机间中打25151-2</t>
  </si>
  <si>
    <t>Shift-3 2:00AM开机</t>
  </si>
  <si>
    <t>Molding machines issue, waiting for barrels</t>
  </si>
  <si>
    <t>26363-8</t>
  </si>
  <si>
    <t>24B</t>
  </si>
  <si>
    <t>DW-C03</t>
  </si>
  <si>
    <t>间中25151-2</t>
  </si>
  <si>
    <t>25152-2</t>
  </si>
  <si>
    <t>26367-3</t>
  </si>
  <si>
    <t>Shift-3 转单26367-3</t>
  </si>
  <si>
    <t>Shift-3 转单27203</t>
  </si>
  <si>
    <t>Shift-2 #5多次断在模具内，封号</t>
  </si>
  <si>
    <t>Shift1，Shift-2，Shift-3 自动机组装26363-6转26365</t>
  </si>
  <si>
    <t>Shift1，Shift-2，Shift-3 自动机组装26363-5转26363-6</t>
  </si>
  <si>
    <t>Line#2 Line#3 Tall</t>
  </si>
  <si>
    <t>间中25151-2. Shift-1 #7前模模具裂，维修</t>
  </si>
  <si>
    <t>27203-1</t>
  </si>
  <si>
    <t>Shift-1 停机3小时</t>
  </si>
  <si>
    <t>Shift-3 转单27203-1</t>
  </si>
  <si>
    <t>Shift1，Shift-2，Shift-3 自动机组装26367-5转26367-6</t>
  </si>
  <si>
    <t>Shift-1 缺管，转做DER</t>
  </si>
  <si>
    <t>间中25152-2</t>
  </si>
  <si>
    <t>26367-6</t>
  </si>
  <si>
    <t>Shift-1 转单26367-6</t>
  </si>
  <si>
    <t>Shift-1 转单27203-1，停机维修1小时</t>
  </si>
  <si>
    <t>Shift-1 开5小时</t>
  </si>
  <si>
    <t>Shift-1 开5小时；Shift-3 维修</t>
  </si>
  <si>
    <t>Shift-3 维修</t>
  </si>
  <si>
    <t>27205-1</t>
  </si>
  <si>
    <t>Shift-2 转单27205-1</t>
  </si>
  <si>
    <t>Shift-3 转单25257</t>
  </si>
  <si>
    <t>Shift-2 转单26365</t>
  </si>
  <si>
    <t>Shift1，Shift-2，Shift-3 自动机组装26367-6</t>
  </si>
  <si>
    <t>螺丝机间中打25152-2</t>
  </si>
  <si>
    <t>Shift-1 下午转做DER</t>
  </si>
  <si>
    <t>Shift-3 维修半小时</t>
  </si>
  <si>
    <t>Shift-1, 2 自動機組裝 #26365</t>
  </si>
  <si>
    <t>Shift-3 大螺絲不足</t>
  </si>
  <si>
    <t>27367-3</t>
  </si>
  <si>
    <t>螺絲機間中打 #27203-1, #27205-1</t>
  </si>
  <si>
    <t>螺絲機間中打 #25152</t>
  </si>
  <si>
    <t>Shift-3 爆水管停机1小时</t>
  </si>
  <si>
    <t>26362-2</t>
  </si>
  <si>
    <t>自動機組裝 #27128</t>
  </si>
  <si>
    <t>螺絲機間中打 #26365, #27205-1</t>
  </si>
  <si>
    <t>Shift-3 2、3號螺絲機調機</t>
  </si>
  <si>
    <t>26367-4</t>
  </si>
  <si>
    <t>螺絲機間中打 #25152-2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</si>
</sst>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4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</cellStyleXfs>
  <cellXfs count="301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164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49" fontId="20" fillId="0" borderId="0" xfId="4" applyNumberFormat="1" applyFont="1" applyAlignment="1">
      <alignment horizontal="center"/>
    </xf>
    <xf numFmtId="0" fontId="15" fillId="0" borderId="0" xfId="17" applyFont="1" applyAlignment="1">
      <alignment horizontal="left"/>
    </xf>
    <xf numFmtId="0" fontId="15" fillId="0" borderId="0" xfId="17" applyFont="1"/>
    <xf numFmtId="0" fontId="15" fillId="0" borderId="0" xfId="17" applyFont="1" applyAlignment="1">
      <alignment horizontal="center"/>
    </xf>
    <xf numFmtId="0" fontId="15" fillId="0" borderId="0" xfId="10" applyFont="1"/>
    <xf numFmtId="22" fontId="15" fillId="0" borderId="0" xfId="17" applyNumberFormat="1" applyFont="1" applyAlignment="1">
      <alignment horizontal="center"/>
    </xf>
    <xf numFmtId="38" fontId="17" fillId="0" borderId="0" xfId="17" applyNumberFormat="1" applyFont="1"/>
    <xf numFmtId="38" fontId="6" fillId="0" borderId="0" xfId="17" applyNumberFormat="1" applyFont="1"/>
    <xf numFmtId="14" fontId="16" fillId="0" borderId="0" xfId="17" applyNumberFormat="1" applyFont="1" applyAlignment="1" applyProtection="1">
      <alignment horizontal="right"/>
      <protection locked="0"/>
    </xf>
    <xf numFmtId="14" fontId="7" fillId="0" borderId="0" xfId="17" applyNumberFormat="1" applyFont="1" applyAlignment="1" applyProtection="1">
      <alignment horizontal="right"/>
      <protection locked="0"/>
    </xf>
    <xf numFmtId="38" fontId="6" fillId="0" borderId="0" xfId="17" applyNumberFormat="1" applyFont="1" applyAlignment="1">
      <alignment horizontal="right"/>
    </xf>
    <xf numFmtId="38" fontId="3" fillId="0" borderId="0" xfId="17" applyNumberFormat="1" applyProtection="1">
      <protection locked="0"/>
    </xf>
    <xf numFmtId="0" fontId="3" fillId="0" borderId="0" xfId="10"/>
    <xf numFmtId="0" fontId="5" fillId="0" borderId="0" xfId="17" applyFont="1" applyAlignment="1">
      <alignment horizontal="left"/>
    </xf>
    <xf numFmtId="0" fontId="5" fillId="0" borderId="0" xfId="17" applyFont="1"/>
    <xf numFmtId="0" fontId="5" fillId="0" borderId="0" xfId="17" applyFont="1" applyAlignment="1">
      <alignment horizontal="center"/>
    </xf>
    <xf numFmtId="22" fontId="5" fillId="0" borderId="0" xfId="17" applyNumberFormat="1" applyFont="1" applyAlignment="1">
      <alignment horizontal="center"/>
    </xf>
    <xf numFmtId="10" fontId="6" fillId="0" borderId="0" xfId="17" applyNumberFormat="1" applyFont="1" applyAlignment="1">
      <alignment horizontal="right"/>
    </xf>
    <xf numFmtId="0" fontId="20" fillId="0" borderId="0" xfId="10" applyFont="1" applyAlignment="1">
      <alignment horizontal="left"/>
    </xf>
    <xf numFmtId="0" fontId="20" fillId="0" borderId="0" xfId="10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172" fontId="7" fillId="11" borderId="0" xfId="0" applyNumberFormat="1" applyFont="1" applyFill="1"/>
    <xf numFmtId="172" fontId="0" fillId="0" borderId="0" xfId="0" applyNumberFormat="1"/>
    <xf numFmtId="4" fontId="0" fillId="0" borderId="0" xfId="0" applyNumberFormat="1"/>
    <xf numFmtId="0" fontId="25" fillId="10" borderId="1" xfId="0" applyFont="1" applyFill="1" applyBorder="1"/>
    <xf numFmtId="0" fontId="0" fillId="0" borderId="1" xfId="0" applyBorder="1"/>
    <xf numFmtId="167" fontId="0" fillId="0" borderId="1" xfId="0" applyNumberFormat="1" applyBorder="1" applyAlignment="1">
      <alignment horizontal="left"/>
    </xf>
    <xf numFmtId="3" fontId="0" fillId="0" borderId="1" xfId="0" applyNumberFormat="1" applyBorder="1"/>
    <xf numFmtId="0" fontId="0" fillId="0" borderId="4" xfId="0" applyBorder="1"/>
    <xf numFmtId="3" fontId="3" fillId="0" borderId="1" xfId="0" applyNumberFormat="1" applyFont="1" applyBorder="1"/>
    <xf numFmtId="0" fontId="26" fillId="0" borderId="0" xfId="4" applyFont="1" applyAlignment="1">
      <alignment horizontal="center"/>
    </xf>
    <xf numFmtId="0" fontId="26" fillId="0" borderId="0" xfId="0" applyFont="1" applyAlignment="1">
      <alignment horizontal="center"/>
    </xf>
    <xf numFmtId="171" fontId="26" fillId="0" borderId="0" xfId="4" applyNumberFormat="1" applyFont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49" fontId="26" fillId="0" borderId="0" xfId="4" applyNumberFormat="1" applyFont="1" applyAlignment="1">
      <alignment horizontal="center"/>
    </xf>
    <xf numFmtId="167" fontId="26" fillId="0" borderId="0" xfId="10" applyNumberFormat="1" applyFont="1" applyAlignment="1">
      <alignment horizontal="center"/>
    </xf>
    <xf numFmtId="0" fontId="26" fillId="0" borderId="0" xfId="10" applyFont="1" applyAlignment="1">
      <alignment horizontal="center"/>
    </xf>
    <xf numFmtId="166" fontId="26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1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49" fontId="28" fillId="0" borderId="0" xfId="4" applyNumberFormat="1" applyFont="1" applyAlignment="1">
      <alignment horizontal="center"/>
    </xf>
    <xf numFmtId="0" fontId="29" fillId="0" borderId="0" xfId="4" applyFont="1" applyAlignment="1">
      <alignment horizontal="center"/>
    </xf>
    <xf numFmtId="0" fontId="29" fillId="0" borderId="0" xfId="0" applyFont="1" applyAlignment="1">
      <alignment horizontal="center"/>
    </xf>
    <xf numFmtId="171" fontId="29" fillId="0" borderId="0" xfId="4" applyNumberFormat="1" applyFont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49" fontId="29" fillId="0" borderId="0" xfId="4" applyNumberFormat="1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0" fontId="20" fillId="0" borderId="0" xfId="4" applyFont="1" applyAlignment="1">
      <alignment horizontal="center"/>
    </xf>
    <xf numFmtId="171" fontId="20" fillId="0" borderId="0" xfId="4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3" fillId="10" borderId="1" xfId="0" applyFont="1" applyFill="1" applyBorder="1"/>
    <xf numFmtId="0" fontId="30" fillId="0" borderId="0" xfId="4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4" applyNumberFormat="1" applyFont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49" fontId="30" fillId="0" borderId="0" xfId="4" applyNumberFormat="1" applyFont="1" applyAlignment="1">
      <alignment horizontal="center"/>
    </xf>
    <xf numFmtId="166" fontId="3" fillId="0" borderId="0" xfId="10" applyNumberFormat="1"/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170" fontId="16" fillId="8" borderId="14" xfId="17" applyNumberFormat="1" applyFont="1" applyFill="1" applyBorder="1" applyAlignment="1" applyProtection="1">
      <alignment horizontal="center"/>
      <protection locked="0"/>
    </xf>
    <xf numFmtId="0" fontId="25" fillId="10" borderId="1" xfId="0" applyFont="1" applyFill="1" applyBorder="1" applyAlignment="1">
      <alignment horizontal="center"/>
    </xf>
    <xf numFmtId="0" fontId="23" fillId="10" borderId="1" xfId="0" applyFont="1" applyFill="1" applyBorder="1" applyAlignment="1">
      <alignment horizontal="center" vertical="top"/>
    </xf>
    <xf numFmtId="0" fontId="25" fillId="10" borderId="1" xfId="0" applyFont="1" applyFill="1" applyBorder="1" applyAlignment="1">
      <alignment horizontal="center" vertical="top"/>
    </xf>
    <xf numFmtId="0" fontId="23" fillId="10" borderId="9" xfId="0" applyFont="1" applyFill="1" applyBorder="1" applyAlignment="1">
      <alignment horizontal="center"/>
    </xf>
    <xf numFmtId="0" fontId="25" fillId="10" borderId="11" xfId="0" applyFont="1" applyFill="1" applyBorder="1" applyAlignment="1">
      <alignment horizontal="center"/>
    </xf>
    <xf numFmtId="0" fontId="23" fillId="10" borderId="17" xfId="0" applyFont="1" applyFill="1" applyBorder="1" applyAlignment="1">
      <alignment horizontal="center"/>
    </xf>
    <xf numFmtId="0" fontId="23" fillId="10" borderId="18" xfId="0" applyFont="1" applyFill="1" applyBorder="1" applyAlignment="1">
      <alignment horizontal="center"/>
    </xf>
    <xf numFmtId="0" fontId="18" fillId="0" borderId="0" xfId="4" applyFont="1"/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31" fillId="0" borderId="0" xfId="4" applyFont="1" applyFill="1" applyAlignment="1">
      <alignment horizontal="center"/>
    </xf>
    <xf numFmtId="0" fontId="31" fillId="0" borderId="0" xfId="0" applyFont="1" applyAlignment="1">
      <alignment horizontal="center"/>
    </xf>
    <xf numFmtId="171" fontId="31" fillId="0" borderId="0" xfId="4" applyNumberFormat="1" applyFont="1" applyFill="1" applyAlignment="1">
      <alignment horizontal="center"/>
    </xf>
    <xf numFmtId="166" fontId="31" fillId="0" borderId="0" xfId="1" applyNumberFormat="1" applyFont="1" applyBorder="1" applyAlignment="1">
      <alignment horizontal="center"/>
    </xf>
    <xf numFmtId="49" fontId="31" fillId="0" borderId="0" xfId="4" applyNumberFormat="1" applyFont="1" applyFill="1" applyAlignment="1">
      <alignment horizontal="center"/>
    </xf>
  </cellXfs>
  <cellStyles count="18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5"/>
    <cellStyle name="Normal 4" xfId="6"/>
    <cellStyle name="Normal 5" xfId="14"/>
    <cellStyle name="Normal_Sheet2" xfId="4"/>
    <cellStyle name="Normal_Sheet2 2" xfId="17"/>
    <cellStyle name="Percent" xfId="5" builtinId="5"/>
    <cellStyle name="Percent 2" xfId="11"/>
    <cellStyle name="Percent 3" xfId="12"/>
    <cellStyle name="Percent 4" xfId="16"/>
  </cellStyles>
  <dxfs count="90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DW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Wide Stick Output</a:t>
            </a:r>
          </a:p>
        </c:rich>
      </c:tx>
      <c:layout/>
      <c:overlay val="0"/>
    </c:title>
    <c:autoTitleDeleted val="0"/>
    <c:pivotFmts>
      <c:pivotFmt>
        <c:idx val="0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51911</c:v>
                </c:pt>
                <c:pt idx="1">
                  <c:v>43641</c:v>
                </c:pt>
                <c:pt idx="2">
                  <c:v>40226</c:v>
                </c:pt>
                <c:pt idx="3">
                  <c:v>58514</c:v>
                </c:pt>
                <c:pt idx="4">
                  <c:v>68032</c:v>
                </c:pt>
                <c:pt idx="5">
                  <c:v>73669</c:v>
                </c:pt>
                <c:pt idx="6">
                  <c:v>73654</c:v>
                </c:pt>
                <c:pt idx="7">
                  <c:v>84398</c:v>
                </c:pt>
                <c:pt idx="8">
                  <c:v>79465</c:v>
                </c:pt>
                <c:pt idx="9">
                  <c:v>76068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27-441E-B300-A1126CBD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75328"/>
        <c:axId val="78701696"/>
      </c:lineChart>
      <c:catAx>
        <c:axId val="78675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8701696"/>
        <c:crosses val="autoZero"/>
        <c:auto val="1"/>
        <c:lblAlgn val="ctr"/>
        <c:lblOffset val="100"/>
        <c:noMultiLvlLbl val="0"/>
      </c:catAx>
      <c:valAx>
        <c:axId val="787016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86753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24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39144328702" createdVersion="4" refreshedVersion="4" minRefreshableVersion="3" recordCount="124">
  <cacheSource type="worksheet">
    <worksheetSource name="Prod"/>
  </cacheSource>
  <cacheFields count="59">
    <cacheField name="Date" numFmtId="167">
      <sharedItems containsSemiMixedTypes="0" containsNonDate="0" containsDate="1" containsString="0" minDate="2024-05-01T00:00:00" maxDate="2024-05-12T00:00:00"/>
    </cacheField>
    <cacheField name="LineNo" numFmtId="0">
      <sharedItems/>
    </cacheField>
    <cacheField name="MoldNo" numFmtId="0">
      <sharedItems count="28">
        <s v="DW-P01"/>
        <s v="DW-D02"/>
        <s v="DER-W01"/>
        <s v="DW-C01"/>
        <s v="DW-B01"/>
        <s v="DW-B02"/>
        <s v="DW-C02"/>
        <s v="DW-S02"/>
        <s v="DW-B03"/>
        <s v="DW-C03"/>
        <s v="DEO-C02" u="1"/>
        <s v="DEO-P03" u="1"/>
        <s v="DEO-B01" u="1"/>
        <s v="DEO-C04" u="1"/>
        <s v="DEO-B02" u="1"/>
        <s v="DEO-U01" u="1"/>
        <s v="DEO-C05" u="1"/>
        <s v="DEO-B03" u="1"/>
        <s v="DEO-U02" u="1"/>
        <s v="JAC-02" u="1"/>
        <s v="DEO-M01" u="1"/>
        <s v="DEO-S01" u="1"/>
        <s v="DEO-S02" u="1"/>
        <s v="DEO-D01" u="1"/>
        <s v="DEO-D02" u="1"/>
        <s v="DEO-D03" u="1"/>
        <s v="DEO-P01" u="1"/>
        <s v="DEO-C01" u="1"/>
      </sharedItems>
    </cacheField>
    <cacheField name="Index" numFmtId="0">
      <sharedItems containsBlank="1" containsMixedTypes="1" containsNumber="1" containsInteger="1" minValue="25151" maxValue="27456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814"/>
    </cacheField>
    <cacheField name="Status" numFmtId="0">
      <sharedItems/>
    </cacheField>
    <cacheField name="S1Cycle" numFmtId="164">
      <sharedItems containsSemiMixedTypes="0" containsString="0" containsNumber="1" minValue="0" maxValue="25.99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465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36384"/>
    </cacheField>
    <cacheField name="S1Dft" numFmtId="166">
      <sharedItems containsString="0" containsBlank="1" containsNumber="1" containsInteger="1" minValue="0" maxValue="185"/>
    </cacheField>
    <cacheField name="S2Cycle" numFmtId="164">
      <sharedItems containsSemiMixedTypes="0" containsString="0" containsNumber="1" minValue="0" maxValue="25.99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596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41536"/>
    </cacheField>
    <cacheField name="S2Dft" numFmtId="166">
      <sharedItems containsString="0" containsBlank="1" containsNumber="1" containsInteger="1" minValue="0" maxValue="190"/>
    </cacheField>
    <cacheField name="S3Cycle" numFmtId="164">
      <sharedItems containsSemiMixedTypes="0" containsString="0" containsNumber="1" minValue="0" maxValue="228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2405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36816"/>
    </cacheField>
    <cacheField name="S3Dft" numFmtId="166">
      <sharedItems containsString="0" containsBlank="1" containsNumber="1" containsInteger="1" minValue="0" maxValue="185"/>
    </cacheField>
    <cacheField name="Total" numFmtId="166">
      <sharedItems containsSemiMixedTypes="0" containsString="0" containsNumber="1" containsInteger="1" minValue="0" maxValue="110960"/>
    </cacheField>
    <cacheField name="TotalDft" numFmtId="166">
      <sharedItems containsString="0" containsBlank="1" containsNumber="1" containsInteger="1" minValue="0" maxValue="555"/>
    </cacheField>
    <cacheField name="DftRte" numFmtId="10">
      <sharedItems containsString="0" containsBlank="1" containsNumber="1" minValue="0" maxValue="2.406159769008662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35"/>
    </cacheField>
    <cacheField name="S2Mold" numFmtId="166">
      <sharedItems containsString="0" containsBlank="1" containsNumber="1" containsInteger="1" minValue="0" maxValue="40"/>
    </cacheField>
    <cacheField name="S3Mold" numFmtId="166">
      <sharedItems containsString="0" containsBlank="1" containsNumber="1" containsInteger="1" minValue="0" maxValue="35"/>
    </cacheField>
    <cacheField name="S1Print" numFmtId="166">
      <sharedItems containsString="0" containsBlank="1" containsNumber="1" containsInteger="1" minValue="0" maxValue="150"/>
    </cacheField>
    <cacheField name="S2Print" numFmtId="166">
      <sharedItems containsString="0" containsBlank="1" containsNumber="1" containsInteger="1" minValue="0" maxValue="155"/>
    </cacheField>
    <cacheField name="S3Print" numFmtId="166">
      <sharedItems containsString="0" containsBlank="1" containsNumber="1" containsInteger="1" minValue="0" maxValue="15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156511111111111"/>
    </cacheField>
    <cacheField name="S2%" numFmtId="168">
      <sharedItems containsSemiMixedTypes="0" containsString="0" containsNumber="1" minValue="0" maxValue="1.2868222222222221"/>
    </cacheField>
    <cacheField name="S3%" numFmtId="168">
      <sharedItems containsSemiMixedTypes="0" containsString="0" containsNumber="1" minValue="0" maxValue="8.6529166666666661"/>
    </cacheField>
    <cacheField name="Daily%" numFmtId="168">
      <sharedItems containsSemiMixedTypes="0" containsString="0" containsNumber="1" minValue="0" maxValue="3.5624913194444443"/>
    </cacheField>
    <cacheField name="HrStrtCls" numFmtId="168">
      <sharedItems containsSemiMixedTypes="0" containsString="0" containsNumber="1" minValue="0" maxValue="1"/>
    </cacheField>
    <cacheField name="HrMaint" numFmtId="168">
      <sharedItems containsSemiMixedTypes="0" containsString="0" containsNumber="1" minValue="0" maxValue="10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16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Tim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39148379628" createdVersion="4" refreshedVersion="4" minRefreshableVersion="3" recordCount="71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6-01T00:00:00" count="335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12-04T00:00:00" u="1"/>
        <d v="2024-02-04T00:00:00" u="1"/>
        <d v="2023-04-14T00:00:00" u="1"/>
        <d v="2023-09-27T00:00:00" u="1"/>
        <d v="2023-11-18T00:00:00" u="1"/>
        <d v="2024-03-09T00:00:00" u="1"/>
        <d v="2023-03-28T00:00:00" u="1"/>
        <d v="2023-05-19T00:00:00" u="1"/>
        <d v="2023-07-10T00:00:00" u="1"/>
        <d v="2023-09-01T00:00:00" u="1"/>
        <d v="2023-12-23T00:00:00" u="1"/>
        <d v="2024-02-23T00:00:00" u="1"/>
        <d v="2024-04-14T00:00:00" u="1"/>
        <d v="2023-03-02T00:00:00" u="1"/>
        <d v="2024-03-28T00:00:00" u="1"/>
        <d v="2023-04-07T00:00:00" u="1"/>
        <d v="2023-07-29T00:00:00" u="1"/>
        <d v="2023-09-20T00:00:00" u="1"/>
        <d v="2023-11-11T00:00:00" u="1"/>
        <d v="2024-03-02T00:00:00" u="1"/>
        <d v="2023-03-21T00:00:00" u="1"/>
        <d v="2023-05-12T00:00:00" u="1"/>
        <d v="2023-07-03T00:00:00" u="1"/>
        <d v="2023-12-16T00:00:00" u="1"/>
        <d v="2024-02-16T00:00:00" u="1"/>
        <d v="2024-04-07T00:00:00" u="1"/>
        <d v="2023-04-26T00:00:00" u="1"/>
        <d v="2023-11-30T00:00:00" u="1"/>
        <d v="2024-03-21T00:00:00" u="1"/>
        <d v="2023-05-31T00:00:00" u="1"/>
        <d v="2023-07-22T00:00:00" u="1"/>
        <d v="2023-09-13T00:00:00" u="1"/>
        <d v="2023-11-04T00:00:00" u="1"/>
        <d v="2024-04-26T00:00:00" u="1"/>
        <d v="2023-03-14T00:00:00" u="1"/>
        <d v="2023-05-05T00:00:00" u="1"/>
        <d v="2023-12-09T00:00:00" u="1"/>
        <d v="2024-02-09T00:00:00" u="1"/>
        <d v="2023-04-19T00:00:00" u="1"/>
        <d v="2023-11-23T00:00:00" u="1"/>
        <d v="2024-03-14T00:00:00" u="1"/>
        <d v="2023-05-24T00:00:00" u="1"/>
        <d v="2023-07-15T00:00:00" u="1"/>
        <d v="2023-09-06T00:00:00" u="1"/>
        <d v="2023-12-28T00:00:00" u="1"/>
        <d v="2024-02-28T00:00:00" u="1"/>
        <d v="2024-04-19T00:00:00" u="1"/>
        <d v="2023-03-07T00:00:00" u="1"/>
        <d v="2023-12-02T00:00:00" u="1"/>
        <d v="2024-02-02T00:00:00" u="1"/>
        <d v="2023-04-12T00:00:00" u="1"/>
        <d v="2023-09-25T00:00:00" u="1"/>
        <d v="2023-11-16T00:00:00" u="1"/>
        <d v="2024-03-07T00:00:00" u="1"/>
        <d v="2023-03-26T00:00:00" u="1"/>
        <d v="2023-05-17T00:00:00" u="1"/>
        <d v="2023-07-08T00:00:00" u="1"/>
        <d v="2023-12-21T00:00:00" u="1"/>
        <d v="2024-02-21T00:00:00" u="1"/>
        <d v="2024-04-12T00:00:00" u="1"/>
        <d v="2024-03-26T00:00:00" u="1"/>
        <d v="2023-04-05T00:00:00" u="1"/>
        <d v="2023-07-27T00:00:00" u="1"/>
        <d v="2023-09-18T00:00:00" u="1"/>
        <d v="2023-11-09T00:00:00" u="1"/>
        <d v="2023-03-19T00:00:00" u="1"/>
        <d v="2023-05-10T00:00:00" u="1"/>
        <d v="2023-07-01T00:00:00" u="1"/>
        <d v="2023-12-14T00:00:00" u="1"/>
        <d v="2024-02-14T00:00:00" u="1"/>
        <d v="2024-04-05T00:00:00" u="1"/>
        <d v="2023-04-24T00:00:00" u="1"/>
        <d v="2023-11-28T00:00:00" u="1"/>
        <d v="2024-03-19T00:00:00" u="1"/>
        <d v="2023-05-29T00:00:00" u="1"/>
        <d v="2023-07-20T00:00:00" u="1"/>
        <d v="2023-09-11T00:00:00" u="1"/>
        <d v="2023-11-02T00:00:00" u="1"/>
        <d v="2024-04-24T00:00:00" u="1"/>
        <d v="2023-03-12T00:00:00" u="1"/>
        <d v="2023-05-03T00:00:00" u="1"/>
        <d v="2023-12-07T00:00:00" u="1"/>
        <d v="2024-02-07T00:00:00" u="1"/>
        <d v="2023-04-17T00:00:00" u="1"/>
        <d v="2023-09-30T00:00:00" u="1"/>
        <d v="2023-11-21T00:00:00" u="1"/>
        <d v="2024-03-12T00:00:00" u="1"/>
        <d v="2023-03-31T00:00:00" u="1"/>
        <d v="2023-05-22T00:00:00" u="1"/>
        <d v="2023-07-13T00:00:00" u="1"/>
        <d v="2023-09-04T00:00:00" u="1"/>
        <d v="2023-12-26T00:00:00" u="1"/>
        <d v="2024-02-26T00:00:00" u="1"/>
        <d v="2024-04-17T00:00:00" u="1"/>
        <d v="2023-03-05T00:00:00" u="1"/>
        <d v="2024-03-31T00:00:00" u="1"/>
        <d v="2023-04-10T00:00:00" u="1"/>
        <d v="2023-09-23T00:00:00" u="1"/>
        <d v="2023-11-14T00:00:00" u="1"/>
        <d v="2024-03-05T00:00:00" u="1"/>
        <d v="2023-03-24T00:00:00" u="1"/>
        <d v="2023-05-15T00:00:00" u="1"/>
        <d v="2023-07-06T00:00:00" u="1"/>
        <d v="2023-12-19T00:00:00" u="1"/>
        <d v="2024-02-19T00:00:00" u="1"/>
        <d v="2024-04-10T00:00:00" u="1"/>
        <d v="2023-04-29T00:00:00" u="1"/>
        <d v="2024-03-24T00:00:00" u="1"/>
        <d v="2023-04-03T00:00:00" u="1"/>
        <d v="2023-07-25T00:00:00" u="1"/>
        <d v="2023-09-16T00:00:00" u="1"/>
        <d v="2023-11-07T00:00:00" u="1"/>
        <d v="2024-04-29T00:00:00" u="1"/>
        <d v="2023-03-17T00:00:00" u="1"/>
        <d v="2023-05-08T00:00:00" u="1"/>
        <d v="2023-12-12T00:00:00" u="1"/>
        <d v="2024-02-12T00:00:00" u="1"/>
        <d v="2024-04-03T00:00:00" u="1"/>
        <d v="2023-04-22T00:00:00" u="1"/>
        <d v="2023-11-26T00:00:00" u="1"/>
        <d v="2024-03-17T00:00:00" u="1"/>
        <d v="2023-05-27T00:00:00" u="1"/>
        <d v="2023-07-18T00:00:00" u="1"/>
        <d v="2023-09-09T00:00:00" u="1"/>
        <d v="2023-12-31T00:00:00" u="1"/>
        <d v="2024-04-22T00:00:00" u="1"/>
        <d v="2023-03-10T00:00:00" u="1"/>
        <d v="2023-05-01T00:00:00" u="1"/>
        <d v="2023-12-05T00:00:00" u="1"/>
        <d v="2024-02-05T00:00:00" u="1"/>
        <d v="2023-04-15T00:00:00" u="1"/>
        <d v="2023-09-28T00:00:00" u="1"/>
        <d v="2023-11-19T00:00:00" u="1"/>
        <d v="2024-03-10T00:00:00" u="1"/>
        <d v="2023-03-29T00:00:00" u="1"/>
        <d v="2023-05-20T00:00:00" u="1"/>
        <d v="2023-07-11T00:00:00" u="1"/>
        <d v="2023-09-02T00:00:00" u="1"/>
        <d v="2023-12-24T00:00:00" u="1"/>
        <d v="2024-02-24T00:00:00" u="1"/>
        <d v="2024-04-15T00:00:00" u="1"/>
        <d v="2023-03-03T00:00:00" u="1"/>
        <d v="2024-03-29T00:00:00" u="1"/>
        <d v="2023-04-08T00:00:00" u="1"/>
        <d v="2023-07-30T00:00:00" u="1"/>
        <d v="2023-09-21T00:00:00" u="1"/>
        <d v="2023-11-12T00:00:00" u="1"/>
        <d v="2024-03-03T00:00:00" u="1"/>
        <d v="2023-03-22T00:00:00" u="1"/>
        <d v="2023-05-13T00:00:00" u="1"/>
        <d v="2023-07-04T00:00:00" u="1"/>
        <d v="2023-12-17T00:00:00" u="1"/>
        <d v="2024-02-17T00:00:00" u="1"/>
        <d v="2024-04-08T00:00:00" u="1"/>
        <d v="2023-04-27T00:00:00" u="1"/>
        <d v="2024-03-22T00:00:00" u="1"/>
        <d v="2023-04-01T00:00:00" u="1"/>
        <d v="2023-07-23T00:00:00" u="1"/>
        <d v="2023-09-14T00:00:00" u="1"/>
        <d v="2023-11-05T00:00:00" u="1"/>
        <d v="2024-04-27T00:00:00" u="1"/>
        <d v="2023-03-15T00:00:00" u="1"/>
        <d v="2023-05-06T00:00:00" u="1"/>
        <d v="2023-12-10T00:00:00" u="1"/>
        <d v="2024-02-10T00:00:00" u="1"/>
        <d v="2024-04-01T00:00:00" u="1"/>
        <d v="2023-04-20T00:00:00" u="1"/>
        <d v="2023-11-24T00:00:00" u="1"/>
        <d v="2024-03-15T00:00:00" u="1"/>
        <d v="2023-05-25T00:00:00" u="1"/>
        <d v="2023-07-16T00:00:00" u="1"/>
        <d v="2023-09-07T00:00:00" u="1"/>
        <d v="2023-12-29T00:00:00" u="1"/>
        <d v="2024-02-29T00:00:00" u="1"/>
        <d v="2024-04-20T00:00:00" u="1"/>
        <d v="2023-03-08T00:00:00" u="1"/>
        <d v="2023-12-03T00:00:00" u="1"/>
        <d v="2024-02-03T00:00:00" u="1"/>
        <d v="2023-04-13T00:00:00" u="1"/>
        <d v="2023-09-26T00:00:00" u="1"/>
        <d v="2023-11-17T00:00:00" u="1"/>
        <d v="2024-03-08T00:00:00" u="1"/>
        <d v="2023-03-27T00:00:00" u="1"/>
        <d v="2023-05-18T00:00:00" u="1"/>
        <d v="2023-07-09T00:00:00" u="1"/>
        <d v="2023-12-22T00:00:00" u="1"/>
        <d v="2024-02-22T00:00:00" u="1"/>
        <d v="2024-04-13T00:00:00" u="1"/>
        <d v="2023-03-01T00:00:00" u="1"/>
        <d v="2024-03-27T00:00:00" u="1"/>
        <d v="2023-04-06T00:00:00" u="1"/>
        <d v="2023-07-28T00:00:00" u="1"/>
        <d v="2023-09-19T00:00:00" u="1"/>
        <d v="2023-11-10T00:00:00" u="1"/>
        <d v="2024-03-01T00:00:00" u="1"/>
        <d v="2023-03-20T00:00:00" u="1"/>
        <d v="2023-05-11T00:00:00" u="1"/>
        <d v="2023-07-02T00:00:00" u="1"/>
        <d v="2023-12-15T00:00:00" u="1"/>
        <d v="2024-02-15T00:00:00" u="1"/>
        <d v="2024-04-06T00:00:00" u="1"/>
        <d v="2023-04-25T00:00:00" u="1"/>
        <d v="2023-11-29T00:00:00" u="1"/>
        <d v="2024-03-20T00:00:00" u="1"/>
        <d v="2023-05-30T00:00:00" u="1"/>
        <d v="2023-07-21T00:00:00" u="1"/>
        <d v="2023-09-12T00:00:00" u="1"/>
        <d v="2023-11-03T00:00:00" u="1"/>
        <d v="2024-04-25T00:00:00" u="1"/>
        <d v="2023-03-13T00:00:00" u="1"/>
        <d v="2023-05-04T00:00:00" u="1"/>
        <d v="2023-12-08T00:00:00" u="1"/>
        <d v="2024-02-08T00:00:00" u="1"/>
        <d v="2023-04-18T00:00:00" u="1"/>
        <d v="2023-11-22T00:00:00" u="1"/>
        <d v="2024-03-13T00:00:00" u="1"/>
        <d v="2023-05-23T00:00:00" u="1"/>
        <d v="2023-07-14T00:00:00" u="1"/>
        <d v="2023-09-05T00:00:00" u="1"/>
        <d v="2023-12-27T00:00:00" u="1"/>
        <d v="2024-02-27T00:00:00" u="1"/>
        <d v="2024-04-18T00:00:00" u="1"/>
        <d v="2023-03-06T00:00:00" u="1"/>
        <d v="2023-12-01T00:00:00" u="1"/>
        <d v="2024-02-01T00:00:00" u="1"/>
        <d v="2023-04-11T00:00:00" u="1"/>
        <d v="2023-09-24T00:00:00" u="1"/>
        <d v="2023-11-15T00:00:00" u="1"/>
        <d v="2024-03-06T00:00:00" u="1"/>
        <d v="2023-03-25T00:00:00" u="1"/>
        <d v="2023-05-16T00:00:00" u="1"/>
        <d v="2023-07-07T00:00:00" u="1"/>
        <d v="2023-12-20T00:00:00" u="1"/>
        <d v="2024-02-20T00:00:00" u="1"/>
        <d v="2024-04-11T00:00:00" u="1"/>
        <d v="2023-04-30T00:00:00" u="1"/>
        <d v="2024-03-25T00:00:00" u="1"/>
        <d v="2023-04-04T00:00:00" u="1"/>
        <d v="2023-07-26T00:00:00" u="1"/>
        <d v="2023-09-17T00:00:00" u="1"/>
        <d v="2023-11-08T00:00:00" u="1"/>
        <d v="2024-04-30T00:00:00" u="1"/>
        <d v="2023-03-18T00:00:00" u="1"/>
        <d v="2023-05-09T00:00:00" u="1"/>
        <d v="2023-12-13T00:00:00" u="1"/>
        <d v="2024-02-13T00:00:00" u="1"/>
        <d v="2024-04-04T00:00:00" u="1"/>
        <d v="2023-04-23T00:00:00" u="1"/>
        <d v="2023-11-27T00:00:00" u="1"/>
        <d v="2024-03-18T00:00:00" u="1"/>
        <d v="2023-05-28T00:00:00" u="1"/>
        <d v="2023-07-19T00:00:00" u="1"/>
        <d v="2023-09-10T00:00:00" u="1"/>
        <d v="2023-11-01T00:00:00" u="1"/>
        <d v="2024-04-23T00:00:00" u="1"/>
        <d v="2023-03-11T00:00:00" u="1"/>
        <d v="2023-05-02T00:00:00" u="1"/>
        <d v="2023-12-06T00:00:00" u="1"/>
        <d v="2024-02-06T00:00:00" u="1"/>
        <d v="2023-04-16T00:00:00" u="1"/>
        <d v="2023-09-29T00:00:00" u="1"/>
        <d v="2023-11-20T00:00:00" u="1"/>
        <d v="2024-03-11T00:00:00" u="1"/>
        <d v="2023-03-30T00:00:00" u="1"/>
        <d v="2023-05-21T00:00:00" u="1"/>
        <d v="2023-07-12T00:00:00" u="1"/>
        <d v="2023-09-03T00:00:00" u="1"/>
        <d v="2023-12-25T00:00:00" u="1"/>
        <d v="2024-02-25T00:00:00" u="1"/>
        <d v="2024-04-16T00:00:00" u="1"/>
        <d v="2023-03-04T00:00:00" u="1"/>
        <d v="2024-03-30T00:00:00" u="1"/>
        <d v="2023-04-09T00:00:00" u="1"/>
        <d v="2023-07-31T00:00:00" u="1"/>
        <d v="2023-09-22T00:00:00" u="1"/>
        <d v="2023-11-13T00:00:00" u="1"/>
        <d v="2024-03-04T00:00:00" u="1"/>
        <d v="2023-03-23T00:00:00" u="1"/>
        <d v="2023-05-14T00:00:00" u="1"/>
        <d v="2023-07-05T00:00:00" u="1"/>
        <d v="2023-12-18T00:00:00" u="1"/>
        <d v="2024-02-18T00:00:00" u="1"/>
        <d v="2024-04-09T00:00:00" u="1"/>
        <d v="2023-04-28T00:00:00" u="1"/>
        <d v="2024-03-23T00:00:00" u="1"/>
        <d v="2023-04-02T00:00:00" u="1"/>
        <d v="2023-07-24T00:00:00" u="1"/>
        <d v="2023-09-15T00:00:00" u="1"/>
        <d v="2023-11-06T00:00:00" u="1"/>
        <d v="2024-04-28T00:00:00" u="1"/>
        <d v="2023-03-16T00:00:00" u="1"/>
        <d v="2023-05-07T00:00:00" u="1"/>
        <d v="2023-12-11T00:00:00" u="1"/>
        <d v="2024-02-11T00:00:00" u="1"/>
        <d v="2024-04-02T00:00:00" u="1"/>
        <d v="2023-04-21T00:00:00" u="1"/>
        <d v="2023-11-25T00:00:00" u="1"/>
        <d v="2024-03-16T00:00:00" u="1"/>
        <d v="2023-05-26T00:00:00" u="1"/>
        <d v="2023-07-17T00:00:00" u="1"/>
        <d v="2023-09-08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Blank="1" containsMixedTypes="1" containsNumber="1" containsInteger="1" minValue="25152" maxValue="27203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57"/>
    </cacheField>
    <cacheField name="S2Qty" numFmtId="166">
      <sharedItems containsSemiMixedTypes="0" containsString="0" containsNumber="1" containsInteger="1" minValue="0" maxValue="109"/>
    </cacheField>
    <cacheField name="S3Qty" numFmtId="166">
      <sharedItems containsSemiMixedTypes="0" containsString="0" containsNumber="1" containsInteger="1" minValue="0" maxValue="43"/>
    </cacheField>
    <cacheField name="Total" numFmtId="166">
      <sharedItems containsSemiMixedTypes="0" containsString="0" containsNumber="1" containsInteger="1" minValue="0" maxValue="35369"/>
    </cacheField>
    <cacheField name="Defects" numFmtId="166">
      <sharedItems containsSemiMixedTypes="0" containsString="0" containsNumber="1" containsInteger="1" minValue="0" maxValue="29"/>
    </cacheField>
    <cacheField name="Remarks" numFmtId="166">
      <sharedItems containsBlank="1"/>
    </cacheField>
    <cacheField name="Pcs/Carton" numFmtId="0">
      <sharedItems containsSemiMixedTypes="0" containsString="0" containsNumber="1" containsInteger="1" minValue="244" maxValue="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4">
  <r>
    <d v="2024-05-01T00:00:00"/>
    <s v="09A"/>
    <x v="0"/>
    <n v="26363"/>
    <s v="Clear"/>
    <n v="814"/>
    <s v="Running"/>
    <n v="16.64"/>
    <n v="8"/>
    <n v="1784"/>
    <n v="16"/>
    <n v="28544"/>
    <m/>
    <n v="16.64"/>
    <n v="8"/>
    <n v="1848"/>
    <n v="16"/>
    <n v="29568"/>
    <m/>
    <n v="16.64"/>
    <n v="8"/>
    <n v="1281"/>
    <n v="16"/>
    <n v="20496"/>
    <m/>
    <n v="78608"/>
    <m/>
    <m/>
    <m/>
    <m/>
    <m/>
    <m/>
    <m/>
    <m/>
    <m/>
    <m/>
    <m/>
    <m/>
    <m/>
    <m/>
    <m/>
    <m/>
    <m/>
    <m/>
    <n v="1.0307555555555556"/>
    <n v="1.0677333333333334"/>
    <n v="0.74013333333333331"/>
    <n v="0.94620740740740761"/>
    <n v="0"/>
    <n v="0"/>
    <n v="0"/>
    <n v="1"/>
    <n v="1"/>
    <n v="1"/>
    <n v="16"/>
    <b v="0"/>
  </r>
  <r>
    <d v="2024-05-01T00:00:00"/>
    <s v="11A"/>
    <x v="1"/>
    <n v="25151"/>
    <s v="Clear"/>
    <n v="814"/>
    <s v="Running"/>
    <n v="12.44"/>
    <n v="8"/>
    <n v="2465"/>
    <n v="8"/>
    <n v="19720"/>
    <m/>
    <n v="12.44"/>
    <n v="8"/>
    <n v="2448"/>
    <n v="8"/>
    <n v="19584"/>
    <m/>
    <n v="12.44"/>
    <n v="8"/>
    <n v="2405"/>
    <n v="8"/>
    <n v="19240"/>
    <m/>
    <n v="58544"/>
    <m/>
    <m/>
    <m/>
    <m/>
    <m/>
    <m/>
    <m/>
    <m/>
    <m/>
    <m/>
    <m/>
    <m/>
    <m/>
    <m/>
    <m/>
    <m/>
    <m/>
    <m/>
    <n v="1.0647430555555555"/>
    <n v="1.0573999999999999"/>
    <n v="1.0388263888888889"/>
    <n v="1.0536564814814813"/>
    <n v="0"/>
    <n v="0"/>
    <n v="0"/>
    <n v="1"/>
    <n v="1"/>
    <n v="1"/>
    <n v="8"/>
    <b v="0"/>
  </r>
  <r>
    <d v="2024-05-01T00:00:00"/>
    <s v="18A"/>
    <x v="2"/>
    <n v="27456"/>
    <s v="Beige"/>
    <n v="814"/>
    <s v="Running"/>
    <n v="15.1"/>
    <n v="8"/>
    <n v="2007"/>
    <n v="16"/>
    <n v="32112"/>
    <m/>
    <n v="15.12"/>
    <n v="8"/>
    <n v="1927"/>
    <n v="16"/>
    <n v="30832"/>
    <m/>
    <n v="15.1"/>
    <n v="8"/>
    <n v="1867"/>
    <n v="16"/>
    <n v="29872"/>
    <m/>
    <n v="92816"/>
    <m/>
    <m/>
    <m/>
    <m/>
    <m/>
    <m/>
    <m/>
    <m/>
    <m/>
    <m/>
    <m/>
    <m/>
    <m/>
    <m/>
    <m/>
    <m/>
    <m/>
    <m/>
    <n v="1.0522812500000001"/>
    <n v="1.0116749999999999"/>
    <n v="0.97887847222222224"/>
    <n v="1.0142782407407407"/>
    <n v="0"/>
    <n v="0"/>
    <n v="0"/>
    <n v="1"/>
    <n v="1"/>
    <n v="1"/>
    <n v="16"/>
    <b v="0"/>
  </r>
  <r>
    <d v="2024-05-01T00:00:00"/>
    <s v="14B"/>
    <x v="3"/>
    <s v="25151-2"/>
    <s v="Beige"/>
    <n v="814"/>
    <s v="Running"/>
    <n v="18.989999999999998"/>
    <n v="8"/>
    <n v="1368"/>
    <n v="8"/>
    <n v="10809"/>
    <n v="135"/>
    <n v="18.989999999999998"/>
    <n v="6"/>
    <n v="1241"/>
    <n v="8"/>
    <n v="9843"/>
    <n v="85"/>
    <n v="19.190000000000001"/>
    <n v="8"/>
    <n v="1255"/>
    <n v="8"/>
    <n v="9915"/>
    <n v="125"/>
    <n v="30567"/>
    <n v="345"/>
    <n v="1.1286681715575621E-2"/>
    <m/>
    <n v="25"/>
    <n v="10"/>
    <n v="20"/>
    <n v="110"/>
    <n v="75"/>
    <n v="105"/>
    <n v="0"/>
    <n v="0"/>
    <n v="0"/>
    <n v="0"/>
    <n v="0"/>
    <n v="0"/>
    <n v="0"/>
    <n v="0"/>
    <n v="0"/>
    <n v="0.90202499999999985"/>
    <n v="1.0910458333333333"/>
    <n v="0.83623090277777778"/>
    <n v="0.94310057870370356"/>
    <n v="0"/>
    <n v="0"/>
    <n v="0"/>
    <n v="1"/>
    <n v="1"/>
    <n v="1"/>
    <n v="8"/>
    <b v="1"/>
  </r>
  <r>
    <d v="2024-05-01T00:00:00"/>
    <s v="14B"/>
    <x v="3"/>
    <s v="26367-1"/>
    <s v="Beige"/>
    <n v="814"/>
    <s v="Running"/>
    <n v="0"/>
    <n v="0"/>
    <n v="0"/>
    <n v="0"/>
    <n v="0"/>
    <n v="0"/>
    <n v="18.989999999999998"/>
    <n v="2"/>
    <n v="396"/>
    <n v="8"/>
    <n v="3133"/>
    <n v="35"/>
    <n v="0"/>
    <n v="0"/>
    <n v="0"/>
    <n v="0"/>
    <n v="0"/>
    <n v="0"/>
    <n v="3133"/>
    <n v="35"/>
    <n v="1.1171401212894989E-2"/>
    <s v="Shift-2 转单26367-1"/>
    <n v="0"/>
    <n v="15"/>
    <n v="0"/>
    <n v="0"/>
    <n v="20"/>
    <n v="0"/>
    <n v="0"/>
    <n v="0"/>
    <n v="0"/>
    <n v="0"/>
    <n v="0"/>
    <n v="0"/>
    <n v="0"/>
    <n v="0"/>
    <n v="0"/>
    <n v="0"/>
    <n v="1.0444499999999999"/>
    <n v="0"/>
    <n v="1.0444499999999999"/>
    <n v="0"/>
    <n v="0"/>
    <n v="0"/>
    <n v="0"/>
    <n v="1"/>
    <n v="0"/>
    <n v="8"/>
    <b v="1"/>
  </r>
  <r>
    <d v="2024-05-01T00:00:00"/>
    <s v="15B"/>
    <x v="4"/>
    <s v="26367-1"/>
    <s v="Beige"/>
    <n v="814"/>
    <s v="Running"/>
    <n v="25.78"/>
    <n v="8"/>
    <n v="1018"/>
    <n v="8"/>
    <n v="8044"/>
    <n v="100"/>
    <n v="25.78"/>
    <n v="8"/>
    <n v="1198"/>
    <n v="8"/>
    <n v="9489"/>
    <n v="95"/>
    <n v="25.78"/>
    <n v="8"/>
    <n v="1007"/>
    <n v="8"/>
    <n v="7956"/>
    <n v="100"/>
    <n v="25489"/>
    <n v="295"/>
    <n v="1.157361999293813E-2"/>
    <m/>
    <n v="15"/>
    <n v="15"/>
    <n v="20"/>
    <n v="85"/>
    <n v="80"/>
    <n v="80"/>
    <n v="0"/>
    <n v="0"/>
    <n v="0"/>
    <n v="0"/>
    <n v="0"/>
    <n v="0"/>
    <n v="0"/>
    <n v="0"/>
    <n v="0"/>
    <n v="0.9112513888888889"/>
    <n v="1.0723763888888889"/>
    <n v="0.90140486111111118"/>
    <n v="0.96167754629629643"/>
    <n v="0"/>
    <n v="0"/>
    <n v="0"/>
    <n v="1"/>
    <n v="1"/>
    <n v="1"/>
    <n v="8"/>
    <b v="1"/>
  </r>
  <r>
    <d v="2024-05-01T00:00:00"/>
    <s v="22B"/>
    <x v="5"/>
    <s v="26367-5"/>
    <s v="Beige"/>
    <n v="814"/>
    <s v="Running"/>
    <n v="23.19"/>
    <n v="6.5"/>
    <n v="993"/>
    <n v="8"/>
    <n v="7859"/>
    <n v="85"/>
    <n v="0"/>
    <n v="0"/>
    <n v="0"/>
    <n v="0"/>
    <n v="0"/>
    <n v="0"/>
    <n v="0"/>
    <n v="0"/>
    <n v="0"/>
    <n v="0"/>
    <n v="0"/>
    <n v="0"/>
    <n v="7859"/>
    <n v="85"/>
    <n v="1.0815625397633286E-2"/>
    <m/>
    <n v="10"/>
    <n v="0"/>
    <n v="0"/>
    <n v="75"/>
    <n v="0"/>
    <n v="0"/>
    <n v="0"/>
    <n v="0"/>
    <n v="0"/>
    <n v="0"/>
    <n v="0"/>
    <n v="0"/>
    <n v="0"/>
    <n v="0"/>
    <n v="0"/>
    <n v="0.98408846153846163"/>
    <n v="0"/>
    <n v="0"/>
    <n v="0.98408846153846163"/>
    <n v="0"/>
    <n v="0"/>
    <n v="0"/>
    <n v="1"/>
    <n v="0"/>
    <n v="0"/>
    <n v="8"/>
    <b v="1"/>
  </r>
  <r>
    <d v="2024-05-01T00:00:00"/>
    <s v="22B"/>
    <x v="5"/>
    <s v="26363-5"/>
    <s v="Beige"/>
    <n v="814"/>
    <s v="Running"/>
    <n v="23.19"/>
    <n v="1.5"/>
    <n v="228"/>
    <n v="8"/>
    <n v="1784"/>
    <n v="40"/>
    <n v="22.99"/>
    <n v="8"/>
    <n v="1305"/>
    <n v="8"/>
    <n v="10335"/>
    <n v="105"/>
    <n v="23.09"/>
    <n v="8"/>
    <n v="1162"/>
    <n v="8"/>
    <n v="9196"/>
    <n v="100"/>
    <n v="21315"/>
    <n v="245"/>
    <n v="1.1494252873563218E-2"/>
    <s v="Shift-1 转单26363-5"/>
    <n v="5"/>
    <n v="25"/>
    <n v="20"/>
    <n v="35"/>
    <n v="80"/>
    <n v="80"/>
    <n v="0"/>
    <n v="0"/>
    <n v="0"/>
    <n v="0"/>
    <n v="0"/>
    <n v="0"/>
    <n v="0"/>
    <n v="0"/>
    <n v="0"/>
    <n v="0.97913333333333341"/>
    <n v="1.0417343749999999"/>
    <n v="0.93161736111111104"/>
    <n v="0.98416168981481478"/>
    <n v="0"/>
    <n v="0"/>
    <n v="0"/>
    <n v="1"/>
    <n v="1"/>
    <n v="1"/>
    <n v="8"/>
    <b v="1"/>
  </r>
  <r>
    <d v="2024-05-01T00:00:00"/>
    <s v="23B"/>
    <x v="6"/>
    <s v="26367-5"/>
    <s v="Beige"/>
    <n v="814"/>
    <s v="Running"/>
    <n v="21.99"/>
    <n v="8"/>
    <n v="1317"/>
    <n v="8"/>
    <n v="10416"/>
    <n v="120"/>
    <n v="22.09"/>
    <n v="5"/>
    <n v="876"/>
    <n v="8"/>
    <n v="6933"/>
    <n v="75"/>
    <n v="0"/>
    <n v="0"/>
    <n v="0"/>
    <n v="0"/>
    <n v="0"/>
    <n v="0"/>
    <n v="17349"/>
    <n v="195"/>
    <n v="1.1239840913020924E-2"/>
    <m/>
    <n v="25"/>
    <n v="10"/>
    <n v="0"/>
    <n v="95"/>
    <n v="65"/>
    <n v="0"/>
    <n v="0"/>
    <n v="0"/>
    <n v="0"/>
    <n v="0"/>
    <n v="0"/>
    <n v="0"/>
    <n v="0"/>
    <n v="0"/>
    <n v="0"/>
    <n v="1.005584375"/>
    <n v="1.0750466666666667"/>
    <n v="0"/>
    <n v="1.0403155208333335"/>
    <n v="0"/>
    <n v="0"/>
    <n v="0"/>
    <n v="1"/>
    <n v="1"/>
    <n v="0"/>
    <n v="8"/>
    <b v="1"/>
  </r>
  <r>
    <d v="2024-05-01T00:00:00"/>
    <s v="23B"/>
    <x v="6"/>
    <s v="26363-5"/>
    <s v="Beige"/>
    <n v="814"/>
    <s v="Running"/>
    <n v="0"/>
    <n v="0"/>
    <n v="0"/>
    <n v="0"/>
    <n v="0"/>
    <n v="0"/>
    <n v="22.09"/>
    <n v="3"/>
    <n v="501"/>
    <n v="8"/>
    <n v="3963"/>
    <n v="45"/>
    <n v="22"/>
    <n v="8"/>
    <n v="1204"/>
    <n v="8"/>
    <n v="9522"/>
    <n v="110"/>
    <n v="13485"/>
    <n v="155"/>
    <n v="1.1494252873563218E-2"/>
    <s v="Shift-2 转单26363-5"/>
    <n v="0"/>
    <n v="10"/>
    <n v="0"/>
    <n v="0"/>
    <n v="35"/>
    <n v="110"/>
    <n v="0"/>
    <n v="0"/>
    <n v="0"/>
    <n v="0"/>
    <n v="0"/>
    <n v="0"/>
    <n v="0"/>
    <n v="0"/>
    <n v="0"/>
    <n v="0"/>
    <n v="1.0247305555555555"/>
    <n v="0.91972222222222222"/>
    <n v="0.9722263888888889"/>
    <n v="0"/>
    <n v="0"/>
    <n v="0"/>
    <n v="0"/>
    <n v="1"/>
    <n v="1"/>
    <n v="8"/>
    <b v="1"/>
  </r>
  <r>
    <d v="2024-05-01T00:00:00"/>
    <s v="23A"/>
    <x v="7"/>
    <n v="26364"/>
    <s v="Beige"/>
    <n v="814"/>
    <s v="Running"/>
    <n v="21.6"/>
    <n v="8"/>
    <n v="1365"/>
    <n v="16"/>
    <n v="21840"/>
    <m/>
    <n v="21.6"/>
    <n v="8"/>
    <n v="1386"/>
    <n v="16"/>
    <n v="22176"/>
    <m/>
    <n v="21.6"/>
    <n v="8"/>
    <n v="1208"/>
    <n v="16"/>
    <n v="19328"/>
    <m/>
    <n v="63344"/>
    <m/>
    <m/>
    <m/>
    <m/>
    <m/>
    <m/>
    <m/>
    <m/>
    <m/>
    <m/>
    <m/>
    <m/>
    <m/>
    <m/>
    <m/>
    <m/>
    <m/>
    <m/>
    <n v="1.0237500000000002"/>
    <n v="1.0395000000000001"/>
    <n v="0.90600000000000014"/>
    <n v="0.98975000000000002"/>
    <n v="0"/>
    <n v="0"/>
    <n v="0"/>
    <n v="1"/>
    <n v="1"/>
    <n v="1"/>
    <n v="16"/>
    <b v="0"/>
  </r>
  <r>
    <d v="2024-05-02T00:00:00"/>
    <s v="09A"/>
    <x v="0"/>
    <n v="26363"/>
    <s v="Clear"/>
    <n v="814"/>
    <s v="Running"/>
    <n v="16.63"/>
    <n v="3.5"/>
    <n v="744"/>
    <n v="16"/>
    <n v="11904"/>
    <m/>
    <n v="0"/>
    <n v="0"/>
    <n v="0"/>
    <n v="0"/>
    <n v="0"/>
    <m/>
    <n v="0"/>
    <n v="0"/>
    <n v="0"/>
    <n v="0"/>
    <n v="0"/>
    <m/>
    <n v="11904"/>
    <m/>
    <m/>
    <m/>
    <m/>
    <m/>
    <m/>
    <m/>
    <m/>
    <m/>
    <m/>
    <m/>
    <m/>
    <m/>
    <m/>
    <m/>
    <m/>
    <m/>
    <m/>
    <n v="0.9819619047619047"/>
    <n v="0"/>
    <n v="0"/>
    <n v="0.9819619047619047"/>
    <n v="0.5"/>
    <n v="0"/>
    <n v="0"/>
    <n v="1"/>
    <n v="0"/>
    <n v="0"/>
    <n v="16"/>
    <b v="0"/>
  </r>
  <r>
    <d v="2024-05-02T00:00:00"/>
    <s v="11A"/>
    <x v="1"/>
    <n v="25151"/>
    <s v="Clear"/>
    <n v="814"/>
    <s v="Running"/>
    <n v="12.44"/>
    <n v="8"/>
    <n v="2408"/>
    <n v="8"/>
    <n v="19264"/>
    <m/>
    <n v="12.44"/>
    <n v="8"/>
    <n v="2391"/>
    <n v="8"/>
    <n v="19128"/>
    <m/>
    <n v="12.43"/>
    <n v="8"/>
    <n v="2259"/>
    <n v="8"/>
    <n v="18072"/>
    <m/>
    <n v="56464"/>
    <m/>
    <m/>
    <m/>
    <m/>
    <m/>
    <m/>
    <m/>
    <m/>
    <m/>
    <m/>
    <m/>
    <m/>
    <m/>
    <m/>
    <m/>
    <m/>
    <m/>
    <m/>
    <n v="1.0401222222222222"/>
    <n v="1.0327791666666666"/>
    <n v="0.97497812499999992"/>
    <n v="1.0159598379629629"/>
    <n v="0"/>
    <n v="0"/>
    <n v="0"/>
    <n v="1"/>
    <n v="1"/>
    <n v="1"/>
    <n v="8"/>
    <b v="0"/>
  </r>
  <r>
    <d v="2024-05-02T00:00:00"/>
    <s v="18A"/>
    <x v="2"/>
    <n v="27456"/>
    <s v="Beige"/>
    <n v="814"/>
    <s v="Running"/>
    <n v="15.12"/>
    <n v="8"/>
    <n v="1932"/>
    <n v="16"/>
    <n v="30912"/>
    <m/>
    <n v="15.1"/>
    <n v="8"/>
    <n v="2012"/>
    <n v="16"/>
    <n v="32192"/>
    <m/>
    <n v="15.1"/>
    <n v="8"/>
    <n v="1750"/>
    <n v="16"/>
    <n v="28000"/>
    <m/>
    <n v="91104"/>
    <m/>
    <m/>
    <m/>
    <m/>
    <m/>
    <m/>
    <m/>
    <m/>
    <m/>
    <m/>
    <m/>
    <m/>
    <m/>
    <m/>
    <m/>
    <m/>
    <m/>
    <m/>
    <n v="1.0143"/>
    <n v="1.0549027777777777"/>
    <n v="0.91753472222222221"/>
    <n v="0.99557916666666679"/>
    <n v="0"/>
    <n v="0"/>
    <n v="0"/>
    <n v="1"/>
    <n v="1"/>
    <n v="1"/>
    <n v="16"/>
    <b v="0"/>
  </r>
  <r>
    <d v="2024-05-02T00:00:00"/>
    <s v="14B"/>
    <x v="3"/>
    <s v="26367-2"/>
    <s v="Beige"/>
    <n v="814"/>
    <s v="Running"/>
    <n v="19.29"/>
    <n v="8"/>
    <n v="1491"/>
    <n v="8"/>
    <n v="11793"/>
    <n v="135"/>
    <n v="19.190000000000001"/>
    <n v="8"/>
    <n v="1264"/>
    <n v="8"/>
    <n v="9987"/>
    <n v="125"/>
    <n v="19.29"/>
    <n v="8"/>
    <n v="1375"/>
    <n v="8"/>
    <n v="10880"/>
    <n v="120"/>
    <n v="32660"/>
    <n v="380"/>
    <n v="1.1635027556644213E-2"/>
    <m/>
    <n v="25"/>
    <n v="25"/>
    <n v="20"/>
    <n v="110"/>
    <n v="100"/>
    <n v="100"/>
    <n v="0"/>
    <n v="0"/>
    <n v="0"/>
    <n v="0"/>
    <n v="0"/>
    <n v="0"/>
    <n v="0"/>
    <n v="0"/>
    <n v="0"/>
    <n v="0.99865937500000002"/>
    <n v="0.8422277777777778"/>
    <n v="0.92096354166666672"/>
    <n v="0.92061689814814818"/>
    <n v="0"/>
    <n v="0"/>
    <n v="0"/>
    <n v="1"/>
    <n v="1"/>
    <n v="1"/>
    <n v="8"/>
    <b v="1"/>
  </r>
  <r>
    <d v="2024-05-02T00:00:00"/>
    <s v="15B"/>
    <x v="4"/>
    <s v="26367-2"/>
    <s v="Beige"/>
    <n v="814"/>
    <s v="Running"/>
    <n v="25.88"/>
    <n v="8"/>
    <n v="1191"/>
    <n v="8"/>
    <n v="9428"/>
    <n v="100"/>
    <n v="25.78"/>
    <n v="8"/>
    <n v="1025"/>
    <n v="8"/>
    <n v="8110"/>
    <n v="90"/>
    <n v="25.78"/>
    <n v="8"/>
    <n v="1017"/>
    <n v="8"/>
    <n v="8036"/>
    <n v="100"/>
    <n v="25574"/>
    <n v="290"/>
    <n v="1.1339641823727223E-2"/>
    <m/>
    <n v="25"/>
    <n v="20"/>
    <n v="25"/>
    <n v="75"/>
    <n v="70"/>
    <n v="75"/>
    <n v="0"/>
    <n v="0"/>
    <n v="0"/>
    <n v="0"/>
    <n v="0"/>
    <n v="0"/>
    <n v="0"/>
    <n v="0"/>
    <n v="0"/>
    <n v="1.0702458333333333"/>
    <n v="0.91751736111111115"/>
    <n v="0.91035625000000009"/>
    <n v="0.96603981481481493"/>
    <n v="0"/>
    <n v="0"/>
    <n v="0"/>
    <n v="1"/>
    <n v="1"/>
    <n v="1"/>
    <n v="8"/>
    <b v="1"/>
  </r>
  <r>
    <d v="2024-05-02T00:00:00"/>
    <s v="22B"/>
    <x v="5"/>
    <s v="26363-5"/>
    <s v="Beige"/>
    <n v="814"/>
    <s v="Running"/>
    <n v="23.08"/>
    <n v="8"/>
    <n v="1247"/>
    <n v="8"/>
    <n v="9856"/>
    <n v="120"/>
    <n v="23.19"/>
    <n v="6"/>
    <n v="748"/>
    <n v="8"/>
    <n v="5934"/>
    <n v="50"/>
    <n v="22.9"/>
    <n v="8"/>
    <n v="645"/>
    <n v="8"/>
    <n v="5095"/>
    <n v="65"/>
    <n v="20885"/>
    <n v="235"/>
    <n v="1.1252094804883888E-2"/>
    <s v="Shift-3 無故障顯示但頻繁報警"/>
    <n v="25"/>
    <n v="10"/>
    <n v="20"/>
    <n v="95"/>
    <n v="40"/>
    <n v="45"/>
    <n v="0"/>
    <n v="0"/>
    <n v="0"/>
    <n v="0"/>
    <n v="0"/>
    <n v="0"/>
    <n v="0"/>
    <n v="0"/>
    <n v="0"/>
    <n v="0.9993319444444444"/>
    <n v="0.80306111111111123"/>
    <n v="0.51286458333333329"/>
    <n v="0.7717525462962963"/>
    <n v="0"/>
    <n v="0"/>
    <n v="0"/>
    <n v="1"/>
    <n v="1"/>
    <n v="1"/>
    <n v="8"/>
    <b v="1"/>
  </r>
  <r>
    <d v="2024-05-02T00:00:00"/>
    <s v="23B"/>
    <x v="6"/>
    <s v="26363-6"/>
    <s v="Beige"/>
    <n v="814"/>
    <s v="Running"/>
    <n v="22.09"/>
    <n v="8"/>
    <n v="1311"/>
    <n v="8"/>
    <n v="10368"/>
    <n v="120"/>
    <n v="22.09"/>
    <n v="3"/>
    <n v="518"/>
    <n v="8"/>
    <n v="4104"/>
    <n v="40"/>
    <n v="0"/>
    <n v="0"/>
    <n v="0"/>
    <n v="0"/>
    <n v="0"/>
    <n v="0"/>
    <n v="14472"/>
    <n v="160"/>
    <n v="1.1055831951354339E-2"/>
    <s v="Shift-2 够数停机"/>
    <n v="20"/>
    <n v="5"/>
    <n v="0"/>
    <n v="100"/>
    <n v="35"/>
    <n v="0"/>
    <n v="0"/>
    <n v="0"/>
    <n v="0"/>
    <n v="0"/>
    <n v="0"/>
    <n v="0"/>
    <n v="0"/>
    <n v="0"/>
    <n v="0"/>
    <n v="1.0055552083333335"/>
    <n v="1.059501851851852"/>
    <n v="0"/>
    <n v="1.0325285300925926"/>
    <n v="0.5"/>
    <n v="0"/>
    <n v="0"/>
    <n v="1"/>
    <n v="1"/>
    <n v="0"/>
    <n v="8"/>
    <b v="1"/>
  </r>
  <r>
    <d v="2024-05-02T00:00:00"/>
    <s v="23A"/>
    <x v="7"/>
    <n v="26364"/>
    <s v="Beige"/>
    <n v="814"/>
    <s v="Running"/>
    <n v="20.6"/>
    <n v="8"/>
    <n v="1344"/>
    <n v="16"/>
    <n v="21504"/>
    <m/>
    <n v="21.6"/>
    <n v="8"/>
    <n v="1357"/>
    <n v="16"/>
    <n v="21712"/>
    <m/>
    <n v="21.6"/>
    <n v="8"/>
    <n v="1213"/>
    <n v="16"/>
    <n v="19408"/>
    <m/>
    <n v="62624"/>
    <m/>
    <m/>
    <m/>
    <m/>
    <m/>
    <m/>
    <m/>
    <m/>
    <m/>
    <m/>
    <m/>
    <m/>
    <m/>
    <m/>
    <m/>
    <m/>
    <m/>
    <m/>
    <n v="0.96133333333333337"/>
    <n v="1.0177499999999999"/>
    <n v="0.90975000000000006"/>
    <n v="0.96294444444444449"/>
    <n v="0"/>
    <n v="0"/>
    <n v="0"/>
    <n v="1"/>
    <n v="1"/>
    <n v="1"/>
    <n v="16"/>
    <b v="0"/>
  </r>
  <r>
    <d v="2024-05-03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1A"/>
    <x v="1"/>
    <n v="25151"/>
    <s v="Clear"/>
    <n v="814"/>
    <s v="Running"/>
    <n v="12.44"/>
    <n v="8"/>
    <n v="2150"/>
    <n v="8"/>
    <n v="17200"/>
    <m/>
    <n v="12.44"/>
    <n v="8"/>
    <n v="2480"/>
    <n v="8"/>
    <n v="19840"/>
    <m/>
    <n v="12.43"/>
    <n v="8"/>
    <n v="2066"/>
    <n v="8"/>
    <n v="16528"/>
    <m/>
    <n v="53568"/>
    <m/>
    <m/>
    <m/>
    <m/>
    <m/>
    <m/>
    <m/>
    <m/>
    <m/>
    <m/>
    <m/>
    <m/>
    <m/>
    <m/>
    <m/>
    <m/>
    <m/>
    <m/>
    <n v="0.92868055555555551"/>
    <n v="1.0712222222222221"/>
    <n v="0.89167986111111119"/>
    <n v="0.96386087962962963"/>
    <n v="0"/>
    <n v="0"/>
    <n v="0"/>
    <n v="1"/>
    <n v="1"/>
    <n v="1"/>
    <n v="8"/>
    <b v="0"/>
  </r>
  <r>
    <d v="2024-05-03T00:00:00"/>
    <s v="18A"/>
    <x v="2"/>
    <n v="27456"/>
    <s v="Beige"/>
    <n v="814"/>
    <s v="Running"/>
    <n v="15.1"/>
    <n v="8"/>
    <n v="1948"/>
    <n v="16"/>
    <n v="31168"/>
    <m/>
    <n v="15.11"/>
    <n v="8"/>
    <n v="1974"/>
    <n v="16"/>
    <n v="31584"/>
    <m/>
    <n v="15.09"/>
    <n v="8"/>
    <n v="1774"/>
    <n v="16"/>
    <n v="28384"/>
    <m/>
    <n v="91136"/>
    <m/>
    <m/>
    <m/>
    <m/>
    <m/>
    <m/>
    <m/>
    <m/>
    <m/>
    <m/>
    <m/>
    <m/>
    <m/>
    <m/>
    <m/>
    <m/>
    <m/>
    <m/>
    <n v="1.0213472222222222"/>
    <n v="1.0356645833333333"/>
    <n v="0.92950208333333328"/>
    <n v="0.99550462962962971"/>
    <n v="0"/>
    <n v="0"/>
    <n v="0"/>
    <n v="1"/>
    <n v="1"/>
    <n v="1"/>
    <n v="16"/>
    <b v="0"/>
  </r>
  <r>
    <d v="2024-05-03T00:00:00"/>
    <s v="13B"/>
    <x v="8"/>
    <s v="26366-1"/>
    <s v="Beige"/>
    <n v="814"/>
    <s v="Running"/>
    <n v="18.2"/>
    <n v="0.5"/>
    <n v="60"/>
    <n v="7"/>
    <n v="395"/>
    <n v="25"/>
    <n v="18"/>
    <n v="8"/>
    <n v="1606"/>
    <n v="7"/>
    <n v="11092"/>
    <n v="150"/>
    <n v="17.989999999999998"/>
    <n v="2.5"/>
    <n v="495"/>
    <n v="8"/>
    <n v="3895"/>
    <n v="65"/>
    <n v="15382"/>
    <n v="240"/>
    <n v="1.5602652450916656E-2"/>
    <m/>
    <n v="5"/>
    <n v="30"/>
    <n v="15"/>
    <n v="20"/>
    <n v="120"/>
    <n v="50"/>
    <n v="0"/>
    <n v="0"/>
    <n v="0"/>
    <n v="0"/>
    <n v="0"/>
    <n v="0"/>
    <n v="0"/>
    <n v="0"/>
    <n v="0"/>
    <n v="0.60666666666666669"/>
    <n v="1.0037499999999999"/>
    <n v="0.98944999999999994"/>
    <n v="0.86662222222222207"/>
    <n v="0"/>
    <n v="0"/>
    <n v="0"/>
    <n v="1"/>
    <n v="1"/>
    <n v="1"/>
    <n v="8"/>
    <b v="1"/>
  </r>
  <r>
    <d v="2024-05-03T00:00:00"/>
    <s v="13B"/>
    <x v="8"/>
    <s v="26365-1"/>
    <s v="Beige"/>
    <n v="814"/>
    <s v="Running"/>
    <n v="0"/>
    <n v="0"/>
    <n v="0"/>
    <n v="0"/>
    <n v="0"/>
    <n v="0"/>
    <n v="0"/>
    <n v="0"/>
    <n v="0"/>
    <n v="0"/>
    <n v="0"/>
    <n v="0"/>
    <n v="17.989999999999998"/>
    <n v="0.5"/>
    <n v="105"/>
    <n v="8"/>
    <n v="822"/>
    <n v="18"/>
    <n v="822"/>
    <n v="18"/>
    <n v="2.1897810218978103E-2"/>
    <s v="Shift-3 转单26365-1"/>
    <n v="0"/>
    <n v="0"/>
    <n v="3"/>
    <n v="0"/>
    <n v="0"/>
    <n v="15"/>
    <n v="0"/>
    <n v="0"/>
    <n v="0"/>
    <n v="0"/>
    <n v="0"/>
    <n v="0"/>
    <n v="0"/>
    <n v="0"/>
    <n v="0"/>
    <n v="0"/>
    <n v="0"/>
    <n v="1.0494166666666667"/>
    <n v="1.0494166666666667"/>
    <n v="0"/>
    <n v="0"/>
    <n v="0"/>
    <n v="0"/>
    <n v="0"/>
    <n v="1"/>
    <n v="8"/>
    <b v="1"/>
  </r>
  <r>
    <d v="2024-05-03T00:00:00"/>
    <s v="14B"/>
    <x v="3"/>
    <s v="26367-2"/>
    <s v="Beige"/>
    <n v="814"/>
    <s v="Running"/>
    <n v="19.29"/>
    <n v="8"/>
    <n v="1267"/>
    <n v="8"/>
    <n v="10016"/>
    <n v="120"/>
    <n v="19.18"/>
    <n v="8"/>
    <n v="1395"/>
    <n v="8"/>
    <n v="11055"/>
    <n v="105"/>
    <n v="19.190000000000001"/>
    <n v="8"/>
    <n v="1509"/>
    <n v="8"/>
    <n v="11932"/>
    <n v="140"/>
    <n v="33003"/>
    <n v="365"/>
    <n v="1.1059600642365846E-2"/>
    <m/>
    <n v="20"/>
    <n v="15"/>
    <n v="20"/>
    <n v="100"/>
    <n v="90"/>
    <n v="120"/>
    <n v="0"/>
    <n v="0"/>
    <n v="0"/>
    <n v="0"/>
    <n v="0"/>
    <n v="0"/>
    <n v="0"/>
    <n v="0"/>
    <n v="0"/>
    <n v="0.84862604166666666"/>
    <n v="0.92903124999999998"/>
    <n v="1.0054760416666668"/>
    <n v="0.92771111111111126"/>
    <n v="0"/>
    <n v="0"/>
    <n v="0"/>
    <n v="1"/>
    <n v="1"/>
    <n v="1"/>
    <n v="8"/>
    <b v="1"/>
  </r>
  <r>
    <d v="2024-05-03T00:00:00"/>
    <s v="15B"/>
    <x v="4"/>
    <s v="26367-2"/>
    <s v="Beige"/>
    <n v="814"/>
    <s v="Running"/>
    <n v="25.78"/>
    <n v="8"/>
    <n v="1117"/>
    <n v="8"/>
    <n v="8816"/>
    <n v="120"/>
    <n v="25.79"/>
    <n v="8"/>
    <n v="1096"/>
    <n v="8"/>
    <n v="8663"/>
    <n v="105"/>
    <n v="25.89"/>
    <n v="8"/>
    <n v="1107"/>
    <n v="8"/>
    <n v="8746"/>
    <n v="110"/>
    <n v="26225"/>
    <n v="335"/>
    <n v="1.2774070543374642E-2"/>
    <m/>
    <n v="20"/>
    <n v="25"/>
    <n v="20"/>
    <n v="100"/>
    <n v="80"/>
    <n v="90"/>
    <n v="0"/>
    <n v="0"/>
    <n v="0"/>
    <n v="0"/>
    <n v="0"/>
    <n v="0"/>
    <n v="0"/>
    <n v="0"/>
    <n v="0"/>
    <n v="0.99987013888888898"/>
    <n v="0.98145277777777773"/>
    <n v="0.99514687499999999"/>
    <n v="0.99215659722222227"/>
    <n v="0"/>
    <n v="0"/>
    <n v="0"/>
    <n v="1"/>
    <n v="1"/>
    <n v="1"/>
    <n v="8"/>
    <b v="1"/>
  </r>
  <r>
    <d v="2024-05-03T00:00:00"/>
    <s v="22B"/>
    <x v="5"/>
    <s v="26363-5"/>
    <s v="Beige"/>
    <n v="814"/>
    <s v="Running"/>
    <n v="22.99"/>
    <n v="4"/>
    <n v="538"/>
    <n v="8"/>
    <n v="4204"/>
    <n v="100"/>
    <n v="22.78"/>
    <n v="2"/>
    <n v="290"/>
    <n v="8"/>
    <n v="2260"/>
    <n v="60"/>
    <n v="22.73"/>
    <n v="8"/>
    <n v="1136"/>
    <n v="8"/>
    <n v="8953"/>
    <n v="135"/>
    <n v="15417"/>
    <n v="295"/>
    <n v="1.9134721411428943E-2"/>
    <s v="Shift-2 维修"/>
    <n v="20"/>
    <n v="10"/>
    <n v="25"/>
    <n v="80"/>
    <n v="50"/>
    <n v="110"/>
    <n v="0"/>
    <n v="0"/>
    <n v="0"/>
    <n v="0"/>
    <n v="0"/>
    <n v="0"/>
    <n v="0"/>
    <n v="0"/>
    <n v="0"/>
    <n v="0.85893194444444443"/>
    <n v="0.91752777777777783"/>
    <n v="0.89657222222222221"/>
    <n v="0.89101064814814812"/>
    <n v="0"/>
    <n v="10"/>
    <n v="0"/>
    <n v="1"/>
    <n v="1"/>
    <n v="1"/>
    <n v="8"/>
    <b v="1"/>
  </r>
  <r>
    <d v="2024-05-03T00:00:00"/>
    <s v="23B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23A"/>
    <x v="7"/>
    <n v="26364"/>
    <s v="Beige"/>
    <n v="814"/>
    <s v="Running"/>
    <n v="21.6"/>
    <n v="8"/>
    <n v="1280"/>
    <n v="16"/>
    <n v="20480"/>
    <m/>
    <n v="21.61"/>
    <n v="8"/>
    <n v="1381"/>
    <n v="16"/>
    <n v="22096"/>
    <m/>
    <n v="21.6"/>
    <n v="8"/>
    <n v="1256"/>
    <n v="16"/>
    <n v="20096"/>
    <m/>
    <n v="62672"/>
    <m/>
    <m/>
    <m/>
    <m/>
    <m/>
    <m/>
    <m/>
    <m/>
    <m/>
    <m/>
    <m/>
    <m/>
    <m/>
    <m/>
    <m/>
    <m/>
    <m/>
    <m/>
    <n v="0.96"/>
    <n v="1.0362295138888888"/>
    <n v="0.94200000000000006"/>
    <n v="0.97940983796296299"/>
    <n v="0"/>
    <n v="0"/>
    <n v="0"/>
    <n v="1"/>
    <n v="1"/>
    <n v="1"/>
    <n v="16"/>
    <b v="0"/>
  </r>
  <r>
    <d v="2024-05-04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1A"/>
    <x v="1"/>
    <n v="25151"/>
    <s v="Clear"/>
    <n v="814"/>
    <s v="Running"/>
    <n v="12.44"/>
    <n v="8"/>
    <n v="2324"/>
    <n v="8"/>
    <n v="18592"/>
    <m/>
    <n v="12.44"/>
    <n v="8"/>
    <n v="2230"/>
    <n v="8"/>
    <n v="17840"/>
    <m/>
    <n v="12.43"/>
    <n v="8"/>
    <n v="2231"/>
    <n v="8"/>
    <n v="17848"/>
    <m/>
    <n v="54280"/>
    <m/>
    <m/>
    <m/>
    <m/>
    <m/>
    <m/>
    <m/>
    <m/>
    <m/>
    <m/>
    <m/>
    <m/>
    <m/>
    <m/>
    <m/>
    <m/>
    <m/>
    <m/>
    <n v="1.0038388888888887"/>
    <n v="0.96323611111111096"/>
    <n v="0.96289340277777768"/>
    <n v="0.97665613425925912"/>
    <n v="0"/>
    <n v="0"/>
    <n v="0"/>
    <n v="1"/>
    <n v="1"/>
    <n v="1"/>
    <n v="8"/>
    <b v="0"/>
  </r>
  <r>
    <d v="2024-05-04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3B"/>
    <x v="8"/>
    <n v="26365"/>
    <s v="Beige"/>
    <n v="814"/>
    <s v="Running"/>
    <n v="18.100000000000001"/>
    <n v="4.5"/>
    <n v="795"/>
    <n v="8"/>
    <n v="6267"/>
    <n v="93"/>
    <n v="18.100000000000001"/>
    <n v="8"/>
    <n v="1131"/>
    <n v="8"/>
    <n v="8903"/>
    <n v="145"/>
    <n v="18.09"/>
    <n v="8"/>
    <n v="1528"/>
    <n v="8"/>
    <n v="12094"/>
    <n v="130"/>
    <n v="27264"/>
    <n v="368"/>
    <n v="1.3497652582159625E-2"/>
    <m/>
    <n v="18"/>
    <n v="25"/>
    <n v="20"/>
    <n v="75"/>
    <n v="120"/>
    <n v="110"/>
    <n v="0"/>
    <n v="0"/>
    <n v="0"/>
    <n v="0"/>
    <n v="0"/>
    <n v="0"/>
    <n v="0"/>
    <n v="0"/>
    <n v="0"/>
    <n v="0.88824074074074089"/>
    <n v="0.71080208333333339"/>
    <n v="0.95977500000000004"/>
    <n v="0.85293927469135811"/>
    <n v="0"/>
    <n v="0"/>
    <n v="0"/>
    <n v="1"/>
    <n v="1"/>
    <n v="1"/>
    <n v="8"/>
    <b v="1"/>
  </r>
  <r>
    <d v="2024-05-04T00:00:00"/>
    <s v="14B"/>
    <x v="3"/>
    <s v="25152-2"/>
    <s v="Beige"/>
    <n v="814"/>
    <s v="Running"/>
    <n v="19.39"/>
    <n v="3"/>
    <n v="437"/>
    <n v="8"/>
    <n v="3381"/>
    <n v="115"/>
    <n v="19.29"/>
    <n v="8"/>
    <n v="1417"/>
    <n v="8"/>
    <n v="11236"/>
    <n v="100"/>
    <n v="19.190000000000001"/>
    <n v="8"/>
    <n v="1504"/>
    <n v="8"/>
    <n v="11932"/>
    <n v="100"/>
    <n v="26549"/>
    <n v="315"/>
    <n v="1.1864853666804776E-2"/>
    <m/>
    <n v="15"/>
    <n v="20"/>
    <n v="15"/>
    <n v="100"/>
    <n v="80"/>
    <n v="85"/>
    <n v="0"/>
    <n v="0"/>
    <n v="0"/>
    <n v="0"/>
    <n v="0"/>
    <n v="0"/>
    <n v="0"/>
    <n v="0"/>
    <n v="0"/>
    <n v="0.78457685185185189"/>
    <n v="0.94909479166666666"/>
    <n v="1.0021444444444445"/>
    <n v="0.91193869598765431"/>
    <n v="0"/>
    <n v="0"/>
    <n v="0"/>
    <n v="1"/>
    <n v="1"/>
    <n v="1"/>
    <n v="8"/>
    <b v="1"/>
  </r>
  <r>
    <d v="2024-05-04T00:00:00"/>
    <s v="15B"/>
    <x v="4"/>
    <s v="26367-2"/>
    <s v="Beige"/>
    <n v="814"/>
    <s v="Running"/>
    <n v="25.78"/>
    <n v="8"/>
    <n v="1130"/>
    <n v="8"/>
    <n v="8935"/>
    <n v="105"/>
    <n v="25.8"/>
    <n v="8"/>
    <n v="1093"/>
    <n v="8"/>
    <n v="8644"/>
    <n v="100"/>
    <n v="25.89"/>
    <n v="8"/>
    <n v="1099"/>
    <n v="8"/>
    <n v="8667"/>
    <n v="125"/>
    <n v="26246"/>
    <n v="330"/>
    <n v="1.2573344509639563E-2"/>
    <s v="间中25151-2"/>
    <n v="20"/>
    <n v="20"/>
    <n v="15"/>
    <n v="85"/>
    <n v="80"/>
    <n v="110"/>
    <n v="0"/>
    <n v="0"/>
    <n v="0"/>
    <n v="0"/>
    <n v="0"/>
    <n v="0"/>
    <n v="0"/>
    <n v="0"/>
    <n v="0"/>
    <n v="1.0115069444444444"/>
    <n v="0.97914583333333338"/>
    <n v="0.98795520833333339"/>
    <n v="0.9928693287037037"/>
    <n v="0"/>
    <n v="0"/>
    <n v="0"/>
    <n v="1"/>
    <n v="1"/>
    <n v="1"/>
    <n v="8"/>
    <b v="1"/>
  </r>
  <r>
    <d v="2024-05-04T00:00:00"/>
    <s v="22B"/>
    <x v="5"/>
    <s v="26363-8"/>
    <s v="Beige"/>
    <n v="814"/>
    <s v="Running"/>
    <n v="22.38"/>
    <n v="7"/>
    <n v="952"/>
    <n v="8"/>
    <n v="7496"/>
    <n v="120"/>
    <n v="22.59"/>
    <n v="8"/>
    <n v="1237"/>
    <n v="8"/>
    <n v="9751"/>
    <n v="145"/>
    <n v="22.93"/>
    <n v="8"/>
    <n v="1222"/>
    <n v="8"/>
    <n v="9636"/>
    <n v="140"/>
    <n v="26883"/>
    <n v="405"/>
    <n v="1.5065282892534315E-2"/>
    <m/>
    <n v="20"/>
    <n v="25"/>
    <n v="20"/>
    <n v="100"/>
    <n v="120"/>
    <n v="120"/>
    <n v="0"/>
    <n v="0"/>
    <n v="0"/>
    <n v="0"/>
    <n v="0"/>
    <n v="0"/>
    <n v="0"/>
    <n v="0"/>
    <n v="0"/>
    <n v="0.84546666666666659"/>
    <n v="0.97027187499999989"/>
    <n v="0.97293263888888881"/>
    <n v="0.92955706018518514"/>
    <n v="0"/>
    <n v="0"/>
    <n v="0"/>
    <n v="1"/>
    <n v="1"/>
    <n v="1"/>
    <n v="8"/>
    <b v="1"/>
  </r>
  <r>
    <d v="2024-05-04T00:00:00"/>
    <s v="23B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24B"/>
    <x v="9"/>
    <n v="26365"/>
    <s v="Beige"/>
    <n v="814"/>
    <s v="Running"/>
    <n v="0"/>
    <n v="0"/>
    <n v="0"/>
    <n v="0"/>
    <n v="0"/>
    <n v="0"/>
    <n v="17.23"/>
    <n v="5"/>
    <n v="1052"/>
    <n v="8"/>
    <n v="8351"/>
    <n v="65"/>
    <n v="17.36"/>
    <n v="8"/>
    <n v="1553"/>
    <n v="8"/>
    <n v="12286"/>
    <n v="138"/>
    <n v="20637"/>
    <n v="203"/>
    <n v="9.8367010708920871E-3"/>
    <m/>
    <n v="0"/>
    <n v="15"/>
    <n v="28"/>
    <n v="0"/>
    <n v="50"/>
    <n v="110"/>
    <n v="0"/>
    <n v="0"/>
    <n v="0"/>
    <n v="0"/>
    <n v="0"/>
    <n v="0"/>
    <n v="0"/>
    <n v="0"/>
    <n v="0"/>
    <n v="0"/>
    <n v="1.0069977777777777"/>
    <n v="0.9361138888888888"/>
    <n v="0.97155583333333317"/>
    <n v="0.5"/>
    <n v="0"/>
    <n v="0"/>
    <n v="0"/>
    <n v="1"/>
    <n v="1"/>
    <n v="8"/>
    <b v="1"/>
  </r>
  <r>
    <d v="2024-05-04T00:00:00"/>
    <s v="23A"/>
    <x v="7"/>
    <n v="25154"/>
    <s v="Beige"/>
    <n v="814"/>
    <s v="Running"/>
    <n v="21.6"/>
    <n v="8"/>
    <n v="1332"/>
    <n v="16"/>
    <n v="21312"/>
    <m/>
    <n v="21.6"/>
    <n v="8"/>
    <n v="1346"/>
    <n v="16"/>
    <n v="21536"/>
    <m/>
    <n v="21.6"/>
    <n v="8"/>
    <n v="1065"/>
    <n v="16"/>
    <n v="17040"/>
    <m/>
    <n v="59888"/>
    <m/>
    <m/>
    <m/>
    <m/>
    <m/>
    <m/>
    <m/>
    <m/>
    <m/>
    <m/>
    <m/>
    <m/>
    <m/>
    <m/>
    <m/>
    <m/>
    <m/>
    <m/>
    <n v="0.999"/>
    <n v="1.0095000000000001"/>
    <n v="0.79874999999999996"/>
    <n v="0.93575000000000008"/>
    <n v="0"/>
    <n v="0"/>
    <n v="0"/>
    <n v="1"/>
    <n v="1"/>
    <n v="1"/>
    <n v="16"/>
    <b v="0"/>
  </r>
  <r>
    <d v="2024-05-05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1A"/>
    <x v="1"/>
    <n v="25151"/>
    <s v="Clear"/>
    <n v="814"/>
    <s v="Running"/>
    <n v="12.44"/>
    <n v="7"/>
    <n v="2101"/>
    <n v="8"/>
    <n v="16808"/>
    <m/>
    <n v="12.64"/>
    <n v="8"/>
    <n v="2250"/>
    <n v="8"/>
    <n v="18000"/>
    <m/>
    <n v="12.64"/>
    <n v="8"/>
    <n v="2194"/>
    <n v="8"/>
    <n v="17552"/>
    <m/>
    <n v="52360"/>
    <m/>
    <m/>
    <m/>
    <m/>
    <m/>
    <m/>
    <m/>
    <m/>
    <m/>
    <m/>
    <m/>
    <m/>
    <m/>
    <m/>
    <m/>
    <m/>
    <m/>
    <m/>
    <n v="1.0371603174603174"/>
    <n v="0.98750000000000004"/>
    <n v="0.96292222222222223"/>
    <n v="0.99586084656084661"/>
    <n v="0"/>
    <n v="0"/>
    <n v="0"/>
    <n v="1"/>
    <n v="1"/>
    <n v="1"/>
    <n v="8"/>
    <b v="0"/>
  </r>
  <r>
    <d v="2024-05-05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3B"/>
    <x v="8"/>
    <n v="26365"/>
    <s v="Beige"/>
    <n v="814"/>
    <s v="Running"/>
    <n v="18.100000000000001"/>
    <n v="8"/>
    <n v="1436"/>
    <n v="8"/>
    <n v="11343"/>
    <n v="145"/>
    <n v="18.100000000000001"/>
    <n v="8"/>
    <n v="1436"/>
    <n v="8"/>
    <n v="11358"/>
    <n v="130"/>
    <n v="18.100000000000001"/>
    <n v="8"/>
    <n v="1553"/>
    <n v="8"/>
    <n v="12304"/>
    <n v="120"/>
    <n v="35005"/>
    <n v="395"/>
    <n v="1.1284102271104128E-2"/>
    <m/>
    <n v="25"/>
    <n v="20"/>
    <n v="20"/>
    <n v="120"/>
    <n v="110"/>
    <n v="100"/>
    <n v="0"/>
    <n v="0"/>
    <n v="0"/>
    <n v="0"/>
    <n v="0"/>
    <n v="0"/>
    <n v="0"/>
    <n v="0"/>
    <n v="0"/>
    <n v="0.90248611111111121"/>
    <n v="0.90248611111111121"/>
    <n v="0.97601736111111126"/>
    <n v="0.92699652777777786"/>
    <n v="0"/>
    <n v="0"/>
    <n v="0"/>
    <n v="1"/>
    <n v="1"/>
    <n v="1"/>
    <n v="8"/>
    <b v="1"/>
  </r>
  <r>
    <d v="2024-05-05T00:00:00"/>
    <s v="14B"/>
    <x v="3"/>
    <s v="25152-2"/>
    <s v="Beige"/>
    <n v="814"/>
    <s v="Running"/>
    <n v="19.29"/>
    <n v="8"/>
    <n v="1511"/>
    <n v="8"/>
    <n v="11978"/>
    <n v="110"/>
    <n v="19.190000000000001"/>
    <n v="8"/>
    <n v="1420"/>
    <n v="8"/>
    <n v="11220"/>
    <n v="140"/>
    <n v="19.18"/>
    <n v="3"/>
    <n v="588"/>
    <n v="8"/>
    <n v="4634"/>
    <n v="70"/>
    <n v="27832"/>
    <n v="320"/>
    <n v="1.1497556769186549E-2"/>
    <m/>
    <n v="25"/>
    <n v="20"/>
    <n v="10"/>
    <n v="85"/>
    <n v="120"/>
    <n v="60"/>
    <n v="0"/>
    <n v="0"/>
    <n v="0"/>
    <n v="0"/>
    <n v="0"/>
    <n v="0"/>
    <n v="0"/>
    <n v="0"/>
    <n v="0"/>
    <n v="1.0120552083333332"/>
    <n v="0.9461736111111112"/>
    <n v="1.0442444444444445"/>
    <n v="1.0008244212962962"/>
    <n v="0"/>
    <n v="0"/>
    <n v="0"/>
    <n v="1"/>
    <n v="1"/>
    <n v="1"/>
    <n v="8"/>
    <b v="1"/>
  </r>
  <r>
    <d v="2024-05-05T00:00:00"/>
    <s v="14B"/>
    <x v="3"/>
    <s v="26367-3"/>
    <s v="Beige"/>
    <n v="814"/>
    <s v="Running"/>
    <n v="0"/>
    <n v="0"/>
    <n v="0"/>
    <n v="0"/>
    <n v="0"/>
    <n v="0"/>
    <n v="0"/>
    <n v="0"/>
    <n v="0"/>
    <n v="0"/>
    <n v="0"/>
    <n v="0"/>
    <n v="19.170000000000002"/>
    <n v="2"/>
    <n v="266"/>
    <n v="8"/>
    <n v="2078"/>
    <n v="50"/>
    <n v="2078"/>
    <n v="50"/>
    <n v="2.406159769008662E-2"/>
    <s v="Shift-3 转单26367-3"/>
    <n v="0"/>
    <n v="0"/>
    <n v="10"/>
    <n v="0"/>
    <n v="0"/>
    <n v="40"/>
    <n v="0"/>
    <n v="0"/>
    <n v="0"/>
    <n v="0"/>
    <n v="0"/>
    <n v="0"/>
    <n v="0"/>
    <n v="0"/>
    <n v="0"/>
    <n v="0"/>
    <n v="0"/>
    <n v="0.70822499999999999"/>
    <n v="0.70822499999999999"/>
    <n v="0"/>
    <n v="0"/>
    <n v="0"/>
    <n v="0"/>
    <n v="0"/>
    <n v="1"/>
    <n v="8"/>
    <b v="1"/>
  </r>
  <r>
    <d v="2024-05-05T00:00:00"/>
    <s v="15B"/>
    <x v="4"/>
    <s v="26367-2"/>
    <s v="Beige"/>
    <n v="814"/>
    <s v="Running"/>
    <n v="25.79"/>
    <n v="8"/>
    <n v="1042"/>
    <n v="8"/>
    <n v="8191"/>
    <n v="145"/>
    <n v="25.78"/>
    <n v="8"/>
    <n v="1004"/>
    <n v="7"/>
    <n v="6908"/>
    <n v="120"/>
    <n v="25.89"/>
    <n v="8"/>
    <n v="1098"/>
    <n v="7"/>
    <n v="7566"/>
    <n v="120"/>
    <n v="22665"/>
    <n v="385"/>
    <n v="1.6986543128171189E-2"/>
    <s v="Shift-2 #5多次断在模具内，封号"/>
    <n v="25"/>
    <n v="20"/>
    <n v="20"/>
    <n v="120"/>
    <n v="100"/>
    <n v="100"/>
    <n v="0"/>
    <n v="0"/>
    <n v="0"/>
    <n v="0"/>
    <n v="0"/>
    <n v="0"/>
    <n v="0"/>
    <n v="0"/>
    <n v="0"/>
    <n v="0.93309652777777774"/>
    <n v="0.89871944444444452"/>
    <n v="0.98705625000000008"/>
    <n v="0.93962407407407411"/>
    <n v="0"/>
    <n v="0"/>
    <n v="0"/>
    <n v="1"/>
    <n v="1"/>
    <n v="1"/>
    <n v="8"/>
    <b v="1"/>
  </r>
  <r>
    <d v="2024-05-05T00:00:00"/>
    <s v="22B"/>
    <x v="5"/>
    <s v="26363-6"/>
    <s v="Beige"/>
    <n v="814"/>
    <s v="Running"/>
    <n v="22.68"/>
    <n v="8"/>
    <n v="1206"/>
    <n v="8"/>
    <n v="9506"/>
    <n v="142"/>
    <n v="22.68"/>
    <n v="7.5"/>
    <n v="1139"/>
    <n v="8"/>
    <n v="8992"/>
    <n v="120"/>
    <n v="0"/>
    <n v="0"/>
    <n v="0"/>
    <n v="0"/>
    <n v="0"/>
    <n v="0"/>
    <n v="18498"/>
    <n v="262"/>
    <n v="1.416369337225646E-2"/>
    <m/>
    <n v="22"/>
    <n v="20"/>
    <n v="0"/>
    <n v="120"/>
    <n v="100"/>
    <n v="0"/>
    <n v="0"/>
    <n v="0"/>
    <n v="0"/>
    <n v="0"/>
    <n v="0"/>
    <n v="0"/>
    <n v="0"/>
    <n v="0"/>
    <n v="0"/>
    <n v="0.94972499999999993"/>
    <n v="0.95676000000000005"/>
    <n v="0"/>
    <n v="0.95324249999999999"/>
    <n v="0"/>
    <n v="0"/>
    <n v="0"/>
    <n v="1"/>
    <n v="1"/>
    <n v="0"/>
    <n v="8"/>
    <b v="1"/>
  </r>
  <r>
    <d v="2024-05-05T00:00:00"/>
    <s v="22B"/>
    <x v="5"/>
    <s v="26367-5"/>
    <s v="Beige"/>
    <n v="814"/>
    <s v="Running"/>
    <n v="0"/>
    <n v="0"/>
    <n v="0"/>
    <n v="0"/>
    <n v="0"/>
    <n v="0"/>
    <n v="22.68"/>
    <n v="0.5"/>
    <n v="85"/>
    <n v="8"/>
    <n v="660"/>
    <n v="20"/>
    <n v="22.73"/>
    <n v="8"/>
    <n v="1150"/>
    <n v="8"/>
    <n v="9080"/>
    <n v="120"/>
    <n v="9740"/>
    <n v="140"/>
    <n v="1.4373716632443531E-2"/>
    <s v="Shift-2 转单26367-1"/>
    <n v="0"/>
    <n v="0"/>
    <n v="20"/>
    <n v="0"/>
    <n v="20"/>
    <n v="100"/>
    <n v="0"/>
    <n v="0"/>
    <n v="0"/>
    <n v="0"/>
    <n v="0"/>
    <n v="0"/>
    <n v="0"/>
    <n v="0"/>
    <n v="0"/>
    <n v="0"/>
    <n v="1.071"/>
    <n v="0.90762152777777783"/>
    <n v="0.98931076388888894"/>
    <n v="0"/>
    <n v="0"/>
    <n v="0"/>
    <n v="0"/>
    <n v="1"/>
    <n v="1"/>
    <n v="8"/>
    <b v="1"/>
  </r>
  <r>
    <d v="2024-05-05T00:00:00"/>
    <s v="23B"/>
    <x v="6"/>
    <s v="26367-5"/>
    <s v="Beige"/>
    <n v="814"/>
    <s v="Running"/>
    <n v="0"/>
    <n v="0"/>
    <n v="0"/>
    <n v="0"/>
    <n v="0"/>
    <n v="0"/>
    <n v="0"/>
    <n v="0"/>
    <n v="0"/>
    <n v="0"/>
    <n v="0"/>
    <n v="0"/>
    <n v="21.99"/>
    <n v="8"/>
    <n v="1437"/>
    <n v="8"/>
    <n v="11371"/>
    <n v="125"/>
    <n v="11371"/>
    <n v="125"/>
    <n v="1.0992876615952862E-2"/>
    <m/>
    <n v="0"/>
    <n v="0"/>
    <n v="25"/>
    <n v="0"/>
    <n v="0"/>
    <n v="100"/>
    <n v="0"/>
    <n v="0"/>
    <n v="0"/>
    <n v="0"/>
    <n v="0"/>
    <n v="0"/>
    <n v="0"/>
    <n v="0"/>
    <n v="0"/>
    <n v="0"/>
    <n v="0"/>
    <n v="1.0972093749999998"/>
    <n v="1.0972093749999998"/>
    <n v="0"/>
    <n v="0"/>
    <n v="0"/>
    <n v="0"/>
    <n v="0"/>
    <n v="1"/>
    <n v="8"/>
    <b v="1"/>
  </r>
  <r>
    <d v="2024-05-05T00:00:00"/>
    <s v="24B"/>
    <x v="9"/>
    <n v="26365"/>
    <s v="Beige"/>
    <n v="814"/>
    <s v="Running"/>
    <n v="17.32"/>
    <n v="8"/>
    <n v="1566"/>
    <n v="8"/>
    <n v="12383"/>
    <n v="145"/>
    <n v="18"/>
    <n v="4.5"/>
    <n v="850"/>
    <n v="8"/>
    <n v="6665"/>
    <n v="135"/>
    <n v="0"/>
    <n v="0"/>
    <n v="0"/>
    <n v="0"/>
    <n v="0"/>
    <n v="0"/>
    <n v="19048"/>
    <n v="280"/>
    <n v="1.4699706005879883E-2"/>
    <m/>
    <n v="25"/>
    <n v="20"/>
    <n v="0"/>
    <n v="120"/>
    <n v="115"/>
    <n v="0"/>
    <n v="0"/>
    <n v="0"/>
    <n v="0"/>
    <n v="0"/>
    <n v="0"/>
    <n v="0"/>
    <n v="0"/>
    <n v="0"/>
    <n v="0"/>
    <n v="0.94177499999999992"/>
    <n v="0.94444444444444442"/>
    <n v="0"/>
    <n v="0.94310972222222222"/>
    <n v="0.5"/>
    <n v="0"/>
    <n v="0"/>
    <n v="1"/>
    <n v="1"/>
    <n v="0"/>
    <n v="8"/>
    <b v="1"/>
  </r>
  <r>
    <d v="2024-05-05T00:00:00"/>
    <s v="24B"/>
    <x v="9"/>
    <n v="27203"/>
    <s v="Beige"/>
    <n v="814"/>
    <s v="Running"/>
    <n v="0"/>
    <n v="0"/>
    <n v="0"/>
    <n v="0"/>
    <n v="0"/>
    <n v="0"/>
    <n v="0"/>
    <n v="0"/>
    <n v="0"/>
    <n v="0"/>
    <n v="0"/>
    <n v="0"/>
    <n v="17.600000000000001"/>
    <n v="8"/>
    <n v="1609"/>
    <n v="8"/>
    <n v="12732"/>
    <n v="140"/>
    <n v="12732"/>
    <n v="140"/>
    <n v="1.0995915802701853E-2"/>
    <s v="Shift-3 转单27203"/>
    <n v="0"/>
    <n v="0"/>
    <n v="20"/>
    <n v="0"/>
    <n v="0"/>
    <n v="120"/>
    <n v="0"/>
    <n v="0"/>
    <n v="0"/>
    <n v="0"/>
    <n v="0"/>
    <n v="0"/>
    <n v="0"/>
    <n v="0"/>
    <n v="0"/>
    <n v="0"/>
    <n v="0"/>
    <n v="0.98327777777777781"/>
    <n v="0.98327777777777781"/>
    <n v="0"/>
    <n v="0"/>
    <n v="0"/>
    <n v="0"/>
    <n v="0"/>
    <n v="1"/>
    <n v="8"/>
    <b v="1"/>
  </r>
  <r>
    <d v="2024-05-05T00:00:00"/>
    <s v="23A"/>
    <x v="7"/>
    <n v="25154"/>
    <s v="Beige"/>
    <n v="814"/>
    <s v="Running"/>
    <n v="21.59"/>
    <n v="8"/>
    <n v="1314"/>
    <n v="16"/>
    <n v="21024"/>
    <m/>
    <n v="21.61"/>
    <n v="8"/>
    <n v="1361"/>
    <n v="16"/>
    <n v="21776"/>
    <m/>
    <n v="21.61"/>
    <n v="8"/>
    <n v="1319"/>
    <n v="16"/>
    <n v="21104"/>
    <m/>
    <n v="63904"/>
    <m/>
    <m/>
    <m/>
    <m/>
    <m/>
    <m/>
    <m/>
    <m/>
    <m/>
    <m/>
    <m/>
    <m/>
    <m/>
    <m/>
    <m/>
    <m/>
    <m/>
    <m/>
    <n v="0.98504375"/>
    <n v="1.0212225694444443"/>
    <n v="0.9897079861111111"/>
    <n v="0.99865810185185178"/>
    <n v="0"/>
    <n v="0"/>
    <n v="0"/>
    <n v="1"/>
    <n v="1"/>
    <n v="1"/>
    <n v="16"/>
    <b v="0"/>
  </r>
  <r>
    <d v="2024-05-06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1A"/>
    <x v="1"/>
    <n v="26363"/>
    <s v="Clear"/>
    <n v="814"/>
    <s v="Running"/>
    <n v="12.65"/>
    <n v="8"/>
    <n v="2274"/>
    <n v="16"/>
    <n v="36384"/>
    <m/>
    <n v="12.65"/>
    <n v="8"/>
    <n v="2360"/>
    <n v="16"/>
    <n v="37760"/>
    <m/>
    <n v="12.64"/>
    <n v="8"/>
    <n v="2301"/>
    <n v="16"/>
    <n v="36816"/>
    <m/>
    <n v="110960"/>
    <m/>
    <m/>
    <m/>
    <m/>
    <m/>
    <m/>
    <m/>
    <m/>
    <m/>
    <m/>
    <m/>
    <m/>
    <m/>
    <m/>
    <m/>
    <m/>
    <m/>
    <m/>
    <n v="0.99882291666666678"/>
    <n v="1.0365972222222222"/>
    <n v="1.0098833333333335"/>
    <n v="1.0151011574074076"/>
    <n v="0"/>
    <n v="0"/>
    <n v="0"/>
    <n v="1"/>
    <n v="1"/>
    <n v="1"/>
    <n v="16"/>
    <b v="0"/>
  </r>
  <r>
    <d v="2024-05-06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3B"/>
    <x v="8"/>
    <n v="27203"/>
    <s v="Beige"/>
    <n v="814"/>
    <s v="Running"/>
    <n v="18.100000000000001"/>
    <n v="5"/>
    <n v="1035"/>
    <n v="8"/>
    <n v="8220"/>
    <n v="60"/>
    <n v="18.100000000000001"/>
    <n v="8"/>
    <n v="1143"/>
    <n v="8"/>
    <n v="9004"/>
    <n v="140"/>
    <n v="18.100000000000001"/>
    <n v="6"/>
    <n v="1211"/>
    <n v="8"/>
    <n v="9573"/>
    <n v="115"/>
    <n v="26797"/>
    <n v="315"/>
    <n v="1.1755047206776878E-2"/>
    <s v="Shift-1 停机3小时"/>
    <n v="10"/>
    <n v="20"/>
    <n v="15"/>
    <n v="50"/>
    <n v="120"/>
    <n v="100"/>
    <n v="0"/>
    <n v="0"/>
    <n v="0"/>
    <n v="0"/>
    <n v="0"/>
    <n v="0"/>
    <n v="0"/>
    <n v="0"/>
    <n v="0"/>
    <n v="1.0407500000000001"/>
    <n v="0.71834375000000006"/>
    <n v="1.0147731481481483"/>
    <n v="0.92462229938271623"/>
    <n v="0"/>
    <n v="0"/>
    <n v="0"/>
    <n v="1"/>
    <n v="1"/>
    <n v="1"/>
    <n v="8"/>
    <b v="1"/>
  </r>
  <r>
    <d v="2024-05-06T00:00:00"/>
    <s v="13B"/>
    <x v="8"/>
    <s v="27203-1"/>
    <s v="Beige"/>
    <n v="814"/>
    <s v="Running"/>
    <n v="0"/>
    <n v="0"/>
    <n v="0"/>
    <n v="0"/>
    <n v="0"/>
    <n v="0"/>
    <n v="0"/>
    <n v="0"/>
    <n v="0"/>
    <n v="0"/>
    <n v="0"/>
    <n v="0"/>
    <n v="18.100000000000001"/>
    <n v="2"/>
    <n v="255"/>
    <n v="8"/>
    <n v="2005"/>
    <n v="35"/>
    <n v="2005"/>
    <n v="35"/>
    <n v="1.7456359102244388E-2"/>
    <s v="Shift-3 转单27203-1"/>
    <n v="0"/>
    <n v="0"/>
    <n v="5"/>
    <n v="0"/>
    <n v="0"/>
    <n v="30"/>
    <n v="0"/>
    <n v="0"/>
    <n v="0"/>
    <n v="0"/>
    <n v="0"/>
    <n v="0"/>
    <n v="0"/>
    <n v="0"/>
    <n v="0"/>
    <n v="0"/>
    <n v="0"/>
    <n v="0.64104166666666662"/>
    <n v="0.64104166666666662"/>
    <n v="0"/>
    <n v="0"/>
    <n v="0"/>
    <n v="0"/>
    <n v="0"/>
    <n v="1"/>
    <n v="8"/>
    <b v="1"/>
  </r>
  <r>
    <d v="2024-05-06T00:00:00"/>
    <s v="14B"/>
    <x v="3"/>
    <s v="26367-3"/>
    <s v="Beige"/>
    <n v="814"/>
    <s v="Running"/>
    <n v="19.190000000000001"/>
    <n v="8"/>
    <n v="1514"/>
    <n v="8"/>
    <n v="11972"/>
    <n v="140"/>
    <n v="19.190000000000001"/>
    <n v="8"/>
    <n v="1492"/>
    <n v="8"/>
    <n v="11816"/>
    <n v="120"/>
    <n v="19.28"/>
    <n v="8"/>
    <n v="1486"/>
    <n v="8"/>
    <n v="11758"/>
    <n v="130"/>
    <n v="35546"/>
    <n v="390"/>
    <n v="1.0971698644010578E-2"/>
    <m/>
    <n v="20"/>
    <n v="20"/>
    <n v="25"/>
    <n v="120"/>
    <n v="100"/>
    <n v="105"/>
    <n v="0"/>
    <n v="0"/>
    <n v="0"/>
    <n v="0"/>
    <n v="0"/>
    <n v="0"/>
    <n v="0"/>
    <n v="0"/>
    <n v="0"/>
    <n v="1.0088076388888889"/>
    <n v="0.99414861111111119"/>
    <n v="0.99479444444444454"/>
    <n v="0.99925023148148151"/>
    <n v="0"/>
    <n v="0"/>
    <n v="0"/>
    <n v="1"/>
    <n v="1"/>
    <n v="1"/>
    <n v="8"/>
    <b v="1"/>
  </r>
  <r>
    <d v="2024-05-06T00:00:00"/>
    <s v="15B"/>
    <x v="4"/>
    <s v="26367-2"/>
    <s v="Beige"/>
    <n v="814"/>
    <s v="Running"/>
    <n v="25.79"/>
    <n v="2.5"/>
    <n v="357"/>
    <n v="8"/>
    <n v="2816"/>
    <n v="40"/>
    <n v="25.78"/>
    <n v="8"/>
    <n v="1189"/>
    <n v="8"/>
    <n v="9392"/>
    <n v="120"/>
    <n v="25.8"/>
    <n v="8"/>
    <n v="1026"/>
    <n v="8"/>
    <n v="8068"/>
    <n v="140"/>
    <n v="20276"/>
    <n v="300"/>
    <n v="1.4795817715525744E-2"/>
    <s v="间中25151-2. Shift-1 #7前模模具裂，维修"/>
    <n v="5"/>
    <n v="20"/>
    <n v="20"/>
    <n v="35"/>
    <n v="100"/>
    <n v="120"/>
    <n v="0"/>
    <n v="0"/>
    <n v="0"/>
    <n v="0"/>
    <n v="0"/>
    <n v="0"/>
    <n v="0"/>
    <n v="0"/>
    <n v="0"/>
    <n v="1.0230033333333333"/>
    <n v="1.064320138888889"/>
    <n v="0.91912499999999997"/>
    <n v="1.0021494907407407"/>
    <n v="1"/>
    <n v="4.5"/>
    <n v="0"/>
    <n v="1"/>
    <n v="1"/>
    <n v="1"/>
    <n v="8"/>
    <b v="1"/>
  </r>
  <r>
    <d v="2024-05-06T00:00:00"/>
    <s v="22B"/>
    <x v="5"/>
    <s v="26367-5"/>
    <s v="Beige"/>
    <n v="814"/>
    <s v="Running"/>
    <n v="21.88"/>
    <n v="8"/>
    <n v="1261"/>
    <n v="8"/>
    <n v="9944"/>
    <n v="144"/>
    <n v="22.69"/>
    <n v="8"/>
    <n v="1236"/>
    <n v="8"/>
    <n v="9748"/>
    <n v="140"/>
    <n v="22.77"/>
    <n v="8"/>
    <n v="1181"/>
    <n v="8"/>
    <n v="9302"/>
    <n v="146"/>
    <n v="28994"/>
    <n v="430"/>
    <n v="1.4830654618196869E-2"/>
    <m/>
    <n v="26"/>
    <n v="20"/>
    <n v="25"/>
    <n v="118"/>
    <n v="120"/>
    <n v="121"/>
    <n v="0"/>
    <n v="0"/>
    <n v="0"/>
    <n v="0"/>
    <n v="0"/>
    <n v="0"/>
    <n v="0"/>
    <n v="0"/>
    <n v="0"/>
    <n v="0.95800972222222225"/>
    <n v="0.97377916666666664"/>
    <n v="0.93372812500000002"/>
    <n v="0.95517233796296297"/>
    <n v="0"/>
    <n v="0"/>
    <n v="0"/>
    <n v="1"/>
    <n v="1"/>
    <n v="1"/>
    <n v="8"/>
    <b v="1"/>
  </r>
  <r>
    <d v="2024-05-06T00:00:00"/>
    <s v="23B"/>
    <x v="6"/>
    <s v="26367-5"/>
    <s v="Beige"/>
    <n v="814"/>
    <s v="Running"/>
    <n v="22.07"/>
    <n v="8"/>
    <n v="1142"/>
    <n v="8"/>
    <n v="8996"/>
    <n v="140"/>
    <n v="22.07"/>
    <n v="8"/>
    <n v="1313"/>
    <n v="8"/>
    <n v="10384"/>
    <n v="120"/>
    <n v="22.07"/>
    <n v="8"/>
    <n v="1187"/>
    <n v="8"/>
    <n v="9371"/>
    <n v="125"/>
    <n v="28751"/>
    <n v="385"/>
    <n v="1.3390838579527669E-2"/>
    <m/>
    <n v="20"/>
    <n v="20"/>
    <n v="25"/>
    <n v="120"/>
    <n v="100"/>
    <n v="100"/>
    <n v="0"/>
    <n v="0"/>
    <n v="0"/>
    <n v="0"/>
    <n v="0"/>
    <n v="0"/>
    <n v="0"/>
    <n v="0"/>
    <n v="0"/>
    <n v="0.87513680555555551"/>
    <n v="1.0061774305555555"/>
    <n v="0.90962118055555552"/>
    <n v="0.93031180555555559"/>
    <n v="0"/>
    <n v="0"/>
    <n v="0"/>
    <n v="1"/>
    <n v="1"/>
    <n v="1"/>
    <n v="8"/>
    <b v="1"/>
  </r>
  <r>
    <d v="2024-05-06T00:00:00"/>
    <s v="24B"/>
    <x v="9"/>
    <n v="27203"/>
    <s v="Beige"/>
    <n v="814"/>
    <s v="Running"/>
    <n v="17.329999999999998"/>
    <n v="8"/>
    <n v="1581"/>
    <n v="8"/>
    <n v="12523"/>
    <n v="125"/>
    <n v="17.87"/>
    <n v="7.5"/>
    <n v="1434"/>
    <n v="8"/>
    <n v="11332"/>
    <n v="140"/>
    <n v="17.28"/>
    <n v="8"/>
    <n v="1607"/>
    <n v="8"/>
    <n v="12731"/>
    <n v="125"/>
    <n v="36586"/>
    <n v="390"/>
    <n v="1.0659815229869349E-2"/>
    <m/>
    <n v="25"/>
    <n v="20"/>
    <n v="25"/>
    <n v="100"/>
    <n v="120"/>
    <n v="100"/>
    <n v="0"/>
    <n v="0"/>
    <n v="0"/>
    <n v="0"/>
    <n v="0"/>
    <n v="0"/>
    <n v="0"/>
    <n v="0"/>
    <n v="0"/>
    <n v="0.95134479166666652"/>
    <n v="0.94909555555555558"/>
    <n v="0.96420000000000006"/>
    <n v="0.95488011574074072"/>
    <n v="0"/>
    <n v="0"/>
    <n v="0"/>
    <n v="1"/>
    <n v="1"/>
    <n v="1"/>
    <n v="8"/>
    <b v="1"/>
  </r>
  <r>
    <d v="2024-05-06T00:00:00"/>
    <s v="23A"/>
    <x v="7"/>
    <n v="25154"/>
    <s v="Beige"/>
    <n v="814"/>
    <s v="Running"/>
    <n v="21.62"/>
    <n v="8"/>
    <n v="1301"/>
    <n v="16"/>
    <n v="20816"/>
    <m/>
    <n v="21.59"/>
    <n v="8"/>
    <n v="1399"/>
    <n v="16"/>
    <n v="22384"/>
    <m/>
    <n v="21.6"/>
    <n v="8"/>
    <n v="1256"/>
    <n v="16"/>
    <n v="20096"/>
    <m/>
    <n v="63296"/>
    <m/>
    <m/>
    <m/>
    <m/>
    <m/>
    <m/>
    <m/>
    <m/>
    <m/>
    <m/>
    <m/>
    <m/>
    <m/>
    <m/>
    <m/>
    <m/>
    <m/>
    <m/>
    <n v="0.97665347222222232"/>
    <n v="1.0487642361111111"/>
    <n v="0.94200000000000006"/>
    <n v="0.98913923611111121"/>
    <n v="0"/>
    <n v="0"/>
    <n v="0"/>
    <n v="1"/>
    <n v="1"/>
    <n v="1"/>
    <n v="16"/>
    <b v="0"/>
  </r>
  <r>
    <d v="2024-05-07T00:00:00"/>
    <s v="09A"/>
    <x v="0"/>
    <n v="26363"/>
    <s v="Beige"/>
    <n v="814"/>
    <s v="Running"/>
    <n v="16.170000000000002"/>
    <n v="6"/>
    <n v="1194"/>
    <n v="16"/>
    <n v="19104"/>
    <m/>
    <n v="16.170000000000002"/>
    <n v="8"/>
    <n v="1650"/>
    <n v="16"/>
    <n v="26400"/>
    <m/>
    <n v="16.440000000000001"/>
    <n v="8"/>
    <n v="1603"/>
    <n v="16"/>
    <n v="25648"/>
    <m/>
    <n v="71152"/>
    <m/>
    <m/>
    <m/>
    <m/>
    <m/>
    <m/>
    <m/>
    <m/>
    <m/>
    <m/>
    <m/>
    <m/>
    <m/>
    <m/>
    <m/>
    <m/>
    <m/>
    <m/>
    <n v="0.89384166666666687"/>
    <n v="0.9264062500000001"/>
    <n v="0.91504583333333345"/>
    <n v="0.91176458333333343"/>
    <n v="0.5"/>
    <n v="0"/>
    <n v="0"/>
    <n v="1"/>
    <n v="1"/>
    <n v="1"/>
    <n v="16"/>
    <b v="0"/>
  </r>
  <r>
    <d v="2024-05-07T00:00:00"/>
    <s v="11A"/>
    <x v="1"/>
    <n v="26363"/>
    <s v="Clear"/>
    <n v="814"/>
    <s v="Running"/>
    <n v="12.7"/>
    <n v="8"/>
    <n v="2229"/>
    <n v="16"/>
    <n v="35664"/>
    <m/>
    <n v="12.69"/>
    <n v="8"/>
    <n v="2150"/>
    <n v="16"/>
    <n v="34400"/>
    <m/>
    <n v="12.69"/>
    <n v="8"/>
    <n v="2140"/>
    <n v="16"/>
    <n v="34240"/>
    <m/>
    <n v="104304"/>
    <m/>
    <m/>
    <m/>
    <m/>
    <m/>
    <m/>
    <m/>
    <m/>
    <m/>
    <m/>
    <m/>
    <m/>
    <m/>
    <m/>
    <m/>
    <m/>
    <m/>
    <m/>
    <n v="0.98292708333333334"/>
    <n v="0.94734375000000004"/>
    <n v="0.94293749999999998"/>
    <n v="0.95773611111111112"/>
    <n v="0"/>
    <n v="0"/>
    <n v="0"/>
    <n v="1"/>
    <n v="1"/>
    <n v="1"/>
    <n v="16"/>
    <b v="0"/>
  </r>
  <r>
    <d v="2024-05-07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3B"/>
    <x v="8"/>
    <n v="27203"/>
    <s v="Beige"/>
    <n v="814"/>
    <s v="Running"/>
    <n v="18.100000000000001"/>
    <n v="8"/>
    <n v="1122"/>
    <n v="8"/>
    <n v="8831"/>
    <n v="145"/>
    <n v="18.100000000000001"/>
    <n v="8"/>
    <n v="1765"/>
    <n v="8"/>
    <n v="13995"/>
    <n v="125"/>
    <n v="18.100000000000001"/>
    <n v="8"/>
    <n v="1533"/>
    <n v="8"/>
    <n v="12129"/>
    <n v="135"/>
    <n v="34955"/>
    <n v="405"/>
    <n v="1.1586325275354026E-2"/>
    <m/>
    <n v="20"/>
    <n v="25"/>
    <n v="20"/>
    <n v="125"/>
    <n v="100"/>
    <n v="115"/>
    <n v="0"/>
    <n v="0"/>
    <n v="0"/>
    <n v="0"/>
    <n v="0"/>
    <n v="0"/>
    <n v="0"/>
    <n v="0"/>
    <n v="0"/>
    <n v="0.70514583333333336"/>
    <n v="1.1092534722222223"/>
    <n v="0.96344791666666674"/>
    <n v="0.92594907407407412"/>
    <n v="0"/>
    <n v="0"/>
    <n v="0"/>
    <n v="1"/>
    <n v="1"/>
    <n v="1"/>
    <n v="8"/>
    <b v="1"/>
  </r>
  <r>
    <d v="2024-05-07T00:00:00"/>
    <s v="14B"/>
    <x v="3"/>
    <n v="26367"/>
    <s v="Beige"/>
    <n v="814"/>
    <s v="Running"/>
    <n v="19.29"/>
    <n v="8"/>
    <n v="1339"/>
    <n v="8"/>
    <n v="10567"/>
    <n v="145"/>
    <n v="19.29"/>
    <n v="8"/>
    <n v="1617"/>
    <n v="8"/>
    <n v="12816"/>
    <n v="120"/>
    <n v="19.260000000000002"/>
    <n v="8"/>
    <n v="1370"/>
    <n v="8"/>
    <n v="10815"/>
    <n v="145"/>
    <n v="34198"/>
    <n v="410"/>
    <n v="1.1989005204982748E-2"/>
    <m/>
    <n v="25"/>
    <n v="20"/>
    <n v="25"/>
    <n v="120"/>
    <n v="100"/>
    <n v="120"/>
    <n v="0"/>
    <n v="0"/>
    <n v="0"/>
    <n v="0"/>
    <n v="0"/>
    <n v="0"/>
    <n v="0"/>
    <n v="0"/>
    <n v="0"/>
    <n v="0.89685104166666663"/>
    <n v="1.0830531249999999"/>
    <n v="0.91618750000000004"/>
    <n v="0.9653638888888888"/>
    <n v="0"/>
    <n v="0"/>
    <n v="0"/>
    <n v="1"/>
    <n v="1"/>
    <n v="1"/>
    <n v="8"/>
    <b v="1"/>
  </r>
  <r>
    <d v="2024-05-07T00:00:00"/>
    <s v="15B"/>
    <x v="4"/>
    <s v="26367-3"/>
    <s v="Beige"/>
    <n v="814"/>
    <s v="Running"/>
    <n v="25.69"/>
    <n v="8"/>
    <n v="1032"/>
    <n v="8"/>
    <n v="8111"/>
    <n v="145"/>
    <n v="25.79"/>
    <n v="8"/>
    <n v="1182"/>
    <n v="8"/>
    <n v="9316"/>
    <n v="140"/>
    <n v="28.79"/>
    <n v="8"/>
    <n v="992"/>
    <n v="8"/>
    <n v="7811"/>
    <n v="125"/>
    <n v="25238"/>
    <n v="410"/>
    <n v="1.6245344322054045E-2"/>
    <s v="间中25152-2"/>
    <n v="25"/>
    <n v="20"/>
    <n v="25"/>
    <n v="120"/>
    <n v="120"/>
    <n v="100"/>
    <n v="0"/>
    <n v="0"/>
    <n v="0"/>
    <n v="0"/>
    <n v="0"/>
    <n v="0"/>
    <n v="0"/>
    <n v="0"/>
    <n v="0"/>
    <n v="0.92055833333333337"/>
    <n v="1.0584645833333333"/>
    <n v="0.99165555555555551"/>
    <n v="0.99022615740740738"/>
    <n v="0"/>
    <n v="0"/>
    <n v="0"/>
    <n v="1"/>
    <n v="1"/>
    <n v="1"/>
    <n v="8"/>
    <b v="1"/>
  </r>
  <r>
    <d v="2024-05-07T00:00:00"/>
    <s v="22B"/>
    <x v="5"/>
    <s v="26367-5"/>
    <s v="Beige"/>
    <n v="814"/>
    <s v="Running"/>
    <n v="22.78"/>
    <n v="0.7"/>
    <n v="105"/>
    <n v="8"/>
    <n v="825"/>
    <n v="15"/>
    <n v="0"/>
    <n v="0"/>
    <n v="0"/>
    <n v="0"/>
    <n v="0"/>
    <n v="0"/>
    <n v="0"/>
    <n v="0"/>
    <n v="0"/>
    <n v="0"/>
    <n v="0"/>
    <n v="0"/>
    <n v="825"/>
    <n v="15"/>
    <n v="1.8181818181818181E-2"/>
    <m/>
    <n v="0"/>
    <n v="0"/>
    <n v="0"/>
    <n v="15"/>
    <n v="0"/>
    <n v="0"/>
    <n v="0"/>
    <n v="0"/>
    <n v="0"/>
    <n v="0"/>
    <n v="0"/>
    <n v="0"/>
    <n v="0"/>
    <n v="0"/>
    <n v="0"/>
    <n v="0.94916666666666671"/>
    <n v="0"/>
    <n v="0"/>
    <n v="0.94916666666666671"/>
    <n v="0"/>
    <n v="0"/>
    <n v="0"/>
    <n v="1"/>
    <n v="0"/>
    <n v="0"/>
    <n v="8"/>
    <b v="1"/>
  </r>
  <r>
    <d v="2024-05-07T00:00:00"/>
    <s v="22B"/>
    <x v="5"/>
    <s v="26367-6"/>
    <s v="Beige"/>
    <n v="814"/>
    <s v="Running"/>
    <n v="22.78"/>
    <n v="7.3"/>
    <n v="1161"/>
    <n v="8"/>
    <n v="9163"/>
    <n v="125"/>
    <n v="22.79"/>
    <n v="8"/>
    <n v="1351"/>
    <n v="8"/>
    <n v="10668"/>
    <n v="140"/>
    <n v="22.74"/>
    <n v="8"/>
    <n v="1388"/>
    <n v="8"/>
    <n v="10959"/>
    <n v="145"/>
    <n v="30790"/>
    <n v="410"/>
    <n v="1.3316011692107827E-2"/>
    <s v="Shift-1 转单26367-6"/>
    <n v="25"/>
    <n v="20"/>
    <n v="25"/>
    <n v="100"/>
    <n v="120"/>
    <n v="120"/>
    <n v="0"/>
    <n v="0"/>
    <n v="0"/>
    <n v="0"/>
    <n v="0"/>
    <n v="0"/>
    <n v="0"/>
    <n v="0"/>
    <n v="0"/>
    <n v="1.0063767123287672"/>
    <n v="1.0690725694444443"/>
    <n v="1.0959416666666666"/>
    <n v="1.0571303161466261"/>
    <n v="0"/>
    <n v="0"/>
    <n v="0"/>
    <n v="1"/>
    <n v="1"/>
    <n v="1"/>
    <n v="8"/>
    <b v="1"/>
  </r>
  <r>
    <d v="2024-05-07T00:00:00"/>
    <s v="23B"/>
    <x v="6"/>
    <s v="26367-6"/>
    <s v="Beige"/>
    <n v="814"/>
    <s v="Running"/>
    <n v="22"/>
    <n v="8"/>
    <n v="1245"/>
    <n v="8"/>
    <n v="9840"/>
    <n v="120"/>
    <n v="22"/>
    <n v="8"/>
    <n v="1303"/>
    <n v="8"/>
    <n v="10284"/>
    <n v="140"/>
    <n v="22.03"/>
    <n v="8"/>
    <n v="1346"/>
    <n v="8"/>
    <n v="10623"/>
    <n v="145"/>
    <n v="30747"/>
    <n v="405"/>
    <n v="1.3172016782125085E-2"/>
    <m/>
    <n v="20"/>
    <n v="20"/>
    <n v="25"/>
    <n v="100"/>
    <n v="120"/>
    <n v="120"/>
    <n v="0"/>
    <n v="0"/>
    <n v="0"/>
    <n v="0"/>
    <n v="0"/>
    <n v="0"/>
    <n v="0"/>
    <n v="0"/>
    <n v="0"/>
    <n v="0.95104166666666667"/>
    <n v="0.99534722222222227"/>
    <n v="1.0295965277777779"/>
    <n v="0.99199513888888902"/>
    <n v="0"/>
    <n v="0"/>
    <n v="0"/>
    <n v="1"/>
    <n v="1"/>
    <n v="1"/>
    <n v="8"/>
    <b v="1"/>
  </r>
  <r>
    <d v="2024-05-07T00:00:00"/>
    <s v="24B"/>
    <x v="9"/>
    <n v="27203"/>
    <s v="Beige"/>
    <n v="814"/>
    <s v="Running"/>
    <n v="17.3"/>
    <n v="3.5"/>
    <n v="787"/>
    <n v="8"/>
    <n v="6216"/>
    <n v="80"/>
    <n v="0"/>
    <n v="0"/>
    <n v="0"/>
    <n v="0"/>
    <n v="0"/>
    <n v="0"/>
    <n v="0"/>
    <n v="0"/>
    <n v="0"/>
    <n v="0"/>
    <n v="0"/>
    <n v="0"/>
    <n v="6216"/>
    <n v="80"/>
    <n v="1.2870012870012869E-2"/>
    <m/>
    <n v="10"/>
    <n v="0"/>
    <n v="0"/>
    <n v="70"/>
    <n v="0"/>
    <n v="0"/>
    <n v="0"/>
    <n v="0"/>
    <n v="0"/>
    <n v="0"/>
    <n v="0"/>
    <n v="0"/>
    <n v="0"/>
    <n v="0"/>
    <n v="0"/>
    <n v="1.0805634920634921"/>
    <n v="0"/>
    <n v="0"/>
    <n v="1.0805634920634921"/>
    <n v="0"/>
    <n v="0"/>
    <n v="0"/>
    <n v="1"/>
    <n v="0"/>
    <n v="0"/>
    <n v="8"/>
    <b v="1"/>
  </r>
  <r>
    <d v="2024-05-07T00:00:00"/>
    <s v="24B"/>
    <x v="9"/>
    <s v="27203-1"/>
    <s v="Beige"/>
    <n v="814"/>
    <s v="Running"/>
    <n v="17.3"/>
    <n v="3.5"/>
    <n v="763"/>
    <n v="8"/>
    <n v="6029"/>
    <n v="75"/>
    <n v="17.309999999999999"/>
    <n v="8"/>
    <n v="1610"/>
    <n v="8"/>
    <n v="12755"/>
    <n v="125"/>
    <n v="17.3"/>
    <n v="8"/>
    <n v="1503"/>
    <n v="8"/>
    <n v="11889"/>
    <n v="135"/>
    <n v="30673"/>
    <n v="335"/>
    <n v="1.0921657483780524E-2"/>
    <s v="Shift-1 转单27203-1，停机维修1小时"/>
    <n v="10"/>
    <n v="25"/>
    <n v="20"/>
    <n v="65"/>
    <n v="100"/>
    <n v="115"/>
    <n v="0"/>
    <n v="0"/>
    <n v="0"/>
    <n v="0"/>
    <n v="0"/>
    <n v="0"/>
    <n v="0"/>
    <n v="0"/>
    <n v="0"/>
    <n v="1.047611111111111"/>
    <n v="0.96767708333333324"/>
    <n v="0.90284375000000006"/>
    <n v="0.97271064814814823"/>
    <n v="0"/>
    <n v="1"/>
    <n v="0"/>
    <n v="1"/>
    <n v="1"/>
    <n v="1"/>
    <n v="8"/>
    <b v="1"/>
  </r>
  <r>
    <d v="2024-05-07T00:00:00"/>
    <s v="23A"/>
    <x v="7"/>
    <n v="26367"/>
    <s v="Beige"/>
    <n v="814"/>
    <s v="Running"/>
    <n v="21.6"/>
    <n v="8"/>
    <n v="1315"/>
    <n v="16"/>
    <n v="21040"/>
    <m/>
    <n v="21.6"/>
    <n v="8"/>
    <n v="1399"/>
    <n v="16"/>
    <n v="22384"/>
    <m/>
    <n v="21.6"/>
    <n v="8"/>
    <n v="1237"/>
    <n v="16"/>
    <n v="19792"/>
    <m/>
    <n v="63216"/>
    <m/>
    <m/>
    <m/>
    <m/>
    <m/>
    <m/>
    <m/>
    <m/>
    <m/>
    <m/>
    <m/>
    <m/>
    <m/>
    <m/>
    <m/>
    <m/>
    <m/>
    <m/>
    <n v="0.98625000000000007"/>
    <n v="1.04925"/>
    <n v="0.92775000000000007"/>
    <n v="0.98775000000000002"/>
    <n v="0"/>
    <n v="0"/>
    <n v="0"/>
    <n v="1"/>
    <n v="1"/>
    <n v="1"/>
    <n v="16"/>
    <b v="0"/>
  </r>
  <r>
    <d v="2024-05-08T00:00:00"/>
    <s v="09A"/>
    <x v="0"/>
    <n v="26363"/>
    <s v="Clear"/>
    <n v="814"/>
    <s v="Running"/>
    <n v="16.43"/>
    <n v="8"/>
    <n v="1755"/>
    <n v="16"/>
    <n v="28080"/>
    <m/>
    <n v="16.43"/>
    <n v="8"/>
    <n v="1702"/>
    <n v="16"/>
    <n v="27232"/>
    <m/>
    <n v="16.440000000000001"/>
    <n v="8"/>
    <n v="1725"/>
    <n v="16"/>
    <n v="27600"/>
    <m/>
    <n v="82912"/>
    <m/>
    <m/>
    <m/>
    <m/>
    <m/>
    <m/>
    <m/>
    <m/>
    <m/>
    <m/>
    <m/>
    <m/>
    <m/>
    <m/>
    <m/>
    <m/>
    <m/>
    <m/>
    <n v="1.001203125"/>
    <n v="0.97096736111111115"/>
    <n v="0.98468750000000016"/>
    <n v="0.98561932870370372"/>
    <n v="0"/>
    <n v="0"/>
    <n v="0"/>
    <n v="1"/>
    <n v="1"/>
    <n v="1"/>
    <n v="16"/>
    <b v="0"/>
  </r>
  <r>
    <d v="2024-05-08T00:00:00"/>
    <s v="11A"/>
    <x v="1"/>
    <n v="26363"/>
    <s v="Clear"/>
    <n v="814"/>
    <s v="Running"/>
    <n v="12.69"/>
    <n v="8"/>
    <n v="2087"/>
    <n v="16"/>
    <n v="33392"/>
    <m/>
    <n v="11.95"/>
    <n v="8"/>
    <n v="2552"/>
    <n v="16"/>
    <n v="40832"/>
    <m/>
    <n v="11.95"/>
    <n v="8"/>
    <n v="2265"/>
    <n v="16"/>
    <n v="36240"/>
    <m/>
    <n v="110464"/>
    <m/>
    <m/>
    <m/>
    <m/>
    <m/>
    <m/>
    <m/>
    <m/>
    <m/>
    <m/>
    <m/>
    <m/>
    <m/>
    <m/>
    <m/>
    <m/>
    <m/>
    <m/>
    <n v="0.91958437500000001"/>
    <n v="1.0589027777777777"/>
    <n v="0.93981770833333333"/>
    <n v="0.9727682870370371"/>
    <n v="0"/>
    <n v="0"/>
    <n v="0"/>
    <n v="1"/>
    <n v="1"/>
    <n v="1"/>
    <n v="16"/>
    <b v="0"/>
  </r>
  <r>
    <d v="2024-05-08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3B"/>
    <x v="8"/>
    <s v="27203-1"/>
    <s v="Beige"/>
    <n v="814"/>
    <s v="Running"/>
    <n v="18.100000000000001"/>
    <n v="8"/>
    <n v="1680"/>
    <n v="8"/>
    <n v="13285"/>
    <n v="155"/>
    <n v="0"/>
    <n v="0"/>
    <n v="0"/>
    <n v="0"/>
    <n v="0"/>
    <n v="0"/>
    <n v="0"/>
    <n v="0"/>
    <n v="0"/>
    <n v="0"/>
    <n v="0"/>
    <n v="0"/>
    <n v="13285"/>
    <n v="155"/>
    <n v="1.1667293940534437E-2"/>
    <m/>
    <n v="25"/>
    <n v="0"/>
    <n v="0"/>
    <n v="130"/>
    <n v="0"/>
    <n v="0"/>
    <n v="0"/>
    <n v="0"/>
    <n v="0"/>
    <n v="0"/>
    <n v="0"/>
    <n v="0"/>
    <n v="0"/>
    <n v="0"/>
    <n v="0"/>
    <n v="1.0558333333333334"/>
    <n v="0"/>
    <n v="0"/>
    <n v="1.0558333333333334"/>
    <n v="0"/>
    <n v="0"/>
    <n v="0"/>
    <n v="1"/>
    <n v="0"/>
    <n v="0"/>
    <n v="8"/>
    <b v="1"/>
  </r>
  <r>
    <d v="2024-05-08T00:00:00"/>
    <s v="13B"/>
    <x v="8"/>
    <s v="27205-1"/>
    <s v="Beige"/>
    <n v="814"/>
    <s v="Running"/>
    <n v="0"/>
    <n v="0"/>
    <n v="0"/>
    <n v="0"/>
    <n v="0"/>
    <n v="0"/>
    <n v="18.100000000000001"/>
    <n v="8"/>
    <n v="1674"/>
    <n v="8"/>
    <n v="13262"/>
    <n v="130"/>
    <n v="18.100000000000001"/>
    <n v="8"/>
    <n v="1489"/>
    <n v="8"/>
    <n v="11767"/>
    <n v="145"/>
    <n v="25029"/>
    <n v="275"/>
    <n v="1.0987254784450038E-2"/>
    <s v="Shift-2 转单27205-1"/>
    <n v="0"/>
    <n v="20"/>
    <n v="20"/>
    <n v="0"/>
    <n v="110"/>
    <n v="125"/>
    <n v="0"/>
    <n v="0"/>
    <n v="0"/>
    <n v="0"/>
    <n v="0"/>
    <n v="0"/>
    <n v="0"/>
    <n v="0"/>
    <n v="0"/>
    <n v="0"/>
    <n v="1.0520625000000001"/>
    <n v="0.93579513888888899"/>
    <n v="0.99392881944444456"/>
    <n v="0"/>
    <n v="0"/>
    <n v="0"/>
    <n v="0"/>
    <n v="1"/>
    <n v="1"/>
    <n v="8"/>
    <b v="1"/>
  </r>
  <r>
    <d v="2024-05-08T00:00:00"/>
    <s v="14B"/>
    <x v="3"/>
    <n v="26367"/>
    <s v="Beige"/>
    <n v="814"/>
    <s v="Running"/>
    <n v="19.29"/>
    <n v="8"/>
    <n v="1442"/>
    <n v="8"/>
    <n v="11386"/>
    <n v="150"/>
    <n v="19.190000000000001"/>
    <n v="8"/>
    <n v="1419"/>
    <n v="8"/>
    <n v="11232"/>
    <n v="120"/>
    <n v="19.29"/>
    <n v="4"/>
    <n v="697"/>
    <n v="8"/>
    <n v="5501"/>
    <n v="75"/>
    <n v="28119"/>
    <n v="345"/>
    <n v="1.2269284113944309E-2"/>
    <m/>
    <n v="30"/>
    <n v="20"/>
    <n v="15"/>
    <n v="120"/>
    <n v="100"/>
    <n v="60"/>
    <n v="0"/>
    <n v="0"/>
    <n v="0"/>
    <n v="0"/>
    <n v="0"/>
    <n v="0"/>
    <n v="0"/>
    <n v="0"/>
    <n v="0"/>
    <n v="0.96583958333333331"/>
    <n v="0.94550729166666669"/>
    <n v="0.9336895833333333"/>
    <n v="0.94834548611111114"/>
    <n v="0"/>
    <n v="0"/>
    <n v="0"/>
    <n v="1"/>
    <n v="1"/>
    <n v="1"/>
    <n v="8"/>
    <b v="1"/>
  </r>
  <r>
    <d v="2024-05-08T00:00:00"/>
    <s v="14B"/>
    <x v="3"/>
    <n v="25157"/>
    <s v="Beige"/>
    <n v="814"/>
    <s v="Running"/>
    <n v="0"/>
    <n v="0"/>
    <n v="0"/>
    <n v="0"/>
    <n v="0"/>
    <n v="0"/>
    <n v="0"/>
    <n v="0"/>
    <n v="0"/>
    <n v="0"/>
    <n v="0"/>
    <n v="0"/>
    <n v="19.190000000000001"/>
    <n v="2"/>
    <n v="302"/>
    <n v="8"/>
    <n v="2381"/>
    <n v="35"/>
    <n v="2381"/>
    <n v="35"/>
    <n v="1.4699706005879883E-2"/>
    <s v="Shift-3 转单25257"/>
    <n v="0"/>
    <n v="0"/>
    <n v="5"/>
    <n v="0"/>
    <n v="0"/>
    <n v="30"/>
    <n v="0"/>
    <n v="0"/>
    <n v="0"/>
    <n v="0"/>
    <n v="0"/>
    <n v="0"/>
    <n v="0"/>
    <n v="0"/>
    <n v="0"/>
    <n v="0"/>
    <n v="0"/>
    <n v="0.80491388888888893"/>
    <n v="0.80491388888888893"/>
    <n v="0"/>
    <n v="0"/>
    <n v="0"/>
    <n v="0"/>
    <n v="0"/>
    <n v="1"/>
    <n v="8"/>
    <b v="1"/>
  </r>
  <r>
    <d v="2024-05-08T00:00:00"/>
    <s v="15B"/>
    <x v="4"/>
    <n v="26367"/>
    <s v="Beige"/>
    <n v="814"/>
    <s v="Running"/>
    <n v="25.78"/>
    <n v="8"/>
    <n v="1153"/>
    <n v="8"/>
    <n v="9074"/>
    <n v="150"/>
    <n v="25.78"/>
    <n v="8"/>
    <n v="1143"/>
    <n v="8"/>
    <n v="9004"/>
    <n v="140"/>
    <n v="25.88"/>
    <n v="8"/>
    <n v="1047"/>
    <n v="8"/>
    <n v="8251"/>
    <n v="125"/>
    <n v="26329"/>
    <n v="415"/>
    <n v="1.5762087432109082E-2"/>
    <m/>
    <n v="35"/>
    <n v="20"/>
    <n v="25"/>
    <n v="115"/>
    <n v="120"/>
    <n v="100"/>
    <n v="0"/>
    <n v="0"/>
    <n v="0"/>
    <n v="0"/>
    <n v="0"/>
    <n v="0"/>
    <n v="0"/>
    <n v="0"/>
    <n v="0"/>
    <n v="1.0320951388888888"/>
    <n v="1.02314375"/>
    <n v="0.94084583333333338"/>
    <n v="0.99869490740740741"/>
    <n v="0"/>
    <n v="0"/>
    <n v="0"/>
    <n v="1"/>
    <n v="1"/>
    <n v="1"/>
    <n v="8"/>
    <b v="1"/>
  </r>
  <r>
    <d v="2024-05-08T00:00:00"/>
    <s v="22B"/>
    <x v="5"/>
    <s v="26367-6"/>
    <s v="Beige"/>
    <n v="814"/>
    <s v="Running"/>
    <n v="22.69"/>
    <n v="6"/>
    <n v="988"/>
    <n v="8"/>
    <n v="7784"/>
    <n v="120"/>
    <n v="22.79"/>
    <n v="8"/>
    <n v="1367"/>
    <n v="8"/>
    <n v="10791"/>
    <n v="145"/>
    <n v="22.71"/>
    <n v="4"/>
    <n v="607"/>
    <n v="8"/>
    <n v="4776"/>
    <n v="80"/>
    <n v="23351"/>
    <n v="345"/>
    <n v="1.4774527857479337E-2"/>
    <m/>
    <n v="20"/>
    <n v="25"/>
    <n v="15"/>
    <n v="100"/>
    <n v="120"/>
    <n v="65"/>
    <n v="0"/>
    <n v="0"/>
    <n v="0"/>
    <n v="0"/>
    <n v="0"/>
    <n v="0"/>
    <n v="0"/>
    <n v="0"/>
    <n v="0"/>
    <n v="1.0378574074074074"/>
    <n v="1.0817336805555555"/>
    <n v="0.95728958333333336"/>
    <n v="1.0256268904320989"/>
    <n v="0"/>
    <n v="0"/>
    <n v="0"/>
    <n v="1"/>
    <n v="1"/>
    <n v="1"/>
    <n v="8"/>
    <b v="1"/>
  </r>
  <r>
    <d v="2024-05-08T00:00:00"/>
    <s v="22B"/>
    <x v="5"/>
    <m/>
    <m/>
    <m/>
    <s v="Running"/>
    <n v="0"/>
    <n v="0"/>
    <n v="0"/>
    <n v="0"/>
    <n v="0"/>
    <n v="0"/>
    <n v="0"/>
    <n v="0"/>
    <n v="0"/>
    <n v="0"/>
    <n v="0"/>
    <n v="0"/>
    <n v="22.71"/>
    <n v="4"/>
    <n v="534"/>
    <n v="8"/>
    <n v="4197"/>
    <n v="75"/>
    <n v="4197"/>
    <n v="75"/>
    <n v="1.7869907076483203E-2"/>
    <s v="Shift-3 转单26365-1"/>
    <n v="0"/>
    <n v="0"/>
    <n v="20"/>
    <n v="0"/>
    <n v="0"/>
    <n v="55"/>
    <n v="0"/>
    <n v="0"/>
    <n v="0"/>
    <n v="0"/>
    <n v="0"/>
    <n v="0"/>
    <n v="0"/>
    <n v="0"/>
    <n v="0"/>
    <n v="0"/>
    <n v="0"/>
    <n v="0.84216250000000004"/>
    <n v="0.84216250000000004"/>
    <n v="0"/>
    <n v="0"/>
    <n v="0"/>
    <n v="0"/>
    <n v="0"/>
    <n v="1"/>
    <n v="8"/>
    <b v="1"/>
  </r>
  <r>
    <d v="2024-05-08T00:00:00"/>
    <s v="23B"/>
    <x v="9"/>
    <s v="26367-6"/>
    <s v="Beige"/>
    <n v="814"/>
    <s v="Running"/>
    <n v="22.08"/>
    <n v="6"/>
    <n v="983"/>
    <n v="8"/>
    <n v="7744"/>
    <n v="120"/>
    <n v="22.08"/>
    <n v="7"/>
    <n v="1078"/>
    <n v="8"/>
    <n v="8504"/>
    <n v="120"/>
    <n v="0"/>
    <n v="0"/>
    <n v="0"/>
    <n v="0"/>
    <n v="0"/>
    <n v="0"/>
    <n v="16248"/>
    <n v="240"/>
    <n v="1.4771048744460856E-2"/>
    <m/>
    <n v="20"/>
    <n v="20"/>
    <n v="0"/>
    <n v="100"/>
    <n v="100"/>
    <n v="0"/>
    <n v="0"/>
    <n v="0"/>
    <n v="0"/>
    <n v="0"/>
    <n v="0"/>
    <n v="0"/>
    <n v="0"/>
    <n v="0"/>
    <n v="0"/>
    <n v="1.0048444444444444"/>
    <n v="0.94453333333333322"/>
    <n v="0"/>
    <n v="0.97468888888888883"/>
    <n v="0"/>
    <n v="0"/>
    <n v="0"/>
    <n v="1"/>
    <n v="1"/>
    <n v="0"/>
    <n v="8"/>
    <b v="1"/>
  </r>
  <r>
    <d v="2024-05-08T00:00:00"/>
    <s v="23B"/>
    <x v="9"/>
    <n v="26365"/>
    <s v="Beige"/>
    <n v="814"/>
    <s v="Running"/>
    <n v="0"/>
    <n v="0"/>
    <n v="0"/>
    <n v="0"/>
    <n v="0"/>
    <n v="0"/>
    <n v="22.08"/>
    <n v="1"/>
    <n v="141"/>
    <n v="8"/>
    <n v="1103"/>
    <n v="25"/>
    <n v="21.99"/>
    <n v="8"/>
    <n v="1194"/>
    <n v="8"/>
    <n v="9407"/>
    <n v="145"/>
    <n v="10510"/>
    <n v="170"/>
    <n v="1.6175071360608945E-2"/>
    <s v="Shift-2 转单26365"/>
    <n v="0"/>
    <n v="5"/>
    <n v="30"/>
    <n v="0"/>
    <n v="20"/>
    <n v="115"/>
    <n v="0"/>
    <n v="0"/>
    <n v="0"/>
    <n v="0"/>
    <n v="0"/>
    <n v="0"/>
    <n v="0"/>
    <n v="0"/>
    <n v="0"/>
    <n v="0"/>
    <n v="0.8647999999999999"/>
    <n v="0.91166874999999992"/>
    <n v="0.88823437499999991"/>
    <n v="0"/>
    <n v="0"/>
    <n v="0"/>
    <n v="0"/>
    <n v="1"/>
    <n v="1"/>
    <n v="8"/>
    <b v="1"/>
  </r>
  <r>
    <d v="2024-05-08T00:00:00"/>
    <s v="24B"/>
    <x v="9"/>
    <s v="27203-1"/>
    <s v="Beige"/>
    <n v="814"/>
    <s v="Running"/>
    <n v="17.25"/>
    <n v="8"/>
    <n v="1541"/>
    <n v="8"/>
    <n v="12188"/>
    <n v="140"/>
    <n v="17.29"/>
    <n v="8"/>
    <n v="1638"/>
    <n v="8"/>
    <n v="12974"/>
    <n v="130"/>
    <n v="17.899999999999999"/>
    <n v="8"/>
    <n v="1582"/>
    <n v="8"/>
    <n v="12511"/>
    <n v="145"/>
    <n v="37673"/>
    <n v="415"/>
    <n v="1.1015846893000293E-2"/>
    <m/>
    <n v="25"/>
    <n v="20"/>
    <n v="20"/>
    <n v="115"/>
    <n v="110"/>
    <n v="125"/>
    <n v="0"/>
    <n v="0"/>
    <n v="0"/>
    <n v="0"/>
    <n v="0"/>
    <n v="0"/>
    <n v="0"/>
    <n v="0"/>
    <n v="0"/>
    <n v="0.92299479166666665"/>
    <n v="0.9833687499999999"/>
    <n v="0.98325694444444445"/>
    <n v="0.96320682870370355"/>
    <n v="0"/>
    <n v="0"/>
    <n v="0"/>
    <n v="1"/>
    <n v="1"/>
    <n v="1"/>
    <n v="8"/>
    <b v="1"/>
  </r>
  <r>
    <d v="2024-05-08T00:00:00"/>
    <s v="23A"/>
    <x v="7"/>
    <n v="26367"/>
    <s v="Beige"/>
    <n v="814"/>
    <s v="Running"/>
    <n v="21.62"/>
    <n v="7"/>
    <n v="1229"/>
    <n v="16"/>
    <n v="19664"/>
    <m/>
    <n v="21.61"/>
    <n v="8"/>
    <n v="1414"/>
    <n v="16"/>
    <n v="22624"/>
    <m/>
    <n v="21.61"/>
    <n v="8"/>
    <n v="1211"/>
    <n v="16"/>
    <n v="19376"/>
    <m/>
    <n v="61664"/>
    <m/>
    <m/>
    <m/>
    <m/>
    <m/>
    <m/>
    <m/>
    <m/>
    <m/>
    <m/>
    <m/>
    <m/>
    <m/>
    <m/>
    <m/>
    <m/>
    <m/>
    <m/>
    <n v="1.0544039682539683"/>
    <n v="1.0609909722222222"/>
    <n v="0.90867048611111112"/>
    <n v="1.008021808862434"/>
    <n v="0"/>
    <n v="0"/>
    <n v="0"/>
    <n v="1"/>
    <n v="1"/>
    <n v="1"/>
    <n v="16"/>
    <b v="0"/>
  </r>
  <r>
    <d v="2024-05-09T00:00:00"/>
    <s v="09A"/>
    <x v="0"/>
    <n v="26363"/>
    <s v="Clear"/>
    <n v="814"/>
    <s v="Running"/>
    <n v="16.43"/>
    <n v="8"/>
    <n v="1704"/>
    <n v="16"/>
    <n v="27264"/>
    <m/>
    <n v="16.43"/>
    <n v="8"/>
    <n v="1895"/>
    <n v="16"/>
    <n v="30320"/>
    <m/>
    <n v="16.440000000000001"/>
    <n v="8"/>
    <n v="1693"/>
    <n v="16"/>
    <n v="27088"/>
    <m/>
    <n v="84672"/>
    <m/>
    <m/>
    <m/>
    <m/>
    <m/>
    <m/>
    <m/>
    <m/>
    <m/>
    <m/>
    <m/>
    <m/>
    <m/>
    <m/>
    <m/>
    <m/>
    <m/>
    <m/>
    <n v="0.97210833333333335"/>
    <n v="1.0810711805555555"/>
    <n v="0.9664208333333334"/>
    <n v="1.006533449074074"/>
    <n v="0"/>
    <n v="0"/>
    <n v="0"/>
    <n v="1"/>
    <n v="1"/>
    <n v="1"/>
    <n v="16"/>
    <b v="0"/>
  </r>
  <r>
    <d v="2024-05-09T00:00:00"/>
    <s v="11A"/>
    <x v="1"/>
    <n v="26363"/>
    <s v="Clear"/>
    <n v="814"/>
    <s v="Running"/>
    <n v="11.95"/>
    <n v="8"/>
    <n v="2029"/>
    <n v="16"/>
    <n v="32464"/>
    <m/>
    <n v="11.95"/>
    <n v="8"/>
    <n v="2596"/>
    <n v="16"/>
    <n v="41536"/>
    <m/>
    <n v="11.95"/>
    <n v="8"/>
    <n v="2224"/>
    <n v="16"/>
    <n v="35584"/>
    <m/>
    <n v="109584"/>
    <m/>
    <m/>
    <m/>
    <m/>
    <m/>
    <m/>
    <m/>
    <m/>
    <m/>
    <m/>
    <m/>
    <m/>
    <m/>
    <m/>
    <m/>
    <m/>
    <m/>
    <m/>
    <n v="0.84189409722222219"/>
    <n v="1.0771597222222222"/>
    <n v="0.92280555555555555"/>
    <n v="0.94728645833333325"/>
    <n v="0"/>
    <n v="0"/>
    <n v="0"/>
    <n v="1"/>
    <n v="1"/>
    <n v="1"/>
    <n v="16"/>
    <b v="0"/>
  </r>
  <r>
    <d v="2024-05-09T00:00:00"/>
    <s v="13B"/>
    <x v="8"/>
    <s v="27205-1"/>
    <s v="Beige"/>
    <n v="814"/>
    <s v="Running"/>
    <n v="19.59"/>
    <n v="8"/>
    <n v="1399"/>
    <n v="8"/>
    <n v="11042"/>
    <n v="150"/>
    <n v="19.59"/>
    <n v="8"/>
    <n v="1449"/>
    <n v="8"/>
    <n v="11437"/>
    <n v="155"/>
    <n v="20.12"/>
    <n v="7"/>
    <n v="1254"/>
    <n v="8"/>
    <n v="9882"/>
    <n v="150"/>
    <n v="32361"/>
    <n v="455"/>
    <n v="1.4060134112048454E-2"/>
    <s v="Shift-3 爆水管停机1小时"/>
    <n v="30"/>
    <n v="35"/>
    <n v="35"/>
    <n v="120"/>
    <n v="120"/>
    <n v="115"/>
    <n v="0"/>
    <n v="0"/>
    <n v="0"/>
    <n v="0"/>
    <n v="0"/>
    <n v="0"/>
    <n v="0"/>
    <n v="0"/>
    <n v="0"/>
    <n v="0.95161145833333338"/>
    <n v="0.98562187499999998"/>
    <n v="1.0012095238095238"/>
    <n v="0.97948095238095245"/>
    <n v="0"/>
    <n v="0"/>
    <n v="0"/>
    <n v="1"/>
    <n v="1"/>
    <n v="1"/>
    <n v="8"/>
    <b v="1"/>
  </r>
  <r>
    <d v="2024-05-09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4B"/>
    <x v="3"/>
    <n v="25157"/>
    <s v="Beige"/>
    <n v="814"/>
    <s v="Running"/>
    <n v="19.989999999999998"/>
    <n v="5"/>
    <n v="940"/>
    <n v="8"/>
    <n v="7395"/>
    <n v="125"/>
    <n v="19.989999999999998"/>
    <n v="6"/>
    <n v="1021"/>
    <n v="8"/>
    <n v="8043"/>
    <n v="125"/>
    <n v="19.29"/>
    <n v="8"/>
    <n v="1382"/>
    <n v="8"/>
    <n v="10931"/>
    <n v="125"/>
    <n v="26369"/>
    <n v="375"/>
    <n v="1.4221244643331184E-2"/>
    <m/>
    <n v="20"/>
    <n v="25"/>
    <n v="25"/>
    <n v="105"/>
    <n v="100"/>
    <n v="100"/>
    <n v="0"/>
    <n v="0"/>
    <n v="0"/>
    <n v="0"/>
    <n v="0"/>
    <n v="0"/>
    <n v="0"/>
    <n v="0"/>
    <n v="0"/>
    <n v="1.0439222222222222"/>
    <n v="0.94489768518518502"/>
    <n v="0.92565208333333326"/>
    <n v="0.97149066358024694"/>
    <n v="0"/>
    <n v="0"/>
    <n v="0"/>
    <n v="1"/>
    <n v="1"/>
    <n v="1"/>
    <n v="8"/>
    <b v="1"/>
  </r>
  <r>
    <d v="2024-05-09T00:00:00"/>
    <s v="15B"/>
    <x v="4"/>
    <n v="26367"/>
    <s v="Beige"/>
    <n v="814"/>
    <s v="Running"/>
    <n v="25.99"/>
    <n v="8"/>
    <n v="1123"/>
    <n v="8"/>
    <n v="8869"/>
    <n v="115"/>
    <n v="25.99"/>
    <n v="8"/>
    <n v="1133"/>
    <n v="8"/>
    <n v="8944"/>
    <n v="120"/>
    <n v="25.89"/>
    <n v="8"/>
    <n v="1048"/>
    <n v="7"/>
    <n v="7211"/>
    <n v="125"/>
    <n v="25024"/>
    <n v="360"/>
    <n v="1.438618925831202E-2"/>
    <m/>
    <n v="20"/>
    <n v="20"/>
    <n v="20"/>
    <n v="95"/>
    <n v="100"/>
    <n v="105"/>
    <n v="0"/>
    <n v="0"/>
    <n v="0"/>
    <n v="0"/>
    <n v="0"/>
    <n v="0"/>
    <n v="0"/>
    <n v="0"/>
    <n v="0"/>
    <n v="1.0134295138888887"/>
    <n v="1.0224538194444444"/>
    <n v="0.94210833333333333"/>
    <n v="0.99266388888888868"/>
    <n v="0"/>
    <n v="0"/>
    <n v="0"/>
    <n v="1"/>
    <n v="1"/>
    <n v="1"/>
    <n v="8"/>
    <b v="1"/>
  </r>
  <r>
    <d v="2024-05-09T00:00:00"/>
    <s v="22B"/>
    <x v="5"/>
    <n v="26365"/>
    <s v="Beige"/>
    <n v="814"/>
    <s v="Running"/>
    <n v="22.69"/>
    <n v="8"/>
    <n v="1354"/>
    <n v="8"/>
    <n v="10682"/>
    <n v="150"/>
    <n v="22.09"/>
    <n v="8"/>
    <n v="1213"/>
    <n v="8"/>
    <n v="9559"/>
    <n v="145"/>
    <n v="22.74"/>
    <n v="7.5"/>
    <n v="1141"/>
    <n v="8"/>
    <n v="8988"/>
    <n v="140"/>
    <n v="29229"/>
    <n v="435"/>
    <n v="1.4882479729036231E-2"/>
    <m/>
    <n v="25"/>
    <n v="25"/>
    <n v="20"/>
    <n v="125"/>
    <n v="120"/>
    <n v="120"/>
    <n v="0"/>
    <n v="0"/>
    <n v="0"/>
    <n v="0"/>
    <n v="0"/>
    <n v="0"/>
    <n v="0"/>
    <n v="0"/>
    <n v="0"/>
    <n v="1.0667451388888889"/>
    <n v="0.93038784722222212"/>
    <n v="0.96097555555555547"/>
    <n v="0.98603618055555542"/>
    <n v="0"/>
    <n v="0"/>
    <n v="0"/>
    <n v="1"/>
    <n v="1"/>
    <n v="1"/>
    <n v="8"/>
    <b v="1"/>
  </r>
  <r>
    <d v="2024-05-09T00:00:00"/>
    <s v="22B"/>
    <x v="5"/>
    <n v="27128"/>
    <s v="Beige"/>
    <n v="814"/>
    <s v="Running"/>
    <n v="0"/>
    <n v="0"/>
    <n v="0"/>
    <n v="0"/>
    <n v="0"/>
    <n v="0"/>
    <n v="0"/>
    <n v="0"/>
    <n v="0"/>
    <n v="0"/>
    <n v="0"/>
    <n v="0"/>
    <n v="22.74"/>
    <n v="0.5"/>
    <n v="80"/>
    <n v="8"/>
    <n v="631"/>
    <n v="9"/>
    <n v="631"/>
    <n v="9"/>
    <n v="1.4263074484944533E-2"/>
    <m/>
    <n v="0"/>
    <n v="0"/>
    <n v="4"/>
    <n v="0"/>
    <n v="0"/>
    <n v="5"/>
    <n v="0"/>
    <n v="0"/>
    <n v="0"/>
    <n v="0"/>
    <n v="0"/>
    <n v="0"/>
    <n v="0"/>
    <n v="0"/>
    <n v="0"/>
    <n v="0"/>
    <n v="0"/>
    <n v="1.0106666666666666"/>
    <n v="1.0106666666666666"/>
    <n v="0"/>
    <n v="0"/>
    <n v="0"/>
    <n v="0"/>
    <n v="0"/>
    <n v="1"/>
    <n v="8"/>
    <b v="1"/>
  </r>
  <r>
    <d v="2024-05-09T00:00:00"/>
    <s v="23B"/>
    <x v="6"/>
    <n v="26365"/>
    <s v="Beige"/>
    <n v="814"/>
    <s v="Running"/>
    <n v="22.08"/>
    <n v="8"/>
    <n v="1387"/>
    <n v="8"/>
    <n v="10951"/>
    <n v="145"/>
    <n v="22.08"/>
    <n v="8"/>
    <n v="1359"/>
    <n v="8"/>
    <n v="10727"/>
    <n v="145"/>
    <n v="22.01"/>
    <n v="3"/>
    <n v="452"/>
    <n v="8"/>
    <n v="3546"/>
    <n v="70"/>
    <n v="25224"/>
    <n v="360"/>
    <n v="1.4272121788772598E-2"/>
    <m/>
    <n v="25"/>
    <n v="20"/>
    <n v="10"/>
    <n v="120"/>
    <n v="125"/>
    <n v="60"/>
    <n v="0"/>
    <n v="0"/>
    <n v="0"/>
    <n v="0"/>
    <n v="0"/>
    <n v="0"/>
    <n v="0"/>
    <n v="0"/>
    <n v="0"/>
    <n v="1.0633666666666666"/>
    <n v="1.0418999999999998"/>
    <n v="0.92115925925925934"/>
    <n v="1.0088086419753084"/>
    <n v="0"/>
    <n v="0"/>
    <n v="0"/>
    <n v="1"/>
    <n v="1"/>
    <n v="1"/>
    <n v="8"/>
    <b v="1"/>
  </r>
  <r>
    <d v="2024-05-09T00:00:00"/>
    <s v="23B"/>
    <x v="6"/>
    <n v="27128"/>
    <s v="Beige"/>
    <n v="814"/>
    <s v="Running"/>
    <n v="0"/>
    <n v="0"/>
    <n v="0"/>
    <n v="0"/>
    <n v="0"/>
    <n v="0"/>
    <n v="0"/>
    <n v="0"/>
    <n v="0"/>
    <n v="0"/>
    <n v="0"/>
    <n v="0"/>
    <n v="22.01"/>
    <n v="5"/>
    <n v="644"/>
    <n v="8"/>
    <n v="5077"/>
    <n v="75"/>
    <n v="5077"/>
    <n v="75"/>
    <n v="1.4772503446917471E-2"/>
    <m/>
    <n v="0"/>
    <n v="0"/>
    <n v="15"/>
    <n v="0"/>
    <n v="0"/>
    <n v="60"/>
    <n v="0"/>
    <n v="0"/>
    <n v="0"/>
    <n v="0"/>
    <n v="0"/>
    <n v="0"/>
    <n v="0"/>
    <n v="0"/>
    <n v="0"/>
    <n v="0"/>
    <n v="0"/>
    <n v="0.78746888888888888"/>
    <n v="0.78746888888888888"/>
    <n v="0"/>
    <n v="0"/>
    <n v="0"/>
    <n v="0"/>
    <n v="0"/>
    <n v="1"/>
    <n v="8"/>
    <b v="1"/>
  </r>
  <r>
    <d v="2024-05-09T00:00:00"/>
    <s v="23A"/>
    <x v="7"/>
    <n v="26367"/>
    <s v="Beige"/>
    <n v="814"/>
    <s v="Running"/>
    <n v="21.06"/>
    <n v="8"/>
    <n v="1369"/>
    <n v="8"/>
    <n v="10952"/>
    <m/>
    <n v="21.06"/>
    <n v="8"/>
    <n v="1404"/>
    <n v="8"/>
    <n v="11232"/>
    <m/>
    <n v="21.09"/>
    <n v="8"/>
    <n v="1252"/>
    <n v="8"/>
    <n v="10016"/>
    <m/>
    <n v="32200"/>
    <m/>
    <m/>
    <m/>
    <m/>
    <m/>
    <m/>
    <m/>
    <m/>
    <m/>
    <m/>
    <m/>
    <m/>
    <m/>
    <m/>
    <m/>
    <m/>
    <m/>
    <m/>
    <n v="1.0010812499999999"/>
    <n v="1.026675"/>
    <n v="0.9168291666666667"/>
    <n v="0.98152847222222217"/>
    <n v="0"/>
    <n v="0"/>
    <n v="0"/>
    <n v="1"/>
    <n v="1"/>
    <n v="1"/>
    <n v="8"/>
    <b v="0"/>
  </r>
  <r>
    <d v="2024-05-09T00:00:00"/>
    <s v="24B"/>
    <x v="9"/>
    <s v="27205-1"/>
    <s v="Beige"/>
    <n v="814"/>
    <s v="Running"/>
    <n v="17.940000000000001"/>
    <n v="8"/>
    <n v="1682"/>
    <n v="8"/>
    <n v="13271"/>
    <n v="185"/>
    <n v="17.940000000000001"/>
    <n v="8"/>
    <n v="1669"/>
    <n v="8"/>
    <n v="13167"/>
    <n v="185"/>
    <n v="17.3"/>
    <n v="8"/>
    <n v="1488"/>
    <n v="8"/>
    <n v="11719"/>
    <n v="185"/>
    <n v="38157"/>
    <n v="555"/>
    <n v="1.4545168645333752E-2"/>
    <m/>
    <n v="35"/>
    <n v="30"/>
    <n v="35"/>
    <n v="150"/>
    <n v="155"/>
    <n v="150"/>
    <n v="0"/>
    <n v="0"/>
    <n v="0"/>
    <n v="0"/>
    <n v="0"/>
    <n v="0"/>
    <n v="0"/>
    <n v="0"/>
    <n v="0"/>
    <n v="1.0477458333333334"/>
    <n v="1.0396479166666668"/>
    <n v="0.89383333333333337"/>
    <n v="0.99374236111111125"/>
    <n v="0"/>
    <n v="0"/>
    <n v="0"/>
    <n v="1"/>
    <n v="1"/>
    <n v="1"/>
    <n v="8"/>
    <b v="1"/>
  </r>
  <r>
    <d v="2024-05-10T00:00:00"/>
    <s v="09A"/>
    <x v="0"/>
    <n v="26363"/>
    <s v="Clear"/>
    <n v="814"/>
    <s v="Running"/>
    <n v="16.45"/>
    <n v="8"/>
    <n v="1507"/>
    <n v="16"/>
    <n v="24112"/>
    <m/>
    <n v="0"/>
    <n v="0"/>
    <n v="0"/>
    <n v="0"/>
    <n v="0"/>
    <m/>
    <n v="16.440000000000001"/>
    <n v="8"/>
    <n v="1687"/>
    <n v="16"/>
    <n v="26992"/>
    <m/>
    <n v="51104"/>
    <m/>
    <m/>
    <m/>
    <m/>
    <m/>
    <m/>
    <m/>
    <m/>
    <m/>
    <m/>
    <m/>
    <m/>
    <m/>
    <m/>
    <m/>
    <m/>
    <m/>
    <m/>
    <n v="0.86076909722222217"/>
    <n v="0"/>
    <n v="0.96299583333333338"/>
    <n v="0.91188246527777772"/>
    <n v="0"/>
    <n v="0"/>
    <n v="0"/>
    <n v="1"/>
    <n v="0"/>
    <n v="1"/>
    <n v="16"/>
    <b v="0"/>
  </r>
  <r>
    <d v="2024-05-10T00:00:00"/>
    <s v="11A"/>
    <x v="1"/>
    <n v="26363"/>
    <s v="Clear"/>
    <n v="814"/>
    <s v="Running"/>
    <n v="11.96"/>
    <n v="7.5"/>
    <n v="2149"/>
    <n v="16"/>
    <n v="34384"/>
    <m/>
    <n v="11.98"/>
    <n v="3"/>
    <n v="815"/>
    <n v="16"/>
    <n v="13040"/>
    <m/>
    <n v="0"/>
    <n v="0"/>
    <n v="0"/>
    <n v="0"/>
    <n v="0"/>
    <m/>
    <n v="47424"/>
    <m/>
    <m/>
    <m/>
    <m/>
    <m/>
    <m/>
    <m/>
    <m/>
    <m/>
    <m/>
    <m/>
    <m/>
    <m/>
    <m/>
    <m/>
    <m/>
    <m/>
    <m/>
    <n v="0.95192740740740744"/>
    <n v="0.9040462962962964"/>
    <n v="0"/>
    <n v="0.92798685185185192"/>
    <n v="0"/>
    <n v="0"/>
    <n v="0"/>
    <n v="1"/>
    <n v="1"/>
    <n v="0"/>
    <n v="16"/>
    <b v="0"/>
  </r>
  <r>
    <d v="2024-05-10T00:00:00"/>
    <s v="13B"/>
    <x v="8"/>
    <n v="27209"/>
    <s v="Beige"/>
    <n v="814"/>
    <s v="Running"/>
    <n v="19.61"/>
    <n v="6"/>
    <n v="1083"/>
    <n v="8"/>
    <n v="8509"/>
    <n v="155"/>
    <n v="19.61"/>
    <n v="4"/>
    <n v="752"/>
    <n v="8"/>
    <n v="5961"/>
    <n v="55"/>
    <n v="0"/>
    <n v="0"/>
    <n v="0"/>
    <n v="0"/>
    <n v="0"/>
    <n v="0"/>
    <n v="14470"/>
    <n v="210"/>
    <n v="1.4512785072563926E-2"/>
    <m/>
    <n v="25"/>
    <n v="10"/>
    <n v="0"/>
    <n v="130"/>
    <n v="45"/>
    <n v="0"/>
    <n v="0"/>
    <n v="0"/>
    <n v="0"/>
    <n v="0"/>
    <n v="0"/>
    <n v="0"/>
    <n v="0"/>
    <n v="0"/>
    <n v="0"/>
    <n v="0.98322361111111112"/>
    <n v="1.0240777777777776"/>
    <n v="0"/>
    <n v="1.0036506944444443"/>
    <n v="0"/>
    <n v="0"/>
    <n v="0"/>
    <n v="1"/>
    <n v="1"/>
    <n v="0"/>
    <n v="8"/>
    <b v="1"/>
  </r>
  <r>
    <d v="2024-05-10T00:00:00"/>
    <s v="13B"/>
    <x v="8"/>
    <n v="27269"/>
    <s v="Beige"/>
    <n v="814"/>
    <s v="Running"/>
    <n v="0"/>
    <n v="0"/>
    <n v="0"/>
    <n v="0"/>
    <n v="0"/>
    <n v="0"/>
    <n v="19.61"/>
    <n v="4"/>
    <n v="753"/>
    <n v="8"/>
    <n v="5944"/>
    <n v="80"/>
    <n v="19.600000000000001"/>
    <n v="8"/>
    <n v="1419"/>
    <n v="8"/>
    <n v="11192"/>
    <n v="160"/>
    <n v="17136"/>
    <n v="240"/>
    <n v="1.4005602240896359E-2"/>
    <m/>
    <n v="0"/>
    <n v="15"/>
    <n v="25"/>
    <n v="0"/>
    <n v="65"/>
    <n v="135"/>
    <n v="0"/>
    <n v="0"/>
    <n v="0"/>
    <n v="0"/>
    <n v="0"/>
    <n v="0"/>
    <n v="0"/>
    <n v="0"/>
    <n v="0"/>
    <n v="0"/>
    <n v="1.0254395833333334"/>
    <n v="0.96570833333333339"/>
    <n v="0.9955739583333334"/>
    <n v="0"/>
    <n v="0"/>
    <n v="0"/>
    <n v="0"/>
    <n v="1"/>
    <n v="1"/>
    <n v="8"/>
    <b v="1"/>
  </r>
  <r>
    <d v="2024-05-10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4B"/>
    <x v="3"/>
    <n v="26367"/>
    <s v="Beige"/>
    <n v="814"/>
    <s v="Running"/>
    <n v="19.29"/>
    <n v="8"/>
    <n v="1579"/>
    <n v="8"/>
    <n v="12452"/>
    <n v="180"/>
    <n v="19.29"/>
    <n v="4.25"/>
    <n v="788"/>
    <n v="8"/>
    <n v="6214"/>
    <n v="90"/>
    <n v="0"/>
    <n v="0"/>
    <n v="0"/>
    <n v="0"/>
    <n v="0"/>
    <n v="0"/>
    <n v="18666"/>
    <n v="270"/>
    <n v="1.446480231436837E-2"/>
    <m/>
    <n v="35"/>
    <n v="15"/>
    <n v="0"/>
    <n v="145"/>
    <n v="75"/>
    <n v="0"/>
    <n v="0"/>
    <n v="0"/>
    <n v="0"/>
    <n v="0"/>
    <n v="0"/>
    <n v="0"/>
    <n v="0"/>
    <n v="0"/>
    <n v="0"/>
    <n v="1.0576010416666666"/>
    <n v="0.99349803921568614"/>
    <n v="0"/>
    <n v="1.0255495404411763"/>
    <n v="0"/>
    <n v="0"/>
    <n v="0"/>
    <n v="1"/>
    <n v="1"/>
    <n v="0"/>
    <n v="8"/>
    <b v="1"/>
  </r>
  <r>
    <d v="2024-05-10T00:00:00"/>
    <s v="14B"/>
    <x v="3"/>
    <n v="25151"/>
    <s v="Beige"/>
    <n v="814"/>
    <s v="Running"/>
    <n v="0"/>
    <n v="0"/>
    <n v="0"/>
    <n v="0"/>
    <n v="0"/>
    <n v="0"/>
    <n v="19.29"/>
    <n v="3.75"/>
    <n v="688"/>
    <n v="8"/>
    <n v="5409"/>
    <n v="95"/>
    <n v="16.989999999999998"/>
    <n v="8"/>
    <n v="1761"/>
    <n v="8"/>
    <n v="13923"/>
    <n v="165"/>
    <n v="19332"/>
    <n v="260"/>
    <n v="1.3449203393337472E-2"/>
    <m/>
    <n v="0"/>
    <n v="20"/>
    <n v="30"/>
    <n v="0"/>
    <n v="75"/>
    <n v="135"/>
    <n v="0"/>
    <n v="0"/>
    <n v="0"/>
    <n v="0"/>
    <n v="0"/>
    <n v="0"/>
    <n v="0"/>
    <n v="0"/>
    <n v="0"/>
    <n v="0"/>
    <n v="0.98307555555555548"/>
    <n v="1.0388677083333331"/>
    <n v="1.0109716319444444"/>
    <n v="0"/>
    <n v="0"/>
    <n v="0"/>
    <n v="0"/>
    <n v="1"/>
    <n v="1"/>
    <n v="8"/>
    <b v="1"/>
  </r>
  <r>
    <d v="2024-05-10T00:00:00"/>
    <s v="15B"/>
    <x v="4"/>
    <n v="26367"/>
    <s v="Beige"/>
    <n v="814"/>
    <s v="Running"/>
    <n v="25.89"/>
    <n v="8"/>
    <n v="1095"/>
    <n v="8"/>
    <n v="8635"/>
    <n v="125"/>
    <n v="25.89"/>
    <n v="8"/>
    <n v="1205"/>
    <n v="8"/>
    <n v="9525"/>
    <n v="115"/>
    <n v="25.88"/>
    <n v="8"/>
    <n v="1007"/>
    <n v="8"/>
    <n v="7926"/>
    <n v="130"/>
    <n v="26086"/>
    <n v="370"/>
    <n v="1.4183853407958292E-2"/>
    <m/>
    <n v="20"/>
    <n v="15"/>
    <n v="20"/>
    <n v="105"/>
    <n v="100"/>
    <n v="110"/>
    <n v="0"/>
    <n v="0"/>
    <n v="0"/>
    <n v="0"/>
    <n v="0"/>
    <n v="0"/>
    <n v="0"/>
    <n v="0"/>
    <n v="0"/>
    <n v="0.98435937499999993"/>
    <n v="1.0832447916666668"/>
    <n v="0.90490138888888894"/>
    <n v="0.9908351851851851"/>
    <n v="0"/>
    <n v="0"/>
    <n v="0"/>
    <n v="1"/>
    <n v="1"/>
    <n v="1"/>
    <n v="8"/>
    <b v="1"/>
  </r>
  <r>
    <d v="2024-05-10T00:00:00"/>
    <s v="22B"/>
    <x v="5"/>
    <n v="27128"/>
    <s v="Beige"/>
    <n v="814"/>
    <s v="Running"/>
    <n v="22.69"/>
    <n v="8"/>
    <n v="1209"/>
    <n v="8"/>
    <n v="9532"/>
    <n v="140"/>
    <n v="22.78"/>
    <n v="8"/>
    <n v="1368"/>
    <n v="8"/>
    <n v="10814"/>
    <n v="130"/>
    <n v="228"/>
    <n v="8"/>
    <n v="1093"/>
    <n v="8"/>
    <n v="8604"/>
    <n v="140"/>
    <n v="28950"/>
    <n v="410"/>
    <n v="1.4162348877374784E-2"/>
    <m/>
    <n v="25"/>
    <n v="20"/>
    <n v="25"/>
    <n v="115"/>
    <n v="110"/>
    <n v="115"/>
    <n v="0"/>
    <n v="0"/>
    <n v="0"/>
    <n v="0"/>
    <n v="0"/>
    <n v="0"/>
    <n v="0"/>
    <n v="0"/>
    <n v="0"/>
    <n v="0.95250729166666681"/>
    <n v="1.08205"/>
    <n v="8.6529166666666661"/>
    <n v="3.5624913194444443"/>
    <n v="0"/>
    <n v="0"/>
    <n v="0"/>
    <n v="1"/>
    <n v="1"/>
    <n v="1"/>
    <n v="8"/>
    <b v="1"/>
  </r>
  <r>
    <d v="2024-05-10T00:00:00"/>
    <s v="23B"/>
    <x v="6"/>
    <n v="27128"/>
    <s v="Beige"/>
    <n v="814"/>
    <s v="Running"/>
    <n v="21.99"/>
    <n v="6"/>
    <n v="1136"/>
    <n v="8"/>
    <n v="9088"/>
    <n v="0"/>
    <n v="21.99"/>
    <n v="6"/>
    <n v="1264"/>
    <n v="8"/>
    <n v="10112"/>
    <n v="0"/>
    <n v="18.66"/>
    <n v="8"/>
    <n v="1615"/>
    <n v="8"/>
    <n v="12920"/>
    <n v="0"/>
    <n v="32120"/>
    <n v="0"/>
    <n v="0"/>
    <m/>
    <n v="0"/>
    <n v="0"/>
    <n v="0"/>
    <n v="0"/>
    <n v="0"/>
    <n v="0"/>
    <n v="0"/>
    <n v="0"/>
    <n v="0"/>
    <n v="0"/>
    <n v="0"/>
    <n v="0"/>
    <n v="0"/>
    <n v="0"/>
    <n v="0"/>
    <n v="1.156511111111111"/>
    <n v="1.2868222222222221"/>
    <n v="1.0463854166666666"/>
    <n v="1.1632395833333333"/>
    <n v="0"/>
    <n v="0"/>
    <n v="0"/>
    <n v="1"/>
    <n v="1"/>
    <n v="1"/>
    <n v="8"/>
    <b v="1"/>
  </r>
  <r>
    <d v="2024-05-10T00:00:00"/>
    <s v="23A"/>
    <x v="7"/>
    <s v="26362-2"/>
    <s v="Beige"/>
    <n v="814"/>
    <s v="Running"/>
    <n v="21.62"/>
    <n v="1.75"/>
    <n v="277"/>
    <n v="16"/>
    <n v="4432"/>
    <m/>
    <n v="21.61"/>
    <n v="8"/>
    <n v="1378"/>
    <n v="16"/>
    <n v="22048"/>
    <m/>
    <n v="21.6"/>
    <n v="8"/>
    <n v="1328"/>
    <n v="16"/>
    <n v="21248"/>
    <m/>
    <n v="47728"/>
    <m/>
    <m/>
    <m/>
    <m/>
    <m/>
    <m/>
    <m/>
    <m/>
    <m/>
    <m/>
    <m/>
    <m/>
    <m/>
    <m/>
    <m/>
    <m/>
    <m/>
    <m/>
    <n v="0.95059365079365088"/>
    <n v="1.0339784722222221"/>
    <n v="0.99600000000000011"/>
    <n v="0.99352404100529101"/>
    <n v="0"/>
    <n v="0"/>
    <n v="0"/>
    <n v="1"/>
    <n v="1"/>
    <n v="1"/>
    <n v="16"/>
    <b v="0"/>
  </r>
  <r>
    <d v="2024-05-10T00:00:00"/>
    <s v="24B"/>
    <x v="9"/>
    <s v="27205-1"/>
    <s v="Beige"/>
    <n v="814"/>
    <s v="Running"/>
    <n v="17.05"/>
    <n v="5.5"/>
    <n v="1123"/>
    <n v="8"/>
    <n v="8884"/>
    <n v="100"/>
    <n v="0"/>
    <n v="0"/>
    <n v="0"/>
    <n v="0"/>
    <n v="0"/>
    <n v="0"/>
    <n v="16.690000000000001"/>
    <n v="8"/>
    <n v="1345"/>
    <n v="8"/>
    <n v="10580"/>
    <n v="180"/>
    <n v="19464"/>
    <n v="280"/>
    <n v="1.4385532264693794E-2"/>
    <m/>
    <n v="25"/>
    <n v="0"/>
    <n v="35"/>
    <n v="75"/>
    <n v="0"/>
    <n v="145"/>
    <n v="0"/>
    <n v="0"/>
    <n v="0"/>
    <n v="0"/>
    <n v="0"/>
    <n v="0"/>
    <n v="0"/>
    <n v="0"/>
    <n v="0"/>
    <n v="0.96702777777777782"/>
    <n v="0"/>
    <n v="0.7794461805555557"/>
    <n v="0.87323697916666676"/>
    <n v="0"/>
    <n v="0"/>
    <n v="0"/>
    <n v="1"/>
    <n v="0"/>
    <n v="1"/>
    <n v="8"/>
    <b v="1"/>
  </r>
  <r>
    <d v="2024-05-10T00:00:00"/>
    <s v="24B"/>
    <x v="9"/>
    <n v="27209"/>
    <s v="Beige"/>
    <n v="814"/>
    <s v="Running"/>
    <n v="17.05"/>
    <n v="2.5"/>
    <n v="507"/>
    <n v="8"/>
    <n v="3991"/>
    <n v="65"/>
    <n v="16.7"/>
    <n v="8"/>
    <n v="1761"/>
    <n v="8"/>
    <n v="13898"/>
    <n v="190"/>
    <n v="0"/>
    <n v="0"/>
    <n v="0"/>
    <n v="0"/>
    <n v="0"/>
    <n v="0"/>
    <n v="17889"/>
    <n v="255"/>
    <n v="1.4254569847392252E-2"/>
    <m/>
    <n v="20"/>
    <n v="40"/>
    <n v="0"/>
    <n v="45"/>
    <n v="150"/>
    <n v="0"/>
    <n v="0"/>
    <n v="0"/>
    <n v="0"/>
    <n v="0"/>
    <n v="0"/>
    <n v="0"/>
    <n v="0"/>
    <n v="0"/>
    <n v="0"/>
    <n v="0.96048333333333336"/>
    <n v="1.0211354166666666"/>
    <n v="0"/>
    <n v="0.99080937499999999"/>
    <n v="0"/>
    <n v="0"/>
    <n v="0"/>
    <n v="1"/>
    <n v="1"/>
    <n v="0"/>
    <n v="8"/>
    <b v="1"/>
  </r>
  <r>
    <d v="2024-05-11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1A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3B"/>
    <x v="8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18A"/>
    <x v="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1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22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23B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2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24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">
  <r>
    <x v="0"/>
    <s v="Final ASS"/>
    <s v="26367-1"/>
    <s v="Dr.Squatch"/>
    <s v="Running"/>
    <n v="41"/>
    <n v="23"/>
    <n v="0"/>
    <n v="15597"/>
    <n v="19"/>
    <m/>
    <n v="244"/>
  </r>
  <r>
    <x v="0"/>
    <s v="Final ASS"/>
    <s v="25151-2"/>
    <s v="Dr.Squatch"/>
    <s v="Running"/>
    <n v="21"/>
    <n v="17"/>
    <n v="0"/>
    <n v="9261"/>
    <n v="11"/>
    <m/>
    <n v="244"/>
  </r>
  <r>
    <x v="0"/>
    <s v="Final ASS"/>
    <s v="26367-5"/>
    <s v="Dr.Squatch"/>
    <s v="Running"/>
    <n v="32"/>
    <n v="0"/>
    <n v="0"/>
    <n v="7799"/>
    <n v="9"/>
    <m/>
    <n v="244"/>
  </r>
  <r>
    <x v="0"/>
    <s v="Final ASS"/>
    <s v="26363-5"/>
    <s v="Dr.Squatch"/>
    <s v="Running"/>
    <n v="6"/>
    <n v="39"/>
    <n v="34"/>
    <n v="19254"/>
    <n v="22"/>
    <m/>
    <n v="244"/>
  </r>
  <r>
    <x v="1"/>
    <s v="Final ASS"/>
    <s v="26367-1"/>
    <s v="Dr.Squatch"/>
    <s v="Running"/>
    <n v="41"/>
    <n v="16"/>
    <n v="0"/>
    <n v="13897"/>
    <n v="11"/>
    <m/>
    <n v="244"/>
  </r>
  <r>
    <x v="1"/>
    <s v="Final ASS"/>
    <s v="25151-2"/>
    <s v="Dr.Squatch"/>
    <s v="Running"/>
    <n v="23"/>
    <n v="15"/>
    <n v="0"/>
    <n v="9265"/>
    <n v="7"/>
    <m/>
    <n v="244"/>
  </r>
  <r>
    <x v="1"/>
    <s v="Final ASS"/>
    <s v="26367-2"/>
    <s v="Dr.Squatch"/>
    <s v="Running"/>
    <n v="0"/>
    <n v="5"/>
    <n v="0"/>
    <n v="1219"/>
    <n v="1"/>
    <m/>
    <n v="244"/>
  </r>
  <r>
    <x v="1"/>
    <s v="Final ASS"/>
    <s v="26363-5"/>
    <s v="Dr.Squatch"/>
    <s v="Running"/>
    <n v="41"/>
    <n v="27"/>
    <n v="11"/>
    <n v="19260"/>
    <n v="16"/>
    <s v="Shift-3 貨不足，挑螺絲挑貨"/>
    <n v="244"/>
  </r>
  <r>
    <x v="2"/>
    <s v="Final ASS"/>
    <s v="26367-2"/>
    <s v="Dr.Squatch"/>
    <s v="Running"/>
    <n v="31"/>
    <n v="30"/>
    <n v="0"/>
    <n v="14869"/>
    <n v="15"/>
    <m/>
    <n v="244"/>
  </r>
  <r>
    <x v="2"/>
    <s v="Final ASS"/>
    <s v="25151-2"/>
    <s v="Dr.Squatch"/>
    <s v="Running"/>
    <n v="23"/>
    <n v="13"/>
    <n v="0"/>
    <n v="8779"/>
    <n v="5"/>
    <m/>
    <n v="244"/>
  </r>
  <r>
    <x v="2"/>
    <s v="Final ASS"/>
    <s v="26363-5"/>
    <s v="Dr.Squatch"/>
    <s v="Running"/>
    <n v="19"/>
    <n v="1"/>
    <n v="0"/>
    <n v="4878"/>
    <n v="2"/>
    <m/>
    <n v="244"/>
  </r>
  <r>
    <x v="2"/>
    <s v="Final ASS"/>
    <s v="26366-1"/>
    <s v="Dr.Squatch"/>
    <s v="Running"/>
    <n v="0"/>
    <n v="30"/>
    <n v="18"/>
    <n v="11700"/>
    <n v="12"/>
    <m/>
    <n v="244"/>
  </r>
  <r>
    <x v="3"/>
    <s v="Final ASS"/>
    <s v="26367-2"/>
    <s v="Dr.Squatch"/>
    <s v="Running"/>
    <n v="30"/>
    <n v="32"/>
    <n v="0"/>
    <n v="15118"/>
    <n v="10"/>
    <m/>
    <n v="244"/>
  </r>
  <r>
    <x v="3"/>
    <s v="Final ASS"/>
    <s v="25151-2"/>
    <s v="Dr.Squatch"/>
    <s v="Running"/>
    <n v="22"/>
    <n v="15"/>
    <n v="0"/>
    <n v="9020"/>
    <n v="8"/>
    <m/>
    <n v="244"/>
  </r>
  <r>
    <x v="3"/>
    <s v="Final ASS"/>
    <s v="26363-5"/>
    <s v="Dr.Squatch"/>
    <s v="Running"/>
    <n v="32"/>
    <n v="0"/>
    <n v="0"/>
    <n v="7802"/>
    <n v="6"/>
    <m/>
    <n v="244"/>
  </r>
  <r>
    <x v="3"/>
    <s v="Final ASS"/>
    <s v="26363-8"/>
    <s v="Dr.Squatch"/>
    <s v="Running"/>
    <n v="16"/>
    <n v="16"/>
    <n v="0"/>
    <n v="7802"/>
    <n v="6"/>
    <m/>
    <n v="244"/>
  </r>
  <r>
    <x v="3"/>
    <s v="Final ASS"/>
    <s v="26363-6"/>
    <s v="Dr.Squatch"/>
    <s v="Running"/>
    <n v="0"/>
    <n v="25"/>
    <n v="23"/>
    <n v="11702"/>
    <n v="10"/>
    <m/>
    <n v="244"/>
  </r>
  <r>
    <x v="3"/>
    <s v="Final ASS"/>
    <n v="26365"/>
    <s v="Dr.Squatch"/>
    <s v="Running"/>
    <n v="0"/>
    <n v="29"/>
    <n v="0"/>
    <n v="7070"/>
    <n v="6"/>
    <m/>
    <n v="244"/>
  </r>
  <r>
    <x v="4"/>
    <s v="Final ASS"/>
    <s v="26367-2"/>
    <s v="Dr.Squatch"/>
    <s v="Running"/>
    <n v="15"/>
    <n v="24"/>
    <n v="0"/>
    <n v="9511"/>
    <n v="5"/>
    <m/>
    <n v="244"/>
  </r>
  <r>
    <x v="4"/>
    <s v="Final ASS"/>
    <s v="25151-2"/>
    <s v="Dr.Squatch"/>
    <s v="Running"/>
    <n v="32"/>
    <n v="15"/>
    <n v="0"/>
    <n v="11460"/>
    <n v="8"/>
    <m/>
    <n v="244"/>
  </r>
  <r>
    <x v="4"/>
    <s v="Final ASS"/>
    <s v="26363-6"/>
    <s v="Dr.Squatch"/>
    <s v="Running"/>
    <n v="39"/>
    <n v="23"/>
    <n v="1"/>
    <n v="15362"/>
    <n v="10"/>
    <m/>
    <n v="244"/>
  </r>
  <r>
    <x v="4"/>
    <s v="Final ASS"/>
    <n v="26365"/>
    <s v="Dr.Squatch"/>
    <s v="Running"/>
    <n v="32"/>
    <n v="67"/>
    <n v="0"/>
    <n v="24141"/>
    <n v="15"/>
    <m/>
    <n v="244"/>
  </r>
  <r>
    <x v="4"/>
    <s v="Final ASS"/>
    <s v="26367-5"/>
    <s v="Dr.Squatch"/>
    <s v="Running"/>
    <n v="0"/>
    <n v="0"/>
    <n v="31"/>
    <n v="7558"/>
    <n v="6"/>
    <m/>
    <n v="244"/>
  </r>
  <r>
    <x v="5"/>
    <s v="Final ASS"/>
    <s v="26367-2"/>
    <s v="Dr.Squatch"/>
    <s v="Running"/>
    <n v="22"/>
    <n v="2"/>
    <n v="0"/>
    <n v="5855"/>
    <n v="1"/>
    <m/>
    <n v="244"/>
  </r>
  <r>
    <x v="5"/>
    <s v="Final ASS"/>
    <s v="25151-2"/>
    <s v="Dr.Squatch"/>
    <s v="Running"/>
    <n v="23"/>
    <n v="9"/>
    <n v="0"/>
    <n v="7806"/>
    <n v="2"/>
    <m/>
    <n v="244"/>
  </r>
  <r>
    <x v="5"/>
    <s v="Final ASS"/>
    <s v="26367-3"/>
    <s v="Dr.Squatch"/>
    <s v="Running"/>
    <n v="0"/>
    <n v="20"/>
    <n v="0"/>
    <n v="4879"/>
    <n v="1"/>
    <m/>
    <n v="244"/>
  </r>
  <r>
    <x v="5"/>
    <s v="Final ASS"/>
    <s v="25152-2"/>
    <s v="Dr.Squatch"/>
    <s v="Running"/>
    <n v="0"/>
    <n v="4"/>
    <n v="0"/>
    <n v="975"/>
    <n v="1"/>
    <m/>
    <n v="244"/>
  </r>
  <r>
    <x v="5"/>
    <s v="Final ASS"/>
    <n v="27203"/>
    <s v="Dr.Squatch"/>
    <s v="Running"/>
    <n v="57"/>
    <n v="43"/>
    <n v="12"/>
    <n v="27320"/>
    <n v="8"/>
    <m/>
    <n v="244"/>
  </r>
  <r>
    <x v="5"/>
    <s v="Final ASS"/>
    <s v="26367-5"/>
    <s v="Dr.Squatch"/>
    <s v="Running"/>
    <n v="17"/>
    <n v="56"/>
    <n v="22"/>
    <n v="23175"/>
    <n v="5"/>
    <m/>
    <n v="244"/>
  </r>
  <r>
    <x v="5"/>
    <s v="Final ASS"/>
    <s v="26363-6"/>
    <s v="Dr.Squatch"/>
    <s v="Running"/>
    <n v="15"/>
    <n v="0"/>
    <n v="0"/>
    <n v="3659"/>
    <n v="1"/>
    <m/>
    <n v="244"/>
  </r>
  <r>
    <x v="6"/>
    <s v="Final ASS"/>
    <s v="26367-3"/>
    <s v="Dr.Squatch"/>
    <s v="Running"/>
    <n v="31"/>
    <n v="27"/>
    <n v="0"/>
    <n v="14144"/>
    <n v="8"/>
    <m/>
    <n v="244"/>
  </r>
  <r>
    <x v="6"/>
    <s v="Final ASS"/>
    <s v="25152-2"/>
    <s v="Dr.Squatch"/>
    <s v="Running"/>
    <n v="23"/>
    <n v="8"/>
    <n v="0"/>
    <n v="7562"/>
    <n v="2"/>
    <m/>
    <n v="244"/>
  </r>
  <r>
    <x v="6"/>
    <s v="Final ASS"/>
    <n v="27203"/>
    <s v="Dr.Squatch"/>
    <s v="Running"/>
    <n v="32"/>
    <n v="51"/>
    <n v="0"/>
    <n v="20242"/>
    <n v="10"/>
    <m/>
    <n v="244"/>
  </r>
  <r>
    <x v="6"/>
    <s v="Final ASS"/>
    <s v="26367-5"/>
    <s v="Dr.Squatch"/>
    <s v="Running"/>
    <n v="18"/>
    <n v="0"/>
    <n v="0"/>
    <n v="4390"/>
    <n v="2"/>
    <m/>
    <n v="244"/>
  </r>
  <r>
    <x v="6"/>
    <s v="Final ASS"/>
    <s v="26367-6"/>
    <s v="Dr.Squatch"/>
    <s v="Running"/>
    <n v="25"/>
    <n v="48"/>
    <n v="39"/>
    <n v="27316"/>
    <n v="12"/>
    <m/>
    <n v="244"/>
  </r>
  <r>
    <x v="7"/>
    <s v="Final ASS"/>
    <s v="26367-3"/>
    <s v="Dr.Squatch"/>
    <s v="Running"/>
    <n v="18"/>
    <n v="49"/>
    <n v="0"/>
    <n v="16343"/>
    <n v="5"/>
    <m/>
    <n v="244"/>
  </r>
  <r>
    <x v="7"/>
    <s v="Final ASS"/>
    <s v="25152-2"/>
    <s v="Dr.Squatch"/>
    <s v="Running"/>
    <n v="29"/>
    <n v="12"/>
    <n v="0"/>
    <n v="10001"/>
    <n v="3"/>
    <m/>
    <n v="244"/>
  </r>
  <r>
    <x v="7"/>
    <s v="Final ASS"/>
    <n v="27203"/>
    <s v="Dr.Squatch"/>
    <s v="Running"/>
    <n v="13"/>
    <n v="0"/>
    <n v="0"/>
    <n v="3171"/>
    <n v="1"/>
    <m/>
    <n v="244"/>
  </r>
  <r>
    <x v="7"/>
    <s v="Final ASS"/>
    <s v="27203-1"/>
    <s v="Dr.Squatch"/>
    <s v="Running"/>
    <n v="36"/>
    <n v="109"/>
    <n v="0"/>
    <n v="35369"/>
    <n v="11"/>
    <m/>
    <n v="244"/>
  </r>
  <r>
    <x v="7"/>
    <s v="Final ASS"/>
    <s v="26367-6"/>
    <s v="Dr.Squatch"/>
    <s v="Running"/>
    <n v="22"/>
    <n v="19"/>
    <n v="39"/>
    <n v="19514"/>
    <n v="6"/>
    <m/>
    <n v="244"/>
  </r>
  <r>
    <x v="8"/>
    <s v="Final ASS"/>
    <s v="27203-1"/>
    <s v="Dr.Squatch"/>
    <s v="Running"/>
    <n v="33"/>
    <n v="34"/>
    <n v="0"/>
    <n v="16337"/>
    <n v="11"/>
    <m/>
    <n v="244"/>
  </r>
  <r>
    <x v="8"/>
    <s v="Final ASS"/>
    <s v="27205-1"/>
    <s v="Dr.Squatch"/>
    <s v="Running"/>
    <n v="8"/>
    <n v="56"/>
    <n v="0"/>
    <n v="15606"/>
    <n v="10"/>
    <m/>
    <n v="244"/>
  </r>
  <r>
    <x v="8"/>
    <s v="Final ASS"/>
    <n v="26365"/>
    <s v="Dr.Squatch"/>
    <s v="Running"/>
    <n v="5"/>
    <n v="59"/>
    <n v="43"/>
    <n v="26090"/>
    <n v="18"/>
    <m/>
    <n v="244"/>
  </r>
  <r>
    <x v="8"/>
    <s v="Final ASS"/>
    <s v="27367-3"/>
    <s v="Dr.Squatch"/>
    <s v="Running"/>
    <n v="31"/>
    <n v="32"/>
    <n v="0"/>
    <n v="15343"/>
    <n v="29"/>
    <m/>
    <n v="244"/>
  </r>
  <r>
    <x v="8"/>
    <s v="Final ASS"/>
    <n v="25152"/>
    <s v="Dr.Squatch"/>
    <s v="Running"/>
    <n v="20"/>
    <n v="5"/>
    <n v="0"/>
    <n v="6089"/>
    <n v="11"/>
    <m/>
    <n v="244"/>
  </r>
  <r>
    <x v="9"/>
    <s v="Final ASS"/>
    <n v="26365"/>
    <s v="Dr.Squatch"/>
    <s v="Running"/>
    <n v="5"/>
    <n v="21"/>
    <n v="0"/>
    <n v="6340"/>
    <n v="4"/>
    <m/>
    <n v="244"/>
  </r>
  <r>
    <x v="9"/>
    <s v="Final ASS"/>
    <s v="27205-1"/>
    <s v="Dr.Squatch"/>
    <s v="Running"/>
    <n v="46"/>
    <n v="61"/>
    <n v="0"/>
    <n v="26091"/>
    <n v="17"/>
    <m/>
    <n v="244"/>
  </r>
  <r>
    <x v="9"/>
    <s v="Final ASS"/>
    <n v="27128"/>
    <s v="Dr.Squatch"/>
    <s v="Running"/>
    <n v="0"/>
    <n v="28"/>
    <n v="31"/>
    <n v="14386"/>
    <n v="10"/>
    <m/>
    <n v="244"/>
  </r>
  <r>
    <x v="9"/>
    <s v="Final ASS"/>
    <s v="25152-2"/>
    <s v="Dr.Squatch"/>
    <s v="Running"/>
    <n v="32"/>
    <n v="22"/>
    <n v="0"/>
    <n v="13163"/>
    <n v="13"/>
    <m/>
    <n v="244"/>
  </r>
  <r>
    <x v="9"/>
    <s v="Final ASS"/>
    <s v="26367-4"/>
    <s v="Dr.Squatch"/>
    <s v="Running"/>
    <n v="32"/>
    <n v="34"/>
    <n v="0"/>
    <n v="16088"/>
    <n v="16"/>
    <m/>
    <n v="244"/>
  </r>
  <r>
    <x v="10"/>
    <s v="Final ASS"/>
    <m/>
    <m/>
    <s v="Down"/>
    <n v="0"/>
    <n v="0"/>
    <n v="0"/>
    <n v="0"/>
    <n v="0"/>
    <m/>
    <n v="244"/>
  </r>
  <r>
    <x v="11"/>
    <s v="Final ASS"/>
    <m/>
    <m/>
    <s v="Down"/>
    <n v="0"/>
    <n v="0"/>
    <n v="0"/>
    <n v="0"/>
    <n v="0"/>
    <m/>
    <n v="244"/>
  </r>
  <r>
    <x v="12"/>
    <s v="Final ASS"/>
    <m/>
    <m/>
    <s v="Down"/>
    <n v="0"/>
    <n v="0"/>
    <n v="0"/>
    <n v="0"/>
    <n v="0"/>
    <m/>
    <n v="244"/>
  </r>
  <r>
    <x v="13"/>
    <s v="Final ASS"/>
    <m/>
    <m/>
    <s v="Down"/>
    <n v="0"/>
    <n v="0"/>
    <n v="0"/>
    <n v="0"/>
    <n v="0"/>
    <m/>
    <n v="244"/>
  </r>
  <r>
    <x v="14"/>
    <s v="Final ASS"/>
    <m/>
    <m/>
    <s v="Down"/>
    <n v="0"/>
    <n v="0"/>
    <n v="0"/>
    <n v="0"/>
    <n v="0"/>
    <m/>
    <n v="244"/>
  </r>
  <r>
    <x v="15"/>
    <s v="Final ASS"/>
    <m/>
    <m/>
    <s v="Down"/>
    <n v="0"/>
    <n v="0"/>
    <n v="0"/>
    <n v="0"/>
    <n v="0"/>
    <m/>
    <n v="244"/>
  </r>
  <r>
    <x v="16"/>
    <s v="Final ASS"/>
    <m/>
    <m/>
    <s v="Down"/>
    <n v="0"/>
    <n v="0"/>
    <n v="0"/>
    <n v="0"/>
    <n v="0"/>
    <m/>
    <n v="244"/>
  </r>
  <r>
    <x v="17"/>
    <s v="Final ASS"/>
    <m/>
    <m/>
    <s v="Down"/>
    <n v="0"/>
    <n v="0"/>
    <n v="0"/>
    <n v="0"/>
    <n v="0"/>
    <m/>
    <n v="244"/>
  </r>
  <r>
    <x v="18"/>
    <s v="Final ASS"/>
    <m/>
    <m/>
    <s v="Down"/>
    <n v="0"/>
    <n v="0"/>
    <n v="0"/>
    <n v="0"/>
    <n v="0"/>
    <m/>
    <n v="244"/>
  </r>
  <r>
    <x v="19"/>
    <s v="Final ASS"/>
    <m/>
    <m/>
    <s v="Down"/>
    <n v="0"/>
    <n v="0"/>
    <n v="0"/>
    <n v="0"/>
    <n v="0"/>
    <m/>
    <n v="244"/>
  </r>
  <r>
    <x v="20"/>
    <s v="Final ASS"/>
    <m/>
    <m/>
    <s v="Down"/>
    <n v="0"/>
    <n v="0"/>
    <n v="0"/>
    <n v="0"/>
    <n v="0"/>
    <m/>
    <n v="244"/>
  </r>
  <r>
    <x v="21"/>
    <s v="Final ASS"/>
    <m/>
    <m/>
    <s v="Down"/>
    <n v="0"/>
    <n v="0"/>
    <n v="0"/>
    <n v="0"/>
    <n v="0"/>
    <m/>
    <n v="244"/>
  </r>
  <r>
    <x v="22"/>
    <s v="Final ASS"/>
    <m/>
    <m/>
    <s v="Down"/>
    <n v="0"/>
    <n v="0"/>
    <n v="0"/>
    <n v="0"/>
    <n v="0"/>
    <m/>
    <n v="244"/>
  </r>
  <r>
    <x v="23"/>
    <s v="Final ASS"/>
    <m/>
    <m/>
    <s v="Down"/>
    <n v="0"/>
    <n v="0"/>
    <n v="0"/>
    <n v="0"/>
    <n v="0"/>
    <m/>
    <n v="244"/>
  </r>
  <r>
    <x v="24"/>
    <s v="Final ASS"/>
    <m/>
    <m/>
    <s v="Down"/>
    <n v="0"/>
    <n v="0"/>
    <n v="0"/>
    <n v="0"/>
    <n v="0"/>
    <m/>
    <n v="244"/>
  </r>
  <r>
    <x v="25"/>
    <s v="Final ASS"/>
    <m/>
    <m/>
    <s v="Down"/>
    <n v="0"/>
    <n v="0"/>
    <n v="0"/>
    <n v="0"/>
    <n v="0"/>
    <m/>
    <n v="244"/>
  </r>
  <r>
    <x v="26"/>
    <s v="Final ASS"/>
    <m/>
    <m/>
    <s v="Down"/>
    <n v="0"/>
    <n v="0"/>
    <n v="0"/>
    <n v="0"/>
    <n v="0"/>
    <m/>
    <n v="244"/>
  </r>
  <r>
    <x v="27"/>
    <s v="Final ASS"/>
    <m/>
    <m/>
    <s v="Down"/>
    <n v="0"/>
    <n v="0"/>
    <n v="0"/>
    <n v="0"/>
    <n v="0"/>
    <m/>
    <n v="244"/>
  </r>
  <r>
    <x v="28"/>
    <s v="Final ASS"/>
    <m/>
    <m/>
    <s v="Down"/>
    <n v="0"/>
    <n v="0"/>
    <n v="0"/>
    <n v="0"/>
    <n v="0"/>
    <m/>
    <n v="244"/>
  </r>
  <r>
    <x v="29"/>
    <s v="Final ASS"/>
    <m/>
    <m/>
    <s v="Down"/>
    <n v="0"/>
    <n v="0"/>
    <n v="0"/>
    <n v="0"/>
    <n v="0"/>
    <m/>
    <n v="244"/>
  </r>
  <r>
    <x v="30"/>
    <s v="Final ASS"/>
    <m/>
    <m/>
    <s v="Down"/>
    <n v="0"/>
    <n v="0"/>
    <n v="0"/>
    <n v="0"/>
    <n v="0"/>
    <m/>
    <n v="2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29">
        <item h="1" m="1" x="12"/>
        <item h="1" m="1" x="14"/>
        <item h="1" m="1" x="27"/>
        <item h="1" m="1" x="10"/>
        <item h="1" m="1" x="23"/>
        <item h="1" m="1" x="24"/>
        <item h="1" m="1" x="20"/>
        <item h="1" m="1" x="26"/>
        <item h="1" m="1" x="11"/>
        <item h="1" m="1" x="21"/>
        <item h="1" m="1" x="22"/>
        <item h="1" m="1" x="18"/>
        <item h="1" m="1" x="19"/>
        <item h="1" m="1" x="17"/>
        <item h="1" m="1" x="16"/>
        <item h="1" m="1" x="15"/>
        <item h="1" m="1" x="13"/>
        <item h="1" m="1" x="25"/>
        <item h="1" x="0"/>
        <item h="1" x="1"/>
        <item h="1" x="2"/>
        <item x="4"/>
        <item h="1" x="3"/>
        <item h="1" x="7"/>
        <item h="1" x="5"/>
        <item h="1" x="6"/>
        <item h="1" x="8"/>
        <item h="1" x="9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 v="2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7" baseField="2" baseItem="0" numFmtId="4"/>
    <dataField name="Sum of CycleNotZero" fld="58" baseField="2" baseItem="0" numFmtId="3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12" firstHeaderRow="1" firstDataRow="1" firstDataCol="1"/>
  <pivotFields count="12">
    <pivotField axis="axisRow" numFmtId="167" showAll="0">
      <items count="336">
        <item m="1" x="220"/>
        <item m="1" x="45"/>
        <item m="1" x="173"/>
        <item m="1" x="302"/>
        <item m="1" x="126"/>
        <item m="1" x="254"/>
        <item m="1" x="79"/>
        <item m="1" x="207"/>
        <item m="1" x="31"/>
        <item m="1" x="158"/>
        <item m="1" x="287"/>
        <item m="1" x="111"/>
        <item m="1" x="241"/>
        <item m="1" x="66"/>
        <item m="1" x="193"/>
        <item m="1" x="322"/>
        <item m="1" x="145"/>
        <item m="1" x="274"/>
        <item m="1" x="97"/>
        <item m="1" x="227"/>
        <item m="1" x="52"/>
        <item m="1" x="180"/>
        <item m="1" x="309"/>
        <item m="1" x="132"/>
        <item m="1" x="261"/>
        <item m="1" x="86"/>
        <item m="1" x="214"/>
        <item m="1" x="38"/>
        <item m="1" x="166"/>
        <item m="1" x="295"/>
        <item m="1" x="119"/>
        <item m="1" x="188"/>
        <item m="1" x="317"/>
        <item m="1" x="140"/>
        <item m="1" x="269"/>
        <item m="1" x="93"/>
        <item m="1" x="222"/>
        <item m="1" x="47"/>
        <item m="1" x="175"/>
        <item m="1" x="304"/>
        <item m="1" x="128"/>
        <item m="1" x="257"/>
        <item m="1" x="82"/>
        <item m="1" x="210"/>
        <item m="1" x="34"/>
        <item m="1" x="162"/>
        <item m="1" x="291"/>
        <item m="1" x="115"/>
        <item m="1" x="245"/>
        <item m="1" x="70"/>
        <item m="1" x="198"/>
        <item m="1" x="327"/>
        <item m="1" x="150"/>
        <item m="1" x="279"/>
        <item m="1" x="103"/>
        <item m="1" x="233"/>
        <item m="1" x="58"/>
        <item m="1" x="186"/>
        <item m="1" x="315"/>
        <item m="1" x="138"/>
        <item m="1" x="267"/>
        <item m="1" x="159"/>
        <item m="1" x="288"/>
        <item m="1" x="112"/>
        <item m="1" x="242"/>
        <item m="1" x="67"/>
        <item m="1" x="194"/>
        <item m="1" x="323"/>
        <item m="1" x="146"/>
        <item m="1" x="275"/>
        <item m="1" x="98"/>
        <item m="1" x="228"/>
        <item m="1" x="53"/>
        <item m="1" x="181"/>
        <item m="1" x="310"/>
        <item m="1" x="133"/>
        <item m="1" x="262"/>
        <item m="1" x="87"/>
        <item m="1" x="215"/>
        <item m="1" x="39"/>
        <item m="1" x="167"/>
        <item m="1" x="296"/>
        <item m="1" x="120"/>
        <item m="1" x="248"/>
        <item m="1" x="73"/>
        <item m="1" x="201"/>
        <item m="1" x="330"/>
        <item m="1" x="153"/>
        <item m="1" x="282"/>
        <item m="1" x="106"/>
        <item m="1" x="236"/>
        <item m="1" x="61"/>
        <item m="1" x="99"/>
        <item m="1" x="229"/>
        <item m="1" x="54"/>
        <item m="1" x="182"/>
        <item m="1" x="311"/>
        <item m="1" x="134"/>
        <item m="1" x="263"/>
        <item m="1" x="88"/>
        <item m="1" x="216"/>
        <item m="1" x="40"/>
        <item m="1" x="168"/>
        <item m="1" x="297"/>
        <item m="1" x="121"/>
        <item m="1" x="249"/>
        <item m="1" x="74"/>
        <item m="1" x="202"/>
        <item m="1" x="331"/>
        <item m="1" x="154"/>
        <item m="1" x="283"/>
        <item m="1" x="107"/>
        <item m="1" x="237"/>
        <item m="1" x="62"/>
        <item m="1" x="189"/>
        <item m="1" x="318"/>
        <item m="1" x="141"/>
        <item m="1" x="270"/>
        <item m="1" x="94"/>
        <item m="1" x="223"/>
        <item m="1" x="48"/>
        <item m="1" x="176"/>
        <item m="1" x="305"/>
        <item m="1" x="41"/>
        <item m="1" x="169"/>
        <item m="1" x="298"/>
        <item m="1" x="122"/>
        <item m="1" x="250"/>
        <item m="1" x="75"/>
        <item m="1" x="203"/>
        <item m="1" x="332"/>
        <item m="1" x="155"/>
        <item m="1" x="284"/>
        <item m="1" x="108"/>
        <item m="1" x="238"/>
        <item m="1" x="63"/>
        <item m="1" x="190"/>
        <item m="1" x="319"/>
        <item m="1" x="142"/>
        <item m="1" x="271"/>
        <item m="1" x="95"/>
        <item m="1" x="224"/>
        <item m="1" x="49"/>
        <item m="1" x="177"/>
        <item m="1" x="306"/>
        <item m="1" x="129"/>
        <item m="1" x="258"/>
        <item m="1" x="83"/>
        <item m="1" x="211"/>
        <item m="1" x="35"/>
        <item m="1" x="163"/>
        <item m="1" x="292"/>
        <item m="1" x="116"/>
        <item m="1" x="285"/>
        <item m="1" x="109"/>
        <item m="1" x="239"/>
        <item m="1" x="64"/>
        <item m="1" x="191"/>
        <item m="1" x="320"/>
        <item m="1" x="143"/>
        <item m="1" x="272"/>
        <item m="1" x="96"/>
        <item m="1" x="225"/>
        <item m="1" x="50"/>
        <item m="1" x="178"/>
        <item m="1" x="307"/>
        <item m="1" x="130"/>
        <item m="1" x="259"/>
        <item m="1" x="84"/>
        <item m="1" x="212"/>
        <item m="1" x="36"/>
        <item m="1" x="164"/>
        <item m="1" x="293"/>
        <item m="1" x="117"/>
        <item m="1" x="246"/>
        <item m="1" x="71"/>
        <item m="1" x="199"/>
        <item m="1" x="328"/>
        <item m="1" x="151"/>
        <item m="1" x="280"/>
        <item m="1" x="104"/>
        <item m="1" x="234"/>
        <item m="1" x="59"/>
        <item m="1" x="255"/>
        <item m="1" x="80"/>
        <item m="1" x="208"/>
        <item m="1" x="32"/>
        <item m="1" x="160"/>
        <item m="1" x="289"/>
        <item m="1" x="113"/>
        <item m="1" x="243"/>
        <item m="1" x="68"/>
        <item m="1" x="195"/>
        <item m="1" x="324"/>
        <item m="1" x="147"/>
        <item m="1" x="276"/>
        <item m="1" x="100"/>
        <item m="1" x="230"/>
        <item m="1" x="55"/>
        <item m="1" x="183"/>
        <item m="1" x="312"/>
        <item m="1" x="135"/>
        <item m="1" x="264"/>
        <item m="1" x="89"/>
        <item m="1" x="217"/>
        <item m="1" x="42"/>
        <item m="1" x="170"/>
        <item m="1" x="299"/>
        <item m="1" x="123"/>
        <item m="1" x="251"/>
        <item m="1" x="76"/>
        <item m="1" x="204"/>
        <item m="1" x="333"/>
        <item m="1" x="156"/>
        <item m="1" x="256"/>
        <item m="1" x="81"/>
        <item m="1" x="209"/>
        <item m="1" x="33"/>
        <item m="1" x="161"/>
        <item m="1" x="290"/>
        <item m="1" x="114"/>
        <item m="1" x="244"/>
        <item m="1" x="69"/>
        <item m="1" x="196"/>
        <item m="1" x="325"/>
        <item m="1" x="148"/>
        <item m="1" x="277"/>
        <item m="1" x="101"/>
        <item m="1" x="231"/>
        <item m="1" x="56"/>
        <item m="1" x="184"/>
        <item m="1" x="313"/>
        <item m="1" x="136"/>
        <item m="1" x="265"/>
        <item m="1" x="90"/>
        <item m="1" x="218"/>
        <item m="1" x="43"/>
        <item m="1" x="171"/>
        <item m="1" x="300"/>
        <item m="1" x="124"/>
        <item m="1" x="252"/>
        <item m="1" x="77"/>
        <item m="1" x="205"/>
        <item m="1" x="226"/>
        <item m="1" x="51"/>
        <item m="1" x="179"/>
        <item m="1" x="308"/>
        <item m="1" x="131"/>
        <item m="1" x="260"/>
        <item m="1" x="85"/>
        <item m="1" x="213"/>
        <item m="1" x="37"/>
        <item m="1" x="165"/>
        <item m="1" x="294"/>
        <item m="1" x="118"/>
        <item m="1" x="247"/>
        <item m="1" x="72"/>
        <item m="1" x="200"/>
        <item m="1" x="329"/>
        <item m="1" x="152"/>
        <item m="1" x="281"/>
        <item m="1" x="105"/>
        <item m="1" x="235"/>
        <item m="1" x="60"/>
        <item m="1" x="187"/>
        <item m="1" x="316"/>
        <item m="1" x="139"/>
        <item m="1" x="268"/>
        <item m="1" x="92"/>
        <item m="1" x="221"/>
        <item m="1" x="46"/>
        <item m="1" x="174"/>
        <item m="1" x="303"/>
        <item m="1" x="127"/>
        <item m="1" x="197"/>
        <item m="1" x="326"/>
        <item m="1" x="149"/>
        <item m="1" x="278"/>
        <item m="1" x="102"/>
        <item m="1" x="232"/>
        <item m="1" x="57"/>
        <item m="1" x="185"/>
        <item m="1" x="314"/>
        <item m="1" x="137"/>
        <item m="1" x="266"/>
        <item m="1" x="91"/>
        <item m="1" x="219"/>
        <item m="1" x="44"/>
        <item m="1" x="172"/>
        <item m="1" x="301"/>
        <item m="1" x="125"/>
        <item m="1" x="253"/>
        <item m="1" x="78"/>
        <item m="1" x="206"/>
        <item m="1" x="334"/>
        <item m="1" x="157"/>
        <item m="1" x="286"/>
        <item m="1" x="110"/>
        <item m="1" x="240"/>
        <item m="1" x="65"/>
        <item m="1" x="192"/>
        <item m="1" x="321"/>
        <item m="1" x="144"/>
        <item m="1" x="27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11"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68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o (Good)" fld="25" baseField="0" baseItem="0"/>
    <dataField name="Defects" fld="26" baseField="0" baseItem="1"/>
  </dataFields>
  <formats count="3">
    <format dxfId="6">
      <pivotArea type="all" dataOnly="0" outline="0" fieldPosition="0"/>
    </format>
    <format dxfId="5">
      <pivotArea type="all" dataOnly="0" outline="0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129" totalsRowShown="0" headerRowDxfId="89">
  <autoFilter ref="A5:BD129"/>
  <tableColumns count="56">
    <tableColumn id="1" name="Date" dataDxfId="88"/>
    <tableColumn id="2" name="LineNo" dataDxfId="87"/>
    <tableColumn id="3" name="MoldNo" dataDxfId="86"/>
    <tableColumn id="4" name="Index" dataDxfId="85"/>
    <tableColumn id="5" name="Color" dataDxfId="84"/>
    <tableColumn id="6" name="Resin" dataDxfId="83"/>
    <tableColumn id="7" name="Status" dataDxfId="82">
      <calculatedColumnFormula>IF(OR(Prod[[#This Row],[S1Hrs]]&gt;0,Prod[[#This Row],[S2Hrs]]&gt;0,Prod[[#This Row],[S3Hrs]]&gt;0),"Running","Down")</calculatedColumnFormula>
    </tableColumn>
    <tableColumn id="8" name="S1Cycle" dataDxfId="81" dataCellStyle="Comma"/>
    <tableColumn id="9" name="S1Hrs" dataDxfId="80" dataCellStyle="Comma"/>
    <tableColumn id="10" name="S1Shot" dataDxfId="79" dataCellStyle="Comma"/>
    <tableColumn id="11" name="S1Cavity" dataDxfId="78" dataCellStyle="Comma"/>
    <tableColumn id="12" name="S1Qty" dataDxfId="77" dataCellStyle="Comma">
      <calculatedColumnFormula>Prod[[#This Row],[S1Shot]]*Prod[[#This Row],[S1Cavity]]-Prod[[#This Row],[S1Dft]]</calculatedColumnFormula>
    </tableColumn>
    <tableColumn id="13" name="S1Dft" dataDxfId="76" dataCellStyle="Comma"/>
    <tableColumn id="14" name="S2Cycle" dataDxfId="75" dataCellStyle="Comma"/>
    <tableColumn id="15" name="S2Hrs" dataDxfId="74" dataCellStyle="Comma"/>
    <tableColumn id="16" name="S2Shot" dataDxfId="73" dataCellStyle="Comma"/>
    <tableColumn id="17" name="S2Cavity" dataDxfId="72" dataCellStyle="Comma"/>
    <tableColumn id="18" name="S2Qty" dataDxfId="71" dataCellStyle="Comma">
      <calculatedColumnFormula>Prod[[#This Row],[S2Shot]]*Prod[[#This Row],[S2Cavity]]-Prod[[#This Row],[S2Dft]]</calculatedColumnFormula>
    </tableColumn>
    <tableColumn id="19" name="S2Dft" dataDxfId="70" dataCellStyle="Comma"/>
    <tableColumn id="20" name="S3Cycle" dataDxfId="69" dataCellStyle="Comma"/>
    <tableColumn id="21" name="S3Hrs" dataDxfId="68" dataCellStyle="Comma"/>
    <tableColumn id="22" name="S3Shot" dataDxfId="67" dataCellStyle="Comma"/>
    <tableColumn id="23" name="S3Cavity" dataDxfId="66" dataCellStyle="Comma"/>
    <tableColumn id="24" name="S3Qty" dataDxfId="65" dataCellStyle="Comma">
      <calculatedColumnFormula>Prod[[#This Row],[S3Shot]]*Prod[[#This Row],[S3Cavity]]-Prod[[#This Row],[S3Dft]]</calculatedColumnFormula>
    </tableColumn>
    <tableColumn id="25" name="S3Dft" dataDxfId="64" dataCellStyle="Comma"/>
    <tableColumn id="26" name="Total" dataDxfId="63" dataCellStyle="Comma">
      <calculatedColumnFormula>SUM(Prod[[#This Row],[S1Qty]],Prod[[#This Row],[S2Qty]],Prod[[#This Row],[S3Qty]])</calculatedColumnFormula>
    </tableColumn>
    <tableColumn id="27" name="TotalDft" dataDxfId="62" dataCellStyle="Comma"/>
    <tableColumn id="28" name="DftRte" dataDxfId="61" dataCellStyle="Percent"/>
    <tableColumn id="29" name="Remarks" dataDxfId="60"/>
    <tableColumn id="30" name="S1Mold" dataDxfId="59" dataCellStyle="Comma"/>
    <tableColumn id="31" name="S2Mold" dataDxfId="58" dataCellStyle="Comma"/>
    <tableColumn id="32" name="S3Mold" dataDxfId="57" dataCellStyle="Comma"/>
    <tableColumn id="36" name="S1Print" dataDxfId="56" dataCellStyle="Comma"/>
    <tableColumn id="37" name="S2Print" dataDxfId="55" dataCellStyle="Comma"/>
    <tableColumn id="38" name="S3Print" dataDxfId="54" dataCellStyle="Comma"/>
    <tableColumn id="39" name="S1Ovlp" dataDxfId="53" dataCellStyle="Comma"/>
    <tableColumn id="40" name="S2Ovlp" dataDxfId="52" dataCellStyle="Comma"/>
    <tableColumn id="41" name="S3Ovlp" dataDxfId="51" dataCellStyle="Comma"/>
    <tableColumn id="42" name="S1Seam" dataDxfId="50" dataCellStyle="Comma"/>
    <tableColumn id="43" name="S2Seam" dataDxfId="49" dataCellStyle="Comma"/>
    <tableColumn id="44" name="S3Seam" dataDxfId="48" dataCellStyle="Comma"/>
    <tableColumn id="45" name="S1Dmg" dataDxfId="47" dataCellStyle="Comma"/>
    <tableColumn id="46" name="S2Dmg" dataDxfId="46" dataCellStyle="Comma"/>
    <tableColumn id="47" name="S3Dmg" dataDxfId="45" dataCellStyle="Comma"/>
    <tableColumn id="33" name="S1%" dataDxfId="44" dataCellStyle="Comma">
      <calculatedColumnFormula>IF(Prod[[#This Row],[S1Hrs]]=0,0,Prod[[#This Row],[S1Shot]]*Prod[[#This Row],[S1Cycle]]/(Prod[[#This Row],[S1Hrs]]*60*60))</calculatedColumnFormula>
    </tableColumn>
    <tableColumn id="34" name="S2%" dataDxfId="43" dataCellStyle="Comma">
      <calculatedColumnFormula>IF(Prod[[#This Row],[S2Hrs]]=0,0,Prod[[#This Row],[S2Shot]]*Prod[[#This Row],[S2Cycle]]/(Prod[[#This Row],[S2Hrs]]*60*60))</calculatedColumnFormula>
    </tableColumn>
    <tableColumn id="35" name="S3%" dataDxfId="42" dataCellStyle="Comma">
      <calculatedColumnFormula>IF(Prod[[#This Row],[S3Hrs]]=0,0,Prod[[#This Row],[S3Shot]]*Prod[[#This Row],[S3Cycle]]/(Prod[[#This Row],[S3Hrs]]*60*60))</calculatedColumnFormula>
    </tableColumn>
    <tableColumn id="48" name="Daily%" dataDxfId="41" dataCellStyle="Comma">
      <calculatedColumnFormula>IFERROR(AVERAGEIF(Prod[[#This Row],[S1%]:[S3%]], "&lt;&gt;0"),0)</calculatedColumnFormula>
    </tableColumn>
    <tableColumn id="49" name="HrStrtCls" dataDxfId="40" dataCellStyle="Comma"/>
    <tableColumn id="50" name="HrMaint" dataDxfId="39" dataCellStyle="Comma"/>
    <tableColumn id="51" name="HrSample" dataDxfId="38" dataCellStyle="Comma"/>
    <tableColumn id="52" name="S1CycleNotZero" dataDxfId="37" dataCellStyle="Comma">
      <calculatedColumnFormula>IF(Prod[[#This Row],[S1Cycle]]&lt;&gt;0,1,0)</calculatedColumnFormula>
    </tableColumn>
    <tableColumn id="53" name="S2CycleNotZero" dataDxfId="36" dataCellStyle="Comma">
      <calculatedColumnFormula>IF(Prod[[#This Row],[S2Cycle]]&lt;&gt;0,1,0)</calculatedColumnFormula>
    </tableColumn>
    <tableColumn id="54" name="S3CycleNotZero" dataDxfId="35" dataCellStyle="Comma">
      <calculatedColumnFormula>IF(Prod[[#This Row],[S3Cycle]]&lt;&gt;0,1,0)</calculatedColumnFormula>
    </tableColumn>
    <tableColumn id="55" name="Cavity" dataDxfId="34" dataCellStyle="Comma">
      <calculatedColumnFormula>MAX(Prod[[#This Row],[S1Cavity]],Prod[[#This Row],[S2Cavity]],Prod[[#This Row],[S3Cavity]])</calculatedColumnFormula>
    </tableColumn>
    <tableColumn id="56" name="B/C" dataDxfId="33" dataCellStyle="Comma">
      <calculatedColumnFormula>RegExpMatch(Prod[[#This Row],[MoldNo]], "^DW-(B|C)")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72" totalsRowShown="0" headerRowDxfId="32" dataDxfId="31" headerRowCellStyle="Normal_Sheet2" dataCellStyle="Normal_Sheet2">
  <autoFilter ref="A5:J72"/>
  <tableColumns count="10">
    <tableColumn id="1" name="Date" dataDxfId="30"/>
    <tableColumn id="2" name="LineNo" dataDxfId="29" dataCellStyle="Normal_Sheet2"/>
    <tableColumn id="3" name="Index" dataDxfId="28"/>
    <tableColumn id="4" name="Customer" dataDxfId="27"/>
    <tableColumn id="5" name="Status" dataDxfId="26" dataCellStyle="Normal_Sheet2">
      <calculatedColumnFormula>IF(Assem[[#This Row],[Total]]&gt;0,"Running","Down")</calculatedColumnFormula>
    </tableColumn>
    <tableColumn id="6" name="S1Qty" dataDxfId="25" dataCellStyle="Comma"/>
    <tableColumn id="8" name="S2Qty" dataDxfId="24" dataCellStyle="Comma"/>
    <tableColumn id="7" name="S3Qty" dataDxfId="23" dataCellStyle="Comma"/>
    <tableColumn id="12" name="Total" dataDxfId="22" dataCellStyle="Comma">
      <calculatedColumnFormula>SUM(Assem[[#This Row],[S1Qty]],Assem[[#This Row],[S2Qty]],Assem[[#This Row],[S3Qty]])</calculatedColumnFormula>
    </tableColumn>
    <tableColumn id="15" name="Remarks" dataDxfId="21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nlAssem" displayName="FnlAssem" ref="A5:L76" totalsRowShown="0" headerRowDxfId="20" dataDxfId="19">
  <autoFilter ref="A5:L76"/>
  <tableColumns count="12">
    <tableColumn id="1" name="Date" dataDxfId="18"/>
    <tableColumn id="2" name="Line" dataDxfId="17"/>
    <tableColumn id="3" name="Index" dataDxfId="16"/>
    <tableColumn id="4" name="Customer" dataDxfId="15"/>
    <tableColumn id="5" name="Status" dataDxfId="14">
      <calculatedColumnFormula>IF(FnlAssem[[#This Row],[Total]]&gt;0,"Running","Down")</calculatedColumnFormula>
    </tableColumn>
    <tableColumn id="6" name="S1Qty" dataDxfId="13" dataCellStyle="Comma"/>
    <tableColumn id="7" name="S2Qty" dataDxfId="12" dataCellStyle="Comma"/>
    <tableColumn id="12" name="S3Qty" dataDxfId="11" dataCellStyle="Comma"/>
    <tableColumn id="8" name="Total" dataDxfId="10" dataCellStyle="Comma">
      <calculatedColumnFormula>SUM(FnlAssem[[#This Row],[S1Qty]],FnlAssem[[#This Row],[S2Qty]],FnlAssem[[#This Row],[S3Qty]])*FnlAssem[[#This Row],[Pcs/Carton]]-FnlAssem[[#This Row],[Defects]]</calculatedColumnFormula>
    </tableColumn>
    <tableColumn id="13" name="Defects" dataDxfId="9" dataCellStyle="Comma"/>
    <tableColumn id="10" name="Remarks" dataDxfId="8" dataCellStyle="Comma"/>
    <tableColumn id="9" name="Pcs/Carton" dataDxfId="7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workbookViewId="0"/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60" t="s">
        <v>86</v>
      </c>
      <c r="N2" s="260"/>
      <c r="O2" s="260"/>
      <c r="P2" s="260"/>
      <c r="Q2" s="260"/>
      <c r="R2" s="260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42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42"/>
      <c r="B8" s="243" t="s">
        <v>10</v>
      </c>
      <c r="C8" s="244" t="s">
        <v>0</v>
      </c>
      <c r="D8" s="244" t="s">
        <v>25</v>
      </c>
      <c r="E8" s="244" t="s">
        <v>11</v>
      </c>
      <c r="F8" s="244" t="s">
        <v>16</v>
      </c>
      <c r="G8" s="225" t="s">
        <v>12</v>
      </c>
      <c r="H8" s="226" t="s">
        <v>13</v>
      </c>
      <c r="I8" s="227"/>
      <c r="J8" s="227"/>
      <c r="K8" s="227"/>
      <c r="L8" s="227"/>
      <c r="M8" s="228"/>
      <c r="N8" s="226" t="s">
        <v>14</v>
      </c>
      <c r="O8" s="227"/>
      <c r="P8" s="227"/>
      <c r="Q8" s="227"/>
      <c r="R8" s="227"/>
      <c r="S8" s="228"/>
      <c r="T8" s="226" t="s">
        <v>15</v>
      </c>
      <c r="U8" s="227"/>
      <c r="V8" s="227"/>
      <c r="W8" s="227"/>
      <c r="X8" s="227"/>
      <c r="Y8" s="228"/>
      <c r="Z8" s="229" t="s">
        <v>37</v>
      </c>
      <c r="AA8" s="229" t="s">
        <v>39</v>
      </c>
      <c r="AB8" s="229" t="s">
        <v>62</v>
      </c>
      <c r="AC8" s="254" t="s">
        <v>26</v>
      </c>
    </row>
    <row r="9" spans="1:29" ht="45" customHeight="1" x14ac:dyDescent="0.2">
      <c r="A9" s="242"/>
      <c r="B9" s="243"/>
      <c r="C9" s="244"/>
      <c r="D9" s="244"/>
      <c r="E9" s="244"/>
      <c r="F9" s="244"/>
      <c r="G9" s="225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30"/>
      <c r="AA9" s="231"/>
      <c r="AB9" s="231"/>
      <c r="AC9" s="254"/>
    </row>
    <row r="10" spans="1:29" ht="12.75" customHeight="1" x14ac:dyDescent="0.2">
      <c r="A10" s="242"/>
      <c r="B10" s="255" t="s">
        <v>2</v>
      </c>
      <c r="C10" s="257" t="s">
        <v>84</v>
      </c>
      <c r="D10" s="12"/>
      <c r="E10" s="10"/>
      <c r="F10" s="12"/>
      <c r="G10" s="257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21">
        <f>SUM(L10, R10, X10)+SUM(L11, R11, X11)</f>
        <v>0</v>
      </c>
      <c r="AA10" s="221">
        <f>SUM(M10, S10, Y10)+SUM(M11, S11, Y11)</f>
        <v>0</v>
      </c>
      <c r="AB10" s="223">
        <f>IF($Z10=0, ,AA10/$Z10)</f>
        <v>0</v>
      </c>
      <c r="AC10" s="247" t="s">
        <v>87</v>
      </c>
    </row>
    <row r="11" spans="1:29" ht="12.75" customHeight="1" x14ac:dyDescent="0.2">
      <c r="A11" s="242"/>
      <c r="B11" s="256"/>
      <c r="C11" s="258"/>
      <c r="D11" s="12"/>
      <c r="E11" s="12"/>
      <c r="F11" s="12"/>
      <c r="G11" s="259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22"/>
      <c r="AA11" s="222"/>
      <c r="AB11" s="224"/>
      <c r="AC11" s="248"/>
    </row>
    <row r="12" spans="1:29" ht="12.75" customHeight="1" x14ac:dyDescent="0.2">
      <c r="A12" s="242"/>
      <c r="B12" s="245" t="s">
        <v>6</v>
      </c>
      <c r="C12" s="234" t="s">
        <v>8</v>
      </c>
      <c r="D12" s="10"/>
      <c r="E12" s="10"/>
      <c r="F12" s="10"/>
      <c r="G12" s="234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36">
        <f>SUM(L12, R12, X12)+SUM(L13, R13, X13)</f>
        <v>0</v>
      </c>
      <c r="AA12" s="238">
        <f>SUM(M12, S12, Y12)+SUM(M13, S13, Y13)</f>
        <v>0</v>
      </c>
      <c r="AB12" s="213">
        <f>IF($Z12=0, ,AA12/$Z12)</f>
        <v>0</v>
      </c>
      <c r="AC12" s="232" t="s">
        <v>87</v>
      </c>
    </row>
    <row r="13" spans="1:29" ht="12.75" customHeight="1" x14ac:dyDescent="0.2">
      <c r="A13" s="242"/>
      <c r="B13" s="246"/>
      <c r="C13" s="235"/>
      <c r="D13" s="10"/>
      <c r="E13" s="10"/>
      <c r="F13" s="10"/>
      <c r="G13" s="235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37"/>
      <c r="AA13" s="239"/>
      <c r="AB13" s="214"/>
      <c r="AC13" s="233"/>
    </row>
    <row r="14" spans="1:29" ht="12.75" customHeight="1" x14ac:dyDescent="0.2">
      <c r="A14" s="242"/>
      <c r="B14" s="240" t="s">
        <v>7</v>
      </c>
      <c r="C14" s="219" t="s">
        <v>81</v>
      </c>
      <c r="D14" s="9"/>
      <c r="E14" s="9"/>
      <c r="F14" s="9"/>
      <c r="G14" s="219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21">
        <f>SUM(L14, R14, X14)+SUM(L15, R15, X15)</f>
        <v>0</v>
      </c>
      <c r="AA14" s="221">
        <f>SUM(M14, S14, Y14)+SUM(M15, S15, Y15)</f>
        <v>0</v>
      </c>
      <c r="AB14" s="223">
        <f>IF($Z14=0, ,AA14/$Z14)</f>
        <v>0</v>
      </c>
      <c r="AC14" s="247" t="s">
        <v>87</v>
      </c>
    </row>
    <row r="15" spans="1:29" ht="12.75" customHeight="1" x14ac:dyDescent="0.2">
      <c r="A15" s="242"/>
      <c r="B15" s="241"/>
      <c r="C15" s="220"/>
      <c r="D15" s="9"/>
      <c r="E15" s="9"/>
      <c r="F15" s="9"/>
      <c r="G15" s="220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22"/>
      <c r="AA15" s="222"/>
      <c r="AB15" s="224"/>
      <c r="AC15" s="248"/>
    </row>
    <row r="16" spans="1:29" ht="12.75" customHeight="1" x14ac:dyDescent="0.2">
      <c r="A16" s="242"/>
      <c r="B16" s="245" t="s">
        <v>3</v>
      </c>
      <c r="C16" s="234" t="s">
        <v>82</v>
      </c>
      <c r="D16" s="10"/>
      <c r="E16" s="10"/>
      <c r="F16" s="10"/>
      <c r="G16" s="234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38">
        <f>SUM(L16, R16, X16)+SUM(L17, R17, X17)</f>
        <v>0</v>
      </c>
      <c r="AA16" s="238">
        <f>SUM(M16, S16, Y16)+SUM(M17, S17, Y17)</f>
        <v>0</v>
      </c>
      <c r="AB16" s="213">
        <f>IF($Z16=0, ,AA16/$Z16)</f>
        <v>0</v>
      </c>
      <c r="AC16" s="232" t="s">
        <v>87</v>
      </c>
    </row>
    <row r="17" spans="1:29" ht="12.75" customHeight="1" x14ac:dyDescent="0.2">
      <c r="A17" s="242"/>
      <c r="B17" s="246"/>
      <c r="C17" s="235"/>
      <c r="D17" s="10"/>
      <c r="E17" s="10"/>
      <c r="F17" s="10"/>
      <c r="G17" s="235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39"/>
      <c r="AA17" s="239"/>
      <c r="AB17" s="214"/>
      <c r="AC17" s="233"/>
    </row>
    <row r="18" spans="1:29" ht="12.75" customHeight="1" x14ac:dyDescent="0.2">
      <c r="A18" s="242"/>
      <c r="B18" s="240" t="s">
        <v>4</v>
      </c>
      <c r="C18" s="219" t="s">
        <v>9</v>
      </c>
      <c r="D18" s="9"/>
      <c r="E18" s="10"/>
      <c r="F18" s="9"/>
      <c r="G18" s="219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21">
        <f>SUM(L18, R18, X18)+SUM(L19, R19, X19)</f>
        <v>0</v>
      </c>
      <c r="AA18" s="221">
        <f>SUM(M18, S18, Y18)+SUM(M19, S19, Y19)</f>
        <v>0</v>
      </c>
      <c r="AB18" s="223">
        <f>IF($Z18=0, ,AA18/$Z18)</f>
        <v>0</v>
      </c>
      <c r="AC18" s="247" t="s">
        <v>87</v>
      </c>
    </row>
    <row r="19" spans="1:29" ht="12.75" customHeight="1" x14ac:dyDescent="0.2">
      <c r="A19" s="242"/>
      <c r="B19" s="241"/>
      <c r="C19" s="220"/>
      <c r="D19" s="9"/>
      <c r="E19" s="9"/>
      <c r="F19" s="9"/>
      <c r="G19" s="220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22"/>
      <c r="AA19" s="222"/>
      <c r="AB19" s="224"/>
      <c r="AC19" s="248"/>
    </row>
    <row r="20" spans="1:29" ht="12.75" customHeight="1" x14ac:dyDescent="0.2">
      <c r="A20" s="242"/>
      <c r="B20" s="249" t="s">
        <v>85</v>
      </c>
      <c r="C20" s="251" t="s">
        <v>83</v>
      </c>
      <c r="D20" s="11"/>
      <c r="E20" s="10"/>
      <c r="F20" s="11"/>
      <c r="G20" s="251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53">
        <f>SUM(L20, R20, X20)+SUM(L21, R21, X21)</f>
        <v>0</v>
      </c>
      <c r="AA20" s="253">
        <f>SUM(M20, S20, Y20)+SUM(M21, S21, Y21)</f>
        <v>0</v>
      </c>
      <c r="AB20" s="213">
        <f>IF($Z20=0, ,AA20/$Z20)</f>
        <v>0</v>
      </c>
      <c r="AC20" s="215" t="s">
        <v>87</v>
      </c>
    </row>
    <row r="21" spans="1:29" ht="12.75" customHeight="1" x14ac:dyDescent="0.2">
      <c r="A21" s="242"/>
      <c r="B21" s="250"/>
      <c r="C21" s="252"/>
      <c r="D21" s="11"/>
      <c r="E21" s="11"/>
      <c r="F21" s="11"/>
      <c r="G21" s="252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53"/>
      <c r="AA21" s="253"/>
      <c r="AB21" s="214"/>
      <c r="AC21" s="215"/>
    </row>
    <row r="22" spans="1:29" ht="12.75" customHeight="1" x14ac:dyDescent="0.2">
      <c r="A22" s="242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42"/>
      <c r="B23" s="216" t="s">
        <v>67</v>
      </c>
      <c r="C23" s="217"/>
      <c r="D23" s="217"/>
      <c r="E23" s="217"/>
      <c r="F23" s="217"/>
      <c r="G23" s="9" t="s">
        <v>68</v>
      </c>
      <c r="H23" s="218" t="s">
        <v>64</v>
      </c>
      <c r="I23" s="218"/>
      <c r="J23" s="218"/>
      <c r="K23" s="218" t="s">
        <v>76</v>
      </c>
      <c r="L23" s="218"/>
      <c r="M23" s="218"/>
      <c r="N23" s="218" t="s">
        <v>65</v>
      </c>
      <c r="O23" s="218"/>
      <c r="P23" s="218"/>
      <c r="Q23" s="218" t="s">
        <v>66</v>
      </c>
      <c r="R23" s="218"/>
      <c r="S23" s="218"/>
      <c r="T23" s="218" t="s">
        <v>73</v>
      </c>
      <c r="U23" s="218"/>
      <c r="V23" s="218"/>
      <c r="W23" s="218" t="s">
        <v>74</v>
      </c>
      <c r="X23" s="218"/>
      <c r="Y23" s="218"/>
      <c r="Z23" s="218" t="s">
        <v>75</v>
      </c>
      <c r="AA23" s="218"/>
      <c r="AB23" s="218"/>
      <c r="AC23" s="209"/>
    </row>
    <row r="24" spans="1:29" ht="12.75" customHeight="1" x14ac:dyDescent="0.2">
      <c r="A24" s="242"/>
      <c r="B24" s="216"/>
      <c r="C24" s="217"/>
      <c r="D24" s="217"/>
      <c r="E24" s="217"/>
      <c r="F24" s="217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09"/>
    </row>
    <row r="25" spans="1:29" ht="12.75" customHeight="1" x14ac:dyDescent="0.2">
      <c r="A25" s="242"/>
      <c r="B25" s="210" t="str">
        <f>B12</f>
        <v>02C</v>
      </c>
      <c r="C25" s="211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12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09"/>
    </row>
    <row r="26" spans="1:29" ht="12.75" customHeight="1" x14ac:dyDescent="0.2">
      <c r="A26" s="242"/>
      <c r="B26" s="210"/>
      <c r="C26" s="211"/>
      <c r="D26" s="9"/>
      <c r="E26" s="9" t="str">
        <f t="shared" ref="E26:F28" si="3">IF(ISBLANK(E13), "", E13)</f>
        <v/>
      </c>
      <c r="F26" s="9" t="str">
        <f t="shared" si="3"/>
        <v/>
      </c>
      <c r="G26" s="212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09"/>
    </row>
    <row r="27" spans="1:29" ht="12.75" customHeight="1" x14ac:dyDescent="0.2">
      <c r="A27" s="242"/>
      <c r="B27" s="210" t="str">
        <f>B14</f>
        <v>03C</v>
      </c>
      <c r="C27" s="211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12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09"/>
    </row>
    <row r="28" spans="1:29" ht="12.75" customHeight="1" x14ac:dyDescent="0.2">
      <c r="A28" s="242"/>
      <c r="B28" s="210"/>
      <c r="C28" s="211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12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09"/>
    </row>
    <row r="30" spans="1:29" x14ac:dyDescent="0.2">
      <c r="A30" s="242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42"/>
      <c r="B31" s="243" t="s">
        <v>10</v>
      </c>
      <c r="C31" s="244" t="s">
        <v>0</v>
      </c>
      <c r="D31" s="244" t="s">
        <v>25</v>
      </c>
      <c r="E31" s="244" t="s">
        <v>11</v>
      </c>
      <c r="F31" s="244" t="s">
        <v>16</v>
      </c>
      <c r="G31" s="225" t="s">
        <v>12</v>
      </c>
      <c r="H31" s="226" t="s">
        <v>13</v>
      </c>
      <c r="I31" s="227"/>
      <c r="J31" s="227"/>
      <c r="K31" s="227"/>
      <c r="L31" s="227"/>
      <c r="M31" s="228"/>
      <c r="N31" s="226" t="s">
        <v>14</v>
      </c>
      <c r="O31" s="227"/>
      <c r="P31" s="227"/>
      <c r="Q31" s="227"/>
      <c r="R31" s="227"/>
      <c r="S31" s="228"/>
      <c r="T31" s="226" t="s">
        <v>15</v>
      </c>
      <c r="U31" s="227"/>
      <c r="V31" s="227"/>
      <c r="W31" s="227"/>
      <c r="X31" s="227"/>
      <c r="Y31" s="228"/>
      <c r="Z31" s="229" t="s">
        <v>37</v>
      </c>
      <c r="AA31" s="229" t="s">
        <v>39</v>
      </c>
      <c r="AB31" s="229" t="s">
        <v>62</v>
      </c>
      <c r="AC31" s="254" t="s">
        <v>26</v>
      </c>
    </row>
    <row r="32" spans="1:29" ht="25.5" x14ac:dyDescent="0.2">
      <c r="A32" s="242"/>
      <c r="B32" s="243"/>
      <c r="C32" s="244"/>
      <c r="D32" s="244"/>
      <c r="E32" s="244"/>
      <c r="F32" s="244"/>
      <c r="G32" s="225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30"/>
      <c r="AA32" s="231"/>
      <c r="AB32" s="231"/>
      <c r="AC32" s="254"/>
    </row>
    <row r="33" spans="1:29" x14ac:dyDescent="0.2">
      <c r="A33" s="242"/>
      <c r="B33" s="255" t="s">
        <v>2</v>
      </c>
      <c r="C33" s="257" t="s">
        <v>84</v>
      </c>
      <c r="D33" s="12"/>
      <c r="E33" s="10"/>
      <c r="F33" s="12"/>
      <c r="G33" s="257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21">
        <f>SUM(L33, R33, X33)+SUM(L34, R34, X34)</f>
        <v>0</v>
      </c>
      <c r="AA33" s="221">
        <f>SUM(M33, S33, Y33)+SUM(M34, S34, Y34)</f>
        <v>0</v>
      </c>
      <c r="AB33" s="223">
        <f>IF($Z33=0, ,AA33/$Z33)</f>
        <v>0</v>
      </c>
      <c r="AC33" s="247" t="s">
        <v>87</v>
      </c>
    </row>
    <row r="34" spans="1:29" x14ac:dyDescent="0.2">
      <c r="A34" s="242"/>
      <c r="B34" s="256"/>
      <c r="C34" s="258"/>
      <c r="D34" s="12"/>
      <c r="E34" s="12"/>
      <c r="F34" s="12"/>
      <c r="G34" s="259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22"/>
      <c r="AA34" s="222"/>
      <c r="AB34" s="224"/>
      <c r="AC34" s="248"/>
    </row>
    <row r="35" spans="1:29" x14ac:dyDescent="0.2">
      <c r="A35" s="242"/>
      <c r="B35" s="245" t="s">
        <v>6</v>
      </c>
      <c r="C35" s="234" t="s">
        <v>8</v>
      </c>
      <c r="D35" s="10"/>
      <c r="E35" s="10"/>
      <c r="F35" s="10"/>
      <c r="G35" s="234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36">
        <f>SUM(L35, R35, X35)+SUM(L36, R36, X36)</f>
        <v>0</v>
      </c>
      <c r="AA35" s="238">
        <f>SUM(M35, S35, Y35)+SUM(M36, S36, Y36)</f>
        <v>0</v>
      </c>
      <c r="AB35" s="213">
        <f>IF($Z35=0, ,AA35/$Z35)</f>
        <v>0</v>
      </c>
      <c r="AC35" s="232" t="s">
        <v>87</v>
      </c>
    </row>
    <row r="36" spans="1:29" x14ac:dyDescent="0.2">
      <c r="A36" s="242"/>
      <c r="B36" s="246"/>
      <c r="C36" s="235"/>
      <c r="D36" s="10"/>
      <c r="E36" s="10"/>
      <c r="F36" s="10"/>
      <c r="G36" s="235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37"/>
      <c r="AA36" s="239"/>
      <c r="AB36" s="214"/>
      <c r="AC36" s="233"/>
    </row>
    <row r="37" spans="1:29" x14ac:dyDescent="0.2">
      <c r="A37" s="242"/>
      <c r="B37" s="240" t="s">
        <v>7</v>
      </c>
      <c r="C37" s="219" t="s">
        <v>81</v>
      </c>
      <c r="D37" s="9"/>
      <c r="E37" s="9"/>
      <c r="F37" s="9"/>
      <c r="G37" s="219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21">
        <f>SUM(L37, R37, X37)+SUM(L38, R38, X38)</f>
        <v>0</v>
      </c>
      <c r="AA37" s="221">
        <f>SUM(M37, S37, Y37)+SUM(M38, S38, Y38)</f>
        <v>0</v>
      </c>
      <c r="AB37" s="223">
        <f>IF($Z37=0, ,AA37/$Z37)</f>
        <v>0</v>
      </c>
      <c r="AC37" s="247" t="s">
        <v>87</v>
      </c>
    </row>
    <row r="38" spans="1:29" x14ac:dyDescent="0.2">
      <c r="A38" s="242"/>
      <c r="B38" s="241"/>
      <c r="C38" s="220"/>
      <c r="D38" s="9"/>
      <c r="E38" s="9"/>
      <c r="F38" s="9"/>
      <c r="G38" s="220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22"/>
      <c r="AA38" s="222"/>
      <c r="AB38" s="224"/>
      <c r="AC38" s="248"/>
    </row>
    <row r="39" spans="1:29" x14ac:dyDescent="0.2">
      <c r="A39" s="242"/>
      <c r="B39" s="245" t="s">
        <v>3</v>
      </c>
      <c r="C39" s="234" t="s">
        <v>82</v>
      </c>
      <c r="D39" s="10"/>
      <c r="E39" s="10"/>
      <c r="F39" s="10"/>
      <c r="G39" s="234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38">
        <f>SUM(L39, R39, X39)+SUM(L40, R40, X40)</f>
        <v>0</v>
      </c>
      <c r="AA39" s="238">
        <f>SUM(M39, S39, Y39)+SUM(M40, S40, Y40)</f>
        <v>0</v>
      </c>
      <c r="AB39" s="213">
        <f>IF($Z39=0, ,AA39/$Z39)</f>
        <v>0</v>
      </c>
      <c r="AC39" s="232" t="s">
        <v>87</v>
      </c>
    </row>
    <row r="40" spans="1:29" x14ac:dyDescent="0.2">
      <c r="A40" s="242"/>
      <c r="B40" s="246"/>
      <c r="C40" s="235"/>
      <c r="D40" s="10"/>
      <c r="E40" s="10"/>
      <c r="F40" s="10"/>
      <c r="G40" s="235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39"/>
      <c r="AA40" s="239"/>
      <c r="AB40" s="214"/>
      <c r="AC40" s="233"/>
    </row>
    <row r="41" spans="1:29" x14ac:dyDescent="0.2">
      <c r="A41" s="242"/>
      <c r="B41" s="240" t="s">
        <v>4</v>
      </c>
      <c r="C41" s="219" t="s">
        <v>9</v>
      </c>
      <c r="D41" s="9"/>
      <c r="E41" s="10"/>
      <c r="F41" s="9"/>
      <c r="G41" s="219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21">
        <f>SUM(L41, R41, X41)+SUM(L42, R42, X42)</f>
        <v>0</v>
      </c>
      <c r="AA41" s="221">
        <f>SUM(M41, S41, Y41)+SUM(M42, S42, Y42)</f>
        <v>0</v>
      </c>
      <c r="AB41" s="223">
        <f>IF($Z41=0, ,AA41/$Z41)</f>
        <v>0</v>
      </c>
      <c r="AC41" s="247" t="s">
        <v>87</v>
      </c>
    </row>
    <row r="42" spans="1:29" x14ac:dyDescent="0.2">
      <c r="A42" s="242"/>
      <c r="B42" s="241"/>
      <c r="C42" s="220"/>
      <c r="D42" s="9"/>
      <c r="E42" s="9"/>
      <c r="F42" s="9"/>
      <c r="G42" s="220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22"/>
      <c r="AA42" s="222"/>
      <c r="AB42" s="224"/>
      <c r="AC42" s="248"/>
    </row>
    <row r="43" spans="1:29" x14ac:dyDescent="0.2">
      <c r="A43" s="242"/>
      <c r="B43" s="249" t="s">
        <v>85</v>
      </c>
      <c r="C43" s="251" t="s">
        <v>83</v>
      </c>
      <c r="D43" s="11"/>
      <c r="E43" s="10"/>
      <c r="F43" s="11"/>
      <c r="G43" s="251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53">
        <f>SUM(L43, R43, X43)+SUM(L44, R44, X44)</f>
        <v>0</v>
      </c>
      <c r="AA43" s="253">
        <f>SUM(M43, S43, Y43)+SUM(M44, S44, Y44)</f>
        <v>0</v>
      </c>
      <c r="AB43" s="213">
        <f>IF($Z43=0, ,AA43/$Z43)</f>
        <v>0</v>
      </c>
      <c r="AC43" s="215" t="s">
        <v>87</v>
      </c>
    </row>
    <row r="44" spans="1:29" x14ac:dyDescent="0.2">
      <c r="A44" s="242"/>
      <c r="B44" s="250"/>
      <c r="C44" s="252"/>
      <c r="D44" s="11"/>
      <c r="E44" s="11"/>
      <c r="F44" s="11"/>
      <c r="G44" s="252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53"/>
      <c r="AA44" s="253"/>
      <c r="AB44" s="214"/>
      <c r="AC44" s="215"/>
    </row>
    <row r="45" spans="1:29" x14ac:dyDescent="0.2">
      <c r="A45" s="242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42"/>
      <c r="B46" s="216" t="s">
        <v>67</v>
      </c>
      <c r="C46" s="217"/>
      <c r="D46" s="217"/>
      <c r="E46" s="217"/>
      <c r="F46" s="217"/>
      <c r="G46" s="9" t="s">
        <v>68</v>
      </c>
      <c r="H46" s="218" t="s">
        <v>64</v>
      </c>
      <c r="I46" s="218"/>
      <c r="J46" s="218"/>
      <c r="K46" s="218" t="s">
        <v>76</v>
      </c>
      <c r="L46" s="218"/>
      <c r="M46" s="218"/>
      <c r="N46" s="218" t="s">
        <v>65</v>
      </c>
      <c r="O46" s="218"/>
      <c r="P46" s="218"/>
      <c r="Q46" s="218" t="s">
        <v>66</v>
      </c>
      <c r="R46" s="218"/>
      <c r="S46" s="218"/>
      <c r="T46" s="218" t="s">
        <v>73</v>
      </c>
      <c r="U46" s="218"/>
      <c r="V46" s="218"/>
      <c r="W46" s="218" t="s">
        <v>74</v>
      </c>
      <c r="X46" s="218"/>
      <c r="Y46" s="218"/>
      <c r="Z46" s="218" t="s">
        <v>75</v>
      </c>
      <c r="AA46" s="218"/>
      <c r="AB46" s="218"/>
      <c r="AC46" s="209"/>
    </row>
    <row r="47" spans="1:29" x14ac:dyDescent="0.2">
      <c r="A47" s="242"/>
      <c r="B47" s="216"/>
      <c r="C47" s="217"/>
      <c r="D47" s="217"/>
      <c r="E47" s="217"/>
      <c r="F47" s="217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09"/>
    </row>
    <row r="48" spans="1:29" x14ac:dyDescent="0.2">
      <c r="A48" s="242"/>
      <c r="B48" s="210" t="str">
        <f>B35</f>
        <v>02C</v>
      </c>
      <c r="C48" s="211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12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09"/>
    </row>
    <row r="49" spans="1:29" x14ac:dyDescent="0.2">
      <c r="A49" s="242"/>
      <c r="B49" s="210"/>
      <c r="C49" s="211"/>
      <c r="D49" s="9"/>
      <c r="E49" s="9" t="str">
        <f t="shared" ref="E49:F51" si="7">IF(ISBLANK(E36), "", E36)</f>
        <v/>
      </c>
      <c r="F49" s="9" t="str">
        <f t="shared" si="7"/>
        <v/>
      </c>
      <c r="G49" s="212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09"/>
    </row>
    <row r="50" spans="1:29" x14ac:dyDescent="0.2">
      <c r="A50" s="242"/>
      <c r="B50" s="210" t="str">
        <f>B37</f>
        <v>03C</v>
      </c>
      <c r="C50" s="211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12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09"/>
    </row>
    <row r="51" spans="1:29" x14ac:dyDescent="0.2">
      <c r="A51" s="242"/>
      <c r="B51" s="210"/>
      <c r="C51" s="211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12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09"/>
    </row>
    <row r="53" spans="1:29" x14ac:dyDescent="0.2">
      <c r="A53" s="242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42"/>
      <c r="B54" s="243" t="s">
        <v>10</v>
      </c>
      <c r="C54" s="244" t="s">
        <v>0</v>
      </c>
      <c r="D54" s="244" t="s">
        <v>25</v>
      </c>
      <c r="E54" s="244" t="s">
        <v>11</v>
      </c>
      <c r="F54" s="244" t="s">
        <v>16</v>
      </c>
      <c r="G54" s="225" t="s">
        <v>12</v>
      </c>
      <c r="H54" s="226" t="s">
        <v>13</v>
      </c>
      <c r="I54" s="227"/>
      <c r="J54" s="227"/>
      <c r="K54" s="227"/>
      <c r="L54" s="227"/>
      <c r="M54" s="228"/>
      <c r="N54" s="226" t="s">
        <v>14</v>
      </c>
      <c r="O54" s="227"/>
      <c r="P54" s="227"/>
      <c r="Q54" s="227"/>
      <c r="R54" s="227"/>
      <c r="S54" s="228"/>
      <c r="T54" s="226" t="s">
        <v>15</v>
      </c>
      <c r="U54" s="227"/>
      <c r="V54" s="227"/>
      <c r="W54" s="227"/>
      <c r="X54" s="227"/>
      <c r="Y54" s="228"/>
      <c r="Z54" s="229" t="s">
        <v>37</v>
      </c>
      <c r="AA54" s="229" t="s">
        <v>39</v>
      </c>
      <c r="AB54" s="229" t="s">
        <v>62</v>
      </c>
      <c r="AC54" s="254" t="s">
        <v>26</v>
      </c>
    </row>
    <row r="55" spans="1:29" ht="25.5" x14ac:dyDescent="0.2">
      <c r="A55" s="242"/>
      <c r="B55" s="243"/>
      <c r="C55" s="244"/>
      <c r="D55" s="244"/>
      <c r="E55" s="244"/>
      <c r="F55" s="244"/>
      <c r="G55" s="225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30"/>
      <c r="AA55" s="231"/>
      <c r="AB55" s="231"/>
      <c r="AC55" s="254"/>
    </row>
    <row r="56" spans="1:29" x14ac:dyDescent="0.2">
      <c r="A56" s="242"/>
      <c r="B56" s="255" t="s">
        <v>2</v>
      </c>
      <c r="C56" s="257" t="s">
        <v>84</v>
      </c>
      <c r="D56" s="12"/>
      <c r="E56" s="10"/>
      <c r="F56" s="12"/>
      <c r="G56" s="257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21">
        <f>SUM(L56, R56, X56)+SUM(L57, R57, X57)</f>
        <v>0</v>
      </c>
      <c r="AA56" s="221">
        <f>SUM(M56, S56, Y56)+SUM(M57, S57, Y57)</f>
        <v>0</v>
      </c>
      <c r="AB56" s="223">
        <f>IF($Z56=0, ,AA56/$Z56)</f>
        <v>0</v>
      </c>
      <c r="AC56" s="247" t="s">
        <v>87</v>
      </c>
    </row>
    <row r="57" spans="1:29" x14ac:dyDescent="0.2">
      <c r="A57" s="242"/>
      <c r="B57" s="256"/>
      <c r="C57" s="258"/>
      <c r="D57" s="12"/>
      <c r="E57" s="12"/>
      <c r="F57" s="12"/>
      <c r="G57" s="259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22"/>
      <c r="AA57" s="222"/>
      <c r="AB57" s="224"/>
      <c r="AC57" s="248"/>
    </row>
    <row r="58" spans="1:29" x14ac:dyDescent="0.2">
      <c r="A58" s="242"/>
      <c r="B58" s="245" t="s">
        <v>6</v>
      </c>
      <c r="C58" s="234" t="s">
        <v>8</v>
      </c>
      <c r="D58" s="10"/>
      <c r="E58" s="10"/>
      <c r="F58" s="10"/>
      <c r="G58" s="234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36">
        <f>SUM(L58, R58, X58)+SUM(L59, R59, X59)</f>
        <v>0</v>
      </c>
      <c r="AA58" s="238">
        <f>SUM(M58, S58, Y58)+SUM(M59, S59, Y59)</f>
        <v>0</v>
      </c>
      <c r="AB58" s="213">
        <f>IF($Z58=0, ,AA58/$Z58)</f>
        <v>0</v>
      </c>
      <c r="AC58" s="232" t="s">
        <v>87</v>
      </c>
    </row>
    <row r="59" spans="1:29" x14ac:dyDescent="0.2">
      <c r="A59" s="242"/>
      <c r="B59" s="246"/>
      <c r="C59" s="235"/>
      <c r="D59" s="10"/>
      <c r="E59" s="10"/>
      <c r="F59" s="10"/>
      <c r="G59" s="235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37"/>
      <c r="AA59" s="239"/>
      <c r="AB59" s="214"/>
      <c r="AC59" s="233"/>
    </row>
    <row r="60" spans="1:29" x14ac:dyDescent="0.2">
      <c r="A60" s="242"/>
      <c r="B60" s="240" t="s">
        <v>7</v>
      </c>
      <c r="C60" s="219" t="s">
        <v>81</v>
      </c>
      <c r="D60" s="9"/>
      <c r="E60" s="9"/>
      <c r="F60" s="9"/>
      <c r="G60" s="219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21">
        <f>SUM(L60, R60, X60)+SUM(L61, R61, X61)</f>
        <v>0</v>
      </c>
      <c r="AA60" s="221">
        <f>SUM(M60, S60, Y60)+SUM(M61, S61, Y61)</f>
        <v>0</v>
      </c>
      <c r="AB60" s="223">
        <f>IF($Z60=0, ,AA60/$Z60)</f>
        <v>0</v>
      </c>
      <c r="AC60" s="247" t="s">
        <v>87</v>
      </c>
    </row>
    <row r="61" spans="1:29" x14ac:dyDescent="0.2">
      <c r="A61" s="242"/>
      <c r="B61" s="241"/>
      <c r="C61" s="220"/>
      <c r="D61" s="9"/>
      <c r="E61" s="9"/>
      <c r="F61" s="9"/>
      <c r="G61" s="220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22"/>
      <c r="AA61" s="222"/>
      <c r="AB61" s="224"/>
      <c r="AC61" s="248"/>
    </row>
    <row r="62" spans="1:29" x14ac:dyDescent="0.2">
      <c r="A62" s="242"/>
      <c r="B62" s="245" t="s">
        <v>3</v>
      </c>
      <c r="C62" s="234" t="s">
        <v>82</v>
      </c>
      <c r="D62" s="10"/>
      <c r="E62" s="10"/>
      <c r="F62" s="10"/>
      <c r="G62" s="234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38">
        <f>SUM(L62, R62, X62)+SUM(L63, R63, X63)</f>
        <v>0</v>
      </c>
      <c r="AA62" s="238">
        <f>SUM(M62, S62, Y62)+SUM(M63, S63, Y63)</f>
        <v>0</v>
      </c>
      <c r="AB62" s="213">
        <f>IF($Z62=0, ,AA62/$Z62)</f>
        <v>0</v>
      </c>
      <c r="AC62" s="232" t="s">
        <v>87</v>
      </c>
    </row>
    <row r="63" spans="1:29" x14ac:dyDescent="0.2">
      <c r="A63" s="242"/>
      <c r="B63" s="246"/>
      <c r="C63" s="235"/>
      <c r="D63" s="10"/>
      <c r="E63" s="10"/>
      <c r="F63" s="10"/>
      <c r="G63" s="235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39"/>
      <c r="AA63" s="239"/>
      <c r="AB63" s="214"/>
      <c r="AC63" s="233"/>
    </row>
    <row r="64" spans="1:29" x14ac:dyDescent="0.2">
      <c r="A64" s="242"/>
      <c r="B64" s="240" t="s">
        <v>4</v>
      </c>
      <c r="C64" s="219" t="s">
        <v>9</v>
      </c>
      <c r="D64" s="9"/>
      <c r="E64" s="10"/>
      <c r="F64" s="9"/>
      <c r="G64" s="219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21">
        <f>SUM(L64, R64, X64)+SUM(L65, R65, X65)</f>
        <v>0</v>
      </c>
      <c r="AA64" s="221">
        <f>SUM(M64, S64, Y64)+SUM(M65, S65, Y65)</f>
        <v>0</v>
      </c>
      <c r="AB64" s="223">
        <f>IF($Z64=0, ,AA64/$Z64)</f>
        <v>0</v>
      </c>
      <c r="AC64" s="247" t="s">
        <v>87</v>
      </c>
    </row>
    <row r="65" spans="1:29" x14ac:dyDescent="0.2">
      <c r="A65" s="242"/>
      <c r="B65" s="241"/>
      <c r="C65" s="220"/>
      <c r="D65" s="9"/>
      <c r="E65" s="9"/>
      <c r="F65" s="9"/>
      <c r="G65" s="220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22"/>
      <c r="AA65" s="222"/>
      <c r="AB65" s="224"/>
      <c r="AC65" s="248"/>
    </row>
    <row r="66" spans="1:29" x14ac:dyDescent="0.2">
      <c r="A66" s="242"/>
      <c r="B66" s="249" t="s">
        <v>85</v>
      </c>
      <c r="C66" s="251" t="s">
        <v>83</v>
      </c>
      <c r="D66" s="11"/>
      <c r="E66" s="10"/>
      <c r="F66" s="11"/>
      <c r="G66" s="251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53">
        <f>SUM(L66, R66, X66)+SUM(L67, R67, X67)</f>
        <v>0</v>
      </c>
      <c r="AA66" s="253">
        <f>SUM(M66, S66, Y66)+SUM(M67, S67, Y67)</f>
        <v>0</v>
      </c>
      <c r="AB66" s="213">
        <f>IF($Z66=0, ,AA66/$Z66)</f>
        <v>0</v>
      </c>
      <c r="AC66" s="215" t="s">
        <v>87</v>
      </c>
    </row>
    <row r="67" spans="1:29" x14ac:dyDescent="0.2">
      <c r="A67" s="242"/>
      <c r="B67" s="250"/>
      <c r="C67" s="252"/>
      <c r="D67" s="11"/>
      <c r="E67" s="11"/>
      <c r="F67" s="11"/>
      <c r="G67" s="252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53"/>
      <c r="AA67" s="253"/>
      <c r="AB67" s="214"/>
      <c r="AC67" s="215"/>
    </row>
    <row r="68" spans="1:29" x14ac:dyDescent="0.2">
      <c r="A68" s="242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42"/>
      <c r="B69" s="216" t="s">
        <v>67</v>
      </c>
      <c r="C69" s="217"/>
      <c r="D69" s="217"/>
      <c r="E69" s="217"/>
      <c r="F69" s="217"/>
      <c r="G69" s="9" t="s">
        <v>68</v>
      </c>
      <c r="H69" s="218" t="s">
        <v>64</v>
      </c>
      <c r="I69" s="218"/>
      <c r="J69" s="218"/>
      <c r="K69" s="218" t="s">
        <v>76</v>
      </c>
      <c r="L69" s="218"/>
      <c r="M69" s="218"/>
      <c r="N69" s="218" t="s">
        <v>65</v>
      </c>
      <c r="O69" s="218"/>
      <c r="P69" s="218"/>
      <c r="Q69" s="218" t="s">
        <v>66</v>
      </c>
      <c r="R69" s="218"/>
      <c r="S69" s="218"/>
      <c r="T69" s="218" t="s">
        <v>73</v>
      </c>
      <c r="U69" s="218"/>
      <c r="V69" s="218"/>
      <c r="W69" s="218" t="s">
        <v>74</v>
      </c>
      <c r="X69" s="218"/>
      <c r="Y69" s="218"/>
      <c r="Z69" s="218" t="s">
        <v>75</v>
      </c>
      <c r="AA69" s="218"/>
      <c r="AB69" s="218"/>
      <c r="AC69" s="209"/>
    </row>
    <row r="70" spans="1:29" x14ac:dyDescent="0.2">
      <c r="A70" s="242"/>
      <c r="B70" s="216"/>
      <c r="C70" s="217"/>
      <c r="D70" s="217"/>
      <c r="E70" s="217"/>
      <c r="F70" s="217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09"/>
    </row>
    <row r="71" spans="1:29" x14ac:dyDescent="0.2">
      <c r="A71" s="242"/>
      <c r="B71" s="210" t="str">
        <f>B58</f>
        <v>02C</v>
      </c>
      <c r="C71" s="211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12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09"/>
    </row>
    <row r="72" spans="1:29" x14ac:dyDescent="0.2">
      <c r="A72" s="242"/>
      <c r="B72" s="210"/>
      <c r="C72" s="211"/>
      <c r="D72" s="9"/>
      <c r="E72" s="9" t="str">
        <f t="shared" ref="E72:F74" si="11">IF(ISBLANK(E59), "", E59)</f>
        <v/>
      </c>
      <c r="F72" s="9" t="str">
        <f t="shared" si="11"/>
        <v/>
      </c>
      <c r="G72" s="212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09"/>
    </row>
    <row r="73" spans="1:29" x14ac:dyDescent="0.2">
      <c r="A73" s="242"/>
      <c r="B73" s="210" t="str">
        <f>B60</f>
        <v>03C</v>
      </c>
      <c r="C73" s="211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12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09"/>
    </row>
    <row r="74" spans="1:29" x14ac:dyDescent="0.2">
      <c r="A74" s="242"/>
      <c r="B74" s="210"/>
      <c r="C74" s="211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12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09"/>
    </row>
    <row r="76" spans="1:29" x14ac:dyDescent="0.2">
      <c r="A76" s="242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42"/>
      <c r="B77" s="243" t="s">
        <v>10</v>
      </c>
      <c r="C77" s="244" t="s">
        <v>0</v>
      </c>
      <c r="D77" s="244" t="s">
        <v>25</v>
      </c>
      <c r="E77" s="244" t="s">
        <v>11</v>
      </c>
      <c r="F77" s="244" t="s">
        <v>16</v>
      </c>
      <c r="G77" s="225" t="s">
        <v>12</v>
      </c>
      <c r="H77" s="226" t="s">
        <v>13</v>
      </c>
      <c r="I77" s="227"/>
      <c r="J77" s="227"/>
      <c r="K77" s="227"/>
      <c r="L77" s="227"/>
      <c r="M77" s="228"/>
      <c r="N77" s="226" t="s">
        <v>14</v>
      </c>
      <c r="O77" s="227"/>
      <c r="P77" s="227"/>
      <c r="Q77" s="227"/>
      <c r="R77" s="227"/>
      <c r="S77" s="228"/>
      <c r="T77" s="226" t="s">
        <v>15</v>
      </c>
      <c r="U77" s="227"/>
      <c r="V77" s="227"/>
      <c r="W77" s="227"/>
      <c r="X77" s="227"/>
      <c r="Y77" s="228"/>
      <c r="Z77" s="229" t="s">
        <v>37</v>
      </c>
      <c r="AA77" s="229" t="s">
        <v>39</v>
      </c>
      <c r="AB77" s="229" t="s">
        <v>62</v>
      </c>
      <c r="AC77" s="254" t="s">
        <v>26</v>
      </c>
    </row>
    <row r="78" spans="1:29" ht="25.5" x14ac:dyDescent="0.2">
      <c r="A78" s="242"/>
      <c r="B78" s="243"/>
      <c r="C78" s="244"/>
      <c r="D78" s="244"/>
      <c r="E78" s="244"/>
      <c r="F78" s="244"/>
      <c r="G78" s="225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30"/>
      <c r="AA78" s="231"/>
      <c r="AB78" s="231"/>
      <c r="AC78" s="254"/>
    </row>
    <row r="79" spans="1:29" x14ac:dyDescent="0.2">
      <c r="A79" s="242"/>
      <c r="B79" s="255" t="s">
        <v>2</v>
      </c>
      <c r="C79" s="257" t="s">
        <v>84</v>
      </c>
      <c r="D79" s="12"/>
      <c r="E79" s="10"/>
      <c r="F79" s="12"/>
      <c r="G79" s="257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21">
        <f>SUM(L79, R79, X79)+SUM(L80, R80, X80)</f>
        <v>0</v>
      </c>
      <c r="AA79" s="221">
        <f>SUM(M79, S79, Y79)+SUM(M80, S80, Y80)</f>
        <v>0</v>
      </c>
      <c r="AB79" s="223">
        <f>IF($Z79=0, ,AA79/$Z79)</f>
        <v>0</v>
      </c>
      <c r="AC79" s="247" t="s">
        <v>87</v>
      </c>
    </row>
    <row r="80" spans="1:29" x14ac:dyDescent="0.2">
      <c r="A80" s="242"/>
      <c r="B80" s="256"/>
      <c r="C80" s="258"/>
      <c r="D80" s="12"/>
      <c r="E80" s="12"/>
      <c r="F80" s="12"/>
      <c r="G80" s="259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22"/>
      <c r="AA80" s="222"/>
      <c r="AB80" s="224"/>
      <c r="AC80" s="248"/>
    </row>
    <row r="81" spans="1:29" x14ac:dyDescent="0.2">
      <c r="A81" s="242"/>
      <c r="B81" s="245" t="s">
        <v>6</v>
      </c>
      <c r="C81" s="234" t="s">
        <v>8</v>
      </c>
      <c r="D81" s="10"/>
      <c r="E81" s="10"/>
      <c r="F81" s="10"/>
      <c r="G81" s="234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36">
        <f>SUM(L81, R81, X81)+SUM(L82, R82, X82)</f>
        <v>0</v>
      </c>
      <c r="AA81" s="238">
        <f>SUM(M81, S81, Y81)+SUM(M82, S82, Y82)</f>
        <v>0</v>
      </c>
      <c r="AB81" s="213">
        <f>IF($Z81=0, ,AA81/$Z81)</f>
        <v>0</v>
      </c>
      <c r="AC81" s="232" t="s">
        <v>87</v>
      </c>
    </row>
    <row r="82" spans="1:29" x14ac:dyDescent="0.2">
      <c r="A82" s="242"/>
      <c r="B82" s="246"/>
      <c r="C82" s="235"/>
      <c r="D82" s="10"/>
      <c r="E82" s="10"/>
      <c r="F82" s="10"/>
      <c r="G82" s="235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37"/>
      <c r="AA82" s="239"/>
      <c r="AB82" s="214"/>
      <c r="AC82" s="233"/>
    </row>
    <row r="83" spans="1:29" x14ac:dyDescent="0.2">
      <c r="A83" s="242"/>
      <c r="B83" s="240" t="s">
        <v>7</v>
      </c>
      <c r="C83" s="219" t="s">
        <v>81</v>
      </c>
      <c r="D83" s="9"/>
      <c r="E83" s="9"/>
      <c r="F83" s="9"/>
      <c r="G83" s="219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21">
        <f>SUM(L83, R83, X83)+SUM(L84, R84, X84)</f>
        <v>0</v>
      </c>
      <c r="AA83" s="221">
        <f>SUM(M83, S83, Y83)+SUM(M84, S84, Y84)</f>
        <v>0</v>
      </c>
      <c r="AB83" s="223">
        <f>IF($Z83=0, ,AA83/$Z83)</f>
        <v>0</v>
      </c>
      <c r="AC83" s="247" t="s">
        <v>87</v>
      </c>
    </row>
    <row r="84" spans="1:29" x14ac:dyDescent="0.2">
      <c r="A84" s="242"/>
      <c r="B84" s="241"/>
      <c r="C84" s="220"/>
      <c r="D84" s="9"/>
      <c r="E84" s="9"/>
      <c r="F84" s="9"/>
      <c r="G84" s="220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22"/>
      <c r="AA84" s="222"/>
      <c r="AB84" s="224"/>
      <c r="AC84" s="248"/>
    </row>
    <row r="85" spans="1:29" x14ac:dyDescent="0.2">
      <c r="A85" s="242"/>
      <c r="B85" s="245" t="s">
        <v>3</v>
      </c>
      <c r="C85" s="234" t="s">
        <v>82</v>
      </c>
      <c r="D85" s="10"/>
      <c r="E85" s="10"/>
      <c r="F85" s="10"/>
      <c r="G85" s="234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38">
        <f>SUM(L85, R85, X85)+SUM(L86, R86, X86)</f>
        <v>0</v>
      </c>
      <c r="AA85" s="238">
        <f>SUM(M85, S85, Y85)+SUM(M86, S86, Y86)</f>
        <v>0</v>
      </c>
      <c r="AB85" s="213">
        <f>IF($Z85=0, ,AA85/$Z85)</f>
        <v>0</v>
      </c>
      <c r="AC85" s="232" t="s">
        <v>87</v>
      </c>
    </row>
    <row r="86" spans="1:29" x14ac:dyDescent="0.2">
      <c r="A86" s="242"/>
      <c r="B86" s="246"/>
      <c r="C86" s="235"/>
      <c r="D86" s="10"/>
      <c r="E86" s="10"/>
      <c r="F86" s="10"/>
      <c r="G86" s="235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39"/>
      <c r="AA86" s="239"/>
      <c r="AB86" s="214"/>
      <c r="AC86" s="233"/>
    </row>
    <row r="87" spans="1:29" x14ac:dyDescent="0.2">
      <c r="A87" s="242"/>
      <c r="B87" s="240" t="s">
        <v>4</v>
      </c>
      <c r="C87" s="219" t="s">
        <v>9</v>
      </c>
      <c r="D87" s="9"/>
      <c r="E87" s="10"/>
      <c r="F87" s="9"/>
      <c r="G87" s="219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21">
        <f>SUM(L87, R87, X87)+SUM(L88, R88, X88)</f>
        <v>0</v>
      </c>
      <c r="AA87" s="221">
        <f>SUM(M87, S87, Y87)+SUM(M88, S88, Y88)</f>
        <v>0</v>
      </c>
      <c r="AB87" s="223">
        <f>IF($Z87=0, ,AA87/$Z87)</f>
        <v>0</v>
      </c>
      <c r="AC87" s="247" t="s">
        <v>87</v>
      </c>
    </row>
    <row r="88" spans="1:29" x14ac:dyDescent="0.2">
      <c r="A88" s="242"/>
      <c r="B88" s="241"/>
      <c r="C88" s="220"/>
      <c r="D88" s="9"/>
      <c r="E88" s="9"/>
      <c r="F88" s="9"/>
      <c r="G88" s="220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22"/>
      <c r="AA88" s="222"/>
      <c r="AB88" s="224"/>
      <c r="AC88" s="248"/>
    </row>
    <row r="89" spans="1:29" x14ac:dyDescent="0.2">
      <c r="A89" s="242"/>
      <c r="B89" s="249" t="s">
        <v>85</v>
      </c>
      <c r="C89" s="251" t="s">
        <v>83</v>
      </c>
      <c r="D89" s="11"/>
      <c r="E89" s="10"/>
      <c r="F89" s="11"/>
      <c r="G89" s="251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53">
        <f>SUM(L89, R89, X89)+SUM(L90, R90, X90)</f>
        <v>0</v>
      </c>
      <c r="AA89" s="253">
        <f>SUM(M89, S89, Y89)+SUM(M90, S90, Y90)</f>
        <v>0</v>
      </c>
      <c r="AB89" s="213">
        <f>IF($Z89=0, ,AA89/$Z89)</f>
        <v>0</v>
      </c>
      <c r="AC89" s="215" t="s">
        <v>87</v>
      </c>
    </row>
    <row r="90" spans="1:29" x14ac:dyDescent="0.2">
      <c r="A90" s="242"/>
      <c r="B90" s="250"/>
      <c r="C90" s="252"/>
      <c r="D90" s="11"/>
      <c r="E90" s="11"/>
      <c r="F90" s="11"/>
      <c r="G90" s="252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53"/>
      <c r="AA90" s="253"/>
      <c r="AB90" s="214"/>
      <c r="AC90" s="215"/>
    </row>
    <row r="91" spans="1:29" x14ac:dyDescent="0.2">
      <c r="A91" s="242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42"/>
      <c r="B92" s="216" t="s">
        <v>67</v>
      </c>
      <c r="C92" s="217"/>
      <c r="D92" s="217"/>
      <c r="E92" s="217"/>
      <c r="F92" s="217"/>
      <c r="G92" s="9" t="s">
        <v>68</v>
      </c>
      <c r="H92" s="218" t="s">
        <v>64</v>
      </c>
      <c r="I92" s="218"/>
      <c r="J92" s="218"/>
      <c r="K92" s="218" t="s">
        <v>76</v>
      </c>
      <c r="L92" s="218"/>
      <c r="M92" s="218"/>
      <c r="N92" s="218" t="s">
        <v>65</v>
      </c>
      <c r="O92" s="218"/>
      <c r="P92" s="218"/>
      <c r="Q92" s="218" t="s">
        <v>66</v>
      </c>
      <c r="R92" s="218"/>
      <c r="S92" s="218"/>
      <c r="T92" s="218" t="s">
        <v>73</v>
      </c>
      <c r="U92" s="218"/>
      <c r="V92" s="218"/>
      <c r="W92" s="218" t="s">
        <v>74</v>
      </c>
      <c r="X92" s="218"/>
      <c r="Y92" s="218"/>
      <c r="Z92" s="218" t="s">
        <v>75</v>
      </c>
      <c r="AA92" s="218"/>
      <c r="AB92" s="218"/>
      <c r="AC92" s="209"/>
    </row>
    <row r="93" spans="1:29" x14ac:dyDescent="0.2">
      <c r="A93" s="242"/>
      <c r="B93" s="216"/>
      <c r="C93" s="217"/>
      <c r="D93" s="217"/>
      <c r="E93" s="217"/>
      <c r="F93" s="217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09"/>
    </row>
    <row r="94" spans="1:29" x14ac:dyDescent="0.2">
      <c r="A94" s="242"/>
      <c r="B94" s="210" t="str">
        <f>B81</f>
        <v>02C</v>
      </c>
      <c r="C94" s="211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12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09"/>
    </row>
    <row r="95" spans="1:29" x14ac:dyDescent="0.2">
      <c r="A95" s="242"/>
      <c r="B95" s="210"/>
      <c r="C95" s="211"/>
      <c r="D95" s="9"/>
      <c r="E95" s="9" t="str">
        <f t="shared" ref="E95:F97" si="15">IF(ISBLANK(E82), "", E82)</f>
        <v/>
      </c>
      <c r="F95" s="9" t="str">
        <f t="shared" si="15"/>
        <v/>
      </c>
      <c r="G95" s="212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09"/>
    </row>
    <row r="96" spans="1:29" x14ac:dyDescent="0.2">
      <c r="A96" s="242"/>
      <c r="B96" s="210" t="str">
        <f>B83</f>
        <v>03C</v>
      </c>
      <c r="C96" s="211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12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09"/>
    </row>
    <row r="97" spans="1:29" x14ac:dyDescent="0.2">
      <c r="A97" s="242"/>
      <c r="B97" s="210"/>
      <c r="C97" s="211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12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09"/>
    </row>
    <row r="99" spans="1:29" x14ac:dyDescent="0.2">
      <c r="A99" s="242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42"/>
      <c r="B100" s="243" t="s">
        <v>10</v>
      </c>
      <c r="C100" s="244" t="s">
        <v>0</v>
      </c>
      <c r="D100" s="244" t="s">
        <v>25</v>
      </c>
      <c r="E100" s="244" t="s">
        <v>11</v>
      </c>
      <c r="F100" s="244" t="s">
        <v>16</v>
      </c>
      <c r="G100" s="225" t="s">
        <v>12</v>
      </c>
      <c r="H100" s="226" t="s">
        <v>13</v>
      </c>
      <c r="I100" s="227"/>
      <c r="J100" s="227"/>
      <c r="K100" s="227"/>
      <c r="L100" s="227"/>
      <c r="M100" s="228"/>
      <c r="N100" s="226" t="s">
        <v>14</v>
      </c>
      <c r="O100" s="227"/>
      <c r="P100" s="227"/>
      <c r="Q100" s="227"/>
      <c r="R100" s="227"/>
      <c r="S100" s="228"/>
      <c r="T100" s="226" t="s">
        <v>15</v>
      </c>
      <c r="U100" s="227"/>
      <c r="V100" s="227"/>
      <c r="W100" s="227"/>
      <c r="X100" s="227"/>
      <c r="Y100" s="228"/>
      <c r="Z100" s="229" t="s">
        <v>37</v>
      </c>
      <c r="AA100" s="229" t="s">
        <v>39</v>
      </c>
      <c r="AB100" s="229" t="s">
        <v>62</v>
      </c>
      <c r="AC100" s="254" t="s">
        <v>26</v>
      </c>
    </row>
    <row r="101" spans="1:29" ht="36" customHeight="1" x14ac:dyDescent="0.2">
      <c r="A101" s="242"/>
      <c r="B101" s="243"/>
      <c r="C101" s="244"/>
      <c r="D101" s="244"/>
      <c r="E101" s="244"/>
      <c r="F101" s="244"/>
      <c r="G101" s="225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30"/>
      <c r="AA101" s="231"/>
      <c r="AB101" s="231"/>
      <c r="AC101" s="254"/>
    </row>
    <row r="102" spans="1:29" x14ac:dyDescent="0.2">
      <c r="A102" s="242"/>
      <c r="B102" s="255" t="s">
        <v>2</v>
      </c>
      <c r="C102" s="257" t="s">
        <v>84</v>
      </c>
      <c r="D102" s="12"/>
      <c r="E102" s="10"/>
      <c r="F102" s="12"/>
      <c r="G102" s="257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21">
        <f>SUM(L102, R102, X102)+SUM(L103, R103, X103)</f>
        <v>0</v>
      </c>
      <c r="AA102" s="221">
        <f>SUM(M102, S102, Y102)+SUM(M103, S103, Y103)</f>
        <v>0</v>
      </c>
      <c r="AB102" s="223">
        <f>IF($Z102=0, ,AA102/$Z102)</f>
        <v>0</v>
      </c>
      <c r="AC102" s="247" t="s">
        <v>87</v>
      </c>
    </row>
    <row r="103" spans="1:29" x14ac:dyDescent="0.2">
      <c r="A103" s="242"/>
      <c r="B103" s="256"/>
      <c r="C103" s="258"/>
      <c r="D103" s="12"/>
      <c r="E103" s="12"/>
      <c r="F103" s="12"/>
      <c r="G103" s="259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22"/>
      <c r="AA103" s="222"/>
      <c r="AB103" s="224"/>
      <c r="AC103" s="248"/>
    </row>
    <row r="104" spans="1:29" x14ac:dyDescent="0.2">
      <c r="A104" s="242"/>
      <c r="B104" s="245" t="s">
        <v>6</v>
      </c>
      <c r="C104" s="234" t="s">
        <v>8</v>
      </c>
      <c r="D104" s="10"/>
      <c r="E104" s="10"/>
      <c r="F104" s="10"/>
      <c r="G104" s="234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36">
        <f>SUM(L104, R104, X104)+SUM(L105, R105, X105)</f>
        <v>0</v>
      </c>
      <c r="AA104" s="238">
        <f>SUM(M104, S104, Y104)+SUM(M105, S105, Y105)</f>
        <v>0</v>
      </c>
      <c r="AB104" s="213">
        <f>IF($Z104=0, ,AA104/$Z104)</f>
        <v>0</v>
      </c>
      <c r="AC104" s="232" t="s">
        <v>87</v>
      </c>
    </row>
    <row r="105" spans="1:29" x14ac:dyDescent="0.2">
      <c r="A105" s="242"/>
      <c r="B105" s="246"/>
      <c r="C105" s="235"/>
      <c r="D105" s="10"/>
      <c r="E105" s="10"/>
      <c r="F105" s="10"/>
      <c r="G105" s="235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37"/>
      <c r="AA105" s="239"/>
      <c r="AB105" s="214"/>
      <c r="AC105" s="233"/>
    </row>
    <row r="106" spans="1:29" x14ac:dyDescent="0.2">
      <c r="A106" s="242"/>
      <c r="B106" s="240" t="s">
        <v>7</v>
      </c>
      <c r="C106" s="219" t="s">
        <v>81</v>
      </c>
      <c r="D106" s="9"/>
      <c r="E106" s="9"/>
      <c r="F106" s="9"/>
      <c r="G106" s="219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21">
        <f>SUM(L106, R106, X106)+SUM(L107, R107, X107)</f>
        <v>0</v>
      </c>
      <c r="AA106" s="221">
        <f>SUM(M106, S106, Y106)+SUM(M107, S107, Y107)</f>
        <v>0</v>
      </c>
      <c r="AB106" s="223">
        <f>IF($Z106=0, ,AA106/$Z106)</f>
        <v>0</v>
      </c>
      <c r="AC106" s="247" t="s">
        <v>87</v>
      </c>
    </row>
    <row r="107" spans="1:29" x14ac:dyDescent="0.2">
      <c r="A107" s="242"/>
      <c r="B107" s="241"/>
      <c r="C107" s="220"/>
      <c r="D107" s="9"/>
      <c r="E107" s="9"/>
      <c r="F107" s="9"/>
      <c r="G107" s="220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22"/>
      <c r="AA107" s="222"/>
      <c r="AB107" s="224"/>
      <c r="AC107" s="248"/>
    </row>
    <row r="108" spans="1:29" x14ac:dyDescent="0.2">
      <c r="A108" s="242"/>
      <c r="B108" s="245" t="s">
        <v>3</v>
      </c>
      <c r="C108" s="234" t="s">
        <v>82</v>
      </c>
      <c r="D108" s="10"/>
      <c r="E108" s="10"/>
      <c r="F108" s="10"/>
      <c r="G108" s="234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38">
        <f>SUM(L108, R108, X108)+SUM(L109, R109, X109)</f>
        <v>0</v>
      </c>
      <c r="AA108" s="238">
        <f>SUM(M108, S108, Y108)+SUM(M109, S109, Y109)</f>
        <v>0</v>
      </c>
      <c r="AB108" s="213">
        <f>IF($Z108=0, ,AA108/$Z108)</f>
        <v>0</v>
      </c>
      <c r="AC108" s="232" t="s">
        <v>87</v>
      </c>
    </row>
    <row r="109" spans="1:29" x14ac:dyDescent="0.2">
      <c r="A109" s="242"/>
      <c r="B109" s="246"/>
      <c r="C109" s="235"/>
      <c r="D109" s="10"/>
      <c r="E109" s="10"/>
      <c r="F109" s="10"/>
      <c r="G109" s="235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39"/>
      <c r="AA109" s="239"/>
      <c r="AB109" s="214"/>
      <c r="AC109" s="233"/>
    </row>
    <row r="110" spans="1:29" x14ac:dyDescent="0.2">
      <c r="A110" s="242"/>
      <c r="B110" s="240" t="s">
        <v>4</v>
      </c>
      <c r="C110" s="219" t="s">
        <v>9</v>
      </c>
      <c r="D110" s="9"/>
      <c r="E110" s="10"/>
      <c r="F110" s="9"/>
      <c r="G110" s="219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21">
        <f>SUM(L110, R110, X110)+SUM(L111, R111, X111)</f>
        <v>0</v>
      </c>
      <c r="AA110" s="221">
        <f>SUM(M110, S110, Y110)+SUM(M111, S111, Y111)</f>
        <v>0</v>
      </c>
      <c r="AB110" s="223">
        <f>IF($Z110=0, ,AA110/$Z110)</f>
        <v>0</v>
      </c>
      <c r="AC110" s="247" t="s">
        <v>87</v>
      </c>
    </row>
    <row r="111" spans="1:29" x14ac:dyDescent="0.2">
      <c r="A111" s="242"/>
      <c r="B111" s="241"/>
      <c r="C111" s="220"/>
      <c r="D111" s="9"/>
      <c r="E111" s="9"/>
      <c r="F111" s="9"/>
      <c r="G111" s="220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22"/>
      <c r="AA111" s="222"/>
      <c r="AB111" s="224"/>
      <c r="AC111" s="248"/>
    </row>
    <row r="112" spans="1:29" x14ac:dyDescent="0.2">
      <c r="A112" s="242"/>
      <c r="B112" s="249" t="s">
        <v>85</v>
      </c>
      <c r="C112" s="251" t="s">
        <v>83</v>
      </c>
      <c r="D112" s="11"/>
      <c r="E112" s="10"/>
      <c r="F112" s="11"/>
      <c r="G112" s="251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53">
        <f>SUM(L112, R112, X112)+SUM(L113, R113, X113)</f>
        <v>0</v>
      </c>
      <c r="AA112" s="253">
        <f>SUM(M112, S112, Y112)+SUM(M113, S113, Y113)</f>
        <v>0</v>
      </c>
      <c r="AB112" s="213">
        <f>IF($Z112=0, ,AA112/$Z112)</f>
        <v>0</v>
      </c>
      <c r="AC112" s="215" t="s">
        <v>87</v>
      </c>
    </row>
    <row r="113" spans="1:29" x14ac:dyDescent="0.2">
      <c r="A113" s="242"/>
      <c r="B113" s="250"/>
      <c r="C113" s="252"/>
      <c r="D113" s="11"/>
      <c r="E113" s="11"/>
      <c r="F113" s="11"/>
      <c r="G113" s="252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53"/>
      <c r="AA113" s="253"/>
      <c r="AB113" s="214"/>
      <c r="AC113" s="215"/>
    </row>
    <row r="114" spans="1:29" x14ac:dyDescent="0.2">
      <c r="A114" s="242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42"/>
      <c r="B115" s="216" t="s">
        <v>67</v>
      </c>
      <c r="C115" s="217"/>
      <c r="D115" s="217"/>
      <c r="E115" s="217"/>
      <c r="F115" s="217"/>
      <c r="G115" s="9" t="s">
        <v>68</v>
      </c>
      <c r="H115" s="218" t="s">
        <v>64</v>
      </c>
      <c r="I115" s="218"/>
      <c r="J115" s="218"/>
      <c r="K115" s="218" t="s">
        <v>76</v>
      </c>
      <c r="L115" s="218"/>
      <c r="M115" s="218"/>
      <c r="N115" s="218" t="s">
        <v>65</v>
      </c>
      <c r="O115" s="218"/>
      <c r="P115" s="218"/>
      <c r="Q115" s="218" t="s">
        <v>66</v>
      </c>
      <c r="R115" s="218"/>
      <c r="S115" s="218"/>
      <c r="T115" s="218" t="s">
        <v>73</v>
      </c>
      <c r="U115" s="218"/>
      <c r="V115" s="218"/>
      <c r="W115" s="218" t="s">
        <v>74</v>
      </c>
      <c r="X115" s="218"/>
      <c r="Y115" s="218"/>
      <c r="Z115" s="218" t="s">
        <v>75</v>
      </c>
      <c r="AA115" s="218"/>
      <c r="AB115" s="218"/>
      <c r="AC115" s="209"/>
    </row>
    <row r="116" spans="1:29" x14ac:dyDescent="0.2">
      <c r="A116" s="242"/>
      <c r="B116" s="216"/>
      <c r="C116" s="217"/>
      <c r="D116" s="217"/>
      <c r="E116" s="217"/>
      <c r="F116" s="217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09"/>
    </row>
    <row r="117" spans="1:29" x14ac:dyDescent="0.2">
      <c r="A117" s="242"/>
      <c r="B117" s="210" t="str">
        <f>B104</f>
        <v>02C</v>
      </c>
      <c r="C117" s="211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12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09"/>
    </row>
    <row r="118" spans="1:29" x14ac:dyDescent="0.2">
      <c r="A118" s="242"/>
      <c r="B118" s="210"/>
      <c r="C118" s="211"/>
      <c r="D118" s="9"/>
      <c r="E118" s="9" t="str">
        <f t="shared" ref="E118:F120" si="19">IF(ISBLANK(E105), "", E105)</f>
        <v/>
      </c>
      <c r="F118" s="9" t="str">
        <f t="shared" si="19"/>
        <v/>
      </c>
      <c r="G118" s="212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09"/>
    </row>
    <row r="119" spans="1:29" x14ac:dyDescent="0.2">
      <c r="A119" s="242"/>
      <c r="B119" s="210" t="str">
        <f>B106</f>
        <v>03C</v>
      </c>
      <c r="C119" s="211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12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09"/>
    </row>
    <row r="120" spans="1:29" x14ac:dyDescent="0.2">
      <c r="A120" s="242"/>
      <c r="B120" s="210"/>
      <c r="C120" s="211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12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09"/>
    </row>
    <row r="122" spans="1:29" x14ac:dyDescent="0.2">
      <c r="A122" s="242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42"/>
      <c r="B123" s="243" t="s">
        <v>10</v>
      </c>
      <c r="C123" s="244" t="s">
        <v>0</v>
      </c>
      <c r="D123" s="244" t="s">
        <v>25</v>
      </c>
      <c r="E123" s="244" t="s">
        <v>11</v>
      </c>
      <c r="F123" s="244" t="s">
        <v>16</v>
      </c>
      <c r="G123" s="225" t="s">
        <v>12</v>
      </c>
      <c r="H123" s="226" t="s">
        <v>13</v>
      </c>
      <c r="I123" s="227"/>
      <c r="J123" s="227"/>
      <c r="K123" s="227"/>
      <c r="L123" s="227"/>
      <c r="M123" s="228"/>
      <c r="N123" s="226" t="s">
        <v>14</v>
      </c>
      <c r="O123" s="227"/>
      <c r="P123" s="227"/>
      <c r="Q123" s="227"/>
      <c r="R123" s="227"/>
      <c r="S123" s="228"/>
      <c r="T123" s="226" t="s">
        <v>15</v>
      </c>
      <c r="U123" s="227"/>
      <c r="V123" s="227"/>
      <c r="W123" s="227"/>
      <c r="X123" s="227"/>
      <c r="Y123" s="228"/>
      <c r="Z123" s="229" t="s">
        <v>37</v>
      </c>
      <c r="AA123" s="229" t="s">
        <v>39</v>
      </c>
      <c r="AB123" s="229" t="s">
        <v>62</v>
      </c>
      <c r="AC123" s="254" t="s">
        <v>26</v>
      </c>
    </row>
    <row r="124" spans="1:29" ht="39.75" customHeight="1" x14ac:dyDescent="0.2">
      <c r="A124" s="242"/>
      <c r="B124" s="243"/>
      <c r="C124" s="244"/>
      <c r="D124" s="244"/>
      <c r="E124" s="244"/>
      <c r="F124" s="244"/>
      <c r="G124" s="225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30"/>
      <c r="AA124" s="231"/>
      <c r="AB124" s="231"/>
      <c r="AC124" s="254"/>
    </row>
    <row r="125" spans="1:29" x14ac:dyDescent="0.2">
      <c r="A125" s="242"/>
      <c r="B125" s="255" t="s">
        <v>2</v>
      </c>
      <c r="C125" s="257" t="s">
        <v>84</v>
      </c>
      <c r="D125" s="12"/>
      <c r="E125" s="10"/>
      <c r="F125" s="12"/>
      <c r="G125" s="257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21">
        <f>SUM(L125, R125, X125)+SUM(L126, R126, X126)</f>
        <v>0</v>
      </c>
      <c r="AA125" s="221">
        <f>SUM(M125, S125, Y125)+SUM(M126, S126, Y126)</f>
        <v>0</v>
      </c>
      <c r="AB125" s="223">
        <f>IF($Z125=0, ,AA125/$Z125)</f>
        <v>0</v>
      </c>
      <c r="AC125" s="247" t="s">
        <v>87</v>
      </c>
    </row>
    <row r="126" spans="1:29" x14ac:dyDescent="0.2">
      <c r="A126" s="242"/>
      <c r="B126" s="256"/>
      <c r="C126" s="258"/>
      <c r="D126" s="12"/>
      <c r="E126" s="12"/>
      <c r="F126" s="12"/>
      <c r="G126" s="259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22"/>
      <c r="AA126" s="222"/>
      <c r="AB126" s="224"/>
      <c r="AC126" s="248"/>
    </row>
    <row r="127" spans="1:29" x14ac:dyDescent="0.2">
      <c r="A127" s="242"/>
      <c r="B127" s="245" t="s">
        <v>6</v>
      </c>
      <c r="C127" s="234" t="s">
        <v>8</v>
      </c>
      <c r="D127" s="10"/>
      <c r="E127" s="10"/>
      <c r="F127" s="10"/>
      <c r="G127" s="234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36">
        <f>SUM(L127, R127, X127)+SUM(L128, R128, X128)</f>
        <v>0</v>
      </c>
      <c r="AA127" s="238">
        <f>SUM(M127, S127, Y127)+SUM(M128, S128, Y128)</f>
        <v>0</v>
      </c>
      <c r="AB127" s="213">
        <f>IF($Z127=0, ,AA127/$Z127)</f>
        <v>0</v>
      </c>
      <c r="AC127" s="232" t="s">
        <v>87</v>
      </c>
    </row>
    <row r="128" spans="1:29" x14ac:dyDescent="0.2">
      <c r="A128" s="242"/>
      <c r="B128" s="246"/>
      <c r="C128" s="235"/>
      <c r="D128" s="10"/>
      <c r="E128" s="10"/>
      <c r="F128" s="10"/>
      <c r="G128" s="235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37"/>
      <c r="AA128" s="239"/>
      <c r="AB128" s="214"/>
      <c r="AC128" s="233"/>
    </row>
    <row r="129" spans="1:29" x14ac:dyDescent="0.2">
      <c r="A129" s="242"/>
      <c r="B129" s="240" t="s">
        <v>7</v>
      </c>
      <c r="C129" s="219" t="s">
        <v>81</v>
      </c>
      <c r="D129" s="9"/>
      <c r="E129" s="9"/>
      <c r="F129" s="9"/>
      <c r="G129" s="219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21">
        <f>SUM(L129, R129, X129)+SUM(L130, R130, X130)</f>
        <v>0</v>
      </c>
      <c r="AA129" s="221">
        <f>SUM(M129, S129, Y129)+SUM(M130, S130, Y130)</f>
        <v>0</v>
      </c>
      <c r="AB129" s="223">
        <f>IF($Z129=0, ,AA129/$Z129)</f>
        <v>0</v>
      </c>
      <c r="AC129" s="247" t="s">
        <v>87</v>
      </c>
    </row>
    <row r="130" spans="1:29" x14ac:dyDescent="0.2">
      <c r="A130" s="242"/>
      <c r="B130" s="241"/>
      <c r="C130" s="220"/>
      <c r="D130" s="9"/>
      <c r="E130" s="9"/>
      <c r="F130" s="9"/>
      <c r="G130" s="220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22"/>
      <c r="AA130" s="222"/>
      <c r="AB130" s="224"/>
      <c r="AC130" s="248"/>
    </row>
    <row r="131" spans="1:29" x14ac:dyDescent="0.2">
      <c r="A131" s="242"/>
      <c r="B131" s="245" t="s">
        <v>3</v>
      </c>
      <c r="C131" s="234" t="s">
        <v>82</v>
      </c>
      <c r="D131" s="10"/>
      <c r="E131" s="10"/>
      <c r="F131" s="10"/>
      <c r="G131" s="234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38">
        <f>SUM(L131, R131, X131)+SUM(L132, R132, X132)</f>
        <v>0</v>
      </c>
      <c r="AA131" s="238">
        <f>SUM(M131, S131, Y131)+SUM(M132, S132, Y132)</f>
        <v>0</v>
      </c>
      <c r="AB131" s="213">
        <f>IF($Z131=0, ,AA131/$Z131)</f>
        <v>0</v>
      </c>
      <c r="AC131" s="232" t="s">
        <v>87</v>
      </c>
    </row>
    <row r="132" spans="1:29" x14ac:dyDescent="0.2">
      <c r="A132" s="242"/>
      <c r="B132" s="246"/>
      <c r="C132" s="235"/>
      <c r="D132" s="10"/>
      <c r="E132" s="10"/>
      <c r="F132" s="10"/>
      <c r="G132" s="235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39"/>
      <c r="AA132" s="239"/>
      <c r="AB132" s="214"/>
      <c r="AC132" s="233"/>
    </row>
    <row r="133" spans="1:29" x14ac:dyDescent="0.2">
      <c r="A133" s="242"/>
      <c r="B133" s="240" t="s">
        <v>4</v>
      </c>
      <c r="C133" s="219" t="s">
        <v>9</v>
      </c>
      <c r="D133" s="9"/>
      <c r="E133" s="10"/>
      <c r="F133" s="9"/>
      <c r="G133" s="219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21">
        <f>SUM(L133, R133, X133)+SUM(L134, R134, X134)</f>
        <v>0</v>
      </c>
      <c r="AA133" s="221">
        <f>SUM(M133, S133, Y133)+SUM(M134, S134, Y134)</f>
        <v>0</v>
      </c>
      <c r="AB133" s="223">
        <f>IF($Z133=0, ,AA133/$Z133)</f>
        <v>0</v>
      </c>
      <c r="AC133" s="247" t="s">
        <v>87</v>
      </c>
    </row>
    <row r="134" spans="1:29" x14ac:dyDescent="0.2">
      <c r="A134" s="242"/>
      <c r="B134" s="241"/>
      <c r="C134" s="220"/>
      <c r="D134" s="9"/>
      <c r="E134" s="9"/>
      <c r="F134" s="9"/>
      <c r="G134" s="220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22"/>
      <c r="AA134" s="222"/>
      <c r="AB134" s="224"/>
      <c r="AC134" s="248"/>
    </row>
    <row r="135" spans="1:29" x14ac:dyDescent="0.2">
      <c r="A135" s="242"/>
      <c r="B135" s="249" t="s">
        <v>85</v>
      </c>
      <c r="C135" s="251" t="s">
        <v>83</v>
      </c>
      <c r="D135" s="11"/>
      <c r="E135" s="10"/>
      <c r="F135" s="11"/>
      <c r="G135" s="251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53">
        <f>SUM(L135, R135, X135)+SUM(L136, R136, X136)</f>
        <v>0</v>
      </c>
      <c r="AA135" s="253">
        <f>SUM(M135, S135, Y135)+SUM(M136, S136, Y136)</f>
        <v>0</v>
      </c>
      <c r="AB135" s="213">
        <f>IF($Z135=0, ,AA135/$Z135)</f>
        <v>0</v>
      </c>
      <c r="AC135" s="215" t="s">
        <v>87</v>
      </c>
    </row>
    <row r="136" spans="1:29" x14ac:dyDescent="0.2">
      <c r="A136" s="242"/>
      <c r="B136" s="250"/>
      <c r="C136" s="252"/>
      <c r="D136" s="11"/>
      <c r="E136" s="11"/>
      <c r="F136" s="11"/>
      <c r="G136" s="252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53"/>
      <c r="AA136" s="253"/>
      <c r="AB136" s="214"/>
      <c r="AC136" s="215"/>
    </row>
    <row r="137" spans="1:29" x14ac:dyDescent="0.2">
      <c r="A137" s="242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42"/>
      <c r="B138" s="216" t="s">
        <v>67</v>
      </c>
      <c r="C138" s="217"/>
      <c r="D138" s="217"/>
      <c r="E138" s="217"/>
      <c r="F138" s="217"/>
      <c r="G138" s="9" t="s">
        <v>68</v>
      </c>
      <c r="H138" s="218" t="s">
        <v>64</v>
      </c>
      <c r="I138" s="218"/>
      <c r="J138" s="218"/>
      <c r="K138" s="218" t="s">
        <v>76</v>
      </c>
      <c r="L138" s="218"/>
      <c r="M138" s="218"/>
      <c r="N138" s="218" t="s">
        <v>65</v>
      </c>
      <c r="O138" s="218"/>
      <c r="P138" s="218"/>
      <c r="Q138" s="218" t="s">
        <v>66</v>
      </c>
      <c r="R138" s="218"/>
      <c r="S138" s="218"/>
      <c r="T138" s="218" t="s">
        <v>73</v>
      </c>
      <c r="U138" s="218"/>
      <c r="V138" s="218"/>
      <c r="W138" s="218" t="s">
        <v>74</v>
      </c>
      <c r="X138" s="218"/>
      <c r="Y138" s="218"/>
      <c r="Z138" s="218" t="s">
        <v>75</v>
      </c>
      <c r="AA138" s="218"/>
      <c r="AB138" s="218"/>
      <c r="AC138" s="209"/>
    </row>
    <row r="139" spans="1:29" x14ac:dyDescent="0.2">
      <c r="A139" s="242"/>
      <c r="B139" s="216"/>
      <c r="C139" s="217"/>
      <c r="D139" s="217"/>
      <c r="E139" s="217"/>
      <c r="F139" s="217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09"/>
    </row>
    <row r="140" spans="1:29" x14ac:dyDescent="0.2">
      <c r="A140" s="242"/>
      <c r="B140" s="210" t="str">
        <f>B127</f>
        <v>02C</v>
      </c>
      <c r="C140" s="211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12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09"/>
    </row>
    <row r="141" spans="1:29" x14ac:dyDescent="0.2">
      <c r="A141" s="242"/>
      <c r="B141" s="210"/>
      <c r="C141" s="211"/>
      <c r="D141" s="9"/>
      <c r="E141" s="9" t="str">
        <f t="shared" ref="E141:F143" si="23">IF(ISBLANK(E128), "", E128)</f>
        <v/>
      </c>
      <c r="F141" s="9" t="str">
        <f t="shared" si="23"/>
        <v/>
      </c>
      <c r="G141" s="212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09"/>
    </row>
    <row r="142" spans="1:29" x14ac:dyDescent="0.2">
      <c r="A142" s="242"/>
      <c r="B142" s="210" t="str">
        <f>B129</f>
        <v>03C</v>
      </c>
      <c r="C142" s="211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12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09"/>
    </row>
    <row r="143" spans="1:29" x14ac:dyDescent="0.2">
      <c r="A143" s="242"/>
      <c r="B143" s="210"/>
      <c r="C143" s="211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12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09"/>
    </row>
    <row r="145" spans="1:29" ht="12.75" customHeight="1" x14ac:dyDescent="0.2">
      <c r="A145" s="242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42"/>
      <c r="B146" s="243" t="s">
        <v>10</v>
      </c>
      <c r="C146" s="244" t="s">
        <v>0</v>
      </c>
      <c r="D146" s="244" t="s">
        <v>25</v>
      </c>
      <c r="E146" s="244" t="s">
        <v>11</v>
      </c>
      <c r="F146" s="244" t="s">
        <v>16</v>
      </c>
      <c r="G146" s="225" t="s">
        <v>12</v>
      </c>
      <c r="H146" s="226" t="s">
        <v>13</v>
      </c>
      <c r="I146" s="227"/>
      <c r="J146" s="227"/>
      <c r="K146" s="227"/>
      <c r="L146" s="227"/>
      <c r="M146" s="228"/>
      <c r="N146" s="226" t="s">
        <v>14</v>
      </c>
      <c r="O146" s="227"/>
      <c r="P146" s="227"/>
      <c r="Q146" s="227"/>
      <c r="R146" s="227"/>
      <c r="S146" s="228"/>
      <c r="T146" s="226" t="s">
        <v>15</v>
      </c>
      <c r="U146" s="227"/>
      <c r="V146" s="227"/>
      <c r="W146" s="227"/>
      <c r="X146" s="227"/>
      <c r="Y146" s="228"/>
      <c r="Z146" s="229" t="s">
        <v>37</v>
      </c>
      <c r="AA146" s="229" t="s">
        <v>39</v>
      </c>
      <c r="AB146" s="229" t="s">
        <v>62</v>
      </c>
      <c r="AC146" s="254" t="s">
        <v>26</v>
      </c>
    </row>
    <row r="147" spans="1:29" ht="42.75" customHeight="1" x14ac:dyDescent="0.2">
      <c r="A147" s="242"/>
      <c r="B147" s="243"/>
      <c r="C147" s="244"/>
      <c r="D147" s="244"/>
      <c r="E147" s="244"/>
      <c r="F147" s="244"/>
      <c r="G147" s="225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30"/>
      <c r="AA147" s="231"/>
      <c r="AB147" s="231"/>
      <c r="AC147" s="254"/>
    </row>
    <row r="148" spans="1:29" ht="12.75" customHeight="1" x14ac:dyDescent="0.2">
      <c r="A148" s="242"/>
      <c r="B148" s="255" t="s">
        <v>2</v>
      </c>
      <c r="C148" s="257" t="s">
        <v>84</v>
      </c>
      <c r="D148" s="12"/>
      <c r="E148" s="10"/>
      <c r="F148" s="12"/>
      <c r="G148" s="257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21">
        <f>SUM(L148, R148, X148)+SUM(L149, R149, X149)</f>
        <v>0</v>
      </c>
      <c r="AA148" s="221">
        <f>SUM(M148, S148, Y148)+SUM(M149, S149, Y149)</f>
        <v>0</v>
      </c>
      <c r="AB148" s="223">
        <f>IF($Z148=0, ,AA148/$Z148)</f>
        <v>0</v>
      </c>
      <c r="AC148" s="247"/>
    </row>
    <row r="149" spans="1:29" ht="12.75" customHeight="1" x14ac:dyDescent="0.2">
      <c r="A149" s="242"/>
      <c r="B149" s="256"/>
      <c r="C149" s="258"/>
      <c r="D149" s="12"/>
      <c r="E149" s="12"/>
      <c r="F149" s="12"/>
      <c r="G149" s="259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22"/>
      <c r="AA149" s="222"/>
      <c r="AB149" s="224"/>
      <c r="AC149" s="248"/>
    </row>
    <row r="150" spans="1:29" ht="12.75" customHeight="1" x14ac:dyDescent="0.2">
      <c r="A150" s="242"/>
      <c r="B150" s="245" t="s">
        <v>6</v>
      </c>
      <c r="C150" s="234" t="s">
        <v>8</v>
      </c>
      <c r="D150" s="10" t="s">
        <v>88</v>
      </c>
      <c r="E150" s="10" t="s">
        <v>89</v>
      </c>
      <c r="F150" s="10">
        <v>621</v>
      </c>
      <c r="G150" s="234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36">
        <f>SUM(L150, R150, X150)+SUM(L151, R151, X151)</f>
        <v>42072</v>
      </c>
      <c r="AA150" s="238">
        <f>SUM(M150, S150, Y150)+SUM(M151, S151, Y151)</f>
        <v>600</v>
      </c>
      <c r="AB150" s="213">
        <f>IF($Z150=0, ,AA150/$Z150)</f>
        <v>1.4261266400456361E-2</v>
      </c>
      <c r="AC150" s="232"/>
    </row>
    <row r="151" spans="1:29" ht="12.75" customHeight="1" x14ac:dyDescent="0.2">
      <c r="A151" s="242"/>
      <c r="B151" s="246"/>
      <c r="C151" s="235"/>
      <c r="D151" s="10"/>
      <c r="E151" s="10"/>
      <c r="F151" s="10"/>
      <c r="G151" s="235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37"/>
      <c r="AA151" s="239"/>
      <c r="AB151" s="214"/>
      <c r="AC151" s="233"/>
    </row>
    <row r="152" spans="1:29" ht="12.75" customHeight="1" x14ac:dyDescent="0.2">
      <c r="A152" s="242"/>
      <c r="B152" s="240" t="s">
        <v>7</v>
      </c>
      <c r="C152" s="219" t="s">
        <v>81</v>
      </c>
      <c r="D152" s="9" t="s">
        <v>90</v>
      </c>
      <c r="E152" s="9" t="s">
        <v>91</v>
      </c>
      <c r="F152" s="9">
        <v>621</v>
      </c>
      <c r="G152" s="219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21">
        <f>SUM(L152, R152, X152)+SUM(L153, R153, X153)</f>
        <v>32872</v>
      </c>
      <c r="AA152" s="221">
        <f>SUM(M152, S152, Y152)+SUM(M153, S153, Y153)</f>
        <v>120</v>
      </c>
      <c r="AB152" s="223">
        <f>IF($Z152=0, ,AA152/$Z152)</f>
        <v>3.6505232416646385E-3</v>
      </c>
      <c r="AC152" s="247"/>
    </row>
    <row r="153" spans="1:29" ht="12.75" customHeight="1" x14ac:dyDescent="0.2">
      <c r="A153" s="242"/>
      <c r="B153" s="241"/>
      <c r="C153" s="220"/>
      <c r="D153" s="9"/>
      <c r="E153" s="9"/>
      <c r="F153" s="9"/>
      <c r="G153" s="220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22"/>
      <c r="AA153" s="222"/>
      <c r="AB153" s="224"/>
      <c r="AC153" s="248"/>
    </row>
    <row r="154" spans="1:29" ht="12.75" customHeight="1" x14ac:dyDescent="0.2">
      <c r="A154" s="242"/>
      <c r="B154" s="245" t="s">
        <v>3</v>
      </c>
      <c r="C154" s="234" t="s">
        <v>82</v>
      </c>
      <c r="D154" s="10"/>
      <c r="E154" s="10"/>
      <c r="F154" s="10"/>
      <c r="G154" s="234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38">
        <f>SUM(L154, R154, X154)+SUM(L155, R155, X155)</f>
        <v>0</v>
      </c>
      <c r="AA154" s="238">
        <f>SUM(M154, S154, Y154)+SUM(M155, S155, Y155)</f>
        <v>0</v>
      </c>
      <c r="AB154" s="213">
        <f>IF($Z154=0, ,AA154/$Z154)</f>
        <v>0</v>
      </c>
      <c r="AC154" s="232"/>
    </row>
    <row r="155" spans="1:29" ht="12.75" customHeight="1" x14ac:dyDescent="0.2">
      <c r="A155" s="242"/>
      <c r="B155" s="246"/>
      <c r="C155" s="235"/>
      <c r="D155" s="10"/>
      <c r="E155" s="10"/>
      <c r="F155" s="10"/>
      <c r="G155" s="235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39"/>
      <c r="AA155" s="239"/>
      <c r="AB155" s="214"/>
      <c r="AC155" s="233"/>
    </row>
    <row r="156" spans="1:29" ht="12.75" customHeight="1" x14ac:dyDescent="0.2">
      <c r="A156" s="242"/>
      <c r="B156" s="240" t="s">
        <v>4</v>
      </c>
      <c r="C156" s="219" t="s">
        <v>9</v>
      </c>
      <c r="D156" s="9"/>
      <c r="E156" s="10"/>
      <c r="F156" s="9"/>
      <c r="G156" s="219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21">
        <f>SUM(L156, R156, X156)+SUM(L157, R157, X157)</f>
        <v>0</v>
      </c>
      <c r="AA156" s="221">
        <f>SUM(M156, S156, Y156)+SUM(M157, S157, Y157)</f>
        <v>0</v>
      </c>
      <c r="AB156" s="223">
        <f>IF($Z156=0, ,AA156/$Z156)</f>
        <v>0</v>
      </c>
      <c r="AC156" s="247"/>
    </row>
    <row r="157" spans="1:29" ht="12.75" customHeight="1" x14ac:dyDescent="0.2">
      <c r="A157" s="242"/>
      <c r="B157" s="241"/>
      <c r="C157" s="220"/>
      <c r="D157" s="9"/>
      <c r="E157" s="9"/>
      <c r="F157" s="9"/>
      <c r="G157" s="220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22"/>
      <c r="AA157" s="222"/>
      <c r="AB157" s="224"/>
      <c r="AC157" s="248"/>
    </row>
    <row r="158" spans="1:29" ht="12.75" customHeight="1" x14ac:dyDescent="0.2">
      <c r="A158" s="242"/>
      <c r="B158" s="249" t="s">
        <v>85</v>
      </c>
      <c r="C158" s="251" t="s">
        <v>83</v>
      </c>
      <c r="D158" s="11"/>
      <c r="E158" s="10"/>
      <c r="F158" s="11"/>
      <c r="G158" s="251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53">
        <f>SUM(L158, R158, X158)+SUM(L159, R159, X159)</f>
        <v>0</v>
      </c>
      <c r="AA158" s="253">
        <f>SUM(M158, S158, Y158)+SUM(M159, S159, Y159)</f>
        <v>0</v>
      </c>
      <c r="AB158" s="213">
        <f>IF($Z158=0, ,AA158/$Z158)</f>
        <v>0</v>
      </c>
      <c r="AC158" s="215"/>
    </row>
    <row r="159" spans="1:29" ht="12.75" customHeight="1" x14ac:dyDescent="0.2">
      <c r="A159" s="242"/>
      <c r="B159" s="250"/>
      <c r="C159" s="252"/>
      <c r="D159" s="11"/>
      <c r="E159" s="11"/>
      <c r="F159" s="11"/>
      <c r="G159" s="252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53"/>
      <c r="AA159" s="253"/>
      <c r="AB159" s="214"/>
      <c r="AC159" s="215"/>
    </row>
    <row r="160" spans="1:29" ht="12.75" customHeight="1" x14ac:dyDescent="0.2">
      <c r="A160" s="242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42"/>
      <c r="B161" s="216" t="s">
        <v>67</v>
      </c>
      <c r="C161" s="217"/>
      <c r="D161" s="217"/>
      <c r="E161" s="217"/>
      <c r="F161" s="217"/>
      <c r="G161" s="9" t="s">
        <v>68</v>
      </c>
      <c r="H161" s="218" t="s">
        <v>64</v>
      </c>
      <c r="I161" s="218"/>
      <c r="J161" s="218"/>
      <c r="K161" s="218" t="s">
        <v>76</v>
      </c>
      <c r="L161" s="218"/>
      <c r="M161" s="218"/>
      <c r="N161" s="218" t="s">
        <v>65</v>
      </c>
      <c r="O161" s="218"/>
      <c r="P161" s="218"/>
      <c r="Q161" s="218" t="s">
        <v>66</v>
      </c>
      <c r="R161" s="218"/>
      <c r="S161" s="218"/>
      <c r="T161" s="218" t="s">
        <v>73</v>
      </c>
      <c r="U161" s="218"/>
      <c r="V161" s="218"/>
      <c r="W161" s="218" t="s">
        <v>74</v>
      </c>
      <c r="X161" s="218"/>
      <c r="Y161" s="218"/>
      <c r="Z161" s="218" t="s">
        <v>75</v>
      </c>
      <c r="AA161" s="218"/>
      <c r="AB161" s="218"/>
      <c r="AC161" s="209" t="s">
        <v>97</v>
      </c>
    </row>
    <row r="162" spans="1:29" ht="12.75" customHeight="1" x14ac:dyDescent="0.2">
      <c r="A162" s="242"/>
      <c r="B162" s="216"/>
      <c r="C162" s="217"/>
      <c r="D162" s="217"/>
      <c r="E162" s="217"/>
      <c r="F162" s="217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09"/>
    </row>
    <row r="163" spans="1:29" ht="12.75" customHeight="1" x14ac:dyDescent="0.2">
      <c r="A163" s="242"/>
      <c r="B163" s="210" t="str">
        <f>B150</f>
        <v>02C</v>
      </c>
      <c r="C163" s="211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12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09"/>
    </row>
    <row r="164" spans="1:29" ht="12.75" customHeight="1" x14ac:dyDescent="0.2">
      <c r="A164" s="242"/>
      <c r="B164" s="210"/>
      <c r="C164" s="211"/>
      <c r="D164" s="9"/>
      <c r="E164" s="9" t="str">
        <f t="shared" ref="E164:F166" si="27">IF(ISBLANK(E151), "", E151)</f>
        <v/>
      </c>
      <c r="F164" s="9" t="str">
        <f t="shared" si="27"/>
        <v/>
      </c>
      <c r="G164" s="212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09"/>
    </row>
    <row r="165" spans="1:29" ht="12.75" customHeight="1" x14ac:dyDescent="0.2">
      <c r="A165" s="242"/>
      <c r="B165" s="210" t="str">
        <f>B152</f>
        <v>03C</v>
      </c>
      <c r="C165" s="211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12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09"/>
    </row>
    <row r="166" spans="1:29" ht="12.75" customHeight="1" x14ac:dyDescent="0.2">
      <c r="A166" s="242"/>
      <c r="B166" s="210"/>
      <c r="C166" s="211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12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09"/>
    </row>
    <row r="168" spans="1:29" x14ac:dyDescent="0.2">
      <c r="A168" s="242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42"/>
      <c r="B169" s="243" t="s">
        <v>10</v>
      </c>
      <c r="C169" s="244" t="s">
        <v>0</v>
      </c>
      <c r="D169" s="244" t="s">
        <v>25</v>
      </c>
      <c r="E169" s="244" t="s">
        <v>11</v>
      </c>
      <c r="F169" s="244" t="s">
        <v>16</v>
      </c>
      <c r="G169" s="225" t="s">
        <v>12</v>
      </c>
      <c r="H169" s="226" t="s">
        <v>13</v>
      </c>
      <c r="I169" s="227"/>
      <c r="J169" s="227"/>
      <c r="K169" s="227"/>
      <c r="L169" s="227"/>
      <c r="M169" s="228"/>
      <c r="N169" s="226" t="s">
        <v>14</v>
      </c>
      <c r="O169" s="227"/>
      <c r="P169" s="227"/>
      <c r="Q169" s="227"/>
      <c r="R169" s="227"/>
      <c r="S169" s="228"/>
      <c r="T169" s="226" t="s">
        <v>15</v>
      </c>
      <c r="U169" s="227"/>
      <c r="V169" s="227"/>
      <c r="W169" s="227"/>
      <c r="X169" s="227"/>
      <c r="Y169" s="228"/>
      <c r="Z169" s="229" t="s">
        <v>37</v>
      </c>
      <c r="AA169" s="229" t="s">
        <v>39</v>
      </c>
      <c r="AB169" s="229" t="s">
        <v>62</v>
      </c>
      <c r="AC169" s="254" t="s">
        <v>26</v>
      </c>
    </row>
    <row r="170" spans="1:29" ht="42.75" customHeight="1" x14ac:dyDescent="0.2">
      <c r="A170" s="242"/>
      <c r="B170" s="243"/>
      <c r="C170" s="244"/>
      <c r="D170" s="244"/>
      <c r="E170" s="244"/>
      <c r="F170" s="244"/>
      <c r="G170" s="225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30"/>
      <c r="AA170" s="231"/>
      <c r="AB170" s="231"/>
      <c r="AC170" s="254"/>
    </row>
    <row r="171" spans="1:29" x14ac:dyDescent="0.2">
      <c r="A171" s="242"/>
      <c r="B171" s="255" t="s">
        <v>2</v>
      </c>
      <c r="C171" s="257" t="s">
        <v>84</v>
      </c>
      <c r="D171" s="12"/>
      <c r="E171" s="10"/>
      <c r="F171" s="12"/>
      <c r="G171" s="257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21">
        <f>SUM(L171, R171, X171)+SUM(L172, R172, X172)</f>
        <v>0</v>
      </c>
      <c r="AA171" s="221">
        <f>SUM(M171, S171, Y171)+SUM(M172, S172, Y172)</f>
        <v>0</v>
      </c>
      <c r="AB171" s="223">
        <f>IF($Z171=0, ,AA171/$Z171)</f>
        <v>0</v>
      </c>
      <c r="AC171" s="247"/>
    </row>
    <row r="172" spans="1:29" x14ac:dyDescent="0.2">
      <c r="A172" s="242"/>
      <c r="B172" s="256"/>
      <c r="C172" s="258"/>
      <c r="D172" s="12"/>
      <c r="E172" s="12"/>
      <c r="F172" s="12"/>
      <c r="G172" s="259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22"/>
      <c r="AA172" s="222"/>
      <c r="AB172" s="224"/>
      <c r="AC172" s="248"/>
    </row>
    <row r="173" spans="1:29" x14ac:dyDescent="0.2">
      <c r="A173" s="242"/>
      <c r="B173" s="245" t="s">
        <v>6</v>
      </c>
      <c r="C173" s="234" t="s">
        <v>8</v>
      </c>
      <c r="D173" s="10">
        <v>21284</v>
      </c>
      <c r="E173" s="10" t="s">
        <v>89</v>
      </c>
      <c r="F173" s="10">
        <v>621</v>
      </c>
      <c r="G173" s="234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36">
        <f>SUM(L173, R173, X173)+SUM(L174, R174, X174)</f>
        <v>35312</v>
      </c>
      <c r="AA173" s="238">
        <f>SUM(M173, S173, Y173)+SUM(M174, S174, Y174)</f>
        <v>180</v>
      </c>
      <c r="AB173" s="213">
        <f>IF($Z173=0, ,AA173/$Z173)</f>
        <v>5.0974173085636607E-3</v>
      </c>
      <c r="AC173" s="232"/>
    </row>
    <row r="174" spans="1:29" x14ac:dyDescent="0.2">
      <c r="A174" s="242"/>
      <c r="B174" s="246"/>
      <c r="C174" s="235"/>
      <c r="D174" s="10"/>
      <c r="E174" s="10"/>
      <c r="F174" s="10"/>
      <c r="G174" s="235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37"/>
      <c r="AA174" s="239"/>
      <c r="AB174" s="214"/>
      <c r="AC174" s="233"/>
    </row>
    <row r="175" spans="1:29" x14ac:dyDescent="0.2">
      <c r="A175" s="242"/>
      <c r="B175" s="240" t="s">
        <v>7</v>
      </c>
      <c r="C175" s="219" t="s">
        <v>81</v>
      </c>
      <c r="D175" s="9">
        <v>21284</v>
      </c>
      <c r="E175" s="9" t="s">
        <v>92</v>
      </c>
      <c r="F175" s="9">
        <v>621</v>
      </c>
      <c r="G175" s="219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21">
        <f>SUM(L175, R175, X175)+SUM(L176, R176, X176)</f>
        <v>33808</v>
      </c>
      <c r="AA175" s="221">
        <f>SUM(M175, S175, Y175)+SUM(M176, S176, Y176)</f>
        <v>90</v>
      </c>
      <c r="AB175" s="223">
        <f>IF($Z175=0, ,AA175/$Z175)</f>
        <v>2.6620918125887364E-3</v>
      </c>
      <c r="AC175" s="247"/>
    </row>
    <row r="176" spans="1:29" x14ac:dyDescent="0.2">
      <c r="A176" s="242"/>
      <c r="B176" s="241"/>
      <c r="C176" s="220"/>
      <c r="D176" s="9"/>
      <c r="E176" s="9"/>
      <c r="F176" s="9"/>
      <c r="G176" s="220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22"/>
      <c r="AA176" s="222"/>
      <c r="AB176" s="224"/>
      <c r="AC176" s="248"/>
    </row>
    <row r="177" spans="1:29" x14ac:dyDescent="0.2">
      <c r="A177" s="242"/>
      <c r="B177" s="245" t="s">
        <v>3</v>
      </c>
      <c r="C177" s="234" t="s">
        <v>82</v>
      </c>
      <c r="D177" s="10"/>
      <c r="E177" s="10"/>
      <c r="F177" s="10"/>
      <c r="G177" s="234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38">
        <f>SUM(L177, R177, X177)+SUM(L178, R178, X178)</f>
        <v>0</v>
      </c>
      <c r="AA177" s="238">
        <f>SUM(M177, S177, Y177)+SUM(M178, S178, Y178)</f>
        <v>0</v>
      </c>
      <c r="AB177" s="213">
        <f>IF($Z177=0, ,AA177/$Z177)</f>
        <v>0</v>
      </c>
      <c r="AC177" s="232"/>
    </row>
    <row r="178" spans="1:29" x14ac:dyDescent="0.2">
      <c r="A178" s="242"/>
      <c r="B178" s="246"/>
      <c r="C178" s="235"/>
      <c r="D178" s="10"/>
      <c r="E178" s="10"/>
      <c r="F178" s="10"/>
      <c r="G178" s="235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39"/>
      <c r="AA178" s="239"/>
      <c r="AB178" s="214"/>
      <c r="AC178" s="233"/>
    </row>
    <row r="179" spans="1:29" x14ac:dyDescent="0.2">
      <c r="A179" s="242"/>
      <c r="B179" s="240" t="s">
        <v>4</v>
      </c>
      <c r="C179" s="219" t="s">
        <v>9</v>
      </c>
      <c r="D179" s="9"/>
      <c r="E179" s="10"/>
      <c r="F179" s="9"/>
      <c r="G179" s="219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21">
        <f>SUM(L179, R179, X179)+SUM(L180, R180, X180)</f>
        <v>0</v>
      </c>
      <c r="AA179" s="221">
        <f>SUM(M179, S179, Y179)+SUM(M180, S180, Y180)</f>
        <v>0</v>
      </c>
      <c r="AB179" s="223">
        <f>IF($Z179=0, ,AA179/$Z179)</f>
        <v>0</v>
      </c>
      <c r="AC179" s="247"/>
    </row>
    <row r="180" spans="1:29" x14ac:dyDescent="0.2">
      <c r="A180" s="242"/>
      <c r="B180" s="241"/>
      <c r="C180" s="220"/>
      <c r="D180" s="9"/>
      <c r="E180" s="9"/>
      <c r="F180" s="9"/>
      <c r="G180" s="220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22"/>
      <c r="AA180" s="222"/>
      <c r="AB180" s="224"/>
      <c r="AC180" s="248"/>
    </row>
    <row r="181" spans="1:29" x14ac:dyDescent="0.2">
      <c r="A181" s="242"/>
      <c r="B181" s="249" t="s">
        <v>85</v>
      </c>
      <c r="C181" s="251" t="s">
        <v>83</v>
      </c>
      <c r="D181" s="11"/>
      <c r="E181" s="10"/>
      <c r="F181" s="11"/>
      <c r="G181" s="251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53">
        <f>SUM(L181, R181, X181)+SUM(L182, R182, X182)</f>
        <v>0</v>
      </c>
      <c r="AA181" s="253">
        <f>SUM(M181, S181, Y181)+SUM(M182, S182, Y182)</f>
        <v>0</v>
      </c>
      <c r="AB181" s="213">
        <f>IF($Z181=0, ,AA181/$Z181)</f>
        <v>0</v>
      </c>
      <c r="AC181" s="215"/>
    </row>
    <row r="182" spans="1:29" x14ac:dyDescent="0.2">
      <c r="A182" s="242"/>
      <c r="B182" s="250"/>
      <c r="C182" s="252"/>
      <c r="D182" s="11"/>
      <c r="E182" s="11"/>
      <c r="F182" s="11"/>
      <c r="G182" s="252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53"/>
      <c r="AA182" s="253"/>
      <c r="AB182" s="214"/>
      <c r="AC182" s="215"/>
    </row>
    <row r="183" spans="1:29" x14ac:dyDescent="0.2">
      <c r="A183" s="242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42"/>
      <c r="B184" s="216" t="s">
        <v>67</v>
      </c>
      <c r="C184" s="217"/>
      <c r="D184" s="217"/>
      <c r="E184" s="217"/>
      <c r="F184" s="217"/>
      <c r="G184" s="9" t="s">
        <v>68</v>
      </c>
      <c r="H184" s="218" t="s">
        <v>64</v>
      </c>
      <c r="I184" s="218"/>
      <c r="J184" s="218"/>
      <c r="K184" s="218" t="s">
        <v>76</v>
      </c>
      <c r="L184" s="218"/>
      <c r="M184" s="218"/>
      <c r="N184" s="218" t="s">
        <v>65</v>
      </c>
      <c r="O184" s="218"/>
      <c r="P184" s="218"/>
      <c r="Q184" s="218" t="s">
        <v>66</v>
      </c>
      <c r="R184" s="218"/>
      <c r="S184" s="218"/>
      <c r="T184" s="218" t="s">
        <v>73</v>
      </c>
      <c r="U184" s="218"/>
      <c r="V184" s="218"/>
      <c r="W184" s="218" t="s">
        <v>74</v>
      </c>
      <c r="X184" s="218"/>
      <c r="Y184" s="218"/>
      <c r="Z184" s="218" t="s">
        <v>75</v>
      </c>
      <c r="AA184" s="218"/>
      <c r="AB184" s="218"/>
      <c r="AC184" s="209" t="s">
        <v>97</v>
      </c>
    </row>
    <row r="185" spans="1:29" x14ac:dyDescent="0.2">
      <c r="A185" s="242"/>
      <c r="B185" s="216"/>
      <c r="C185" s="217"/>
      <c r="D185" s="217"/>
      <c r="E185" s="217"/>
      <c r="F185" s="217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09"/>
    </row>
    <row r="186" spans="1:29" x14ac:dyDescent="0.2">
      <c r="A186" s="242"/>
      <c r="B186" s="210" t="str">
        <f>B173</f>
        <v>02C</v>
      </c>
      <c r="C186" s="211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12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09"/>
    </row>
    <row r="187" spans="1:29" x14ac:dyDescent="0.2">
      <c r="A187" s="242"/>
      <c r="B187" s="210"/>
      <c r="C187" s="211"/>
      <c r="D187" s="9"/>
      <c r="E187" s="9" t="str">
        <f t="shared" ref="E187:F189" si="31">IF(ISBLANK(E174), "", E174)</f>
        <v/>
      </c>
      <c r="F187" s="9" t="str">
        <f t="shared" si="31"/>
        <v/>
      </c>
      <c r="G187" s="212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09"/>
    </row>
    <row r="188" spans="1:29" x14ac:dyDescent="0.2">
      <c r="A188" s="242"/>
      <c r="B188" s="210" t="str">
        <f>B175</f>
        <v>03C</v>
      </c>
      <c r="C188" s="211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12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09"/>
    </row>
    <row r="189" spans="1:29" x14ac:dyDescent="0.2">
      <c r="A189" s="242"/>
      <c r="B189" s="210"/>
      <c r="C189" s="211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12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09"/>
    </row>
    <row r="191" spans="1:29" x14ac:dyDescent="0.2">
      <c r="A191" s="242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42"/>
      <c r="B192" s="243" t="s">
        <v>10</v>
      </c>
      <c r="C192" s="244" t="s">
        <v>0</v>
      </c>
      <c r="D192" s="244" t="s">
        <v>25</v>
      </c>
      <c r="E192" s="244" t="s">
        <v>11</v>
      </c>
      <c r="F192" s="244" t="s">
        <v>16</v>
      </c>
      <c r="G192" s="225" t="s">
        <v>12</v>
      </c>
      <c r="H192" s="226" t="s">
        <v>13</v>
      </c>
      <c r="I192" s="227"/>
      <c r="J192" s="227"/>
      <c r="K192" s="227"/>
      <c r="L192" s="227"/>
      <c r="M192" s="228"/>
      <c r="N192" s="226" t="s">
        <v>14</v>
      </c>
      <c r="O192" s="227"/>
      <c r="P192" s="227"/>
      <c r="Q192" s="227"/>
      <c r="R192" s="227"/>
      <c r="S192" s="228"/>
      <c r="T192" s="226" t="s">
        <v>15</v>
      </c>
      <c r="U192" s="227"/>
      <c r="V192" s="227"/>
      <c r="W192" s="227"/>
      <c r="X192" s="227"/>
      <c r="Y192" s="228"/>
      <c r="Z192" s="229" t="s">
        <v>37</v>
      </c>
      <c r="AA192" s="229" t="s">
        <v>39</v>
      </c>
      <c r="AB192" s="229" t="s">
        <v>62</v>
      </c>
      <c r="AC192" s="254" t="s">
        <v>26</v>
      </c>
    </row>
    <row r="193" spans="1:29" ht="41.25" customHeight="1" x14ac:dyDescent="0.2">
      <c r="A193" s="242"/>
      <c r="B193" s="243"/>
      <c r="C193" s="244"/>
      <c r="D193" s="244"/>
      <c r="E193" s="244"/>
      <c r="F193" s="244"/>
      <c r="G193" s="225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30"/>
      <c r="AA193" s="231"/>
      <c r="AB193" s="231"/>
      <c r="AC193" s="254"/>
    </row>
    <row r="194" spans="1:29" x14ac:dyDescent="0.2">
      <c r="A194" s="242"/>
      <c r="B194" s="255" t="s">
        <v>2</v>
      </c>
      <c r="C194" s="257" t="s">
        <v>84</v>
      </c>
      <c r="D194" s="12"/>
      <c r="E194" s="10"/>
      <c r="F194" s="12"/>
      <c r="G194" s="257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21">
        <f>SUM(L194, R194, X194)+SUM(L195, R195, X195)</f>
        <v>0</v>
      </c>
      <c r="AA194" s="221">
        <f>SUM(M194, S194, Y194)+SUM(M195, S195, Y195)</f>
        <v>0</v>
      </c>
      <c r="AB194" s="223">
        <f>IF($Z194=0, ,AA194/$Z194)</f>
        <v>0</v>
      </c>
      <c r="AC194" s="247"/>
    </row>
    <row r="195" spans="1:29" x14ac:dyDescent="0.2">
      <c r="A195" s="242"/>
      <c r="B195" s="256"/>
      <c r="C195" s="258"/>
      <c r="D195" s="12"/>
      <c r="E195" s="12"/>
      <c r="F195" s="12"/>
      <c r="G195" s="259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22"/>
      <c r="AA195" s="222"/>
      <c r="AB195" s="224"/>
      <c r="AC195" s="248"/>
    </row>
    <row r="196" spans="1:29" x14ac:dyDescent="0.2">
      <c r="A196" s="242"/>
      <c r="B196" s="245" t="s">
        <v>6</v>
      </c>
      <c r="C196" s="234" t="s">
        <v>8</v>
      </c>
      <c r="D196" s="10" t="s">
        <v>93</v>
      </c>
      <c r="E196" s="10" t="s">
        <v>89</v>
      </c>
      <c r="F196" s="10">
        <v>621</v>
      </c>
      <c r="G196" s="234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36">
        <f>SUM(L196, R196, X196)+SUM(L197, R197, X197)</f>
        <v>34880</v>
      </c>
      <c r="AA196" s="238">
        <f>SUM(M196, S196, Y196)+SUM(M197, S197, Y197)</f>
        <v>55</v>
      </c>
      <c r="AB196" s="213">
        <f>IF($Z196=0, ,AA196/$Z196)</f>
        <v>1.5768348623853212E-3</v>
      </c>
      <c r="AC196" s="232"/>
    </row>
    <row r="197" spans="1:29" x14ac:dyDescent="0.2">
      <c r="A197" s="242"/>
      <c r="B197" s="246"/>
      <c r="C197" s="235"/>
      <c r="D197" s="10"/>
      <c r="E197" s="10"/>
      <c r="F197" s="10"/>
      <c r="G197" s="235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37"/>
      <c r="AA197" s="239"/>
      <c r="AB197" s="214"/>
      <c r="AC197" s="233"/>
    </row>
    <row r="198" spans="1:29" x14ac:dyDescent="0.2">
      <c r="A198" s="242"/>
      <c r="B198" s="240" t="s">
        <v>7</v>
      </c>
      <c r="C198" s="219" t="s">
        <v>81</v>
      </c>
      <c r="D198" s="9" t="s">
        <v>94</v>
      </c>
      <c r="E198" s="9"/>
      <c r="F198" s="9">
        <v>621</v>
      </c>
      <c r="G198" s="219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21">
        <f>SUM(L198, R198, X198)+SUM(L199, R199, X199)</f>
        <v>33304</v>
      </c>
      <c r="AA198" s="221">
        <f>SUM(M198, S198, Y198)+SUM(M199, S199, Y199)</f>
        <v>70</v>
      </c>
      <c r="AB198" s="223">
        <f>IF($Z198=0, ,AA198/$Z198)</f>
        <v>2.1018496276723518E-3</v>
      </c>
      <c r="AC198" s="247"/>
    </row>
    <row r="199" spans="1:29" x14ac:dyDescent="0.2">
      <c r="A199" s="242"/>
      <c r="B199" s="241"/>
      <c r="C199" s="220"/>
      <c r="D199" s="9"/>
      <c r="E199" s="9"/>
      <c r="F199" s="9"/>
      <c r="G199" s="220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22"/>
      <c r="AA199" s="222"/>
      <c r="AB199" s="224"/>
      <c r="AC199" s="248"/>
    </row>
    <row r="200" spans="1:29" x14ac:dyDescent="0.2">
      <c r="A200" s="242"/>
      <c r="B200" s="245" t="s">
        <v>3</v>
      </c>
      <c r="C200" s="234" t="s">
        <v>82</v>
      </c>
      <c r="D200" s="10"/>
      <c r="E200" s="10"/>
      <c r="F200" s="10"/>
      <c r="G200" s="234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38">
        <f>SUM(L200, R200, X200)+SUM(L201, R201, X201)</f>
        <v>0</v>
      </c>
      <c r="AA200" s="238">
        <f>SUM(M200, S200, Y200)+SUM(M201, S201, Y201)</f>
        <v>0</v>
      </c>
      <c r="AB200" s="213">
        <f>IF($Z200=0, ,AA200/$Z200)</f>
        <v>0</v>
      </c>
      <c r="AC200" s="232"/>
    </row>
    <row r="201" spans="1:29" x14ac:dyDescent="0.2">
      <c r="A201" s="242"/>
      <c r="B201" s="246"/>
      <c r="C201" s="235"/>
      <c r="D201" s="10"/>
      <c r="E201" s="10"/>
      <c r="F201" s="10"/>
      <c r="G201" s="235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39"/>
      <c r="AA201" s="239"/>
      <c r="AB201" s="214"/>
      <c r="AC201" s="233"/>
    </row>
    <row r="202" spans="1:29" x14ac:dyDescent="0.2">
      <c r="A202" s="242"/>
      <c r="B202" s="240" t="s">
        <v>4</v>
      </c>
      <c r="C202" s="219" t="s">
        <v>9</v>
      </c>
      <c r="D202" s="9"/>
      <c r="E202" s="10"/>
      <c r="F202" s="9"/>
      <c r="G202" s="219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21">
        <f>SUM(L202, R202, X202)+SUM(L203, R203, X203)</f>
        <v>0</v>
      </c>
      <c r="AA202" s="221">
        <f>SUM(M202, S202, Y202)+SUM(M203, S203, Y203)</f>
        <v>0</v>
      </c>
      <c r="AB202" s="223">
        <f>IF($Z202=0, ,AA202/$Z202)</f>
        <v>0</v>
      </c>
      <c r="AC202" s="247"/>
    </row>
    <row r="203" spans="1:29" x14ac:dyDescent="0.2">
      <c r="A203" s="242"/>
      <c r="B203" s="241"/>
      <c r="C203" s="220"/>
      <c r="D203" s="9"/>
      <c r="E203" s="9"/>
      <c r="F203" s="9"/>
      <c r="G203" s="220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22"/>
      <c r="AA203" s="222"/>
      <c r="AB203" s="224"/>
      <c r="AC203" s="248"/>
    </row>
    <row r="204" spans="1:29" x14ac:dyDescent="0.2">
      <c r="A204" s="242"/>
      <c r="B204" s="249" t="s">
        <v>85</v>
      </c>
      <c r="C204" s="251" t="s">
        <v>83</v>
      </c>
      <c r="D204" s="11"/>
      <c r="E204" s="10"/>
      <c r="F204" s="11"/>
      <c r="G204" s="251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53">
        <f>SUM(L204, R204, X204)+SUM(L205, R205, X205)</f>
        <v>0</v>
      </c>
      <c r="AA204" s="253">
        <f>SUM(M204, S204, Y204)+SUM(M205, S205, Y205)</f>
        <v>0</v>
      </c>
      <c r="AB204" s="213">
        <f>IF($Z204=0, ,AA204/$Z204)</f>
        <v>0</v>
      </c>
      <c r="AC204" s="215"/>
    </row>
    <row r="205" spans="1:29" x14ac:dyDescent="0.2">
      <c r="A205" s="242"/>
      <c r="B205" s="250"/>
      <c r="C205" s="252"/>
      <c r="D205" s="11"/>
      <c r="E205" s="11"/>
      <c r="F205" s="11"/>
      <c r="G205" s="252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53"/>
      <c r="AA205" s="253"/>
      <c r="AB205" s="214"/>
      <c r="AC205" s="215"/>
    </row>
    <row r="206" spans="1:29" x14ac:dyDescent="0.2">
      <c r="A206" s="242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42"/>
      <c r="B207" s="216" t="s">
        <v>67</v>
      </c>
      <c r="C207" s="217"/>
      <c r="D207" s="217"/>
      <c r="E207" s="217"/>
      <c r="F207" s="217"/>
      <c r="G207" s="9" t="s">
        <v>68</v>
      </c>
      <c r="H207" s="218" t="s">
        <v>64</v>
      </c>
      <c r="I207" s="218"/>
      <c r="J207" s="218"/>
      <c r="K207" s="218" t="s">
        <v>76</v>
      </c>
      <c r="L207" s="218"/>
      <c r="M207" s="218"/>
      <c r="N207" s="218" t="s">
        <v>65</v>
      </c>
      <c r="O207" s="218"/>
      <c r="P207" s="218"/>
      <c r="Q207" s="218" t="s">
        <v>66</v>
      </c>
      <c r="R207" s="218"/>
      <c r="S207" s="218"/>
      <c r="T207" s="218" t="s">
        <v>73</v>
      </c>
      <c r="U207" s="218"/>
      <c r="V207" s="218"/>
      <c r="W207" s="218" t="s">
        <v>74</v>
      </c>
      <c r="X207" s="218"/>
      <c r="Y207" s="218"/>
      <c r="Z207" s="218" t="s">
        <v>75</v>
      </c>
      <c r="AA207" s="218"/>
      <c r="AB207" s="218"/>
      <c r="AC207" s="209"/>
    </row>
    <row r="208" spans="1:29" x14ac:dyDescent="0.2">
      <c r="A208" s="242"/>
      <c r="B208" s="216"/>
      <c r="C208" s="217"/>
      <c r="D208" s="217"/>
      <c r="E208" s="217"/>
      <c r="F208" s="217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09"/>
    </row>
    <row r="209" spans="1:29" x14ac:dyDescent="0.2">
      <c r="A209" s="242"/>
      <c r="B209" s="210" t="str">
        <f>B196</f>
        <v>02C</v>
      </c>
      <c r="C209" s="211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12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09"/>
    </row>
    <row r="210" spans="1:29" x14ac:dyDescent="0.2">
      <c r="A210" s="242"/>
      <c r="B210" s="210"/>
      <c r="C210" s="211"/>
      <c r="D210" s="9"/>
      <c r="E210" s="9" t="str">
        <f t="shared" ref="E210:F212" si="35">IF(ISBLANK(E197), "", E197)</f>
        <v/>
      </c>
      <c r="F210" s="9" t="str">
        <f t="shared" si="35"/>
        <v/>
      </c>
      <c r="G210" s="212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09"/>
    </row>
    <row r="211" spans="1:29" x14ac:dyDescent="0.2">
      <c r="A211" s="242"/>
      <c r="B211" s="210" t="str">
        <f>B198</f>
        <v>03C</v>
      </c>
      <c r="C211" s="211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12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09"/>
    </row>
    <row r="212" spans="1:29" x14ac:dyDescent="0.2">
      <c r="A212" s="242"/>
      <c r="B212" s="210"/>
      <c r="C212" s="211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12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09"/>
    </row>
    <row r="214" spans="1:29" x14ac:dyDescent="0.2">
      <c r="A214" s="242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42"/>
      <c r="B215" s="243" t="s">
        <v>10</v>
      </c>
      <c r="C215" s="244" t="s">
        <v>0</v>
      </c>
      <c r="D215" s="244" t="s">
        <v>25</v>
      </c>
      <c r="E215" s="244" t="s">
        <v>11</v>
      </c>
      <c r="F215" s="244" t="s">
        <v>16</v>
      </c>
      <c r="G215" s="225" t="s">
        <v>12</v>
      </c>
      <c r="H215" s="226" t="s">
        <v>13</v>
      </c>
      <c r="I215" s="227"/>
      <c r="J215" s="227"/>
      <c r="K215" s="227"/>
      <c r="L215" s="227"/>
      <c r="M215" s="228"/>
      <c r="N215" s="226" t="s">
        <v>14</v>
      </c>
      <c r="O215" s="227"/>
      <c r="P215" s="227"/>
      <c r="Q215" s="227"/>
      <c r="R215" s="227"/>
      <c r="S215" s="228"/>
      <c r="T215" s="226" t="s">
        <v>15</v>
      </c>
      <c r="U215" s="227"/>
      <c r="V215" s="227"/>
      <c r="W215" s="227"/>
      <c r="X215" s="227"/>
      <c r="Y215" s="228"/>
      <c r="Z215" s="229" t="s">
        <v>37</v>
      </c>
      <c r="AA215" s="229" t="s">
        <v>39</v>
      </c>
      <c r="AB215" s="229" t="s">
        <v>62</v>
      </c>
      <c r="AC215" s="254" t="s">
        <v>26</v>
      </c>
    </row>
    <row r="216" spans="1:29" ht="41.25" customHeight="1" x14ac:dyDescent="0.2">
      <c r="A216" s="242"/>
      <c r="B216" s="243"/>
      <c r="C216" s="244"/>
      <c r="D216" s="244"/>
      <c r="E216" s="244"/>
      <c r="F216" s="244"/>
      <c r="G216" s="225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30"/>
      <c r="AA216" s="231"/>
      <c r="AB216" s="231"/>
      <c r="AC216" s="254"/>
    </row>
    <row r="217" spans="1:29" x14ac:dyDescent="0.2">
      <c r="A217" s="242"/>
      <c r="B217" s="255" t="s">
        <v>2</v>
      </c>
      <c r="C217" s="257" t="s">
        <v>84</v>
      </c>
      <c r="D217" s="12"/>
      <c r="E217" s="10"/>
      <c r="F217" s="12"/>
      <c r="G217" s="257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21">
        <f>SUM(L217, R217, X217)+SUM(L218, R218, X218)</f>
        <v>0</v>
      </c>
      <c r="AA217" s="221">
        <f>SUM(M217, S217, Y217)+SUM(M218, S218, Y218)</f>
        <v>0</v>
      </c>
      <c r="AB217" s="223">
        <f>IF($Z217=0, ,AA217/$Z217)</f>
        <v>0</v>
      </c>
      <c r="AC217" s="247"/>
    </row>
    <row r="218" spans="1:29" x14ac:dyDescent="0.2">
      <c r="A218" s="242"/>
      <c r="B218" s="256"/>
      <c r="C218" s="258"/>
      <c r="D218" s="12"/>
      <c r="E218" s="12"/>
      <c r="F218" s="12"/>
      <c r="G218" s="259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22"/>
      <c r="AA218" s="222"/>
      <c r="AB218" s="224"/>
      <c r="AC218" s="248"/>
    </row>
    <row r="219" spans="1:29" x14ac:dyDescent="0.2">
      <c r="A219" s="242"/>
      <c r="B219" s="245" t="s">
        <v>6</v>
      </c>
      <c r="C219" s="234" t="s">
        <v>8</v>
      </c>
      <c r="D219" s="10" t="s">
        <v>93</v>
      </c>
      <c r="E219" s="10" t="s">
        <v>89</v>
      </c>
      <c r="F219" s="10">
        <v>621</v>
      </c>
      <c r="G219" s="234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36">
        <f>SUM(L219, R219, X219)+SUM(L220, R220, X220)</f>
        <v>27336</v>
      </c>
      <c r="AA219" s="238">
        <f>SUM(M219, S219, Y219)+SUM(M220, S220, Y220)</f>
        <v>30</v>
      </c>
      <c r="AB219" s="213">
        <f>IF($Z219=0, ,AA219/$Z219)</f>
        <v>1.0974539069359087E-3</v>
      </c>
      <c r="AC219" s="232"/>
    </row>
    <row r="220" spans="1:29" x14ac:dyDescent="0.2">
      <c r="A220" s="242"/>
      <c r="B220" s="246"/>
      <c r="C220" s="235"/>
      <c r="D220" s="10"/>
      <c r="E220" s="10"/>
      <c r="F220" s="10"/>
      <c r="G220" s="235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37"/>
      <c r="AA220" s="239"/>
      <c r="AB220" s="214"/>
      <c r="AC220" s="233"/>
    </row>
    <row r="221" spans="1:29" x14ac:dyDescent="0.2">
      <c r="A221" s="242"/>
      <c r="B221" s="240" t="s">
        <v>7</v>
      </c>
      <c r="C221" s="219" t="s">
        <v>81</v>
      </c>
      <c r="D221" s="9" t="s">
        <v>94</v>
      </c>
      <c r="E221" s="9"/>
      <c r="F221" s="9">
        <v>621</v>
      </c>
      <c r="G221" s="219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21">
        <f>SUM(L221, R221, X221)+SUM(L222, R222, X222)</f>
        <v>26800</v>
      </c>
      <c r="AA221" s="221">
        <f>SUM(M221, S221, Y221)+SUM(M222, S222, Y222)</f>
        <v>40</v>
      </c>
      <c r="AB221" s="223">
        <f>IF($Z221=0, ,AA221/$Z221)</f>
        <v>1.4925373134328358E-3</v>
      </c>
      <c r="AC221" s="247"/>
    </row>
    <row r="222" spans="1:29" x14ac:dyDescent="0.2">
      <c r="A222" s="242"/>
      <c r="B222" s="241"/>
      <c r="C222" s="220"/>
      <c r="D222" s="9"/>
      <c r="E222" s="9"/>
      <c r="F222" s="9"/>
      <c r="G222" s="220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22"/>
      <c r="AA222" s="222"/>
      <c r="AB222" s="224"/>
      <c r="AC222" s="248"/>
    </row>
    <row r="223" spans="1:29" x14ac:dyDescent="0.2">
      <c r="A223" s="242"/>
      <c r="B223" s="245" t="s">
        <v>3</v>
      </c>
      <c r="C223" s="234" t="s">
        <v>82</v>
      </c>
      <c r="D223" s="10"/>
      <c r="E223" s="10"/>
      <c r="F223" s="10"/>
      <c r="G223" s="234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38">
        <f>SUM(L223, R223, X223)+SUM(L224, R224, X224)</f>
        <v>0</v>
      </c>
      <c r="AA223" s="238">
        <f>SUM(M223, S223, Y223)+SUM(M224, S224, Y224)</f>
        <v>0</v>
      </c>
      <c r="AB223" s="213">
        <f>IF($Z223=0, ,AA223/$Z223)</f>
        <v>0</v>
      </c>
      <c r="AC223" s="232"/>
    </row>
    <row r="224" spans="1:29" x14ac:dyDescent="0.2">
      <c r="A224" s="242"/>
      <c r="B224" s="246"/>
      <c r="C224" s="235"/>
      <c r="D224" s="10"/>
      <c r="E224" s="10"/>
      <c r="F224" s="10"/>
      <c r="G224" s="235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39"/>
      <c r="AA224" s="239"/>
      <c r="AB224" s="214"/>
      <c r="AC224" s="233"/>
    </row>
    <row r="225" spans="1:29" x14ac:dyDescent="0.2">
      <c r="A225" s="242"/>
      <c r="B225" s="240" t="s">
        <v>4</v>
      </c>
      <c r="C225" s="219" t="s">
        <v>9</v>
      </c>
      <c r="D225" s="9"/>
      <c r="E225" s="10"/>
      <c r="F225" s="9"/>
      <c r="G225" s="219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21">
        <f>SUM(L225, R225, X225)+SUM(L226, R226, X226)</f>
        <v>0</v>
      </c>
      <c r="AA225" s="221">
        <f>SUM(M225, S225, Y225)+SUM(M226, S226, Y226)</f>
        <v>0</v>
      </c>
      <c r="AB225" s="223">
        <f>IF($Z225=0, ,AA225/$Z225)</f>
        <v>0</v>
      </c>
      <c r="AC225" s="247"/>
    </row>
    <row r="226" spans="1:29" x14ac:dyDescent="0.2">
      <c r="A226" s="242"/>
      <c r="B226" s="241"/>
      <c r="C226" s="220"/>
      <c r="D226" s="9"/>
      <c r="E226" s="9"/>
      <c r="F226" s="9"/>
      <c r="G226" s="220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22"/>
      <c r="AA226" s="222"/>
      <c r="AB226" s="224"/>
      <c r="AC226" s="248"/>
    </row>
    <row r="227" spans="1:29" x14ac:dyDescent="0.2">
      <c r="A227" s="242"/>
      <c r="B227" s="249" t="s">
        <v>85</v>
      </c>
      <c r="C227" s="251" t="s">
        <v>83</v>
      </c>
      <c r="D227" s="11"/>
      <c r="E227" s="10"/>
      <c r="F227" s="11"/>
      <c r="G227" s="251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53">
        <f>SUM(L227, R227, X227)+SUM(L228, R228, X228)</f>
        <v>0</v>
      </c>
      <c r="AA227" s="253">
        <f>SUM(M227, S227, Y227)+SUM(M228, S228, Y228)</f>
        <v>0</v>
      </c>
      <c r="AB227" s="213">
        <f>IF($Z227=0, ,AA227/$Z227)</f>
        <v>0</v>
      </c>
      <c r="AC227" s="215"/>
    </row>
    <row r="228" spans="1:29" x14ac:dyDescent="0.2">
      <c r="A228" s="242"/>
      <c r="B228" s="250"/>
      <c r="C228" s="252"/>
      <c r="D228" s="11"/>
      <c r="E228" s="11"/>
      <c r="F228" s="11"/>
      <c r="G228" s="252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53"/>
      <c r="AA228" s="253"/>
      <c r="AB228" s="214"/>
      <c r="AC228" s="215"/>
    </row>
    <row r="229" spans="1:29" x14ac:dyDescent="0.2">
      <c r="A229" s="242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42"/>
      <c r="B230" s="216" t="s">
        <v>67</v>
      </c>
      <c r="C230" s="217"/>
      <c r="D230" s="217"/>
      <c r="E230" s="217"/>
      <c r="F230" s="217"/>
      <c r="G230" s="9" t="s">
        <v>68</v>
      </c>
      <c r="H230" s="218" t="s">
        <v>64</v>
      </c>
      <c r="I230" s="218"/>
      <c r="J230" s="218"/>
      <c r="K230" s="218" t="s">
        <v>76</v>
      </c>
      <c r="L230" s="218"/>
      <c r="M230" s="218"/>
      <c r="N230" s="218" t="s">
        <v>65</v>
      </c>
      <c r="O230" s="218"/>
      <c r="P230" s="218"/>
      <c r="Q230" s="218" t="s">
        <v>66</v>
      </c>
      <c r="R230" s="218"/>
      <c r="S230" s="218"/>
      <c r="T230" s="218" t="s">
        <v>73</v>
      </c>
      <c r="U230" s="218"/>
      <c r="V230" s="218"/>
      <c r="W230" s="218" t="s">
        <v>74</v>
      </c>
      <c r="X230" s="218"/>
      <c r="Y230" s="218"/>
      <c r="Z230" s="218" t="s">
        <v>75</v>
      </c>
      <c r="AA230" s="218"/>
      <c r="AB230" s="218"/>
      <c r="AC230" s="209"/>
    </row>
    <row r="231" spans="1:29" x14ac:dyDescent="0.2">
      <c r="A231" s="242"/>
      <c r="B231" s="216"/>
      <c r="C231" s="217"/>
      <c r="D231" s="217"/>
      <c r="E231" s="217"/>
      <c r="F231" s="217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09"/>
    </row>
    <row r="232" spans="1:29" x14ac:dyDescent="0.2">
      <c r="A232" s="242"/>
      <c r="B232" s="210" t="str">
        <f>B219</f>
        <v>02C</v>
      </c>
      <c r="C232" s="211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12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09"/>
    </row>
    <row r="233" spans="1:29" x14ac:dyDescent="0.2">
      <c r="A233" s="242"/>
      <c r="B233" s="210"/>
      <c r="C233" s="211"/>
      <c r="D233" s="9"/>
      <c r="E233" s="9" t="str">
        <f t="shared" ref="E233:F235" si="39">IF(ISBLANK(E220), "", E220)</f>
        <v/>
      </c>
      <c r="F233" s="9" t="str">
        <f t="shared" si="39"/>
        <v/>
      </c>
      <c r="G233" s="212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09"/>
    </row>
    <row r="234" spans="1:29" x14ac:dyDescent="0.2">
      <c r="A234" s="242"/>
      <c r="B234" s="210" t="str">
        <f>B221</f>
        <v>03C</v>
      </c>
      <c r="C234" s="211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12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09"/>
    </row>
    <row r="235" spans="1:29" x14ac:dyDescent="0.2">
      <c r="A235" s="242"/>
      <c r="B235" s="210"/>
      <c r="C235" s="211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12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09"/>
    </row>
    <row r="237" spans="1:29" x14ac:dyDescent="0.2">
      <c r="A237" s="242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42"/>
      <c r="B238" s="243" t="s">
        <v>10</v>
      </c>
      <c r="C238" s="244" t="s">
        <v>0</v>
      </c>
      <c r="D238" s="244" t="s">
        <v>25</v>
      </c>
      <c r="E238" s="244" t="s">
        <v>11</v>
      </c>
      <c r="F238" s="244" t="s">
        <v>16</v>
      </c>
      <c r="G238" s="225" t="s">
        <v>12</v>
      </c>
      <c r="H238" s="226" t="s">
        <v>13</v>
      </c>
      <c r="I238" s="227"/>
      <c r="J238" s="227"/>
      <c r="K238" s="227"/>
      <c r="L238" s="227"/>
      <c r="M238" s="228"/>
      <c r="N238" s="226" t="s">
        <v>14</v>
      </c>
      <c r="O238" s="227"/>
      <c r="P238" s="227"/>
      <c r="Q238" s="227"/>
      <c r="R238" s="227"/>
      <c r="S238" s="228"/>
      <c r="T238" s="226" t="s">
        <v>15</v>
      </c>
      <c r="U238" s="227"/>
      <c r="V238" s="227"/>
      <c r="W238" s="227"/>
      <c r="X238" s="227"/>
      <c r="Y238" s="228"/>
      <c r="Z238" s="229" t="s">
        <v>37</v>
      </c>
      <c r="AA238" s="229" t="s">
        <v>39</v>
      </c>
      <c r="AB238" s="229" t="s">
        <v>62</v>
      </c>
      <c r="AC238" s="254" t="s">
        <v>26</v>
      </c>
    </row>
    <row r="239" spans="1:29" ht="25.5" x14ac:dyDescent="0.2">
      <c r="A239" s="242"/>
      <c r="B239" s="243"/>
      <c r="C239" s="244"/>
      <c r="D239" s="244"/>
      <c r="E239" s="244"/>
      <c r="F239" s="244"/>
      <c r="G239" s="225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30"/>
      <c r="AA239" s="231"/>
      <c r="AB239" s="231"/>
      <c r="AC239" s="254"/>
    </row>
    <row r="240" spans="1:29" x14ac:dyDescent="0.2">
      <c r="A240" s="242"/>
      <c r="B240" s="255" t="s">
        <v>2</v>
      </c>
      <c r="C240" s="257" t="s">
        <v>84</v>
      </c>
      <c r="D240" s="12"/>
      <c r="E240" s="10"/>
      <c r="F240" s="12"/>
      <c r="G240" s="257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21">
        <f>SUM(L240, R240, X240)+SUM(L241, R241, X241)</f>
        <v>0</v>
      </c>
      <c r="AA240" s="221">
        <f>SUM(M240, S240, Y240)+SUM(M241, S241, Y241)</f>
        <v>0</v>
      </c>
      <c r="AB240" s="223">
        <f>IF($Z240=0, ,AA240/$Z240)</f>
        <v>0</v>
      </c>
      <c r="AC240" s="247" t="s">
        <v>99</v>
      </c>
    </row>
    <row r="241" spans="1:29" x14ac:dyDescent="0.2">
      <c r="A241" s="242"/>
      <c r="B241" s="256"/>
      <c r="C241" s="258"/>
      <c r="D241" s="12"/>
      <c r="E241" s="12"/>
      <c r="F241" s="12"/>
      <c r="G241" s="259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22"/>
      <c r="AA241" s="222"/>
      <c r="AB241" s="224"/>
      <c r="AC241" s="248"/>
    </row>
    <row r="242" spans="1:29" x14ac:dyDescent="0.2">
      <c r="A242" s="242"/>
      <c r="B242" s="245" t="s">
        <v>6</v>
      </c>
      <c r="C242" s="234" t="s">
        <v>8</v>
      </c>
      <c r="D242" s="10"/>
      <c r="E242" s="10"/>
      <c r="F242" s="10"/>
      <c r="G242" s="234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36">
        <f>SUM(L242, R242, X242)+SUM(L243, R243, X243)</f>
        <v>0</v>
      </c>
      <c r="AA242" s="238">
        <f>SUM(M242, S242, Y242)+SUM(M243, S243, Y243)</f>
        <v>0</v>
      </c>
      <c r="AB242" s="213">
        <f>IF($Z242=0, ,AA242/$Z242)</f>
        <v>0</v>
      </c>
      <c r="AC242" s="232" t="s">
        <v>98</v>
      </c>
    </row>
    <row r="243" spans="1:29" x14ac:dyDescent="0.2">
      <c r="A243" s="242"/>
      <c r="B243" s="246"/>
      <c r="C243" s="235"/>
      <c r="D243" s="10"/>
      <c r="E243" s="10"/>
      <c r="F243" s="10"/>
      <c r="G243" s="235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37"/>
      <c r="AA243" s="239"/>
      <c r="AB243" s="214"/>
      <c r="AC243" s="233"/>
    </row>
    <row r="244" spans="1:29" x14ac:dyDescent="0.2">
      <c r="A244" s="242"/>
      <c r="B244" s="240" t="s">
        <v>7</v>
      </c>
      <c r="C244" s="219" t="s">
        <v>81</v>
      </c>
      <c r="D244" s="9"/>
      <c r="E244" s="9"/>
      <c r="F244" s="9"/>
      <c r="G244" s="219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21">
        <f>SUM(L244, R244, X244)+SUM(L245, R245, X245)</f>
        <v>0</v>
      </c>
      <c r="AA244" s="221">
        <f>SUM(M244, S244, Y244)+SUM(M245, S245, Y245)</f>
        <v>0</v>
      </c>
      <c r="AB244" s="223">
        <f>IF($Z244=0, ,AA244/$Z244)</f>
        <v>0</v>
      </c>
      <c r="AC244" s="247" t="s">
        <v>98</v>
      </c>
    </row>
    <row r="245" spans="1:29" x14ac:dyDescent="0.2">
      <c r="A245" s="242"/>
      <c r="B245" s="241"/>
      <c r="C245" s="220"/>
      <c r="D245" s="9"/>
      <c r="E245" s="9"/>
      <c r="F245" s="9"/>
      <c r="G245" s="220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22"/>
      <c r="AA245" s="222"/>
      <c r="AB245" s="224"/>
      <c r="AC245" s="248"/>
    </row>
    <row r="246" spans="1:29" x14ac:dyDescent="0.2">
      <c r="A246" s="242"/>
      <c r="B246" s="245" t="s">
        <v>3</v>
      </c>
      <c r="C246" s="234" t="s">
        <v>82</v>
      </c>
      <c r="D246" s="10"/>
      <c r="E246" s="10"/>
      <c r="F246" s="10"/>
      <c r="G246" s="234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38">
        <f>SUM(L246, R246, X246)+SUM(L247, R247, X247)</f>
        <v>0</v>
      </c>
      <c r="AA246" s="238">
        <f>SUM(M246, S246, Y246)+SUM(M247, S247, Y247)</f>
        <v>0</v>
      </c>
      <c r="AB246" s="213">
        <f>IF($Z246=0, ,AA246/$Z246)</f>
        <v>0</v>
      </c>
      <c r="AC246" s="232" t="s">
        <v>96</v>
      </c>
    </row>
    <row r="247" spans="1:29" x14ac:dyDescent="0.2">
      <c r="A247" s="242"/>
      <c r="B247" s="246"/>
      <c r="C247" s="235"/>
      <c r="D247" s="10"/>
      <c r="E247" s="10"/>
      <c r="F247" s="10"/>
      <c r="G247" s="235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39"/>
      <c r="AA247" s="239"/>
      <c r="AB247" s="214"/>
      <c r="AC247" s="233"/>
    </row>
    <row r="248" spans="1:29" x14ac:dyDescent="0.2">
      <c r="A248" s="242"/>
      <c r="B248" s="240" t="s">
        <v>4</v>
      </c>
      <c r="C248" s="219" t="s">
        <v>9</v>
      </c>
      <c r="D248" s="9"/>
      <c r="E248" s="10"/>
      <c r="F248" s="9"/>
      <c r="G248" s="219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21">
        <f>SUM(L248, R248, X248)+SUM(L249, R249, X249)</f>
        <v>0</v>
      </c>
      <c r="AA248" s="221">
        <f>SUM(M248, S248, Y248)+SUM(M249, S249, Y249)</f>
        <v>0</v>
      </c>
      <c r="AB248" s="223">
        <f>IF($Z248=0, ,AA248/$Z248)</f>
        <v>0</v>
      </c>
      <c r="AC248" s="247" t="s">
        <v>96</v>
      </c>
    </row>
    <row r="249" spans="1:29" x14ac:dyDescent="0.2">
      <c r="A249" s="242"/>
      <c r="B249" s="241"/>
      <c r="C249" s="220"/>
      <c r="D249" s="9"/>
      <c r="E249" s="9"/>
      <c r="F249" s="9"/>
      <c r="G249" s="220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22"/>
      <c r="AA249" s="222"/>
      <c r="AB249" s="224"/>
      <c r="AC249" s="248"/>
    </row>
    <row r="250" spans="1:29" x14ac:dyDescent="0.2">
      <c r="A250" s="242"/>
      <c r="B250" s="249" t="s">
        <v>85</v>
      </c>
      <c r="C250" s="251" t="s">
        <v>83</v>
      </c>
      <c r="D250" s="11"/>
      <c r="E250" s="10"/>
      <c r="F250" s="11"/>
      <c r="G250" s="251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53">
        <f>SUM(L250, R250, X250)+SUM(L251, R251, X251)</f>
        <v>0</v>
      </c>
      <c r="AA250" s="253">
        <f>SUM(M250, S250, Y250)+SUM(M251, S251, Y251)</f>
        <v>0</v>
      </c>
      <c r="AB250" s="213">
        <f>IF($Z250=0, ,AA250/$Z250)</f>
        <v>0</v>
      </c>
      <c r="AC250" s="215" t="s">
        <v>96</v>
      </c>
    </row>
    <row r="251" spans="1:29" x14ac:dyDescent="0.2">
      <c r="A251" s="242"/>
      <c r="B251" s="250"/>
      <c r="C251" s="252"/>
      <c r="D251" s="11"/>
      <c r="E251" s="11"/>
      <c r="F251" s="11"/>
      <c r="G251" s="252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53"/>
      <c r="AA251" s="253"/>
      <c r="AB251" s="214"/>
      <c r="AC251" s="215"/>
    </row>
    <row r="252" spans="1:29" x14ac:dyDescent="0.2">
      <c r="A252" s="242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42"/>
      <c r="B253" s="216" t="s">
        <v>67</v>
      </c>
      <c r="C253" s="217"/>
      <c r="D253" s="217"/>
      <c r="E253" s="217"/>
      <c r="F253" s="217"/>
      <c r="G253" s="9" t="s">
        <v>68</v>
      </c>
      <c r="H253" s="218" t="s">
        <v>64</v>
      </c>
      <c r="I253" s="218"/>
      <c r="J253" s="218"/>
      <c r="K253" s="218" t="s">
        <v>76</v>
      </c>
      <c r="L253" s="218"/>
      <c r="M253" s="218"/>
      <c r="N253" s="218" t="s">
        <v>65</v>
      </c>
      <c r="O253" s="218"/>
      <c r="P253" s="218"/>
      <c r="Q253" s="218" t="s">
        <v>66</v>
      </c>
      <c r="R253" s="218"/>
      <c r="S253" s="218"/>
      <c r="T253" s="218" t="s">
        <v>73</v>
      </c>
      <c r="U253" s="218"/>
      <c r="V253" s="218"/>
      <c r="W253" s="218" t="s">
        <v>74</v>
      </c>
      <c r="X253" s="218"/>
      <c r="Y253" s="218"/>
      <c r="Z253" s="218" t="s">
        <v>75</v>
      </c>
      <c r="AA253" s="218"/>
      <c r="AB253" s="218"/>
      <c r="AC253" s="209"/>
    </row>
    <row r="254" spans="1:29" x14ac:dyDescent="0.2">
      <c r="A254" s="242"/>
      <c r="B254" s="216"/>
      <c r="C254" s="217"/>
      <c r="D254" s="217"/>
      <c r="E254" s="217"/>
      <c r="F254" s="217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09"/>
    </row>
    <row r="255" spans="1:29" x14ac:dyDescent="0.2">
      <c r="A255" s="242"/>
      <c r="B255" s="210" t="str">
        <f>B242</f>
        <v>02C</v>
      </c>
      <c r="C255" s="211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12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09"/>
    </row>
    <row r="256" spans="1:29" x14ac:dyDescent="0.2">
      <c r="A256" s="242"/>
      <c r="B256" s="210"/>
      <c r="C256" s="211"/>
      <c r="D256" s="9"/>
      <c r="E256" s="9" t="str">
        <f t="shared" ref="E256:F258" si="43">IF(ISBLANK(E243), "", E243)</f>
        <v/>
      </c>
      <c r="F256" s="9" t="str">
        <f t="shared" si="43"/>
        <v/>
      </c>
      <c r="G256" s="212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09"/>
    </row>
    <row r="257" spans="1:29" x14ac:dyDescent="0.2">
      <c r="A257" s="242"/>
      <c r="B257" s="210" t="str">
        <f>B244</f>
        <v>03C</v>
      </c>
      <c r="C257" s="211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12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09"/>
    </row>
    <row r="258" spans="1:29" x14ac:dyDescent="0.2">
      <c r="A258" s="242"/>
      <c r="B258" s="210"/>
      <c r="C258" s="211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12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09"/>
    </row>
    <row r="260" spans="1:29" x14ac:dyDescent="0.2">
      <c r="A260" s="242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42"/>
      <c r="B261" s="243" t="s">
        <v>10</v>
      </c>
      <c r="C261" s="244" t="s">
        <v>0</v>
      </c>
      <c r="D261" s="244" t="s">
        <v>25</v>
      </c>
      <c r="E261" s="244" t="s">
        <v>11</v>
      </c>
      <c r="F261" s="244" t="s">
        <v>16</v>
      </c>
      <c r="G261" s="225" t="s">
        <v>12</v>
      </c>
      <c r="H261" s="226" t="s">
        <v>13</v>
      </c>
      <c r="I261" s="227"/>
      <c r="J261" s="227"/>
      <c r="K261" s="227"/>
      <c r="L261" s="227"/>
      <c r="M261" s="228"/>
      <c r="N261" s="226" t="s">
        <v>14</v>
      </c>
      <c r="O261" s="227"/>
      <c r="P261" s="227"/>
      <c r="Q261" s="227"/>
      <c r="R261" s="227"/>
      <c r="S261" s="228"/>
      <c r="T261" s="226" t="s">
        <v>15</v>
      </c>
      <c r="U261" s="227"/>
      <c r="V261" s="227"/>
      <c r="W261" s="227"/>
      <c r="X261" s="227"/>
      <c r="Y261" s="228"/>
      <c r="Z261" s="229" t="s">
        <v>37</v>
      </c>
      <c r="AA261" s="229" t="s">
        <v>39</v>
      </c>
      <c r="AB261" s="229" t="s">
        <v>62</v>
      </c>
      <c r="AC261" s="254" t="s">
        <v>26</v>
      </c>
    </row>
    <row r="262" spans="1:29" ht="50.25" customHeight="1" x14ac:dyDescent="0.2">
      <c r="A262" s="242"/>
      <c r="B262" s="243"/>
      <c r="C262" s="244"/>
      <c r="D262" s="244"/>
      <c r="E262" s="244"/>
      <c r="F262" s="244"/>
      <c r="G262" s="225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30"/>
      <c r="AA262" s="231"/>
      <c r="AB262" s="231"/>
      <c r="AC262" s="254"/>
    </row>
    <row r="263" spans="1:29" x14ac:dyDescent="0.2">
      <c r="A263" s="242"/>
      <c r="B263" s="255" t="s">
        <v>2</v>
      </c>
      <c r="C263" s="257" t="s">
        <v>84</v>
      </c>
      <c r="D263" s="12"/>
      <c r="E263" s="10"/>
      <c r="F263" s="12"/>
      <c r="G263" s="257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21">
        <f>SUM(L263, R263, X263)+SUM(L264, R264, X264)</f>
        <v>0</v>
      </c>
      <c r="AA263" s="221">
        <f>SUM(M263, S263, Y263)+SUM(M264, S264, Y264)</f>
        <v>0</v>
      </c>
      <c r="AB263" s="223">
        <f>IF($Z263=0, ,AA263/$Z263)</f>
        <v>0</v>
      </c>
      <c r="AC263" s="247" t="s">
        <v>96</v>
      </c>
    </row>
    <row r="264" spans="1:29" x14ac:dyDescent="0.2">
      <c r="A264" s="242"/>
      <c r="B264" s="256"/>
      <c r="C264" s="258"/>
      <c r="D264" s="12"/>
      <c r="E264" s="12"/>
      <c r="F264" s="12"/>
      <c r="G264" s="259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22"/>
      <c r="AA264" s="222"/>
      <c r="AB264" s="224"/>
      <c r="AC264" s="248"/>
    </row>
    <row r="265" spans="1:29" x14ac:dyDescent="0.2">
      <c r="A265" s="242"/>
      <c r="B265" s="245" t="s">
        <v>6</v>
      </c>
      <c r="C265" s="234" t="s">
        <v>8</v>
      </c>
      <c r="D265" s="10"/>
      <c r="E265" s="10"/>
      <c r="F265" s="10"/>
      <c r="G265" s="234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36">
        <f>SUM(L265, R265, X265)+SUM(L266, R266, X266)</f>
        <v>0</v>
      </c>
      <c r="AA265" s="238">
        <f>SUM(M265, S265, Y265)+SUM(M266, S266, Y266)</f>
        <v>0</v>
      </c>
      <c r="AB265" s="213">
        <f>IF($Z265=0, ,AA265/$Z265)</f>
        <v>0</v>
      </c>
      <c r="AC265" s="232" t="s">
        <v>100</v>
      </c>
    </row>
    <row r="266" spans="1:29" x14ac:dyDescent="0.2">
      <c r="A266" s="242"/>
      <c r="B266" s="246"/>
      <c r="C266" s="235"/>
      <c r="D266" s="10"/>
      <c r="E266" s="10"/>
      <c r="F266" s="10"/>
      <c r="G266" s="235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37"/>
      <c r="AA266" s="239"/>
      <c r="AB266" s="214"/>
      <c r="AC266" s="233"/>
    </row>
    <row r="267" spans="1:29" x14ac:dyDescent="0.2">
      <c r="A267" s="242"/>
      <c r="B267" s="240" t="s">
        <v>7</v>
      </c>
      <c r="C267" s="219" t="s">
        <v>81</v>
      </c>
      <c r="D267" s="9"/>
      <c r="E267" s="9"/>
      <c r="F267" s="9"/>
      <c r="G267" s="219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21">
        <f>SUM(L267, R267, X267)+SUM(L268, R268, X268)</f>
        <v>0</v>
      </c>
      <c r="AA267" s="221">
        <f>SUM(M267, S267, Y267)+SUM(M268, S268, Y268)</f>
        <v>0</v>
      </c>
      <c r="AB267" s="223">
        <f>IF($Z267=0, ,AA267/$Z267)</f>
        <v>0</v>
      </c>
      <c r="AC267" s="247" t="s">
        <v>100</v>
      </c>
    </row>
    <row r="268" spans="1:29" x14ac:dyDescent="0.2">
      <c r="A268" s="242"/>
      <c r="B268" s="241"/>
      <c r="C268" s="220"/>
      <c r="D268" s="9"/>
      <c r="E268" s="9"/>
      <c r="F268" s="9"/>
      <c r="G268" s="220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22"/>
      <c r="AA268" s="222"/>
      <c r="AB268" s="224"/>
      <c r="AC268" s="248"/>
    </row>
    <row r="269" spans="1:29" x14ac:dyDescent="0.2">
      <c r="A269" s="242"/>
      <c r="B269" s="245" t="s">
        <v>3</v>
      </c>
      <c r="C269" s="234" t="s">
        <v>82</v>
      </c>
      <c r="D269" s="10"/>
      <c r="E269" s="10"/>
      <c r="F269" s="10"/>
      <c r="G269" s="234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38">
        <f>SUM(L269, R269, X269)+SUM(L270, R270, X270)</f>
        <v>0</v>
      </c>
      <c r="AA269" s="238">
        <f>SUM(M269, S269, Y269)+SUM(M270, S270, Y270)</f>
        <v>0</v>
      </c>
      <c r="AB269" s="213">
        <f>IF($Z269=0, ,AA269/$Z269)</f>
        <v>0</v>
      </c>
      <c r="AC269" s="232" t="s">
        <v>96</v>
      </c>
    </row>
    <row r="270" spans="1:29" x14ac:dyDescent="0.2">
      <c r="A270" s="242"/>
      <c r="B270" s="246"/>
      <c r="C270" s="235"/>
      <c r="D270" s="10"/>
      <c r="E270" s="10"/>
      <c r="F270" s="10"/>
      <c r="G270" s="235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39"/>
      <c r="AA270" s="239"/>
      <c r="AB270" s="214"/>
      <c r="AC270" s="233"/>
    </row>
    <row r="271" spans="1:29" x14ac:dyDescent="0.2">
      <c r="A271" s="242"/>
      <c r="B271" s="240" t="s">
        <v>4</v>
      </c>
      <c r="C271" s="219" t="s">
        <v>9</v>
      </c>
      <c r="D271" s="9"/>
      <c r="E271" s="10"/>
      <c r="F271" s="9"/>
      <c r="G271" s="219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21">
        <f>SUM(L271, R271, X271)+SUM(L272, R272, X272)</f>
        <v>0</v>
      </c>
      <c r="AA271" s="221">
        <f>SUM(M271, S271, Y271)+SUM(M272, S272, Y272)</f>
        <v>0</v>
      </c>
      <c r="AB271" s="223">
        <f>IF($Z271=0, ,AA271/$Z271)</f>
        <v>0</v>
      </c>
      <c r="AC271" s="247" t="s">
        <v>96</v>
      </c>
    </row>
    <row r="272" spans="1:29" x14ac:dyDescent="0.2">
      <c r="A272" s="242"/>
      <c r="B272" s="241"/>
      <c r="C272" s="220"/>
      <c r="D272" s="9"/>
      <c r="E272" s="9"/>
      <c r="F272" s="9"/>
      <c r="G272" s="220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22"/>
      <c r="AA272" s="222"/>
      <c r="AB272" s="224"/>
      <c r="AC272" s="248"/>
    </row>
    <row r="273" spans="1:29" x14ac:dyDescent="0.2">
      <c r="A273" s="242"/>
      <c r="B273" s="249" t="s">
        <v>85</v>
      </c>
      <c r="C273" s="251" t="s">
        <v>83</v>
      </c>
      <c r="D273" s="11"/>
      <c r="E273" s="10"/>
      <c r="F273" s="11"/>
      <c r="G273" s="251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53">
        <f>SUM(L273, R273, X273)+SUM(L274, R274, X274)</f>
        <v>0</v>
      </c>
      <c r="AA273" s="253">
        <f>SUM(M273, S273, Y273)+SUM(M274, S274, Y274)</f>
        <v>0</v>
      </c>
      <c r="AB273" s="213">
        <f>IF($Z273=0, ,AA273/$Z273)</f>
        <v>0</v>
      </c>
      <c r="AC273" s="215" t="s">
        <v>96</v>
      </c>
    </row>
    <row r="274" spans="1:29" x14ac:dyDescent="0.2">
      <c r="A274" s="242"/>
      <c r="B274" s="250"/>
      <c r="C274" s="252"/>
      <c r="D274" s="11"/>
      <c r="E274" s="11"/>
      <c r="F274" s="11"/>
      <c r="G274" s="252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53"/>
      <c r="AA274" s="253"/>
      <c r="AB274" s="214"/>
      <c r="AC274" s="215"/>
    </row>
    <row r="275" spans="1:29" x14ac:dyDescent="0.2">
      <c r="A275" s="242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42"/>
      <c r="B276" s="216" t="s">
        <v>67</v>
      </c>
      <c r="C276" s="217"/>
      <c r="D276" s="217"/>
      <c r="E276" s="217"/>
      <c r="F276" s="217"/>
      <c r="G276" s="9" t="s">
        <v>68</v>
      </c>
      <c r="H276" s="218" t="s">
        <v>64</v>
      </c>
      <c r="I276" s="218"/>
      <c r="J276" s="218"/>
      <c r="K276" s="218" t="s">
        <v>76</v>
      </c>
      <c r="L276" s="218"/>
      <c r="M276" s="218"/>
      <c r="N276" s="218" t="s">
        <v>65</v>
      </c>
      <c r="O276" s="218"/>
      <c r="P276" s="218"/>
      <c r="Q276" s="218" t="s">
        <v>66</v>
      </c>
      <c r="R276" s="218"/>
      <c r="S276" s="218"/>
      <c r="T276" s="218" t="s">
        <v>73</v>
      </c>
      <c r="U276" s="218"/>
      <c r="V276" s="218"/>
      <c r="W276" s="218" t="s">
        <v>74</v>
      </c>
      <c r="X276" s="218"/>
      <c r="Y276" s="218"/>
      <c r="Z276" s="218" t="s">
        <v>75</v>
      </c>
      <c r="AA276" s="218"/>
      <c r="AB276" s="218"/>
      <c r="AC276" s="209"/>
    </row>
    <row r="277" spans="1:29" x14ac:dyDescent="0.2">
      <c r="A277" s="242"/>
      <c r="B277" s="216"/>
      <c r="C277" s="217"/>
      <c r="D277" s="217"/>
      <c r="E277" s="217"/>
      <c r="F277" s="217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09"/>
    </row>
    <row r="278" spans="1:29" x14ac:dyDescent="0.2">
      <c r="A278" s="242"/>
      <c r="B278" s="210" t="str">
        <f>B265</f>
        <v>02C</v>
      </c>
      <c r="C278" s="211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12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09"/>
    </row>
    <row r="279" spans="1:29" x14ac:dyDescent="0.2">
      <c r="A279" s="242"/>
      <c r="B279" s="210"/>
      <c r="C279" s="211"/>
      <c r="D279" s="9"/>
      <c r="E279" s="9" t="str">
        <f t="shared" ref="E279:F281" si="47">IF(ISBLANK(E266), "", E266)</f>
        <v/>
      </c>
      <c r="F279" s="9" t="str">
        <f t="shared" si="47"/>
        <v/>
      </c>
      <c r="G279" s="212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09"/>
    </row>
    <row r="280" spans="1:29" x14ac:dyDescent="0.2">
      <c r="A280" s="242"/>
      <c r="B280" s="210" t="str">
        <f>B267</f>
        <v>03C</v>
      </c>
      <c r="C280" s="211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12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09"/>
    </row>
    <row r="281" spans="1:29" x14ac:dyDescent="0.2">
      <c r="A281" s="242"/>
      <c r="B281" s="210"/>
      <c r="C281" s="211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12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09"/>
    </row>
    <row r="283" spans="1:29" x14ac:dyDescent="0.2">
      <c r="A283" s="242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42"/>
      <c r="B284" s="243" t="s">
        <v>10</v>
      </c>
      <c r="C284" s="244" t="s">
        <v>0</v>
      </c>
      <c r="D284" s="244" t="s">
        <v>25</v>
      </c>
      <c r="E284" s="244" t="s">
        <v>11</v>
      </c>
      <c r="F284" s="244" t="s">
        <v>16</v>
      </c>
      <c r="G284" s="225" t="s">
        <v>12</v>
      </c>
      <c r="H284" s="226" t="s">
        <v>13</v>
      </c>
      <c r="I284" s="227"/>
      <c r="J284" s="227"/>
      <c r="K284" s="227"/>
      <c r="L284" s="227"/>
      <c r="M284" s="228"/>
      <c r="N284" s="226" t="s">
        <v>14</v>
      </c>
      <c r="O284" s="227"/>
      <c r="P284" s="227"/>
      <c r="Q284" s="227"/>
      <c r="R284" s="227"/>
      <c r="S284" s="228"/>
      <c r="T284" s="226" t="s">
        <v>15</v>
      </c>
      <c r="U284" s="227"/>
      <c r="V284" s="227"/>
      <c r="W284" s="227"/>
      <c r="X284" s="227"/>
      <c r="Y284" s="228"/>
      <c r="Z284" s="229" t="s">
        <v>37</v>
      </c>
      <c r="AA284" s="229" t="s">
        <v>39</v>
      </c>
      <c r="AB284" s="229" t="s">
        <v>62</v>
      </c>
      <c r="AC284" s="254" t="s">
        <v>26</v>
      </c>
    </row>
    <row r="285" spans="1:29" ht="48" customHeight="1" x14ac:dyDescent="0.2">
      <c r="A285" s="242"/>
      <c r="B285" s="243"/>
      <c r="C285" s="244"/>
      <c r="D285" s="244"/>
      <c r="E285" s="244"/>
      <c r="F285" s="244"/>
      <c r="G285" s="225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30"/>
      <c r="AA285" s="231"/>
      <c r="AB285" s="231"/>
      <c r="AC285" s="254"/>
    </row>
    <row r="286" spans="1:29" x14ac:dyDescent="0.2">
      <c r="A286" s="242"/>
      <c r="B286" s="255" t="s">
        <v>2</v>
      </c>
      <c r="C286" s="257" t="s">
        <v>84</v>
      </c>
      <c r="D286" s="12"/>
      <c r="E286" s="10"/>
      <c r="F286" s="12"/>
      <c r="G286" s="257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21">
        <f>SUM(L286, R286, X286)+SUM(L287, R287, X287)</f>
        <v>0</v>
      </c>
      <c r="AA286" s="221">
        <f>SUM(M286, S286, Y286)+SUM(M287, S287, Y287)</f>
        <v>0</v>
      </c>
      <c r="AB286" s="223">
        <f>IF($Z286=0, ,AA286/$Z286)</f>
        <v>0</v>
      </c>
      <c r="AC286" s="247" t="s">
        <v>87</v>
      </c>
    </row>
    <row r="287" spans="1:29" x14ac:dyDescent="0.2">
      <c r="A287" s="242"/>
      <c r="B287" s="256"/>
      <c r="C287" s="258"/>
      <c r="D287" s="12"/>
      <c r="E287" s="12"/>
      <c r="F287" s="12"/>
      <c r="G287" s="259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22"/>
      <c r="AA287" s="222"/>
      <c r="AB287" s="224"/>
      <c r="AC287" s="248"/>
    </row>
    <row r="288" spans="1:29" x14ac:dyDescent="0.2">
      <c r="A288" s="242"/>
      <c r="B288" s="245" t="s">
        <v>6</v>
      </c>
      <c r="C288" s="234" t="s">
        <v>8</v>
      </c>
      <c r="D288" s="10"/>
      <c r="E288" s="10"/>
      <c r="F288" s="10"/>
      <c r="G288" s="234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36">
        <f>SUM(L288, R288, X288)+SUM(L289, R289, X289)</f>
        <v>0</v>
      </c>
      <c r="AA288" s="238">
        <f>SUM(M288, S288, Y288)+SUM(M289, S289, Y289)</f>
        <v>0</v>
      </c>
      <c r="AB288" s="213">
        <f>IF($Z288=0, ,AA288/$Z288)</f>
        <v>0</v>
      </c>
      <c r="AC288" s="232" t="s">
        <v>101</v>
      </c>
    </row>
    <row r="289" spans="1:29" x14ac:dyDescent="0.2">
      <c r="A289" s="242"/>
      <c r="B289" s="246"/>
      <c r="C289" s="235"/>
      <c r="D289" s="10"/>
      <c r="E289" s="10"/>
      <c r="F289" s="10"/>
      <c r="G289" s="235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37"/>
      <c r="AA289" s="239"/>
      <c r="AB289" s="214"/>
      <c r="AC289" s="233"/>
    </row>
    <row r="290" spans="1:29" x14ac:dyDescent="0.2">
      <c r="A290" s="242"/>
      <c r="B290" s="240" t="s">
        <v>7</v>
      </c>
      <c r="C290" s="219" t="s">
        <v>81</v>
      </c>
      <c r="D290" s="9"/>
      <c r="E290" s="9"/>
      <c r="F290" s="9"/>
      <c r="G290" s="219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21">
        <f>SUM(L290, R290, X290)+SUM(L291, R291, X291)</f>
        <v>0</v>
      </c>
      <c r="AA290" s="221">
        <f>SUM(M290, S290, Y290)+SUM(M291, S291, Y291)</f>
        <v>0</v>
      </c>
      <c r="AB290" s="223">
        <f>IF($Z290=0, ,AA290/$Z290)</f>
        <v>0</v>
      </c>
      <c r="AC290" s="247" t="s">
        <v>101</v>
      </c>
    </row>
    <row r="291" spans="1:29" x14ac:dyDescent="0.2">
      <c r="A291" s="242"/>
      <c r="B291" s="241"/>
      <c r="C291" s="220"/>
      <c r="D291" s="9"/>
      <c r="E291" s="9"/>
      <c r="F291" s="9"/>
      <c r="G291" s="220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22"/>
      <c r="AA291" s="222"/>
      <c r="AB291" s="224"/>
      <c r="AC291" s="248"/>
    </row>
    <row r="292" spans="1:29" x14ac:dyDescent="0.2">
      <c r="A292" s="242"/>
      <c r="B292" s="245" t="s">
        <v>3</v>
      </c>
      <c r="C292" s="234" t="s">
        <v>82</v>
      </c>
      <c r="D292" s="10"/>
      <c r="E292" s="10"/>
      <c r="F292" s="10"/>
      <c r="G292" s="234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38">
        <f>SUM(L292, R292, X292)+SUM(L293, R293, X293)</f>
        <v>0</v>
      </c>
      <c r="AA292" s="238">
        <f>SUM(M292, S292, Y292)+SUM(M293, S293, Y293)</f>
        <v>0</v>
      </c>
      <c r="AB292" s="213">
        <f>IF($Z292=0, ,AA292/$Z292)</f>
        <v>0</v>
      </c>
      <c r="AC292" s="232" t="s">
        <v>87</v>
      </c>
    </row>
    <row r="293" spans="1:29" x14ac:dyDescent="0.2">
      <c r="A293" s="242"/>
      <c r="B293" s="246"/>
      <c r="C293" s="235"/>
      <c r="D293" s="10"/>
      <c r="E293" s="10"/>
      <c r="F293" s="10"/>
      <c r="G293" s="235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39"/>
      <c r="AA293" s="239"/>
      <c r="AB293" s="214"/>
      <c r="AC293" s="233"/>
    </row>
    <row r="294" spans="1:29" x14ac:dyDescent="0.2">
      <c r="A294" s="242"/>
      <c r="B294" s="240" t="s">
        <v>4</v>
      </c>
      <c r="C294" s="219" t="s">
        <v>9</v>
      </c>
      <c r="D294" s="9"/>
      <c r="E294" s="10"/>
      <c r="F294" s="9"/>
      <c r="G294" s="219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21">
        <f>SUM(L294, R294, X294)+SUM(L295, R295, X295)</f>
        <v>0</v>
      </c>
      <c r="AA294" s="221">
        <f>SUM(M294, S294, Y294)+SUM(M295, S295, Y295)</f>
        <v>0</v>
      </c>
      <c r="AB294" s="223">
        <f>IF($Z294=0, ,AA294/$Z294)</f>
        <v>0</v>
      </c>
      <c r="AC294" s="247" t="s">
        <v>87</v>
      </c>
    </row>
    <row r="295" spans="1:29" x14ac:dyDescent="0.2">
      <c r="A295" s="242"/>
      <c r="B295" s="241"/>
      <c r="C295" s="220"/>
      <c r="D295" s="9"/>
      <c r="E295" s="9"/>
      <c r="F295" s="9"/>
      <c r="G295" s="220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22"/>
      <c r="AA295" s="222"/>
      <c r="AB295" s="224"/>
      <c r="AC295" s="248"/>
    </row>
    <row r="296" spans="1:29" x14ac:dyDescent="0.2">
      <c r="A296" s="242"/>
      <c r="B296" s="249" t="s">
        <v>85</v>
      </c>
      <c r="C296" s="251" t="s">
        <v>83</v>
      </c>
      <c r="D296" s="11"/>
      <c r="E296" s="10"/>
      <c r="F296" s="11"/>
      <c r="G296" s="251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53">
        <f>SUM(L296, R296, X296)+SUM(L297, R297, X297)</f>
        <v>0</v>
      </c>
      <c r="AA296" s="253">
        <f>SUM(M296, S296, Y296)+SUM(M297, S297, Y297)</f>
        <v>0</v>
      </c>
      <c r="AB296" s="213">
        <f>IF($Z296=0, ,AA296/$Z296)</f>
        <v>0</v>
      </c>
      <c r="AC296" s="215" t="s">
        <v>87</v>
      </c>
    </row>
    <row r="297" spans="1:29" x14ac:dyDescent="0.2">
      <c r="A297" s="242"/>
      <c r="B297" s="250"/>
      <c r="C297" s="252"/>
      <c r="D297" s="11"/>
      <c r="E297" s="11"/>
      <c r="F297" s="11"/>
      <c r="G297" s="252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53"/>
      <c r="AA297" s="253"/>
      <c r="AB297" s="214"/>
      <c r="AC297" s="215"/>
    </row>
    <row r="298" spans="1:29" x14ac:dyDescent="0.2">
      <c r="A298" s="242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42"/>
      <c r="B299" s="216" t="s">
        <v>67</v>
      </c>
      <c r="C299" s="217"/>
      <c r="D299" s="217"/>
      <c r="E299" s="217"/>
      <c r="F299" s="217"/>
      <c r="G299" s="9" t="s">
        <v>68</v>
      </c>
      <c r="H299" s="218" t="s">
        <v>64</v>
      </c>
      <c r="I299" s="218"/>
      <c r="J299" s="218"/>
      <c r="K299" s="218" t="s">
        <v>76</v>
      </c>
      <c r="L299" s="218"/>
      <c r="M299" s="218"/>
      <c r="N299" s="218" t="s">
        <v>65</v>
      </c>
      <c r="O299" s="218"/>
      <c r="P299" s="218"/>
      <c r="Q299" s="218" t="s">
        <v>66</v>
      </c>
      <c r="R299" s="218"/>
      <c r="S299" s="218"/>
      <c r="T299" s="218" t="s">
        <v>73</v>
      </c>
      <c r="U299" s="218"/>
      <c r="V299" s="218"/>
      <c r="W299" s="218" t="s">
        <v>74</v>
      </c>
      <c r="X299" s="218"/>
      <c r="Y299" s="218"/>
      <c r="Z299" s="218" t="s">
        <v>75</v>
      </c>
      <c r="AA299" s="218"/>
      <c r="AB299" s="218"/>
      <c r="AC299" s="209"/>
    </row>
    <row r="300" spans="1:29" x14ac:dyDescent="0.2">
      <c r="A300" s="242"/>
      <c r="B300" s="216"/>
      <c r="C300" s="217"/>
      <c r="D300" s="217"/>
      <c r="E300" s="217"/>
      <c r="F300" s="217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09"/>
    </row>
    <row r="301" spans="1:29" x14ac:dyDescent="0.2">
      <c r="A301" s="242"/>
      <c r="B301" s="210" t="str">
        <f>B288</f>
        <v>02C</v>
      </c>
      <c r="C301" s="211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12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09"/>
    </row>
    <row r="302" spans="1:29" x14ac:dyDescent="0.2">
      <c r="A302" s="242"/>
      <c r="B302" s="210"/>
      <c r="C302" s="211"/>
      <c r="D302" s="9"/>
      <c r="E302" s="9" t="str">
        <f t="shared" ref="E302:F304" si="51">IF(ISBLANK(E289), "", E289)</f>
        <v/>
      </c>
      <c r="F302" s="9" t="str">
        <f t="shared" si="51"/>
        <v/>
      </c>
      <c r="G302" s="212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09"/>
    </row>
    <row r="303" spans="1:29" x14ac:dyDescent="0.2">
      <c r="A303" s="242"/>
      <c r="B303" s="210" t="str">
        <f>B290</f>
        <v>03C</v>
      </c>
      <c r="C303" s="211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12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09"/>
    </row>
    <row r="304" spans="1:29" x14ac:dyDescent="0.2">
      <c r="A304" s="242"/>
      <c r="B304" s="210"/>
      <c r="C304" s="211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12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09"/>
    </row>
    <row r="306" spans="1:29" x14ac:dyDescent="0.2">
      <c r="A306" s="242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42"/>
      <c r="B307" s="243" t="s">
        <v>10</v>
      </c>
      <c r="C307" s="244" t="s">
        <v>0</v>
      </c>
      <c r="D307" s="244" t="s">
        <v>25</v>
      </c>
      <c r="E307" s="244" t="s">
        <v>11</v>
      </c>
      <c r="F307" s="244" t="s">
        <v>16</v>
      </c>
      <c r="G307" s="225" t="s">
        <v>12</v>
      </c>
      <c r="H307" s="226" t="s">
        <v>13</v>
      </c>
      <c r="I307" s="227"/>
      <c r="J307" s="227"/>
      <c r="K307" s="227"/>
      <c r="L307" s="227"/>
      <c r="M307" s="228"/>
      <c r="N307" s="226" t="s">
        <v>14</v>
      </c>
      <c r="O307" s="227"/>
      <c r="P307" s="227"/>
      <c r="Q307" s="227"/>
      <c r="R307" s="227"/>
      <c r="S307" s="228"/>
      <c r="T307" s="226" t="s">
        <v>15</v>
      </c>
      <c r="U307" s="227"/>
      <c r="V307" s="227"/>
      <c r="W307" s="227"/>
      <c r="X307" s="227"/>
      <c r="Y307" s="228"/>
      <c r="Z307" s="229" t="s">
        <v>37</v>
      </c>
      <c r="AA307" s="229" t="s">
        <v>39</v>
      </c>
      <c r="AB307" s="229" t="s">
        <v>62</v>
      </c>
      <c r="AC307" s="254" t="s">
        <v>26</v>
      </c>
    </row>
    <row r="308" spans="1:29" ht="25.5" x14ac:dyDescent="0.2">
      <c r="A308" s="242"/>
      <c r="B308" s="243"/>
      <c r="C308" s="244"/>
      <c r="D308" s="244"/>
      <c r="E308" s="244"/>
      <c r="F308" s="244"/>
      <c r="G308" s="225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30"/>
      <c r="AA308" s="231"/>
      <c r="AB308" s="231"/>
      <c r="AC308" s="254"/>
    </row>
    <row r="309" spans="1:29" x14ac:dyDescent="0.2">
      <c r="A309" s="242"/>
      <c r="B309" s="255" t="s">
        <v>2</v>
      </c>
      <c r="C309" s="257" t="s">
        <v>84</v>
      </c>
      <c r="D309" s="12"/>
      <c r="E309" s="10"/>
      <c r="F309" s="12"/>
      <c r="G309" s="257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21">
        <f>SUM(L309, R309, X309)+SUM(L310, R310, X310)</f>
        <v>0</v>
      </c>
      <c r="AA309" s="221">
        <f>SUM(M309, S309, Y309)+SUM(M310, S310, Y310)</f>
        <v>0</v>
      </c>
      <c r="AB309" s="223">
        <f>IF($Z309=0, ,AA309/$Z309)</f>
        <v>0</v>
      </c>
      <c r="AC309" s="247" t="s">
        <v>87</v>
      </c>
    </row>
    <row r="310" spans="1:29" x14ac:dyDescent="0.2">
      <c r="A310" s="242"/>
      <c r="B310" s="256"/>
      <c r="C310" s="258"/>
      <c r="D310" s="12"/>
      <c r="E310" s="12"/>
      <c r="F310" s="12"/>
      <c r="G310" s="259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22"/>
      <c r="AA310" s="222"/>
      <c r="AB310" s="224"/>
      <c r="AC310" s="248"/>
    </row>
    <row r="311" spans="1:29" x14ac:dyDescent="0.2">
      <c r="A311" s="242"/>
      <c r="B311" s="245" t="s">
        <v>6</v>
      </c>
      <c r="C311" s="234" t="s">
        <v>8</v>
      </c>
      <c r="D311" s="10"/>
      <c r="E311" s="10"/>
      <c r="F311" s="10"/>
      <c r="G311" s="234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36">
        <f>SUM(L311, R311, X311)+SUM(L312, R312, X312)</f>
        <v>0</v>
      </c>
      <c r="AA311" s="238">
        <f>SUM(M311, S311, Y311)+SUM(M312, S312, Y312)</f>
        <v>0</v>
      </c>
      <c r="AB311" s="213">
        <f>IF($Z311=0, ,AA311/$Z311)</f>
        <v>0</v>
      </c>
      <c r="AC311" s="232" t="s">
        <v>87</v>
      </c>
    </row>
    <row r="312" spans="1:29" x14ac:dyDescent="0.2">
      <c r="A312" s="242"/>
      <c r="B312" s="246"/>
      <c r="C312" s="235"/>
      <c r="D312" s="10"/>
      <c r="E312" s="10"/>
      <c r="F312" s="10"/>
      <c r="G312" s="235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37"/>
      <c r="AA312" s="239"/>
      <c r="AB312" s="214"/>
      <c r="AC312" s="233"/>
    </row>
    <row r="313" spans="1:29" x14ac:dyDescent="0.2">
      <c r="A313" s="242"/>
      <c r="B313" s="240" t="s">
        <v>7</v>
      </c>
      <c r="C313" s="219" t="s">
        <v>81</v>
      </c>
      <c r="D313" s="9"/>
      <c r="E313" s="9"/>
      <c r="F313" s="9"/>
      <c r="G313" s="219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21">
        <f>SUM(L313, R313, X313)+SUM(L314, R314, X314)</f>
        <v>0</v>
      </c>
      <c r="AA313" s="221">
        <f>SUM(M313, S313, Y313)+SUM(M314, S314, Y314)</f>
        <v>0</v>
      </c>
      <c r="AB313" s="223">
        <f>IF($Z313=0, ,AA313/$Z313)</f>
        <v>0</v>
      </c>
      <c r="AC313" s="247" t="s">
        <v>87</v>
      </c>
    </row>
    <row r="314" spans="1:29" x14ac:dyDescent="0.2">
      <c r="A314" s="242"/>
      <c r="B314" s="241"/>
      <c r="C314" s="220"/>
      <c r="D314" s="9"/>
      <c r="E314" s="9"/>
      <c r="F314" s="9"/>
      <c r="G314" s="220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22"/>
      <c r="AA314" s="222"/>
      <c r="AB314" s="224"/>
      <c r="AC314" s="248"/>
    </row>
    <row r="315" spans="1:29" x14ac:dyDescent="0.2">
      <c r="A315" s="242"/>
      <c r="B315" s="245" t="s">
        <v>3</v>
      </c>
      <c r="C315" s="234" t="s">
        <v>82</v>
      </c>
      <c r="D315" s="10"/>
      <c r="E315" s="10"/>
      <c r="F315" s="10"/>
      <c r="G315" s="234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38">
        <f>SUM(L315, R315, X315)+SUM(L316, R316, X316)</f>
        <v>0</v>
      </c>
      <c r="AA315" s="238">
        <f>SUM(M315, S315, Y315)+SUM(M316, S316, Y316)</f>
        <v>0</v>
      </c>
      <c r="AB315" s="213">
        <f>IF($Z315=0, ,AA315/$Z315)</f>
        <v>0</v>
      </c>
      <c r="AC315" s="232" t="s">
        <v>87</v>
      </c>
    </row>
    <row r="316" spans="1:29" x14ac:dyDescent="0.2">
      <c r="A316" s="242"/>
      <c r="B316" s="246"/>
      <c r="C316" s="235"/>
      <c r="D316" s="10"/>
      <c r="E316" s="10"/>
      <c r="F316" s="10"/>
      <c r="G316" s="235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39"/>
      <c r="AA316" s="239"/>
      <c r="AB316" s="214"/>
      <c r="AC316" s="233"/>
    </row>
    <row r="317" spans="1:29" x14ac:dyDescent="0.2">
      <c r="A317" s="242"/>
      <c r="B317" s="240" t="s">
        <v>4</v>
      </c>
      <c r="C317" s="219" t="s">
        <v>9</v>
      </c>
      <c r="D317" s="9"/>
      <c r="E317" s="10"/>
      <c r="F317" s="9"/>
      <c r="G317" s="219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21">
        <f>SUM(L317, R317, X317)+SUM(L318, R318, X318)</f>
        <v>0</v>
      </c>
      <c r="AA317" s="221">
        <f>SUM(M317, S317, Y317)+SUM(M318, S318, Y318)</f>
        <v>0</v>
      </c>
      <c r="AB317" s="223">
        <f>IF($Z317=0, ,AA317/$Z317)</f>
        <v>0</v>
      </c>
      <c r="AC317" s="247" t="s">
        <v>87</v>
      </c>
    </row>
    <row r="318" spans="1:29" x14ac:dyDescent="0.2">
      <c r="A318" s="242"/>
      <c r="B318" s="241"/>
      <c r="C318" s="220"/>
      <c r="D318" s="9"/>
      <c r="E318" s="9"/>
      <c r="F318" s="9"/>
      <c r="G318" s="220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22"/>
      <c r="AA318" s="222"/>
      <c r="AB318" s="224"/>
      <c r="AC318" s="248"/>
    </row>
    <row r="319" spans="1:29" x14ac:dyDescent="0.2">
      <c r="A319" s="242"/>
      <c r="B319" s="249" t="s">
        <v>85</v>
      </c>
      <c r="C319" s="251" t="s">
        <v>83</v>
      </c>
      <c r="D319" s="11"/>
      <c r="E319" s="10"/>
      <c r="F319" s="11"/>
      <c r="G319" s="251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53">
        <f>SUM(L319, R319, X319)+SUM(L320, R320, X320)</f>
        <v>0</v>
      </c>
      <c r="AA319" s="253">
        <f>SUM(M319, S319, Y319)+SUM(M320, S320, Y320)</f>
        <v>0</v>
      </c>
      <c r="AB319" s="213">
        <f>IF($Z319=0, ,AA319/$Z319)</f>
        <v>0</v>
      </c>
      <c r="AC319" s="215" t="s">
        <v>87</v>
      </c>
    </row>
    <row r="320" spans="1:29" x14ac:dyDescent="0.2">
      <c r="A320" s="242"/>
      <c r="B320" s="250"/>
      <c r="C320" s="252"/>
      <c r="D320" s="11"/>
      <c r="E320" s="11"/>
      <c r="F320" s="11"/>
      <c r="G320" s="252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53"/>
      <c r="AA320" s="253"/>
      <c r="AB320" s="214"/>
      <c r="AC320" s="215"/>
    </row>
    <row r="321" spans="1:29" x14ac:dyDescent="0.2">
      <c r="A321" s="242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42"/>
      <c r="B322" s="216" t="s">
        <v>67</v>
      </c>
      <c r="C322" s="217"/>
      <c r="D322" s="217"/>
      <c r="E322" s="217"/>
      <c r="F322" s="217"/>
      <c r="G322" s="9" t="s">
        <v>68</v>
      </c>
      <c r="H322" s="218" t="s">
        <v>64</v>
      </c>
      <c r="I322" s="218"/>
      <c r="J322" s="218"/>
      <c r="K322" s="218" t="s">
        <v>76</v>
      </c>
      <c r="L322" s="218"/>
      <c r="M322" s="218"/>
      <c r="N322" s="218" t="s">
        <v>65</v>
      </c>
      <c r="O322" s="218"/>
      <c r="P322" s="218"/>
      <c r="Q322" s="218" t="s">
        <v>66</v>
      </c>
      <c r="R322" s="218"/>
      <c r="S322" s="218"/>
      <c r="T322" s="218" t="s">
        <v>73</v>
      </c>
      <c r="U322" s="218"/>
      <c r="V322" s="218"/>
      <c r="W322" s="218" t="s">
        <v>74</v>
      </c>
      <c r="X322" s="218"/>
      <c r="Y322" s="218"/>
      <c r="Z322" s="218" t="s">
        <v>75</v>
      </c>
      <c r="AA322" s="218"/>
      <c r="AB322" s="218"/>
      <c r="AC322" s="209"/>
    </row>
    <row r="323" spans="1:29" x14ac:dyDescent="0.2">
      <c r="A323" s="242"/>
      <c r="B323" s="216"/>
      <c r="C323" s="217"/>
      <c r="D323" s="217"/>
      <c r="E323" s="217"/>
      <c r="F323" s="217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09"/>
    </row>
    <row r="324" spans="1:29" x14ac:dyDescent="0.2">
      <c r="A324" s="242"/>
      <c r="B324" s="210" t="str">
        <f>B311</f>
        <v>02C</v>
      </c>
      <c r="C324" s="211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12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09"/>
    </row>
    <row r="325" spans="1:29" x14ac:dyDescent="0.2">
      <c r="A325" s="242"/>
      <c r="B325" s="210"/>
      <c r="C325" s="211"/>
      <c r="D325" s="9"/>
      <c r="E325" s="9" t="str">
        <f t="shared" ref="E325:F327" si="55">IF(ISBLANK(E312), "", E312)</f>
        <v/>
      </c>
      <c r="F325" s="9" t="str">
        <f t="shared" si="55"/>
        <v/>
      </c>
      <c r="G325" s="212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09"/>
    </row>
    <row r="326" spans="1:29" x14ac:dyDescent="0.2">
      <c r="A326" s="242"/>
      <c r="B326" s="210" t="str">
        <f>B313</f>
        <v>03C</v>
      </c>
      <c r="C326" s="211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12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09"/>
    </row>
    <row r="327" spans="1:29" x14ac:dyDescent="0.2">
      <c r="A327" s="242"/>
      <c r="B327" s="210"/>
      <c r="C327" s="211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12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09"/>
    </row>
    <row r="329" spans="1:29" x14ac:dyDescent="0.2">
      <c r="A329" s="242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42"/>
      <c r="B330" s="243" t="s">
        <v>10</v>
      </c>
      <c r="C330" s="244" t="s">
        <v>0</v>
      </c>
      <c r="D330" s="244" t="s">
        <v>25</v>
      </c>
      <c r="E330" s="244" t="s">
        <v>11</v>
      </c>
      <c r="F330" s="244" t="s">
        <v>16</v>
      </c>
      <c r="G330" s="225" t="s">
        <v>12</v>
      </c>
      <c r="H330" s="226" t="s">
        <v>13</v>
      </c>
      <c r="I330" s="227"/>
      <c r="J330" s="227"/>
      <c r="K330" s="227"/>
      <c r="L330" s="227"/>
      <c r="M330" s="228"/>
      <c r="N330" s="226" t="s">
        <v>14</v>
      </c>
      <c r="O330" s="227"/>
      <c r="P330" s="227"/>
      <c r="Q330" s="227"/>
      <c r="R330" s="227"/>
      <c r="S330" s="228"/>
      <c r="T330" s="226" t="s">
        <v>15</v>
      </c>
      <c r="U330" s="227"/>
      <c r="V330" s="227"/>
      <c r="W330" s="227"/>
      <c r="X330" s="227"/>
      <c r="Y330" s="228"/>
      <c r="Z330" s="229" t="s">
        <v>37</v>
      </c>
      <c r="AA330" s="229" t="s">
        <v>39</v>
      </c>
      <c r="AB330" s="229" t="s">
        <v>62</v>
      </c>
      <c r="AC330" s="254" t="s">
        <v>26</v>
      </c>
    </row>
    <row r="331" spans="1:29" ht="25.5" x14ac:dyDescent="0.2">
      <c r="A331" s="242"/>
      <c r="B331" s="243"/>
      <c r="C331" s="244"/>
      <c r="D331" s="244"/>
      <c r="E331" s="244"/>
      <c r="F331" s="244"/>
      <c r="G331" s="225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30"/>
      <c r="AA331" s="231"/>
      <c r="AB331" s="231"/>
      <c r="AC331" s="254"/>
    </row>
    <row r="332" spans="1:29" x14ac:dyDescent="0.2">
      <c r="A332" s="242"/>
      <c r="B332" s="255" t="s">
        <v>2</v>
      </c>
      <c r="C332" s="257" t="s">
        <v>84</v>
      </c>
      <c r="D332" s="12"/>
      <c r="E332" s="10"/>
      <c r="F332" s="12"/>
      <c r="G332" s="257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21">
        <f>SUM(L332, R332, X332)+SUM(L333, R333, X333)</f>
        <v>0</v>
      </c>
      <c r="AA332" s="221">
        <f>SUM(M332, S332, Y332)+SUM(M333, S333, Y333)</f>
        <v>0</v>
      </c>
      <c r="AB332" s="223">
        <f>IF($Z332=0, ,AA332/$Z332)</f>
        <v>0</v>
      </c>
      <c r="AC332" s="247" t="s">
        <v>87</v>
      </c>
    </row>
    <row r="333" spans="1:29" x14ac:dyDescent="0.2">
      <c r="A333" s="242"/>
      <c r="B333" s="256"/>
      <c r="C333" s="258"/>
      <c r="D333" s="12"/>
      <c r="E333" s="12"/>
      <c r="F333" s="12"/>
      <c r="G333" s="259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22"/>
      <c r="AA333" s="222"/>
      <c r="AB333" s="224"/>
      <c r="AC333" s="248"/>
    </row>
    <row r="334" spans="1:29" x14ac:dyDescent="0.2">
      <c r="A334" s="242"/>
      <c r="B334" s="245" t="s">
        <v>6</v>
      </c>
      <c r="C334" s="234" t="s">
        <v>8</v>
      </c>
      <c r="D334" s="10"/>
      <c r="E334" s="10"/>
      <c r="F334" s="10"/>
      <c r="G334" s="234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36">
        <f>SUM(L334, R334, X334)+SUM(L335, R335, X335)</f>
        <v>0</v>
      </c>
      <c r="AA334" s="238">
        <f>SUM(M334, S334, Y334)+SUM(M335, S335, Y335)</f>
        <v>0</v>
      </c>
      <c r="AB334" s="213">
        <f>IF($Z334=0, ,AA334/$Z334)</f>
        <v>0</v>
      </c>
      <c r="AC334" s="232" t="s">
        <v>87</v>
      </c>
    </row>
    <row r="335" spans="1:29" x14ac:dyDescent="0.2">
      <c r="A335" s="242"/>
      <c r="B335" s="246"/>
      <c r="C335" s="235"/>
      <c r="D335" s="10"/>
      <c r="E335" s="10"/>
      <c r="F335" s="10"/>
      <c r="G335" s="235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37"/>
      <c r="AA335" s="239"/>
      <c r="AB335" s="214"/>
      <c r="AC335" s="233"/>
    </row>
    <row r="336" spans="1:29" x14ac:dyDescent="0.2">
      <c r="A336" s="242"/>
      <c r="B336" s="240" t="s">
        <v>7</v>
      </c>
      <c r="C336" s="219" t="s">
        <v>81</v>
      </c>
      <c r="D336" s="9"/>
      <c r="E336" s="9"/>
      <c r="F336" s="9"/>
      <c r="G336" s="219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21">
        <f>SUM(L336, R336, X336)+SUM(L337, R337, X337)</f>
        <v>0</v>
      </c>
      <c r="AA336" s="221">
        <f>SUM(M336, S336, Y336)+SUM(M337, S337, Y337)</f>
        <v>0</v>
      </c>
      <c r="AB336" s="223">
        <f>IF($Z336=0, ,AA336/$Z336)</f>
        <v>0</v>
      </c>
      <c r="AC336" s="247" t="s">
        <v>87</v>
      </c>
    </row>
    <row r="337" spans="1:29" x14ac:dyDescent="0.2">
      <c r="A337" s="242"/>
      <c r="B337" s="241"/>
      <c r="C337" s="220"/>
      <c r="D337" s="9"/>
      <c r="E337" s="9"/>
      <c r="F337" s="9"/>
      <c r="G337" s="220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22"/>
      <c r="AA337" s="222"/>
      <c r="AB337" s="224"/>
      <c r="AC337" s="248"/>
    </row>
    <row r="338" spans="1:29" x14ac:dyDescent="0.2">
      <c r="A338" s="242"/>
      <c r="B338" s="245" t="s">
        <v>3</v>
      </c>
      <c r="C338" s="234" t="s">
        <v>82</v>
      </c>
      <c r="D338" s="10"/>
      <c r="E338" s="10"/>
      <c r="F338" s="10"/>
      <c r="G338" s="234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38">
        <f>SUM(L338, R338, X338)+SUM(L339, R339, X339)</f>
        <v>0</v>
      </c>
      <c r="AA338" s="238">
        <f>SUM(M338, S338, Y338)+SUM(M339, S339, Y339)</f>
        <v>0</v>
      </c>
      <c r="AB338" s="213">
        <f>IF($Z338=0, ,AA338/$Z338)</f>
        <v>0</v>
      </c>
      <c r="AC338" s="232" t="s">
        <v>87</v>
      </c>
    </row>
    <row r="339" spans="1:29" x14ac:dyDescent="0.2">
      <c r="A339" s="242"/>
      <c r="B339" s="246"/>
      <c r="C339" s="235"/>
      <c r="D339" s="10"/>
      <c r="E339" s="10"/>
      <c r="F339" s="10"/>
      <c r="G339" s="235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39"/>
      <c r="AA339" s="239"/>
      <c r="AB339" s="214"/>
      <c r="AC339" s="233"/>
    </row>
    <row r="340" spans="1:29" x14ac:dyDescent="0.2">
      <c r="A340" s="242"/>
      <c r="B340" s="240" t="s">
        <v>4</v>
      </c>
      <c r="C340" s="219" t="s">
        <v>9</v>
      </c>
      <c r="D340" s="9"/>
      <c r="E340" s="10"/>
      <c r="F340" s="9"/>
      <c r="G340" s="219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21">
        <f>SUM(L340, R340, X340)+SUM(L341, R341, X341)</f>
        <v>0</v>
      </c>
      <c r="AA340" s="221">
        <f>SUM(M340, S340, Y340)+SUM(M341, S341, Y341)</f>
        <v>0</v>
      </c>
      <c r="AB340" s="223">
        <f>IF($Z340=0, ,AA340/$Z340)</f>
        <v>0</v>
      </c>
      <c r="AC340" s="247" t="s">
        <v>87</v>
      </c>
    </row>
    <row r="341" spans="1:29" x14ac:dyDescent="0.2">
      <c r="A341" s="242"/>
      <c r="B341" s="241"/>
      <c r="C341" s="220"/>
      <c r="D341" s="9"/>
      <c r="E341" s="9"/>
      <c r="F341" s="9"/>
      <c r="G341" s="220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22"/>
      <c r="AA341" s="222"/>
      <c r="AB341" s="224"/>
      <c r="AC341" s="248"/>
    </row>
    <row r="342" spans="1:29" x14ac:dyDescent="0.2">
      <c r="A342" s="242"/>
      <c r="B342" s="249" t="s">
        <v>85</v>
      </c>
      <c r="C342" s="251" t="s">
        <v>83</v>
      </c>
      <c r="D342" s="11"/>
      <c r="E342" s="10"/>
      <c r="F342" s="11"/>
      <c r="G342" s="251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53">
        <f>SUM(L342, R342, X342)+SUM(L343, R343, X343)</f>
        <v>0</v>
      </c>
      <c r="AA342" s="253">
        <f>SUM(M342, S342, Y342)+SUM(M343, S343, Y343)</f>
        <v>0</v>
      </c>
      <c r="AB342" s="213">
        <f>IF($Z342=0, ,AA342/$Z342)</f>
        <v>0</v>
      </c>
      <c r="AC342" s="215" t="s">
        <v>87</v>
      </c>
    </row>
    <row r="343" spans="1:29" x14ac:dyDescent="0.2">
      <c r="A343" s="242"/>
      <c r="B343" s="250"/>
      <c r="C343" s="252"/>
      <c r="D343" s="11"/>
      <c r="E343" s="11"/>
      <c r="F343" s="11"/>
      <c r="G343" s="252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53"/>
      <c r="AA343" s="253"/>
      <c r="AB343" s="214"/>
      <c r="AC343" s="215"/>
    </row>
    <row r="344" spans="1:29" x14ac:dyDescent="0.2">
      <c r="A344" s="242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42"/>
      <c r="B345" s="216" t="s">
        <v>67</v>
      </c>
      <c r="C345" s="217"/>
      <c r="D345" s="217"/>
      <c r="E345" s="217"/>
      <c r="F345" s="217"/>
      <c r="G345" s="9" t="s">
        <v>68</v>
      </c>
      <c r="H345" s="218" t="s">
        <v>64</v>
      </c>
      <c r="I345" s="218"/>
      <c r="J345" s="218"/>
      <c r="K345" s="218" t="s">
        <v>76</v>
      </c>
      <c r="L345" s="218"/>
      <c r="M345" s="218"/>
      <c r="N345" s="218" t="s">
        <v>65</v>
      </c>
      <c r="O345" s="218"/>
      <c r="P345" s="218"/>
      <c r="Q345" s="218" t="s">
        <v>66</v>
      </c>
      <c r="R345" s="218"/>
      <c r="S345" s="218"/>
      <c r="T345" s="218" t="s">
        <v>73</v>
      </c>
      <c r="U345" s="218"/>
      <c r="V345" s="218"/>
      <c r="W345" s="218" t="s">
        <v>74</v>
      </c>
      <c r="X345" s="218"/>
      <c r="Y345" s="218"/>
      <c r="Z345" s="218" t="s">
        <v>75</v>
      </c>
      <c r="AA345" s="218"/>
      <c r="AB345" s="218"/>
      <c r="AC345" s="209"/>
    </row>
    <row r="346" spans="1:29" x14ac:dyDescent="0.2">
      <c r="A346" s="242"/>
      <c r="B346" s="216"/>
      <c r="C346" s="217"/>
      <c r="D346" s="217"/>
      <c r="E346" s="217"/>
      <c r="F346" s="217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09"/>
    </row>
    <row r="347" spans="1:29" x14ac:dyDescent="0.2">
      <c r="A347" s="242"/>
      <c r="B347" s="210" t="str">
        <f>B334</f>
        <v>02C</v>
      </c>
      <c r="C347" s="211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12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09"/>
    </row>
    <row r="348" spans="1:29" x14ac:dyDescent="0.2">
      <c r="A348" s="242"/>
      <c r="B348" s="210"/>
      <c r="C348" s="211"/>
      <c r="D348" s="9"/>
      <c r="E348" s="9" t="str">
        <f t="shared" ref="E348:F350" si="59">IF(ISBLANK(E335), "", E335)</f>
        <v/>
      </c>
      <c r="F348" s="9" t="str">
        <f t="shared" si="59"/>
        <v/>
      </c>
      <c r="G348" s="212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09"/>
    </row>
    <row r="349" spans="1:29" x14ac:dyDescent="0.2">
      <c r="A349" s="242"/>
      <c r="B349" s="210" t="str">
        <f>B336</f>
        <v>03C</v>
      </c>
      <c r="C349" s="211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12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09"/>
    </row>
    <row r="350" spans="1:29" x14ac:dyDescent="0.2">
      <c r="A350" s="242"/>
      <c r="B350" s="210"/>
      <c r="C350" s="211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12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09"/>
    </row>
    <row r="352" spans="1:29" x14ac:dyDescent="0.2">
      <c r="A352" s="242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42"/>
      <c r="B353" s="243" t="s">
        <v>10</v>
      </c>
      <c r="C353" s="244" t="s">
        <v>0</v>
      </c>
      <c r="D353" s="244" t="s">
        <v>25</v>
      </c>
      <c r="E353" s="244" t="s">
        <v>11</v>
      </c>
      <c r="F353" s="244" t="s">
        <v>16</v>
      </c>
      <c r="G353" s="225" t="s">
        <v>12</v>
      </c>
      <c r="H353" s="226" t="s">
        <v>13</v>
      </c>
      <c r="I353" s="227"/>
      <c r="J353" s="227"/>
      <c r="K353" s="227"/>
      <c r="L353" s="227"/>
      <c r="M353" s="228"/>
      <c r="N353" s="226" t="s">
        <v>14</v>
      </c>
      <c r="O353" s="227"/>
      <c r="P353" s="227"/>
      <c r="Q353" s="227"/>
      <c r="R353" s="227"/>
      <c r="S353" s="228"/>
      <c r="T353" s="226" t="s">
        <v>15</v>
      </c>
      <c r="U353" s="227"/>
      <c r="V353" s="227"/>
      <c r="W353" s="227"/>
      <c r="X353" s="227"/>
      <c r="Y353" s="228"/>
      <c r="Z353" s="229" t="s">
        <v>37</v>
      </c>
      <c r="AA353" s="229" t="s">
        <v>39</v>
      </c>
      <c r="AB353" s="229" t="s">
        <v>62</v>
      </c>
      <c r="AC353" s="254" t="s">
        <v>26</v>
      </c>
    </row>
    <row r="354" spans="1:29" ht="25.5" x14ac:dyDescent="0.2">
      <c r="A354" s="242"/>
      <c r="B354" s="243"/>
      <c r="C354" s="244"/>
      <c r="D354" s="244"/>
      <c r="E354" s="244"/>
      <c r="F354" s="244"/>
      <c r="G354" s="225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30"/>
      <c r="AA354" s="231"/>
      <c r="AB354" s="231"/>
      <c r="AC354" s="254"/>
    </row>
    <row r="355" spans="1:29" x14ac:dyDescent="0.2">
      <c r="A355" s="242"/>
      <c r="B355" s="255" t="s">
        <v>2</v>
      </c>
      <c r="C355" s="257" t="s">
        <v>84</v>
      </c>
      <c r="D355" s="12"/>
      <c r="E355" s="10" t="s">
        <v>92</v>
      </c>
      <c r="F355" s="12">
        <v>6331</v>
      </c>
      <c r="G355" s="257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21">
        <f>SUM(L355, R355, X355)+SUM(L356, R356, X356)</f>
        <v>45200</v>
      </c>
      <c r="AA355" s="221">
        <f>SUM(M355, S355, Y355)+SUM(M356, S356, Y356)</f>
        <v>0</v>
      </c>
      <c r="AB355" s="223">
        <f>IF($Z355=0, ,AA355/$Z355)</f>
        <v>0</v>
      </c>
      <c r="AC355" s="247"/>
    </row>
    <row r="356" spans="1:29" x14ac:dyDescent="0.2">
      <c r="A356" s="242"/>
      <c r="B356" s="256"/>
      <c r="C356" s="258"/>
      <c r="D356" s="12"/>
      <c r="E356" s="12"/>
      <c r="F356" s="12"/>
      <c r="G356" s="259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22"/>
      <c r="AA356" s="222"/>
      <c r="AB356" s="224"/>
      <c r="AC356" s="248"/>
    </row>
    <row r="357" spans="1:29" x14ac:dyDescent="0.2">
      <c r="A357" s="242"/>
      <c r="B357" s="245" t="s">
        <v>6</v>
      </c>
      <c r="C357" s="234" t="s">
        <v>8</v>
      </c>
      <c r="D357" s="10"/>
      <c r="E357" s="10"/>
      <c r="F357" s="10"/>
      <c r="G357" s="234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36">
        <f>SUM(L357, R357, X357)+SUM(L358, R358, X358)</f>
        <v>0</v>
      </c>
      <c r="AA357" s="238">
        <f>SUM(M357, S357, Y357)+SUM(M358, S358, Y358)</f>
        <v>0</v>
      </c>
      <c r="AB357" s="213">
        <f>IF($Z357=0, ,AA357/$Z357)</f>
        <v>0</v>
      </c>
      <c r="AC357" s="232"/>
    </row>
    <row r="358" spans="1:29" x14ac:dyDescent="0.2">
      <c r="A358" s="242"/>
      <c r="B358" s="246"/>
      <c r="C358" s="235"/>
      <c r="D358" s="10"/>
      <c r="E358" s="10"/>
      <c r="F358" s="10"/>
      <c r="G358" s="235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37"/>
      <c r="AA358" s="239"/>
      <c r="AB358" s="214"/>
      <c r="AC358" s="233"/>
    </row>
    <row r="359" spans="1:29" x14ac:dyDescent="0.2">
      <c r="A359" s="242"/>
      <c r="B359" s="240" t="s">
        <v>7</v>
      </c>
      <c r="C359" s="219" t="s">
        <v>81</v>
      </c>
      <c r="D359" s="9" t="s">
        <v>102</v>
      </c>
      <c r="E359" s="9" t="s">
        <v>103</v>
      </c>
      <c r="F359" s="9">
        <v>6331</v>
      </c>
      <c r="G359" s="219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21">
        <f>SUM(L359, R359, X359)+SUM(L360, R360, X360)</f>
        <v>27296</v>
      </c>
      <c r="AA359" s="221">
        <f>SUM(M359, S359, Y359)+SUM(M360, S360, Y360)</f>
        <v>600</v>
      </c>
      <c r="AB359" s="223">
        <f>IF($Z359=0, ,AA359/$Z359)</f>
        <v>2.1981242672919107E-2</v>
      </c>
      <c r="AC359" s="247" t="s">
        <v>105</v>
      </c>
    </row>
    <row r="360" spans="1:29" x14ac:dyDescent="0.2">
      <c r="A360" s="242"/>
      <c r="B360" s="241"/>
      <c r="C360" s="220"/>
      <c r="D360" s="9"/>
      <c r="E360" s="9"/>
      <c r="F360" s="9"/>
      <c r="G360" s="220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22"/>
      <c r="AA360" s="222"/>
      <c r="AB360" s="224"/>
      <c r="AC360" s="248"/>
    </row>
    <row r="361" spans="1:29" x14ac:dyDescent="0.2">
      <c r="A361" s="242"/>
      <c r="B361" s="245" t="s">
        <v>3</v>
      </c>
      <c r="C361" s="234" t="s">
        <v>82</v>
      </c>
      <c r="D361" s="10"/>
      <c r="E361" s="10" t="s">
        <v>104</v>
      </c>
      <c r="F361" s="10">
        <v>6331</v>
      </c>
      <c r="G361" s="234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38">
        <f>SUM(L361, R361, X361)+SUM(L362, R362, X362)</f>
        <v>44896</v>
      </c>
      <c r="AA361" s="238">
        <f>SUM(M361, S361, Y361)+SUM(M362, S362, Y362)</f>
        <v>0</v>
      </c>
      <c r="AB361" s="213">
        <f>IF($Z361=0, ,AA361/$Z361)</f>
        <v>0</v>
      </c>
      <c r="AC361" s="232"/>
    </row>
    <row r="362" spans="1:29" x14ac:dyDescent="0.2">
      <c r="A362" s="242"/>
      <c r="B362" s="246"/>
      <c r="C362" s="235"/>
      <c r="D362" s="10"/>
      <c r="E362" s="10"/>
      <c r="F362" s="10"/>
      <c r="G362" s="235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39"/>
      <c r="AA362" s="239"/>
      <c r="AB362" s="214"/>
      <c r="AC362" s="233"/>
    </row>
    <row r="363" spans="1:29" x14ac:dyDescent="0.2">
      <c r="A363" s="242"/>
      <c r="B363" s="240" t="s">
        <v>4</v>
      </c>
      <c r="C363" s="219" t="s">
        <v>9</v>
      </c>
      <c r="D363" s="9"/>
      <c r="E363" s="10"/>
      <c r="F363" s="9"/>
      <c r="G363" s="219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21">
        <f>SUM(L363, R363, X363)+SUM(L364, R364, X364)</f>
        <v>0</v>
      </c>
      <c r="AA363" s="221">
        <f>SUM(M363, S363, Y363)+SUM(M364, S364, Y364)</f>
        <v>0</v>
      </c>
      <c r="AB363" s="223">
        <f>IF($Z363=0, ,AA363/$Z363)</f>
        <v>0</v>
      </c>
      <c r="AC363" s="247"/>
    </row>
    <row r="364" spans="1:29" x14ac:dyDescent="0.2">
      <c r="A364" s="242"/>
      <c r="B364" s="241"/>
      <c r="C364" s="220"/>
      <c r="D364" s="9"/>
      <c r="E364" s="9"/>
      <c r="F364" s="9"/>
      <c r="G364" s="220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22"/>
      <c r="AA364" s="222"/>
      <c r="AB364" s="224"/>
      <c r="AC364" s="248"/>
    </row>
    <row r="365" spans="1:29" x14ac:dyDescent="0.2">
      <c r="A365" s="242"/>
      <c r="B365" s="249" t="s">
        <v>85</v>
      </c>
      <c r="C365" s="251" t="s">
        <v>83</v>
      </c>
      <c r="D365" s="11"/>
      <c r="E365" s="10"/>
      <c r="F365" s="11">
        <v>6331</v>
      </c>
      <c r="G365" s="251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53">
        <f>SUM(L365, R365, X365)+SUM(L366, R366, X366)</f>
        <v>96544</v>
      </c>
      <c r="AA365" s="253">
        <f>SUM(M365, S365, Y365)+SUM(M366, S366, Y366)</f>
        <v>0</v>
      </c>
      <c r="AB365" s="213">
        <f>IF($Z365=0, ,AA365/$Z365)</f>
        <v>0</v>
      </c>
      <c r="AC365" s="215"/>
    </row>
    <row r="366" spans="1:29" x14ac:dyDescent="0.2">
      <c r="A366" s="242"/>
      <c r="B366" s="250"/>
      <c r="C366" s="252"/>
      <c r="D366" s="11"/>
      <c r="E366" s="11"/>
      <c r="F366" s="11"/>
      <c r="G366" s="252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53"/>
      <c r="AA366" s="253"/>
      <c r="AB366" s="214"/>
      <c r="AC366" s="215"/>
    </row>
    <row r="367" spans="1:29" x14ac:dyDescent="0.2">
      <c r="A367" s="242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42"/>
      <c r="B368" s="216" t="s">
        <v>67</v>
      </c>
      <c r="C368" s="217"/>
      <c r="D368" s="217"/>
      <c r="E368" s="217"/>
      <c r="F368" s="217"/>
      <c r="G368" s="9" t="s">
        <v>68</v>
      </c>
      <c r="H368" s="218" t="s">
        <v>64</v>
      </c>
      <c r="I368" s="218"/>
      <c r="J368" s="218"/>
      <c r="K368" s="218" t="s">
        <v>76</v>
      </c>
      <c r="L368" s="218"/>
      <c r="M368" s="218"/>
      <c r="N368" s="218" t="s">
        <v>65</v>
      </c>
      <c r="O368" s="218"/>
      <c r="P368" s="218"/>
      <c r="Q368" s="218" t="s">
        <v>66</v>
      </c>
      <c r="R368" s="218"/>
      <c r="S368" s="218"/>
      <c r="T368" s="218" t="s">
        <v>73</v>
      </c>
      <c r="U368" s="218"/>
      <c r="V368" s="218"/>
      <c r="W368" s="218" t="s">
        <v>74</v>
      </c>
      <c r="X368" s="218"/>
      <c r="Y368" s="218"/>
      <c r="Z368" s="218" t="s">
        <v>75</v>
      </c>
      <c r="AA368" s="218"/>
      <c r="AB368" s="218"/>
      <c r="AC368" s="209"/>
    </row>
    <row r="369" spans="1:29" x14ac:dyDescent="0.2">
      <c r="A369" s="242"/>
      <c r="B369" s="216"/>
      <c r="C369" s="217"/>
      <c r="D369" s="217"/>
      <c r="E369" s="217"/>
      <c r="F369" s="217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09"/>
    </row>
    <row r="370" spans="1:29" x14ac:dyDescent="0.2">
      <c r="A370" s="242"/>
      <c r="B370" s="210" t="str">
        <f>B357</f>
        <v>02C</v>
      </c>
      <c r="C370" s="211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12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09"/>
    </row>
    <row r="371" spans="1:29" x14ac:dyDescent="0.2">
      <c r="A371" s="242"/>
      <c r="B371" s="210"/>
      <c r="C371" s="211"/>
      <c r="D371" s="9"/>
      <c r="E371" s="9" t="str">
        <f t="shared" ref="E371:F373" si="63">IF(ISBLANK(E358), "", E358)</f>
        <v/>
      </c>
      <c r="F371" s="9" t="str">
        <f t="shared" si="63"/>
        <v/>
      </c>
      <c r="G371" s="212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09"/>
    </row>
    <row r="372" spans="1:29" x14ac:dyDescent="0.2">
      <c r="A372" s="242"/>
      <c r="B372" s="210" t="str">
        <f>B359</f>
        <v>03C</v>
      </c>
      <c r="C372" s="211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12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09"/>
    </row>
    <row r="373" spans="1:29" x14ac:dyDescent="0.2">
      <c r="A373" s="242"/>
      <c r="B373" s="210"/>
      <c r="C373" s="211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12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09"/>
    </row>
    <row r="375" spans="1:29" x14ac:dyDescent="0.2">
      <c r="A375" s="242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42"/>
      <c r="B376" s="243" t="s">
        <v>10</v>
      </c>
      <c r="C376" s="244" t="s">
        <v>0</v>
      </c>
      <c r="D376" s="244" t="s">
        <v>25</v>
      </c>
      <c r="E376" s="244" t="s">
        <v>11</v>
      </c>
      <c r="F376" s="244" t="s">
        <v>16</v>
      </c>
      <c r="G376" s="225" t="s">
        <v>12</v>
      </c>
      <c r="H376" s="226" t="s">
        <v>13</v>
      </c>
      <c r="I376" s="227"/>
      <c r="J376" s="227"/>
      <c r="K376" s="227"/>
      <c r="L376" s="227"/>
      <c r="M376" s="228"/>
      <c r="N376" s="226" t="s">
        <v>14</v>
      </c>
      <c r="O376" s="227"/>
      <c r="P376" s="227"/>
      <c r="Q376" s="227"/>
      <c r="R376" s="227"/>
      <c r="S376" s="228"/>
      <c r="T376" s="226" t="s">
        <v>15</v>
      </c>
      <c r="U376" s="227"/>
      <c r="V376" s="227"/>
      <c r="W376" s="227"/>
      <c r="X376" s="227"/>
      <c r="Y376" s="228"/>
      <c r="Z376" s="229" t="s">
        <v>37</v>
      </c>
      <c r="AA376" s="229" t="s">
        <v>39</v>
      </c>
      <c r="AB376" s="229" t="s">
        <v>62</v>
      </c>
      <c r="AC376" s="254" t="s">
        <v>26</v>
      </c>
    </row>
    <row r="377" spans="1:29" ht="25.5" x14ac:dyDescent="0.2">
      <c r="A377" s="242"/>
      <c r="B377" s="243"/>
      <c r="C377" s="244"/>
      <c r="D377" s="244"/>
      <c r="E377" s="244"/>
      <c r="F377" s="244"/>
      <c r="G377" s="225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30"/>
      <c r="AA377" s="231"/>
      <c r="AB377" s="231"/>
      <c r="AC377" s="254"/>
    </row>
    <row r="378" spans="1:29" x14ac:dyDescent="0.2">
      <c r="A378" s="242"/>
      <c r="B378" s="255" t="s">
        <v>2</v>
      </c>
      <c r="C378" s="257" t="s">
        <v>84</v>
      </c>
      <c r="D378" s="12"/>
      <c r="E378" s="10" t="s">
        <v>92</v>
      </c>
      <c r="F378" s="12">
        <v>6331</v>
      </c>
      <c r="G378" s="257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21">
        <f>SUM(L378, R378, X378)+SUM(L379, R379, X379)</f>
        <v>27424</v>
      </c>
      <c r="AA378" s="221">
        <f>SUM(M378, S378, Y378)+SUM(M379, S379, Y379)</f>
        <v>0</v>
      </c>
      <c r="AB378" s="223">
        <f>IF($Z378=0, ,AA378/$Z378)</f>
        <v>0</v>
      </c>
      <c r="AC378" s="247"/>
    </row>
    <row r="379" spans="1:29" x14ac:dyDescent="0.2">
      <c r="A379" s="242"/>
      <c r="B379" s="256"/>
      <c r="C379" s="258"/>
      <c r="D379" s="12"/>
      <c r="E379" s="12"/>
      <c r="F379" s="12"/>
      <c r="G379" s="259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22"/>
      <c r="AA379" s="222"/>
      <c r="AB379" s="224"/>
      <c r="AC379" s="248"/>
    </row>
    <row r="380" spans="1:29" x14ac:dyDescent="0.2">
      <c r="A380" s="242"/>
      <c r="B380" s="245" t="s">
        <v>6</v>
      </c>
      <c r="C380" s="234" t="s">
        <v>8</v>
      </c>
      <c r="D380" s="10"/>
      <c r="E380" s="10"/>
      <c r="F380" s="10"/>
      <c r="G380" s="234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36">
        <f>SUM(L380, R380, X380)+SUM(L381, R381, X381)</f>
        <v>0</v>
      </c>
      <c r="AA380" s="238">
        <f>SUM(M380, S380, Y380)+SUM(M381, S381, Y381)</f>
        <v>0</v>
      </c>
      <c r="AB380" s="213">
        <f>IF($Z380=0, ,AA380/$Z380)</f>
        <v>0</v>
      </c>
      <c r="AC380" s="232"/>
    </row>
    <row r="381" spans="1:29" x14ac:dyDescent="0.2">
      <c r="A381" s="242"/>
      <c r="B381" s="246"/>
      <c r="C381" s="235"/>
      <c r="D381" s="10"/>
      <c r="E381" s="10"/>
      <c r="F381" s="10"/>
      <c r="G381" s="235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37"/>
      <c r="AA381" s="239"/>
      <c r="AB381" s="214"/>
      <c r="AC381" s="233"/>
    </row>
    <row r="382" spans="1:29" x14ac:dyDescent="0.2">
      <c r="A382" s="242"/>
      <c r="B382" s="240" t="s">
        <v>7</v>
      </c>
      <c r="C382" s="219" t="s">
        <v>81</v>
      </c>
      <c r="D382" s="9" t="s">
        <v>102</v>
      </c>
      <c r="E382" s="9" t="s">
        <v>103</v>
      </c>
      <c r="F382" s="9">
        <v>6331</v>
      </c>
      <c r="G382" s="219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21">
        <f>SUM(L382, R382, X382)+SUM(L383, R383, X383)</f>
        <v>11120</v>
      </c>
      <c r="AA382" s="221">
        <f>SUM(M382, S382, Y382)+SUM(M383, S383, Y383)</f>
        <v>35</v>
      </c>
      <c r="AB382" s="223">
        <f>IF($Z382=0, ,AA382/$Z382)</f>
        <v>3.1474820143884892E-3</v>
      </c>
      <c r="AC382" s="247"/>
    </row>
    <row r="383" spans="1:29" x14ac:dyDescent="0.2">
      <c r="A383" s="242"/>
      <c r="B383" s="241"/>
      <c r="C383" s="220"/>
      <c r="D383" s="9"/>
      <c r="E383" s="9"/>
      <c r="F383" s="9"/>
      <c r="G383" s="220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22"/>
      <c r="AA383" s="222"/>
      <c r="AB383" s="224"/>
      <c r="AC383" s="248"/>
    </row>
    <row r="384" spans="1:29" x14ac:dyDescent="0.2">
      <c r="A384" s="242"/>
      <c r="B384" s="245" t="s">
        <v>3</v>
      </c>
      <c r="C384" s="234" t="s">
        <v>82</v>
      </c>
      <c r="D384" s="10"/>
      <c r="E384" s="10" t="s">
        <v>103</v>
      </c>
      <c r="F384" s="10">
        <v>6331</v>
      </c>
      <c r="G384" s="234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38">
        <f>SUM(L384, R384, X384)+SUM(L385, R385, X385)</f>
        <v>38560</v>
      </c>
      <c r="AA384" s="238">
        <f>SUM(M384, S384, Y384)+SUM(M385, S385, Y385)</f>
        <v>0</v>
      </c>
      <c r="AB384" s="213">
        <f>IF($Z384=0, ,AA384/$Z384)</f>
        <v>0</v>
      </c>
      <c r="AC384" s="232"/>
    </row>
    <row r="385" spans="1:29" x14ac:dyDescent="0.2">
      <c r="A385" s="242"/>
      <c r="B385" s="246"/>
      <c r="C385" s="235"/>
      <c r="D385" s="10"/>
      <c r="E385" s="10"/>
      <c r="F385" s="10"/>
      <c r="G385" s="235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39"/>
      <c r="AA385" s="239"/>
      <c r="AB385" s="214"/>
      <c r="AC385" s="233"/>
    </row>
    <row r="386" spans="1:29" x14ac:dyDescent="0.2">
      <c r="A386" s="242"/>
      <c r="B386" s="240" t="s">
        <v>4</v>
      </c>
      <c r="C386" s="219" t="s">
        <v>9</v>
      </c>
      <c r="D386" s="9"/>
      <c r="E386" s="10"/>
      <c r="F386" s="9"/>
      <c r="G386" s="219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21">
        <f>SUM(L386, R386, X386)+SUM(L387, R387, X387)</f>
        <v>0</v>
      </c>
      <c r="AA386" s="221">
        <f>SUM(M386, S386, Y386)+SUM(M387, S387, Y387)</f>
        <v>0</v>
      </c>
      <c r="AB386" s="223">
        <f>IF($Z386=0, ,AA386/$Z386)</f>
        <v>0</v>
      </c>
      <c r="AC386" s="247"/>
    </row>
    <row r="387" spans="1:29" x14ac:dyDescent="0.2">
      <c r="A387" s="242"/>
      <c r="B387" s="241"/>
      <c r="C387" s="220"/>
      <c r="D387" s="9"/>
      <c r="E387" s="9"/>
      <c r="F387" s="9"/>
      <c r="G387" s="220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22"/>
      <c r="AA387" s="222"/>
      <c r="AB387" s="224"/>
      <c r="AC387" s="248"/>
    </row>
    <row r="388" spans="1:29" x14ac:dyDescent="0.2">
      <c r="A388" s="242"/>
      <c r="B388" s="249" t="s">
        <v>85</v>
      </c>
      <c r="C388" s="251" t="s">
        <v>83</v>
      </c>
      <c r="D388" s="11"/>
      <c r="E388" s="10"/>
      <c r="F388" s="11"/>
      <c r="G388" s="251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53">
        <f>SUM(L388, R388, X388)+SUM(L389, R389, X389)</f>
        <v>0</v>
      </c>
      <c r="AA388" s="253">
        <f>SUM(M388, S388, Y388)+SUM(M389, S389, Y389)</f>
        <v>0</v>
      </c>
      <c r="AB388" s="213">
        <f>IF($Z388=0, ,AA388/$Z388)</f>
        <v>0</v>
      </c>
      <c r="AC388" s="215"/>
    </row>
    <row r="389" spans="1:29" x14ac:dyDescent="0.2">
      <c r="A389" s="242"/>
      <c r="B389" s="250"/>
      <c r="C389" s="252"/>
      <c r="D389" s="11"/>
      <c r="E389" s="11"/>
      <c r="F389" s="11"/>
      <c r="G389" s="252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53"/>
      <c r="AA389" s="253"/>
      <c r="AB389" s="214"/>
      <c r="AC389" s="215"/>
    </row>
    <row r="390" spans="1:29" x14ac:dyDescent="0.2">
      <c r="A390" s="242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42"/>
      <c r="B391" s="216" t="s">
        <v>67</v>
      </c>
      <c r="C391" s="217"/>
      <c r="D391" s="217"/>
      <c r="E391" s="217"/>
      <c r="F391" s="217"/>
      <c r="G391" s="9" t="s">
        <v>68</v>
      </c>
      <c r="H391" s="218" t="s">
        <v>64</v>
      </c>
      <c r="I391" s="218"/>
      <c r="J391" s="218"/>
      <c r="K391" s="218" t="s">
        <v>76</v>
      </c>
      <c r="L391" s="218"/>
      <c r="M391" s="218"/>
      <c r="N391" s="218" t="s">
        <v>65</v>
      </c>
      <c r="O391" s="218"/>
      <c r="P391" s="218"/>
      <c r="Q391" s="218" t="s">
        <v>66</v>
      </c>
      <c r="R391" s="218"/>
      <c r="S391" s="218"/>
      <c r="T391" s="218" t="s">
        <v>73</v>
      </c>
      <c r="U391" s="218"/>
      <c r="V391" s="218"/>
      <c r="W391" s="218" t="s">
        <v>74</v>
      </c>
      <c r="X391" s="218"/>
      <c r="Y391" s="218"/>
      <c r="Z391" s="218" t="s">
        <v>75</v>
      </c>
      <c r="AA391" s="218"/>
      <c r="AB391" s="218"/>
      <c r="AC391" s="209" t="s">
        <v>106</v>
      </c>
    </row>
    <row r="392" spans="1:29" x14ac:dyDescent="0.2">
      <c r="A392" s="242"/>
      <c r="B392" s="216"/>
      <c r="C392" s="217"/>
      <c r="D392" s="217"/>
      <c r="E392" s="217"/>
      <c r="F392" s="217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09"/>
    </row>
    <row r="393" spans="1:29" x14ac:dyDescent="0.2">
      <c r="A393" s="242"/>
      <c r="B393" s="210" t="str">
        <f>B380</f>
        <v>02C</v>
      </c>
      <c r="C393" s="211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12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09"/>
    </row>
    <row r="394" spans="1:29" x14ac:dyDescent="0.2">
      <c r="A394" s="242"/>
      <c r="B394" s="210"/>
      <c r="C394" s="211"/>
      <c r="D394" s="9"/>
      <c r="E394" s="9" t="str">
        <f t="shared" ref="E394:F396" si="67">IF(ISBLANK(E381), "", E381)</f>
        <v/>
      </c>
      <c r="F394" s="9" t="str">
        <f t="shared" si="67"/>
        <v/>
      </c>
      <c r="G394" s="212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09"/>
    </row>
    <row r="395" spans="1:29" x14ac:dyDescent="0.2">
      <c r="A395" s="242"/>
      <c r="B395" s="210" t="str">
        <f>B382</f>
        <v>03C</v>
      </c>
      <c r="C395" s="211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12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09"/>
    </row>
    <row r="396" spans="1:29" x14ac:dyDescent="0.2">
      <c r="A396" s="242"/>
      <c r="B396" s="210"/>
      <c r="C396" s="211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12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09"/>
    </row>
    <row r="398" spans="1:29" x14ac:dyDescent="0.2">
      <c r="A398" s="242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42"/>
      <c r="B399" s="243" t="s">
        <v>10</v>
      </c>
      <c r="C399" s="244" t="s">
        <v>0</v>
      </c>
      <c r="D399" s="244" t="s">
        <v>25</v>
      </c>
      <c r="E399" s="244" t="s">
        <v>11</v>
      </c>
      <c r="F399" s="244" t="s">
        <v>16</v>
      </c>
      <c r="G399" s="225" t="s">
        <v>12</v>
      </c>
      <c r="H399" s="226" t="s">
        <v>13</v>
      </c>
      <c r="I399" s="227"/>
      <c r="J399" s="227"/>
      <c r="K399" s="227"/>
      <c r="L399" s="227"/>
      <c r="M399" s="228"/>
      <c r="N399" s="226" t="s">
        <v>14</v>
      </c>
      <c r="O399" s="227"/>
      <c r="P399" s="227"/>
      <c r="Q399" s="227"/>
      <c r="R399" s="227"/>
      <c r="S399" s="228"/>
      <c r="T399" s="226" t="s">
        <v>15</v>
      </c>
      <c r="U399" s="227"/>
      <c r="V399" s="227"/>
      <c r="W399" s="227"/>
      <c r="X399" s="227"/>
      <c r="Y399" s="228"/>
      <c r="Z399" s="229" t="s">
        <v>37</v>
      </c>
      <c r="AA399" s="229" t="s">
        <v>39</v>
      </c>
      <c r="AB399" s="229" t="s">
        <v>62</v>
      </c>
      <c r="AC399" s="254" t="s">
        <v>26</v>
      </c>
    </row>
    <row r="400" spans="1:29" ht="25.5" x14ac:dyDescent="0.2">
      <c r="A400" s="242"/>
      <c r="B400" s="243"/>
      <c r="C400" s="244"/>
      <c r="D400" s="244"/>
      <c r="E400" s="244"/>
      <c r="F400" s="244"/>
      <c r="G400" s="225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30"/>
      <c r="AA400" s="231"/>
      <c r="AB400" s="231"/>
      <c r="AC400" s="254"/>
    </row>
    <row r="401" spans="1:29" x14ac:dyDescent="0.2">
      <c r="A401" s="242"/>
      <c r="B401" s="255" t="s">
        <v>2</v>
      </c>
      <c r="C401" s="257" t="s">
        <v>84</v>
      </c>
      <c r="D401" s="12"/>
      <c r="E401" s="10"/>
      <c r="F401" s="12"/>
      <c r="G401" s="257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21">
        <f>SUM(L401, R401, X401)+SUM(L402, R402, X402)</f>
        <v>0</v>
      </c>
      <c r="AA401" s="221">
        <f>SUM(M401, S401, Y401)+SUM(M402, S402, Y402)</f>
        <v>0</v>
      </c>
      <c r="AB401" s="223">
        <f>IF($Z401=0, ,AA401/$Z401)</f>
        <v>0</v>
      </c>
      <c r="AC401" s="247"/>
    </row>
    <row r="402" spans="1:29" x14ac:dyDescent="0.2">
      <c r="A402" s="242"/>
      <c r="B402" s="256"/>
      <c r="C402" s="258"/>
      <c r="D402" s="12"/>
      <c r="E402" s="12"/>
      <c r="F402" s="12"/>
      <c r="G402" s="259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22"/>
      <c r="AA402" s="222"/>
      <c r="AB402" s="224"/>
      <c r="AC402" s="248"/>
    </row>
    <row r="403" spans="1:29" x14ac:dyDescent="0.2">
      <c r="A403" s="242"/>
      <c r="B403" s="245" t="s">
        <v>6</v>
      </c>
      <c r="C403" s="234" t="s">
        <v>8</v>
      </c>
      <c r="D403" s="10"/>
      <c r="E403" s="10"/>
      <c r="F403" s="10"/>
      <c r="G403" s="234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36">
        <f>SUM(L403, R403, X403)+SUM(L404, R404, X404)</f>
        <v>0</v>
      </c>
      <c r="AA403" s="238">
        <f>SUM(M403, S403, Y403)+SUM(M404, S404, Y404)</f>
        <v>0</v>
      </c>
      <c r="AB403" s="213">
        <f>IF($Z403=0, ,AA403/$Z403)</f>
        <v>0</v>
      </c>
      <c r="AC403" s="232"/>
    </row>
    <row r="404" spans="1:29" x14ac:dyDescent="0.2">
      <c r="A404" s="242"/>
      <c r="B404" s="246"/>
      <c r="C404" s="235"/>
      <c r="D404" s="10"/>
      <c r="E404" s="10"/>
      <c r="F404" s="10"/>
      <c r="G404" s="235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37"/>
      <c r="AA404" s="239"/>
      <c r="AB404" s="214"/>
      <c r="AC404" s="233"/>
    </row>
    <row r="405" spans="1:29" x14ac:dyDescent="0.2">
      <c r="A405" s="242"/>
      <c r="B405" s="240" t="s">
        <v>7</v>
      </c>
      <c r="C405" s="219" t="s">
        <v>81</v>
      </c>
      <c r="D405" s="9"/>
      <c r="E405" s="9"/>
      <c r="F405" s="9"/>
      <c r="G405" s="219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21">
        <f>SUM(L405, R405, X405)+SUM(L406, R406, X406)</f>
        <v>0</v>
      </c>
      <c r="AA405" s="221">
        <f>SUM(M405, S405, Y405)+SUM(M406, S406, Y406)</f>
        <v>0</v>
      </c>
      <c r="AB405" s="223">
        <f>IF($Z405=0, ,AA405/$Z405)</f>
        <v>0</v>
      </c>
      <c r="AC405" s="247"/>
    </row>
    <row r="406" spans="1:29" x14ac:dyDescent="0.2">
      <c r="A406" s="242"/>
      <c r="B406" s="241"/>
      <c r="C406" s="220"/>
      <c r="D406" s="9"/>
      <c r="E406" s="9"/>
      <c r="F406" s="9"/>
      <c r="G406" s="220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22"/>
      <c r="AA406" s="222"/>
      <c r="AB406" s="224"/>
      <c r="AC406" s="248"/>
    </row>
    <row r="407" spans="1:29" x14ac:dyDescent="0.2">
      <c r="A407" s="242"/>
      <c r="B407" s="245" t="s">
        <v>3</v>
      </c>
      <c r="C407" s="234" t="s">
        <v>82</v>
      </c>
      <c r="D407" s="10"/>
      <c r="E407" s="10"/>
      <c r="F407" s="10"/>
      <c r="G407" s="234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38">
        <f>SUM(L407, R407, X407)+SUM(L408, R408, X408)</f>
        <v>0</v>
      </c>
      <c r="AA407" s="238">
        <f>SUM(M407, S407, Y407)+SUM(M408, S408, Y408)</f>
        <v>0</v>
      </c>
      <c r="AB407" s="213">
        <f>IF($Z407=0, ,AA407/$Z407)</f>
        <v>0</v>
      </c>
      <c r="AC407" s="232"/>
    </row>
    <row r="408" spans="1:29" x14ac:dyDescent="0.2">
      <c r="A408" s="242"/>
      <c r="B408" s="246"/>
      <c r="C408" s="235"/>
      <c r="D408" s="10"/>
      <c r="E408" s="10"/>
      <c r="F408" s="10"/>
      <c r="G408" s="235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39"/>
      <c r="AA408" s="239"/>
      <c r="AB408" s="214"/>
      <c r="AC408" s="233"/>
    </row>
    <row r="409" spans="1:29" x14ac:dyDescent="0.2">
      <c r="A409" s="242"/>
      <c r="B409" s="240" t="s">
        <v>4</v>
      </c>
      <c r="C409" s="219" t="s">
        <v>9</v>
      </c>
      <c r="D409" s="9"/>
      <c r="E409" s="10"/>
      <c r="F409" s="9"/>
      <c r="G409" s="219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21">
        <f>SUM(L409, R409, X409)+SUM(L410, R410, X410)</f>
        <v>0</v>
      </c>
      <c r="AA409" s="221">
        <f>SUM(M409, S409, Y409)+SUM(M410, S410, Y410)</f>
        <v>0</v>
      </c>
      <c r="AB409" s="223">
        <f>IF($Z409=0, ,AA409/$Z409)</f>
        <v>0</v>
      </c>
      <c r="AC409" s="247"/>
    </row>
    <row r="410" spans="1:29" x14ac:dyDescent="0.2">
      <c r="A410" s="242"/>
      <c r="B410" s="241"/>
      <c r="C410" s="220"/>
      <c r="D410" s="9"/>
      <c r="E410" s="9"/>
      <c r="F410" s="9"/>
      <c r="G410" s="220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22"/>
      <c r="AA410" s="222"/>
      <c r="AB410" s="224"/>
      <c r="AC410" s="248"/>
    </row>
    <row r="411" spans="1:29" x14ac:dyDescent="0.2">
      <c r="A411" s="242"/>
      <c r="B411" s="249" t="s">
        <v>85</v>
      </c>
      <c r="C411" s="251" t="s">
        <v>83</v>
      </c>
      <c r="D411" s="11"/>
      <c r="E411" s="10"/>
      <c r="F411" s="11"/>
      <c r="G411" s="251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53">
        <f>SUM(L411, R411, X411)+SUM(L412, R412, X412)</f>
        <v>0</v>
      </c>
      <c r="AA411" s="253">
        <f>SUM(M411, S411, Y411)+SUM(M412, S412, Y412)</f>
        <v>0</v>
      </c>
      <c r="AB411" s="213">
        <f>IF($Z411=0, ,AA411/$Z411)</f>
        <v>0</v>
      </c>
      <c r="AC411" s="215"/>
    </row>
    <row r="412" spans="1:29" x14ac:dyDescent="0.2">
      <c r="A412" s="242"/>
      <c r="B412" s="250"/>
      <c r="C412" s="252"/>
      <c r="D412" s="11"/>
      <c r="E412" s="11"/>
      <c r="F412" s="11"/>
      <c r="G412" s="252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53"/>
      <c r="AA412" s="253"/>
      <c r="AB412" s="214"/>
      <c r="AC412" s="215"/>
    </row>
    <row r="413" spans="1:29" x14ac:dyDescent="0.2">
      <c r="A413" s="242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42"/>
      <c r="B414" s="216" t="s">
        <v>67</v>
      </c>
      <c r="C414" s="217"/>
      <c r="D414" s="217"/>
      <c r="E414" s="217"/>
      <c r="F414" s="217"/>
      <c r="G414" s="9" t="s">
        <v>68</v>
      </c>
      <c r="H414" s="218" t="s">
        <v>64</v>
      </c>
      <c r="I414" s="218"/>
      <c r="J414" s="218"/>
      <c r="K414" s="218" t="s">
        <v>76</v>
      </c>
      <c r="L414" s="218"/>
      <c r="M414" s="218"/>
      <c r="N414" s="218" t="s">
        <v>65</v>
      </c>
      <c r="O414" s="218"/>
      <c r="P414" s="218"/>
      <c r="Q414" s="218" t="s">
        <v>66</v>
      </c>
      <c r="R414" s="218"/>
      <c r="S414" s="218"/>
      <c r="T414" s="218" t="s">
        <v>73</v>
      </c>
      <c r="U414" s="218"/>
      <c r="V414" s="218"/>
      <c r="W414" s="218" t="s">
        <v>74</v>
      </c>
      <c r="X414" s="218"/>
      <c r="Y414" s="218"/>
      <c r="Z414" s="218" t="s">
        <v>75</v>
      </c>
      <c r="AA414" s="218"/>
      <c r="AB414" s="218"/>
      <c r="AC414" s="209" t="s">
        <v>106</v>
      </c>
    </row>
    <row r="415" spans="1:29" x14ac:dyDescent="0.2">
      <c r="A415" s="242"/>
      <c r="B415" s="216"/>
      <c r="C415" s="217"/>
      <c r="D415" s="217"/>
      <c r="E415" s="217"/>
      <c r="F415" s="217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09"/>
    </row>
    <row r="416" spans="1:29" x14ac:dyDescent="0.2">
      <c r="A416" s="242"/>
      <c r="B416" s="210" t="str">
        <f>B403</f>
        <v>02C</v>
      </c>
      <c r="C416" s="211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12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09"/>
    </row>
    <row r="417" spans="1:29" x14ac:dyDescent="0.2">
      <c r="A417" s="242"/>
      <c r="B417" s="210"/>
      <c r="C417" s="211"/>
      <c r="D417" s="9"/>
      <c r="E417" s="9" t="str">
        <f t="shared" ref="E417:F419" si="71">IF(ISBLANK(E404), "", E404)</f>
        <v/>
      </c>
      <c r="F417" s="9" t="str">
        <f t="shared" si="71"/>
        <v/>
      </c>
      <c r="G417" s="212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09"/>
    </row>
    <row r="418" spans="1:29" x14ac:dyDescent="0.2">
      <c r="A418" s="242"/>
      <c r="B418" s="210" t="str">
        <f>B405</f>
        <v>03C</v>
      </c>
      <c r="C418" s="211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12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09"/>
    </row>
    <row r="419" spans="1:29" x14ac:dyDescent="0.2">
      <c r="A419" s="242"/>
      <c r="B419" s="210"/>
      <c r="C419" s="211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12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09"/>
    </row>
    <row r="421" spans="1:29" x14ac:dyDescent="0.2">
      <c r="A421" s="242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42"/>
      <c r="B422" s="243" t="s">
        <v>10</v>
      </c>
      <c r="C422" s="244" t="s">
        <v>0</v>
      </c>
      <c r="D422" s="244" t="s">
        <v>25</v>
      </c>
      <c r="E422" s="244" t="s">
        <v>11</v>
      </c>
      <c r="F422" s="244" t="s">
        <v>16</v>
      </c>
      <c r="G422" s="225" t="s">
        <v>12</v>
      </c>
      <c r="H422" s="226" t="s">
        <v>13</v>
      </c>
      <c r="I422" s="227"/>
      <c r="J422" s="227"/>
      <c r="K422" s="227"/>
      <c r="L422" s="227"/>
      <c r="M422" s="228"/>
      <c r="N422" s="226" t="s">
        <v>14</v>
      </c>
      <c r="O422" s="227"/>
      <c r="P422" s="227"/>
      <c r="Q422" s="227"/>
      <c r="R422" s="227"/>
      <c r="S422" s="228"/>
      <c r="T422" s="226" t="s">
        <v>15</v>
      </c>
      <c r="U422" s="227"/>
      <c r="V422" s="227"/>
      <c r="W422" s="227"/>
      <c r="X422" s="227"/>
      <c r="Y422" s="228"/>
      <c r="Z422" s="229" t="s">
        <v>37</v>
      </c>
      <c r="AA422" s="229" t="s">
        <v>39</v>
      </c>
      <c r="AB422" s="229" t="s">
        <v>62</v>
      </c>
      <c r="AC422" s="254" t="s">
        <v>26</v>
      </c>
    </row>
    <row r="423" spans="1:29" ht="25.5" x14ac:dyDescent="0.2">
      <c r="A423" s="242"/>
      <c r="B423" s="243"/>
      <c r="C423" s="244"/>
      <c r="D423" s="244"/>
      <c r="E423" s="244"/>
      <c r="F423" s="244"/>
      <c r="G423" s="225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30"/>
      <c r="AA423" s="231"/>
      <c r="AB423" s="231"/>
      <c r="AC423" s="254"/>
    </row>
    <row r="424" spans="1:29" x14ac:dyDescent="0.2">
      <c r="A424" s="242"/>
      <c r="B424" s="255" t="s">
        <v>2</v>
      </c>
      <c r="C424" s="257" t="s">
        <v>84</v>
      </c>
      <c r="D424" s="12"/>
      <c r="E424" s="10"/>
      <c r="F424" s="12"/>
      <c r="G424" s="257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21">
        <f>SUM(L424, R424, X424)+SUM(L425, R425, X425)</f>
        <v>0</v>
      </c>
      <c r="AA424" s="221">
        <f>SUM(M424, S424, Y424)+SUM(M425, S425, Y425)</f>
        <v>0</v>
      </c>
      <c r="AB424" s="223">
        <f>IF($Z424=0, ,AA424/$Z424)</f>
        <v>0</v>
      </c>
      <c r="AC424" s="247"/>
    </row>
    <row r="425" spans="1:29" x14ac:dyDescent="0.2">
      <c r="A425" s="242"/>
      <c r="B425" s="256"/>
      <c r="C425" s="258"/>
      <c r="D425" s="12"/>
      <c r="E425" s="12"/>
      <c r="F425" s="12"/>
      <c r="G425" s="259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22"/>
      <c r="AA425" s="222"/>
      <c r="AB425" s="224"/>
      <c r="AC425" s="248"/>
    </row>
    <row r="426" spans="1:29" x14ac:dyDescent="0.2">
      <c r="A426" s="242"/>
      <c r="B426" s="245" t="s">
        <v>6</v>
      </c>
      <c r="C426" s="234" t="s">
        <v>8</v>
      </c>
      <c r="D426" s="10"/>
      <c r="E426" s="10"/>
      <c r="F426" s="10"/>
      <c r="G426" s="234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36">
        <f>SUM(L426, R426, X426)+SUM(L427, R427, X427)</f>
        <v>0</v>
      </c>
      <c r="AA426" s="238">
        <f>SUM(M426, S426, Y426)+SUM(M427, S427, Y427)</f>
        <v>0</v>
      </c>
      <c r="AB426" s="213">
        <f>IF($Z426=0, ,AA426/$Z426)</f>
        <v>0</v>
      </c>
      <c r="AC426" s="232"/>
    </row>
    <row r="427" spans="1:29" x14ac:dyDescent="0.2">
      <c r="A427" s="242"/>
      <c r="B427" s="246"/>
      <c r="C427" s="235"/>
      <c r="D427" s="10"/>
      <c r="E427" s="10"/>
      <c r="F427" s="10"/>
      <c r="G427" s="235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37"/>
      <c r="AA427" s="239"/>
      <c r="AB427" s="214"/>
      <c r="AC427" s="233"/>
    </row>
    <row r="428" spans="1:29" x14ac:dyDescent="0.2">
      <c r="A428" s="242"/>
      <c r="B428" s="240" t="s">
        <v>7</v>
      </c>
      <c r="C428" s="219" t="s">
        <v>81</v>
      </c>
      <c r="D428" s="9"/>
      <c r="E428" s="9"/>
      <c r="F428" s="9"/>
      <c r="G428" s="219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21">
        <f>SUM(L428, R428, X428)+SUM(L429, R429, X429)</f>
        <v>0</v>
      </c>
      <c r="AA428" s="221">
        <f>SUM(M428, S428, Y428)+SUM(M429, S429, Y429)</f>
        <v>0</v>
      </c>
      <c r="AB428" s="223">
        <f>IF($Z428=0, ,AA428/$Z428)</f>
        <v>0</v>
      </c>
      <c r="AC428" s="247"/>
    </row>
    <row r="429" spans="1:29" x14ac:dyDescent="0.2">
      <c r="A429" s="242"/>
      <c r="B429" s="241"/>
      <c r="C429" s="220"/>
      <c r="D429" s="9"/>
      <c r="E429" s="9"/>
      <c r="F429" s="9"/>
      <c r="G429" s="220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22"/>
      <c r="AA429" s="222"/>
      <c r="AB429" s="224"/>
      <c r="AC429" s="248"/>
    </row>
    <row r="430" spans="1:29" x14ac:dyDescent="0.2">
      <c r="A430" s="242"/>
      <c r="B430" s="245" t="s">
        <v>3</v>
      </c>
      <c r="C430" s="234" t="s">
        <v>82</v>
      </c>
      <c r="D430" s="10"/>
      <c r="E430" s="10"/>
      <c r="F430" s="10"/>
      <c r="G430" s="234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38">
        <f>SUM(L430, R430, X430)+SUM(L431, R431, X431)</f>
        <v>0</v>
      </c>
      <c r="AA430" s="238">
        <f>SUM(M430, S430, Y430)+SUM(M431, S431, Y431)</f>
        <v>0</v>
      </c>
      <c r="AB430" s="213">
        <f>IF($Z430=0, ,AA430/$Z430)</f>
        <v>0</v>
      </c>
      <c r="AC430" s="232"/>
    </row>
    <row r="431" spans="1:29" x14ac:dyDescent="0.2">
      <c r="A431" s="242"/>
      <c r="B431" s="246"/>
      <c r="C431" s="235"/>
      <c r="D431" s="10"/>
      <c r="E431" s="10"/>
      <c r="F431" s="10"/>
      <c r="G431" s="235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39"/>
      <c r="AA431" s="239"/>
      <c r="AB431" s="214"/>
      <c r="AC431" s="233"/>
    </row>
    <row r="432" spans="1:29" x14ac:dyDescent="0.2">
      <c r="A432" s="242"/>
      <c r="B432" s="240" t="s">
        <v>4</v>
      </c>
      <c r="C432" s="219" t="s">
        <v>9</v>
      </c>
      <c r="D432" s="9"/>
      <c r="E432" s="10"/>
      <c r="F432" s="9"/>
      <c r="G432" s="219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21">
        <f>SUM(L432, R432, X432)+SUM(L433, R433, X433)</f>
        <v>0</v>
      </c>
      <c r="AA432" s="221">
        <f>SUM(M432, S432, Y432)+SUM(M433, S433, Y433)</f>
        <v>0</v>
      </c>
      <c r="AB432" s="223">
        <f>IF($Z432=0, ,AA432/$Z432)</f>
        <v>0</v>
      </c>
      <c r="AC432" s="247"/>
    </row>
    <row r="433" spans="1:29" x14ac:dyDescent="0.2">
      <c r="A433" s="242"/>
      <c r="B433" s="241"/>
      <c r="C433" s="220"/>
      <c r="D433" s="9"/>
      <c r="E433" s="9"/>
      <c r="F433" s="9"/>
      <c r="G433" s="220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22"/>
      <c r="AA433" s="222"/>
      <c r="AB433" s="224"/>
      <c r="AC433" s="248"/>
    </row>
    <row r="434" spans="1:29" x14ac:dyDescent="0.2">
      <c r="A434" s="242"/>
      <c r="B434" s="249" t="s">
        <v>85</v>
      </c>
      <c r="C434" s="251" t="s">
        <v>83</v>
      </c>
      <c r="D434" s="11"/>
      <c r="E434" s="10"/>
      <c r="F434" s="11"/>
      <c r="G434" s="251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53">
        <f>SUM(L434, R434, X434)+SUM(L435, R435, X435)</f>
        <v>0</v>
      </c>
      <c r="AA434" s="253">
        <f>SUM(M434, S434, Y434)+SUM(M435, S435, Y435)</f>
        <v>0</v>
      </c>
      <c r="AB434" s="213">
        <f>IF($Z434=0, ,AA434/$Z434)</f>
        <v>0</v>
      </c>
      <c r="AC434" s="215"/>
    </row>
    <row r="435" spans="1:29" x14ac:dyDescent="0.2">
      <c r="A435" s="242"/>
      <c r="B435" s="250"/>
      <c r="C435" s="252"/>
      <c r="D435" s="11"/>
      <c r="E435" s="11"/>
      <c r="F435" s="11"/>
      <c r="G435" s="252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53"/>
      <c r="AA435" s="253"/>
      <c r="AB435" s="214"/>
      <c r="AC435" s="215"/>
    </row>
    <row r="436" spans="1:29" x14ac:dyDescent="0.2">
      <c r="A436" s="242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42"/>
      <c r="B437" s="216" t="s">
        <v>67</v>
      </c>
      <c r="C437" s="217"/>
      <c r="D437" s="217"/>
      <c r="E437" s="217"/>
      <c r="F437" s="217"/>
      <c r="G437" s="9" t="s">
        <v>68</v>
      </c>
      <c r="H437" s="218" t="s">
        <v>64</v>
      </c>
      <c r="I437" s="218"/>
      <c r="J437" s="218"/>
      <c r="K437" s="218" t="s">
        <v>76</v>
      </c>
      <c r="L437" s="218"/>
      <c r="M437" s="218"/>
      <c r="N437" s="218" t="s">
        <v>65</v>
      </c>
      <c r="O437" s="218"/>
      <c r="P437" s="218"/>
      <c r="Q437" s="218" t="s">
        <v>66</v>
      </c>
      <c r="R437" s="218"/>
      <c r="S437" s="218"/>
      <c r="T437" s="218" t="s">
        <v>73</v>
      </c>
      <c r="U437" s="218"/>
      <c r="V437" s="218"/>
      <c r="W437" s="218" t="s">
        <v>74</v>
      </c>
      <c r="X437" s="218"/>
      <c r="Y437" s="218"/>
      <c r="Z437" s="218" t="s">
        <v>75</v>
      </c>
      <c r="AA437" s="218"/>
      <c r="AB437" s="218"/>
      <c r="AC437" s="209" t="s">
        <v>106</v>
      </c>
    </row>
    <row r="438" spans="1:29" x14ac:dyDescent="0.2">
      <c r="A438" s="242"/>
      <c r="B438" s="216"/>
      <c r="C438" s="217"/>
      <c r="D438" s="217"/>
      <c r="E438" s="217"/>
      <c r="F438" s="217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09"/>
    </row>
    <row r="439" spans="1:29" x14ac:dyDescent="0.2">
      <c r="A439" s="242"/>
      <c r="B439" s="210" t="str">
        <f>B426</f>
        <v>02C</v>
      </c>
      <c r="C439" s="211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12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09"/>
    </row>
    <row r="440" spans="1:29" x14ac:dyDescent="0.2">
      <c r="A440" s="242"/>
      <c r="B440" s="210"/>
      <c r="C440" s="211"/>
      <c r="D440" s="9"/>
      <c r="E440" s="9" t="str">
        <f t="shared" ref="E440:F442" si="75">IF(ISBLANK(E427), "", E427)</f>
        <v/>
      </c>
      <c r="F440" s="9" t="str">
        <f t="shared" si="75"/>
        <v/>
      </c>
      <c r="G440" s="212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09"/>
    </row>
    <row r="441" spans="1:29" x14ac:dyDescent="0.2">
      <c r="A441" s="242"/>
      <c r="B441" s="210" t="str">
        <f>B428</f>
        <v>03C</v>
      </c>
      <c r="C441" s="211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12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09"/>
    </row>
    <row r="442" spans="1:29" x14ac:dyDescent="0.2">
      <c r="A442" s="242"/>
      <c r="B442" s="210"/>
      <c r="C442" s="211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12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09"/>
    </row>
    <row r="444" spans="1:29" x14ac:dyDescent="0.2">
      <c r="A444" s="242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42"/>
      <c r="B445" s="243" t="s">
        <v>10</v>
      </c>
      <c r="C445" s="244" t="s">
        <v>0</v>
      </c>
      <c r="D445" s="244" t="s">
        <v>25</v>
      </c>
      <c r="E445" s="244" t="s">
        <v>11</v>
      </c>
      <c r="F445" s="244" t="s">
        <v>16</v>
      </c>
      <c r="G445" s="225" t="s">
        <v>12</v>
      </c>
      <c r="H445" s="226" t="s">
        <v>13</v>
      </c>
      <c r="I445" s="227"/>
      <c r="J445" s="227"/>
      <c r="K445" s="227"/>
      <c r="L445" s="227"/>
      <c r="M445" s="228"/>
      <c r="N445" s="226" t="s">
        <v>14</v>
      </c>
      <c r="O445" s="227"/>
      <c r="P445" s="227"/>
      <c r="Q445" s="227"/>
      <c r="R445" s="227"/>
      <c r="S445" s="228"/>
      <c r="T445" s="226" t="s">
        <v>15</v>
      </c>
      <c r="U445" s="227"/>
      <c r="V445" s="227"/>
      <c r="W445" s="227"/>
      <c r="X445" s="227"/>
      <c r="Y445" s="228"/>
      <c r="Z445" s="229" t="s">
        <v>37</v>
      </c>
      <c r="AA445" s="229" t="s">
        <v>39</v>
      </c>
      <c r="AB445" s="229" t="s">
        <v>62</v>
      </c>
      <c r="AC445" s="254" t="s">
        <v>26</v>
      </c>
    </row>
    <row r="446" spans="1:29" ht="25.5" x14ac:dyDescent="0.2">
      <c r="A446" s="242"/>
      <c r="B446" s="243"/>
      <c r="C446" s="244"/>
      <c r="D446" s="244"/>
      <c r="E446" s="244"/>
      <c r="F446" s="244"/>
      <c r="G446" s="225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30"/>
      <c r="AA446" s="231"/>
      <c r="AB446" s="231"/>
      <c r="AC446" s="254"/>
    </row>
    <row r="447" spans="1:29" x14ac:dyDescent="0.2">
      <c r="A447" s="242"/>
      <c r="B447" s="255" t="s">
        <v>2</v>
      </c>
      <c r="C447" s="257" t="s">
        <v>84</v>
      </c>
      <c r="D447" s="12"/>
      <c r="E447" s="10"/>
      <c r="F447" s="12"/>
      <c r="G447" s="257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21">
        <f>SUM(L447, R447, X447)+SUM(L448, R448, X448)</f>
        <v>0</v>
      </c>
      <c r="AA447" s="221">
        <f>SUM(M447, S447, Y447)+SUM(M448, S448, Y448)</f>
        <v>0</v>
      </c>
      <c r="AB447" s="223">
        <f>IF($Z447=0, ,AA447/$Z447)</f>
        <v>0</v>
      </c>
      <c r="AC447" s="247"/>
    </row>
    <row r="448" spans="1:29" x14ac:dyDescent="0.2">
      <c r="A448" s="242"/>
      <c r="B448" s="256"/>
      <c r="C448" s="258"/>
      <c r="D448" s="12"/>
      <c r="E448" s="12"/>
      <c r="F448" s="12"/>
      <c r="G448" s="259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22"/>
      <c r="AA448" s="222"/>
      <c r="AB448" s="224"/>
      <c r="AC448" s="248"/>
    </row>
    <row r="449" spans="1:29" x14ac:dyDescent="0.2">
      <c r="A449" s="242"/>
      <c r="B449" s="245" t="s">
        <v>6</v>
      </c>
      <c r="C449" s="234" t="s">
        <v>8</v>
      </c>
      <c r="D449" s="10"/>
      <c r="E449" s="10"/>
      <c r="F449" s="10"/>
      <c r="G449" s="234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36">
        <f>SUM(L449, R449, X449)+SUM(L450, R450, X450)</f>
        <v>0</v>
      </c>
      <c r="AA449" s="238">
        <f>SUM(M449, S449, Y449)+SUM(M450, S450, Y450)</f>
        <v>0</v>
      </c>
      <c r="AB449" s="213">
        <f>IF($Z449=0, ,AA449/$Z449)</f>
        <v>0</v>
      </c>
      <c r="AC449" s="232"/>
    </row>
    <row r="450" spans="1:29" x14ac:dyDescent="0.2">
      <c r="A450" s="242"/>
      <c r="B450" s="246"/>
      <c r="C450" s="235"/>
      <c r="D450" s="10"/>
      <c r="E450" s="10"/>
      <c r="F450" s="10"/>
      <c r="G450" s="235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37"/>
      <c r="AA450" s="239"/>
      <c r="AB450" s="214"/>
      <c r="AC450" s="233"/>
    </row>
    <row r="451" spans="1:29" x14ac:dyDescent="0.2">
      <c r="A451" s="242"/>
      <c r="B451" s="240" t="s">
        <v>7</v>
      </c>
      <c r="C451" s="219" t="s">
        <v>81</v>
      </c>
      <c r="D451" s="9"/>
      <c r="E451" s="9"/>
      <c r="F451" s="9"/>
      <c r="G451" s="219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21">
        <f>SUM(L451, R451, X451)+SUM(L452, R452, X452)</f>
        <v>0</v>
      </c>
      <c r="AA451" s="221">
        <f>SUM(M451, S451, Y451)+SUM(M452, S452, Y452)</f>
        <v>0</v>
      </c>
      <c r="AB451" s="223">
        <f>IF($Z451=0, ,AA451/$Z451)</f>
        <v>0</v>
      </c>
      <c r="AC451" s="247"/>
    </row>
    <row r="452" spans="1:29" x14ac:dyDescent="0.2">
      <c r="A452" s="242"/>
      <c r="B452" s="241"/>
      <c r="C452" s="220"/>
      <c r="D452" s="9"/>
      <c r="E452" s="9"/>
      <c r="F452" s="9"/>
      <c r="G452" s="220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22"/>
      <c r="AA452" s="222"/>
      <c r="AB452" s="224"/>
      <c r="AC452" s="248"/>
    </row>
    <row r="453" spans="1:29" x14ac:dyDescent="0.2">
      <c r="A453" s="242"/>
      <c r="B453" s="245" t="s">
        <v>3</v>
      </c>
      <c r="C453" s="234" t="s">
        <v>82</v>
      </c>
      <c r="D453" s="10"/>
      <c r="E453" s="10"/>
      <c r="F453" s="10"/>
      <c r="G453" s="234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38">
        <f>SUM(L453, R453, X453)+SUM(L454, R454, X454)</f>
        <v>0</v>
      </c>
      <c r="AA453" s="238">
        <f>SUM(M453, S453, Y453)+SUM(M454, S454, Y454)</f>
        <v>0</v>
      </c>
      <c r="AB453" s="213">
        <f>IF($Z453=0, ,AA453/$Z453)</f>
        <v>0</v>
      </c>
      <c r="AC453" s="232"/>
    </row>
    <row r="454" spans="1:29" x14ac:dyDescent="0.2">
      <c r="A454" s="242"/>
      <c r="B454" s="246"/>
      <c r="C454" s="235"/>
      <c r="D454" s="10"/>
      <c r="E454" s="10"/>
      <c r="F454" s="10"/>
      <c r="G454" s="235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39"/>
      <c r="AA454" s="239"/>
      <c r="AB454" s="214"/>
      <c r="AC454" s="233"/>
    </row>
    <row r="455" spans="1:29" x14ac:dyDescent="0.2">
      <c r="A455" s="242"/>
      <c r="B455" s="240" t="s">
        <v>4</v>
      </c>
      <c r="C455" s="219" t="s">
        <v>9</v>
      </c>
      <c r="D455" s="9"/>
      <c r="E455" s="10"/>
      <c r="F455" s="9"/>
      <c r="G455" s="219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21">
        <f>SUM(L455, R455, X455)+SUM(L456, R456, X456)</f>
        <v>0</v>
      </c>
      <c r="AA455" s="221">
        <f>SUM(M455, S455, Y455)+SUM(M456, S456, Y456)</f>
        <v>0</v>
      </c>
      <c r="AB455" s="223">
        <f>IF($Z455=0, ,AA455/$Z455)</f>
        <v>0</v>
      </c>
      <c r="AC455" s="247"/>
    </row>
    <row r="456" spans="1:29" x14ac:dyDescent="0.2">
      <c r="A456" s="242"/>
      <c r="B456" s="241"/>
      <c r="C456" s="220"/>
      <c r="D456" s="9"/>
      <c r="E456" s="9"/>
      <c r="F456" s="9"/>
      <c r="G456" s="220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22"/>
      <c r="AA456" s="222"/>
      <c r="AB456" s="224"/>
      <c r="AC456" s="248"/>
    </row>
    <row r="457" spans="1:29" x14ac:dyDescent="0.2">
      <c r="A457" s="242"/>
      <c r="B457" s="249" t="s">
        <v>85</v>
      </c>
      <c r="C457" s="251" t="s">
        <v>83</v>
      </c>
      <c r="D457" s="11"/>
      <c r="E457" s="10"/>
      <c r="F457" s="11"/>
      <c r="G457" s="251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53">
        <f>SUM(L457, R457, X457)+SUM(L458, R458, X458)</f>
        <v>0</v>
      </c>
      <c r="AA457" s="253">
        <f>SUM(M457, S457, Y457)+SUM(M458, S458, Y458)</f>
        <v>0</v>
      </c>
      <c r="AB457" s="213">
        <f>IF($Z457=0, ,AA457/$Z457)</f>
        <v>0</v>
      </c>
      <c r="AC457" s="215"/>
    </row>
    <row r="458" spans="1:29" x14ac:dyDescent="0.2">
      <c r="A458" s="242"/>
      <c r="B458" s="250"/>
      <c r="C458" s="252"/>
      <c r="D458" s="11"/>
      <c r="E458" s="11"/>
      <c r="F458" s="11"/>
      <c r="G458" s="252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53"/>
      <c r="AA458" s="253"/>
      <c r="AB458" s="214"/>
      <c r="AC458" s="215"/>
    </row>
    <row r="459" spans="1:29" x14ac:dyDescent="0.2">
      <c r="A459" s="242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42"/>
      <c r="B460" s="216" t="s">
        <v>67</v>
      </c>
      <c r="C460" s="217"/>
      <c r="D460" s="217"/>
      <c r="E460" s="217"/>
      <c r="F460" s="217"/>
      <c r="G460" s="9" t="s">
        <v>68</v>
      </c>
      <c r="H460" s="218" t="s">
        <v>64</v>
      </c>
      <c r="I460" s="218"/>
      <c r="J460" s="218"/>
      <c r="K460" s="218" t="s">
        <v>76</v>
      </c>
      <c r="L460" s="218"/>
      <c r="M460" s="218"/>
      <c r="N460" s="218" t="s">
        <v>65</v>
      </c>
      <c r="O460" s="218"/>
      <c r="P460" s="218"/>
      <c r="Q460" s="218" t="s">
        <v>66</v>
      </c>
      <c r="R460" s="218"/>
      <c r="S460" s="218"/>
      <c r="T460" s="218" t="s">
        <v>73</v>
      </c>
      <c r="U460" s="218"/>
      <c r="V460" s="218"/>
      <c r="W460" s="218" t="s">
        <v>74</v>
      </c>
      <c r="X460" s="218"/>
      <c r="Y460" s="218"/>
      <c r="Z460" s="218" t="s">
        <v>75</v>
      </c>
      <c r="AA460" s="218"/>
      <c r="AB460" s="218"/>
      <c r="AC460" s="209" t="s">
        <v>106</v>
      </c>
    </row>
    <row r="461" spans="1:29" x14ac:dyDescent="0.2">
      <c r="A461" s="242"/>
      <c r="B461" s="216"/>
      <c r="C461" s="217"/>
      <c r="D461" s="217"/>
      <c r="E461" s="217"/>
      <c r="F461" s="217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09"/>
    </row>
    <row r="462" spans="1:29" x14ac:dyDescent="0.2">
      <c r="A462" s="242"/>
      <c r="B462" s="210" t="str">
        <f>B449</f>
        <v>02C</v>
      </c>
      <c r="C462" s="211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12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09"/>
    </row>
    <row r="463" spans="1:29" x14ac:dyDescent="0.2">
      <c r="A463" s="242"/>
      <c r="B463" s="210"/>
      <c r="C463" s="211"/>
      <c r="D463" s="9"/>
      <c r="E463" s="9" t="str">
        <f t="shared" ref="E463:F465" si="79">IF(ISBLANK(E450), "", E450)</f>
        <v/>
      </c>
      <c r="F463" s="9" t="str">
        <f t="shared" si="79"/>
        <v/>
      </c>
      <c r="G463" s="212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09"/>
    </row>
    <row r="464" spans="1:29" x14ac:dyDescent="0.2">
      <c r="A464" s="242"/>
      <c r="B464" s="210" t="str">
        <f>B451</f>
        <v>03C</v>
      </c>
      <c r="C464" s="211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12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09"/>
    </row>
    <row r="465" spans="1:29" x14ac:dyDescent="0.2">
      <c r="A465" s="242"/>
      <c r="B465" s="210"/>
      <c r="C465" s="211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12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09"/>
    </row>
    <row r="467" spans="1:29" x14ac:dyDescent="0.2">
      <c r="A467" s="242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42"/>
      <c r="B468" s="243" t="s">
        <v>10</v>
      </c>
      <c r="C468" s="244" t="s">
        <v>0</v>
      </c>
      <c r="D468" s="244" t="s">
        <v>25</v>
      </c>
      <c r="E468" s="244" t="s">
        <v>11</v>
      </c>
      <c r="F468" s="244" t="s">
        <v>16</v>
      </c>
      <c r="G468" s="225" t="s">
        <v>12</v>
      </c>
      <c r="H468" s="226" t="s">
        <v>13</v>
      </c>
      <c r="I468" s="227"/>
      <c r="J468" s="227"/>
      <c r="K468" s="227"/>
      <c r="L468" s="227"/>
      <c r="M468" s="228"/>
      <c r="N468" s="226" t="s">
        <v>14</v>
      </c>
      <c r="O468" s="227"/>
      <c r="P468" s="227"/>
      <c r="Q468" s="227"/>
      <c r="R468" s="227"/>
      <c r="S468" s="228"/>
      <c r="T468" s="226" t="s">
        <v>15</v>
      </c>
      <c r="U468" s="227"/>
      <c r="V468" s="227"/>
      <c r="W468" s="227"/>
      <c r="X468" s="227"/>
      <c r="Y468" s="228"/>
      <c r="Z468" s="229" t="s">
        <v>37</v>
      </c>
      <c r="AA468" s="229" t="s">
        <v>39</v>
      </c>
      <c r="AB468" s="229" t="s">
        <v>62</v>
      </c>
      <c r="AC468" s="254" t="s">
        <v>26</v>
      </c>
    </row>
    <row r="469" spans="1:29" ht="25.5" x14ac:dyDescent="0.2">
      <c r="A469" s="242"/>
      <c r="B469" s="243"/>
      <c r="C469" s="244"/>
      <c r="D469" s="244"/>
      <c r="E469" s="244"/>
      <c r="F469" s="244"/>
      <c r="G469" s="225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30"/>
      <c r="AA469" s="231"/>
      <c r="AB469" s="231"/>
      <c r="AC469" s="254"/>
    </row>
    <row r="470" spans="1:29" x14ac:dyDescent="0.2">
      <c r="A470" s="242"/>
      <c r="B470" s="255" t="s">
        <v>2</v>
      </c>
      <c r="C470" s="257" t="s">
        <v>84</v>
      </c>
      <c r="D470" s="12"/>
      <c r="E470" s="10"/>
      <c r="F470" s="12"/>
      <c r="G470" s="257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21">
        <f>SUM(L470, R470, X470)+SUM(L471, R471, X471)</f>
        <v>0</v>
      </c>
      <c r="AA470" s="221">
        <f>SUM(M470, S470, Y470)+SUM(M471, S471, Y471)</f>
        <v>0</v>
      </c>
      <c r="AB470" s="223">
        <f>IF($Z470=0, ,AA470/$Z470)</f>
        <v>0</v>
      </c>
      <c r="AC470" s="247"/>
    </row>
    <row r="471" spans="1:29" x14ac:dyDescent="0.2">
      <c r="A471" s="242"/>
      <c r="B471" s="256"/>
      <c r="C471" s="258"/>
      <c r="D471" s="12"/>
      <c r="E471" s="12"/>
      <c r="F471" s="12"/>
      <c r="G471" s="259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22"/>
      <c r="AA471" s="222"/>
      <c r="AB471" s="224"/>
      <c r="AC471" s="248"/>
    </row>
    <row r="472" spans="1:29" x14ac:dyDescent="0.2">
      <c r="A472" s="242"/>
      <c r="B472" s="245" t="s">
        <v>6</v>
      </c>
      <c r="C472" s="234" t="s">
        <v>8</v>
      </c>
      <c r="D472" s="10"/>
      <c r="E472" s="10"/>
      <c r="F472" s="10"/>
      <c r="G472" s="234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36">
        <f>SUM(L472, R472, X472)+SUM(L473, R473, X473)</f>
        <v>0</v>
      </c>
      <c r="AA472" s="238">
        <f>SUM(M472, S472, Y472)+SUM(M473, S473, Y473)</f>
        <v>0</v>
      </c>
      <c r="AB472" s="213">
        <f>IF($Z472=0, ,AA472/$Z472)</f>
        <v>0</v>
      </c>
      <c r="AC472" s="232"/>
    </row>
    <row r="473" spans="1:29" x14ac:dyDescent="0.2">
      <c r="A473" s="242"/>
      <c r="B473" s="246"/>
      <c r="C473" s="235"/>
      <c r="D473" s="10"/>
      <c r="E473" s="10"/>
      <c r="F473" s="10"/>
      <c r="G473" s="235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37"/>
      <c r="AA473" s="239"/>
      <c r="AB473" s="214"/>
      <c r="AC473" s="233"/>
    </row>
    <row r="474" spans="1:29" x14ac:dyDescent="0.2">
      <c r="A474" s="242"/>
      <c r="B474" s="240" t="s">
        <v>7</v>
      </c>
      <c r="C474" s="219" t="s">
        <v>81</v>
      </c>
      <c r="D474" s="9"/>
      <c r="E474" s="9"/>
      <c r="F474" s="9"/>
      <c r="G474" s="219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21">
        <f>SUM(L474, R474, X474)+SUM(L475, R475, X475)</f>
        <v>0</v>
      </c>
      <c r="AA474" s="221">
        <f>SUM(M474, S474, Y474)+SUM(M475, S475, Y475)</f>
        <v>0</v>
      </c>
      <c r="AB474" s="223">
        <f>IF($Z474=0, ,AA474/$Z474)</f>
        <v>0</v>
      </c>
      <c r="AC474" s="247"/>
    </row>
    <row r="475" spans="1:29" x14ac:dyDescent="0.2">
      <c r="A475" s="242"/>
      <c r="B475" s="241"/>
      <c r="C475" s="220"/>
      <c r="D475" s="9"/>
      <c r="E475" s="9"/>
      <c r="F475" s="9"/>
      <c r="G475" s="220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22"/>
      <c r="AA475" s="222"/>
      <c r="AB475" s="224"/>
      <c r="AC475" s="248"/>
    </row>
    <row r="476" spans="1:29" x14ac:dyDescent="0.2">
      <c r="A476" s="242"/>
      <c r="B476" s="245" t="s">
        <v>3</v>
      </c>
      <c r="C476" s="234" t="s">
        <v>82</v>
      </c>
      <c r="D476" s="10"/>
      <c r="E476" s="10"/>
      <c r="F476" s="10"/>
      <c r="G476" s="234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38">
        <f>SUM(L476, R476, X476)+SUM(L477, R477, X477)</f>
        <v>0</v>
      </c>
      <c r="AA476" s="238">
        <f>SUM(M476, S476, Y476)+SUM(M477, S477, Y477)</f>
        <v>0</v>
      </c>
      <c r="AB476" s="213">
        <f>IF($Z476=0, ,AA476/$Z476)</f>
        <v>0</v>
      </c>
      <c r="AC476" s="232"/>
    </row>
    <row r="477" spans="1:29" x14ac:dyDescent="0.2">
      <c r="A477" s="242"/>
      <c r="B477" s="246"/>
      <c r="C477" s="235"/>
      <c r="D477" s="10"/>
      <c r="E477" s="10"/>
      <c r="F477" s="10"/>
      <c r="G477" s="235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39"/>
      <c r="AA477" s="239"/>
      <c r="AB477" s="214"/>
      <c r="AC477" s="233"/>
    </row>
    <row r="478" spans="1:29" x14ac:dyDescent="0.2">
      <c r="A478" s="242"/>
      <c r="B478" s="240" t="s">
        <v>4</v>
      </c>
      <c r="C478" s="219" t="s">
        <v>9</v>
      </c>
      <c r="D478" s="9"/>
      <c r="E478" s="10"/>
      <c r="F478" s="9"/>
      <c r="G478" s="219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21">
        <f>SUM(L478, R478, X478)+SUM(L479, R479, X479)</f>
        <v>0</v>
      </c>
      <c r="AA478" s="221">
        <f>SUM(M478, S478, Y478)+SUM(M479, S479, Y479)</f>
        <v>0</v>
      </c>
      <c r="AB478" s="223">
        <f>IF($Z478=0, ,AA478/$Z478)</f>
        <v>0</v>
      </c>
      <c r="AC478" s="247"/>
    </row>
    <row r="479" spans="1:29" x14ac:dyDescent="0.2">
      <c r="A479" s="242"/>
      <c r="B479" s="241"/>
      <c r="C479" s="220"/>
      <c r="D479" s="9"/>
      <c r="E479" s="9"/>
      <c r="F479" s="9"/>
      <c r="G479" s="220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22"/>
      <c r="AA479" s="222"/>
      <c r="AB479" s="224"/>
      <c r="AC479" s="248"/>
    </row>
    <row r="480" spans="1:29" x14ac:dyDescent="0.2">
      <c r="A480" s="242"/>
      <c r="B480" s="249" t="s">
        <v>85</v>
      </c>
      <c r="C480" s="251" t="s">
        <v>83</v>
      </c>
      <c r="D480" s="11"/>
      <c r="E480" s="10"/>
      <c r="F480" s="11"/>
      <c r="G480" s="251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53">
        <f>SUM(L480, R480, X480)+SUM(L481, R481, X481)</f>
        <v>0</v>
      </c>
      <c r="AA480" s="253">
        <f>SUM(M480, S480, Y480)+SUM(M481, S481, Y481)</f>
        <v>0</v>
      </c>
      <c r="AB480" s="213">
        <f>IF($Z480=0, ,AA480/$Z480)</f>
        <v>0</v>
      </c>
      <c r="AC480" s="215"/>
    </row>
    <row r="481" spans="1:29" x14ac:dyDescent="0.2">
      <c r="A481" s="242"/>
      <c r="B481" s="250"/>
      <c r="C481" s="252"/>
      <c r="D481" s="11"/>
      <c r="E481" s="11"/>
      <c r="F481" s="11"/>
      <c r="G481" s="252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53"/>
      <c r="AA481" s="253"/>
      <c r="AB481" s="214"/>
      <c r="AC481" s="215"/>
    </row>
    <row r="482" spans="1:29" x14ac:dyDescent="0.2">
      <c r="A482" s="242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42"/>
      <c r="B483" s="216" t="s">
        <v>67</v>
      </c>
      <c r="C483" s="217"/>
      <c r="D483" s="217"/>
      <c r="E483" s="217"/>
      <c r="F483" s="217"/>
      <c r="G483" s="9" t="s">
        <v>68</v>
      </c>
      <c r="H483" s="218" t="s">
        <v>64</v>
      </c>
      <c r="I483" s="218"/>
      <c r="J483" s="218"/>
      <c r="K483" s="218" t="s">
        <v>76</v>
      </c>
      <c r="L483" s="218"/>
      <c r="M483" s="218"/>
      <c r="N483" s="218" t="s">
        <v>65</v>
      </c>
      <c r="O483" s="218"/>
      <c r="P483" s="218"/>
      <c r="Q483" s="218" t="s">
        <v>66</v>
      </c>
      <c r="R483" s="218"/>
      <c r="S483" s="218"/>
      <c r="T483" s="218" t="s">
        <v>73</v>
      </c>
      <c r="U483" s="218"/>
      <c r="V483" s="218"/>
      <c r="W483" s="218" t="s">
        <v>74</v>
      </c>
      <c r="X483" s="218"/>
      <c r="Y483" s="218"/>
      <c r="Z483" s="218" t="s">
        <v>75</v>
      </c>
      <c r="AA483" s="218"/>
      <c r="AB483" s="218"/>
      <c r="AC483" s="209" t="s">
        <v>106</v>
      </c>
    </row>
    <row r="484" spans="1:29" x14ac:dyDescent="0.2">
      <c r="A484" s="242"/>
      <c r="B484" s="216"/>
      <c r="C484" s="217"/>
      <c r="D484" s="217"/>
      <c r="E484" s="217"/>
      <c r="F484" s="217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09"/>
    </row>
    <row r="485" spans="1:29" x14ac:dyDescent="0.2">
      <c r="A485" s="242"/>
      <c r="B485" s="210" t="str">
        <f>B472</f>
        <v>02C</v>
      </c>
      <c r="C485" s="211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12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09"/>
    </row>
    <row r="486" spans="1:29" x14ac:dyDescent="0.2">
      <c r="A486" s="242"/>
      <c r="B486" s="210"/>
      <c r="C486" s="211"/>
      <c r="D486" s="9"/>
      <c r="E486" s="9" t="str">
        <f t="shared" ref="E486:F488" si="83">IF(ISBLANK(E473), "", E473)</f>
        <v/>
      </c>
      <c r="F486" s="9" t="str">
        <f t="shared" si="83"/>
        <v/>
      </c>
      <c r="G486" s="212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09"/>
    </row>
    <row r="487" spans="1:29" x14ac:dyDescent="0.2">
      <c r="A487" s="242"/>
      <c r="B487" s="210" t="str">
        <f>B474</f>
        <v>03C</v>
      </c>
      <c r="C487" s="211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12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09"/>
    </row>
    <row r="488" spans="1:29" x14ac:dyDescent="0.2">
      <c r="A488" s="242"/>
      <c r="B488" s="210"/>
      <c r="C488" s="211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12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09"/>
    </row>
    <row r="490" spans="1:29" x14ac:dyDescent="0.2">
      <c r="A490" s="242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42"/>
      <c r="B491" s="243" t="s">
        <v>10</v>
      </c>
      <c r="C491" s="244" t="s">
        <v>0</v>
      </c>
      <c r="D491" s="244" t="s">
        <v>25</v>
      </c>
      <c r="E491" s="244" t="s">
        <v>11</v>
      </c>
      <c r="F491" s="244" t="s">
        <v>16</v>
      </c>
      <c r="G491" s="225" t="s">
        <v>12</v>
      </c>
      <c r="H491" s="226" t="s">
        <v>13</v>
      </c>
      <c r="I491" s="227"/>
      <c r="J491" s="227"/>
      <c r="K491" s="227"/>
      <c r="L491" s="227"/>
      <c r="M491" s="228"/>
      <c r="N491" s="226" t="s">
        <v>14</v>
      </c>
      <c r="O491" s="227"/>
      <c r="P491" s="227"/>
      <c r="Q491" s="227"/>
      <c r="R491" s="227"/>
      <c r="S491" s="228"/>
      <c r="T491" s="226" t="s">
        <v>15</v>
      </c>
      <c r="U491" s="227"/>
      <c r="V491" s="227"/>
      <c r="W491" s="227"/>
      <c r="X491" s="227"/>
      <c r="Y491" s="228"/>
      <c r="Z491" s="229" t="s">
        <v>37</v>
      </c>
      <c r="AA491" s="229" t="s">
        <v>39</v>
      </c>
      <c r="AB491" s="229" t="s">
        <v>62</v>
      </c>
      <c r="AC491" s="254" t="s">
        <v>26</v>
      </c>
    </row>
    <row r="492" spans="1:29" ht="25.5" x14ac:dyDescent="0.2">
      <c r="A492" s="242"/>
      <c r="B492" s="243"/>
      <c r="C492" s="244"/>
      <c r="D492" s="244"/>
      <c r="E492" s="244"/>
      <c r="F492" s="244"/>
      <c r="G492" s="225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30"/>
      <c r="AA492" s="231"/>
      <c r="AB492" s="231"/>
      <c r="AC492" s="254"/>
    </row>
    <row r="493" spans="1:29" x14ac:dyDescent="0.2">
      <c r="A493" s="242"/>
      <c r="B493" s="255" t="s">
        <v>2</v>
      </c>
      <c r="C493" s="257" t="s">
        <v>84</v>
      </c>
      <c r="D493" s="12"/>
      <c r="E493" s="10"/>
      <c r="F493" s="12"/>
      <c r="G493" s="257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21">
        <f>SUM(L493, R493, X493)+SUM(L494, R494, X494)</f>
        <v>0</v>
      </c>
      <c r="AA493" s="221">
        <f>SUM(M493, S493, Y493)+SUM(M494, S494, Y494)</f>
        <v>0</v>
      </c>
      <c r="AB493" s="223">
        <f>IF($Z493=0, ,AA493/$Z493)</f>
        <v>0</v>
      </c>
      <c r="AC493" s="247"/>
    </row>
    <row r="494" spans="1:29" x14ac:dyDescent="0.2">
      <c r="A494" s="242"/>
      <c r="B494" s="256"/>
      <c r="C494" s="258"/>
      <c r="D494" s="12"/>
      <c r="E494" s="12"/>
      <c r="F494" s="12"/>
      <c r="G494" s="259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22"/>
      <c r="AA494" s="222"/>
      <c r="AB494" s="224"/>
      <c r="AC494" s="248"/>
    </row>
    <row r="495" spans="1:29" x14ac:dyDescent="0.2">
      <c r="A495" s="242"/>
      <c r="B495" s="245" t="s">
        <v>6</v>
      </c>
      <c r="C495" s="234" t="s">
        <v>8</v>
      </c>
      <c r="D495" s="10"/>
      <c r="E495" s="10"/>
      <c r="F495" s="10"/>
      <c r="G495" s="234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36">
        <f>SUM(L495, R495, X495)+SUM(L496, R496, X496)</f>
        <v>0</v>
      </c>
      <c r="AA495" s="238">
        <f>SUM(M495, S495, Y495)+SUM(M496, S496, Y496)</f>
        <v>0</v>
      </c>
      <c r="AB495" s="213">
        <f>IF($Z495=0, ,AA495/$Z495)</f>
        <v>0</v>
      </c>
      <c r="AC495" s="232"/>
    </row>
    <row r="496" spans="1:29" x14ac:dyDescent="0.2">
      <c r="A496" s="242"/>
      <c r="B496" s="246"/>
      <c r="C496" s="235"/>
      <c r="D496" s="10"/>
      <c r="E496" s="10"/>
      <c r="F496" s="10"/>
      <c r="G496" s="235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37"/>
      <c r="AA496" s="239"/>
      <c r="AB496" s="214"/>
      <c r="AC496" s="233"/>
    </row>
    <row r="497" spans="1:29" x14ac:dyDescent="0.2">
      <c r="A497" s="242"/>
      <c r="B497" s="240" t="s">
        <v>7</v>
      </c>
      <c r="C497" s="219" t="s">
        <v>81</v>
      </c>
      <c r="D497" s="9"/>
      <c r="E497" s="9"/>
      <c r="F497" s="9"/>
      <c r="G497" s="219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21">
        <f>SUM(L497, R497, X497)+SUM(L498, R498, X498)</f>
        <v>0</v>
      </c>
      <c r="AA497" s="221">
        <f>SUM(M497, S497, Y497)+SUM(M498, S498, Y498)</f>
        <v>0</v>
      </c>
      <c r="AB497" s="223">
        <f>IF($Z497=0, ,AA497/$Z497)</f>
        <v>0</v>
      </c>
      <c r="AC497" s="247"/>
    </row>
    <row r="498" spans="1:29" x14ac:dyDescent="0.2">
      <c r="A498" s="242"/>
      <c r="B498" s="241"/>
      <c r="C498" s="220"/>
      <c r="D498" s="9"/>
      <c r="E498" s="9"/>
      <c r="F498" s="9"/>
      <c r="G498" s="220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22"/>
      <c r="AA498" s="222"/>
      <c r="AB498" s="224"/>
      <c r="AC498" s="248"/>
    </row>
    <row r="499" spans="1:29" x14ac:dyDescent="0.2">
      <c r="A499" s="242"/>
      <c r="B499" s="245" t="s">
        <v>3</v>
      </c>
      <c r="C499" s="234" t="s">
        <v>82</v>
      </c>
      <c r="D499" s="10"/>
      <c r="E499" s="10"/>
      <c r="F499" s="10"/>
      <c r="G499" s="234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38">
        <f>SUM(L499, R499, X499)+SUM(L500, R500, X500)</f>
        <v>0</v>
      </c>
      <c r="AA499" s="238">
        <f>SUM(M499, S499, Y499)+SUM(M500, S500, Y500)</f>
        <v>0</v>
      </c>
      <c r="AB499" s="213">
        <f>IF($Z499=0, ,AA499/$Z499)</f>
        <v>0</v>
      </c>
      <c r="AC499" s="232"/>
    </row>
    <row r="500" spans="1:29" x14ac:dyDescent="0.2">
      <c r="A500" s="242"/>
      <c r="B500" s="246"/>
      <c r="C500" s="235"/>
      <c r="D500" s="10"/>
      <c r="E500" s="10"/>
      <c r="F500" s="10"/>
      <c r="G500" s="235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39"/>
      <c r="AA500" s="239"/>
      <c r="AB500" s="214"/>
      <c r="AC500" s="233"/>
    </row>
    <row r="501" spans="1:29" x14ac:dyDescent="0.2">
      <c r="A501" s="242"/>
      <c r="B501" s="240" t="s">
        <v>4</v>
      </c>
      <c r="C501" s="219" t="s">
        <v>9</v>
      </c>
      <c r="D501" s="9"/>
      <c r="E501" s="10"/>
      <c r="F501" s="9"/>
      <c r="G501" s="219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21">
        <f>SUM(L501, R501, X501)+SUM(L502, R502, X502)</f>
        <v>0</v>
      </c>
      <c r="AA501" s="221">
        <f>SUM(M501, S501, Y501)+SUM(M502, S502, Y502)</f>
        <v>0</v>
      </c>
      <c r="AB501" s="223">
        <f>IF($Z501=0, ,AA501/$Z501)</f>
        <v>0</v>
      </c>
      <c r="AC501" s="247"/>
    </row>
    <row r="502" spans="1:29" x14ac:dyDescent="0.2">
      <c r="A502" s="242"/>
      <c r="B502" s="241"/>
      <c r="C502" s="220"/>
      <c r="D502" s="9"/>
      <c r="E502" s="9"/>
      <c r="F502" s="9"/>
      <c r="G502" s="220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22"/>
      <c r="AA502" s="222"/>
      <c r="AB502" s="224"/>
      <c r="AC502" s="248"/>
    </row>
    <row r="503" spans="1:29" x14ac:dyDescent="0.2">
      <c r="A503" s="242"/>
      <c r="B503" s="249" t="s">
        <v>85</v>
      </c>
      <c r="C503" s="251" t="s">
        <v>83</v>
      </c>
      <c r="D503" s="11"/>
      <c r="E503" s="10"/>
      <c r="F503" s="11"/>
      <c r="G503" s="251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53">
        <f>SUM(L503, R503, X503)+SUM(L504, R504, X504)</f>
        <v>0</v>
      </c>
      <c r="AA503" s="253">
        <f>SUM(M503, S503, Y503)+SUM(M504, S504, Y504)</f>
        <v>0</v>
      </c>
      <c r="AB503" s="213">
        <f>IF($Z503=0, ,AA503/$Z503)</f>
        <v>0</v>
      </c>
      <c r="AC503" s="215"/>
    </row>
    <row r="504" spans="1:29" x14ac:dyDescent="0.2">
      <c r="A504" s="242"/>
      <c r="B504" s="250"/>
      <c r="C504" s="252"/>
      <c r="D504" s="11"/>
      <c r="E504" s="11"/>
      <c r="F504" s="11"/>
      <c r="G504" s="252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53"/>
      <c r="AA504" s="253"/>
      <c r="AB504" s="214"/>
      <c r="AC504" s="215"/>
    </row>
    <row r="505" spans="1:29" x14ac:dyDescent="0.2">
      <c r="A505" s="242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42"/>
      <c r="B506" s="216" t="s">
        <v>67</v>
      </c>
      <c r="C506" s="217"/>
      <c r="D506" s="217"/>
      <c r="E506" s="217"/>
      <c r="F506" s="217"/>
      <c r="G506" s="9" t="s">
        <v>68</v>
      </c>
      <c r="H506" s="218" t="s">
        <v>64</v>
      </c>
      <c r="I506" s="218"/>
      <c r="J506" s="218"/>
      <c r="K506" s="218" t="s">
        <v>76</v>
      </c>
      <c r="L506" s="218"/>
      <c r="M506" s="218"/>
      <c r="N506" s="218" t="s">
        <v>65</v>
      </c>
      <c r="O506" s="218"/>
      <c r="P506" s="218"/>
      <c r="Q506" s="218" t="s">
        <v>66</v>
      </c>
      <c r="R506" s="218"/>
      <c r="S506" s="218"/>
      <c r="T506" s="218" t="s">
        <v>73</v>
      </c>
      <c r="U506" s="218"/>
      <c r="V506" s="218"/>
      <c r="W506" s="218" t="s">
        <v>74</v>
      </c>
      <c r="X506" s="218"/>
      <c r="Y506" s="218"/>
      <c r="Z506" s="218" t="s">
        <v>75</v>
      </c>
      <c r="AA506" s="218"/>
      <c r="AB506" s="218"/>
      <c r="AC506" s="209" t="s">
        <v>106</v>
      </c>
    </row>
    <row r="507" spans="1:29" x14ac:dyDescent="0.2">
      <c r="A507" s="242"/>
      <c r="B507" s="216"/>
      <c r="C507" s="217"/>
      <c r="D507" s="217"/>
      <c r="E507" s="217"/>
      <c r="F507" s="217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09"/>
    </row>
    <row r="508" spans="1:29" x14ac:dyDescent="0.2">
      <c r="A508" s="242"/>
      <c r="B508" s="210" t="str">
        <f>B495</f>
        <v>02C</v>
      </c>
      <c r="C508" s="211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12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09"/>
    </row>
    <row r="509" spans="1:29" x14ac:dyDescent="0.2">
      <c r="A509" s="242"/>
      <c r="B509" s="210"/>
      <c r="C509" s="211"/>
      <c r="D509" s="9"/>
      <c r="E509" s="9" t="str">
        <f t="shared" ref="E509:F511" si="87">IF(ISBLANK(E496), "", E496)</f>
        <v/>
      </c>
      <c r="F509" s="9" t="str">
        <f t="shared" si="87"/>
        <v/>
      </c>
      <c r="G509" s="212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09"/>
    </row>
    <row r="510" spans="1:29" x14ac:dyDescent="0.2">
      <c r="A510" s="242"/>
      <c r="B510" s="210" t="str">
        <f>B497</f>
        <v>03C</v>
      </c>
      <c r="C510" s="211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12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09"/>
    </row>
    <row r="511" spans="1:29" x14ac:dyDescent="0.2">
      <c r="A511" s="242"/>
      <c r="B511" s="210"/>
      <c r="C511" s="211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12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09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workbookViewId="0"/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81" t="s">
        <v>86</v>
      </c>
      <c r="K2" s="281"/>
      <c r="L2" s="281"/>
      <c r="M2" s="281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42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42"/>
      <c r="B7" s="243" t="s">
        <v>10</v>
      </c>
      <c r="C7" s="244" t="s">
        <v>25</v>
      </c>
      <c r="D7" s="244" t="s">
        <v>28</v>
      </c>
      <c r="E7" s="225" t="s">
        <v>12</v>
      </c>
      <c r="F7" s="226" t="s">
        <v>13</v>
      </c>
      <c r="G7" s="227"/>
      <c r="H7" s="227"/>
      <c r="I7" s="227"/>
      <c r="J7" s="228"/>
      <c r="K7" s="226" t="s">
        <v>14</v>
      </c>
      <c r="L7" s="227"/>
      <c r="M7" s="227"/>
      <c r="N7" s="227"/>
      <c r="O7" s="228"/>
      <c r="P7" s="226" t="s">
        <v>15</v>
      </c>
      <c r="Q7" s="227"/>
      <c r="R7" s="227"/>
      <c r="S7" s="227"/>
      <c r="T7" s="228"/>
      <c r="U7" s="275" t="s">
        <v>34</v>
      </c>
      <c r="V7" s="275" t="s">
        <v>48</v>
      </c>
      <c r="W7" s="275" t="s">
        <v>56</v>
      </c>
      <c r="X7" s="275" t="s">
        <v>54</v>
      </c>
      <c r="Y7" s="275" t="s">
        <v>57</v>
      </c>
      <c r="Z7" s="275" t="s">
        <v>55</v>
      </c>
      <c r="AA7" s="275" t="s">
        <v>58</v>
      </c>
      <c r="AB7" s="275" t="s">
        <v>38</v>
      </c>
    </row>
    <row r="8" spans="1:28" ht="38.25" x14ac:dyDescent="0.2">
      <c r="A8" s="242"/>
      <c r="B8" s="243"/>
      <c r="C8" s="244"/>
      <c r="D8" s="244"/>
      <c r="E8" s="225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75"/>
      <c r="V8" s="275"/>
      <c r="W8" s="275"/>
      <c r="X8" s="275"/>
      <c r="Y8" s="275"/>
      <c r="Z8" s="275"/>
      <c r="AA8" s="275"/>
      <c r="AB8" s="275"/>
    </row>
    <row r="9" spans="1:28" ht="12.75" customHeight="1" x14ac:dyDescent="0.2">
      <c r="A9" s="242"/>
      <c r="B9" s="255" t="s">
        <v>17</v>
      </c>
      <c r="C9" s="12"/>
      <c r="D9" s="12"/>
      <c r="E9" s="257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21">
        <f>SUM(F9, K9, P9, F10, K10, P10)</f>
        <v>0</v>
      </c>
      <c r="V9" s="221">
        <f>SUM(H9, M9, R9, H10, M10, R10)</f>
        <v>0</v>
      </c>
      <c r="W9" s="223">
        <f>IF($U9=0, ,V9/$U9)</f>
        <v>0</v>
      </c>
      <c r="X9" s="221">
        <f>SUM(I9, N9, S9, I10, N10, S10)</f>
        <v>0</v>
      </c>
      <c r="Y9" s="223">
        <f>IF($U9=0, ,X9/$U9)</f>
        <v>0</v>
      </c>
      <c r="Z9" s="221">
        <f>SUM(J9, O9, T9, J10, O10, T10)</f>
        <v>0</v>
      </c>
      <c r="AA9" s="223">
        <f>IF($U9=0, ,Z9/$U9)</f>
        <v>0</v>
      </c>
      <c r="AB9" s="247" t="s">
        <v>87</v>
      </c>
    </row>
    <row r="10" spans="1:28" ht="12.75" customHeight="1" x14ac:dyDescent="0.2">
      <c r="A10" s="242"/>
      <c r="B10" s="274"/>
      <c r="C10" s="12"/>
      <c r="D10" s="12"/>
      <c r="E10" s="259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22"/>
      <c r="V10" s="222"/>
      <c r="W10" s="224"/>
      <c r="X10" s="222"/>
      <c r="Y10" s="224"/>
      <c r="Z10" s="222"/>
      <c r="AA10" s="224"/>
      <c r="AB10" s="248"/>
    </row>
    <row r="11" spans="1:28" ht="12.75" customHeight="1" x14ac:dyDescent="0.2">
      <c r="A11" s="242"/>
      <c r="B11" s="245" t="s">
        <v>18</v>
      </c>
      <c r="C11" s="10"/>
      <c r="D11" s="10"/>
      <c r="E11" s="234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38">
        <f>SUM(F11, K11, P11, F12, K12, P12)</f>
        <v>0</v>
      </c>
      <c r="V11" s="238">
        <f>SUM(H11, M11, R11, H12, M12, R12)</f>
        <v>0</v>
      </c>
      <c r="W11" s="213">
        <f>IF($U11=0, ,V11/$U11)</f>
        <v>0</v>
      </c>
      <c r="X11" s="238">
        <f>SUM(I11, N11, S11, I12, N12, S12)</f>
        <v>0</v>
      </c>
      <c r="Y11" s="213">
        <f>IF($U11=0, ,X11/$U11)</f>
        <v>0</v>
      </c>
      <c r="Z11" s="238">
        <f>SUM(J11, O11, T11, J12, O12, T12)</f>
        <v>0</v>
      </c>
      <c r="AA11" s="213">
        <f>IF($U11=0, ,Z11/$U11)</f>
        <v>0</v>
      </c>
      <c r="AB11" s="232" t="s">
        <v>87</v>
      </c>
    </row>
    <row r="12" spans="1:28" ht="12.75" customHeight="1" x14ac:dyDescent="0.2">
      <c r="A12" s="242"/>
      <c r="B12" s="246"/>
      <c r="C12" s="10"/>
      <c r="D12" s="10"/>
      <c r="E12" s="235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39"/>
      <c r="V12" s="239"/>
      <c r="W12" s="214"/>
      <c r="X12" s="239"/>
      <c r="Y12" s="214"/>
      <c r="Z12" s="239"/>
      <c r="AA12" s="214"/>
      <c r="AB12" s="233"/>
    </row>
    <row r="13" spans="1:28" ht="12.75" customHeight="1" x14ac:dyDescent="0.2">
      <c r="A13" s="242"/>
      <c r="B13" s="255" t="s">
        <v>19</v>
      </c>
      <c r="C13" s="9"/>
      <c r="D13" s="9"/>
      <c r="E13" s="219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21">
        <f>SUM(F13, K13, P13, F14, K14, P14)</f>
        <v>0</v>
      </c>
      <c r="V13" s="221">
        <f>SUM(H13, M13, R13, H14, M14, R14)</f>
        <v>0</v>
      </c>
      <c r="W13" s="223">
        <f>IF($U13=0, ,V13/$U13)</f>
        <v>0</v>
      </c>
      <c r="X13" s="221">
        <f>SUM(I13, N13, S13, I14, N14, S14)</f>
        <v>0</v>
      </c>
      <c r="Y13" s="223">
        <f>IF($U13=0, ,X13/$U13)</f>
        <v>0</v>
      </c>
      <c r="Z13" s="221">
        <f>SUM(J13, O13, T13, J14, O14, T14)</f>
        <v>0</v>
      </c>
      <c r="AA13" s="223">
        <f>IF($U13=0, ,Z13/$U13)</f>
        <v>0</v>
      </c>
      <c r="AB13" s="247" t="s">
        <v>87</v>
      </c>
    </row>
    <row r="14" spans="1:28" ht="12.75" customHeight="1" x14ac:dyDescent="0.2">
      <c r="A14" s="242"/>
      <c r="B14" s="274"/>
      <c r="C14" s="9"/>
      <c r="D14" s="9"/>
      <c r="E14" s="220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22"/>
      <c r="V14" s="222"/>
      <c r="W14" s="224"/>
      <c r="X14" s="222"/>
      <c r="Y14" s="224"/>
      <c r="Z14" s="222"/>
      <c r="AA14" s="224"/>
      <c r="AB14" s="248"/>
    </row>
    <row r="15" spans="1:28" ht="12.75" customHeight="1" x14ac:dyDescent="0.2">
      <c r="A15" s="242"/>
      <c r="B15" s="245" t="s">
        <v>20</v>
      </c>
      <c r="C15" s="10"/>
      <c r="D15" s="10"/>
      <c r="E15" s="234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38">
        <f>SUM(F15, K15, P15, F16, K16, P16)</f>
        <v>0</v>
      </c>
      <c r="V15" s="238">
        <f>SUM(H15, M15, R15, H16, M16, R16)</f>
        <v>0</v>
      </c>
      <c r="W15" s="213">
        <f>IF($U15=0, ,V15/$U15)</f>
        <v>0</v>
      </c>
      <c r="X15" s="238">
        <f>SUM(I15, N15, S15, I16, N16, S16)</f>
        <v>0</v>
      </c>
      <c r="Y15" s="213">
        <f>IF($U15=0, ,X15/$U15)</f>
        <v>0</v>
      </c>
      <c r="Z15" s="238">
        <f>SUM(J15, O15, T15, J16, O16, T16)</f>
        <v>0</v>
      </c>
      <c r="AA15" s="213">
        <f>IF($U15=0, ,Z15/$U15)</f>
        <v>0</v>
      </c>
      <c r="AB15" s="232" t="s">
        <v>87</v>
      </c>
    </row>
    <row r="16" spans="1:28" ht="12.75" customHeight="1" x14ac:dyDescent="0.2">
      <c r="A16" s="242"/>
      <c r="B16" s="246"/>
      <c r="C16" s="10"/>
      <c r="D16" s="10"/>
      <c r="E16" s="235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39"/>
      <c r="V16" s="239"/>
      <c r="W16" s="214"/>
      <c r="X16" s="239"/>
      <c r="Y16" s="214"/>
      <c r="Z16" s="239"/>
      <c r="AA16" s="214"/>
      <c r="AB16" s="233"/>
    </row>
    <row r="17" spans="1:28" ht="12.75" customHeight="1" x14ac:dyDescent="0.2">
      <c r="A17" s="242"/>
      <c r="B17" s="255" t="s">
        <v>21</v>
      </c>
      <c r="C17" s="9"/>
      <c r="D17" s="9"/>
      <c r="E17" s="219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21">
        <f>SUM(F17, K17, P17, F18, K18, P18)</f>
        <v>0</v>
      </c>
      <c r="V17" s="221">
        <f>SUM(H17, M17, R17, H18, M18, R18)</f>
        <v>0</v>
      </c>
      <c r="W17" s="223">
        <f>IF($U17=0, ,V17/$U17)</f>
        <v>0</v>
      </c>
      <c r="X17" s="221">
        <f>SUM(I17, N17, S17, I18, N18, S18)</f>
        <v>0</v>
      </c>
      <c r="Y17" s="223">
        <f>IF($U17=0, ,X17/$U17)</f>
        <v>0</v>
      </c>
      <c r="Z17" s="221">
        <f>SUM(J17, O17, T17, J18, O18, T18)</f>
        <v>0</v>
      </c>
      <c r="AA17" s="223">
        <f>IF($U17=0, ,Z17/$U17)</f>
        <v>0</v>
      </c>
      <c r="AB17" s="247" t="s">
        <v>87</v>
      </c>
    </row>
    <row r="18" spans="1:28" ht="12.75" customHeight="1" x14ac:dyDescent="0.2">
      <c r="A18" s="242"/>
      <c r="B18" s="274"/>
      <c r="C18" s="9"/>
      <c r="D18" s="9"/>
      <c r="E18" s="220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22"/>
      <c r="V18" s="222"/>
      <c r="W18" s="224"/>
      <c r="X18" s="222"/>
      <c r="Y18" s="224"/>
      <c r="Z18" s="222"/>
      <c r="AA18" s="224"/>
      <c r="AB18" s="248"/>
    </row>
    <row r="19" spans="1:28" ht="12.75" customHeight="1" x14ac:dyDescent="0.2">
      <c r="A19" s="242"/>
      <c r="B19" s="245" t="s">
        <v>22</v>
      </c>
      <c r="C19" s="11"/>
      <c r="D19" s="11"/>
      <c r="E19" s="251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38">
        <f>SUM(F19, K19, P19, F20, K20, P20)</f>
        <v>0</v>
      </c>
      <c r="V19" s="238">
        <f>SUM(H19, M19, R19, H20, M20, R20)</f>
        <v>0</v>
      </c>
      <c r="W19" s="213">
        <f>IF($U19=0, ,V19/$U19)</f>
        <v>0</v>
      </c>
      <c r="X19" s="238">
        <f>SUM(I19, N19, S19, I20, N20, S20)</f>
        <v>0</v>
      </c>
      <c r="Y19" s="213">
        <f>IF($U19=0, ,X19/$U19)</f>
        <v>0</v>
      </c>
      <c r="Z19" s="238">
        <f>SUM(J19, O19, T19, J20, O20, T20)</f>
        <v>0</v>
      </c>
      <c r="AA19" s="213">
        <f>IF($U19=0, ,Z19/$U19)</f>
        <v>0</v>
      </c>
      <c r="AB19" s="232" t="s">
        <v>87</v>
      </c>
    </row>
    <row r="20" spans="1:28" ht="12.75" customHeight="1" x14ac:dyDescent="0.2">
      <c r="A20" s="242"/>
      <c r="B20" s="246"/>
      <c r="C20" s="11"/>
      <c r="D20" s="11"/>
      <c r="E20" s="252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39"/>
      <c r="V20" s="239"/>
      <c r="W20" s="214"/>
      <c r="X20" s="239"/>
      <c r="Y20" s="214"/>
      <c r="Z20" s="239"/>
      <c r="AA20" s="214"/>
      <c r="AB20" s="233"/>
    </row>
    <row r="21" spans="1:28" ht="13.5" customHeight="1" thickBot="1" x14ac:dyDescent="0.25">
      <c r="A21" s="242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42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42"/>
      <c r="B23" s="243" t="s">
        <v>35</v>
      </c>
      <c r="C23" s="244" t="s">
        <v>25</v>
      </c>
      <c r="D23" s="244" t="s">
        <v>28</v>
      </c>
      <c r="E23" s="225" t="s">
        <v>12</v>
      </c>
      <c r="F23" s="269" t="s">
        <v>13</v>
      </c>
      <c r="G23" s="269"/>
      <c r="H23" s="269"/>
      <c r="I23" s="269" t="s">
        <v>14</v>
      </c>
      <c r="J23" s="269"/>
      <c r="K23" s="269"/>
      <c r="L23" s="269" t="s">
        <v>15</v>
      </c>
      <c r="M23" s="269"/>
      <c r="N23" s="269"/>
      <c r="O23" s="229" t="s">
        <v>34</v>
      </c>
      <c r="P23" s="229" t="s">
        <v>48</v>
      </c>
      <c r="Q23" s="229" t="s">
        <v>60</v>
      </c>
      <c r="R23" s="229" t="s">
        <v>49</v>
      </c>
      <c r="S23" s="229" t="s">
        <v>61</v>
      </c>
      <c r="T23" s="265" t="s">
        <v>79</v>
      </c>
      <c r="U23" s="265"/>
      <c r="V23" s="265"/>
      <c r="W23" s="265"/>
      <c r="X23" s="265"/>
      <c r="Y23" s="265"/>
      <c r="Z23" s="265"/>
      <c r="AA23" s="265"/>
      <c r="AB23" s="266"/>
    </row>
    <row r="24" spans="1:28" ht="25.5" x14ac:dyDescent="0.2">
      <c r="A24" s="242"/>
      <c r="B24" s="243"/>
      <c r="C24" s="244"/>
      <c r="D24" s="244"/>
      <c r="E24" s="225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31"/>
      <c r="P24" s="231"/>
      <c r="Q24" s="231"/>
      <c r="R24" s="231"/>
      <c r="S24" s="231"/>
      <c r="T24" s="267"/>
      <c r="U24" s="267"/>
      <c r="V24" s="267"/>
      <c r="W24" s="267"/>
      <c r="X24" s="267"/>
      <c r="Y24" s="267"/>
      <c r="Z24" s="267"/>
      <c r="AA24" s="267"/>
      <c r="AB24" s="268"/>
    </row>
    <row r="25" spans="1:28" ht="12.75" customHeight="1" x14ac:dyDescent="0.2">
      <c r="A25" s="242"/>
      <c r="B25" s="263" t="s">
        <v>36</v>
      </c>
      <c r="C25" s="12"/>
      <c r="D25" s="12" t="s">
        <v>80</v>
      </c>
      <c r="E25" s="264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21">
        <f>SUM(F25, I25, L25, F26, I26, L26)*$O22</f>
        <v>0</v>
      </c>
      <c r="P25" s="221">
        <f>SUM(G25, J25, M25, G26, J26, M26)</f>
        <v>0</v>
      </c>
      <c r="Q25" s="223">
        <f>IF($O25=0, ,P25/$O25)</f>
        <v>0</v>
      </c>
      <c r="R25" s="221">
        <f>SUM(H25, K25, N25, H26, K26, N26)</f>
        <v>0</v>
      </c>
      <c r="S25" s="223">
        <f>IF($O25=0, ,R25/$O25)</f>
        <v>0</v>
      </c>
      <c r="T25" s="270"/>
      <c r="U25" s="270"/>
      <c r="V25" s="270"/>
      <c r="W25" s="270"/>
      <c r="X25" s="270"/>
      <c r="Y25" s="270"/>
      <c r="Z25" s="270"/>
      <c r="AA25" s="270"/>
      <c r="AB25" s="271"/>
    </row>
    <row r="26" spans="1:28" ht="12.75" customHeight="1" x14ac:dyDescent="0.2">
      <c r="A26" s="242"/>
      <c r="B26" s="263"/>
      <c r="C26" s="12"/>
      <c r="D26" s="12"/>
      <c r="E26" s="264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22"/>
      <c r="P26" s="222"/>
      <c r="Q26" s="224"/>
      <c r="R26" s="222"/>
      <c r="S26" s="224"/>
      <c r="T26" s="272"/>
      <c r="U26" s="272"/>
      <c r="V26" s="272"/>
      <c r="W26" s="272"/>
      <c r="X26" s="272"/>
      <c r="Y26" s="272"/>
      <c r="Z26" s="272"/>
      <c r="AA26" s="272"/>
      <c r="AB26" s="273"/>
    </row>
    <row r="27" spans="1:28" ht="12.75" customHeight="1" x14ac:dyDescent="0.2">
      <c r="A27" s="242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42"/>
      <c r="B28" s="276" t="s">
        <v>67</v>
      </c>
      <c r="C28" s="276"/>
      <c r="D28" s="277"/>
      <c r="E28" s="82" t="s">
        <v>68</v>
      </c>
      <c r="F28" s="261" t="s">
        <v>64</v>
      </c>
      <c r="G28" s="261"/>
      <c r="H28" s="261"/>
      <c r="I28" s="261" t="s">
        <v>76</v>
      </c>
      <c r="J28" s="261"/>
      <c r="K28" s="261"/>
      <c r="L28" s="261" t="s">
        <v>65</v>
      </c>
      <c r="M28" s="261"/>
      <c r="N28" s="261"/>
      <c r="O28" s="261" t="s">
        <v>66</v>
      </c>
      <c r="P28" s="261"/>
      <c r="Q28" s="261"/>
      <c r="R28" s="261" t="s">
        <v>73</v>
      </c>
      <c r="S28" s="261"/>
      <c r="T28" s="261"/>
      <c r="U28" s="261" t="s">
        <v>74</v>
      </c>
      <c r="V28" s="261"/>
      <c r="W28" s="261"/>
      <c r="X28" s="261" t="s">
        <v>75</v>
      </c>
      <c r="Y28" s="261"/>
      <c r="Z28" s="261"/>
      <c r="AA28" s="262"/>
      <c r="AB28" s="262"/>
    </row>
    <row r="29" spans="1:28" ht="12.75" customHeight="1" x14ac:dyDescent="0.2">
      <c r="A29" s="242"/>
      <c r="B29" s="278"/>
      <c r="C29" s="278"/>
      <c r="D29" s="279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62"/>
      <c r="AB29" s="262"/>
    </row>
    <row r="30" spans="1:28" ht="12.75" customHeight="1" x14ac:dyDescent="0.2">
      <c r="A30" s="242"/>
      <c r="B30" s="280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62"/>
      <c r="AB30" s="262"/>
    </row>
    <row r="31" spans="1:28" ht="12.75" customHeight="1" x14ac:dyDescent="0.2">
      <c r="A31" s="242"/>
      <c r="B31" s="280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62"/>
      <c r="AB31" s="262"/>
    </row>
    <row r="32" spans="1:28" ht="12.75" customHeight="1" x14ac:dyDescent="0.2">
      <c r="A32" s="242"/>
      <c r="B32" s="280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62"/>
      <c r="AB32" s="262"/>
    </row>
    <row r="33" spans="1:28" ht="12.75" customHeight="1" x14ac:dyDescent="0.2">
      <c r="A33" s="242"/>
      <c r="B33" s="280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62"/>
      <c r="AB33" s="262"/>
    </row>
    <row r="35" spans="1:28" ht="12.75" customHeight="1" x14ac:dyDescent="0.2">
      <c r="A35" s="242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42"/>
      <c r="B36" s="243" t="s">
        <v>10</v>
      </c>
      <c r="C36" s="244" t="s">
        <v>25</v>
      </c>
      <c r="D36" s="244" t="s">
        <v>28</v>
      </c>
      <c r="E36" s="225" t="s">
        <v>12</v>
      </c>
      <c r="F36" s="226" t="s">
        <v>13</v>
      </c>
      <c r="G36" s="227"/>
      <c r="H36" s="227"/>
      <c r="I36" s="227"/>
      <c r="J36" s="228"/>
      <c r="K36" s="226" t="s">
        <v>14</v>
      </c>
      <c r="L36" s="227"/>
      <c r="M36" s="227"/>
      <c r="N36" s="227"/>
      <c r="O36" s="228"/>
      <c r="P36" s="226" t="s">
        <v>15</v>
      </c>
      <c r="Q36" s="227"/>
      <c r="R36" s="227"/>
      <c r="S36" s="227"/>
      <c r="T36" s="228"/>
      <c r="U36" s="275" t="s">
        <v>34</v>
      </c>
      <c r="V36" s="275" t="s">
        <v>48</v>
      </c>
      <c r="W36" s="275" t="s">
        <v>56</v>
      </c>
      <c r="X36" s="275" t="s">
        <v>54</v>
      </c>
      <c r="Y36" s="275" t="s">
        <v>57</v>
      </c>
      <c r="Z36" s="275" t="s">
        <v>55</v>
      </c>
      <c r="AA36" s="275" t="s">
        <v>58</v>
      </c>
      <c r="AB36" s="275" t="s">
        <v>38</v>
      </c>
    </row>
    <row r="37" spans="1:28" ht="38.25" x14ac:dyDescent="0.2">
      <c r="A37" s="242"/>
      <c r="B37" s="243"/>
      <c r="C37" s="244"/>
      <c r="D37" s="244"/>
      <c r="E37" s="225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75"/>
      <c r="V37" s="275"/>
      <c r="W37" s="275"/>
      <c r="X37" s="275"/>
      <c r="Y37" s="275"/>
      <c r="Z37" s="275"/>
      <c r="AA37" s="275"/>
      <c r="AB37" s="275"/>
    </row>
    <row r="38" spans="1:28" ht="12.75" customHeight="1" x14ac:dyDescent="0.2">
      <c r="A38" s="242"/>
      <c r="B38" s="255" t="s">
        <v>17</v>
      </c>
      <c r="C38" s="12"/>
      <c r="D38" s="12"/>
      <c r="E38" s="257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21">
        <f>SUM(F38, K38, P38, F39, K39, P39)</f>
        <v>0</v>
      </c>
      <c r="V38" s="221">
        <f>SUM(H38, M38, R38, H39, M39, R39)</f>
        <v>0</v>
      </c>
      <c r="W38" s="223">
        <f>IF($U38=0, ,V38/$U38)</f>
        <v>0</v>
      </c>
      <c r="X38" s="221">
        <f>SUM(I38, N38, S38, I39, N39, S39)</f>
        <v>0</v>
      </c>
      <c r="Y38" s="223">
        <f>IF($U38=0, ,X38/$U38)</f>
        <v>0</v>
      </c>
      <c r="Z38" s="221">
        <f>SUM(J38, O38, T38, J39, O39, T39)</f>
        <v>0</v>
      </c>
      <c r="AA38" s="223">
        <f>IF($U38=0, ,Z38/$U38)</f>
        <v>0</v>
      </c>
      <c r="AB38" s="247" t="s">
        <v>87</v>
      </c>
    </row>
    <row r="39" spans="1:28" ht="12.75" customHeight="1" x14ac:dyDescent="0.2">
      <c r="A39" s="242"/>
      <c r="B39" s="274"/>
      <c r="C39" s="12"/>
      <c r="D39" s="12"/>
      <c r="E39" s="259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22"/>
      <c r="V39" s="222"/>
      <c r="W39" s="224"/>
      <c r="X39" s="222"/>
      <c r="Y39" s="224"/>
      <c r="Z39" s="222"/>
      <c r="AA39" s="224"/>
      <c r="AB39" s="248"/>
    </row>
    <row r="40" spans="1:28" ht="12.75" customHeight="1" x14ac:dyDescent="0.2">
      <c r="A40" s="242"/>
      <c r="B40" s="245" t="s">
        <v>18</v>
      </c>
      <c r="C40" s="10"/>
      <c r="D40" s="10"/>
      <c r="E40" s="234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38">
        <f>SUM(F40, K40, P40, F41, K41, P41)</f>
        <v>0</v>
      </c>
      <c r="V40" s="238">
        <f>SUM(H40, M40, R40, H41, M41, R41)</f>
        <v>0</v>
      </c>
      <c r="W40" s="213">
        <f>IF($U40=0, ,V40/$U40)</f>
        <v>0</v>
      </c>
      <c r="X40" s="238">
        <f>SUM(I40, N40, S40, I41, N41, S41)</f>
        <v>0</v>
      </c>
      <c r="Y40" s="213">
        <f>IF($U40=0, ,X40/$U40)</f>
        <v>0</v>
      </c>
      <c r="Z40" s="238">
        <f>SUM(J40, O40, T40, J41, O41, T41)</f>
        <v>0</v>
      </c>
      <c r="AA40" s="213">
        <f>IF($U40=0, ,Z40/$U40)</f>
        <v>0</v>
      </c>
      <c r="AB40" s="232" t="s">
        <v>87</v>
      </c>
    </row>
    <row r="41" spans="1:28" ht="12.75" customHeight="1" x14ac:dyDescent="0.2">
      <c r="A41" s="242"/>
      <c r="B41" s="246"/>
      <c r="C41" s="10"/>
      <c r="D41" s="10"/>
      <c r="E41" s="235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39"/>
      <c r="V41" s="239"/>
      <c r="W41" s="214"/>
      <c r="X41" s="239"/>
      <c r="Y41" s="214"/>
      <c r="Z41" s="239"/>
      <c r="AA41" s="214"/>
      <c r="AB41" s="233"/>
    </row>
    <row r="42" spans="1:28" ht="12.75" customHeight="1" x14ac:dyDescent="0.2">
      <c r="A42" s="242"/>
      <c r="B42" s="255" t="s">
        <v>19</v>
      </c>
      <c r="C42" s="9"/>
      <c r="D42" s="9"/>
      <c r="E42" s="219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21">
        <f>SUM(F42, K42, P42, F43, K43, P43)</f>
        <v>0</v>
      </c>
      <c r="V42" s="221">
        <f>SUM(H42, M42, R42, H43, M43, R43)</f>
        <v>0</v>
      </c>
      <c r="W42" s="223">
        <f>IF($U42=0, ,V42/$U42)</f>
        <v>0</v>
      </c>
      <c r="X42" s="221">
        <f>SUM(I42, N42, S42, I43, N43, S43)</f>
        <v>0</v>
      </c>
      <c r="Y42" s="223">
        <f>IF($U42=0, ,X42/$U42)</f>
        <v>0</v>
      </c>
      <c r="Z42" s="221">
        <f>SUM(J42, O42, T42, J43, O43, T43)</f>
        <v>0</v>
      </c>
      <c r="AA42" s="223">
        <f>IF($U42=0, ,Z42/$U42)</f>
        <v>0</v>
      </c>
      <c r="AB42" s="247" t="s">
        <v>87</v>
      </c>
    </row>
    <row r="43" spans="1:28" ht="12.75" customHeight="1" x14ac:dyDescent="0.2">
      <c r="A43" s="242"/>
      <c r="B43" s="274"/>
      <c r="C43" s="9"/>
      <c r="D43" s="9"/>
      <c r="E43" s="220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22"/>
      <c r="V43" s="222"/>
      <c r="W43" s="224"/>
      <c r="X43" s="222"/>
      <c r="Y43" s="224"/>
      <c r="Z43" s="222"/>
      <c r="AA43" s="224"/>
      <c r="AB43" s="248"/>
    </row>
    <row r="44" spans="1:28" ht="12.75" customHeight="1" x14ac:dyDescent="0.2">
      <c r="A44" s="242"/>
      <c r="B44" s="245" t="s">
        <v>20</v>
      </c>
      <c r="C44" s="10"/>
      <c r="D44" s="10"/>
      <c r="E44" s="234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38">
        <f>SUM(F44, K44, P44, F45, K45, P45)</f>
        <v>0</v>
      </c>
      <c r="V44" s="238">
        <f>SUM(H44, M44, R44, H45, M45, R45)</f>
        <v>0</v>
      </c>
      <c r="W44" s="213">
        <f>IF($U44=0, ,V44/$U44)</f>
        <v>0</v>
      </c>
      <c r="X44" s="238">
        <f>SUM(I44, N44, S44, I45, N45, S45)</f>
        <v>0</v>
      </c>
      <c r="Y44" s="213">
        <f>IF($U44=0, ,X44/$U44)</f>
        <v>0</v>
      </c>
      <c r="Z44" s="238">
        <f>SUM(J44, O44, T44, J45, O45, T45)</f>
        <v>0</v>
      </c>
      <c r="AA44" s="213">
        <f>IF($U44=0, ,Z44/$U44)</f>
        <v>0</v>
      </c>
      <c r="AB44" s="232" t="s">
        <v>87</v>
      </c>
    </row>
    <row r="45" spans="1:28" ht="12.75" customHeight="1" x14ac:dyDescent="0.2">
      <c r="A45" s="242"/>
      <c r="B45" s="246"/>
      <c r="C45" s="10"/>
      <c r="D45" s="10"/>
      <c r="E45" s="235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39"/>
      <c r="V45" s="239"/>
      <c r="W45" s="214"/>
      <c r="X45" s="239"/>
      <c r="Y45" s="214"/>
      <c r="Z45" s="239"/>
      <c r="AA45" s="214"/>
      <c r="AB45" s="233"/>
    </row>
    <row r="46" spans="1:28" ht="12.75" customHeight="1" x14ac:dyDescent="0.2">
      <c r="A46" s="242"/>
      <c r="B46" s="255" t="s">
        <v>21</v>
      </c>
      <c r="C46" s="9"/>
      <c r="D46" s="9"/>
      <c r="E46" s="219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21">
        <f>SUM(F46, K46, P46, F47, K47, P47)</f>
        <v>0</v>
      </c>
      <c r="V46" s="221">
        <f>SUM(H46, M46, R46, H47, M47, R47)</f>
        <v>0</v>
      </c>
      <c r="W46" s="223">
        <f>IF($U46=0, ,V46/$U46)</f>
        <v>0</v>
      </c>
      <c r="X46" s="221">
        <f>SUM(I46, N46, S46, I47, N47, S47)</f>
        <v>0</v>
      </c>
      <c r="Y46" s="223">
        <f>IF($U46=0, ,X46/$U46)</f>
        <v>0</v>
      </c>
      <c r="Z46" s="221">
        <f>SUM(J46, O46, T46, J47, O47, T47)</f>
        <v>0</v>
      </c>
      <c r="AA46" s="223">
        <f>IF($U46=0, ,Z46/$U46)</f>
        <v>0</v>
      </c>
      <c r="AB46" s="247" t="s">
        <v>87</v>
      </c>
    </row>
    <row r="47" spans="1:28" ht="12.75" customHeight="1" x14ac:dyDescent="0.2">
      <c r="A47" s="242"/>
      <c r="B47" s="274"/>
      <c r="C47" s="9"/>
      <c r="D47" s="9"/>
      <c r="E47" s="220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22"/>
      <c r="V47" s="222"/>
      <c r="W47" s="224"/>
      <c r="X47" s="222"/>
      <c r="Y47" s="224"/>
      <c r="Z47" s="222"/>
      <c r="AA47" s="224"/>
      <c r="AB47" s="248"/>
    </row>
    <row r="48" spans="1:28" ht="12.75" customHeight="1" x14ac:dyDescent="0.2">
      <c r="A48" s="242"/>
      <c r="B48" s="245" t="s">
        <v>22</v>
      </c>
      <c r="C48" s="11"/>
      <c r="D48" s="11"/>
      <c r="E48" s="251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38">
        <f>SUM(F48, K48, P48, F49, K49, P49)</f>
        <v>0</v>
      </c>
      <c r="V48" s="238">
        <f>SUM(H48, M48, R48, H49, M49, R49)</f>
        <v>0</v>
      </c>
      <c r="W48" s="213">
        <f>IF($U48=0, ,V48/$U48)</f>
        <v>0</v>
      </c>
      <c r="X48" s="238">
        <f>SUM(I48, N48, S48, I49, N49, S49)</f>
        <v>0</v>
      </c>
      <c r="Y48" s="213">
        <f>IF($U48=0, ,X48/$U48)</f>
        <v>0</v>
      </c>
      <c r="Z48" s="238">
        <f>SUM(J48, O48, T48, J49, O49, T49)</f>
        <v>0</v>
      </c>
      <c r="AA48" s="213">
        <f>IF($U48=0, ,Z48/$U48)</f>
        <v>0</v>
      </c>
      <c r="AB48" s="232" t="s">
        <v>87</v>
      </c>
    </row>
    <row r="49" spans="1:28" ht="12.75" customHeight="1" x14ac:dyDescent="0.2">
      <c r="A49" s="242"/>
      <c r="B49" s="246"/>
      <c r="C49" s="11"/>
      <c r="D49" s="11"/>
      <c r="E49" s="252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39"/>
      <c r="V49" s="239"/>
      <c r="W49" s="214"/>
      <c r="X49" s="239"/>
      <c r="Y49" s="214"/>
      <c r="Z49" s="239"/>
      <c r="AA49" s="214"/>
      <c r="AB49" s="233"/>
    </row>
    <row r="50" spans="1:28" ht="13.5" customHeight="1" thickBot="1" x14ac:dyDescent="0.25">
      <c r="A50" s="242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42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42"/>
      <c r="B52" s="243" t="s">
        <v>35</v>
      </c>
      <c r="C52" s="244" t="s">
        <v>25</v>
      </c>
      <c r="D52" s="244" t="s">
        <v>28</v>
      </c>
      <c r="E52" s="225" t="s">
        <v>12</v>
      </c>
      <c r="F52" s="269" t="s">
        <v>13</v>
      </c>
      <c r="G52" s="269"/>
      <c r="H52" s="269"/>
      <c r="I52" s="269" t="s">
        <v>14</v>
      </c>
      <c r="J52" s="269"/>
      <c r="K52" s="269"/>
      <c r="L52" s="269" t="s">
        <v>15</v>
      </c>
      <c r="M52" s="269"/>
      <c r="N52" s="269"/>
      <c r="O52" s="229" t="s">
        <v>34</v>
      </c>
      <c r="P52" s="229" t="s">
        <v>48</v>
      </c>
      <c r="Q52" s="229" t="s">
        <v>60</v>
      </c>
      <c r="R52" s="229" t="s">
        <v>49</v>
      </c>
      <c r="S52" s="229" t="s">
        <v>61</v>
      </c>
      <c r="T52" s="265" t="s">
        <v>79</v>
      </c>
      <c r="U52" s="265"/>
      <c r="V52" s="265"/>
      <c r="W52" s="265"/>
      <c r="X52" s="265"/>
      <c r="Y52" s="265"/>
      <c r="Z52" s="265"/>
      <c r="AA52" s="265"/>
      <c r="AB52" s="266"/>
    </row>
    <row r="53" spans="1:28" ht="25.5" x14ac:dyDescent="0.2">
      <c r="A53" s="242"/>
      <c r="B53" s="243"/>
      <c r="C53" s="244"/>
      <c r="D53" s="244"/>
      <c r="E53" s="225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31"/>
      <c r="P53" s="231"/>
      <c r="Q53" s="231"/>
      <c r="R53" s="231"/>
      <c r="S53" s="231"/>
      <c r="T53" s="267"/>
      <c r="U53" s="267"/>
      <c r="V53" s="267"/>
      <c r="W53" s="267"/>
      <c r="X53" s="267"/>
      <c r="Y53" s="267"/>
      <c r="Z53" s="267"/>
      <c r="AA53" s="267"/>
      <c r="AB53" s="268"/>
    </row>
    <row r="54" spans="1:28" ht="12.75" customHeight="1" x14ac:dyDescent="0.2">
      <c r="A54" s="242"/>
      <c r="B54" s="263" t="s">
        <v>36</v>
      </c>
      <c r="C54" s="12"/>
      <c r="D54" s="12" t="s">
        <v>80</v>
      </c>
      <c r="E54" s="264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21">
        <f>SUM(F54, I54, L54, F55, I55, L55)*$O51</f>
        <v>0</v>
      </c>
      <c r="P54" s="221">
        <f>SUM(G54, J54, M54, G55, J55, M55)</f>
        <v>0</v>
      </c>
      <c r="Q54" s="223">
        <f>IF($O54=0, ,P54/$O54)</f>
        <v>0</v>
      </c>
      <c r="R54" s="221">
        <f>SUM(H54, K54, N54, H55, K55, N55)</f>
        <v>0</v>
      </c>
      <c r="S54" s="223">
        <f>IF($O54=0, ,R54/$O54)</f>
        <v>0</v>
      </c>
      <c r="T54" s="270"/>
      <c r="U54" s="270"/>
      <c r="V54" s="270"/>
      <c r="W54" s="270"/>
      <c r="X54" s="270"/>
      <c r="Y54" s="270"/>
      <c r="Z54" s="270"/>
      <c r="AA54" s="270"/>
      <c r="AB54" s="271"/>
    </row>
    <row r="55" spans="1:28" ht="12.75" customHeight="1" x14ac:dyDescent="0.2">
      <c r="A55" s="242"/>
      <c r="B55" s="263"/>
      <c r="C55" s="12"/>
      <c r="D55" s="12"/>
      <c r="E55" s="264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22"/>
      <c r="P55" s="222"/>
      <c r="Q55" s="224"/>
      <c r="R55" s="222"/>
      <c r="S55" s="224"/>
      <c r="T55" s="272"/>
      <c r="U55" s="272"/>
      <c r="V55" s="272"/>
      <c r="W55" s="272"/>
      <c r="X55" s="272"/>
      <c r="Y55" s="272"/>
      <c r="Z55" s="272"/>
      <c r="AA55" s="272"/>
      <c r="AB55" s="273"/>
    </row>
    <row r="56" spans="1:28" ht="12.75" customHeight="1" x14ac:dyDescent="0.2">
      <c r="A56" s="242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42"/>
      <c r="B57" s="276" t="s">
        <v>67</v>
      </c>
      <c r="C57" s="276"/>
      <c r="D57" s="277"/>
      <c r="E57" s="82" t="s">
        <v>68</v>
      </c>
      <c r="F57" s="261" t="s">
        <v>64</v>
      </c>
      <c r="G57" s="261"/>
      <c r="H57" s="261"/>
      <c r="I57" s="261" t="s">
        <v>76</v>
      </c>
      <c r="J57" s="261"/>
      <c r="K57" s="261"/>
      <c r="L57" s="261" t="s">
        <v>65</v>
      </c>
      <c r="M57" s="261"/>
      <c r="N57" s="261"/>
      <c r="O57" s="261" t="s">
        <v>66</v>
      </c>
      <c r="P57" s="261"/>
      <c r="Q57" s="261"/>
      <c r="R57" s="261" t="s">
        <v>73</v>
      </c>
      <c r="S57" s="261"/>
      <c r="T57" s="261"/>
      <c r="U57" s="261" t="s">
        <v>74</v>
      </c>
      <c r="V57" s="261"/>
      <c r="W57" s="261"/>
      <c r="X57" s="261" t="s">
        <v>75</v>
      </c>
      <c r="Y57" s="261"/>
      <c r="Z57" s="261"/>
      <c r="AA57" s="262"/>
      <c r="AB57" s="262"/>
    </row>
    <row r="58" spans="1:28" ht="12.75" customHeight="1" x14ac:dyDescent="0.2">
      <c r="A58" s="242"/>
      <c r="B58" s="278"/>
      <c r="C58" s="278"/>
      <c r="D58" s="279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62"/>
      <c r="AB58" s="262"/>
    </row>
    <row r="59" spans="1:28" ht="12.75" customHeight="1" x14ac:dyDescent="0.2">
      <c r="A59" s="242"/>
      <c r="B59" s="280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62"/>
      <c r="AB59" s="262"/>
    </row>
    <row r="60" spans="1:28" ht="12.75" customHeight="1" x14ac:dyDescent="0.2">
      <c r="A60" s="242"/>
      <c r="B60" s="280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62"/>
      <c r="AB60" s="262"/>
    </row>
    <row r="61" spans="1:28" ht="12.75" customHeight="1" x14ac:dyDescent="0.2">
      <c r="A61" s="242"/>
      <c r="B61" s="280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62"/>
      <c r="AB61" s="262"/>
    </row>
    <row r="62" spans="1:28" ht="12.75" customHeight="1" x14ac:dyDescent="0.2">
      <c r="A62" s="242"/>
      <c r="B62" s="280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62"/>
      <c r="AB62" s="262"/>
    </row>
    <row r="64" spans="1:28" x14ac:dyDescent="0.2">
      <c r="A64" s="242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42"/>
      <c r="B65" s="243" t="s">
        <v>10</v>
      </c>
      <c r="C65" s="244" t="s">
        <v>25</v>
      </c>
      <c r="D65" s="244" t="s">
        <v>28</v>
      </c>
      <c r="E65" s="225" t="s">
        <v>12</v>
      </c>
      <c r="F65" s="226" t="s">
        <v>13</v>
      </c>
      <c r="G65" s="227"/>
      <c r="H65" s="227"/>
      <c r="I65" s="227"/>
      <c r="J65" s="228"/>
      <c r="K65" s="226" t="s">
        <v>14</v>
      </c>
      <c r="L65" s="227"/>
      <c r="M65" s="227"/>
      <c r="N65" s="227"/>
      <c r="O65" s="228"/>
      <c r="P65" s="226" t="s">
        <v>15</v>
      </c>
      <c r="Q65" s="227"/>
      <c r="R65" s="227"/>
      <c r="S65" s="227"/>
      <c r="T65" s="228"/>
      <c r="U65" s="275" t="s">
        <v>34</v>
      </c>
      <c r="V65" s="275" t="s">
        <v>48</v>
      </c>
      <c r="W65" s="275" t="s">
        <v>56</v>
      </c>
      <c r="X65" s="275" t="s">
        <v>54</v>
      </c>
      <c r="Y65" s="275" t="s">
        <v>57</v>
      </c>
      <c r="Z65" s="275" t="s">
        <v>55</v>
      </c>
      <c r="AA65" s="275" t="s">
        <v>58</v>
      </c>
      <c r="AB65" s="275" t="s">
        <v>38</v>
      </c>
    </row>
    <row r="66" spans="1:28" ht="38.25" x14ac:dyDescent="0.2">
      <c r="A66" s="242"/>
      <c r="B66" s="243"/>
      <c r="C66" s="244"/>
      <c r="D66" s="244"/>
      <c r="E66" s="225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75"/>
      <c r="V66" s="275"/>
      <c r="W66" s="275"/>
      <c r="X66" s="275"/>
      <c r="Y66" s="275"/>
      <c r="Z66" s="275"/>
      <c r="AA66" s="275"/>
      <c r="AB66" s="275"/>
    </row>
    <row r="67" spans="1:28" x14ac:dyDescent="0.2">
      <c r="A67" s="242"/>
      <c r="B67" s="255" t="s">
        <v>17</v>
      </c>
      <c r="C67" s="12"/>
      <c r="D67" s="12"/>
      <c r="E67" s="257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21">
        <f>SUM(F67, K67, P67, F68, K68, P68)</f>
        <v>0</v>
      </c>
      <c r="V67" s="221">
        <f>SUM(H67, M67, R67, H68, M68, R68)</f>
        <v>0</v>
      </c>
      <c r="W67" s="223">
        <f>IF($U67=0, ,V67/$U67)</f>
        <v>0</v>
      </c>
      <c r="X67" s="221">
        <f>SUM(I67, N67, S67, I68, N68, S68)</f>
        <v>0</v>
      </c>
      <c r="Y67" s="223">
        <f>IF($U67=0, ,X67/$U67)</f>
        <v>0</v>
      </c>
      <c r="Z67" s="221">
        <f>SUM(J67, O67, T67, J68, O68, T68)</f>
        <v>0</v>
      </c>
      <c r="AA67" s="223">
        <f>IF($U67=0, ,Z67/$U67)</f>
        <v>0</v>
      </c>
      <c r="AB67" s="247" t="s">
        <v>87</v>
      </c>
    </row>
    <row r="68" spans="1:28" x14ac:dyDescent="0.2">
      <c r="A68" s="242"/>
      <c r="B68" s="274"/>
      <c r="C68" s="12"/>
      <c r="D68" s="12"/>
      <c r="E68" s="259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22"/>
      <c r="V68" s="222"/>
      <c r="W68" s="224"/>
      <c r="X68" s="222"/>
      <c r="Y68" s="224"/>
      <c r="Z68" s="222"/>
      <c r="AA68" s="224"/>
      <c r="AB68" s="248"/>
    </row>
    <row r="69" spans="1:28" x14ac:dyDescent="0.2">
      <c r="A69" s="242"/>
      <c r="B69" s="245" t="s">
        <v>18</v>
      </c>
      <c r="C69" s="10"/>
      <c r="D69" s="10"/>
      <c r="E69" s="234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38">
        <f>SUM(F69, K69, P69, F70, K70, P70)</f>
        <v>0</v>
      </c>
      <c r="V69" s="238">
        <f>SUM(H69, M69, R69, H70, M70, R70)</f>
        <v>0</v>
      </c>
      <c r="W69" s="213">
        <f>IF($U69=0, ,V69/$U69)</f>
        <v>0</v>
      </c>
      <c r="X69" s="238">
        <f>SUM(I69, N69, S69, I70, N70, S70)</f>
        <v>0</v>
      </c>
      <c r="Y69" s="213">
        <f>IF($U69=0, ,X69/$U69)</f>
        <v>0</v>
      </c>
      <c r="Z69" s="238">
        <f>SUM(J69, O69, T69, J70, O70, T70)</f>
        <v>0</v>
      </c>
      <c r="AA69" s="213">
        <f>IF($U69=0, ,Z69/$U69)</f>
        <v>0</v>
      </c>
      <c r="AB69" s="232" t="s">
        <v>87</v>
      </c>
    </row>
    <row r="70" spans="1:28" x14ac:dyDescent="0.2">
      <c r="A70" s="242"/>
      <c r="B70" s="246"/>
      <c r="C70" s="10"/>
      <c r="D70" s="10"/>
      <c r="E70" s="235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39"/>
      <c r="V70" s="239"/>
      <c r="W70" s="214"/>
      <c r="X70" s="239"/>
      <c r="Y70" s="214"/>
      <c r="Z70" s="239"/>
      <c r="AA70" s="214"/>
      <c r="AB70" s="233"/>
    </row>
    <row r="71" spans="1:28" x14ac:dyDescent="0.2">
      <c r="A71" s="242"/>
      <c r="B71" s="255" t="s">
        <v>19</v>
      </c>
      <c r="C71" s="9"/>
      <c r="D71" s="9"/>
      <c r="E71" s="219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21">
        <f>SUM(F71, K71, P71, F72, K72, P72)</f>
        <v>0</v>
      </c>
      <c r="V71" s="221">
        <f>SUM(H71, M71, R71, H72, M72, R72)</f>
        <v>0</v>
      </c>
      <c r="W71" s="223">
        <f>IF($U71=0, ,V71/$U71)</f>
        <v>0</v>
      </c>
      <c r="X71" s="221">
        <f>SUM(I71, N71, S71, I72, N72, S72)</f>
        <v>0</v>
      </c>
      <c r="Y71" s="223">
        <f>IF($U71=0, ,X71/$U71)</f>
        <v>0</v>
      </c>
      <c r="Z71" s="221">
        <f>SUM(J71, O71, T71, J72, O72, T72)</f>
        <v>0</v>
      </c>
      <c r="AA71" s="223">
        <f>IF($U71=0, ,Z71/$U71)</f>
        <v>0</v>
      </c>
      <c r="AB71" s="247" t="s">
        <v>87</v>
      </c>
    </row>
    <row r="72" spans="1:28" x14ac:dyDescent="0.2">
      <c r="A72" s="242"/>
      <c r="B72" s="274"/>
      <c r="C72" s="9"/>
      <c r="D72" s="9"/>
      <c r="E72" s="220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22"/>
      <c r="V72" s="222"/>
      <c r="W72" s="224"/>
      <c r="X72" s="222"/>
      <c r="Y72" s="224"/>
      <c r="Z72" s="222"/>
      <c r="AA72" s="224"/>
      <c r="AB72" s="248"/>
    </row>
    <row r="73" spans="1:28" x14ac:dyDescent="0.2">
      <c r="A73" s="242"/>
      <c r="B73" s="245" t="s">
        <v>20</v>
      </c>
      <c r="C73" s="10"/>
      <c r="D73" s="10"/>
      <c r="E73" s="234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38">
        <f>SUM(F73, K73, P73, F74, K74, P74)</f>
        <v>0</v>
      </c>
      <c r="V73" s="238">
        <f>SUM(H73, M73, R73, H74, M74, R74)</f>
        <v>0</v>
      </c>
      <c r="W73" s="213">
        <f>IF($U73=0, ,V73/$U73)</f>
        <v>0</v>
      </c>
      <c r="X73" s="238">
        <f>SUM(I73, N73, S73, I74, N74, S74)</f>
        <v>0</v>
      </c>
      <c r="Y73" s="213">
        <f>IF($U73=0, ,X73/$U73)</f>
        <v>0</v>
      </c>
      <c r="Z73" s="238">
        <f>SUM(J73, O73, T73, J74, O74, T74)</f>
        <v>0</v>
      </c>
      <c r="AA73" s="213">
        <f>IF($U73=0, ,Z73/$U73)</f>
        <v>0</v>
      </c>
      <c r="AB73" s="232" t="s">
        <v>87</v>
      </c>
    </row>
    <row r="74" spans="1:28" x14ac:dyDescent="0.2">
      <c r="A74" s="242"/>
      <c r="B74" s="246"/>
      <c r="C74" s="10"/>
      <c r="D74" s="10"/>
      <c r="E74" s="235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39"/>
      <c r="V74" s="239"/>
      <c r="W74" s="214"/>
      <c r="X74" s="239"/>
      <c r="Y74" s="214"/>
      <c r="Z74" s="239"/>
      <c r="AA74" s="214"/>
      <c r="AB74" s="233"/>
    </row>
    <row r="75" spans="1:28" x14ac:dyDescent="0.2">
      <c r="A75" s="242"/>
      <c r="B75" s="255" t="s">
        <v>21</v>
      </c>
      <c r="C75" s="9"/>
      <c r="D75" s="9"/>
      <c r="E75" s="219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21">
        <f>SUM(F75, K75, P75, F76, K76, P76)</f>
        <v>0</v>
      </c>
      <c r="V75" s="221">
        <f>SUM(H75, M75, R75, H76, M76, R76)</f>
        <v>0</v>
      </c>
      <c r="W75" s="223">
        <f>IF($U75=0, ,V75/$U75)</f>
        <v>0</v>
      </c>
      <c r="X75" s="221">
        <f>SUM(I75, N75, S75, I76, N76, S76)</f>
        <v>0</v>
      </c>
      <c r="Y75" s="223">
        <f>IF($U75=0, ,X75/$U75)</f>
        <v>0</v>
      </c>
      <c r="Z75" s="221">
        <f>SUM(J75, O75, T75, J76, O76, T76)</f>
        <v>0</v>
      </c>
      <c r="AA75" s="223">
        <f>IF($U75=0, ,Z75/$U75)</f>
        <v>0</v>
      </c>
      <c r="AB75" s="247" t="s">
        <v>87</v>
      </c>
    </row>
    <row r="76" spans="1:28" x14ac:dyDescent="0.2">
      <c r="A76" s="242"/>
      <c r="B76" s="274"/>
      <c r="C76" s="9"/>
      <c r="D76" s="9"/>
      <c r="E76" s="220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22"/>
      <c r="V76" s="222"/>
      <c r="W76" s="224"/>
      <c r="X76" s="222"/>
      <c r="Y76" s="224"/>
      <c r="Z76" s="222"/>
      <c r="AA76" s="224"/>
      <c r="AB76" s="248"/>
    </row>
    <row r="77" spans="1:28" x14ac:dyDescent="0.2">
      <c r="A77" s="242"/>
      <c r="B77" s="245" t="s">
        <v>22</v>
      </c>
      <c r="C77" s="11"/>
      <c r="D77" s="11"/>
      <c r="E77" s="251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38">
        <f>SUM(F77, K77, P77, F78, K78, P78)</f>
        <v>0</v>
      </c>
      <c r="V77" s="238">
        <f>SUM(H77, M77, R77, H78, M78, R78)</f>
        <v>0</v>
      </c>
      <c r="W77" s="213">
        <f>IF($U77=0, ,V77/$U77)</f>
        <v>0</v>
      </c>
      <c r="X77" s="238">
        <f>SUM(I77, N77, S77, I78, N78, S78)</f>
        <v>0</v>
      </c>
      <c r="Y77" s="213">
        <f>IF($U77=0, ,X77/$U77)</f>
        <v>0</v>
      </c>
      <c r="Z77" s="238">
        <f>SUM(J77, O77, T77, J78, O78, T78)</f>
        <v>0</v>
      </c>
      <c r="AA77" s="213">
        <f>IF($U77=0, ,Z77/$U77)</f>
        <v>0</v>
      </c>
      <c r="AB77" s="232" t="s">
        <v>87</v>
      </c>
    </row>
    <row r="78" spans="1:28" x14ac:dyDescent="0.2">
      <c r="A78" s="242"/>
      <c r="B78" s="246"/>
      <c r="C78" s="11"/>
      <c r="D78" s="11"/>
      <c r="E78" s="252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39"/>
      <c r="V78" s="239"/>
      <c r="W78" s="214"/>
      <c r="X78" s="239"/>
      <c r="Y78" s="214"/>
      <c r="Z78" s="239"/>
      <c r="AA78" s="214"/>
      <c r="AB78" s="233"/>
    </row>
    <row r="79" spans="1:28" ht="13.5" thickBot="1" x14ac:dyDescent="0.25">
      <c r="A79" s="242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42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42"/>
      <c r="B81" s="243" t="s">
        <v>35</v>
      </c>
      <c r="C81" s="244" t="s">
        <v>25</v>
      </c>
      <c r="D81" s="244" t="s">
        <v>28</v>
      </c>
      <c r="E81" s="225" t="s">
        <v>12</v>
      </c>
      <c r="F81" s="269" t="s">
        <v>13</v>
      </c>
      <c r="G81" s="269"/>
      <c r="H81" s="269"/>
      <c r="I81" s="269" t="s">
        <v>14</v>
      </c>
      <c r="J81" s="269"/>
      <c r="K81" s="269"/>
      <c r="L81" s="269" t="s">
        <v>15</v>
      </c>
      <c r="M81" s="269"/>
      <c r="N81" s="269"/>
      <c r="O81" s="229" t="s">
        <v>34</v>
      </c>
      <c r="P81" s="229" t="s">
        <v>48</v>
      </c>
      <c r="Q81" s="229" t="s">
        <v>60</v>
      </c>
      <c r="R81" s="229" t="s">
        <v>49</v>
      </c>
      <c r="S81" s="229" t="s">
        <v>61</v>
      </c>
      <c r="T81" s="265" t="s">
        <v>79</v>
      </c>
      <c r="U81" s="265"/>
      <c r="V81" s="265"/>
      <c r="W81" s="265"/>
      <c r="X81" s="265"/>
      <c r="Y81" s="265"/>
      <c r="Z81" s="265"/>
      <c r="AA81" s="265"/>
      <c r="AB81" s="266"/>
    </row>
    <row r="82" spans="1:28" ht="25.5" x14ac:dyDescent="0.2">
      <c r="A82" s="242"/>
      <c r="B82" s="243"/>
      <c r="C82" s="244"/>
      <c r="D82" s="244"/>
      <c r="E82" s="225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31"/>
      <c r="P82" s="231"/>
      <c r="Q82" s="231"/>
      <c r="R82" s="231"/>
      <c r="S82" s="231"/>
      <c r="T82" s="267"/>
      <c r="U82" s="267"/>
      <c r="V82" s="267"/>
      <c r="W82" s="267"/>
      <c r="X82" s="267"/>
      <c r="Y82" s="267"/>
      <c r="Z82" s="267"/>
      <c r="AA82" s="267"/>
      <c r="AB82" s="268"/>
    </row>
    <row r="83" spans="1:28" x14ac:dyDescent="0.2">
      <c r="A83" s="242"/>
      <c r="B83" s="263" t="s">
        <v>36</v>
      </c>
      <c r="C83" s="12"/>
      <c r="D83" s="12" t="s">
        <v>80</v>
      </c>
      <c r="E83" s="264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21">
        <f>SUM(F83, I83, L83, F84, I84, L84)*$O80</f>
        <v>0</v>
      </c>
      <c r="P83" s="221">
        <f>SUM(G83, J83, M83, G84, J84, M84)</f>
        <v>0</v>
      </c>
      <c r="Q83" s="223">
        <f>IF($O83=0, ,P83/$O83)</f>
        <v>0</v>
      </c>
      <c r="R83" s="221">
        <f>SUM(H83, K83, N83, H84, K84, N84)</f>
        <v>0</v>
      </c>
      <c r="S83" s="223">
        <f>IF($O83=0, ,R83/$O83)</f>
        <v>0</v>
      </c>
      <c r="T83" s="270"/>
      <c r="U83" s="270"/>
      <c r="V83" s="270"/>
      <c r="W83" s="270"/>
      <c r="X83" s="270"/>
      <c r="Y83" s="270"/>
      <c r="Z83" s="270"/>
      <c r="AA83" s="270"/>
      <c r="AB83" s="271"/>
    </row>
    <row r="84" spans="1:28" x14ac:dyDescent="0.2">
      <c r="A84" s="242"/>
      <c r="B84" s="263"/>
      <c r="C84" s="12"/>
      <c r="D84" s="12"/>
      <c r="E84" s="264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22"/>
      <c r="P84" s="222"/>
      <c r="Q84" s="224"/>
      <c r="R84" s="222"/>
      <c r="S84" s="224"/>
      <c r="T84" s="272"/>
      <c r="U84" s="272"/>
      <c r="V84" s="272"/>
      <c r="W84" s="272"/>
      <c r="X84" s="272"/>
      <c r="Y84" s="272"/>
      <c r="Z84" s="272"/>
      <c r="AA84" s="272"/>
      <c r="AB84" s="273"/>
    </row>
    <row r="85" spans="1:28" x14ac:dyDescent="0.2">
      <c r="A85" s="242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42"/>
      <c r="B86" s="276" t="s">
        <v>67</v>
      </c>
      <c r="C86" s="276"/>
      <c r="D86" s="277"/>
      <c r="E86" s="82" t="s">
        <v>68</v>
      </c>
      <c r="F86" s="261" t="s">
        <v>64</v>
      </c>
      <c r="G86" s="261"/>
      <c r="H86" s="261"/>
      <c r="I86" s="261" t="s">
        <v>76</v>
      </c>
      <c r="J86" s="261"/>
      <c r="K86" s="261"/>
      <c r="L86" s="261" t="s">
        <v>65</v>
      </c>
      <c r="M86" s="261"/>
      <c r="N86" s="261"/>
      <c r="O86" s="261" t="s">
        <v>66</v>
      </c>
      <c r="P86" s="261"/>
      <c r="Q86" s="261"/>
      <c r="R86" s="261" t="s">
        <v>73</v>
      </c>
      <c r="S86" s="261"/>
      <c r="T86" s="261"/>
      <c r="U86" s="261" t="s">
        <v>74</v>
      </c>
      <c r="V86" s="261"/>
      <c r="W86" s="261"/>
      <c r="X86" s="261" t="s">
        <v>75</v>
      </c>
      <c r="Y86" s="261"/>
      <c r="Z86" s="261"/>
      <c r="AA86" s="262"/>
      <c r="AB86" s="262"/>
    </row>
    <row r="87" spans="1:28" x14ac:dyDescent="0.2">
      <c r="A87" s="242"/>
      <c r="B87" s="278"/>
      <c r="C87" s="278"/>
      <c r="D87" s="279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62"/>
      <c r="AB87" s="262"/>
    </row>
    <row r="88" spans="1:28" x14ac:dyDescent="0.2">
      <c r="A88" s="242"/>
      <c r="B88" s="280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62"/>
      <c r="AB88" s="262"/>
    </row>
    <row r="89" spans="1:28" x14ac:dyDescent="0.2">
      <c r="A89" s="242"/>
      <c r="B89" s="280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62"/>
      <c r="AB89" s="262"/>
    </row>
    <row r="90" spans="1:28" x14ac:dyDescent="0.2">
      <c r="A90" s="242"/>
      <c r="B90" s="280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62"/>
      <c r="AB90" s="262"/>
    </row>
    <row r="91" spans="1:28" x14ac:dyDescent="0.2">
      <c r="A91" s="242"/>
      <c r="B91" s="280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62"/>
      <c r="AB91" s="262"/>
    </row>
    <row r="93" spans="1:28" x14ac:dyDescent="0.2">
      <c r="A93" s="242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42"/>
      <c r="B94" s="243" t="s">
        <v>10</v>
      </c>
      <c r="C94" s="244" t="s">
        <v>25</v>
      </c>
      <c r="D94" s="244" t="s">
        <v>28</v>
      </c>
      <c r="E94" s="225" t="s">
        <v>12</v>
      </c>
      <c r="F94" s="226" t="s">
        <v>13</v>
      </c>
      <c r="G94" s="227"/>
      <c r="H94" s="227"/>
      <c r="I94" s="227"/>
      <c r="J94" s="228"/>
      <c r="K94" s="226" t="s">
        <v>14</v>
      </c>
      <c r="L94" s="227"/>
      <c r="M94" s="227"/>
      <c r="N94" s="227"/>
      <c r="O94" s="228"/>
      <c r="P94" s="226" t="s">
        <v>15</v>
      </c>
      <c r="Q94" s="227"/>
      <c r="R94" s="227"/>
      <c r="S94" s="227"/>
      <c r="T94" s="228"/>
      <c r="U94" s="275" t="s">
        <v>34</v>
      </c>
      <c r="V94" s="275" t="s">
        <v>48</v>
      </c>
      <c r="W94" s="275" t="s">
        <v>56</v>
      </c>
      <c r="X94" s="275" t="s">
        <v>54</v>
      </c>
      <c r="Y94" s="275" t="s">
        <v>57</v>
      </c>
      <c r="Z94" s="275" t="s">
        <v>55</v>
      </c>
      <c r="AA94" s="275" t="s">
        <v>58</v>
      </c>
      <c r="AB94" s="275" t="s">
        <v>38</v>
      </c>
    </row>
    <row r="95" spans="1:28" ht="38.25" x14ac:dyDescent="0.2">
      <c r="A95" s="242"/>
      <c r="B95" s="243"/>
      <c r="C95" s="244"/>
      <c r="D95" s="244"/>
      <c r="E95" s="225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75"/>
      <c r="V95" s="275"/>
      <c r="W95" s="275"/>
      <c r="X95" s="275"/>
      <c r="Y95" s="275"/>
      <c r="Z95" s="275"/>
      <c r="AA95" s="275"/>
      <c r="AB95" s="275"/>
    </row>
    <row r="96" spans="1:28" x14ac:dyDescent="0.2">
      <c r="A96" s="242"/>
      <c r="B96" s="255" t="s">
        <v>17</v>
      </c>
      <c r="C96" s="12"/>
      <c r="D96" s="12"/>
      <c r="E96" s="257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21">
        <f>SUM(F96, K96, P96, F97, K97, P97)</f>
        <v>0</v>
      </c>
      <c r="V96" s="221">
        <f>SUM(H96, M96, R96, H97, M97, R97)</f>
        <v>0</v>
      </c>
      <c r="W96" s="223">
        <f>IF($U96=0, ,V96/$U96)</f>
        <v>0</v>
      </c>
      <c r="X96" s="221">
        <f>SUM(I96, N96, S96, I97, N97, S97)</f>
        <v>0</v>
      </c>
      <c r="Y96" s="223">
        <f>IF($U96=0, ,X96/$U96)</f>
        <v>0</v>
      </c>
      <c r="Z96" s="221">
        <f>SUM(J96, O96, T96, J97, O97, T97)</f>
        <v>0</v>
      </c>
      <c r="AA96" s="223">
        <f>IF($U96=0, ,Z96/$U96)</f>
        <v>0</v>
      </c>
      <c r="AB96" s="247" t="s">
        <v>87</v>
      </c>
    </row>
    <row r="97" spans="1:28" x14ac:dyDescent="0.2">
      <c r="A97" s="242"/>
      <c r="B97" s="274"/>
      <c r="C97" s="12"/>
      <c r="D97" s="12"/>
      <c r="E97" s="259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22"/>
      <c r="V97" s="222"/>
      <c r="W97" s="224"/>
      <c r="X97" s="222"/>
      <c r="Y97" s="224"/>
      <c r="Z97" s="222"/>
      <c r="AA97" s="224"/>
      <c r="AB97" s="248"/>
    </row>
    <row r="98" spans="1:28" x14ac:dyDescent="0.2">
      <c r="A98" s="242"/>
      <c r="B98" s="245" t="s">
        <v>18</v>
      </c>
      <c r="C98" s="10"/>
      <c r="D98" s="10"/>
      <c r="E98" s="234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38">
        <f>SUM(F98, K98, P98, F99, K99, P99)</f>
        <v>0</v>
      </c>
      <c r="V98" s="238">
        <f>SUM(H98, M98, R98, H99, M99, R99)</f>
        <v>0</v>
      </c>
      <c r="W98" s="213">
        <f>IF($U98=0, ,V98/$U98)</f>
        <v>0</v>
      </c>
      <c r="X98" s="238">
        <f>SUM(I98, N98, S98, I99, N99, S99)</f>
        <v>0</v>
      </c>
      <c r="Y98" s="213">
        <f>IF($U98=0, ,X98/$U98)</f>
        <v>0</v>
      </c>
      <c r="Z98" s="238">
        <f>SUM(J98, O98, T98, J99, O99, T99)</f>
        <v>0</v>
      </c>
      <c r="AA98" s="213">
        <f>IF($U98=0, ,Z98/$U98)</f>
        <v>0</v>
      </c>
      <c r="AB98" s="232" t="s">
        <v>87</v>
      </c>
    </row>
    <row r="99" spans="1:28" x14ac:dyDescent="0.2">
      <c r="A99" s="242"/>
      <c r="B99" s="246"/>
      <c r="C99" s="10"/>
      <c r="D99" s="10"/>
      <c r="E99" s="235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39"/>
      <c r="V99" s="239"/>
      <c r="W99" s="214"/>
      <c r="X99" s="239"/>
      <c r="Y99" s="214"/>
      <c r="Z99" s="239"/>
      <c r="AA99" s="214"/>
      <c r="AB99" s="233"/>
    </row>
    <row r="100" spans="1:28" x14ac:dyDescent="0.2">
      <c r="A100" s="242"/>
      <c r="B100" s="255" t="s">
        <v>19</v>
      </c>
      <c r="C100" s="9"/>
      <c r="D100" s="9"/>
      <c r="E100" s="219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21">
        <f>SUM(F100, K100, P100, F101, K101, P101)</f>
        <v>0</v>
      </c>
      <c r="V100" s="221">
        <f>SUM(H100, M100, R100, H101, M101, R101)</f>
        <v>0</v>
      </c>
      <c r="W100" s="223">
        <f>IF($U100=0, ,V100/$U100)</f>
        <v>0</v>
      </c>
      <c r="X100" s="221">
        <f>SUM(I100, N100, S100, I101, N101, S101)</f>
        <v>0</v>
      </c>
      <c r="Y100" s="223">
        <f>IF($U100=0, ,X100/$U100)</f>
        <v>0</v>
      </c>
      <c r="Z100" s="221">
        <f>SUM(J100, O100, T100, J101, O101, T101)</f>
        <v>0</v>
      </c>
      <c r="AA100" s="223">
        <f>IF($U100=0, ,Z100/$U100)</f>
        <v>0</v>
      </c>
      <c r="AB100" s="247" t="s">
        <v>87</v>
      </c>
    </row>
    <row r="101" spans="1:28" x14ac:dyDescent="0.2">
      <c r="A101" s="242"/>
      <c r="B101" s="274"/>
      <c r="C101" s="9"/>
      <c r="D101" s="9"/>
      <c r="E101" s="220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22"/>
      <c r="V101" s="222"/>
      <c r="W101" s="224"/>
      <c r="X101" s="222"/>
      <c r="Y101" s="224"/>
      <c r="Z101" s="222"/>
      <c r="AA101" s="224"/>
      <c r="AB101" s="248"/>
    </row>
    <row r="102" spans="1:28" x14ac:dyDescent="0.2">
      <c r="A102" s="242"/>
      <c r="B102" s="245" t="s">
        <v>20</v>
      </c>
      <c r="C102" s="10"/>
      <c r="D102" s="10"/>
      <c r="E102" s="234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38">
        <f>SUM(F102, K102, P102, F103, K103, P103)</f>
        <v>0</v>
      </c>
      <c r="V102" s="238">
        <f>SUM(H102, M102, R102, H103, M103, R103)</f>
        <v>0</v>
      </c>
      <c r="W102" s="213">
        <f>IF($U102=0, ,V102/$U102)</f>
        <v>0</v>
      </c>
      <c r="X102" s="238">
        <f>SUM(I102, N102, S102, I103, N103, S103)</f>
        <v>0</v>
      </c>
      <c r="Y102" s="213">
        <f>IF($U102=0, ,X102/$U102)</f>
        <v>0</v>
      </c>
      <c r="Z102" s="238">
        <f>SUM(J102, O102, T102, J103, O103, T103)</f>
        <v>0</v>
      </c>
      <c r="AA102" s="213">
        <f>IF($U102=0, ,Z102/$U102)</f>
        <v>0</v>
      </c>
      <c r="AB102" s="232" t="s">
        <v>87</v>
      </c>
    </row>
    <row r="103" spans="1:28" x14ac:dyDescent="0.2">
      <c r="A103" s="242"/>
      <c r="B103" s="246"/>
      <c r="C103" s="10"/>
      <c r="D103" s="10"/>
      <c r="E103" s="235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39"/>
      <c r="V103" s="239"/>
      <c r="W103" s="214"/>
      <c r="X103" s="239"/>
      <c r="Y103" s="214"/>
      <c r="Z103" s="239"/>
      <c r="AA103" s="214"/>
      <c r="AB103" s="233"/>
    </row>
    <row r="104" spans="1:28" x14ac:dyDescent="0.2">
      <c r="A104" s="242"/>
      <c r="B104" s="255" t="s">
        <v>21</v>
      </c>
      <c r="C104" s="9"/>
      <c r="D104" s="9"/>
      <c r="E104" s="219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21">
        <f>SUM(F104, K104, P104, F105, K105, P105)</f>
        <v>0</v>
      </c>
      <c r="V104" s="221">
        <f>SUM(H104, M104, R104, H105, M105, R105)</f>
        <v>0</v>
      </c>
      <c r="W104" s="223">
        <f>IF($U104=0, ,V104/$U104)</f>
        <v>0</v>
      </c>
      <c r="X104" s="221">
        <f>SUM(I104, N104, S104, I105, N105, S105)</f>
        <v>0</v>
      </c>
      <c r="Y104" s="223">
        <f>IF($U104=0, ,X104/$U104)</f>
        <v>0</v>
      </c>
      <c r="Z104" s="221">
        <f>SUM(J104, O104, T104, J105, O105, T105)</f>
        <v>0</v>
      </c>
      <c r="AA104" s="223">
        <f>IF($U104=0, ,Z104/$U104)</f>
        <v>0</v>
      </c>
      <c r="AB104" s="247" t="s">
        <v>87</v>
      </c>
    </row>
    <row r="105" spans="1:28" x14ac:dyDescent="0.2">
      <c r="A105" s="242"/>
      <c r="B105" s="274"/>
      <c r="C105" s="9"/>
      <c r="D105" s="9"/>
      <c r="E105" s="220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22"/>
      <c r="V105" s="222"/>
      <c r="W105" s="224"/>
      <c r="X105" s="222"/>
      <c r="Y105" s="224"/>
      <c r="Z105" s="222"/>
      <c r="AA105" s="224"/>
      <c r="AB105" s="248"/>
    </row>
    <row r="106" spans="1:28" x14ac:dyDescent="0.2">
      <c r="A106" s="242"/>
      <c r="B106" s="245" t="s">
        <v>22</v>
      </c>
      <c r="C106" s="11"/>
      <c r="D106" s="11"/>
      <c r="E106" s="251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38">
        <f>SUM(F106, K106, P106, F107, K107, P107)</f>
        <v>0</v>
      </c>
      <c r="V106" s="238">
        <f>SUM(H106, M106, R106, H107, M107, R107)</f>
        <v>0</v>
      </c>
      <c r="W106" s="213">
        <f>IF($U106=0, ,V106/$U106)</f>
        <v>0</v>
      </c>
      <c r="X106" s="238">
        <f>SUM(I106, N106, S106, I107, N107, S107)</f>
        <v>0</v>
      </c>
      <c r="Y106" s="213">
        <f>IF($U106=0, ,X106/$U106)</f>
        <v>0</v>
      </c>
      <c r="Z106" s="238">
        <f>SUM(J106, O106, T106, J107, O107, T107)</f>
        <v>0</v>
      </c>
      <c r="AA106" s="213">
        <f>IF($U106=0, ,Z106/$U106)</f>
        <v>0</v>
      </c>
      <c r="AB106" s="232" t="s">
        <v>87</v>
      </c>
    </row>
    <row r="107" spans="1:28" x14ac:dyDescent="0.2">
      <c r="A107" s="242"/>
      <c r="B107" s="246"/>
      <c r="C107" s="11"/>
      <c r="D107" s="11"/>
      <c r="E107" s="252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39"/>
      <c r="V107" s="239"/>
      <c r="W107" s="214"/>
      <c r="X107" s="239"/>
      <c r="Y107" s="214"/>
      <c r="Z107" s="239"/>
      <c r="AA107" s="214"/>
      <c r="AB107" s="233"/>
    </row>
    <row r="108" spans="1:28" ht="13.5" thickBot="1" x14ac:dyDescent="0.25">
      <c r="A108" s="242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42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42"/>
      <c r="B110" s="243" t="s">
        <v>35</v>
      </c>
      <c r="C110" s="244" t="s">
        <v>25</v>
      </c>
      <c r="D110" s="244" t="s">
        <v>28</v>
      </c>
      <c r="E110" s="225" t="s">
        <v>12</v>
      </c>
      <c r="F110" s="269" t="s">
        <v>13</v>
      </c>
      <c r="G110" s="269"/>
      <c r="H110" s="269"/>
      <c r="I110" s="269" t="s">
        <v>14</v>
      </c>
      <c r="J110" s="269"/>
      <c r="K110" s="269"/>
      <c r="L110" s="269" t="s">
        <v>15</v>
      </c>
      <c r="M110" s="269"/>
      <c r="N110" s="269"/>
      <c r="O110" s="229" t="s">
        <v>34</v>
      </c>
      <c r="P110" s="229" t="s">
        <v>48</v>
      </c>
      <c r="Q110" s="229" t="s">
        <v>60</v>
      </c>
      <c r="R110" s="229" t="s">
        <v>49</v>
      </c>
      <c r="S110" s="229" t="s">
        <v>61</v>
      </c>
      <c r="T110" s="265" t="s">
        <v>79</v>
      </c>
      <c r="U110" s="265"/>
      <c r="V110" s="265"/>
      <c r="W110" s="265"/>
      <c r="X110" s="265"/>
      <c r="Y110" s="265"/>
      <c r="Z110" s="265"/>
      <c r="AA110" s="265"/>
      <c r="AB110" s="266"/>
    </row>
    <row r="111" spans="1:28" ht="25.5" x14ac:dyDescent="0.2">
      <c r="A111" s="242"/>
      <c r="B111" s="243"/>
      <c r="C111" s="244"/>
      <c r="D111" s="244"/>
      <c r="E111" s="225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31"/>
      <c r="P111" s="231"/>
      <c r="Q111" s="231"/>
      <c r="R111" s="231"/>
      <c r="S111" s="231"/>
      <c r="T111" s="267"/>
      <c r="U111" s="267"/>
      <c r="V111" s="267"/>
      <c r="W111" s="267"/>
      <c r="X111" s="267"/>
      <c r="Y111" s="267"/>
      <c r="Z111" s="267"/>
      <c r="AA111" s="267"/>
      <c r="AB111" s="268"/>
    </row>
    <row r="112" spans="1:28" x14ac:dyDescent="0.2">
      <c r="A112" s="242"/>
      <c r="B112" s="263" t="s">
        <v>36</v>
      </c>
      <c r="C112" s="12"/>
      <c r="D112" s="12" t="s">
        <v>80</v>
      </c>
      <c r="E112" s="264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21">
        <f>SUM(F112, I112, L112, F113, I113, L113)*$O109</f>
        <v>0</v>
      </c>
      <c r="P112" s="221">
        <f>SUM(G112, J112, M112, G113, J113, M113)</f>
        <v>0</v>
      </c>
      <c r="Q112" s="223">
        <f>IF($O112=0, ,P112/$O112)</f>
        <v>0</v>
      </c>
      <c r="R112" s="221">
        <f>SUM(H112, K112, N112, H113, K113, N113)</f>
        <v>0</v>
      </c>
      <c r="S112" s="223">
        <f>IF($O112=0, ,R112/$O112)</f>
        <v>0</v>
      </c>
      <c r="T112" s="270"/>
      <c r="U112" s="270"/>
      <c r="V112" s="270"/>
      <c r="W112" s="270"/>
      <c r="X112" s="270"/>
      <c r="Y112" s="270"/>
      <c r="Z112" s="270"/>
      <c r="AA112" s="270"/>
      <c r="AB112" s="271"/>
    </row>
    <row r="113" spans="1:28" x14ac:dyDescent="0.2">
      <c r="A113" s="242"/>
      <c r="B113" s="263"/>
      <c r="C113" s="12"/>
      <c r="D113" s="12"/>
      <c r="E113" s="264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22"/>
      <c r="P113" s="222"/>
      <c r="Q113" s="224"/>
      <c r="R113" s="222"/>
      <c r="S113" s="224"/>
      <c r="T113" s="272"/>
      <c r="U113" s="272"/>
      <c r="V113" s="272"/>
      <c r="W113" s="272"/>
      <c r="X113" s="272"/>
      <c r="Y113" s="272"/>
      <c r="Z113" s="272"/>
      <c r="AA113" s="272"/>
      <c r="AB113" s="273"/>
    </row>
    <row r="114" spans="1:28" x14ac:dyDescent="0.2">
      <c r="A114" s="242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42"/>
      <c r="B115" s="276" t="s">
        <v>67</v>
      </c>
      <c r="C115" s="276"/>
      <c r="D115" s="277"/>
      <c r="E115" s="82" t="s">
        <v>68</v>
      </c>
      <c r="F115" s="261" t="s">
        <v>64</v>
      </c>
      <c r="G115" s="261"/>
      <c r="H115" s="261"/>
      <c r="I115" s="261" t="s">
        <v>76</v>
      </c>
      <c r="J115" s="261"/>
      <c r="K115" s="261"/>
      <c r="L115" s="261" t="s">
        <v>65</v>
      </c>
      <c r="M115" s="261"/>
      <c r="N115" s="261"/>
      <c r="O115" s="261" t="s">
        <v>66</v>
      </c>
      <c r="P115" s="261"/>
      <c r="Q115" s="261"/>
      <c r="R115" s="261" t="s">
        <v>73</v>
      </c>
      <c r="S115" s="261"/>
      <c r="T115" s="261"/>
      <c r="U115" s="261" t="s">
        <v>74</v>
      </c>
      <c r="V115" s="261"/>
      <c r="W115" s="261"/>
      <c r="X115" s="261" t="s">
        <v>75</v>
      </c>
      <c r="Y115" s="261"/>
      <c r="Z115" s="261"/>
      <c r="AA115" s="262"/>
      <c r="AB115" s="262"/>
    </row>
    <row r="116" spans="1:28" x14ac:dyDescent="0.2">
      <c r="A116" s="242"/>
      <c r="B116" s="278"/>
      <c r="C116" s="278"/>
      <c r="D116" s="279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62"/>
      <c r="AB116" s="262"/>
    </row>
    <row r="117" spans="1:28" x14ac:dyDescent="0.2">
      <c r="A117" s="242"/>
      <c r="B117" s="280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62"/>
      <c r="AB117" s="262"/>
    </row>
    <row r="118" spans="1:28" x14ac:dyDescent="0.2">
      <c r="A118" s="242"/>
      <c r="B118" s="280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62"/>
      <c r="AB118" s="262"/>
    </row>
    <row r="119" spans="1:28" x14ac:dyDescent="0.2">
      <c r="A119" s="242"/>
      <c r="B119" s="280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62"/>
      <c r="AB119" s="262"/>
    </row>
    <row r="120" spans="1:28" x14ac:dyDescent="0.2">
      <c r="A120" s="242"/>
      <c r="B120" s="280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62"/>
      <c r="AB120" s="262"/>
    </row>
    <row r="122" spans="1:28" x14ac:dyDescent="0.2">
      <c r="A122" s="242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42"/>
      <c r="B123" s="243" t="s">
        <v>10</v>
      </c>
      <c r="C123" s="244" t="s">
        <v>25</v>
      </c>
      <c r="D123" s="244" t="s">
        <v>28</v>
      </c>
      <c r="E123" s="225" t="s">
        <v>12</v>
      </c>
      <c r="F123" s="226" t="s">
        <v>13</v>
      </c>
      <c r="G123" s="227"/>
      <c r="H123" s="227"/>
      <c r="I123" s="227"/>
      <c r="J123" s="228"/>
      <c r="K123" s="226" t="s">
        <v>14</v>
      </c>
      <c r="L123" s="227"/>
      <c r="M123" s="227"/>
      <c r="N123" s="227"/>
      <c r="O123" s="228"/>
      <c r="P123" s="226" t="s">
        <v>15</v>
      </c>
      <c r="Q123" s="227"/>
      <c r="R123" s="227"/>
      <c r="S123" s="227"/>
      <c r="T123" s="228"/>
      <c r="U123" s="275" t="s">
        <v>34</v>
      </c>
      <c r="V123" s="275" t="s">
        <v>48</v>
      </c>
      <c r="W123" s="275" t="s">
        <v>56</v>
      </c>
      <c r="X123" s="275" t="s">
        <v>54</v>
      </c>
      <c r="Y123" s="275" t="s">
        <v>57</v>
      </c>
      <c r="Z123" s="275" t="s">
        <v>55</v>
      </c>
      <c r="AA123" s="275" t="s">
        <v>58</v>
      </c>
      <c r="AB123" s="275" t="s">
        <v>38</v>
      </c>
    </row>
    <row r="124" spans="1:28" ht="38.25" x14ac:dyDescent="0.2">
      <c r="A124" s="242"/>
      <c r="B124" s="243"/>
      <c r="C124" s="244"/>
      <c r="D124" s="244"/>
      <c r="E124" s="225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75"/>
      <c r="V124" s="275"/>
      <c r="W124" s="275"/>
      <c r="X124" s="275"/>
      <c r="Y124" s="275"/>
      <c r="Z124" s="275"/>
      <c r="AA124" s="275"/>
      <c r="AB124" s="275"/>
    </row>
    <row r="125" spans="1:28" x14ac:dyDescent="0.2">
      <c r="A125" s="242"/>
      <c r="B125" s="255" t="s">
        <v>17</v>
      </c>
      <c r="C125" s="12"/>
      <c r="D125" s="12"/>
      <c r="E125" s="257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21">
        <f>SUM(F125, K125, P125, F126, K126, P126)</f>
        <v>0</v>
      </c>
      <c r="V125" s="221">
        <f>SUM(H125, M125, R125, H126, M126, R126)</f>
        <v>0</v>
      </c>
      <c r="W125" s="223">
        <f>IF($U125=0, ,V125/$U125)</f>
        <v>0</v>
      </c>
      <c r="X125" s="221">
        <f>SUM(I125, N125, S125, I126, N126, S126)</f>
        <v>0</v>
      </c>
      <c r="Y125" s="223">
        <f>IF($U125=0, ,X125/$U125)</f>
        <v>0</v>
      </c>
      <c r="Z125" s="221">
        <f>SUM(J125, O125, T125, J126, O126, T126)</f>
        <v>0</v>
      </c>
      <c r="AA125" s="223">
        <f>IF($U125=0, ,Z125/$U125)</f>
        <v>0</v>
      </c>
      <c r="AB125" s="247" t="s">
        <v>87</v>
      </c>
    </row>
    <row r="126" spans="1:28" x14ac:dyDescent="0.2">
      <c r="A126" s="242"/>
      <c r="B126" s="274"/>
      <c r="C126" s="12"/>
      <c r="D126" s="12"/>
      <c r="E126" s="259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22"/>
      <c r="V126" s="222"/>
      <c r="W126" s="224"/>
      <c r="X126" s="222"/>
      <c r="Y126" s="224"/>
      <c r="Z126" s="222"/>
      <c r="AA126" s="224"/>
      <c r="AB126" s="248"/>
    </row>
    <row r="127" spans="1:28" x14ac:dyDescent="0.2">
      <c r="A127" s="242"/>
      <c r="B127" s="245" t="s">
        <v>18</v>
      </c>
      <c r="C127" s="10"/>
      <c r="D127" s="10"/>
      <c r="E127" s="234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38">
        <f>SUM(F127, K127, P127, F128, K128, P128)</f>
        <v>0</v>
      </c>
      <c r="V127" s="238">
        <f>SUM(H127, M127, R127, H128, M128, R128)</f>
        <v>0</v>
      </c>
      <c r="W127" s="213">
        <f>IF($U127=0, ,V127/$U127)</f>
        <v>0</v>
      </c>
      <c r="X127" s="238">
        <f>SUM(I127, N127, S127, I128, N128, S128)</f>
        <v>0</v>
      </c>
      <c r="Y127" s="213">
        <f>IF($U127=0, ,X127/$U127)</f>
        <v>0</v>
      </c>
      <c r="Z127" s="238">
        <f>SUM(J127, O127, T127, J128, O128, T128)</f>
        <v>0</v>
      </c>
      <c r="AA127" s="213">
        <f>IF($U127=0, ,Z127/$U127)</f>
        <v>0</v>
      </c>
      <c r="AB127" s="232" t="s">
        <v>87</v>
      </c>
    </row>
    <row r="128" spans="1:28" x14ac:dyDescent="0.2">
      <c r="A128" s="242"/>
      <c r="B128" s="246"/>
      <c r="C128" s="10"/>
      <c r="D128" s="10"/>
      <c r="E128" s="235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39"/>
      <c r="V128" s="239"/>
      <c r="W128" s="214"/>
      <c r="X128" s="239"/>
      <c r="Y128" s="214"/>
      <c r="Z128" s="239"/>
      <c r="AA128" s="214"/>
      <c r="AB128" s="233"/>
    </row>
    <row r="129" spans="1:28" x14ac:dyDescent="0.2">
      <c r="A129" s="242"/>
      <c r="B129" s="255" t="s">
        <v>19</v>
      </c>
      <c r="C129" s="9"/>
      <c r="D129" s="9"/>
      <c r="E129" s="219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21">
        <f>SUM(F129, K129, P129, F130, K130, P130)</f>
        <v>0</v>
      </c>
      <c r="V129" s="221">
        <f>SUM(H129, M129, R129, H130, M130, R130)</f>
        <v>0</v>
      </c>
      <c r="W129" s="223">
        <f>IF($U129=0, ,V129/$U129)</f>
        <v>0</v>
      </c>
      <c r="X129" s="221">
        <f>SUM(I129, N129, S129, I130, N130, S130)</f>
        <v>0</v>
      </c>
      <c r="Y129" s="223">
        <f>IF($U129=0, ,X129/$U129)</f>
        <v>0</v>
      </c>
      <c r="Z129" s="221">
        <f>SUM(J129, O129, T129, J130, O130, T130)</f>
        <v>0</v>
      </c>
      <c r="AA129" s="223">
        <f>IF($U129=0, ,Z129/$U129)</f>
        <v>0</v>
      </c>
      <c r="AB129" s="247" t="s">
        <v>87</v>
      </c>
    </row>
    <row r="130" spans="1:28" x14ac:dyDescent="0.2">
      <c r="A130" s="242"/>
      <c r="B130" s="274"/>
      <c r="C130" s="9"/>
      <c r="D130" s="9"/>
      <c r="E130" s="220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22"/>
      <c r="V130" s="222"/>
      <c r="W130" s="224"/>
      <c r="X130" s="222"/>
      <c r="Y130" s="224"/>
      <c r="Z130" s="222"/>
      <c r="AA130" s="224"/>
      <c r="AB130" s="248"/>
    </row>
    <row r="131" spans="1:28" x14ac:dyDescent="0.2">
      <c r="A131" s="242"/>
      <c r="B131" s="245" t="s">
        <v>20</v>
      </c>
      <c r="C131" s="10"/>
      <c r="D131" s="10"/>
      <c r="E131" s="234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38">
        <f>SUM(F131, K131, P131, F132, K132, P132)</f>
        <v>0</v>
      </c>
      <c r="V131" s="238">
        <f>SUM(H131, M131, R131, H132, M132, R132)</f>
        <v>0</v>
      </c>
      <c r="W131" s="213">
        <f>IF($U131=0, ,V131/$U131)</f>
        <v>0</v>
      </c>
      <c r="X131" s="238">
        <f>SUM(I131, N131, S131, I132, N132, S132)</f>
        <v>0</v>
      </c>
      <c r="Y131" s="213">
        <f>IF($U131=0, ,X131/$U131)</f>
        <v>0</v>
      </c>
      <c r="Z131" s="238">
        <f>SUM(J131, O131, T131, J132, O132, T132)</f>
        <v>0</v>
      </c>
      <c r="AA131" s="213">
        <f>IF($U131=0, ,Z131/$U131)</f>
        <v>0</v>
      </c>
      <c r="AB131" s="232" t="s">
        <v>87</v>
      </c>
    </row>
    <row r="132" spans="1:28" x14ac:dyDescent="0.2">
      <c r="A132" s="242"/>
      <c r="B132" s="246"/>
      <c r="C132" s="10"/>
      <c r="D132" s="10"/>
      <c r="E132" s="235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39"/>
      <c r="V132" s="239"/>
      <c r="W132" s="214"/>
      <c r="X132" s="239"/>
      <c r="Y132" s="214"/>
      <c r="Z132" s="239"/>
      <c r="AA132" s="214"/>
      <c r="AB132" s="233"/>
    </row>
    <row r="133" spans="1:28" x14ac:dyDescent="0.2">
      <c r="A133" s="242"/>
      <c r="B133" s="255" t="s">
        <v>21</v>
      </c>
      <c r="C133" s="9"/>
      <c r="D133" s="9"/>
      <c r="E133" s="219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21">
        <f>SUM(F133, K133, P133, F134, K134, P134)</f>
        <v>0</v>
      </c>
      <c r="V133" s="221">
        <f>SUM(H133, M133, R133, H134, M134, R134)</f>
        <v>0</v>
      </c>
      <c r="W133" s="223">
        <f>IF($U133=0, ,V133/$U133)</f>
        <v>0</v>
      </c>
      <c r="X133" s="221">
        <f>SUM(I133, N133, S133, I134, N134, S134)</f>
        <v>0</v>
      </c>
      <c r="Y133" s="223">
        <f>IF($U133=0, ,X133/$U133)</f>
        <v>0</v>
      </c>
      <c r="Z133" s="221">
        <f>SUM(J133, O133, T133, J134, O134, T134)</f>
        <v>0</v>
      </c>
      <c r="AA133" s="223">
        <f>IF($U133=0, ,Z133/$U133)</f>
        <v>0</v>
      </c>
      <c r="AB133" s="247" t="s">
        <v>87</v>
      </c>
    </row>
    <row r="134" spans="1:28" x14ac:dyDescent="0.2">
      <c r="A134" s="242"/>
      <c r="B134" s="274"/>
      <c r="C134" s="9"/>
      <c r="D134" s="9"/>
      <c r="E134" s="220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22"/>
      <c r="V134" s="222"/>
      <c r="W134" s="224"/>
      <c r="X134" s="222"/>
      <c r="Y134" s="224"/>
      <c r="Z134" s="222"/>
      <c r="AA134" s="224"/>
      <c r="AB134" s="248"/>
    </row>
    <row r="135" spans="1:28" x14ac:dyDescent="0.2">
      <c r="A135" s="242"/>
      <c r="B135" s="245" t="s">
        <v>22</v>
      </c>
      <c r="C135" s="11"/>
      <c r="D135" s="11"/>
      <c r="E135" s="251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38">
        <f>SUM(F135, K135, P135, F136, K136, P136)</f>
        <v>0</v>
      </c>
      <c r="V135" s="238">
        <f>SUM(H135, M135, R135, H136, M136, R136)</f>
        <v>0</v>
      </c>
      <c r="W135" s="213">
        <f>IF($U135=0, ,V135/$U135)</f>
        <v>0</v>
      </c>
      <c r="X135" s="238">
        <f>SUM(I135, N135, S135, I136, N136, S136)</f>
        <v>0</v>
      </c>
      <c r="Y135" s="213">
        <f>IF($U135=0, ,X135/$U135)</f>
        <v>0</v>
      </c>
      <c r="Z135" s="238">
        <f>SUM(J135, O135, T135, J136, O136, T136)</f>
        <v>0</v>
      </c>
      <c r="AA135" s="213">
        <f>IF($U135=0, ,Z135/$U135)</f>
        <v>0</v>
      </c>
      <c r="AB135" s="232" t="s">
        <v>87</v>
      </c>
    </row>
    <row r="136" spans="1:28" x14ac:dyDescent="0.2">
      <c r="A136" s="242"/>
      <c r="B136" s="246"/>
      <c r="C136" s="11"/>
      <c r="D136" s="11"/>
      <c r="E136" s="252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39"/>
      <c r="V136" s="239"/>
      <c r="W136" s="214"/>
      <c r="X136" s="239"/>
      <c r="Y136" s="214"/>
      <c r="Z136" s="239"/>
      <c r="AA136" s="214"/>
      <c r="AB136" s="233"/>
    </row>
    <row r="137" spans="1:28" ht="13.5" thickBot="1" x14ac:dyDescent="0.25">
      <c r="A137" s="242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42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42"/>
      <c r="B139" s="243" t="s">
        <v>35</v>
      </c>
      <c r="C139" s="244" t="s">
        <v>25</v>
      </c>
      <c r="D139" s="244" t="s">
        <v>28</v>
      </c>
      <c r="E139" s="225" t="s">
        <v>12</v>
      </c>
      <c r="F139" s="269" t="s">
        <v>13</v>
      </c>
      <c r="G139" s="269"/>
      <c r="H139" s="269"/>
      <c r="I139" s="269" t="s">
        <v>14</v>
      </c>
      <c r="J139" s="269"/>
      <c r="K139" s="269"/>
      <c r="L139" s="269" t="s">
        <v>15</v>
      </c>
      <c r="M139" s="269"/>
      <c r="N139" s="269"/>
      <c r="O139" s="229" t="s">
        <v>34</v>
      </c>
      <c r="P139" s="229" t="s">
        <v>48</v>
      </c>
      <c r="Q139" s="229" t="s">
        <v>60</v>
      </c>
      <c r="R139" s="229" t="s">
        <v>49</v>
      </c>
      <c r="S139" s="229" t="s">
        <v>61</v>
      </c>
      <c r="T139" s="265" t="s">
        <v>79</v>
      </c>
      <c r="U139" s="265"/>
      <c r="V139" s="265"/>
      <c r="W139" s="265"/>
      <c r="X139" s="265"/>
      <c r="Y139" s="265"/>
      <c r="Z139" s="265"/>
      <c r="AA139" s="265"/>
      <c r="AB139" s="266"/>
    </row>
    <row r="140" spans="1:28" ht="25.5" x14ac:dyDescent="0.2">
      <c r="A140" s="242"/>
      <c r="B140" s="243"/>
      <c r="C140" s="244"/>
      <c r="D140" s="244"/>
      <c r="E140" s="225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31"/>
      <c r="P140" s="231"/>
      <c r="Q140" s="231"/>
      <c r="R140" s="231"/>
      <c r="S140" s="231"/>
      <c r="T140" s="267"/>
      <c r="U140" s="267"/>
      <c r="V140" s="267"/>
      <c r="W140" s="267"/>
      <c r="X140" s="267"/>
      <c r="Y140" s="267"/>
      <c r="Z140" s="267"/>
      <c r="AA140" s="267"/>
      <c r="AB140" s="268"/>
    </row>
    <row r="141" spans="1:28" x14ac:dyDescent="0.2">
      <c r="A141" s="242"/>
      <c r="B141" s="263" t="s">
        <v>36</v>
      </c>
      <c r="C141" s="12"/>
      <c r="D141" s="12" t="s">
        <v>80</v>
      </c>
      <c r="E141" s="264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21">
        <f>SUM(F141, I141, L141, F142, I142, L142)*$O138</f>
        <v>0</v>
      </c>
      <c r="P141" s="221">
        <f>SUM(G141, J141, M141, G142, J142, M142)</f>
        <v>0</v>
      </c>
      <c r="Q141" s="223">
        <f>IF($O141=0, ,P141/$O141)</f>
        <v>0</v>
      </c>
      <c r="R141" s="221">
        <f>SUM(H141, K141, N141, H142, K142, N142)</f>
        <v>0</v>
      </c>
      <c r="S141" s="223">
        <f>IF($O141=0, ,R141/$O141)</f>
        <v>0</v>
      </c>
      <c r="T141" s="270"/>
      <c r="U141" s="270"/>
      <c r="V141" s="270"/>
      <c r="W141" s="270"/>
      <c r="X141" s="270"/>
      <c r="Y141" s="270"/>
      <c r="Z141" s="270"/>
      <c r="AA141" s="270"/>
      <c r="AB141" s="271"/>
    </row>
    <row r="142" spans="1:28" x14ac:dyDescent="0.2">
      <c r="A142" s="242"/>
      <c r="B142" s="263"/>
      <c r="C142" s="12"/>
      <c r="D142" s="12"/>
      <c r="E142" s="264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22"/>
      <c r="P142" s="222"/>
      <c r="Q142" s="224"/>
      <c r="R142" s="222"/>
      <c r="S142" s="224"/>
      <c r="T142" s="272"/>
      <c r="U142" s="272"/>
      <c r="V142" s="272"/>
      <c r="W142" s="272"/>
      <c r="X142" s="272"/>
      <c r="Y142" s="272"/>
      <c r="Z142" s="272"/>
      <c r="AA142" s="272"/>
      <c r="AB142" s="273"/>
    </row>
    <row r="143" spans="1:28" x14ac:dyDescent="0.2">
      <c r="A143" s="242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42"/>
      <c r="B144" s="276" t="s">
        <v>67</v>
      </c>
      <c r="C144" s="276"/>
      <c r="D144" s="277"/>
      <c r="E144" s="82" t="s">
        <v>68</v>
      </c>
      <c r="F144" s="261" t="s">
        <v>64</v>
      </c>
      <c r="G144" s="261"/>
      <c r="H144" s="261"/>
      <c r="I144" s="261" t="s">
        <v>76</v>
      </c>
      <c r="J144" s="261"/>
      <c r="K144" s="261"/>
      <c r="L144" s="261" t="s">
        <v>65</v>
      </c>
      <c r="M144" s="261"/>
      <c r="N144" s="261"/>
      <c r="O144" s="261" t="s">
        <v>66</v>
      </c>
      <c r="P144" s="261"/>
      <c r="Q144" s="261"/>
      <c r="R144" s="261" t="s">
        <v>73</v>
      </c>
      <c r="S144" s="261"/>
      <c r="T144" s="261"/>
      <c r="U144" s="261" t="s">
        <v>74</v>
      </c>
      <c r="V144" s="261"/>
      <c r="W144" s="261"/>
      <c r="X144" s="261" t="s">
        <v>75</v>
      </c>
      <c r="Y144" s="261"/>
      <c r="Z144" s="261"/>
      <c r="AA144" s="262"/>
      <c r="AB144" s="262"/>
    </row>
    <row r="145" spans="1:28" x14ac:dyDescent="0.2">
      <c r="A145" s="242"/>
      <c r="B145" s="278"/>
      <c r="C145" s="278"/>
      <c r="D145" s="279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62"/>
      <c r="AB145" s="262"/>
    </row>
    <row r="146" spans="1:28" x14ac:dyDescent="0.2">
      <c r="A146" s="242"/>
      <c r="B146" s="280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62"/>
      <c r="AB146" s="262"/>
    </row>
    <row r="147" spans="1:28" x14ac:dyDescent="0.2">
      <c r="A147" s="242"/>
      <c r="B147" s="280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62"/>
      <c r="AB147" s="262"/>
    </row>
    <row r="148" spans="1:28" x14ac:dyDescent="0.2">
      <c r="A148" s="242"/>
      <c r="B148" s="280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62"/>
      <c r="AB148" s="262"/>
    </row>
    <row r="149" spans="1:28" x14ac:dyDescent="0.2">
      <c r="A149" s="242"/>
      <c r="B149" s="280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62"/>
      <c r="AB149" s="262"/>
    </row>
    <row r="151" spans="1:28" x14ac:dyDescent="0.2">
      <c r="A151" s="242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42"/>
      <c r="B152" s="243" t="s">
        <v>10</v>
      </c>
      <c r="C152" s="244" t="s">
        <v>25</v>
      </c>
      <c r="D152" s="244" t="s">
        <v>28</v>
      </c>
      <c r="E152" s="225" t="s">
        <v>12</v>
      </c>
      <c r="F152" s="226" t="s">
        <v>13</v>
      </c>
      <c r="G152" s="227"/>
      <c r="H152" s="227"/>
      <c r="I152" s="227"/>
      <c r="J152" s="228"/>
      <c r="K152" s="226" t="s">
        <v>14</v>
      </c>
      <c r="L152" s="227"/>
      <c r="M152" s="227"/>
      <c r="N152" s="227"/>
      <c r="O152" s="228"/>
      <c r="P152" s="226" t="s">
        <v>15</v>
      </c>
      <c r="Q152" s="227"/>
      <c r="R152" s="227"/>
      <c r="S152" s="227"/>
      <c r="T152" s="228"/>
      <c r="U152" s="275" t="s">
        <v>34</v>
      </c>
      <c r="V152" s="275" t="s">
        <v>48</v>
      </c>
      <c r="W152" s="275" t="s">
        <v>56</v>
      </c>
      <c r="X152" s="275" t="s">
        <v>54</v>
      </c>
      <c r="Y152" s="275" t="s">
        <v>57</v>
      </c>
      <c r="Z152" s="275" t="s">
        <v>55</v>
      </c>
      <c r="AA152" s="275" t="s">
        <v>58</v>
      </c>
      <c r="AB152" s="275" t="s">
        <v>38</v>
      </c>
    </row>
    <row r="153" spans="1:28" ht="38.25" x14ac:dyDescent="0.2">
      <c r="A153" s="242"/>
      <c r="B153" s="243"/>
      <c r="C153" s="244"/>
      <c r="D153" s="244"/>
      <c r="E153" s="225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75"/>
      <c r="V153" s="275"/>
      <c r="W153" s="275"/>
      <c r="X153" s="275"/>
      <c r="Y153" s="275"/>
      <c r="Z153" s="275"/>
      <c r="AA153" s="275"/>
      <c r="AB153" s="275"/>
    </row>
    <row r="154" spans="1:28" x14ac:dyDescent="0.2">
      <c r="A154" s="242"/>
      <c r="B154" s="255" t="s">
        <v>17</v>
      </c>
      <c r="C154" s="12"/>
      <c r="D154" s="12"/>
      <c r="E154" s="257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21">
        <f>SUM(F154, K154, P154, F155, K155, P155)</f>
        <v>0</v>
      </c>
      <c r="V154" s="221">
        <f>SUM(H154, M154, R154, H155, M155, R155)</f>
        <v>0</v>
      </c>
      <c r="W154" s="223">
        <f>IF($U154=0, ,V154/$U154)</f>
        <v>0</v>
      </c>
      <c r="X154" s="221">
        <f>SUM(I154, N154, S154, I155, N155, S155)</f>
        <v>0</v>
      </c>
      <c r="Y154" s="223">
        <f>IF($U154=0, ,X154/$U154)</f>
        <v>0</v>
      </c>
      <c r="Z154" s="221">
        <f>SUM(J154, O154, T154, J155, O155, T155)</f>
        <v>0</v>
      </c>
      <c r="AA154" s="223">
        <f>IF($U154=0, ,Z154/$U154)</f>
        <v>0</v>
      </c>
      <c r="AB154" s="247" t="s">
        <v>87</v>
      </c>
    </row>
    <row r="155" spans="1:28" x14ac:dyDescent="0.2">
      <c r="A155" s="242"/>
      <c r="B155" s="274"/>
      <c r="C155" s="12"/>
      <c r="D155" s="12"/>
      <c r="E155" s="259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22"/>
      <c r="V155" s="222"/>
      <c r="W155" s="224"/>
      <c r="X155" s="222"/>
      <c r="Y155" s="224"/>
      <c r="Z155" s="222"/>
      <c r="AA155" s="224"/>
      <c r="AB155" s="248"/>
    </row>
    <row r="156" spans="1:28" x14ac:dyDescent="0.2">
      <c r="A156" s="242"/>
      <c r="B156" s="245" t="s">
        <v>18</v>
      </c>
      <c r="C156" s="10"/>
      <c r="D156" s="10"/>
      <c r="E156" s="234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38">
        <f>SUM(F156, K156, P156, F157, K157, P157)</f>
        <v>0</v>
      </c>
      <c r="V156" s="238">
        <f>SUM(H156, M156, R156, H157, M157, R157)</f>
        <v>0</v>
      </c>
      <c r="W156" s="213">
        <f>IF($U156=0, ,V156/$U156)</f>
        <v>0</v>
      </c>
      <c r="X156" s="238">
        <f>SUM(I156, N156, S156, I157, N157, S157)</f>
        <v>0</v>
      </c>
      <c r="Y156" s="213">
        <f>IF($U156=0, ,X156/$U156)</f>
        <v>0</v>
      </c>
      <c r="Z156" s="238">
        <f>SUM(J156, O156, T156, J157, O157, T157)</f>
        <v>0</v>
      </c>
      <c r="AA156" s="213">
        <f>IF($U156=0, ,Z156/$U156)</f>
        <v>0</v>
      </c>
      <c r="AB156" s="232" t="s">
        <v>87</v>
      </c>
    </row>
    <row r="157" spans="1:28" x14ac:dyDescent="0.2">
      <c r="A157" s="242"/>
      <c r="B157" s="246"/>
      <c r="C157" s="10"/>
      <c r="D157" s="10"/>
      <c r="E157" s="235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39"/>
      <c r="V157" s="239"/>
      <c r="W157" s="214"/>
      <c r="X157" s="239"/>
      <c r="Y157" s="214"/>
      <c r="Z157" s="239"/>
      <c r="AA157" s="214"/>
      <c r="AB157" s="233"/>
    </row>
    <row r="158" spans="1:28" x14ac:dyDescent="0.2">
      <c r="A158" s="242"/>
      <c r="B158" s="255" t="s">
        <v>19</v>
      </c>
      <c r="C158" s="9"/>
      <c r="D158" s="9"/>
      <c r="E158" s="219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21">
        <f>SUM(F158, K158, P158, F159, K159, P159)</f>
        <v>0</v>
      </c>
      <c r="V158" s="221">
        <f>SUM(H158, M158, R158, H159, M159, R159)</f>
        <v>0</v>
      </c>
      <c r="W158" s="223">
        <f>IF($U158=0, ,V158/$U158)</f>
        <v>0</v>
      </c>
      <c r="X158" s="221">
        <f>SUM(I158, N158, S158, I159, N159, S159)</f>
        <v>0</v>
      </c>
      <c r="Y158" s="223">
        <f>IF($U158=0, ,X158/$U158)</f>
        <v>0</v>
      </c>
      <c r="Z158" s="221">
        <f>SUM(J158, O158, T158, J159, O159, T159)</f>
        <v>0</v>
      </c>
      <c r="AA158" s="223">
        <f>IF($U158=0, ,Z158/$U158)</f>
        <v>0</v>
      </c>
      <c r="AB158" s="247" t="s">
        <v>87</v>
      </c>
    </row>
    <row r="159" spans="1:28" x14ac:dyDescent="0.2">
      <c r="A159" s="242"/>
      <c r="B159" s="274"/>
      <c r="C159" s="9"/>
      <c r="D159" s="9"/>
      <c r="E159" s="220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22"/>
      <c r="V159" s="222"/>
      <c r="W159" s="224"/>
      <c r="X159" s="222"/>
      <c r="Y159" s="224"/>
      <c r="Z159" s="222"/>
      <c r="AA159" s="224"/>
      <c r="AB159" s="248"/>
    </row>
    <row r="160" spans="1:28" x14ac:dyDescent="0.2">
      <c r="A160" s="242"/>
      <c r="B160" s="245" t="s">
        <v>20</v>
      </c>
      <c r="C160" s="10"/>
      <c r="D160" s="10"/>
      <c r="E160" s="234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38">
        <f>SUM(F160, K160, P160, F161, K161, P161)</f>
        <v>0</v>
      </c>
      <c r="V160" s="238">
        <f>SUM(H160, M160, R160, H161, M161, R161)</f>
        <v>0</v>
      </c>
      <c r="W160" s="213">
        <f>IF($U160=0, ,V160/$U160)</f>
        <v>0</v>
      </c>
      <c r="X160" s="238">
        <f>SUM(I160, N160, S160, I161, N161, S161)</f>
        <v>0</v>
      </c>
      <c r="Y160" s="213">
        <f>IF($U160=0, ,X160/$U160)</f>
        <v>0</v>
      </c>
      <c r="Z160" s="238">
        <f>SUM(J160, O160, T160, J161, O161, T161)</f>
        <v>0</v>
      </c>
      <c r="AA160" s="213">
        <f>IF($U160=0, ,Z160/$U160)</f>
        <v>0</v>
      </c>
      <c r="AB160" s="232" t="s">
        <v>87</v>
      </c>
    </row>
    <row r="161" spans="1:28" x14ac:dyDescent="0.2">
      <c r="A161" s="242"/>
      <c r="B161" s="246"/>
      <c r="C161" s="10"/>
      <c r="D161" s="10"/>
      <c r="E161" s="235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39"/>
      <c r="V161" s="239"/>
      <c r="W161" s="214"/>
      <c r="X161" s="239"/>
      <c r="Y161" s="214"/>
      <c r="Z161" s="239"/>
      <c r="AA161" s="214"/>
      <c r="AB161" s="233"/>
    </row>
    <row r="162" spans="1:28" x14ac:dyDescent="0.2">
      <c r="A162" s="242"/>
      <c r="B162" s="255" t="s">
        <v>21</v>
      </c>
      <c r="C162" s="9"/>
      <c r="D162" s="9"/>
      <c r="E162" s="219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21">
        <f>SUM(F162, K162, P162, F163, K163, P163)</f>
        <v>0</v>
      </c>
      <c r="V162" s="221">
        <f>SUM(H162, M162, R162, H163, M163, R163)</f>
        <v>0</v>
      </c>
      <c r="W162" s="223">
        <f>IF($U162=0, ,V162/$U162)</f>
        <v>0</v>
      </c>
      <c r="X162" s="221">
        <f>SUM(I162, N162, S162, I163, N163, S163)</f>
        <v>0</v>
      </c>
      <c r="Y162" s="223">
        <f>IF($U162=0, ,X162/$U162)</f>
        <v>0</v>
      </c>
      <c r="Z162" s="221">
        <f>SUM(J162, O162, T162, J163, O163, T163)</f>
        <v>0</v>
      </c>
      <c r="AA162" s="223">
        <f>IF($U162=0, ,Z162/$U162)</f>
        <v>0</v>
      </c>
      <c r="AB162" s="247" t="s">
        <v>87</v>
      </c>
    </row>
    <row r="163" spans="1:28" x14ac:dyDescent="0.2">
      <c r="A163" s="242"/>
      <c r="B163" s="274"/>
      <c r="C163" s="9"/>
      <c r="D163" s="9"/>
      <c r="E163" s="220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22"/>
      <c r="V163" s="222"/>
      <c r="W163" s="224"/>
      <c r="X163" s="222"/>
      <c r="Y163" s="224"/>
      <c r="Z163" s="222"/>
      <c r="AA163" s="224"/>
      <c r="AB163" s="248"/>
    </row>
    <row r="164" spans="1:28" x14ac:dyDescent="0.2">
      <c r="A164" s="242"/>
      <c r="B164" s="245" t="s">
        <v>22</v>
      </c>
      <c r="C164" s="11"/>
      <c r="D164" s="11"/>
      <c r="E164" s="251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38">
        <f>SUM(F164, K164, P164, F165, K165, P165)</f>
        <v>0</v>
      </c>
      <c r="V164" s="238">
        <f>SUM(H164, M164, R164, H165, M165, R165)</f>
        <v>0</v>
      </c>
      <c r="W164" s="213">
        <f>IF($U164=0, ,V164/$U164)</f>
        <v>0</v>
      </c>
      <c r="X164" s="238">
        <f>SUM(I164, N164, S164, I165, N165, S165)</f>
        <v>0</v>
      </c>
      <c r="Y164" s="213">
        <f>IF($U164=0, ,X164/$U164)</f>
        <v>0</v>
      </c>
      <c r="Z164" s="238">
        <f>SUM(J164, O164, T164, J165, O165, T165)</f>
        <v>0</v>
      </c>
      <c r="AA164" s="213">
        <f>IF($U164=0, ,Z164/$U164)</f>
        <v>0</v>
      </c>
      <c r="AB164" s="232" t="s">
        <v>87</v>
      </c>
    </row>
    <row r="165" spans="1:28" x14ac:dyDescent="0.2">
      <c r="A165" s="242"/>
      <c r="B165" s="246"/>
      <c r="C165" s="11"/>
      <c r="D165" s="11"/>
      <c r="E165" s="252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39"/>
      <c r="V165" s="239"/>
      <c r="W165" s="214"/>
      <c r="X165" s="239"/>
      <c r="Y165" s="214"/>
      <c r="Z165" s="239"/>
      <c r="AA165" s="214"/>
      <c r="AB165" s="233"/>
    </row>
    <row r="166" spans="1:28" ht="13.5" thickBot="1" x14ac:dyDescent="0.25">
      <c r="A166" s="242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42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42"/>
      <c r="B168" s="243" t="s">
        <v>35</v>
      </c>
      <c r="C168" s="244" t="s">
        <v>25</v>
      </c>
      <c r="D168" s="244" t="s">
        <v>28</v>
      </c>
      <c r="E168" s="225" t="s">
        <v>12</v>
      </c>
      <c r="F168" s="269" t="s">
        <v>13</v>
      </c>
      <c r="G168" s="269"/>
      <c r="H168" s="269"/>
      <c r="I168" s="269" t="s">
        <v>14</v>
      </c>
      <c r="J168" s="269"/>
      <c r="K168" s="269"/>
      <c r="L168" s="269" t="s">
        <v>15</v>
      </c>
      <c r="M168" s="269"/>
      <c r="N168" s="269"/>
      <c r="O168" s="229" t="s">
        <v>34</v>
      </c>
      <c r="P168" s="229" t="s">
        <v>48</v>
      </c>
      <c r="Q168" s="229" t="s">
        <v>60</v>
      </c>
      <c r="R168" s="229" t="s">
        <v>49</v>
      </c>
      <c r="S168" s="229" t="s">
        <v>61</v>
      </c>
      <c r="T168" s="265" t="s">
        <v>79</v>
      </c>
      <c r="U168" s="265"/>
      <c r="V168" s="265"/>
      <c r="W168" s="265"/>
      <c r="X168" s="265"/>
      <c r="Y168" s="265"/>
      <c r="Z168" s="265"/>
      <c r="AA168" s="265"/>
      <c r="AB168" s="266"/>
    </row>
    <row r="169" spans="1:28" ht="25.5" x14ac:dyDescent="0.2">
      <c r="A169" s="242"/>
      <c r="B169" s="243"/>
      <c r="C169" s="244"/>
      <c r="D169" s="244"/>
      <c r="E169" s="225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31"/>
      <c r="P169" s="231"/>
      <c r="Q169" s="231"/>
      <c r="R169" s="231"/>
      <c r="S169" s="231"/>
      <c r="T169" s="267"/>
      <c r="U169" s="267"/>
      <c r="V169" s="267"/>
      <c r="W169" s="267"/>
      <c r="X169" s="267"/>
      <c r="Y169" s="267"/>
      <c r="Z169" s="267"/>
      <c r="AA169" s="267"/>
      <c r="AB169" s="268"/>
    </row>
    <row r="170" spans="1:28" x14ac:dyDescent="0.2">
      <c r="A170" s="242"/>
      <c r="B170" s="263" t="s">
        <v>36</v>
      </c>
      <c r="C170" s="12"/>
      <c r="D170" s="12" t="s">
        <v>80</v>
      </c>
      <c r="E170" s="264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21">
        <f>SUM(F170, I170, L170, F171, I171, L171)*$O167</f>
        <v>0</v>
      </c>
      <c r="P170" s="221">
        <f>SUM(G170, J170, M170, G171, J171, M171)</f>
        <v>0</v>
      </c>
      <c r="Q170" s="223">
        <f>IF($O170=0, ,P170/$O170)</f>
        <v>0</v>
      </c>
      <c r="R170" s="221">
        <f>SUM(H170, K170, N170, H171, K171, N171)</f>
        <v>0</v>
      </c>
      <c r="S170" s="223">
        <f>IF($O170=0, ,R170/$O170)</f>
        <v>0</v>
      </c>
      <c r="T170" s="270"/>
      <c r="U170" s="270"/>
      <c r="V170" s="270"/>
      <c r="W170" s="270"/>
      <c r="X170" s="270"/>
      <c r="Y170" s="270"/>
      <c r="Z170" s="270"/>
      <c r="AA170" s="270"/>
      <c r="AB170" s="271"/>
    </row>
    <row r="171" spans="1:28" x14ac:dyDescent="0.2">
      <c r="A171" s="242"/>
      <c r="B171" s="263"/>
      <c r="C171" s="12"/>
      <c r="D171" s="12"/>
      <c r="E171" s="264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22"/>
      <c r="P171" s="222"/>
      <c r="Q171" s="224"/>
      <c r="R171" s="222"/>
      <c r="S171" s="224"/>
      <c r="T171" s="272"/>
      <c r="U171" s="272"/>
      <c r="V171" s="272"/>
      <c r="W171" s="272"/>
      <c r="X171" s="272"/>
      <c r="Y171" s="272"/>
      <c r="Z171" s="272"/>
      <c r="AA171" s="272"/>
      <c r="AB171" s="273"/>
    </row>
    <row r="172" spans="1:28" x14ac:dyDescent="0.2">
      <c r="A172" s="242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42"/>
      <c r="B173" s="276" t="s">
        <v>67</v>
      </c>
      <c r="C173" s="276"/>
      <c r="D173" s="277"/>
      <c r="E173" s="82" t="s">
        <v>68</v>
      </c>
      <c r="F173" s="261" t="s">
        <v>64</v>
      </c>
      <c r="G173" s="261"/>
      <c r="H173" s="261"/>
      <c r="I173" s="261" t="s">
        <v>76</v>
      </c>
      <c r="J173" s="261"/>
      <c r="K173" s="261"/>
      <c r="L173" s="261" t="s">
        <v>65</v>
      </c>
      <c r="M173" s="261"/>
      <c r="N173" s="261"/>
      <c r="O173" s="261" t="s">
        <v>66</v>
      </c>
      <c r="P173" s="261"/>
      <c r="Q173" s="261"/>
      <c r="R173" s="261" t="s">
        <v>73</v>
      </c>
      <c r="S173" s="261"/>
      <c r="T173" s="261"/>
      <c r="U173" s="261" t="s">
        <v>74</v>
      </c>
      <c r="V173" s="261"/>
      <c r="W173" s="261"/>
      <c r="X173" s="261" t="s">
        <v>75</v>
      </c>
      <c r="Y173" s="261"/>
      <c r="Z173" s="261"/>
      <c r="AA173" s="262"/>
      <c r="AB173" s="262"/>
    </row>
    <row r="174" spans="1:28" x14ac:dyDescent="0.2">
      <c r="A174" s="242"/>
      <c r="B174" s="278"/>
      <c r="C174" s="278"/>
      <c r="D174" s="279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62"/>
      <c r="AB174" s="262"/>
    </row>
    <row r="175" spans="1:28" x14ac:dyDescent="0.2">
      <c r="A175" s="242"/>
      <c r="B175" s="280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62"/>
      <c r="AB175" s="262"/>
    </row>
    <row r="176" spans="1:28" x14ac:dyDescent="0.2">
      <c r="A176" s="242"/>
      <c r="B176" s="280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62"/>
      <c r="AB176" s="262"/>
    </row>
    <row r="177" spans="1:28" x14ac:dyDescent="0.2">
      <c r="A177" s="242"/>
      <c r="B177" s="280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62"/>
      <c r="AB177" s="262"/>
    </row>
    <row r="178" spans="1:28" x14ac:dyDescent="0.2">
      <c r="A178" s="242"/>
      <c r="B178" s="280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62"/>
      <c r="AB178" s="262"/>
    </row>
    <row r="180" spans="1:28" x14ac:dyDescent="0.2">
      <c r="A180" s="242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42"/>
      <c r="B181" s="243" t="s">
        <v>10</v>
      </c>
      <c r="C181" s="244" t="s">
        <v>25</v>
      </c>
      <c r="D181" s="244" t="s">
        <v>28</v>
      </c>
      <c r="E181" s="225" t="s">
        <v>12</v>
      </c>
      <c r="F181" s="226" t="s">
        <v>13</v>
      </c>
      <c r="G181" s="227"/>
      <c r="H181" s="227"/>
      <c r="I181" s="227"/>
      <c r="J181" s="228"/>
      <c r="K181" s="226" t="s">
        <v>14</v>
      </c>
      <c r="L181" s="227"/>
      <c r="M181" s="227"/>
      <c r="N181" s="227"/>
      <c r="O181" s="228"/>
      <c r="P181" s="226" t="s">
        <v>15</v>
      </c>
      <c r="Q181" s="227"/>
      <c r="R181" s="227"/>
      <c r="S181" s="227"/>
      <c r="T181" s="228"/>
      <c r="U181" s="275" t="s">
        <v>34</v>
      </c>
      <c r="V181" s="275" t="s">
        <v>48</v>
      </c>
      <c r="W181" s="275" t="s">
        <v>56</v>
      </c>
      <c r="X181" s="275" t="s">
        <v>54</v>
      </c>
      <c r="Y181" s="275" t="s">
        <v>57</v>
      </c>
      <c r="Z181" s="275" t="s">
        <v>55</v>
      </c>
      <c r="AA181" s="275" t="s">
        <v>58</v>
      </c>
      <c r="AB181" s="275" t="s">
        <v>38</v>
      </c>
    </row>
    <row r="182" spans="1:28" ht="38.25" x14ac:dyDescent="0.2">
      <c r="A182" s="242"/>
      <c r="B182" s="243"/>
      <c r="C182" s="244"/>
      <c r="D182" s="244"/>
      <c r="E182" s="225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75"/>
      <c r="V182" s="275"/>
      <c r="W182" s="275"/>
      <c r="X182" s="275"/>
      <c r="Y182" s="275"/>
      <c r="Z182" s="275"/>
      <c r="AA182" s="275"/>
      <c r="AB182" s="275"/>
    </row>
    <row r="183" spans="1:28" x14ac:dyDescent="0.2">
      <c r="A183" s="242"/>
      <c r="B183" s="255" t="s">
        <v>17</v>
      </c>
      <c r="C183" s="12"/>
      <c r="D183" s="12"/>
      <c r="E183" s="257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21">
        <f>SUM(F183, K183, P183, F184, K184, P184)</f>
        <v>0</v>
      </c>
      <c r="V183" s="221">
        <f>SUM(H183, M183, R183, H184, M184, R184)</f>
        <v>0</v>
      </c>
      <c r="W183" s="223">
        <f>IF($U183=0, ,V183/$U183)</f>
        <v>0</v>
      </c>
      <c r="X183" s="221">
        <f>SUM(I183, N183, S183, I184, N184, S184)</f>
        <v>0</v>
      </c>
      <c r="Y183" s="223">
        <f>IF($U183=0, ,X183/$U183)</f>
        <v>0</v>
      </c>
      <c r="Z183" s="221">
        <f>SUM(J183, O183, T183, J184, O184, T184)</f>
        <v>0</v>
      </c>
      <c r="AA183" s="223">
        <f>IF($U183=0, ,Z183/$U183)</f>
        <v>0</v>
      </c>
      <c r="AB183" s="247" t="s">
        <v>87</v>
      </c>
    </row>
    <row r="184" spans="1:28" x14ac:dyDescent="0.2">
      <c r="A184" s="242"/>
      <c r="B184" s="274"/>
      <c r="C184" s="12"/>
      <c r="D184" s="12"/>
      <c r="E184" s="259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22"/>
      <c r="V184" s="222"/>
      <c r="W184" s="224"/>
      <c r="X184" s="222"/>
      <c r="Y184" s="224"/>
      <c r="Z184" s="222"/>
      <c r="AA184" s="224"/>
      <c r="AB184" s="248"/>
    </row>
    <row r="185" spans="1:28" x14ac:dyDescent="0.2">
      <c r="A185" s="242"/>
      <c r="B185" s="245" t="s">
        <v>18</v>
      </c>
      <c r="C185" s="10">
        <v>21283</v>
      </c>
      <c r="D185" s="10"/>
      <c r="E185" s="234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38">
        <f>SUM(F185, K185, P185, F186, K186, P186)</f>
        <v>3048</v>
      </c>
      <c r="V185" s="238">
        <f>SUM(H185, M185, R185, H186, M186, R186)</f>
        <v>0</v>
      </c>
      <c r="W185" s="213">
        <f>IF($U185=0, ,V185/$U185)</f>
        <v>0</v>
      </c>
      <c r="X185" s="238">
        <f>SUM(I185, N185, S185, I186, N186, S186)</f>
        <v>0</v>
      </c>
      <c r="Y185" s="213">
        <f>IF($U185=0, ,X185/$U185)</f>
        <v>0</v>
      </c>
      <c r="Z185" s="238">
        <f>SUM(J185, O185, T185, J186, O186, T186)</f>
        <v>0</v>
      </c>
      <c r="AA185" s="213">
        <f>IF($U185=0, ,Z185/$U185)</f>
        <v>0</v>
      </c>
      <c r="AB185" s="232"/>
    </row>
    <row r="186" spans="1:28" x14ac:dyDescent="0.2">
      <c r="A186" s="242"/>
      <c r="B186" s="246"/>
      <c r="C186" s="10"/>
      <c r="D186" s="10"/>
      <c r="E186" s="235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39"/>
      <c r="V186" s="239"/>
      <c r="W186" s="214"/>
      <c r="X186" s="239"/>
      <c r="Y186" s="214"/>
      <c r="Z186" s="239"/>
      <c r="AA186" s="214"/>
      <c r="AB186" s="233"/>
    </row>
    <row r="187" spans="1:28" x14ac:dyDescent="0.2">
      <c r="A187" s="242"/>
      <c r="B187" s="255" t="s">
        <v>19</v>
      </c>
      <c r="C187" s="9"/>
      <c r="D187" s="9"/>
      <c r="E187" s="219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21">
        <f>SUM(F187, K187, P187, F188, K188, P188)</f>
        <v>0</v>
      </c>
      <c r="V187" s="221">
        <f>SUM(H187, M187, R187, H188, M188, R188)</f>
        <v>0</v>
      </c>
      <c r="W187" s="223">
        <f>IF($U187=0, ,V187/$U187)</f>
        <v>0</v>
      </c>
      <c r="X187" s="221">
        <f>SUM(I187, N187, S187, I188, N188, S188)</f>
        <v>0</v>
      </c>
      <c r="Y187" s="223">
        <f>IF($U187=0, ,X187/$U187)</f>
        <v>0</v>
      </c>
      <c r="Z187" s="221">
        <f>SUM(J187, O187, T187, J188, O188, T188)</f>
        <v>0</v>
      </c>
      <c r="AA187" s="223">
        <f>IF($U187=0, ,Z187/$U187)</f>
        <v>0</v>
      </c>
      <c r="AB187" s="247" t="s">
        <v>87</v>
      </c>
    </row>
    <row r="188" spans="1:28" x14ac:dyDescent="0.2">
      <c r="A188" s="242"/>
      <c r="B188" s="274"/>
      <c r="C188" s="9"/>
      <c r="D188" s="9"/>
      <c r="E188" s="220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22"/>
      <c r="V188" s="222"/>
      <c r="W188" s="224"/>
      <c r="X188" s="222"/>
      <c r="Y188" s="224"/>
      <c r="Z188" s="222"/>
      <c r="AA188" s="224"/>
      <c r="AB188" s="248"/>
    </row>
    <row r="189" spans="1:28" x14ac:dyDescent="0.2">
      <c r="A189" s="242"/>
      <c r="B189" s="245" t="s">
        <v>20</v>
      </c>
      <c r="C189" s="10"/>
      <c r="D189" s="10"/>
      <c r="E189" s="234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38">
        <f>SUM(F189, K189, P189, F190, K190, P190)</f>
        <v>0</v>
      </c>
      <c r="V189" s="238">
        <f>SUM(H189, M189, R189, H190, M190, R190)</f>
        <v>0</v>
      </c>
      <c r="W189" s="213">
        <f>IF($U189=0, ,V189/$U189)</f>
        <v>0</v>
      </c>
      <c r="X189" s="238">
        <f>SUM(I189, N189, S189, I190, N190, S190)</f>
        <v>0</v>
      </c>
      <c r="Y189" s="213">
        <f>IF($U189=0, ,X189/$U189)</f>
        <v>0</v>
      </c>
      <c r="Z189" s="238">
        <f>SUM(J189, O189, T189, J190, O190, T190)</f>
        <v>0</v>
      </c>
      <c r="AA189" s="213">
        <f>IF($U189=0, ,Z189/$U189)</f>
        <v>0</v>
      </c>
      <c r="AB189" s="232" t="s">
        <v>87</v>
      </c>
    </row>
    <row r="190" spans="1:28" x14ac:dyDescent="0.2">
      <c r="A190" s="242"/>
      <c r="B190" s="246"/>
      <c r="C190" s="10"/>
      <c r="D190" s="10"/>
      <c r="E190" s="235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39"/>
      <c r="V190" s="239"/>
      <c r="W190" s="214"/>
      <c r="X190" s="239"/>
      <c r="Y190" s="214"/>
      <c r="Z190" s="239"/>
      <c r="AA190" s="214"/>
      <c r="AB190" s="233"/>
    </row>
    <row r="191" spans="1:28" x14ac:dyDescent="0.2">
      <c r="A191" s="242"/>
      <c r="B191" s="255" t="s">
        <v>21</v>
      </c>
      <c r="C191" s="9"/>
      <c r="D191" s="9"/>
      <c r="E191" s="219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21">
        <f>SUM(F191, K191, P191, F192, K192, P192)</f>
        <v>3728</v>
      </c>
      <c r="V191" s="221">
        <f>SUM(H191, M191, R191, H192, M192, R192)</f>
        <v>0</v>
      </c>
      <c r="W191" s="223">
        <f>IF($U191=0, ,V191/$U191)</f>
        <v>0</v>
      </c>
      <c r="X191" s="221">
        <f>SUM(I191, N191, S191, I192, N192, S192)</f>
        <v>0</v>
      </c>
      <c r="Y191" s="223">
        <f>IF($U191=0, ,X191/$U191)</f>
        <v>0</v>
      </c>
      <c r="Z191" s="221">
        <f>SUM(J191, O191, T191, J192, O192, T192)</f>
        <v>0</v>
      </c>
      <c r="AA191" s="223">
        <f>IF($U191=0, ,Z191/$U191)</f>
        <v>0</v>
      </c>
      <c r="AB191" s="247"/>
    </row>
    <row r="192" spans="1:28" x14ac:dyDescent="0.2">
      <c r="A192" s="242"/>
      <c r="B192" s="274"/>
      <c r="C192" s="9"/>
      <c r="D192" s="9"/>
      <c r="E192" s="220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22"/>
      <c r="V192" s="222"/>
      <c r="W192" s="224"/>
      <c r="X192" s="222"/>
      <c r="Y192" s="224"/>
      <c r="Z192" s="222"/>
      <c r="AA192" s="224"/>
      <c r="AB192" s="248"/>
    </row>
    <row r="193" spans="1:28" x14ac:dyDescent="0.2">
      <c r="A193" s="242"/>
      <c r="B193" s="245" t="s">
        <v>22</v>
      </c>
      <c r="C193" s="11"/>
      <c r="D193" s="11"/>
      <c r="E193" s="251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38">
        <f>SUM(F193, K193, P193, F194, K194, P194)</f>
        <v>2584</v>
      </c>
      <c r="V193" s="238">
        <f>SUM(H193, M193, R193, H194, M194, R194)</f>
        <v>0</v>
      </c>
      <c r="W193" s="213">
        <f>IF($U193=0, ,V193/$U193)</f>
        <v>0</v>
      </c>
      <c r="X193" s="238">
        <f>SUM(I193, N193, S193, I194, N194, S194)</f>
        <v>0</v>
      </c>
      <c r="Y193" s="213">
        <f>IF($U193=0, ,X193/$U193)</f>
        <v>0</v>
      </c>
      <c r="Z193" s="238">
        <f>SUM(J193, O193, T193, J194, O194, T194)</f>
        <v>0</v>
      </c>
      <c r="AA193" s="213">
        <f>IF($U193=0, ,Z193/$U193)</f>
        <v>0</v>
      </c>
      <c r="AB193" s="232"/>
    </row>
    <row r="194" spans="1:28" x14ac:dyDescent="0.2">
      <c r="A194" s="242"/>
      <c r="B194" s="246"/>
      <c r="C194" s="11"/>
      <c r="D194" s="11"/>
      <c r="E194" s="252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39"/>
      <c r="V194" s="239"/>
      <c r="W194" s="214"/>
      <c r="X194" s="239"/>
      <c r="Y194" s="214"/>
      <c r="Z194" s="239"/>
      <c r="AA194" s="214"/>
      <c r="AB194" s="233"/>
    </row>
    <row r="195" spans="1:28" ht="13.5" thickBot="1" x14ac:dyDescent="0.25">
      <c r="A195" s="242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42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42"/>
      <c r="B197" s="243" t="s">
        <v>35</v>
      </c>
      <c r="C197" s="244" t="s">
        <v>25</v>
      </c>
      <c r="D197" s="244" t="s">
        <v>28</v>
      </c>
      <c r="E197" s="225" t="s">
        <v>12</v>
      </c>
      <c r="F197" s="269" t="s">
        <v>13</v>
      </c>
      <c r="G197" s="269"/>
      <c r="H197" s="269"/>
      <c r="I197" s="269" t="s">
        <v>14</v>
      </c>
      <c r="J197" s="269"/>
      <c r="K197" s="269"/>
      <c r="L197" s="269" t="s">
        <v>15</v>
      </c>
      <c r="M197" s="269"/>
      <c r="N197" s="269"/>
      <c r="O197" s="229" t="s">
        <v>34</v>
      </c>
      <c r="P197" s="229" t="s">
        <v>48</v>
      </c>
      <c r="Q197" s="229" t="s">
        <v>60</v>
      </c>
      <c r="R197" s="229" t="s">
        <v>49</v>
      </c>
      <c r="S197" s="229" t="s">
        <v>61</v>
      </c>
      <c r="T197" s="265"/>
      <c r="U197" s="265"/>
      <c r="V197" s="265"/>
      <c r="W197" s="265"/>
      <c r="X197" s="265"/>
      <c r="Y197" s="265"/>
      <c r="Z197" s="265"/>
      <c r="AA197" s="265"/>
      <c r="AB197" s="266"/>
    </row>
    <row r="198" spans="1:28" ht="25.5" x14ac:dyDescent="0.2">
      <c r="A198" s="242"/>
      <c r="B198" s="243"/>
      <c r="C198" s="244"/>
      <c r="D198" s="244"/>
      <c r="E198" s="225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31"/>
      <c r="P198" s="231"/>
      <c r="Q198" s="231"/>
      <c r="R198" s="231"/>
      <c r="S198" s="231"/>
      <c r="T198" s="267"/>
      <c r="U198" s="267"/>
      <c r="V198" s="267"/>
      <c r="W198" s="267"/>
      <c r="X198" s="267"/>
      <c r="Y198" s="267"/>
      <c r="Z198" s="267"/>
      <c r="AA198" s="267"/>
      <c r="AB198" s="268"/>
    </row>
    <row r="199" spans="1:28" x14ac:dyDescent="0.2">
      <c r="A199" s="242"/>
      <c r="B199" s="263" t="s">
        <v>36</v>
      </c>
      <c r="C199" s="12">
        <v>21283</v>
      </c>
      <c r="D199" s="12" t="s">
        <v>95</v>
      </c>
      <c r="E199" s="264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21">
        <f>SUM(F199, I199, L199, F200, I200, L200)*$O196</f>
        <v>0</v>
      </c>
      <c r="P199" s="221">
        <f>SUM(G199, J199, M199, G200, J200, M200)</f>
        <v>0</v>
      </c>
      <c r="Q199" s="223">
        <f>IF($O199=0, ,P199/$O199)</f>
        <v>0</v>
      </c>
      <c r="R199" s="221">
        <f>SUM(H199, K199, N199, H200, K200, N200)</f>
        <v>0</v>
      </c>
      <c r="S199" s="223">
        <f>IF($O199=0, ,R199/$O199)</f>
        <v>0</v>
      </c>
      <c r="T199" s="270"/>
      <c r="U199" s="270"/>
      <c r="V199" s="270"/>
      <c r="W199" s="270"/>
      <c r="X199" s="270"/>
      <c r="Y199" s="270"/>
      <c r="Z199" s="270"/>
      <c r="AA199" s="270"/>
      <c r="AB199" s="271"/>
    </row>
    <row r="200" spans="1:28" x14ac:dyDescent="0.2">
      <c r="A200" s="242"/>
      <c r="B200" s="263"/>
      <c r="C200" s="12"/>
      <c r="D200" s="12"/>
      <c r="E200" s="264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22"/>
      <c r="P200" s="222"/>
      <c r="Q200" s="224"/>
      <c r="R200" s="222"/>
      <c r="S200" s="224"/>
      <c r="T200" s="272"/>
      <c r="U200" s="272"/>
      <c r="V200" s="272"/>
      <c r="W200" s="272"/>
      <c r="X200" s="272"/>
      <c r="Y200" s="272"/>
      <c r="Z200" s="272"/>
      <c r="AA200" s="272"/>
      <c r="AB200" s="273"/>
    </row>
    <row r="201" spans="1:28" x14ac:dyDescent="0.2">
      <c r="A201" s="242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42"/>
      <c r="B202" s="276" t="s">
        <v>67</v>
      </c>
      <c r="C202" s="276"/>
      <c r="D202" s="277"/>
      <c r="E202" s="82" t="s">
        <v>68</v>
      </c>
      <c r="F202" s="261" t="s">
        <v>64</v>
      </c>
      <c r="G202" s="261"/>
      <c r="H202" s="261"/>
      <c r="I202" s="261" t="s">
        <v>76</v>
      </c>
      <c r="J202" s="261"/>
      <c r="K202" s="261"/>
      <c r="L202" s="261" t="s">
        <v>65</v>
      </c>
      <c r="M202" s="261"/>
      <c r="N202" s="261"/>
      <c r="O202" s="261" t="s">
        <v>66</v>
      </c>
      <c r="P202" s="261"/>
      <c r="Q202" s="261"/>
      <c r="R202" s="261" t="s">
        <v>73</v>
      </c>
      <c r="S202" s="261"/>
      <c r="T202" s="261"/>
      <c r="U202" s="261" t="s">
        <v>74</v>
      </c>
      <c r="V202" s="261"/>
      <c r="W202" s="261"/>
      <c r="X202" s="261" t="s">
        <v>75</v>
      </c>
      <c r="Y202" s="261"/>
      <c r="Z202" s="261"/>
      <c r="AA202" s="262"/>
      <c r="AB202" s="262"/>
    </row>
    <row r="203" spans="1:28" x14ac:dyDescent="0.2">
      <c r="A203" s="242"/>
      <c r="B203" s="278"/>
      <c r="C203" s="278"/>
      <c r="D203" s="279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62"/>
      <c r="AB203" s="262"/>
    </row>
    <row r="204" spans="1:28" x14ac:dyDescent="0.2">
      <c r="A204" s="242"/>
      <c r="B204" s="280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62"/>
      <c r="AB204" s="262"/>
    </row>
    <row r="205" spans="1:28" x14ac:dyDescent="0.2">
      <c r="A205" s="242"/>
      <c r="B205" s="280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62"/>
      <c r="AB205" s="262"/>
    </row>
    <row r="206" spans="1:28" x14ac:dyDescent="0.2">
      <c r="A206" s="242"/>
      <c r="B206" s="280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62"/>
      <c r="AB206" s="262"/>
    </row>
    <row r="207" spans="1:28" x14ac:dyDescent="0.2">
      <c r="A207" s="242"/>
      <c r="B207" s="280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62"/>
      <c r="AB207" s="262"/>
    </row>
    <row r="209" spans="1:28" ht="12.75" customHeight="1" x14ac:dyDescent="0.2">
      <c r="A209" s="242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42"/>
      <c r="B210" s="243" t="s">
        <v>10</v>
      </c>
      <c r="C210" s="244" t="s">
        <v>25</v>
      </c>
      <c r="D210" s="244" t="s">
        <v>28</v>
      </c>
      <c r="E210" s="225" t="s">
        <v>12</v>
      </c>
      <c r="F210" s="226" t="s">
        <v>13</v>
      </c>
      <c r="G210" s="227"/>
      <c r="H210" s="227"/>
      <c r="I210" s="227"/>
      <c r="J210" s="228"/>
      <c r="K210" s="226" t="s">
        <v>14</v>
      </c>
      <c r="L210" s="227"/>
      <c r="M210" s="227"/>
      <c r="N210" s="227"/>
      <c r="O210" s="228"/>
      <c r="P210" s="226" t="s">
        <v>15</v>
      </c>
      <c r="Q210" s="227"/>
      <c r="R210" s="227"/>
      <c r="S210" s="227"/>
      <c r="T210" s="228"/>
      <c r="U210" s="275" t="s">
        <v>34</v>
      </c>
      <c r="V210" s="275" t="s">
        <v>48</v>
      </c>
      <c r="W210" s="275" t="s">
        <v>56</v>
      </c>
      <c r="X210" s="275" t="s">
        <v>54</v>
      </c>
      <c r="Y210" s="275" t="s">
        <v>57</v>
      </c>
      <c r="Z210" s="275" t="s">
        <v>55</v>
      </c>
      <c r="AA210" s="275" t="s">
        <v>58</v>
      </c>
      <c r="AB210" s="275" t="s">
        <v>38</v>
      </c>
    </row>
    <row r="211" spans="1:28" ht="38.25" x14ac:dyDescent="0.2">
      <c r="A211" s="242"/>
      <c r="B211" s="243"/>
      <c r="C211" s="244"/>
      <c r="D211" s="244"/>
      <c r="E211" s="225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75"/>
      <c r="V211" s="275"/>
      <c r="W211" s="275"/>
      <c r="X211" s="275"/>
      <c r="Y211" s="275"/>
      <c r="Z211" s="275"/>
      <c r="AA211" s="275"/>
      <c r="AB211" s="275"/>
    </row>
    <row r="212" spans="1:28" ht="12.75" customHeight="1" x14ac:dyDescent="0.2">
      <c r="A212" s="242"/>
      <c r="B212" s="255" t="s">
        <v>17</v>
      </c>
      <c r="C212" s="12">
        <v>21283</v>
      </c>
      <c r="D212" s="12"/>
      <c r="E212" s="257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21">
        <f>SUM(F212, K212, P212, F213, K213, P213)</f>
        <v>3601</v>
      </c>
      <c r="V212" s="221">
        <f>SUM(H212, M212, R212, H213, M213, R213)</f>
        <v>0</v>
      </c>
      <c r="W212" s="223">
        <f>IF($U212=0, ,V212/$U212)</f>
        <v>0</v>
      </c>
      <c r="X212" s="221">
        <f>SUM(I212, N212, S212, I213, N213, S213)</f>
        <v>0</v>
      </c>
      <c r="Y212" s="223">
        <f>IF($U212=0, ,X212/$U212)</f>
        <v>0</v>
      </c>
      <c r="Z212" s="221">
        <f>SUM(J212, O212, T212, J213, O213, T213)</f>
        <v>0</v>
      </c>
      <c r="AA212" s="223">
        <f>IF($U212=0, ,Z212/$U212)</f>
        <v>0</v>
      </c>
      <c r="AB212" s="247" t="s">
        <v>87</v>
      </c>
    </row>
    <row r="213" spans="1:28" ht="12.75" customHeight="1" x14ac:dyDescent="0.2">
      <c r="A213" s="242"/>
      <c r="B213" s="274"/>
      <c r="C213" s="12"/>
      <c r="D213" s="12"/>
      <c r="E213" s="259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22"/>
      <c r="V213" s="222"/>
      <c r="W213" s="224"/>
      <c r="X213" s="222"/>
      <c r="Y213" s="224"/>
      <c r="Z213" s="222"/>
      <c r="AA213" s="224"/>
      <c r="AB213" s="248"/>
    </row>
    <row r="214" spans="1:28" ht="12.75" customHeight="1" x14ac:dyDescent="0.2">
      <c r="A214" s="242"/>
      <c r="B214" s="245" t="s">
        <v>18</v>
      </c>
      <c r="C214" s="10">
        <v>21283</v>
      </c>
      <c r="D214" s="10"/>
      <c r="E214" s="234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38">
        <f>SUM(F214, K214, P214, F215, K215, P215)</f>
        <v>7525</v>
      </c>
      <c r="V214" s="238">
        <f>SUM(H214, M214, R214, H215, M215, R215)</f>
        <v>0</v>
      </c>
      <c r="W214" s="213">
        <f>IF($U214=0, ,V214/$U214)</f>
        <v>0</v>
      </c>
      <c r="X214" s="238">
        <f>SUM(I214, N214, S214, I215, N215, S215)</f>
        <v>0</v>
      </c>
      <c r="Y214" s="213">
        <f>IF($U214=0, ,X214/$U214)</f>
        <v>0</v>
      </c>
      <c r="Z214" s="238">
        <f>SUM(J214, O214, T214, J215, O215, T215)</f>
        <v>0</v>
      </c>
      <c r="AA214" s="213">
        <f>IF($U214=0, ,Z214/$U214)</f>
        <v>0</v>
      </c>
      <c r="AB214" s="232" t="s">
        <v>87</v>
      </c>
    </row>
    <row r="215" spans="1:28" ht="12.75" customHeight="1" x14ac:dyDescent="0.2">
      <c r="A215" s="242"/>
      <c r="B215" s="246"/>
      <c r="C215" s="10"/>
      <c r="D215" s="10"/>
      <c r="E215" s="235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39"/>
      <c r="V215" s="239"/>
      <c r="W215" s="214"/>
      <c r="X215" s="239"/>
      <c r="Y215" s="214"/>
      <c r="Z215" s="239"/>
      <c r="AA215" s="214"/>
      <c r="AB215" s="233"/>
    </row>
    <row r="216" spans="1:28" ht="12.75" customHeight="1" x14ac:dyDescent="0.2">
      <c r="A216" s="242"/>
      <c r="B216" s="255" t="s">
        <v>19</v>
      </c>
      <c r="C216" s="9"/>
      <c r="D216" s="9"/>
      <c r="E216" s="219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21">
        <f>SUM(F216, K216, P216, F217, K217, P217)</f>
        <v>0</v>
      </c>
      <c r="V216" s="221">
        <f>SUM(H216, M216, R216, H217, M217, R217)</f>
        <v>0</v>
      </c>
      <c r="W216" s="223">
        <f>IF($U216=0, ,V216/$U216)</f>
        <v>0</v>
      </c>
      <c r="X216" s="221">
        <f>SUM(I216, N216, S216, I217, N217, S217)</f>
        <v>0</v>
      </c>
      <c r="Y216" s="223">
        <f>IF($U216=0, ,X216/$U216)</f>
        <v>0</v>
      </c>
      <c r="Z216" s="221">
        <f>SUM(J216, O216, T216, J217, O217, T217)</f>
        <v>0</v>
      </c>
      <c r="AA216" s="223">
        <f>IF($U216=0, ,Z216/$U216)</f>
        <v>0</v>
      </c>
      <c r="AB216" s="247" t="s">
        <v>87</v>
      </c>
    </row>
    <row r="217" spans="1:28" ht="12.75" customHeight="1" x14ac:dyDescent="0.2">
      <c r="A217" s="242"/>
      <c r="B217" s="274"/>
      <c r="C217" s="9"/>
      <c r="D217" s="9"/>
      <c r="E217" s="220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22"/>
      <c r="V217" s="222"/>
      <c r="W217" s="224"/>
      <c r="X217" s="222"/>
      <c r="Y217" s="224"/>
      <c r="Z217" s="222"/>
      <c r="AA217" s="224"/>
      <c r="AB217" s="248"/>
    </row>
    <row r="218" spans="1:28" ht="12.75" customHeight="1" x14ac:dyDescent="0.2">
      <c r="A218" s="242"/>
      <c r="B218" s="245" t="s">
        <v>20</v>
      </c>
      <c r="C218" s="10">
        <v>21283</v>
      </c>
      <c r="D218" s="10"/>
      <c r="E218" s="234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38">
        <f>SUM(F218, K218, P218, F219, K219, P219)</f>
        <v>6767</v>
      </c>
      <c r="V218" s="238">
        <f>SUM(H218, M218, R218, H219, M219, R219)</f>
        <v>0</v>
      </c>
      <c r="W218" s="213">
        <f>IF($U218=0, ,V218/$U218)</f>
        <v>0</v>
      </c>
      <c r="X218" s="238">
        <f>SUM(I218, N218, S218, I219, N219, S219)</f>
        <v>0</v>
      </c>
      <c r="Y218" s="213">
        <f>IF($U218=0, ,X218/$U218)</f>
        <v>0</v>
      </c>
      <c r="Z218" s="238">
        <f>SUM(J218, O218, T218, J219, O219, T219)</f>
        <v>0</v>
      </c>
      <c r="AA218" s="213">
        <f>IF($U218=0, ,Z218/$U218)</f>
        <v>0</v>
      </c>
      <c r="AB218" s="232" t="s">
        <v>87</v>
      </c>
    </row>
    <row r="219" spans="1:28" ht="12.75" customHeight="1" x14ac:dyDescent="0.2">
      <c r="A219" s="242"/>
      <c r="B219" s="246"/>
      <c r="C219" s="10"/>
      <c r="D219" s="10"/>
      <c r="E219" s="235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39"/>
      <c r="V219" s="239"/>
      <c r="W219" s="214"/>
      <c r="X219" s="239"/>
      <c r="Y219" s="214"/>
      <c r="Z219" s="239"/>
      <c r="AA219" s="214"/>
      <c r="AB219" s="233"/>
    </row>
    <row r="220" spans="1:28" ht="12.75" customHeight="1" x14ac:dyDescent="0.2">
      <c r="A220" s="242"/>
      <c r="B220" s="255" t="s">
        <v>21</v>
      </c>
      <c r="C220" s="9">
        <v>21283</v>
      </c>
      <c r="D220" s="9"/>
      <c r="E220" s="219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21">
        <f>SUM(F220, K220, P220, F221, K221, P221)</f>
        <v>6622</v>
      </c>
      <c r="V220" s="221">
        <f>SUM(H220, M220, R220, H221, M221, R221)</f>
        <v>0</v>
      </c>
      <c r="W220" s="223">
        <f>IF($U220=0, ,V220/$U220)</f>
        <v>0</v>
      </c>
      <c r="X220" s="221">
        <f>SUM(I220, N220, S220, I221, N221, S221)</f>
        <v>0</v>
      </c>
      <c r="Y220" s="223">
        <f>IF($U220=0, ,X220/$U220)</f>
        <v>0</v>
      </c>
      <c r="Z220" s="221">
        <f>SUM(J220, O220, T220, J221, O221, T221)</f>
        <v>0</v>
      </c>
      <c r="AA220" s="223">
        <f>IF($U220=0, ,Z220/$U220)</f>
        <v>0</v>
      </c>
      <c r="AB220" s="247" t="s">
        <v>87</v>
      </c>
    </row>
    <row r="221" spans="1:28" ht="12.75" customHeight="1" x14ac:dyDescent="0.2">
      <c r="A221" s="242"/>
      <c r="B221" s="274"/>
      <c r="C221" s="9"/>
      <c r="D221" s="9"/>
      <c r="E221" s="220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22"/>
      <c r="V221" s="222"/>
      <c r="W221" s="224"/>
      <c r="X221" s="222"/>
      <c r="Y221" s="224"/>
      <c r="Z221" s="222"/>
      <c r="AA221" s="224"/>
      <c r="AB221" s="248"/>
    </row>
    <row r="222" spans="1:28" ht="12.75" customHeight="1" x14ac:dyDescent="0.2">
      <c r="A222" s="242"/>
      <c r="B222" s="245" t="s">
        <v>22</v>
      </c>
      <c r="C222" s="11">
        <v>21283</v>
      </c>
      <c r="D222" s="11"/>
      <c r="E222" s="251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38">
        <f>SUM(F222, K222, P222, F223, K223, P223)</f>
        <v>4743</v>
      </c>
      <c r="V222" s="238">
        <f>SUM(H222, M222, R222, H223, M223, R223)</f>
        <v>0</v>
      </c>
      <c r="W222" s="213">
        <f>IF($U222=0, ,V222/$U222)</f>
        <v>0</v>
      </c>
      <c r="X222" s="238">
        <f>SUM(I222, N222, S222, I223, N223, S223)</f>
        <v>0</v>
      </c>
      <c r="Y222" s="213">
        <f>IF($U222=0, ,X222/$U222)</f>
        <v>0</v>
      </c>
      <c r="Z222" s="238">
        <f>SUM(J222, O222, T222, J223, O223, T223)</f>
        <v>0</v>
      </c>
      <c r="AA222" s="213">
        <f>IF($U222=0, ,Z222/$U222)</f>
        <v>0</v>
      </c>
      <c r="AB222" s="232" t="s">
        <v>87</v>
      </c>
    </row>
    <row r="223" spans="1:28" ht="12.75" customHeight="1" x14ac:dyDescent="0.2">
      <c r="A223" s="242"/>
      <c r="B223" s="246"/>
      <c r="C223" s="11"/>
      <c r="D223" s="11"/>
      <c r="E223" s="252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39"/>
      <c r="V223" s="239"/>
      <c r="W223" s="214"/>
      <c r="X223" s="239"/>
      <c r="Y223" s="214"/>
      <c r="Z223" s="239"/>
      <c r="AA223" s="214"/>
      <c r="AB223" s="233"/>
    </row>
    <row r="224" spans="1:28" ht="13.5" customHeight="1" thickBot="1" x14ac:dyDescent="0.25">
      <c r="A224" s="242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42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42"/>
      <c r="B226" s="243" t="s">
        <v>35</v>
      </c>
      <c r="C226" s="244" t="s">
        <v>25</v>
      </c>
      <c r="D226" s="244" t="s">
        <v>28</v>
      </c>
      <c r="E226" s="225" t="s">
        <v>12</v>
      </c>
      <c r="F226" s="269" t="s">
        <v>13</v>
      </c>
      <c r="G226" s="269"/>
      <c r="H226" s="269"/>
      <c r="I226" s="269" t="s">
        <v>14</v>
      </c>
      <c r="J226" s="269"/>
      <c r="K226" s="269"/>
      <c r="L226" s="269" t="s">
        <v>15</v>
      </c>
      <c r="M226" s="269"/>
      <c r="N226" s="269"/>
      <c r="O226" s="229" t="s">
        <v>34</v>
      </c>
      <c r="P226" s="229" t="s">
        <v>48</v>
      </c>
      <c r="Q226" s="229" t="s">
        <v>60</v>
      </c>
      <c r="R226" s="229" t="s">
        <v>49</v>
      </c>
      <c r="S226" s="229" t="s">
        <v>61</v>
      </c>
      <c r="T226" s="265"/>
      <c r="U226" s="265"/>
      <c r="V226" s="265"/>
      <c r="W226" s="265"/>
      <c r="X226" s="265"/>
      <c r="Y226" s="265"/>
      <c r="Z226" s="265"/>
      <c r="AA226" s="265"/>
      <c r="AB226" s="266"/>
    </row>
    <row r="227" spans="1:28" ht="25.5" x14ac:dyDescent="0.2">
      <c r="A227" s="242"/>
      <c r="B227" s="243"/>
      <c r="C227" s="244"/>
      <c r="D227" s="244"/>
      <c r="E227" s="225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31"/>
      <c r="P227" s="231"/>
      <c r="Q227" s="231"/>
      <c r="R227" s="231"/>
      <c r="S227" s="231"/>
      <c r="T227" s="267"/>
      <c r="U227" s="267"/>
      <c r="V227" s="267"/>
      <c r="W227" s="267"/>
      <c r="X227" s="267"/>
      <c r="Y227" s="267"/>
      <c r="Z227" s="267"/>
      <c r="AA227" s="267"/>
      <c r="AB227" s="268"/>
    </row>
    <row r="228" spans="1:28" ht="12.75" customHeight="1" x14ac:dyDescent="0.2">
      <c r="A228" s="242"/>
      <c r="B228" s="263" t="s">
        <v>36</v>
      </c>
      <c r="C228" s="12">
        <v>21283</v>
      </c>
      <c r="D228" s="12" t="s">
        <v>95</v>
      </c>
      <c r="E228" s="264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21">
        <f>SUM(F228, I228, L228, F229, I229, L229)*$O225</f>
        <v>18880</v>
      </c>
      <c r="P228" s="221">
        <f>SUM(G228, J228, M228, G229, J229, M229)</f>
        <v>0</v>
      </c>
      <c r="Q228" s="223">
        <f>IF($O228=0, ,P228/$O228)</f>
        <v>0</v>
      </c>
      <c r="R228" s="221">
        <f>SUM(H228, K228, N228, H229, K229, N229)</f>
        <v>0</v>
      </c>
      <c r="S228" s="223">
        <f>IF($O228=0, ,R228/$O228)</f>
        <v>0</v>
      </c>
      <c r="T228" s="270"/>
      <c r="U228" s="270"/>
      <c r="V228" s="270"/>
      <c r="W228" s="270"/>
      <c r="X228" s="270"/>
      <c r="Y228" s="270"/>
      <c r="Z228" s="270"/>
      <c r="AA228" s="270"/>
      <c r="AB228" s="271"/>
    </row>
    <row r="229" spans="1:28" ht="12.75" customHeight="1" x14ac:dyDescent="0.2">
      <c r="A229" s="242"/>
      <c r="B229" s="263"/>
      <c r="C229" s="12"/>
      <c r="D229" s="12"/>
      <c r="E229" s="264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22"/>
      <c r="P229" s="222"/>
      <c r="Q229" s="224"/>
      <c r="R229" s="222"/>
      <c r="S229" s="224"/>
      <c r="T229" s="272"/>
      <c r="U229" s="272"/>
      <c r="V229" s="272"/>
      <c r="W229" s="272"/>
      <c r="X229" s="272"/>
      <c r="Y229" s="272"/>
      <c r="Z229" s="272"/>
      <c r="AA229" s="272"/>
      <c r="AB229" s="273"/>
    </row>
    <row r="230" spans="1:28" ht="12.75" customHeight="1" x14ac:dyDescent="0.2">
      <c r="A230" s="242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42"/>
      <c r="B231" s="276" t="s">
        <v>67</v>
      </c>
      <c r="C231" s="276"/>
      <c r="D231" s="277"/>
      <c r="E231" s="82" t="s">
        <v>68</v>
      </c>
      <c r="F231" s="261" t="s">
        <v>64</v>
      </c>
      <c r="G231" s="261"/>
      <c r="H231" s="261"/>
      <c r="I231" s="261" t="s">
        <v>76</v>
      </c>
      <c r="J231" s="261"/>
      <c r="K231" s="261"/>
      <c r="L231" s="261" t="s">
        <v>65</v>
      </c>
      <c r="M231" s="261"/>
      <c r="N231" s="261"/>
      <c r="O231" s="261" t="s">
        <v>66</v>
      </c>
      <c r="P231" s="261"/>
      <c r="Q231" s="261"/>
      <c r="R231" s="261" t="s">
        <v>73</v>
      </c>
      <c r="S231" s="261"/>
      <c r="T231" s="261"/>
      <c r="U231" s="261" t="s">
        <v>74</v>
      </c>
      <c r="V231" s="261"/>
      <c r="W231" s="261"/>
      <c r="X231" s="261" t="s">
        <v>75</v>
      </c>
      <c r="Y231" s="261"/>
      <c r="Z231" s="261"/>
      <c r="AA231" s="262"/>
      <c r="AB231" s="262"/>
    </row>
    <row r="232" spans="1:28" ht="12.75" customHeight="1" x14ac:dyDescent="0.2">
      <c r="A232" s="242"/>
      <c r="B232" s="278"/>
      <c r="C232" s="278"/>
      <c r="D232" s="279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62"/>
      <c r="AB232" s="262"/>
    </row>
    <row r="233" spans="1:28" ht="12.75" customHeight="1" x14ac:dyDescent="0.2">
      <c r="A233" s="242"/>
      <c r="B233" s="280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62"/>
      <c r="AB233" s="262"/>
    </row>
    <row r="234" spans="1:28" ht="12.75" customHeight="1" x14ac:dyDescent="0.2">
      <c r="A234" s="242"/>
      <c r="B234" s="280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62"/>
      <c r="AB234" s="262"/>
    </row>
    <row r="235" spans="1:28" ht="12.75" customHeight="1" x14ac:dyDescent="0.2">
      <c r="A235" s="242"/>
      <c r="B235" s="280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62"/>
      <c r="AB235" s="262"/>
    </row>
    <row r="236" spans="1:28" ht="12.75" customHeight="1" x14ac:dyDescent="0.2">
      <c r="A236" s="242"/>
      <c r="B236" s="280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62"/>
      <c r="AB236" s="262"/>
    </row>
    <row r="238" spans="1:28" x14ac:dyDescent="0.2">
      <c r="A238" s="242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42"/>
      <c r="B239" s="243" t="s">
        <v>10</v>
      </c>
      <c r="C239" s="244" t="s">
        <v>25</v>
      </c>
      <c r="D239" s="244" t="s">
        <v>28</v>
      </c>
      <c r="E239" s="225" t="s">
        <v>12</v>
      </c>
      <c r="F239" s="226" t="s">
        <v>13</v>
      </c>
      <c r="G239" s="227"/>
      <c r="H239" s="227"/>
      <c r="I239" s="227"/>
      <c r="J239" s="228"/>
      <c r="K239" s="226" t="s">
        <v>14</v>
      </c>
      <c r="L239" s="227"/>
      <c r="M239" s="227"/>
      <c r="N239" s="227"/>
      <c r="O239" s="228"/>
      <c r="P239" s="226" t="s">
        <v>15</v>
      </c>
      <c r="Q239" s="227"/>
      <c r="R239" s="227"/>
      <c r="S239" s="227"/>
      <c r="T239" s="228"/>
      <c r="U239" s="275" t="s">
        <v>34</v>
      </c>
      <c r="V239" s="275" t="s">
        <v>48</v>
      </c>
      <c r="W239" s="275" t="s">
        <v>56</v>
      </c>
      <c r="X239" s="275" t="s">
        <v>54</v>
      </c>
      <c r="Y239" s="275" t="s">
        <v>57</v>
      </c>
      <c r="Z239" s="275" t="s">
        <v>55</v>
      </c>
      <c r="AA239" s="275" t="s">
        <v>58</v>
      </c>
      <c r="AB239" s="275" t="s">
        <v>38</v>
      </c>
    </row>
    <row r="240" spans="1:28" ht="38.25" x14ac:dyDescent="0.2">
      <c r="A240" s="242"/>
      <c r="B240" s="243"/>
      <c r="C240" s="244"/>
      <c r="D240" s="244"/>
      <c r="E240" s="225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75"/>
      <c r="V240" s="275"/>
      <c r="W240" s="275"/>
      <c r="X240" s="275"/>
      <c r="Y240" s="275"/>
      <c r="Z240" s="275"/>
      <c r="AA240" s="275"/>
      <c r="AB240" s="275"/>
    </row>
    <row r="241" spans="1:28" x14ac:dyDescent="0.2">
      <c r="A241" s="242"/>
      <c r="B241" s="255" t="s">
        <v>17</v>
      </c>
      <c r="C241" s="12">
        <v>21283</v>
      </c>
      <c r="D241" s="12"/>
      <c r="E241" s="257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21">
        <f>SUM(F241, K241, P241, F242, K242, P242)</f>
        <v>3919</v>
      </c>
      <c r="V241" s="221">
        <f>SUM(H241, M241, R241, H242, M242, R242)</f>
        <v>0</v>
      </c>
      <c r="W241" s="223">
        <f>IF($U241=0, ,V241/$U241)</f>
        <v>0</v>
      </c>
      <c r="X241" s="221">
        <f>SUM(I241, N241, S241, I242, N242, S242)</f>
        <v>0</v>
      </c>
      <c r="Y241" s="223">
        <f>IF($U241=0, ,X241/$U241)</f>
        <v>0</v>
      </c>
      <c r="Z241" s="221">
        <f>SUM(J241, O241, T241, J242, O242, T242)</f>
        <v>0</v>
      </c>
      <c r="AA241" s="223">
        <f>IF($U241=0, ,Z241/$U241)</f>
        <v>0</v>
      </c>
      <c r="AB241" s="247" t="s">
        <v>87</v>
      </c>
    </row>
    <row r="242" spans="1:28" x14ac:dyDescent="0.2">
      <c r="A242" s="242"/>
      <c r="B242" s="274"/>
      <c r="C242" s="12"/>
      <c r="D242" s="12"/>
      <c r="E242" s="259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22"/>
      <c r="V242" s="222"/>
      <c r="W242" s="224"/>
      <c r="X242" s="222"/>
      <c r="Y242" s="224"/>
      <c r="Z242" s="222"/>
      <c r="AA242" s="224"/>
      <c r="AB242" s="248"/>
    </row>
    <row r="243" spans="1:28" x14ac:dyDescent="0.2">
      <c r="A243" s="242"/>
      <c r="B243" s="245" t="s">
        <v>18</v>
      </c>
      <c r="C243" s="10">
        <v>21283</v>
      </c>
      <c r="D243" s="10"/>
      <c r="E243" s="234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38">
        <f>SUM(F243, K243, P243, F244, K244, P244)</f>
        <v>7246</v>
      </c>
      <c r="V243" s="238">
        <f>SUM(H243, M243, R243, H244, M244, R244)</f>
        <v>0</v>
      </c>
      <c r="W243" s="213">
        <f>IF($U243=0, ,V243/$U243)</f>
        <v>0</v>
      </c>
      <c r="X243" s="238">
        <f>SUM(I243, N243, S243, I244, N244, S244)</f>
        <v>0</v>
      </c>
      <c r="Y243" s="213">
        <f>IF($U243=0, ,X243/$U243)</f>
        <v>0</v>
      </c>
      <c r="Z243" s="238">
        <f>SUM(J243, O243, T243, J244, O244, T244)</f>
        <v>0</v>
      </c>
      <c r="AA243" s="213">
        <f>IF($U243=0, ,Z243/$U243)</f>
        <v>0</v>
      </c>
      <c r="AB243" s="232" t="s">
        <v>87</v>
      </c>
    </row>
    <row r="244" spans="1:28" x14ac:dyDescent="0.2">
      <c r="A244" s="242"/>
      <c r="B244" s="246"/>
      <c r="C244" s="10"/>
      <c r="D244" s="10"/>
      <c r="E244" s="235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39"/>
      <c r="V244" s="239"/>
      <c r="W244" s="214"/>
      <c r="X244" s="239"/>
      <c r="Y244" s="214"/>
      <c r="Z244" s="239"/>
      <c r="AA244" s="214"/>
      <c r="AB244" s="233"/>
    </row>
    <row r="245" spans="1:28" x14ac:dyDescent="0.2">
      <c r="A245" s="242"/>
      <c r="B245" s="255" t="s">
        <v>19</v>
      </c>
      <c r="C245" s="9">
        <v>21283</v>
      </c>
      <c r="D245" s="9"/>
      <c r="E245" s="219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21">
        <f>SUM(F245, K245, P245, F246, K246, P246)</f>
        <v>3664</v>
      </c>
      <c r="V245" s="221">
        <f>SUM(H245, M245, R245, H246, M246, R246)</f>
        <v>0</v>
      </c>
      <c r="W245" s="223">
        <f>IF($U245=0, ,V245/$U245)</f>
        <v>0</v>
      </c>
      <c r="X245" s="221">
        <f>SUM(I245, N245, S245, I246, N246, S246)</f>
        <v>0</v>
      </c>
      <c r="Y245" s="223">
        <f>IF($U245=0, ,X245/$U245)</f>
        <v>0</v>
      </c>
      <c r="Z245" s="221">
        <f>SUM(J245, O245, T245, J246, O246, T246)</f>
        <v>0</v>
      </c>
      <c r="AA245" s="223">
        <f>IF($U245=0, ,Z245/$U245)</f>
        <v>0</v>
      </c>
      <c r="AB245" s="247" t="s">
        <v>87</v>
      </c>
    </row>
    <row r="246" spans="1:28" x14ac:dyDescent="0.2">
      <c r="A246" s="242"/>
      <c r="B246" s="274"/>
      <c r="C246" s="9"/>
      <c r="D246" s="9"/>
      <c r="E246" s="220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22"/>
      <c r="V246" s="222"/>
      <c r="W246" s="224"/>
      <c r="X246" s="222"/>
      <c r="Y246" s="224"/>
      <c r="Z246" s="222"/>
      <c r="AA246" s="224"/>
      <c r="AB246" s="248"/>
    </row>
    <row r="247" spans="1:28" x14ac:dyDescent="0.2">
      <c r="A247" s="242"/>
      <c r="B247" s="245" t="s">
        <v>20</v>
      </c>
      <c r="C247" s="10">
        <v>21283</v>
      </c>
      <c r="D247" s="10"/>
      <c r="E247" s="234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38">
        <f>SUM(F247, K247, P247, F248, K248, P248)</f>
        <v>7682</v>
      </c>
      <c r="V247" s="238">
        <f>SUM(H247, M247, R247, H248, M248, R248)</f>
        <v>0</v>
      </c>
      <c r="W247" s="213">
        <f>IF($U247=0, ,V247/$U247)</f>
        <v>0</v>
      </c>
      <c r="X247" s="238">
        <f>SUM(I247, N247, S247, I248, N248, S248)</f>
        <v>0</v>
      </c>
      <c r="Y247" s="213">
        <f>IF($U247=0, ,X247/$U247)</f>
        <v>0</v>
      </c>
      <c r="Z247" s="238">
        <f>SUM(J247, O247, T247, J248, O248, T248)</f>
        <v>0</v>
      </c>
      <c r="AA247" s="213">
        <f>IF($U247=0, ,Z247/$U247)</f>
        <v>0</v>
      </c>
      <c r="AB247" s="232" t="s">
        <v>87</v>
      </c>
    </row>
    <row r="248" spans="1:28" x14ac:dyDescent="0.2">
      <c r="A248" s="242"/>
      <c r="B248" s="246"/>
      <c r="C248" s="10"/>
      <c r="D248" s="10"/>
      <c r="E248" s="235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39"/>
      <c r="V248" s="239"/>
      <c r="W248" s="214"/>
      <c r="X248" s="239"/>
      <c r="Y248" s="214"/>
      <c r="Z248" s="239"/>
      <c r="AA248" s="214"/>
      <c r="AB248" s="233"/>
    </row>
    <row r="249" spans="1:28" x14ac:dyDescent="0.2">
      <c r="A249" s="242"/>
      <c r="B249" s="255" t="s">
        <v>21</v>
      </c>
      <c r="C249" s="9">
        <v>21283</v>
      </c>
      <c r="D249" s="9"/>
      <c r="E249" s="219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21">
        <f>SUM(F249, K249, P249, F250, K250, P250)</f>
        <v>6849</v>
      </c>
      <c r="V249" s="221">
        <f>SUM(H249, M249, R249, H250, M250, R250)</f>
        <v>0</v>
      </c>
      <c r="W249" s="223">
        <f>IF($U249=0, ,V249/$U249)</f>
        <v>0</v>
      </c>
      <c r="X249" s="221">
        <f>SUM(I249, N249, S249, I250, N250, S250)</f>
        <v>0</v>
      </c>
      <c r="Y249" s="223">
        <f>IF($U249=0, ,X249/$U249)</f>
        <v>0</v>
      </c>
      <c r="Z249" s="221">
        <f>SUM(J249, O249, T249, J250, O250, T250)</f>
        <v>0</v>
      </c>
      <c r="AA249" s="223">
        <f>IF($U249=0, ,Z249/$U249)</f>
        <v>0</v>
      </c>
      <c r="AB249" s="247" t="s">
        <v>87</v>
      </c>
    </row>
    <row r="250" spans="1:28" x14ac:dyDescent="0.2">
      <c r="A250" s="242"/>
      <c r="B250" s="274"/>
      <c r="C250" s="9"/>
      <c r="D250" s="9"/>
      <c r="E250" s="220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22"/>
      <c r="V250" s="222"/>
      <c r="W250" s="224"/>
      <c r="X250" s="222"/>
      <c r="Y250" s="224"/>
      <c r="Z250" s="222"/>
      <c r="AA250" s="224"/>
      <c r="AB250" s="248"/>
    </row>
    <row r="251" spans="1:28" x14ac:dyDescent="0.2">
      <c r="A251" s="242"/>
      <c r="B251" s="245" t="s">
        <v>22</v>
      </c>
      <c r="C251" s="11">
        <v>21283</v>
      </c>
      <c r="D251" s="11"/>
      <c r="E251" s="251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38">
        <f>SUM(F251, K251, P251, F252, K252, P252)</f>
        <v>6596</v>
      </c>
      <c r="V251" s="238">
        <f>SUM(H251, M251, R251, H252, M252, R252)</f>
        <v>0</v>
      </c>
      <c r="W251" s="213">
        <f>IF($U251=0, ,V251/$U251)</f>
        <v>0</v>
      </c>
      <c r="X251" s="238">
        <f>SUM(I251, N251, S251, I252, N252, S252)</f>
        <v>0</v>
      </c>
      <c r="Y251" s="213">
        <f>IF($U251=0, ,X251/$U251)</f>
        <v>0</v>
      </c>
      <c r="Z251" s="238">
        <f>SUM(J251, O251, T251, J252, O252, T252)</f>
        <v>0</v>
      </c>
      <c r="AA251" s="213">
        <f>IF($U251=0, ,Z251/$U251)</f>
        <v>0</v>
      </c>
      <c r="AB251" s="232" t="s">
        <v>87</v>
      </c>
    </row>
    <row r="252" spans="1:28" x14ac:dyDescent="0.2">
      <c r="A252" s="242"/>
      <c r="B252" s="246"/>
      <c r="C252" s="11"/>
      <c r="D252" s="11"/>
      <c r="E252" s="252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39"/>
      <c r="V252" s="239"/>
      <c r="W252" s="214"/>
      <c r="X252" s="239"/>
      <c r="Y252" s="214"/>
      <c r="Z252" s="239"/>
      <c r="AA252" s="214"/>
      <c r="AB252" s="233"/>
    </row>
    <row r="253" spans="1:28" ht="13.5" thickBot="1" x14ac:dyDescent="0.25">
      <c r="A253" s="242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42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42"/>
      <c r="B255" s="243" t="s">
        <v>35</v>
      </c>
      <c r="C255" s="244" t="s">
        <v>25</v>
      </c>
      <c r="D255" s="244" t="s">
        <v>28</v>
      </c>
      <c r="E255" s="225" t="s">
        <v>12</v>
      </c>
      <c r="F255" s="269" t="s">
        <v>13</v>
      </c>
      <c r="G255" s="269"/>
      <c r="H255" s="269"/>
      <c r="I255" s="269" t="s">
        <v>14</v>
      </c>
      <c r="J255" s="269"/>
      <c r="K255" s="269"/>
      <c r="L255" s="269" t="s">
        <v>15</v>
      </c>
      <c r="M255" s="269"/>
      <c r="N255" s="269"/>
      <c r="O255" s="229" t="s">
        <v>34</v>
      </c>
      <c r="P255" s="229" t="s">
        <v>48</v>
      </c>
      <c r="Q255" s="229" t="s">
        <v>60</v>
      </c>
      <c r="R255" s="229" t="s">
        <v>49</v>
      </c>
      <c r="S255" s="229" t="s">
        <v>61</v>
      </c>
      <c r="T255" s="265"/>
      <c r="U255" s="265"/>
      <c r="V255" s="265"/>
      <c r="W255" s="265"/>
      <c r="X255" s="265"/>
      <c r="Y255" s="265"/>
      <c r="Z255" s="265"/>
      <c r="AA255" s="265"/>
      <c r="AB255" s="266"/>
    </row>
    <row r="256" spans="1:28" ht="25.5" x14ac:dyDescent="0.2">
      <c r="A256" s="242"/>
      <c r="B256" s="243"/>
      <c r="C256" s="244"/>
      <c r="D256" s="244"/>
      <c r="E256" s="225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31"/>
      <c r="P256" s="231"/>
      <c r="Q256" s="231"/>
      <c r="R256" s="231"/>
      <c r="S256" s="231"/>
      <c r="T256" s="267"/>
      <c r="U256" s="267"/>
      <c r="V256" s="267"/>
      <c r="W256" s="267"/>
      <c r="X256" s="267"/>
      <c r="Y256" s="267"/>
      <c r="Z256" s="267"/>
      <c r="AA256" s="267"/>
      <c r="AB256" s="268"/>
    </row>
    <row r="257" spans="1:28" x14ac:dyDescent="0.2">
      <c r="A257" s="242"/>
      <c r="B257" s="263" t="s">
        <v>36</v>
      </c>
      <c r="C257" s="12">
        <v>21283</v>
      </c>
      <c r="D257" s="12" t="s">
        <v>95</v>
      </c>
      <c r="E257" s="264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21">
        <f>SUM(F257, I257, L257, F258, I258, L258)*$O254</f>
        <v>12160</v>
      </c>
      <c r="P257" s="221">
        <f>SUM(G257, J257, M257, G258, J258, M258)</f>
        <v>0</v>
      </c>
      <c r="Q257" s="223">
        <f>IF($O257=0, ,P257/$O257)</f>
        <v>0</v>
      </c>
      <c r="R257" s="221">
        <f>SUM(H257, K257, N257, H258, K258, N258)</f>
        <v>0</v>
      </c>
      <c r="S257" s="223">
        <f>IF($O257=0, ,R257/$O257)</f>
        <v>0</v>
      </c>
      <c r="T257" s="270"/>
      <c r="U257" s="270"/>
      <c r="V257" s="270"/>
      <c r="W257" s="270"/>
      <c r="X257" s="270"/>
      <c r="Y257" s="270"/>
      <c r="Z257" s="270"/>
      <c r="AA257" s="270"/>
      <c r="AB257" s="271"/>
    </row>
    <row r="258" spans="1:28" x14ac:dyDescent="0.2">
      <c r="A258" s="242"/>
      <c r="B258" s="263"/>
      <c r="C258" s="12"/>
      <c r="D258" s="12"/>
      <c r="E258" s="264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22"/>
      <c r="P258" s="222"/>
      <c r="Q258" s="224"/>
      <c r="R258" s="222"/>
      <c r="S258" s="224"/>
      <c r="T258" s="272"/>
      <c r="U258" s="272"/>
      <c r="V258" s="272"/>
      <c r="W258" s="272"/>
      <c r="X258" s="272"/>
      <c r="Y258" s="272"/>
      <c r="Z258" s="272"/>
      <c r="AA258" s="272"/>
      <c r="AB258" s="273"/>
    </row>
    <row r="259" spans="1:28" x14ac:dyDescent="0.2">
      <c r="A259" s="242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42"/>
      <c r="B260" s="276" t="s">
        <v>67</v>
      </c>
      <c r="C260" s="276"/>
      <c r="D260" s="277"/>
      <c r="E260" s="82" t="s">
        <v>68</v>
      </c>
      <c r="F260" s="261" t="s">
        <v>64</v>
      </c>
      <c r="G260" s="261"/>
      <c r="H260" s="261"/>
      <c r="I260" s="261" t="s">
        <v>76</v>
      </c>
      <c r="J260" s="261"/>
      <c r="K260" s="261"/>
      <c r="L260" s="261" t="s">
        <v>65</v>
      </c>
      <c r="M260" s="261"/>
      <c r="N260" s="261"/>
      <c r="O260" s="261" t="s">
        <v>66</v>
      </c>
      <c r="P260" s="261"/>
      <c r="Q260" s="261"/>
      <c r="R260" s="261" t="s">
        <v>73</v>
      </c>
      <c r="S260" s="261"/>
      <c r="T260" s="261"/>
      <c r="U260" s="261" t="s">
        <v>74</v>
      </c>
      <c r="V260" s="261"/>
      <c r="W260" s="261"/>
      <c r="X260" s="261" t="s">
        <v>75</v>
      </c>
      <c r="Y260" s="261"/>
      <c r="Z260" s="261"/>
      <c r="AA260" s="262"/>
      <c r="AB260" s="262"/>
    </row>
    <row r="261" spans="1:28" x14ac:dyDescent="0.2">
      <c r="A261" s="242"/>
      <c r="B261" s="278"/>
      <c r="C261" s="278"/>
      <c r="D261" s="279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62"/>
      <c r="AB261" s="262"/>
    </row>
    <row r="262" spans="1:28" x14ac:dyDescent="0.2">
      <c r="A262" s="242"/>
      <c r="B262" s="280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62"/>
      <c r="AB262" s="262"/>
    </row>
    <row r="263" spans="1:28" x14ac:dyDescent="0.2">
      <c r="A263" s="242"/>
      <c r="B263" s="280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62"/>
      <c r="AB263" s="262"/>
    </row>
    <row r="264" spans="1:28" x14ac:dyDescent="0.2">
      <c r="A264" s="242"/>
      <c r="B264" s="280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62"/>
      <c r="AB264" s="262"/>
    </row>
    <row r="265" spans="1:28" x14ac:dyDescent="0.2">
      <c r="A265" s="242"/>
      <c r="B265" s="280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62"/>
      <c r="AB265" s="262"/>
    </row>
    <row r="267" spans="1:28" x14ac:dyDescent="0.2">
      <c r="A267" s="242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42"/>
      <c r="B268" s="243" t="s">
        <v>10</v>
      </c>
      <c r="C268" s="244" t="s">
        <v>25</v>
      </c>
      <c r="D268" s="244" t="s">
        <v>28</v>
      </c>
      <c r="E268" s="225" t="s">
        <v>12</v>
      </c>
      <c r="F268" s="226" t="s">
        <v>13</v>
      </c>
      <c r="G268" s="227"/>
      <c r="H268" s="227"/>
      <c r="I268" s="227"/>
      <c r="J268" s="228"/>
      <c r="K268" s="226" t="s">
        <v>14</v>
      </c>
      <c r="L268" s="227"/>
      <c r="M268" s="227"/>
      <c r="N268" s="227"/>
      <c r="O268" s="228"/>
      <c r="P268" s="226" t="s">
        <v>15</v>
      </c>
      <c r="Q268" s="227"/>
      <c r="R268" s="227"/>
      <c r="S268" s="227"/>
      <c r="T268" s="228"/>
      <c r="U268" s="275" t="s">
        <v>34</v>
      </c>
      <c r="V268" s="275" t="s">
        <v>48</v>
      </c>
      <c r="W268" s="275" t="s">
        <v>56</v>
      </c>
      <c r="X268" s="275" t="s">
        <v>54</v>
      </c>
      <c r="Y268" s="275" t="s">
        <v>57</v>
      </c>
      <c r="Z268" s="275" t="s">
        <v>55</v>
      </c>
      <c r="AA268" s="275" t="s">
        <v>58</v>
      </c>
      <c r="AB268" s="275" t="s">
        <v>38</v>
      </c>
    </row>
    <row r="269" spans="1:28" ht="38.25" x14ac:dyDescent="0.2">
      <c r="A269" s="242"/>
      <c r="B269" s="243"/>
      <c r="C269" s="244"/>
      <c r="D269" s="244"/>
      <c r="E269" s="225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75"/>
      <c r="V269" s="275"/>
      <c r="W269" s="275"/>
      <c r="X269" s="275"/>
      <c r="Y269" s="275"/>
      <c r="Z269" s="275"/>
      <c r="AA269" s="275"/>
      <c r="AB269" s="275"/>
    </row>
    <row r="270" spans="1:28" x14ac:dyDescent="0.2">
      <c r="A270" s="242"/>
      <c r="B270" s="255" t="s">
        <v>17</v>
      </c>
      <c r="C270" s="12"/>
      <c r="D270" s="12"/>
      <c r="E270" s="257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21">
        <f>SUM(F270, K270, P270, F271, K271, P271)</f>
        <v>5946</v>
      </c>
      <c r="V270" s="221">
        <f>SUM(H270, M270, R270, H271, M271, R271)</f>
        <v>0</v>
      </c>
      <c r="W270" s="223">
        <f>IF($U270=0, ,V270/$U270)</f>
        <v>0</v>
      </c>
      <c r="X270" s="221">
        <f>SUM(I270, N270, S270, I271, N271, S271)</f>
        <v>0</v>
      </c>
      <c r="Y270" s="223">
        <f>IF($U270=0, ,X270/$U270)</f>
        <v>0</v>
      </c>
      <c r="Z270" s="221">
        <f>SUM(J270, O270, T270, J271, O271, T271)</f>
        <v>0</v>
      </c>
      <c r="AA270" s="223">
        <f>IF($U270=0, ,Z270/$U270)</f>
        <v>0</v>
      </c>
      <c r="AB270" s="247" t="s">
        <v>87</v>
      </c>
    </row>
    <row r="271" spans="1:28" x14ac:dyDescent="0.2">
      <c r="A271" s="242"/>
      <c r="B271" s="274"/>
      <c r="C271" s="12"/>
      <c r="D271" s="12"/>
      <c r="E271" s="259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22"/>
      <c r="V271" s="222"/>
      <c r="W271" s="224"/>
      <c r="X271" s="222"/>
      <c r="Y271" s="224"/>
      <c r="Z271" s="222"/>
      <c r="AA271" s="224"/>
      <c r="AB271" s="248"/>
    </row>
    <row r="272" spans="1:28" x14ac:dyDescent="0.2">
      <c r="A272" s="242"/>
      <c r="B272" s="245" t="s">
        <v>18</v>
      </c>
      <c r="C272" s="10"/>
      <c r="D272" s="10"/>
      <c r="E272" s="234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38">
        <f>SUM(F272, K272, P272, F273, K273, P273)</f>
        <v>4073</v>
      </c>
      <c r="V272" s="238">
        <f>SUM(H272, M272, R272, H273, M273, R273)</f>
        <v>0</v>
      </c>
      <c r="W272" s="213">
        <f>IF($U272=0, ,V272/$U272)</f>
        <v>0</v>
      </c>
      <c r="X272" s="238">
        <f>SUM(I272, N272, S272, I273, N273, S273)</f>
        <v>0</v>
      </c>
      <c r="Y272" s="213">
        <f>IF($U272=0, ,X272/$U272)</f>
        <v>0</v>
      </c>
      <c r="Z272" s="238">
        <f>SUM(J272, O272, T272, J273, O273, T273)</f>
        <v>0</v>
      </c>
      <c r="AA272" s="213">
        <f>IF($U272=0, ,Z272/$U272)</f>
        <v>0</v>
      </c>
      <c r="AB272" s="232" t="s">
        <v>87</v>
      </c>
    </row>
    <row r="273" spans="1:28" x14ac:dyDescent="0.2">
      <c r="A273" s="242"/>
      <c r="B273" s="246"/>
      <c r="C273" s="10"/>
      <c r="D273" s="10"/>
      <c r="E273" s="235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39"/>
      <c r="V273" s="239"/>
      <c r="W273" s="214"/>
      <c r="X273" s="239"/>
      <c r="Y273" s="214"/>
      <c r="Z273" s="239"/>
      <c r="AA273" s="214"/>
      <c r="AB273" s="233"/>
    </row>
    <row r="274" spans="1:28" x14ac:dyDescent="0.2">
      <c r="A274" s="242"/>
      <c r="B274" s="255" t="s">
        <v>19</v>
      </c>
      <c r="C274" s="9"/>
      <c r="D274" s="9"/>
      <c r="E274" s="219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21">
        <f>SUM(F274, K274, P274, F275, K275, P275)</f>
        <v>5643</v>
      </c>
      <c r="V274" s="221">
        <f>SUM(H274, M274, R274, H275, M275, R275)</f>
        <v>0</v>
      </c>
      <c r="W274" s="223">
        <f>IF($U274=0, ,V274/$U274)</f>
        <v>0</v>
      </c>
      <c r="X274" s="221">
        <f>SUM(I274, N274, S274, I275, N275, S275)</f>
        <v>0</v>
      </c>
      <c r="Y274" s="223">
        <f>IF($U274=0, ,X274/$U274)</f>
        <v>0</v>
      </c>
      <c r="Z274" s="221">
        <f>SUM(J274, O274, T274, J275, O275, T275)</f>
        <v>0</v>
      </c>
      <c r="AA274" s="223">
        <f>IF($U274=0, ,Z274/$U274)</f>
        <v>0</v>
      </c>
      <c r="AB274" s="247" t="s">
        <v>87</v>
      </c>
    </row>
    <row r="275" spans="1:28" x14ac:dyDescent="0.2">
      <c r="A275" s="242"/>
      <c r="B275" s="274"/>
      <c r="C275" s="9"/>
      <c r="D275" s="9"/>
      <c r="E275" s="220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22"/>
      <c r="V275" s="222"/>
      <c r="W275" s="224"/>
      <c r="X275" s="222"/>
      <c r="Y275" s="224"/>
      <c r="Z275" s="222"/>
      <c r="AA275" s="224"/>
      <c r="AB275" s="248"/>
    </row>
    <row r="276" spans="1:28" x14ac:dyDescent="0.2">
      <c r="A276" s="242"/>
      <c r="B276" s="245" t="s">
        <v>20</v>
      </c>
      <c r="C276" s="10"/>
      <c r="D276" s="10"/>
      <c r="E276" s="234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38">
        <f>SUM(F276, K276, P276, F277, K277, P277)</f>
        <v>7391</v>
      </c>
      <c r="V276" s="238">
        <f>SUM(H276, M276, R276, H277, M277, R277)</f>
        <v>0</v>
      </c>
      <c r="W276" s="213">
        <f>IF($U276=0, ,V276/$U276)</f>
        <v>0</v>
      </c>
      <c r="X276" s="238">
        <f>SUM(I276, N276, S276, I277, N277, S277)</f>
        <v>0</v>
      </c>
      <c r="Y276" s="213">
        <f>IF($U276=0, ,X276/$U276)</f>
        <v>0</v>
      </c>
      <c r="Z276" s="238">
        <f>SUM(J276, O276, T276, J277, O277, T277)</f>
        <v>0</v>
      </c>
      <c r="AA276" s="213">
        <f>IF($U276=0, ,Z276/$U276)</f>
        <v>0</v>
      </c>
      <c r="AB276" s="232" t="s">
        <v>87</v>
      </c>
    </row>
    <row r="277" spans="1:28" x14ac:dyDescent="0.2">
      <c r="A277" s="242"/>
      <c r="B277" s="246"/>
      <c r="C277" s="10"/>
      <c r="D277" s="10"/>
      <c r="E277" s="235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39"/>
      <c r="V277" s="239"/>
      <c r="W277" s="214"/>
      <c r="X277" s="239"/>
      <c r="Y277" s="214"/>
      <c r="Z277" s="239"/>
      <c r="AA277" s="214"/>
      <c r="AB277" s="233"/>
    </row>
    <row r="278" spans="1:28" x14ac:dyDescent="0.2">
      <c r="A278" s="242"/>
      <c r="B278" s="255" t="s">
        <v>21</v>
      </c>
      <c r="C278" s="9"/>
      <c r="D278" s="9"/>
      <c r="E278" s="219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21">
        <f>SUM(F278, K278, P278, F279, K279, P279)</f>
        <v>7455</v>
      </c>
      <c r="V278" s="221">
        <f>SUM(H278, M278, R278, H279, M279, R279)</f>
        <v>0</v>
      </c>
      <c r="W278" s="223">
        <f>IF($U278=0, ,V278/$U278)</f>
        <v>0</v>
      </c>
      <c r="X278" s="221">
        <f>SUM(I278, N278, S278, I279, N279, S279)</f>
        <v>0</v>
      </c>
      <c r="Y278" s="223">
        <f>IF($U278=0, ,X278/$U278)</f>
        <v>0</v>
      </c>
      <c r="Z278" s="221">
        <f>SUM(J278, O278, T278, J279, O279, T279)</f>
        <v>0</v>
      </c>
      <c r="AA278" s="223">
        <f>IF($U278=0, ,Z278/$U278)</f>
        <v>0</v>
      </c>
      <c r="AB278" s="247" t="s">
        <v>87</v>
      </c>
    </row>
    <row r="279" spans="1:28" x14ac:dyDescent="0.2">
      <c r="A279" s="242"/>
      <c r="B279" s="274"/>
      <c r="C279" s="9"/>
      <c r="D279" s="9"/>
      <c r="E279" s="220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22"/>
      <c r="V279" s="222"/>
      <c r="W279" s="224"/>
      <c r="X279" s="222"/>
      <c r="Y279" s="224"/>
      <c r="Z279" s="222"/>
      <c r="AA279" s="224"/>
      <c r="AB279" s="248"/>
    </row>
    <row r="280" spans="1:28" x14ac:dyDescent="0.2">
      <c r="A280" s="242"/>
      <c r="B280" s="245" t="s">
        <v>22</v>
      </c>
      <c r="C280" s="11"/>
      <c r="D280" s="11"/>
      <c r="E280" s="251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38">
        <f>SUM(F280, K280, P280, F281, K281, P281)</f>
        <v>7414</v>
      </c>
      <c r="V280" s="238">
        <f>SUM(H280, M280, R280, H281, M281, R281)</f>
        <v>0</v>
      </c>
      <c r="W280" s="213">
        <f>IF($U280=0, ,V280/$U280)</f>
        <v>0</v>
      </c>
      <c r="X280" s="238">
        <f>SUM(I280, N280, S280, I281, N281, S281)</f>
        <v>0</v>
      </c>
      <c r="Y280" s="213">
        <f>IF($U280=0, ,X280/$U280)</f>
        <v>0</v>
      </c>
      <c r="Z280" s="238">
        <f>SUM(J280, O280, T280, J281, O281, T281)</f>
        <v>0</v>
      </c>
      <c r="AA280" s="213">
        <f>IF($U280=0, ,Z280/$U280)</f>
        <v>0</v>
      </c>
      <c r="AB280" s="232" t="s">
        <v>87</v>
      </c>
    </row>
    <row r="281" spans="1:28" x14ac:dyDescent="0.2">
      <c r="A281" s="242"/>
      <c r="B281" s="246"/>
      <c r="C281" s="11"/>
      <c r="D281" s="11"/>
      <c r="E281" s="252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39"/>
      <c r="V281" s="239"/>
      <c r="W281" s="214"/>
      <c r="X281" s="239"/>
      <c r="Y281" s="214"/>
      <c r="Z281" s="239"/>
      <c r="AA281" s="214"/>
      <c r="AB281" s="233"/>
    </row>
    <row r="282" spans="1:28" ht="13.5" thickBot="1" x14ac:dyDescent="0.25">
      <c r="A282" s="242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42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42"/>
      <c r="B284" s="243" t="s">
        <v>35</v>
      </c>
      <c r="C284" s="244" t="s">
        <v>25</v>
      </c>
      <c r="D284" s="244" t="s">
        <v>28</v>
      </c>
      <c r="E284" s="225" t="s">
        <v>12</v>
      </c>
      <c r="F284" s="269" t="s">
        <v>13</v>
      </c>
      <c r="G284" s="269"/>
      <c r="H284" s="269"/>
      <c r="I284" s="269" t="s">
        <v>14</v>
      </c>
      <c r="J284" s="269"/>
      <c r="K284" s="269"/>
      <c r="L284" s="269" t="s">
        <v>15</v>
      </c>
      <c r="M284" s="269"/>
      <c r="N284" s="269"/>
      <c r="O284" s="229" t="s">
        <v>34</v>
      </c>
      <c r="P284" s="229" t="s">
        <v>48</v>
      </c>
      <c r="Q284" s="229" t="s">
        <v>60</v>
      </c>
      <c r="R284" s="229" t="s">
        <v>49</v>
      </c>
      <c r="S284" s="229" t="s">
        <v>61</v>
      </c>
      <c r="T284" s="265"/>
      <c r="U284" s="265"/>
      <c r="V284" s="265"/>
      <c r="W284" s="265"/>
      <c r="X284" s="265"/>
      <c r="Y284" s="265"/>
      <c r="Z284" s="265"/>
      <c r="AA284" s="265"/>
      <c r="AB284" s="266"/>
    </row>
    <row r="285" spans="1:28" ht="25.5" x14ac:dyDescent="0.2">
      <c r="A285" s="242"/>
      <c r="B285" s="243"/>
      <c r="C285" s="244"/>
      <c r="D285" s="244"/>
      <c r="E285" s="225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31"/>
      <c r="P285" s="231"/>
      <c r="Q285" s="231"/>
      <c r="R285" s="231"/>
      <c r="S285" s="231"/>
      <c r="T285" s="267"/>
      <c r="U285" s="267"/>
      <c r="V285" s="267"/>
      <c r="W285" s="267"/>
      <c r="X285" s="267"/>
      <c r="Y285" s="267"/>
      <c r="Z285" s="267"/>
      <c r="AA285" s="267"/>
      <c r="AB285" s="268"/>
    </row>
    <row r="286" spans="1:28" x14ac:dyDescent="0.2">
      <c r="A286" s="242"/>
      <c r="B286" s="263" t="s">
        <v>36</v>
      </c>
      <c r="C286" s="12"/>
      <c r="D286" s="12" t="s">
        <v>95</v>
      </c>
      <c r="E286" s="264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21">
        <f>SUM(F286, I286, L286, F287, I287, L287)*$O283</f>
        <v>13440</v>
      </c>
      <c r="P286" s="221">
        <f>SUM(G286, J286, M286, G287, J287, M287)</f>
        <v>0</v>
      </c>
      <c r="Q286" s="223">
        <f>IF($O286=0, ,P286/$O286)</f>
        <v>0</v>
      </c>
      <c r="R286" s="221">
        <f>SUM(H286, K286, N286, H287, K287, N287)</f>
        <v>0</v>
      </c>
      <c r="S286" s="223">
        <f>IF($O286=0, ,R286/$O286)</f>
        <v>0</v>
      </c>
      <c r="T286" s="270"/>
      <c r="U286" s="270"/>
      <c r="V286" s="270"/>
      <c r="W286" s="270"/>
      <c r="X286" s="270"/>
      <c r="Y286" s="270"/>
      <c r="Z286" s="270"/>
      <c r="AA286" s="270"/>
      <c r="AB286" s="271"/>
    </row>
    <row r="287" spans="1:28" x14ac:dyDescent="0.2">
      <c r="A287" s="242"/>
      <c r="B287" s="263"/>
      <c r="C287" s="12"/>
      <c r="D287" s="12"/>
      <c r="E287" s="264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22"/>
      <c r="P287" s="222"/>
      <c r="Q287" s="224"/>
      <c r="R287" s="222"/>
      <c r="S287" s="224"/>
      <c r="T287" s="272"/>
      <c r="U287" s="272"/>
      <c r="V287" s="272"/>
      <c r="W287" s="272"/>
      <c r="X287" s="272"/>
      <c r="Y287" s="272"/>
      <c r="Z287" s="272"/>
      <c r="AA287" s="272"/>
      <c r="AB287" s="273"/>
    </row>
    <row r="288" spans="1:28" x14ac:dyDescent="0.2">
      <c r="A288" s="242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42"/>
      <c r="B289" s="276" t="s">
        <v>67</v>
      </c>
      <c r="C289" s="276"/>
      <c r="D289" s="277"/>
      <c r="E289" s="82" t="s">
        <v>68</v>
      </c>
      <c r="F289" s="261" t="s">
        <v>64</v>
      </c>
      <c r="G289" s="261"/>
      <c r="H289" s="261"/>
      <c r="I289" s="261" t="s">
        <v>76</v>
      </c>
      <c r="J289" s="261"/>
      <c r="K289" s="261"/>
      <c r="L289" s="261" t="s">
        <v>65</v>
      </c>
      <c r="M289" s="261"/>
      <c r="N289" s="261"/>
      <c r="O289" s="261" t="s">
        <v>66</v>
      </c>
      <c r="P289" s="261"/>
      <c r="Q289" s="261"/>
      <c r="R289" s="261" t="s">
        <v>73</v>
      </c>
      <c r="S289" s="261"/>
      <c r="T289" s="261"/>
      <c r="U289" s="261" t="s">
        <v>74</v>
      </c>
      <c r="V289" s="261"/>
      <c r="W289" s="261"/>
      <c r="X289" s="261" t="s">
        <v>75</v>
      </c>
      <c r="Y289" s="261"/>
      <c r="Z289" s="261"/>
      <c r="AA289" s="262"/>
      <c r="AB289" s="262"/>
    </row>
    <row r="290" spans="1:28" x14ac:dyDescent="0.2">
      <c r="A290" s="242"/>
      <c r="B290" s="278"/>
      <c r="C290" s="278"/>
      <c r="D290" s="279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62"/>
      <c r="AB290" s="262"/>
    </row>
    <row r="291" spans="1:28" x14ac:dyDescent="0.2">
      <c r="A291" s="242"/>
      <c r="B291" s="280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62"/>
      <c r="AB291" s="262"/>
    </row>
    <row r="292" spans="1:28" x14ac:dyDescent="0.2">
      <c r="A292" s="242"/>
      <c r="B292" s="280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62"/>
      <c r="AB292" s="262"/>
    </row>
    <row r="293" spans="1:28" x14ac:dyDescent="0.2">
      <c r="A293" s="242"/>
      <c r="B293" s="280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62"/>
      <c r="AB293" s="262"/>
    </row>
    <row r="294" spans="1:28" x14ac:dyDescent="0.2">
      <c r="A294" s="242"/>
      <c r="B294" s="280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62"/>
      <c r="AB294" s="262"/>
    </row>
    <row r="296" spans="1:28" x14ac:dyDescent="0.2">
      <c r="A296" s="242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42"/>
      <c r="B297" s="243" t="s">
        <v>10</v>
      </c>
      <c r="C297" s="244" t="s">
        <v>25</v>
      </c>
      <c r="D297" s="244" t="s">
        <v>28</v>
      </c>
      <c r="E297" s="225" t="s">
        <v>12</v>
      </c>
      <c r="F297" s="226" t="s">
        <v>13</v>
      </c>
      <c r="G297" s="227"/>
      <c r="H297" s="227"/>
      <c r="I297" s="227"/>
      <c r="J297" s="228"/>
      <c r="K297" s="226" t="s">
        <v>14</v>
      </c>
      <c r="L297" s="227"/>
      <c r="M297" s="227"/>
      <c r="N297" s="227"/>
      <c r="O297" s="228"/>
      <c r="P297" s="226" t="s">
        <v>15</v>
      </c>
      <c r="Q297" s="227"/>
      <c r="R297" s="227"/>
      <c r="S297" s="227"/>
      <c r="T297" s="228"/>
      <c r="U297" s="275" t="s">
        <v>34</v>
      </c>
      <c r="V297" s="275" t="s">
        <v>48</v>
      </c>
      <c r="W297" s="275" t="s">
        <v>56</v>
      </c>
      <c r="X297" s="275" t="s">
        <v>54</v>
      </c>
      <c r="Y297" s="275" t="s">
        <v>57</v>
      </c>
      <c r="Z297" s="275" t="s">
        <v>55</v>
      </c>
      <c r="AA297" s="275" t="s">
        <v>58</v>
      </c>
      <c r="AB297" s="275" t="s">
        <v>38</v>
      </c>
    </row>
    <row r="298" spans="1:28" ht="38.25" x14ac:dyDescent="0.2">
      <c r="A298" s="242"/>
      <c r="B298" s="243"/>
      <c r="C298" s="244"/>
      <c r="D298" s="244"/>
      <c r="E298" s="225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75"/>
      <c r="V298" s="275"/>
      <c r="W298" s="275"/>
      <c r="X298" s="275"/>
      <c r="Y298" s="275"/>
      <c r="Z298" s="275"/>
      <c r="AA298" s="275"/>
      <c r="AB298" s="275"/>
    </row>
    <row r="299" spans="1:28" x14ac:dyDescent="0.2">
      <c r="A299" s="242"/>
      <c r="B299" s="255" t="s">
        <v>17</v>
      </c>
      <c r="C299" s="12">
        <v>21284</v>
      </c>
      <c r="D299" s="12"/>
      <c r="E299" s="257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21">
        <f>SUM(F299, K299, P299, F300, K300, P300)</f>
        <v>3824</v>
      </c>
      <c r="V299" s="221">
        <f>SUM(H299, M299, R299, H300, M300, R300)</f>
        <v>0</v>
      </c>
      <c r="W299" s="223">
        <f>IF($U299=0, ,V299/$U299)</f>
        <v>0</v>
      </c>
      <c r="X299" s="221">
        <f>SUM(I299, N299, S299, I300, N300, S300)</f>
        <v>0</v>
      </c>
      <c r="Y299" s="223">
        <f>IF($U299=0, ,X299/$U299)</f>
        <v>0</v>
      </c>
      <c r="Z299" s="221">
        <f>SUM(J299, O299, T299, J300, O300, T300)</f>
        <v>0</v>
      </c>
      <c r="AA299" s="223">
        <f>IF($U299=0, ,Z299/$U299)</f>
        <v>0</v>
      </c>
      <c r="AB299" s="247"/>
    </row>
    <row r="300" spans="1:28" x14ac:dyDescent="0.2">
      <c r="A300" s="242"/>
      <c r="B300" s="274"/>
      <c r="C300" s="12"/>
      <c r="D300" s="12"/>
      <c r="E300" s="259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22"/>
      <c r="V300" s="222"/>
      <c r="W300" s="224"/>
      <c r="X300" s="222"/>
      <c r="Y300" s="224"/>
      <c r="Z300" s="222"/>
      <c r="AA300" s="224"/>
      <c r="AB300" s="248"/>
    </row>
    <row r="301" spans="1:28" x14ac:dyDescent="0.2">
      <c r="A301" s="242"/>
      <c r="B301" s="245" t="s">
        <v>18</v>
      </c>
      <c r="C301" s="10">
        <v>21284</v>
      </c>
      <c r="D301" s="10"/>
      <c r="E301" s="234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38">
        <f>SUM(F301, K301, P301, F302, K302, P302)</f>
        <v>3164</v>
      </c>
      <c r="V301" s="238">
        <f>SUM(H301, M301, R301, H302, M302, R302)</f>
        <v>0</v>
      </c>
      <c r="W301" s="213">
        <f>IF($U301=0, ,V301/$U301)</f>
        <v>0</v>
      </c>
      <c r="X301" s="238">
        <f>SUM(I301, N301, S301, I302, N302, S302)</f>
        <v>0</v>
      </c>
      <c r="Y301" s="213">
        <f>IF($U301=0, ,X301/$U301)</f>
        <v>0</v>
      </c>
      <c r="Z301" s="238">
        <f>SUM(J301, O301, T301, J302, O302, T302)</f>
        <v>0</v>
      </c>
      <c r="AA301" s="213">
        <f>IF($U301=0, ,Z301/$U301)</f>
        <v>0</v>
      </c>
      <c r="AB301" s="232"/>
    </row>
    <row r="302" spans="1:28" x14ac:dyDescent="0.2">
      <c r="A302" s="242"/>
      <c r="B302" s="246"/>
      <c r="C302" s="10"/>
      <c r="D302" s="10"/>
      <c r="E302" s="235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39"/>
      <c r="V302" s="239"/>
      <c r="W302" s="214"/>
      <c r="X302" s="239"/>
      <c r="Y302" s="214"/>
      <c r="Z302" s="239"/>
      <c r="AA302" s="214"/>
      <c r="AB302" s="233"/>
    </row>
    <row r="303" spans="1:28" x14ac:dyDescent="0.2">
      <c r="A303" s="242"/>
      <c r="B303" s="255" t="s">
        <v>19</v>
      </c>
      <c r="C303" s="9"/>
      <c r="D303" s="9"/>
      <c r="E303" s="219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21">
        <f>SUM(F303, K303, P303, F304, K304, P304)</f>
        <v>0</v>
      </c>
      <c r="V303" s="221">
        <f>SUM(H303, M303, R303, H304, M304, R304)</f>
        <v>0</v>
      </c>
      <c r="W303" s="223">
        <f>IF($U303=0, ,V303/$U303)</f>
        <v>0</v>
      </c>
      <c r="X303" s="221">
        <f>SUM(I303, N303, S303, I304, N304, S304)</f>
        <v>0</v>
      </c>
      <c r="Y303" s="223">
        <f>IF($U303=0, ,X303/$U303)</f>
        <v>0</v>
      </c>
      <c r="Z303" s="221">
        <f>SUM(J303, O303, T303, J304, O304, T304)</f>
        <v>0</v>
      </c>
      <c r="AA303" s="223">
        <f>IF($U303=0, ,Z303/$U303)</f>
        <v>0</v>
      </c>
      <c r="AB303" s="247" t="s">
        <v>87</v>
      </c>
    </row>
    <row r="304" spans="1:28" x14ac:dyDescent="0.2">
      <c r="A304" s="242"/>
      <c r="B304" s="274"/>
      <c r="C304" s="9"/>
      <c r="D304" s="9"/>
      <c r="E304" s="220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22"/>
      <c r="V304" s="222"/>
      <c r="W304" s="224"/>
      <c r="X304" s="222"/>
      <c r="Y304" s="224"/>
      <c r="Z304" s="222"/>
      <c r="AA304" s="224"/>
      <c r="AB304" s="248"/>
    </row>
    <row r="305" spans="1:28" x14ac:dyDescent="0.2">
      <c r="A305" s="242"/>
      <c r="B305" s="245" t="s">
        <v>20</v>
      </c>
      <c r="C305" s="10">
        <v>21284</v>
      </c>
      <c r="D305" s="10"/>
      <c r="E305" s="234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38">
        <f>SUM(F305, K305, P305, F306, K306, P306)</f>
        <v>3231</v>
      </c>
      <c r="V305" s="238">
        <f>SUM(H305, M305, R305, H306, M306, R306)</f>
        <v>0</v>
      </c>
      <c r="W305" s="213">
        <f>IF($U305=0, ,V305/$U305)</f>
        <v>0</v>
      </c>
      <c r="X305" s="238">
        <f>SUM(I305, N305, S305, I306, N306, S306)</f>
        <v>0</v>
      </c>
      <c r="Y305" s="213">
        <f>IF($U305=0, ,X305/$U305)</f>
        <v>0</v>
      </c>
      <c r="Z305" s="238">
        <f>SUM(J305, O305, T305, J306, O306, T306)</f>
        <v>0</v>
      </c>
      <c r="AA305" s="213">
        <f>IF($U305=0, ,Z305/$U305)</f>
        <v>0</v>
      </c>
      <c r="AB305" s="232"/>
    </row>
    <row r="306" spans="1:28" x14ac:dyDescent="0.2">
      <c r="A306" s="242"/>
      <c r="B306" s="246"/>
      <c r="C306" s="10"/>
      <c r="D306" s="10"/>
      <c r="E306" s="235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39"/>
      <c r="V306" s="239"/>
      <c r="W306" s="214"/>
      <c r="X306" s="239"/>
      <c r="Y306" s="214"/>
      <c r="Z306" s="239"/>
      <c r="AA306" s="214"/>
      <c r="AB306" s="233"/>
    </row>
    <row r="307" spans="1:28" x14ac:dyDescent="0.2">
      <c r="A307" s="242"/>
      <c r="B307" s="255" t="s">
        <v>21</v>
      </c>
      <c r="C307" s="9"/>
      <c r="D307" s="9"/>
      <c r="E307" s="219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21">
        <f>SUM(F307, K307, P307, F308, K308, P308)</f>
        <v>0</v>
      </c>
      <c r="V307" s="221">
        <f>SUM(H307, M307, R307, H308, M308, R308)</f>
        <v>0</v>
      </c>
      <c r="W307" s="223">
        <f>IF($U307=0, ,V307/$U307)</f>
        <v>0</v>
      </c>
      <c r="X307" s="221">
        <f>SUM(I307, N307, S307, I308, N308, S308)</f>
        <v>0</v>
      </c>
      <c r="Y307" s="223">
        <f>IF($U307=0, ,X307/$U307)</f>
        <v>0</v>
      </c>
      <c r="Z307" s="221">
        <f>SUM(J307, O307, T307, J308, O308, T308)</f>
        <v>0</v>
      </c>
      <c r="AA307" s="223">
        <f>IF($U307=0, ,Z307/$U307)</f>
        <v>0</v>
      </c>
      <c r="AB307" s="247" t="s">
        <v>87</v>
      </c>
    </row>
    <row r="308" spans="1:28" x14ac:dyDescent="0.2">
      <c r="A308" s="242"/>
      <c r="B308" s="274"/>
      <c r="C308" s="9"/>
      <c r="D308" s="9"/>
      <c r="E308" s="220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22"/>
      <c r="V308" s="222"/>
      <c r="W308" s="224"/>
      <c r="X308" s="222"/>
      <c r="Y308" s="224"/>
      <c r="Z308" s="222"/>
      <c r="AA308" s="224"/>
      <c r="AB308" s="248"/>
    </row>
    <row r="309" spans="1:28" x14ac:dyDescent="0.2">
      <c r="A309" s="242"/>
      <c r="B309" s="245" t="s">
        <v>22</v>
      </c>
      <c r="C309" s="11">
        <v>21284</v>
      </c>
      <c r="D309" s="11"/>
      <c r="E309" s="251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38">
        <f>SUM(F309, K309, P309, F310, K310, P310)</f>
        <v>2225</v>
      </c>
      <c r="V309" s="238">
        <f>SUM(H309, M309, R309, H310, M310, R310)</f>
        <v>0</v>
      </c>
      <c r="W309" s="213">
        <f>IF($U309=0, ,V309/$U309)</f>
        <v>0</v>
      </c>
      <c r="X309" s="238">
        <f>SUM(I309, N309, S309, I310, N310, S310)</f>
        <v>0</v>
      </c>
      <c r="Y309" s="213">
        <f>IF($U309=0, ,X309/$U309)</f>
        <v>0</v>
      </c>
      <c r="Z309" s="238">
        <f>SUM(J309, O309, T309, J310, O310, T310)</f>
        <v>0</v>
      </c>
      <c r="AA309" s="213">
        <f>IF($U309=0, ,Z309/$U309)</f>
        <v>0</v>
      </c>
      <c r="AB309" s="232"/>
    </row>
    <row r="310" spans="1:28" x14ac:dyDescent="0.2">
      <c r="A310" s="242"/>
      <c r="B310" s="246"/>
      <c r="C310" s="11"/>
      <c r="D310" s="11"/>
      <c r="E310" s="252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39"/>
      <c r="V310" s="239"/>
      <c r="W310" s="214"/>
      <c r="X310" s="239"/>
      <c r="Y310" s="214"/>
      <c r="Z310" s="239"/>
      <c r="AA310" s="214"/>
      <c r="AB310" s="233"/>
    </row>
    <row r="311" spans="1:28" ht="13.5" thickBot="1" x14ac:dyDescent="0.25">
      <c r="A311" s="242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42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42"/>
      <c r="B313" s="243" t="s">
        <v>35</v>
      </c>
      <c r="C313" s="244" t="s">
        <v>25</v>
      </c>
      <c r="D313" s="244" t="s">
        <v>28</v>
      </c>
      <c r="E313" s="225" t="s">
        <v>12</v>
      </c>
      <c r="F313" s="269" t="s">
        <v>13</v>
      </c>
      <c r="G313" s="269"/>
      <c r="H313" s="269"/>
      <c r="I313" s="269" t="s">
        <v>14</v>
      </c>
      <c r="J313" s="269"/>
      <c r="K313" s="269"/>
      <c r="L313" s="269" t="s">
        <v>15</v>
      </c>
      <c r="M313" s="269"/>
      <c r="N313" s="269"/>
      <c r="O313" s="229" t="s">
        <v>34</v>
      </c>
      <c r="P313" s="229" t="s">
        <v>48</v>
      </c>
      <c r="Q313" s="229" t="s">
        <v>60</v>
      </c>
      <c r="R313" s="229" t="s">
        <v>49</v>
      </c>
      <c r="S313" s="229" t="s">
        <v>61</v>
      </c>
      <c r="T313" s="265"/>
      <c r="U313" s="265"/>
      <c r="V313" s="265"/>
      <c r="W313" s="265"/>
      <c r="X313" s="265"/>
      <c r="Y313" s="265"/>
      <c r="Z313" s="265"/>
      <c r="AA313" s="265"/>
      <c r="AB313" s="266"/>
    </row>
    <row r="314" spans="1:28" ht="25.5" x14ac:dyDescent="0.2">
      <c r="A314" s="242"/>
      <c r="B314" s="243"/>
      <c r="C314" s="244"/>
      <c r="D314" s="244"/>
      <c r="E314" s="225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31"/>
      <c r="P314" s="231"/>
      <c r="Q314" s="231"/>
      <c r="R314" s="231"/>
      <c r="S314" s="231"/>
      <c r="T314" s="267"/>
      <c r="U314" s="267"/>
      <c r="V314" s="267"/>
      <c r="W314" s="267"/>
      <c r="X314" s="267"/>
      <c r="Y314" s="267"/>
      <c r="Z314" s="267"/>
      <c r="AA314" s="267"/>
      <c r="AB314" s="268"/>
    </row>
    <row r="315" spans="1:28" x14ac:dyDescent="0.2">
      <c r="A315" s="242"/>
      <c r="B315" s="263" t="s">
        <v>36</v>
      </c>
      <c r="C315" s="12">
        <v>21284</v>
      </c>
      <c r="D315" s="12" t="s">
        <v>95</v>
      </c>
      <c r="E315" s="264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21">
        <f>SUM(F315, I315, L315, F316, I316, L316)*$O312</f>
        <v>16960</v>
      </c>
      <c r="P315" s="221">
        <f>SUM(G315, J315, M315, G316, J316, M316)</f>
        <v>0</v>
      </c>
      <c r="Q315" s="223">
        <f>IF($O315=0, ,P315/$O315)</f>
        <v>0</v>
      </c>
      <c r="R315" s="221">
        <f>SUM(H315, K315, N315, H316, K316, N316)</f>
        <v>0</v>
      </c>
      <c r="S315" s="223">
        <f>IF($O315=0, ,R315/$O315)</f>
        <v>0</v>
      </c>
      <c r="T315" s="270"/>
      <c r="U315" s="270"/>
      <c r="V315" s="270"/>
      <c r="W315" s="270"/>
      <c r="X315" s="270"/>
      <c r="Y315" s="270"/>
      <c r="Z315" s="270"/>
      <c r="AA315" s="270"/>
      <c r="AB315" s="271"/>
    </row>
    <row r="316" spans="1:28" x14ac:dyDescent="0.2">
      <c r="A316" s="242"/>
      <c r="B316" s="263"/>
      <c r="C316" s="12"/>
      <c r="D316" s="12"/>
      <c r="E316" s="264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22"/>
      <c r="P316" s="222"/>
      <c r="Q316" s="224"/>
      <c r="R316" s="222"/>
      <c r="S316" s="224"/>
      <c r="T316" s="272"/>
      <c r="U316" s="272"/>
      <c r="V316" s="272"/>
      <c r="W316" s="272"/>
      <c r="X316" s="272"/>
      <c r="Y316" s="272"/>
      <c r="Z316" s="272"/>
      <c r="AA316" s="272"/>
      <c r="AB316" s="273"/>
    </row>
    <row r="317" spans="1:28" x14ac:dyDescent="0.2">
      <c r="A317" s="242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42"/>
      <c r="B318" s="276" t="s">
        <v>67</v>
      </c>
      <c r="C318" s="276"/>
      <c r="D318" s="277"/>
      <c r="E318" s="82" t="s">
        <v>68</v>
      </c>
      <c r="F318" s="261" t="s">
        <v>64</v>
      </c>
      <c r="G318" s="261"/>
      <c r="H318" s="261"/>
      <c r="I318" s="261" t="s">
        <v>76</v>
      </c>
      <c r="J318" s="261"/>
      <c r="K318" s="261"/>
      <c r="L318" s="261" t="s">
        <v>65</v>
      </c>
      <c r="M318" s="261"/>
      <c r="N318" s="261"/>
      <c r="O318" s="261" t="s">
        <v>66</v>
      </c>
      <c r="P318" s="261"/>
      <c r="Q318" s="261"/>
      <c r="R318" s="261" t="s">
        <v>73</v>
      </c>
      <c r="S318" s="261"/>
      <c r="T318" s="261"/>
      <c r="U318" s="261" t="s">
        <v>74</v>
      </c>
      <c r="V318" s="261"/>
      <c r="W318" s="261"/>
      <c r="X318" s="261" t="s">
        <v>75</v>
      </c>
      <c r="Y318" s="261"/>
      <c r="Z318" s="261"/>
      <c r="AA318" s="262"/>
      <c r="AB318" s="262"/>
    </row>
    <row r="319" spans="1:28" x14ac:dyDescent="0.2">
      <c r="A319" s="242"/>
      <c r="B319" s="278"/>
      <c r="C319" s="278"/>
      <c r="D319" s="279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62"/>
      <c r="AB319" s="262"/>
    </row>
    <row r="320" spans="1:28" x14ac:dyDescent="0.2">
      <c r="A320" s="242"/>
      <c r="B320" s="280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62"/>
      <c r="AB320" s="262"/>
    </row>
    <row r="321" spans="1:28" x14ac:dyDescent="0.2">
      <c r="A321" s="242"/>
      <c r="B321" s="280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62"/>
      <c r="AB321" s="262"/>
    </row>
    <row r="322" spans="1:28" x14ac:dyDescent="0.2">
      <c r="A322" s="242"/>
      <c r="B322" s="280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62"/>
      <c r="AB322" s="262"/>
    </row>
    <row r="323" spans="1:28" x14ac:dyDescent="0.2">
      <c r="A323" s="242"/>
      <c r="B323" s="280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62"/>
      <c r="AB323" s="262"/>
    </row>
    <row r="325" spans="1:28" x14ac:dyDescent="0.2">
      <c r="A325" s="242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42"/>
      <c r="B326" s="243" t="s">
        <v>10</v>
      </c>
      <c r="C326" s="244" t="s">
        <v>25</v>
      </c>
      <c r="D326" s="244" t="s">
        <v>28</v>
      </c>
      <c r="E326" s="225" t="s">
        <v>12</v>
      </c>
      <c r="F326" s="226" t="s">
        <v>13</v>
      </c>
      <c r="G326" s="227"/>
      <c r="H326" s="227"/>
      <c r="I326" s="227"/>
      <c r="J326" s="228"/>
      <c r="K326" s="226" t="s">
        <v>14</v>
      </c>
      <c r="L326" s="227"/>
      <c r="M326" s="227"/>
      <c r="N326" s="227"/>
      <c r="O326" s="228"/>
      <c r="P326" s="226" t="s">
        <v>15</v>
      </c>
      <c r="Q326" s="227"/>
      <c r="R326" s="227"/>
      <c r="S326" s="227"/>
      <c r="T326" s="228"/>
      <c r="U326" s="275" t="s">
        <v>34</v>
      </c>
      <c r="V326" s="275" t="s">
        <v>48</v>
      </c>
      <c r="W326" s="275" t="s">
        <v>56</v>
      </c>
      <c r="X326" s="275" t="s">
        <v>54</v>
      </c>
      <c r="Y326" s="275" t="s">
        <v>57</v>
      </c>
      <c r="Z326" s="275" t="s">
        <v>55</v>
      </c>
      <c r="AA326" s="275" t="s">
        <v>58</v>
      </c>
      <c r="AB326" s="275" t="s">
        <v>38</v>
      </c>
    </row>
    <row r="327" spans="1:28" ht="38.25" x14ac:dyDescent="0.2">
      <c r="A327" s="242"/>
      <c r="B327" s="243"/>
      <c r="C327" s="244"/>
      <c r="D327" s="244"/>
      <c r="E327" s="225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75"/>
      <c r="V327" s="275"/>
      <c r="W327" s="275"/>
      <c r="X327" s="275"/>
      <c r="Y327" s="275"/>
      <c r="Z327" s="275"/>
      <c r="AA327" s="275"/>
      <c r="AB327" s="275"/>
    </row>
    <row r="328" spans="1:28" x14ac:dyDescent="0.2">
      <c r="A328" s="242"/>
      <c r="B328" s="255" t="s">
        <v>17</v>
      </c>
      <c r="C328" s="12"/>
      <c r="D328" s="12"/>
      <c r="E328" s="257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21">
        <f>SUM(F328, K328, P328, F329, K329, P329)</f>
        <v>0</v>
      </c>
      <c r="V328" s="221">
        <f>SUM(H328, M328, R328, H329, M329, R329)</f>
        <v>0</v>
      </c>
      <c r="W328" s="223">
        <f>IF($U328=0, ,V328/$U328)</f>
        <v>0</v>
      </c>
      <c r="X328" s="221">
        <f>SUM(I328, N328, S328, I329, N329, S329)</f>
        <v>0</v>
      </c>
      <c r="Y328" s="223">
        <f>IF($U328=0, ,X328/$U328)</f>
        <v>0</v>
      </c>
      <c r="Z328" s="221">
        <f>SUM(J328, O328, T328, J329, O329, T329)</f>
        <v>0</v>
      </c>
      <c r="AA328" s="223">
        <f>IF($U328=0, ,Z328/$U328)</f>
        <v>0</v>
      </c>
      <c r="AB328" s="247" t="s">
        <v>96</v>
      </c>
    </row>
    <row r="329" spans="1:28" x14ac:dyDescent="0.2">
      <c r="A329" s="242"/>
      <c r="B329" s="274"/>
      <c r="C329" s="12"/>
      <c r="D329" s="12"/>
      <c r="E329" s="259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22"/>
      <c r="V329" s="222"/>
      <c r="W329" s="224"/>
      <c r="X329" s="222"/>
      <c r="Y329" s="224"/>
      <c r="Z329" s="222"/>
      <c r="AA329" s="224"/>
      <c r="AB329" s="248"/>
    </row>
    <row r="330" spans="1:28" x14ac:dyDescent="0.2">
      <c r="A330" s="242"/>
      <c r="B330" s="245" t="s">
        <v>18</v>
      </c>
      <c r="C330" s="10"/>
      <c r="D330" s="10"/>
      <c r="E330" s="234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38">
        <f>SUM(F330, K330, P330, F331, K331, P331)</f>
        <v>0</v>
      </c>
      <c r="V330" s="238">
        <f>SUM(H330, M330, R330, H331, M331, R331)</f>
        <v>0</v>
      </c>
      <c r="W330" s="213">
        <f>IF($U330=0, ,V330/$U330)</f>
        <v>0</v>
      </c>
      <c r="X330" s="238">
        <f>SUM(I330, N330, S330, I331, N331, S331)</f>
        <v>0</v>
      </c>
      <c r="Y330" s="213">
        <f>IF($U330=0, ,X330/$U330)</f>
        <v>0</v>
      </c>
      <c r="Z330" s="238">
        <f>SUM(J330, O330, T330, J331, O331, T331)</f>
        <v>0</v>
      </c>
      <c r="AA330" s="213">
        <f>IF($U330=0, ,Z330/$U330)</f>
        <v>0</v>
      </c>
      <c r="AB330" s="232" t="s">
        <v>96</v>
      </c>
    </row>
    <row r="331" spans="1:28" x14ac:dyDescent="0.2">
      <c r="A331" s="242"/>
      <c r="B331" s="246"/>
      <c r="C331" s="10"/>
      <c r="D331" s="10"/>
      <c r="E331" s="235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39"/>
      <c r="V331" s="239"/>
      <c r="W331" s="214"/>
      <c r="X331" s="239"/>
      <c r="Y331" s="214"/>
      <c r="Z331" s="239"/>
      <c r="AA331" s="214"/>
      <c r="AB331" s="233"/>
    </row>
    <row r="332" spans="1:28" x14ac:dyDescent="0.2">
      <c r="A332" s="242"/>
      <c r="B332" s="255" t="s">
        <v>19</v>
      </c>
      <c r="C332" s="9"/>
      <c r="D332" s="9"/>
      <c r="E332" s="219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21">
        <f>SUM(F332, K332, P332, F333, K333, P333)</f>
        <v>0</v>
      </c>
      <c r="V332" s="221">
        <f>SUM(H332, M332, R332, H333, M333, R333)</f>
        <v>0</v>
      </c>
      <c r="W332" s="223">
        <f>IF($U332=0, ,V332/$U332)</f>
        <v>0</v>
      </c>
      <c r="X332" s="221">
        <f>SUM(I332, N332, S332, I333, N333, S333)</f>
        <v>0</v>
      </c>
      <c r="Y332" s="223">
        <f>IF($U332=0, ,X332/$U332)</f>
        <v>0</v>
      </c>
      <c r="Z332" s="221">
        <f>SUM(J332, O332, T332, J333, O333, T333)</f>
        <v>0</v>
      </c>
      <c r="AA332" s="223">
        <f>IF($U332=0, ,Z332/$U332)</f>
        <v>0</v>
      </c>
      <c r="AB332" s="247" t="s">
        <v>96</v>
      </c>
    </row>
    <row r="333" spans="1:28" x14ac:dyDescent="0.2">
      <c r="A333" s="242"/>
      <c r="B333" s="274"/>
      <c r="C333" s="9"/>
      <c r="D333" s="9"/>
      <c r="E333" s="220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22"/>
      <c r="V333" s="222"/>
      <c r="W333" s="224"/>
      <c r="X333" s="222"/>
      <c r="Y333" s="224"/>
      <c r="Z333" s="222"/>
      <c r="AA333" s="224"/>
      <c r="AB333" s="248"/>
    </row>
    <row r="334" spans="1:28" x14ac:dyDescent="0.2">
      <c r="A334" s="242"/>
      <c r="B334" s="245" t="s">
        <v>20</v>
      </c>
      <c r="C334" s="10"/>
      <c r="D334" s="10"/>
      <c r="E334" s="234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38">
        <f>SUM(F334, K334, P334, F335, K335, P335)</f>
        <v>0</v>
      </c>
      <c r="V334" s="238">
        <f>SUM(H334, M334, R334, H335, M335, R335)</f>
        <v>0</v>
      </c>
      <c r="W334" s="213">
        <f>IF($U334=0, ,V334/$U334)</f>
        <v>0</v>
      </c>
      <c r="X334" s="238">
        <f>SUM(I334, N334, S334, I335, N335, S335)</f>
        <v>0</v>
      </c>
      <c r="Y334" s="213">
        <f>IF($U334=0, ,X334/$U334)</f>
        <v>0</v>
      </c>
      <c r="Z334" s="238">
        <f>SUM(J334, O334, T334, J335, O335, T335)</f>
        <v>0</v>
      </c>
      <c r="AA334" s="213">
        <f>IF($U334=0, ,Z334/$U334)</f>
        <v>0</v>
      </c>
      <c r="AB334" s="232" t="s">
        <v>96</v>
      </c>
    </row>
    <row r="335" spans="1:28" x14ac:dyDescent="0.2">
      <c r="A335" s="242"/>
      <c r="B335" s="246"/>
      <c r="C335" s="10"/>
      <c r="D335" s="10"/>
      <c r="E335" s="235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39"/>
      <c r="V335" s="239"/>
      <c r="W335" s="214"/>
      <c r="X335" s="239"/>
      <c r="Y335" s="214"/>
      <c r="Z335" s="239"/>
      <c r="AA335" s="214"/>
      <c r="AB335" s="233"/>
    </row>
    <row r="336" spans="1:28" x14ac:dyDescent="0.2">
      <c r="A336" s="242"/>
      <c r="B336" s="255" t="s">
        <v>21</v>
      </c>
      <c r="C336" s="9"/>
      <c r="D336" s="9"/>
      <c r="E336" s="219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21">
        <f>SUM(F336, K336, P336, F337, K337, P337)</f>
        <v>0</v>
      </c>
      <c r="V336" s="221">
        <f>SUM(H336, M336, R336, H337, M337, R337)</f>
        <v>0</v>
      </c>
      <c r="W336" s="223">
        <f>IF($U336=0, ,V336/$U336)</f>
        <v>0</v>
      </c>
      <c r="X336" s="221">
        <f>SUM(I336, N336, S336, I337, N337, S337)</f>
        <v>0</v>
      </c>
      <c r="Y336" s="223">
        <f>IF($U336=0, ,X336/$U336)</f>
        <v>0</v>
      </c>
      <c r="Z336" s="221">
        <f>SUM(J336, O336, T336, J337, O337, T337)</f>
        <v>0</v>
      </c>
      <c r="AA336" s="223">
        <f>IF($U336=0, ,Z336/$U336)</f>
        <v>0</v>
      </c>
      <c r="AB336" s="247" t="s">
        <v>96</v>
      </c>
    </row>
    <row r="337" spans="1:28" x14ac:dyDescent="0.2">
      <c r="A337" s="242"/>
      <c r="B337" s="274"/>
      <c r="C337" s="9"/>
      <c r="D337" s="9"/>
      <c r="E337" s="220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22"/>
      <c r="V337" s="222"/>
      <c r="W337" s="224"/>
      <c r="X337" s="222"/>
      <c r="Y337" s="224"/>
      <c r="Z337" s="222"/>
      <c r="AA337" s="224"/>
      <c r="AB337" s="248"/>
    </row>
    <row r="338" spans="1:28" x14ac:dyDescent="0.2">
      <c r="A338" s="242"/>
      <c r="B338" s="245" t="s">
        <v>22</v>
      </c>
      <c r="C338" s="11"/>
      <c r="D338" s="11"/>
      <c r="E338" s="251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38">
        <f>SUM(F338, K338, P338, F339, K339, P339)</f>
        <v>0</v>
      </c>
      <c r="V338" s="238">
        <f>SUM(H338, M338, R338, H339, M339, R339)</f>
        <v>0</v>
      </c>
      <c r="W338" s="213">
        <f>IF($U338=0, ,V338/$U338)</f>
        <v>0</v>
      </c>
      <c r="X338" s="238">
        <f>SUM(I338, N338, S338, I339, N339, S339)</f>
        <v>0</v>
      </c>
      <c r="Y338" s="213">
        <f>IF($U338=0, ,X338/$U338)</f>
        <v>0</v>
      </c>
      <c r="Z338" s="238">
        <f>SUM(J338, O338, T338, J339, O339, T339)</f>
        <v>0</v>
      </c>
      <c r="AA338" s="213">
        <f>IF($U338=0, ,Z338/$U338)</f>
        <v>0</v>
      </c>
      <c r="AB338" s="232" t="s">
        <v>96</v>
      </c>
    </row>
    <row r="339" spans="1:28" x14ac:dyDescent="0.2">
      <c r="A339" s="242"/>
      <c r="B339" s="246"/>
      <c r="C339" s="11"/>
      <c r="D339" s="11"/>
      <c r="E339" s="252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39"/>
      <c r="V339" s="239"/>
      <c r="W339" s="214"/>
      <c r="X339" s="239"/>
      <c r="Y339" s="214"/>
      <c r="Z339" s="239"/>
      <c r="AA339" s="214"/>
      <c r="AB339" s="233"/>
    </row>
    <row r="340" spans="1:28" ht="13.5" thickBot="1" x14ac:dyDescent="0.25">
      <c r="A340" s="242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42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42"/>
      <c r="B342" s="243" t="s">
        <v>35</v>
      </c>
      <c r="C342" s="244" t="s">
        <v>25</v>
      </c>
      <c r="D342" s="244" t="s">
        <v>28</v>
      </c>
      <c r="E342" s="225" t="s">
        <v>12</v>
      </c>
      <c r="F342" s="269" t="s">
        <v>13</v>
      </c>
      <c r="G342" s="269"/>
      <c r="H342" s="269"/>
      <c r="I342" s="269" t="s">
        <v>14</v>
      </c>
      <c r="J342" s="269"/>
      <c r="K342" s="269"/>
      <c r="L342" s="269" t="s">
        <v>15</v>
      </c>
      <c r="M342" s="269"/>
      <c r="N342" s="269"/>
      <c r="O342" s="229" t="s">
        <v>34</v>
      </c>
      <c r="P342" s="229" t="s">
        <v>48</v>
      </c>
      <c r="Q342" s="229" t="s">
        <v>60</v>
      </c>
      <c r="R342" s="229" t="s">
        <v>49</v>
      </c>
      <c r="S342" s="229" t="s">
        <v>61</v>
      </c>
      <c r="T342" s="265"/>
      <c r="U342" s="265"/>
      <c r="V342" s="265"/>
      <c r="W342" s="265"/>
      <c r="X342" s="265"/>
      <c r="Y342" s="265"/>
      <c r="Z342" s="265"/>
      <c r="AA342" s="265"/>
      <c r="AB342" s="266"/>
    </row>
    <row r="343" spans="1:28" ht="25.5" x14ac:dyDescent="0.2">
      <c r="A343" s="242"/>
      <c r="B343" s="243"/>
      <c r="C343" s="244"/>
      <c r="D343" s="244"/>
      <c r="E343" s="225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31"/>
      <c r="P343" s="231"/>
      <c r="Q343" s="231"/>
      <c r="R343" s="231"/>
      <c r="S343" s="231"/>
      <c r="T343" s="267"/>
      <c r="U343" s="267"/>
      <c r="V343" s="267"/>
      <c r="W343" s="267"/>
      <c r="X343" s="267"/>
      <c r="Y343" s="267"/>
      <c r="Z343" s="267"/>
      <c r="AA343" s="267"/>
      <c r="AB343" s="268"/>
    </row>
    <row r="344" spans="1:28" x14ac:dyDescent="0.2">
      <c r="A344" s="242"/>
      <c r="B344" s="263" t="s">
        <v>36</v>
      </c>
      <c r="C344" s="12">
        <v>21284</v>
      </c>
      <c r="D344" s="12" t="s">
        <v>95</v>
      </c>
      <c r="E344" s="264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21">
        <f>SUM(F344, I344, L344, F345, I345, L345)*$O341</f>
        <v>19200</v>
      </c>
      <c r="P344" s="221">
        <f>SUM(G344, J344, M344, G345, J345, M345)</f>
        <v>0</v>
      </c>
      <c r="Q344" s="223">
        <f>IF($O344=0, ,P344/$O344)</f>
        <v>0</v>
      </c>
      <c r="R344" s="221">
        <f>SUM(H344, K344, N344, H345, K345, N345)</f>
        <v>0</v>
      </c>
      <c r="S344" s="223">
        <f>IF($O344=0, ,R344/$O344)</f>
        <v>0</v>
      </c>
      <c r="T344" s="270"/>
      <c r="U344" s="270"/>
      <c r="V344" s="270"/>
      <c r="W344" s="270"/>
      <c r="X344" s="270"/>
      <c r="Y344" s="270"/>
      <c r="Z344" s="270"/>
      <c r="AA344" s="270"/>
      <c r="AB344" s="271"/>
    </row>
    <row r="345" spans="1:28" x14ac:dyDescent="0.2">
      <c r="A345" s="242"/>
      <c r="B345" s="263"/>
      <c r="C345" s="12"/>
      <c r="D345" s="12"/>
      <c r="E345" s="264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22"/>
      <c r="P345" s="222"/>
      <c r="Q345" s="224"/>
      <c r="R345" s="222"/>
      <c r="S345" s="224"/>
      <c r="T345" s="272"/>
      <c r="U345" s="272"/>
      <c r="V345" s="272"/>
      <c r="W345" s="272"/>
      <c r="X345" s="272"/>
      <c r="Y345" s="272"/>
      <c r="Z345" s="272"/>
      <c r="AA345" s="272"/>
      <c r="AB345" s="273"/>
    </row>
    <row r="346" spans="1:28" x14ac:dyDescent="0.2">
      <c r="A346" s="242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42"/>
      <c r="B347" s="276" t="s">
        <v>67</v>
      </c>
      <c r="C347" s="276"/>
      <c r="D347" s="277"/>
      <c r="E347" s="82" t="s">
        <v>68</v>
      </c>
      <c r="F347" s="261" t="s">
        <v>64</v>
      </c>
      <c r="G347" s="261"/>
      <c r="H347" s="261"/>
      <c r="I347" s="261" t="s">
        <v>76</v>
      </c>
      <c r="J347" s="261"/>
      <c r="K347" s="261"/>
      <c r="L347" s="261" t="s">
        <v>65</v>
      </c>
      <c r="M347" s="261"/>
      <c r="N347" s="261"/>
      <c r="O347" s="261" t="s">
        <v>66</v>
      </c>
      <c r="P347" s="261"/>
      <c r="Q347" s="261"/>
      <c r="R347" s="261" t="s">
        <v>73</v>
      </c>
      <c r="S347" s="261"/>
      <c r="T347" s="261"/>
      <c r="U347" s="261" t="s">
        <v>74</v>
      </c>
      <c r="V347" s="261"/>
      <c r="W347" s="261"/>
      <c r="X347" s="261" t="s">
        <v>75</v>
      </c>
      <c r="Y347" s="261"/>
      <c r="Z347" s="261"/>
      <c r="AA347" s="262"/>
      <c r="AB347" s="262"/>
    </row>
    <row r="348" spans="1:28" x14ac:dyDescent="0.2">
      <c r="A348" s="242"/>
      <c r="B348" s="278"/>
      <c r="C348" s="278"/>
      <c r="D348" s="279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62"/>
      <c r="AB348" s="262"/>
    </row>
    <row r="349" spans="1:28" x14ac:dyDescent="0.2">
      <c r="A349" s="242"/>
      <c r="B349" s="280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62"/>
      <c r="AB349" s="262"/>
    </row>
    <row r="350" spans="1:28" x14ac:dyDescent="0.2">
      <c r="A350" s="242"/>
      <c r="B350" s="280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62"/>
      <c r="AB350" s="262"/>
    </row>
    <row r="351" spans="1:28" x14ac:dyDescent="0.2">
      <c r="A351" s="242"/>
      <c r="B351" s="280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62"/>
      <c r="AB351" s="262"/>
    </row>
    <row r="352" spans="1:28" x14ac:dyDescent="0.2">
      <c r="A352" s="242"/>
      <c r="B352" s="280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62"/>
      <c r="AB352" s="262"/>
    </row>
    <row r="354" spans="1:28" x14ac:dyDescent="0.2">
      <c r="A354" s="242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42"/>
      <c r="B355" s="243" t="s">
        <v>10</v>
      </c>
      <c r="C355" s="244" t="s">
        <v>25</v>
      </c>
      <c r="D355" s="244" t="s">
        <v>28</v>
      </c>
      <c r="E355" s="225" t="s">
        <v>12</v>
      </c>
      <c r="F355" s="226" t="s">
        <v>13</v>
      </c>
      <c r="G355" s="227"/>
      <c r="H355" s="227"/>
      <c r="I355" s="227"/>
      <c r="J355" s="228"/>
      <c r="K355" s="226" t="s">
        <v>14</v>
      </c>
      <c r="L355" s="227"/>
      <c r="M355" s="227"/>
      <c r="N355" s="227"/>
      <c r="O355" s="228"/>
      <c r="P355" s="226" t="s">
        <v>15</v>
      </c>
      <c r="Q355" s="227"/>
      <c r="R355" s="227"/>
      <c r="S355" s="227"/>
      <c r="T355" s="228"/>
      <c r="U355" s="275" t="s">
        <v>34</v>
      </c>
      <c r="V355" s="275" t="s">
        <v>48</v>
      </c>
      <c r="W355" s="275" t="s">
        <v>56</v>
      </c>
      <c r="X355" s="275" t="s">
        <v>54</v>
      </c>
      <c r="Y355" s="275" t="s">
        <v>57</v>
      </c>
      <c r="Z355" s="275" t="s">
        <v>55</v>
      </c>
      <c r="AA355" s="275" t="s">
        <v>58</v>
      </c>
      <c r="AB355" s="275" t="s">
        <v>38</v>
      </c>
    </row>
    <row r="356" spans="1:28" ht="38.25" x14ac:dyDescent="0.2">
      <c r="A356" s="242"/>
      <c r="B356" s="243"/>
      <c r="C356" s="244"/>
      <c r="D356" s="244"/>
      <c r="E356" s="225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75"/>
      <c r="V356" s="275"/>
      <c r="W356" s="275"/>
      <c r="X356" s="275"/>
      <c r="Y356" s="275"/>
      <c r="Z356" s="275"/>
      <c r="AA356" s="275"/>
      <c r="AB356" s="275"/>
    </row>
    <row r="357" spans="1:28" x14ac:dyDescent="0.2">
      <c r="A357" s="242"/>
      <c r="B357" s="255" t="s">
        <v>17</v>
      </c>
      <c r="C357" s="12"/>
      <c r="D357" s="12"/>
      <c r="E357" s="257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21">
        <f>SUM(F357, K357, P357, F358, K358, P358)</f>
        <v>0</v>
      </c>
      <c r="V357" s="221">
        <f>SUM(H357, M357, R357, H358, M358, R358)</f>
        <v>0</v>
      </c>
      <c r="W357" s="223">
        <f>IF($U357=0, ,V357/$U357)</f>
        <v>0</v>
      </c>
      <c r="X357" s="221">
        <f>SUM(I357, N357, S357, I358, N358, S358)</f>
        <v>0</v>
      </c>
      <c r="Y357" s="223">
        <f>IF($U357=0, ,X357/$U357)</f>
        <v>0</v>
      </c>
      <c r="Z357" s="221">
        <f>SUM(J357, O357, T357, J358, O358, T358)</f>
        <v>0</v>
      </c>
      <c r="AA357" s="223">
        <f>IF($U357=0, ,Z357/$U357)</f>
        <v>0</v>
      </c>
      <c r="AB357" s="247"/>
    </row>
    <row r="358" spans="1:28" x14ac:dyDescent="0.2">
      <c r="A358" s="242"/>
      <c r="B358" s="274"/>
      <c r="C358" s="12"/>
      <c r="D358" s="12"/>
      <c r="E358" s="259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22"/>
      <c r="V358" s="222"/>
      <c r="W358" s="224"/>
      <c r="X358" s="222"/>
      <c r="Y358" s="224"/>
      <c r="Z358" s="222"/>
      <c r="AA358" s="224"/>
      <c r="AB358" s="248"/>
    </row>
    <row r="359" spans="1:28" x14ac:dyDescent="0.2">
      <c r="A359" s="242"/>
      <c r="B359" s="245" t="s">
        <v>18</v>
      </c>
      <c r="C359" s="10"/>
      <c r="D359" s="10"/>
      <c r="E359" s="234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38">
        <f>SUM(F359, K359, P359, F360, K360, P360)</f>
        <v>0</v>
      </c>
      <c r="V359" s="238">
        <f>SUM(H359, M359, R359, H360, M360, R360)</f>
        <v>0</v>
      </c>
      <c r="W359" s="213">
        <f>IF($U359=0, ,V359/$U359)</f>
        <v>0</v>
      </c>
      <c r="X359" s="238">
        <f>SUM(I359, N359, S359, I360, N360, S360)</f>
        <v>0</v>
      </c>
      <c r="Y359" s="213">
        <f>IF($U359=0, ,X359/$U359)</f>
        <v>0</v>
      </c>
      <c r="Z359" s="238">
        <f>SUM(J359, O359, T359, J360, O360, T360)</f>
        <v>0</v>
      </c>
      <c r="AA359" s="213">
        <f>IF($U359=0, ,Z359/$U359)</f>
        <v>0</v>
      </c>
      <c r="AB359" s="232"/>
    </row>
    <row r="360" spans="1:28" x14ac:dyDescent="0.2">
      <c r="A360" s="242"/>
      <c r="B360" s="246"/>
      <c r="C360" s="10"/>
      <c r="D360" s="10"/>
      <c r="E360" s="235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39"/>
      <c r="V360" s="239"/>
      <c r="W360" s="214"/>
      <c r="X360" s="239"/>
      <c r="Y360" s="214"/>
      <c r="Z360" s="239"/>
      <c r="AA360" s="214"/>
      <c r="AB360" s="233"/>
    </row>
    <row r="361" spans="1:28" x14ac:dyDescent="0.2">
      <c r="A361" s="242"/>
      <c r="B361" s="255" t="s">
        <v>19</v>
      </c>
      <c r="C361" s="9"/>
      <c r="D361" s="9"/>
      <c r="E361" s="219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21">
        <f>SUM(F361, K361, P361, F362, K362, P362)</f>
        <v>0</v>
      </c>
      <c r="V361" s="221">
        <f>SUM(H361, M361, R361, H362, M362, R362)</f>
        <v>0</v>
      </c>
      <c r="W361" s="223">
        <f>IF($U361=0, ,V361/$U361)</f>
        <v>0</v>
      </c>
      <c r="X361" s="221">
        <f>SUM(I361, N361, S361, I362, N362, S362)</f>
        <v>0</v>
      </c>
      <c r="Y361" s="223">
        <f>IF($U361=0, ,X361/$U361)</f>
        <v>0</v>
      </c>
      <c r="Z361" s="221">
        <f>SUM(J361, O361, T361, J362, O362, T362)</f>
        <v>0</v>
      </c>
      <c r="AA361" s="223">
        <f>IF($U361=0, ,Z361/$U361)</f>
        <v>0</v>
      </c>
      <c r="AB361" s="247"/>
    </row>
    <row r="362" spans="1:28" x14ac:dyDescent="0.2">
      <c r="A362" s="242"/>
      <c r="B362" s="274"/>
      <c r="C362" s="9"/>
      <c r="D362" s="9"/>
      <c r="E362" s="220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22"/>
      <c r="V362" s="222"/>
      <c r="W362" s="224"/>
      <c r="X362" s="222"/>
      <c r="Y362" s="224"/>
      <c r="Z362" s="222"/>
      <c r="AA362" s="224"/>
      <c r="AB362" s="248"/>
    </row>
    <row r="363" spans="1:28" x14ac:dyDescent="0.2">
      <c r="A363" s="242"/>
      <c r="B363" s="245" t="s">
        <v>20</v>
      </c>
      <c r="C363" s="10"/>
      <c r="D363" s="10"/>
      <c r="E363" s="234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38">
        <f>SUM(F363, K363, P363, F364, K364, P364)</f>
        <v>0</v>
      </c>
      <c r="V363" s="238">
        <f>SUM(H363, M363, R363, H364, M364, R364)</f>
        <v>0</v>
      </c>
      <c r="W363" s="213">
        <f>IF($U363=0, ,V363/$U363)</f>
        <v>0</v>
      </c>
      <c r="X363" s="238">
        <f>SUM(I363, N363, S363, I364, N364, S364)</f>
        <v>0</v>
      </c>
      <c r="Y363" s="213">
        <f>IF($U363=0, ,X363/$U363)</f>
        <v>0</v>
      </c>
      <c r="Z363" s="238">
        <f>SUM(J363, O363, T363, J364, O364, T364)</f>
        <v>0</v>
      </c>
      <c r="AA363" s="213">
        <f>IF($U363=0, ,Z363/$U363)</f>
        <v>0</v>
      </c>
      <c r="AB363" s="232"/>
    </row>
    <row r="364" spans="1:28" x14ac:dyDescent="0.2">
      <c r="A364" s="242"/>
      <c r="B364" s="246"/>
      <c r="C364" s="10"/>
      <c r="D364" s="10"/>
      <c r="E364" s="235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39"/>
      <c r="V364" s="239"/>
      <c r="W364" s="214"/>
      <c r="X364" s="239"/>
      <c r="Y364" s="214"/>
      <c r="Z364" s="239"/>
      <c r="AA364" s="214"/>
      <c r="AB364" s="233"/>
    </row>
    <row r="365" spans="1:28" x14ac:dyDescent="0.2">
      <c r="A365" s="242"/>
      <c r="B365" s="255" t="s">
        <v>21</v>
      </c>
      <c r="C365" s="9"/>
      <c r="D365" s="9"/>
      <c r="E365" s="219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21">
        <f>SUM(F365, K365, P365, F366, K366, P366)</f>
        <v>0</v>
      </c>
      <c r="V365" s="221">
        <f>SUM(H365, M365, R365, H366, M366, R366)</f>
        <v>0</v>
      </c>
      <c r="W365" s="223">
        <f>IF($U365=0, ,V365/$U365)</f>
        <v>0</v>
      </c>
      <c r="X365" s="221">
        <f>SUM(I365, N365, S365, I366, N366, S366)</f>
        <v>0</v>
      </c>
      <c r="Y365" s="223">
        <f>IF($U365=0, ,X365/$U365)</f>
        <v>0</v>
      </c>
      <c r="Z365" s="221">
        <f>SUM(J365, O365, T365, J366, O366, T366)</f>
        <v>0</v>
      </c>
      <c r="AA365" s="223">
        <f>IF($U365=0, ,Z365/$U365)</f>
        <v>0</v>
      </c>
      <c r="AB365" s="247"/>
    </row>
    <row r="366" spans="1:28" x14ac:dyDescent="0.2">
      <c r="A366" s="242"/>
      <c r="B366" s="274"/>
      <c r="C366" s="9"/>
      <c r="D366" s="9"/>
      <c r="E366" s="220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22"/>
      <c r="V366" s="222"/>
      <c r="W366" s="224"/>
      <c r="X366" s="222"/>
      <c r="Y366" s="224"/>
      <c r="Z366" s="222"/>
      <c r="AA366" s="224"/>
      <c r="AB366" s="248"/>
    </row>
    <row r="367" spans="1:28" x14ac:dyDescent="0.2">
      <c r="A367" s="242"/>
      <c r="B367" s="245" t="s">
        <v>22</v>
      </c>
      <c r="C367" s="11"/>
      <c r="D367" s="11"/>
      <c r="E367" s="251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38">
        <f>SUM(F367, K367, P367, F368, K368, P368)</f>
        <v>0</v>
      </c>
      <c r="V367" s="238">
        <f>SUM(H367, M367, R367, H368, M368, R368)</f>
        <v>0</v>
      </c>
      <c r="W367" s="213">
        <f>IF($U367=0, ,V367/$U367)</f>
        <v>0</v>
      </c>
      <c r="X367" s="238">
        <f>SUM(I367, N367, S367, I368, N368, S368)</f>
        <v>0</v>
      </c>
      <c r="Y367" s="213">
        <f>IF($U367=0, ,X367/$U367)</f>
        <v>0</v>
      </c>
      <c r="Z367" s="238">
        <f>SUM(J367, O367, T367, J368, O368, T368)</f>
        <v>0</v>
      </c>
      <c r="AA367" s="213">
        <f>IF($U367=0, ,Z367/$U367)</f>
        <v>0</v>
      </c>
      <c r="AB367" s="232"/>
    </row>
    <row r="368" spans="1:28" x14ac:dyDescent="0.2">
      <c r="A368" s="242"/>
      <c r="B368" s="246"/>
      <c r="C368" s="11"/>
      <c r="D368" s="11"/>
      <c r="E368" s="252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39"/>
      <c r="V368" s="239"/>
      <c r="W368" s="214"/>
      <c r="X368" s="239"/>
      <c r="Y368" s="214"/>
      <c r="Z368" s="239"/>
      <c r="AA368" s="214"/>
      <c r="AB368" s="233"/>
    </row>
    <row r="369" spans="1:28" ht="13.5" thickBot="1" x14ac:dyDescent="0.25">
      <c r="A369" s="242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42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42"/>
      <c r="B371" s="243" t="s">
        <v>35</v>
      </c>
      <c r="C371" s="244" t="s">
        <v>25</v>
      </c>
      <c r="D371" s="244" t="s">
        <v>28</v>
      </c>
      <c r="E371" s="225" t="s">
        <v>12</v>
      </c>
      <c r="F371" s="269" t="s">
        <v>13</v>
      </c>
      <c r="G371" s="269"/>
      <c r="H371" s="269"/>
      <c r="I371" s="269" t="s">
        <v>14</v>
      </c>
      <c r="J371" s="269"/>
      <c r="K371" s="269"/>
      <c r="L371" s="269" t="s">
        <v>15</v>
      </c>
      <c r="M371" s="269"/>
      <c r="N371" s="269"/>
      <c r="O371" s="229" t="s">
        <v>34</v>
      </c>
      <c r="P371" s="229" t="s">
        <v>48</v>
      </c>
      <c r="Q371" s="229" t="s">
        <v>60</v>
      </c>
      <c r="R371" s="229" t="s">
        <v>49</v>
      </c>
      <c r="S371" s="229" t="s">
        <v>61</v>
      </c>
      <c r="T371" s="265"/>
      <c r="U371" s="265"/>
      <c r="V371" s="265"/>
      <c r="W371" s="265"/>
      <c r="X371" s="265"/>
      <c r="Y371" s="265"/>
      <c r="Z371" s="265"/>
      <c r="AA371" s="265"/>
      <c r="AB371" s="266"/>
    </row>
    <row r="372" spans="1:28" ht="25.5" x14ac:dyDescent="0.2">
      <c r="A372" s="242"/>
      <c r="B372" s="243"/>
      <c r="C372" s="244"/>
      <c r="D372" s="244"/>
      <c r="E372" s="225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31"/>
      <c r="P372" s="231"/>
      <c r="Q372" s="231"/>
      <c r="R372" s="231"/>
      <c r="S372" s="231"/>
      <c r="T372" s="267"/>
      <c r="U372" s="267"/>
      <c r="V372" s="267"/>
      <c r="W372" s="267"/>
      <c r="X372" s="267"/>
      <c r="Y372" s="267"/>
      <c r="Z372" s="267"/>
      <c r="AA372" s="267"/>
      <c r="AB372" s="268"/>
    </row>
    <row r="373" spans="1:28" x14ac:dyDescent="0.2">
      <c r="A373" s="242"/>
      <c r="B373" s="263" t="s">
        <v>36</v>
      </c>
      <c r="C373" s="12">
        <v>21284</v>
      </c>
      <c r="D373" s="12" t="s">
        <v>95</v>
      </c>
      <c r="E373" s="264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21">
        <f>SUM(F373, I373, L373, F374, I374, L374)*$O370</f>
        <v>16640</v>
      </c>
      <c r="P373" s="221">
        <f>SUM(G373, J373, M373, G374, J374, M374)</f>
        <v>0</v>
      </c>
      <c r="Q373" s="223">
        <f>IF($O373=0, ,P373/$O373)</f>
        <v>0</v>
      </c>
      <c r="R373" s="221">
        <f>SUM(H373, K373, N373, H374, K374, N374)</f>
        <v>0</v>
      </c>
      <c r="S373" s="223">
        <f>IF($O373=0, ,R373/$O373)</f>
        <v>0</v>
      </c>
      <c r="T373" s="270"/>
      <c r="U373" s="270"/>
      <c r="V373" s="270"/>
      <c r="W373" s="270"/>
      <c r="X373" s="270"/>
      <c r="Y373" s="270"/>
      <c r="Z373" s="270"/>
      <c r="AA373" s="270"/>
      <c r="AB373" s="271"/>
    </row>
    <row r="374" spans="1:28" x14ac:dyDescent="0.2">
      <c r="A374" s="242"/>
      <c r="B374" s="263"/>
      <c r="C374" s="12"/>
      <c r="D374" s="12"/>
      <c r="E374" s="264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22"/>
      <c r="P374" s="222"/>
      <c r="Q374" s="224"/>
      <c r="R374" s="222"/>
      <c r="S374" s="224"/>
      <c r="T374" s="272"/>
      <c r="U374" s="272"/>
      <c r="V374" s="272"/>
      <c r="W374" s="272"/>
      <c r="X374" s="272"/>
      <c r="Y374" s="272"/>
      <c r="Z374" s="272"/>
      <c r="AA374" s="272"/>
      <c r="AB374" s="273"/>
    </row>
    <row r="375" spans="1:28" x14ac:dyDescent="0.2">
      <c r="A375" s="242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42"/>
      <c r="B376" s="276" t="s">
        <v>67</v>
      </c>
      <c r="C376" s="276"/>
      <c r="D376" s="277"/>
      <c r="E376" s="82" t="s">
        <v>68</v>
      </c>
      <c r="F376" s="261" t="s">
        <v>64</v>
      </c>
      <c r="G376" s="261"/>
      <c r="H376" s="261"/>
      <c r="I376" s="261" t="s">
        <v>76</v>
      </c>
      <c r="J376" s="261"/>
      <c r="K376" s="261"/>
      <c r="L376" s="261" t="s">
        <v>65</v>
      </c>
      <c r="M376" s="261"/>
      <c r="N376" s="261"/>
      <c r="O376" s="261" t="s">
        <v>66</v>
      </c>
      <c r="P376" s="261"/>
      <c r="Q376" s="261"/>
      <c r="R376" s="261" t="s">
        <v>73</v>
      </c>
      <c r="S376" s="261"/>
      <c r="T376" s="261"/>
      <c r="U376" s="261" t="s">
        <v>74</v>
      </c>
      <c r="V376" s="261"/>
      <c r="W376" s="261"/>
      <c r="X376" s="261" t="s">
        <v>75</v>
      </c>
      <c r="Y376" s="261"/>
      <c r="Z376" s="261"/>
      <c r="AA376" s="262"/>
      <c r="AB376" s="262"/>
    </row>
    <row r="377" spans="1:28" x14ac:dyDescent="0.2">
      <c r="A377" s="242"/>
      <c r="B377" s="278"/>
      <c r="C377" s="278"/>
      <c r="D377" s="279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62"/>
      <c r="AB377" s="262"/>
    </row>
    <row r="378" spans="1:28" x14ac:dyDescent="0.2">
      <c r="A378" s="242"/>
      <c r="B378" s="280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62"/>
      <c r="AB378" s="262"/>
    </row>
    <row r="379" spans="1:28" x14ac:dyDescent="0.2">
      <c r="A379" s="242"/>
      <c r="B379" s="280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62"/>
      <c r="AB379" s="262"/>
    </row>
    <row r="380" spans="1:28" x14ac:dyDescent="0.2">
      <c r="A380" s="242"/>
      <c r="B380" s="280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62"/>
      <c r="AB380" s="262"/>
    </row>
    <row r="381" spans="1:28" x14ac:dyDescent="0.2">
      <c r="A381" s="242"/>
      <c r="B381" s="280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62"/>
      <c r="AB381" s="262"/>
    </row>
    <row r="383" spans="1:28" x14ac:dyDescent="0.2">
      <c r="A383" s="242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42"/>
      <c r="B384" s="243" t="s">
        <v>10</v>
      </c>
      <c r="C384" s="244" t="s">
        <v>25</v>
      </c>
      <c r="D384" s="244" t="s">
        <v>28</v>
      </c>
      <c r="E384" s="225" t="s">
        <v>12</v>
      </c>
      <c r="F384" s="226" t="s">
        <v>13</v>
      </c>
      <c r="G384" s="227"/>
      <c r="H384" s="227"/>
      <c r="I384" s="227"/>
      <c r="J384" s="228"/>
      <c r="K384" s="226" t="s">
        <v>14</v>
      </c>
      <c r="L384" s="227"/>
      <c r="M384" s="227"/>
      <c r="N384" s="227"/>
      <c r="O384" s="228"/>
      <c r="P384" s="226" t="s">
        <v>15</v>
      </c>
      <c r="Q384" s="227"/>
      <c r="R384" s="227"/>
      <c r="S384" s="227"/>
      <c r="T384" s="228"/>
      <c r="U384" s="275" t="s">
        <v>34</v>
      </c>
      <c r="V384" s="275" t="s">
        <v>48</v>
      </c>
      <c r="W384" s="275" t="s">
        <v>56</v>
      </c>
      <c r="X384" s="275" t="s">
        <v>54</v>
      </c>
      <c r="Y384" s="275" t="s">
        <v>57</v>
      </c>
      <c r="Z384" s="275" t="s">
        <v>55</v>
      </c>
      <c r="AA384" s="275" t="s">
        <v>58</v>
      </c>
      <c r="AB384" s="275" t="s">
        <v>38</v>
      </c>
    </row>
    <row r="385" spans="1:28" ht="38.25" x14ac:dyDescent="0.2">
      <c r="A385" s="242"/>
      <c r="B385" s="243"/>
      <c r="C385" s="244"/>
      <c r="D385" s="244"/>
      <c r="E385" s="225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75"/>
      <c r="V385" s="275"/>
      <c r="W385" s="275"/>
      <c r="X385" s="275"/>
      <c r="Y385" s="275"/>
      <c r="Z385" s="275"/>
      <c r="AA385" s="275"/>
      <c r="AB385" s="275"/>
    </row>
    <row r="386" spans="1:28" x14ac:dyDescent="0.2">
      <c r="A386" s="242"/>
      <c r="B386" s="255" t="s">
        <v>17</v>
      </c>
      <c r="C386" s="12"/>
      <c r="D386" s="12"/>
      <c r="E386" s="257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21">
        <f>SUM(F386, K386, P386, F387, K387, P387)</f>
        <v>0</v>
      </c>
      <c r="V386" s="221">
        <f>SUM(H386, M386, R386, H387, M387, R387)</f>
        <v>0</v>
      </c>
      <c r="W386" s="223">
        <f>IF($U386=0, ,V386/$U386)</f>
        <v>0</v>
      </c>
      <c r="X386" s="221">
        <f>SUM(I386, N386, S386, I387, N387, S387)</f>
        <v>0</v>
      </c>
      <c r="Y386" s="223">
        <f>IF($U386=0, ,X386/$U386)</f>
        <v>0</v>
      </c>
      <c r="Z386" s="221">
        <f>SUM(J386, O386, T386, J387, O387, T387)</f>
        <v>0</v>
      </c>
      <c r="AA386" s="223">
        <f>IF($U386=0, ,Z386/$U386)</f>
        <v>0</v>
      </c>
      <c r="AB386" s="247"/>
    </row>
    <row r="387" spans="1:28" x14ac:dyDescent="0.2">
      <c r="A387" s="242"/>
      <c r="B387" s="274"/>
      <c r="C387" s="12"/>
      <c r="D387" s="12"/>
      <c r="E387" s="259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22"/>
      <c r="V387" s="222"/>
      <c r="W387" s="224"/>
      <c r="X387" s="222"/>
      <c r="Y387" s="224"/>
      <c r="Z387" s="222"/>
      <c r="AA387" s="224"/>
      <c r="AB387" s="248"/>
    </row>
    <row r="388" spans="1:28" x14ac:dyDescent="0.2">
      <c r="A388" s="242"/>
      <c r="B388" s="245" t="s">
        <v>18</v>
      </c>
      <c r="C388" s="10"/>
      <c r="D388" s="10"/>
      <c r="E388" s="234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38">
        <f>SUM(F388, K388, P388, F389, K389, P389)</f>
        <v>0</v>
      </c>
      <c r="V388" s="238">
        <f>SUM(H388, M388, R388, H389, M389, R389)</f>
        <v>0</v>
      </c>
      <c r="W388" s="213">
        <f>IF($U388=0, ,V388/$U388)</f>
        <v>0</v>
      </c>
      <c r="X388" s="238">
        <f>SUM(I388, N388, S388, I389, N389, S389)</f>
        <v>0</v>
      </c>
      <c r="Y388" s="213">
        <f>IF($U388=0, ,X388/$U388)</f>
        <v>0</v>
      </c>
      <c r="Z388" s="238">
        <f>SUM(J388, O388, T388, J389, O389, T389)</f>
        <v>0</v>
      </c>
      <c r="AA388" s="213">
        <f>IF($U388=0, ,Z388/$U388)</f>
        <v>0</v>
      </c>
      <c r="AB388" s="232"/>
    </row>
    <row r="389" spans="1:28" x14ac:dyDescent="0.2">
      <c r="A389" s="242"/>
      <c r="B389" s="246"/>
      <c r="C389" s="10"/>
      <c r="D389" s="10"/>
      <c r="E389" s="235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39"/>
      <c r="V389" s="239"/>
      <c r="W389" s="214"/>
      <c r="X389" s="239"/>
      <c r="Y389" s="214"/>
      <c r="Z389" s="239"/>
      <c r="AA389" s="214"/>
      <c r="AB389" s="233"/>
    </row>
    <row r="390" spans="1:28" x14ac:dyDescent="0.2">
      <c r="A390" s="242"/>
      <c r="B390" s="255" t="s">
        <v>19</v>
      </c>
      <c r="C390" s="9"/>
      <c r="D390" s="9"/>
      <c r="E390" s="219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21">
        <f>SUM(F390, K390, P390, F391, K391, P391)</f>
        <v>0</v>
      </c>
      <c r="V390" s="221">
        <f>SUM(H390, M390, R390, H391, M391, R391)</f>
        <v>0</v>
      </c>
      <c r="W390" s="223">
        <f>IF($U390=0, ,V390/$U390)</f>
        <v>0</v>
      </c>
      <c r="X390" s="221">
        <f>SUM(I390, N390, S390, I391, N391, S391)</f>
        <v>0</v>
      </c>
      <c r="Y390" s="223">
        <f>IF($U390=0, ,X390/$U390)</f>
        <v>0</v>
      </c>
      <c r="Z390" s="221">
        <f>SUM(J390, O390, T390, J391, O391, T391)</f>
        <v>0</v>
      </c>
      <c r="AA390" s="223">
        <f>IF($U390=0, ,Z390/$U390)</f>
        <v>0</v>
      </c>
      <c r="AB390" s="247"/>
    </row>
    <row r="391" spans="1:28" x14ac:dyDescent="0.2">
      <c r="A391" s="242"/>
      <c r="B391" s="274"/>
      <c r="C391" s="9"/>
      <c r="D391" s="9"/>
      <c r="E391" s="220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22"/>
      <c r="V391" s="222"/>
      <c r="W391" s="224"/>
      <c r="X391" s="222"/>
      <c r="Y391" s="224"/>
      <c r="Z391" s="222"/>
      <c r="AA391" s="224"/>
      <c r="AB391" s="248"/>
    </row>
    <row r="392" spans="1:28" x14ac:dyDescent="0.2">
      <c r="A392" s="242"/>
      <c r="B392" s="245" t="s">
        <v>20</v>
      </c>
      <c r="C392" s="10"/>
      <c r="D392" s="10"/>
      <c r="E392" s="234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38">
        <f>SUM(F392, K392, P392, F393, K393, P393)</f>
        <v>0</v>
      </c>
      <c r="V392" s="238">
        <f>SUM(H392, M392, R392, H393, M393, R393)</f>
        <v>0</v>
      </c>
      <c r="W392" s="213">
        <f>IF($U392=0, ,V392/$U392)</f>
        <v>0</v>
      </c>
      <c r="X392" s="238">
        <f>SUM(I392, N392, S392, I393, N393, S393)</f>
        <v>0</v>
      </c>
      <c r="Y392" s="213">
        <f>IF($U392=0, ,X392/$U392)</f>
        <v>0</v>
      </c>
      <c r="Z392" s="238">
        <f>SUM(J392, O392, T392, J393, O393, T393)</f>
        <v>0</v>
      </c>
      <c r="AA392" s="213">
        <f>IF($U392=0, ,Z392/$U392)</f>
        <v>0</v>
      </c>
      <c r="AB392" s="232"/>
    </row>
    <row r="393" spans="1:28" x14ac:dyDescent="0.2">
      <c r="A393" s="242"/>
      <c r="B393" s="246"/>
      <c r="C393" s="10"/>
      <c r="D393" s="10"/>
      <c r="E393" s="235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39"/>
      <c r="V393" s="239"/>
      <c r="W393" s="214"/>
      <c r="X393" s="239"/>
      <c r="Y393" s="214"/>
      <c r="Z393" s="239"/>
      <c r="AA393" s="214"/>
      <c r="AB393" s="233"/>
    </row>
    <row r="394" spans="1:28" x14ac:dyDescent="0.2">
      <c r="A394" s="242"/>
      <c r="B394" s="255" t="s">
        <v>21</v>
      </c>
      <c r="C394" s="9"/>
      <c r="D394" s="9"/>
      <c r="E394" s="219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21">
        <f>SUM(F394, K394, P394, F395, K395, P395)</f>
        <v>0</v>
      </c>
      <c r="V394" s="221">
        <f>SUM(H394, M394, R394, H395, M395, R395)</f>
        <v>0</v>
      </c>
      <c r="W394" s="223">
        <f>IF($U394=0, ,V394/$U394)</f>
        <v>0</v>
      </c>
      <c r="X394" s="221">
        <f>SUM(I394, N394, S394, I395, N395, S395)</f>
        <v>0</v>
      </c>
      <c r="Y394" s="223">
        <f>IF($U394=0, ,X394/$U394)</f>
        <v>0</v>
      </c>
      <c r="Z394" s="221">
        <f>SUM(J394, O394, T394, J395, O395, T395)</f>
        <v>0</v>
      </c>
      <c r="AA394" s="223">
        <f>IF($U394=0, ,Z394/$U394)</f>
        <v>0</v>
      </c>
      <c r="AB394" s="247"/>
    </row>
    <row r="395" spans="1:28" x14ac:dyDescent="0.2">
      <c r="A395" s="242"/>
      <c r="B395" s="274"/>
      <c r="C395" s="9"/>
      <c r="D395" s="9"/>
      <c r="E395" s="220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22"/>
      <c r="V395" s="222"/>
      <c r="W395" s="224"/>
      <c r="X395" s="222"/>
      <c r="Y395" s="224"/>
      <c r="Z395" s="222"/>
      <c r="AA395" s="224"/>
      <c r="AB395" s="248"/>
    </row>
    <row r="396" spans="1:28" x14ac:dyDescent="0.2">
      <c r="A396" s="242"/>
      <c r="B396" s="245" t="s">
        <v>22</v>
      </c>
      <c r="C396" s="11"/>
      <c r="D396" s="11"/>
      <c r="E396" s="251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38">
        <f>SUM(F396, K396, P396, F397, K397, P397)</f>
        <v>0</v>
      </c>
      <c r="V396" s="238">
        <f>SUM(H396, M396, R396, H397, M397, R397)</f>
        <v>0</v>
      </c>
      <c r="W396" s="213">
        <f>IF($U396=0, ,V396/$U396)</f>
        <v>0</v>
      </c>
      <c r="X396" s="238">
        <f>SUM(I396, N396, S396, I397, N397, S397)</f>
        <v>0</v>
      </c>
      <c r="Y396" s="213">
        <f>IF($U396=0, ,X396/$U396)</f>
        <v>0</v>
      </c>
      <c r="Z396" s="238">
        <f>SUM(J396, O396, T396, J397, O397, T397)</f>
        <v>0</v>
      </c>
      <c r="AA396" s="213">
        <f>IF($U396=0, ,Z396/$U396)</f>
        <v>0</v>
      </c>
      <c r="AB396" s="232"/>
    </row>
    <row r="397" spans="1:28" x14ac:dyDescent="0.2">
      <c r="A397" s="242"/>
      <c r="B397" s="246"/>
      <c r="C397" s="11"/>
      <c r="D397" s="11"/>
      <c r="E397" s="252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39"/>
      <c r="V397" s="239"/>
      <c r="W397" s="214"/>
      <c r="X397" s="239"/>
      <c r="Y397" s="214"/>
      <c r="Z397" s="239"/>
      <c r="AA397" s="214"/>
      <c r="AB397" s="233"/>
    </row>
    <row r="398" spans="1:28" ht="13.5" thickBot="1" x14ac:dyDescent="0.25">
      <c r="A398" s="242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42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42"/>
      <c r="B400" s="243" t="s">
        <v>35</v>
      </c>
      <c r="C400" s="244" t="s">
        <v>25</v>
      </c>
      <c r="D400" s="244" t="s">
        <v>28</v>
      </c>
      <c r="E400" s="225" t="s">
        <v>12</v>
      </c>
      <c r="F400" s="269" t="s">
        <v>13</v>
      </c>
      <c r="G400" s="269"/>
      <c r="H400" s="269"/>
      <c r="I400" s="269" t="s">
        <v>14</v>
      </c>
      <c r="J400" s="269"/>
      <c r="K400" s="269"/>
      <c r="L400" s="269" t="s">
        <v>15</v>
      </c>
      <c r="M400" s="269"/>
      <c r="N400" s="269"/>
      <c r="O400" s="229" t="s">
        <v>34</v>
      </c>
      <c r="P400" s="229" t="s">
        <v>48</v>
      </c>
      <c r="Q400" s="229" t="s">
        <v>60</v>
      </c>
      <c r="R400" s="229" t="s">
        <v>49</v>
      </c>
      <c r="S400" s="229" t="s">
        <v>61</v>
      </c>
      <c r="T400" s="265"/>
      <c r="U400" s="265"/>
      <c r="V400" s="265"/>
      <c r="W400" s="265"/>
      <c r="X400" s="265"/>
      <c r="Y400" s="265"/>
      <c r="Z400" s="265"/>
      <c r="AA400" s="265"/>
      <c r="AB400" s="266"/>
    </row>
    <row r="401" spans="1:28" ht="25.5" x14ac:dyDescent="0.2">
      <c r="A401" s="242"/>
      <c r="B401" s="243"/>
      <c r="C401" s="244"/>
      <c r="D401" s="244"/>
      <c r="E401" s="225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31"/>
      <c r="P401" s="231"/>
      <c r="Q401" s="231"/>
      <c r="R401" s="231"/>
      <c r="S401" s="231"/>
      <c r="T401" s="267"/>
      <c r="U401" s="267"/>
      <c r="V401" s="267"/>
      <c r="W401" s="267"/>
      <c r="X401" s="267"/>
      <c r="Y401" s="267"/>
      <c r="Z401" s="267"/>
      <c r="AA401" s="267"/>
      <c r="AB401" s="268"/>
    </row>
    <row r="402" spans="1:28" x14ac:dyDescent="0.2">
      <c r="A402" s="242"/>
      <c r="B402" s="263" t="s">
        <v>36</v>
      </c>
      <c r="C402" s="12">
        <v>21284</v>
      </c>
      <c r="D402" s="12" t="s">
        <v>95</v>
      </c>
      <c r="E402" s="264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21">
        <f>SUM(F402, I402, L402, F403, I403, L403)*$O399</f>
        <v>13440</v>
      </c>
      <c r="P402" s="221">
        <f>SUM(G402, J402, M402, G403, J403, M403)</f>
        <v>0</v>
      </c>
      <c r="Q402" s="223">
        <f>IF($O402=0, ,P402/$O402)</f>
        <v>0</v>
      </c>
      <c r="R402" s="221">
        <f>SUM(H402, K402, N402, H403, K403, N403)</f>
        <v>0</v>
      </c>
      <c r="S402" s="223">
        <f>IF($O402=0, ,R402/$O402)</f>
        <v>0</v>
      </c>
      <c r="T402" s="270"/>
      <c r="U402" s="270"/>
      <c r="V402" s="270"/>
      <c r="W402" s="270"/>
      <c r="X402" s="270"/>
      <c r="Y402" s="270"/>
      <c r="Z402" s="270"/>
      <c r="AA402" s="270"/>
      <c r="AB402" s="271"/>
    </row>
    <row r="403" spans="1:28" x14ac:dyDescent="0.2">
      <c r="A403" s="242"/>
      <c r="B403" s="263"/>
      <c r="C403" s="12"/>
      <c r="D403" s="12"/>
      <c r="E403" s="264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22"/>
      <c r="P403" s="222"/>
      <c r="Q403" s="224"/>
      <c r="R403" s="222"/>
      <c r="S403" s="224"/>
      <c r="T403" s="272"/>
      <c r="U403" s="272"/>
      <c r="V403" s="272"/>
      <c r="W403" s="272"/>
      <c r="X403" s="272"/>
      <c r="Y403" s="272"/>
      <c r="Z403" s="272"/>
      <c r="AA403" s="272"/>
      <c r="AB403" s="273"/>
    </row>
    <row r="404" spans="1:28" x14ac:dyDescent="0.2">
      <c r="A404" s="242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42"/>
      <c r="B405" s="276" t="s">
        <v>67</v>
      </c>
      <c r="C405" s="276"/>
      <c r="D405" s="277"/>
      <c r="E405" s="82" t="s">
        <v>68</v>
      </c>
      <c r="F405" s="261" t="s">
        <v>64</v>
      </c>
      <c r="G405" s="261"/>
      <c r="H405" s="261"/>
      <c r="I405" s="261" t="s">
        <v>76</v>
      </c>
      <c r="J405" s="261"/>
      <c r="K405" s="261"/>
      <c r="L405" s="261" t="s">
        <v>65</v>
      </c>
      <c r="M405" s="261"/>
      <c r="N405" s="261"/>
      <c r="O405" s="261" t="s">
        <v>66</v>
      </c>
      <c r="P405" s="261"/>
      <c r="Q405" s="261"/>
      <c r="R405" s="261" t="s">
        <v>73</v>
      </c>
      <c r="S405" s="261"/>
      <c r="T405" s="261"/>
      <c r="U405" s="261" t="s">
        <v>74</v>
      </c>
      <c r="V405" s="261"/>
      <c r="W405" s="261"/>
      <c r="X405" s="261" t="s">
        <v>75</v>
      </c>
      <c r="Y405" s="261"/>
      <c r="Z405" s="261"/>
      <c r="AA405" s="262"/>
      <c r="AB405" s="262"/>
    </row>
    <row r="406" spans="1:28" x14ac:dyDescent="0.2">
      <c r="A406" s="242"/>
      <c r="B406" s="278"/>
      <c r="C406" s="278"/>
      <c r="D406" s="279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62"/>
      <c r="AB406" s="262"/>
    </row>
    <row r="407" spans="1:28" x14ac:dyDescent="0.2">
      <c r="A407" s="242"/>
      <c r="B407" s="280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62"/>
      <c r="AB407" s="262"/>
    </row>
    <row r="408" spans="1:28" x14ac:dyDescent="0.2">
      <c r="A408" s="242"/>
      <c r="B408" s="280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62"/>
      <c r="AB408" s="262"/>
    </row>
    <row r="409" spans="1:28" x14ac:dyDescent="0.2">
      <c r="A409" s="242"/>
      <c r="B409" s="280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62"/>
      <c r="AB409" s="262"/>
    </row>
    <row r="410" spans="1:28" x14ac:dyDescent="0.2">
      <c r="A410" s="242"/>
      <c r="B410" s="280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62"/>
      <c r="AB410" s="262"/>
    </row>
    <row r="412" spans="1:28" ht="12.75" customHeight="1" x14ac:dyDescent="0.2">
      <c r="A412" s="242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42"/>
      <c r="B413" s="243" t="s">
        <v>10</v>
      </c>
      <c r="C413" s="244" t="s">
        <v>25</v>
      </c>
      <c r="D413" s="244" t="s">
        <v>28</v>
      </c>
      <c r="E413" s="225" t="s">
        <v>12</v>
      </c>
      <c r="F413" s="226" t="s">
        <v>13</v>
      </c>
      <c r="G413" s="227"/>
      <c r="H413" s="227"/>
      <c r="I413" s="227"/>
      <c r="J413" s="228"/>
      <c r="K413" s="226" t="s">
        <v>14</v>
      </c>
      <c r="L413" s="227"/>
      <c r="M413" s="227"/>
      <c r="N413" s="227"/>
      <c r="O413" s="228"/>
      <c r="P413" s="226" t="s">
        <v>15</v>
      </c>
      <c r="Q413" s="227"/>
      <c r="R413" s="227"/>
      <c r="S413" s="227"/>
      <c r="T413" s="228"/>
      <c r="U413" s="275" t="s">
        <v>34</v>
      </c>
      <c r="V413" s="275" t="s">
        <v>48</v>
      </c>
      <c r="W413" s="275" t="s">
        <v>56</v>
      </c>
      <c r="X413" s="275" t="s">
        <v>54</v>
      </c>
      <c r="Y413" s="275" t="s">
        <v>57</v>
      </c>
      <c r="Z413" s="275" t="s">
        <v>55</v>
      </c>
      <c r="AA413" s="275" t="s">
        <v>58</v>
      </c>
      <c r="AB413" s="275" t="s">
        <v>38</v>
      </c>
    </row>
    <row r="414" spans="1:28" ht="38.25" x14ac:dyDescent="0.2">
      <c r="A414" s="242"/>
      <c r="B414" s="243"/>
      <c r="C414" s="244"/>
      <c r="D414" s="244"/>
      <c r="E414" s="225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75"/>
      <c r="V414" s="275"/>
      <c r="W414" s="275"/>
      <c r="X414" s="275"/>
      <c r="Y414" s="275"/>
      <c r="Z414" s="275"/>
      <c r="AA414" s="275"/>
      <c r="AB414" s="275"/>
    </row>
    <row r="415" spans="1:28" ht="12.75" customHeight="1" x14ac:dyDescent="0.2">
      <c r="A415" s="242"/>
      <c r="B415" s="255" t="s">
        <v>17</v>
      </c>
      <c r="C415" s="12"/>
      <c r="D415" s="12"/>
      <c r="E415" s="257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21">
        <f>SUM(F415, K415, P415, F416, K416, P416)</f>
        <v>0</v>
      </c>
      <c r="V415" s="221">
        <f>SUM(H415, M415, R415, H416, M416, R416)</f>
        <v>0</v>
      </c>
      <c r="W415" s="223">
        <f>IF($U415=0, ,V415/$U415)</f>
        <v>0</v>
      </c>
      <c r="X415" s="221">
        <f>SUM(I415, N415, S415, I416, N416, S416)</f>
        <v>0</v>
      </c>
      <c r="Y415" s="223">
        <f>IF($U415=0, ,X415/$U415)</f>
        <v>0</v>
      </c>
      <c r="Z415" s="221">
        <f>SUM(J415, O415, T415, J416, O416, T416)</f>
        <v>0</v>
      </c>
      <c r="AA415" s="223">
        <f>IF($U415=0, ,Z415/$U415)</f>
        <v>0</v>
      </c>
      <c r="AB415" s="247"/>
    </row>
    <row r="416" spans="1:28" ht="12.75" customHeight="1" x14ac:dyDescent="0.2">
      <c r="A416" s="242"/>
      <c r="B416" s="274"/>
      <c r="C416" s="12"/>
      <c r="D416" s="12"/>
      <c r="E416" s="259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22"/>
      <c r="V416" s="222"/>
      <c r="W416" s="224"/>
      <c r="X416" s="222"/>
      <c r="Y416" s="224"/>
      <c r="Z416" s="222"/>
      <c r="AA416" s="224"/>
      <c r="AB416" s="248"/>
    </row>
    <row r="417" spans="1:28" ht="12.75" customHeight="1" x14ac:dyDescent="0.2">
      <c r="A417" s="242"/>
      <c r="B417" s="245" t="s">
        <v>18</v>
      </c>
      <c r="C417" s="10"/>
      <c r="D417" s="10"/>
      <c r="E417" s="234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38">
        <f>SUM(F417, K417, P417, F418, K418, P418)</f>
        <v>0</v>
      </c>
      <c r="V417" s="238">
        <f>SUM(H417, M417, R417, H418, M418, R418)</f>
        <v>0</v>
      </c>
      <c r="W417" s="213">
        <f>IF($U417=0, ,V417/$U417)</f>
        <v>0</v>
      </c>
      <c r="X417" s="238">
        <f>SUM(I417, N417, S417, I418, N418, S418)</f>
        <v>0</v>
      </c>
      <c r="Y417" s="213">
        <f>IF($U417=0, ,X417/$U417)</f>
        <v>0</v>
      </c>
      <c r="Z417" s="238">
        <f>SUM(J417, O417, T417, J418, O418, T418)</f>
        <v>0</v>
      </c>
      <c r="AA417" s="213">
        <f>IF($U417=0, ,Z417/$U417)</f>
        <v>0</v>
      </c>
      <c r="AB417" s="232"/>
    </row>
    <row r="418" spans="1:28" ht="12.75" customHeight="1" x14ac:dyDescent="0.2">
      <c r="A418" s="242"/>
      <c r="B418" s="246"/>
      <c r="C418" s="10"/>
      <c r="D418" s="10"/>
      <c r="E418" s="235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39"/>
      <c r="V418" s="239"/>
      <c r="W418" s="214"/>
      <c r="X418" s="239"/>
      <c r="Y418" s="214"/>
      <c r="Z418" s="239"/>
      <c r="AA418" s="214"/>
      <c r="AB418" s="233"/>
    </row>
    <row r="419" spans="1:28" ht="12.75" customHeight="1" x14ac:dyDescent="0.2">
      <c r="A419" s="242"/>
      <c r="B419" s="255" t="s">
        <v>19</v>
      </c>
      <c r="C419" s="9"/>
      <c r="D419" s="9"/>
      <c r="E419" s="219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21">
        <f>SUM(F419, K419, P419, F420, K420, P420)</f>
        <v>0</v>
      </c>
      <c r="V419" s="221">
        <f>SUM(H419, M419, R419, H420, M420, R420)</f>
        <v>0</v>
      </c>
      <c r="W419" s="223">
        <f>IF($U419=0, ,V419/$U419)</f>
        <v>0</v>
      </c>
      <c r="X419" s="221">
        <f>SUM(I419, N419, S419, I420, N420, S420)</f>
        <v>0</v>
      </c>
      <c r="Y419" s="223">
        <f>IF($U419=0, ,X419/$U419)</f>
        <v>0</v>
      </c>
      <c r="Z419" s="221">
        <f>SUM(J419, O419, T419, J420, O420, T420)</f>
        <v>0</v>
      </c>
      <c r="AA419" s="223">
        <f>IF($U419=0, ,Z419/$U419)</f>
        <v>0</v>
      </c>
      <c r="AB419" s="247"/>
    </row>
    <row r="420" spans="1:28" ht="12.75" customHeight="1" x14ac:dyDescent="0.2">
      <c r="A420" s="242"/>
      <c r="B420" s="274"/>
      <c r="C420" s="9"/>
      <c r="D420" s="9"/>
      <c r="E420" s="220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22"/>
      <c r="V420" s="222"/>
      <c r="W420" s="224"/>
      <c r="X420" s="222"/>
      <c r="Y420" s="224"/>
      <c r="Z420" s="222"/>
      <c r="AA420" s="224"/>
      <c r="AB420" s="248"/>
    </row>
    <row r="421" spans="1:28" ht="12.75" customHeight="1" x14ac:dyDescent="0.2">
      <c r="A421" s="242"/>
      <c r="B421" s="245" t="s">
        <v>20</v>
      </c>
      <c r="C421" s="10"/>
      <c r="D421" s="10"/>
      <c r="E421" s="234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38">
        <f>SUM(F421, K421, P421, F422, K422, P422)</f>
        <v>0</v>
      </c>
      <c r="V421" s="238">
        <f>SUM(H421, M421, R421, H422, M422, R422)</f>
        <v>0</v>
      </c>
      <c r="W421" s="213">
        <f>IF($U421=0, ,V421/$U421)</f>
        <v>0</v>
      </c>
      <c r="X421" s="238">
        <f>SUM(I421, N421, S421, I422, N422, S422)</f>
        <v>0</v>
      </c>
      <c r="Y421" s="213">
        <f>IF($U421=0, ,X421/$U421)</f>
        <v>0</v>
      </c>
      <c r="Z421" s="238">
        <f>SUM(J421, O421, T421, J422, O422, T422)</f>
        <v>0</v>
      </c>
      <c r="AA421" s="213">
        <f>IF($U421=0, ,Z421/$U421)</f>
        <v>0</v>
      </c>
      <c r="AB421" s="232"/>
    </row>
    <row r="422" spans="1:28" ht="12.75" customHeight="1" x14ac:dyDescent="0.2">
      <c r="A422" s="242"/>
      <c r="B422" s="246"/>
      <c r="C422" s="10"/>
      <c r="D422" s="10"/>
      <c r="E422" s="235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39"/>
      <c r="V422" s="239"/>
      <c r="W422" s="214"/>
      <c r="X422" s="239"/>
      <c r="Y422" s="214"/>
      <c r="Z422" s="239"/>
      <c r="AA422" s="214"/>
      <c r="AB422" s="233"/>
    </row>
    <row r="423" spans="1:28" ht="12.75" customHeight="1" x14ac:dyDescent="0.2">
      <c r="A423" s="242"/>
      <c r="B423" s="255" t="s">
        <v>21</v>
      </c>
      <c r="C423" s="9"/>
      <c r="D423" s="9"/>
      <c r="E423" s="219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21">
        <f>SUM(F423, K423, P423, F424, K424, P424)</f>
        <v>0</v>
      </c>
      <c r="V423" s="221">
        <f>SUM(H423, M423, R423, H424, M424, R424)</f>
        <v>0</v>
      </c>
      <c r="W423" s="223">
        <f>IF($U423=0, ,V423/$U423)</f>
        <v>0</v>
      </c>
      <c r="X423" s="221">
        <f>SUM(I423, N423, S423, I424, N424, S424)</f>
        <v>0</v>
      </c>
      <c r="Y423" s="223">
        <f>IF($U423=0, ,X423/$U423)</f>
        <v>0</v>
      </c>
      <c r="Z423" s="221">
        <f>SUM(J423, O423, T423, J424, O424, T424)</f>
        <v>0</v>
      </c>
      <c r="AA423" s="223">
        <f>IF($U423=0, ,Z423/$U423)</f>
        <v>0</v>
      </c>
      <c r="AB423" s="247"/>
    </row>
    <row r="424" spans="1:28" ht="12.75" customHeight="1" x14ac:dyDescent="0.2">
      <c r="A424" s="242"/>
      <c r="B424" s="274"/>
      <c r="C424" s="9"/>
      <c r="D424" s="9"/>
      <c r="E424" s="220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22"/>
      <c r="V424" s="222"/>
      <c r="W424" s="224"/>
      <c r="X424" s="222"/>
      <c r="Y424" s="224"/>
      <c r="Z424" s="222"/>
      <c r="AA424" s="224"/>
      <c r="AB424" s="248"/>
    </row>
    <row r="425" spans="1:28" ht="12.75" customHeight="1" x14ac:dyDescent="0.2">
      <c r="A425" s="242"/>
      <c r="B425" s="245" t="s">
        <v>22</v>
      </c>
      <c r="C425" s="11"/>
      <c r="D425" s="11"/>
      <c r="E425" s="251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38">
        <f>SUM(F425, K425, P425, F426, K426, P426)</f>
        <v>0</v>
      </c>
      <c r="V425" s="238">
        <f>SUM(H425, M425, R425, H426, M426, R426)</f>
        <v>0</v>
      </c>
      <c r="W425" s="213">
        <f>IF($U425=0, ,V425/$U425)</f>
        <v>0</v>
      </c>
      <c r="X425" s="238">
        <f>SUM(I425, N425, S425, I426, N426, S426)</f>
        <v>0</v>
      </c>
      <c r="Y425" s="213">
        <f>IF($U425=0, ,X425/$U425)</f>
        <v>0</v>
      </c>
      <c r="Z425" s="238">
        <f>SUM(J425, O425, T425, J426, O426, T426)</f>
        <v>0</v>
      </c>
      <c r="AA425" s="213">
        <f>IF($U425=0, ,Z425/$U425)</f>
        <v>0</v>
      </c>
      <c r="AB425" s="232"/>
    </row>
    <row r="426" spans="1:28" ht="12.75" customHeight="1" x14ac:dyDescent="0.2">
      <c r="A426" s="242"/>
      <c r="B426" s="246"/>
      <c r="C426" s="11"/>
      <c r="D426" s="11"/>
      <c r="E426" s="252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39"/>
      <c r="V426" s="239"/>
      <c r="W426" s="214"/>
      <c r="X426" s="239"/>
      <c r="Y426" s="214"/>
      <c r="Z426" s="239"/>
      <c r="AA426" s="214"/>
      <c r="AB426" s="233"/>
    </row>
    <row r="427" spans="1:28" ht="13.5" customHeight="1" thickBot="1" x14ac:dyDescent="0.25">
      <c r="A427" s="242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42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42"/>
      <c r="B429" s="243" t="s">
        <v>35</v>
      </c>
      <c r="C429" s="244" t="s">
        <v>25</v>
      </c>
      <c r="D429" s="244" t="s">
        <v>28</v>
      </c>
      <c r="E429" s="225" t="s">
        <v>12</v>
      </c>
      <c r="F429" s="269" t="s">
        <v>13</v>
      </c>
      <c r="G429" s="269"/>
      <c r="H429" s="269"/>
      <c r="I429" s="269" t="s">
        <v>14</v>
      </c>
      <c r="J429" s="269"/>
      <c r="K429" s="269"/>
      <c r="L429" s="269" t="s">
        <v>15</v>
      </c>
      <c r="M429" s="269"/>
      <c r="N429" s="269"/>
      <c r="O429" s="229" t="s">
        <v>34</v>
      </c>
      <c r="P429" s="229" t="s">
        <v>48</v>
      </c>
      <c r="Q429" s="229" t="s">
        <v>60</v>
      </c>
      <c r="R429" s="229" t="s">
        <v>49</v>
      </c>
      <c r="S429" s="229" t="s">
        <v>61</v>
      </c>
      <c r="T429" s="265"/>
      <c r="U429" s="265"/>
      <c r="V429" s="265"/>
      <c r="W429" s="265"/>
      <c r="X429" s="265"/>
      <c r="Y429" s="265"/>
      <c r="Z429" s="265"/>
      <c r="AA429" s="265"/>
      <c r="AB429" s="266"/>
    </row>
    <row r="430" spans="1:28" ht="25.5" customHeight="1" x14ac:dyDescent="0.2">
      <c r="A430" s="242"/>
      <c r="B430" s="243"/>
      <c r="C430" s="244"/>
      <c r="D430" s="244"/>
      <c r="E430" s="225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31"/>
      <c r="P430" s="231"/>
      <c r="Q430" s="231"/>
      <c r="R430" s="231"/>
      <c r="S430" s="231"/>
      <c r="T430" s="267"/>
      <c r="U430" s="267"/>
      <c r="V430" s="267"/>
      <c r="W430" s="267"/>
      <c r="X430" s="267"/>
      <c r="Y430" s="267"/>
      <c r="Z430" s="267"/>
      <c r="AA430" s="267"/>
      <c r="AB430" s="268"/>
    </row>
    <row r="431" spans="1:28" ht="12.75" customHeight="1" x14ac:dyDescent="0.2">
      <c r="A431" s="242"/>
      <c r="B431" s="263" t="s">
        <v>36</v>
      </c>
      <c r="C431" s="12">
        <v>21284</v>
      </c>
      <c r="D431" s="12" t="s">
        <v>95</v>
      </c>
      <c r="E431" s="264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21">
        <f>SUM(F431, I431, L431, F432, I432, L432)*$O428</f>
        <v>12160</v>
      </c>
      <c r="P431" s="221">
        <f>SUM(G431, J431, M431, G432, J432, M432)</f>
        <v>0</v>
      </c>
      <c r="Q431" s="223">
        <f>IF($O431=0, ,P431/$O431)</f>
        <v>0</v>
      </c>
      <c r="R431" s="221">
        <f>SUM(H431, K431, N431, H432, K432, N432)</f>
        <v>0</v>
      </c>
      <c r="S431" s="223">
        <f>IF($O431=0, ,R431/$O431)</f>
        <v>0</v>
      </c>
      <c r="T431" s="270"/>
      <c r="U431" s="270"/>
      <c r="V431" s="270"/>
      <c r="W431" s="270"/>
      <c r="X431" s="270"/>
      <c r="Y431" s="270"/>
      <c r="Z431" s="270"/>
      <c r="AA431" s="270"/>
      <c r="AB431" s="271"/>
    </row>
    <row r="432" spans="1:28" ht="12.75" customHeight="1" x14ac:dyDescent="0.2">
      <c r="A432" s="242"/>
      <c r="B432" s="263"/>
      <c r="C432" s="12"/>
      <c r="D432" s="12"/>
      <c r="E432" s="264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22"/>
      <c r="P432" s="222"/>
      <c r="Q432" s="224"/>
      <c r="R432" s="222"/>
      <c r="S432" s="224"/>
      <c r="T432" s="272"/>
      <c r="U432" s="272"/>
      <c r="V432" s="272"/>
      <c r="W432" s="272"/>
      <c r="X432" s="272"/>
      <c r="Y432" s="272"/>
      <c r="Z432" s="272"/>
      <c r="AA432" s="272"/>
      <c r="AB432" s="273"/>
    </row>
    <row r="433" spans="1:28" ht="12.75" customHeight="1" x14ac:dyDescent="0.2">
      <c r="A433" s="242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42"/>
      <c r="B434" s="276" t="s">
        <v>67</v>
      </c>
      <c r="C434" s="276"/>
      <c r="D434" s="277"/>
      <c r="E434" s="82" t="s">
        <v>68</v>
      </c>
      <c r="F434" s="261" t="s">
        <v>64</v>
      </c>
      <c r="G434" s="261"/>
      <c r="H434" s="261"/>
      <c r="I434" s="261" t="s">
        <v>76</v>
      </c>
      <c r="J434" s="261"/>
      <c r="K434" s="261"/>
      <c r="L434" s="261" t="s">
        <v>65</v>
      </c>
      <c r="M434" s="261"/>
      <c r="N434" s="261"/>
      <c r="O434" s="261" t="s">
        <v>66</v>
      </c>
      <c r="P434" s="261"/>
      <c r="Q434" s="261"/>
      <c r="R434" s="261" t="s">
        <v>73</v>
      </c>
      <c r="S434" s="261"/>
      <c r="T434" s="261"/>
      <c r="U434" s="261" t="s">
        <v>74</v>
      </c>
      <c r="V434" s="261"/>
      <c r="W434" s="261"/>
      <c r="X434" s="261" t="s">
        <v>75</v>
      </c>
      <c r="Y434" s="261"/>
      <c r="Z434" s="261"/>
      <c r="AA434" s="262"/>
      <c r="AB434" s="262"/>
    </row>
    <row r="435" spans="1:28" ht="12.75" customHeight="1" x14ac:dyDescent="0.2">
      <c r="A435" s="242"/>
      <c r="B435" s="278"/>
      <c r="C435" s="278"/>
      <c r="D435" s="279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62"/>
      <c r="AB435" s="262"/>
    </row>
    <row r="436" spans="1:28" ht="12.75" customHeight="1" x14ac:dyDescent="0.2">
      <c r="A436" s="242"/>
      <c r="B436" s="280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62"/>
      <c r="AB436" s="262"/>
    </row>
    <row r="437" spans="1:28" ht="12.75" customHeight="1" x14ac:dyDescent="0.2">
      <c r="A437" s="242"/>
      <c r="B437" s="280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62"/>
      <c r="AB437" s="262"/>
    </row>
    <row r="438" spans="1:28" ht="12.75" customHeight="1" x14ac:dyDescent="0.2">
      <c r="A438" s="242"/>
      <c r="B438" s="280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62"/>
      <c r="AB438" s="262"/>
    </row>
    <row r="439" spans="1:28" ht="12.75" customHeight="1" x14ac:dyDescent="0.2">
      <c r="A439" s="242"/>
      <c r="B439" s="280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62"/>
      <c r="AB439" s="262"/>
    </row>
    <row r="441" spans="1:28" x14ac:dyDescent="0.2">
      <c r="A441" s="242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42"/>
      <c r="B442" s="243" t="s">
        <v>10</v>
      </c>
      <c r="C442" s="244" t="s">
        <v>25</v>
      </c>
      <c r="D442" s="244" t="s">
        <v>28</v>
      </c>
      <c r="E442" s="225" t="s">
        <v>12</v>
      </c>
      <c r="F442" s="226" t="s">
        <v>13</v>
      </c>
      <c r="G442" s="227"/>
      <c r="H442" s="227"/>
      <c r="I442" s="227"/>
      <c r="J442" s="228"/>
      <c r="K442" s="226" t="s">
        <v>14</v>
      </c>
      <c r="L442" s="227"/>
      <c r="M442" s="227"/>
      <c r="N442" s="227"/>
      <c r="O442" s="228"/>
      <c r="P442" s="226" t="s">
        <v>15</v>
      </c>
      <c r="Q442" s="227"/>
      <c r="R442" s="227"/>
      <c r="S442" s="227"/>
      <c r="T442" s="228"/>
      <c r="U442" s="275" t="s">
        <v>34</v>
      </c>
      <c r="V442" s="275" t="s">
        <v>48</v>
      </c>
      <c r="W442" s="275" t="s">
        <v>56</v>
      </c>
      <c r="X442" s="275" t="s">
        <v>54</v>
      </c>
      <c r="Y442" s="275" t="s">
        <v>57</v>
      </c>
      <c r="Z442" s="275" t="s">
        <v>55</v>
      </c>
      <c r="AA442" s="275" t="s">
        <v>58</v>
      </c>
      <c r="AB442" s="275" t="s">
        <v>38</v>
      </c>
    </row>
    <row r="443" spans="1:28" ht="38.25" x14ac:dyDescent="0.2">
      <c r="A443" s="242"/>
      <c r="B443" s="243"/>
      <c r="C443" s="244"/>
      <c r="D443" s="244"/>
      <c r="E443" s="225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75"/>
      <c r="V443" s="275"/>
      <c r="W443" s="275"/>
      <c r="X443" s="275"/>
      <c r="Y443" s="275"/>
      <c r="Z443" s="275"/>
      <c r="AA443" s="275"/>
      <c r="AB443" s="275"/>
    </row>
    <row r="444" spans="1:28" x14ac:dyDescent="0.2">
      <c r="A444" s="242"/>
      <c r="B444" s="255" t="s">
        <v>17</v>
      </c>
      <c r="C444" s="12"/>
      <c r="D444" s="12"/>
      <c r="E444" s="257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21">
        <f>SUM(F444, K444, P444, F445, K445, P445)</f>
        <v>0</v>
      </c>
      <c r="V444" s="221">
        <f>SUM(H444, M444, R444, H445, M445, R445)</f>
        <v>0</v>
      </c>
      <c r="W444" s="223">
        <f>IF($U444=0, ,V444/$U444)</f>
        <v>0</v>
      </c>
      <c r="X444" s="221">
        <f>SUM(I444, N444, S444, I445, N445, S445)</f>
        <v>0</v>
      </c>
      <c r="Y444" s="223">
        <f>IF($U444=0, ,X444/$U444)</f>
        <v>0</v>
      </c>
      <c r="Z444" s="221">
        <f>SUM(J444, O444, T444, J445, O445, T445)</f>
        <v>0</v>
      </c>
      <c r="AA444" s="223">
        <f>IF($U444=0, ,Z444/$U444)</f>
        <v>0</v>
      </c>
      <c r="AB444" s="247"/>
    </row>
    <row r="445" spans="1:28" x14ac:dyDescent="0.2">
      <c r="A445" s="242"/>
      <c r="B445" s="274"/>
      <c r="C445" s="12"/>
      <c r="D445" s="12"/>
      <c r="E445" s="259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22"/>
      <c r="V445" s="222"/>
      <c r="W445" s="224"/>
      <c r="X445" s="222"/>
      <c r="Y445" s="224"/>
      <c r="Z445" s="222"/>
      <c r="AA445" s="224"/>
      <c r="AB445" s="248"/>
    </row>
    <row r="446" spans="1:28" x14ac:dyDescent="0.2">
      <c r="A446" s="242"/>
      <c r="B446" s="245" t="s">
        <v>18</v>
      </c>
      <c r="C446" s="10"/>
      <c r="D446" s="10"/>
      <c r="E446" s="234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38">
        <f>SUM(F446, K446, P446, F447, K447, P447)</f>
        <v>0</v>
      </c>
      <c r="V446" s="238">
        <f>SUM(H446, M446, R446, H447, M447, R447)</f>
        <v>0</v>
      </c>
      <c r="W446" s="213">
        <f>IF($U446=0, ,V446/$U446)</f>
        <v>0</v>
      </c>
      <c r="X446" s="238">
        <f>SUM(I446, N446, S446, I447, N447, S447)</f>
        <v>0</v>
      </c>
      <c r="Y446" s="213">
        <f>IF($U446=0, ,X446/$U446)</f>
        <v>0</v>
      </c>
      <c r="Z446" s="238">
        <f>SUM(J446, O446, T446, J447, O447, T447)</f>
        <v>0</v>
      </c>
      <c r="AA446" s="213">
        <f>IF($U446=0, ,Z446/$U446)</f>
        <v>0</v>
      </c>
      <c r="AB446" s="232"/>
    </row>
    <row r="447" spans="1:28" x14ac:dyDescent="0.2">
      <c r="A447" s="242"/>
      <c r="B447" s="246"/>
      <c r="C447" s="10"/>
      <c r="D447" s="10"/>
      <c r="E447" s="235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39"/>
      <c r="V447" s="239"/>
      <c r="W447" s="214"/>
      <c r="X447" s="239"/>
      <c r="Y447" s="214"/>
      <c r="Z447" s="239"/>
      <c r="AA447" s="214"/>
      <c r="AB447" s="233"/>
    </row>
    <row r="448" spans="1:28" x14ac:dyDescent="0.2">
      <c r="A448" s="242"/>
      <c r="B448" s="255" t="s">
        <v>19</v>
      </c>
      <c r="C448" s="9"/>
      <c r="D448" s="9"/>
      <c r="E448" s="219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21">
        <f>SUM(F448, K448, P448, F449, K449, P449)</f>
        <v>0</v>
      </c>
      <c r="V448" s="221">
        <f>SUM(H448, M448, R448, H449, M449, R449)</f>
        <v>0</v>
      </c>
      <c r="W448" s="223">
        <f>IF($U448=0, ,V448/$U448)</f>
        <v>0</v>
      </c>
      <c r="X448" s="221">
        <f>SUM(I448, N448, S448, I449, N449, S449)</f>
        <v>0</v>
      </c>
      <c r="Y448" s="223">
        <f>IF($U448=0, ,X448/$U448)</f>
        <v>0</v>
      </c>
      <c r="Z448" s="221">
        <f>SUM(J448, O448, T448, J449, O449, T449)</f>
        <v>0</v>
      </c>
      <c r="AA448" s="223">
        <f>IF($U448=0, ,Z448/$U448)</f>
        <v>0</v>
      </c>
      <c r="AB448" s="247"/>
    </row>
    <row r="449" spans="1:28" x14ac:dyDescent="0.2">
      <c r="A449" s="242"/>
      <c r="B449" s="274"/>
      <c r="C449" s="9"/>
      <c r="D449" s="9"/>
      <c r="E449" s="220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22"/>
      <c r="V449" s="222"/>
      <c r="W449" s="224"/>
      <c r="X449" s="222"/>
      <c r="Y449" s="224"/>
      <c r="Z449" s="222"/>
      <c r="AA449" s="224"/>
      <c r="AB449" s="248"/>
    </row>
    <row r="450" spans="1:28" x14ac:dyDescent="0.2">
      <c r="A450" s="242"/>
      <c r="B450" s="245" t="s">
        <v>20</v>
      </c>
      <c r="C450" s="10"/>
      <c r="D450" s="10"/>
      <c r="E450" s="234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38">
        <f>SUM(F450, K450, P450, F451, K451, P451)</f>
        <v>0</v>
      </c>
      <c r="V450" s="238">
        <f>SUM(H450, M450, R450, H451, M451, R451)</f>
        <v>0</v>
      </c>
      <c r="W450" s="213">
        <f>IF($U450=0, ,V450/$U450)</f>
        <v>0</v>
      </c>
      <c r="X450" s="238">
        <f>SUM(I450, N450, S450, I451, N451, S451)</f>
        <v>0</v>
      </c>
      <c r="Y450" s="213">
        <f>IF($U450=0, ,X450/$U450)</f>
        <v>0</v>
      </c>
      <c r="Z450" s="238">
        <f>SUM(J450, O450, T450, J451, O451, T451)</f>
        <v>0</v>
      </c>
      <c r="AA450" s="213">
        <f>IF($U450=0, ,Z450/$U450)</f>
        <v>0</v>
      </c>
      <c r="AB450" s="232"/>
    </row>
    <row r="451" spans="1:28" x14ac:dyDescent="0.2">
      <c r="A451" s="242"/>
      <c r="B451" s="246"/>
      <c r="C451" s="10"/>
      <c r="D451" s="10"/>
      <c r="E451" s="235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39"/>
      <c r="V451" s="239"/>
      <c r="W451" s="214"/>
      <c r="X451" s="239"/>
      <c r="Y451" s="214"/>
      <c r="Z451" s="239"/>
      <c r="AA451" s="214"/>
      <c r="AB451" s="233"/>
    </row>
    <row r="452" spans="1:28" x14ac:dyDescent="0.2">
      <c r="A452" s="242"/>
      <c r="B452" s="255" t="s">
        <v>21</v>
      </c>
      <c r="C452" s="9"/>
      <c r="D452" s="9"/>
      <c r="E452" s="219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21">
        <f>SUM(F452, K452, P452, F453, K453, P453)</f>
        <v>0</v>
      </c>
      <c r="V452" s="221">
        <f>SUM(H452, M452, R452, H453, M453, R453)</f>
        <v>0</v>
      </c>
      <c r="W452" s="223">
        <f>IF($U452=0, ,V452/$U452)</f>
        <v>0</v>
      </c>
      <c r="X452" s="221">
        <f>SUM(I452, N452, S452, I453, N453, S453)</f>
        <v>0</v>
      </c>
      <c r="Y452" s="223">
        <f>IF($U452=0, ,X452/$U452)</f>
        <v>0</v>
      </c>
      <c r="Z452" s="221">
        <f>SUM(J452, O452, T452, J453, O453, T453)</f>
        <v>0</v>
      </c>
      <c r="AA452" s="223">
        <f>IF($U452=0, ,Z452/$U452)</f>
        <v>0</v>
      </c>
      <c r="AB452" s="247"/>
    </row>
    <row r="453" spans="1:28" x14ac:dyDescent="0.2">
      <c r="A453" s="242"/>
      <c r="B453" s="274"/>
      <c r="C453" s="9"/>
      <c r="D453" s="9"/>
      <c r="E453" s="220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22"/>
      <c r="V453" s="222"/>
      <c r="W453" s="224"/>
      <c r="X453" s="222"/>
      <c r="Y453" s="224"/>
      <c r="Z453" s="222"/>
      <c r="AA453" s="224"/>
      <c r="AB453" s="248"/>
    </row>
    <row r="454" spans="1:28" x14ac:dyDescent="0.2">
      <c r="A454" s="242"/>
      <c r="B454" s="245" t="s">
        <v>22</v>
      </c>
      <c r="C454" s="11"/>
      <c r="D454" s="11"/>
      <c r="E454" s="251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38">
        <f>SUM(F454, K454, P454, F455, K455, P455)</f>
        <v>0</v>
      </c>
      <c r="V454" s="238">
        <f>SUM(H454, M454, R454, H455, M455, R455)</f>
        <v>0</v>
      </c>
      <c r="W454" s="213">
        <f>IF($U454=0, ,V454/$U454)</f>
        <v>0</v>
      </c>
      <c r="X454" s="238">
        <f>SUM(I454, N454, S454, I455, N455, S455)</f>
        <v>0</v>
      </c>
      <c r="Y454" s="213">
        <f>IF($U454=0, ,X454/$U454)</f>
        <v>0</v>
      </c>
      <c r="Z454" s="238">
        <f>SUM(J454, O454, T454, J455, O455, T455)</f>
        <v>0</v>
      </c>
      <c r="AA454" s="213">
        <f>IF($U454=0, ,Z454/$U454)</f>
        <v>0</v>
      </c>
      <c r="AB454" s="232"/>
    </row>
    <row r="455" spans="1:28" x14ac:dyDescent="0.2">
      <c r="A455" s="242"/>
      <c r="B455" s="246"/>
      <c r="C455" s="11"/>
      <c r="D455" s="11"/>
      <c r="E455" s="252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39"/>
      <c r="V455" s="239"/>
      <c r="W455" s="214"/>
      <c r="X455" s="239"/>
      <c r="Y455" s="214"/>
      <c r="Z455" s="239"/>
      <c r="AA455" s="214"/>
      <c r="AB455" s="233"/>
    </row>
    <row r="456" spans="1:28" ht="13.5" thickBot="1" x14ac:dyDescent="0.25">
      <c r="A456" s="242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42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42"/>
      <c r="B458" s="243" t="s">
        <v>35</v>
      </c>
      <c r="C458" s="244" t="s">
        <v>25</v>
      </c>
      <c r="D458" s="244" t="s">
        <v>28</v>
      </c>
      <c r="E458" s="225" t="s">
        <v>12</v>
      </c>
      <c r="F458" s="269" t="s">
        <v>13</v>
      </c>
      <c r="G458" s="269"/>
      <c r="H458" s="269"/>
      <c r="I458" s="269" t="s">
        <v>14</v>
      </c>
      <c r="J458" s="269"/>
      <c r="K458" s="269"/>
      <c r="L458" s="269" t="s">
        <v>15</v>
      </c>
      <c r="M458" s="269"/>
      <c r="N458" s="269"/>
      <c r="O458" s="229" t="s">
        <v>34</v>
      </c>
      <c r="P458" s="229" t="s">
        <v>48</v>
      </c>
      <c r="Q458" s="229" t="s">
        <v>60</v>
      </c>
      <c r="R458" s="229" t="s">
        <v>49</v>
      </c>
      <c r="S458" s="229" t="s">
        <v>61</v>
      </c>
      <c r="T458" s="265"/>
      <c r="U458" s="265"/>
      <c r="V458" s="265"/>
      <c r="W458" s="265"/>
      <c r="X458" s="265"/>
      <c r="Y458" s="265"/>
      <c r="Z458" s="265"/>
      <c r="AA458" s="265"/>
      <c r="AB458" s="266"/>
    </row>
    <row r="459" spans="1:28" ht="25.5" x14ac:dyDescent="0.2">
      <c r="A459" s="242"/>
      <c r="B459" s="243"/>
      <c r="C459" s="244"/>
      <c r="D459" s="244"/>
      <c r="E459" s="225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31"/>
      <c r="P459" s="231"/>
      <c r="Q459" s="231"/>
      <c r="R459" s="231"/>
      <c r="S459" s="231"/>
      <c r="T459" s="267"/>
      <c r="U459" s="267"/>
      <c r="V459" s="267"/>
      <c r="W459" s="267"/>
      <c r="X459" s="267"/>
      <c r="Y459" s="267"/>
      <c r="Z459" s="267"/>
      <c r="AA459" s="267"/>
      <c r="AB459" s="268"/>
    </row>
    <row r="460" spans="1:28" x14ac:dyDescent="0.2">
      <c r="A460" s="242"/>
      <c r="B460" s="263" t="s">
        <v>36</v>
      </c>
      <c r="C460" s="12"/>
      <c r="D460" s="12" t="s">
        <v>95</v>
      </c>
      <c r="E460" s="264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21">
        <f>SUM(F460, I460, L460, F461, I461, L461)*$O457</f>
        <v>0</v>
      </c>
      <c r="P460" s="221">
        <f>SUM(G460, J460, M460, G461, J461, M461)</f>
        <v>0</v>
      </c>
      <c r="Q460" s="223">
        <f>IF($O460=0, ,P460/$O460)</f>
        <v>0</v>
      </c>
      <c r="R460" s="221">
        <f>SUM(H460, K460, N460, H461, K461, N461)</f>
        <v>0</v>
      </c>
      <c r="S460" s="223">
        <f>IF($O460=0, ,R460/$O460)</f>
        <v>0</v>
      </c>
      <c r="T460" s="270"/>
      <c r="U460" s="270"/>
      <c r="V460" s="270"/>
      <c r="W460" s="270"/>
      <c r="X460" s="270"/>
      <c r="Y460" s="270"/>
      <c r="Z460" s="270"/>
      <c r="AA460" s="270"/>
      <c r="AB460" s="271"/>
    </row>
    <row r="461" spans="1:28" x14ac:dyDescent="0.2">
      <c r="A461" s="242"/>
      <c r="B461" s="263"/>
      <c r="C461" s="12"/>
      <c r="D461" s="12"/>
      <c r="E461" s="264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22"/>
      <c r="P461" s="222"/>
      <c r="Q461" s="224"/>
      <c r="R461" s="222"/>
      <c r="S461" s="224"/>
      <c r="T461" s="272"/>
      <c r="U461" s="272"/>
      <c r="V461" s="272"/>
      <c r="W461" s="272"/>
      <c r="X461" s="272"/>
      <c r="Y461" s="272"/>
      <c r="Z461" s="272"/>
      <c r="AA461" s="272"/>
      <c r="AB461" s="273"/>
    </row>
    <row r="462" spans="1:28" x14ac:dyDescent="0.2">
      <c r="A462" s="242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42"/>
      <c r="B463" s="276" t="s">
        <v>67</v>
      </c>
      <c r="C463" s="276"/>
      <c r="D463" s="277"/>
      <c r="E463" s="82" t="s">
        <v>68</v>
      </c>
      <c r="F463" s="261" t="s">
        <v>64</v>
      </c>
      <c r="G463" s="261"/>
      <c r="H463" s="261"/>
      <c r="I463" s="261" t="s">
        <v>76</v>
      </c>
      <c r="J463" s="261"/>
      <c r="K463" s="261"/>
      <c r="L463" s="261" t="s">
        <v>65</v>
      </c>
      <c r="M463" s="261"/>
      <c r="N463" s="261"/>
      <c r="O463" s="261" t="s">
        <v>66</v>
      </c>
      <c r="P463" s="261"/>
      <c r="Q463" s="261"/>
      <c r="R463" s="261" t="s">
        <v>73</v>
      </c>
      <c r="S463" s="261"/>
      <c r="T463" s="261"/>
      <c r="U463" s="261" t="s">
        <v>74</v>
      </c>
      <c r="V463" s="261"/>
      <c r="W463" s="261"/>
      <c r="X463" s="261" t="s">
        <v>75</v>
      </c>
      <c r="Y463" s="261"/>
      <c r="Z463" s="261"/>
      <c r="AA463" s="262"/>
      <c r="AB463" s="262"/>
    </row>
    <row r="464" spans="1:28" x14ac:dyDescent="0.2">
      <c r="A464" s="242"/>
      <c r="B464" s="278"/>
      <c r="C464" s="278"/>
      <c r="D464" s="279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62"/>
      <c r="AB464" s="262"/>
    </row>
    <row r="465" spans="1:28" x14ac:dyDescent="0.2">
      <c r="A465" s="242"/>
      <c r="B465" s="280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62"/>
      <c r="AB465" s="262"/>
    </row>
    <row r="466" spans="1:28" x14ac:dyDescent="0.2">
      <c r="A466" s="242"/>
      <c r="B466" s="280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62"/>
      <c r="AB466" s="262"/>
    </row>
    <row r="467" spans="1:28" x14ac:dyDescent="0.2">
      <c r="A467" s="242"/>
      <c r="B467" s="280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62"/>
      <c r="AB467" s="262"/>
    </row>
    <row r="468" spans="1:28" x14ac:dyDescent="0.2">
      <c r="A468" s="242"/>
      <c r="B468" s="280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62"/>
      <c r="AB468" s="262"/>
    </row>
    <row r="470" spans="1:28" x14ac:dyDescent="0.2">
      <c r="A470" s="242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42"/>
      <c r="B471" s="243" t="s">
        <v>10</v>
      </c>
      <c r="C471" s="244" t="s">
        <v>25</v>
      </c>
      <c r="D471" s="244" t="s">
        <v>28</v>
      </c>
      <c r="E471" s="225" t="s">
        <v>12</v>
      </c>
      <c r="F471" s="226" t="s">
        <v>13</v>
      </c>
      <c r="G471" s="227"/>
      <c r="H471" s="227"/>
      <c r="I471" s="227"/>
      <c r="J471" s="228"/>
      <c r="K471" s="226" t="s">
        <v>14</v>
      </c>
      <c r="L471" s="227"/>
      <c r="M471" s="227"/>
      <c r="N471" s="227"/>
      <c r="O471" s="228"/>
      <c r="P471" s="226" t="s">
        <v>15</v>
      </c>
      <c r="Q471" s="227"/>
      <c r="R471" s="227"/>
      <c r="S471" s="227"/>
      <c r="T471" s="228"/>
      <c r="U471" s="275" t="s">
        <v>34</v>
      </c>
      <c r="V471" s="275" t="s">
        <v>48</v>
      </c>
      <c r="W471" s="275" t="s">
        <v>56</v>
      </c>
      <c r="X471" s="275" t="s">
        <v>54</v>
      </c>
      <c r="Y471" s="275" t="s">
        <v>57</v>
      </c>
      <c r="Z471" s="275" t="s">
        <v>55</v>
      </c>
      <c r="AA471" s="275" t="s">
        <v>58</v>
      </c>
      <c r="AB471" s="275" t="s">
        <v>38</v>
      </c>
    </row>
    <row r="472" spans="1:28" ht="38.25" x14ac:dyDescent="0.2">
      <c r="A472" s="242"/>
      <c r="B472" s="243"/>
      <c r="C472" s="244"/>
      <c r="D472" s="244"/>
      <c r="E472" s="225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75"/>
      <c r="V472" s="275"/>
      <c r="W472" s="275"/>
      <c r="X472" s="275"/>
      <c r="Y472" s="275"/>
      <c r="Z472" s="275"/>
      <c r="AA472" s="275"/>
      <c r="AB472" s="275"/>
    </row>
    <row r="473" spans="1:28" x14ac:dyDescent="0.2">
      <c r="A473" s="242"/>
      <c r="B473" s="255" t="s">
        <v>17</v>
      </c>
      <c r="C473" s="12">
        <v>20591</v>
      </c>
      <c r="D473" s="12"/>
      <c r="E473" s="257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21">
        <f>SUM(F473, K473, P473, F474, K474, P474)</f>
        <v>2453</v>
      </c>
      <c r="V473" s="221">
        <f>SUM(H473, M473, R473, H474, M474, R474)</f>
        <v>0</v>
      </c>
      <c r="W473" s="223">
        <f>IF($U473=0, ,V473/$U473)</f>
        <v>0</v>
      </c>
      <c r="X473" s="221">
        <f>SUM(I473, N473, S473, I474, N474, S474)</f>
        <v>0</v>
      </c>
      <c r="Y473" s="223">
        <f>IF($U473=0, ,X473/$U473)</f>
        <v>0</v>
      </c>
      <c r="Z473" s="221">
        <f>SUM(J473, O473, T473, J474, O474, T474)</f>
        <v>0</v>
      </c>
      <c r="AA473" s="223">
        <f>IF($U473=0, ,Z473/$U473)</f>
        <v>0</v>
      </c>
      <c r="AB473" s="247"/>
    </row>
    <row r="474" spans="1:28" x14ac:dyDescent="0.2">
      <c r="A474" s="242"/>
      <c r="B474" s="274"/>
      <c r="C474" s="12"/>
      <c r="D474" s="12"/>
      <c r="E474" s="259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22"/>
      <c r="V474" s="222"/>
      <c r="W474" s="224"/>
      <c r="X474" s="222"/>
      <c r="Y474" s="224"/>
      <c r="Z474" s="222"/>
      <c r="AA474" s="224"/>
      <c r="AB474" s="248"/>
    </row>
    <row r="475" spans="1:28" x14ac:dyDescent="0.2">
      <c r="A475" s="242"/>
      <c r="B475" s="245" t="s">
        <v>18</v>
      </c>
      <c r="C475" s="10"/>
      <c r="D475" s="10"/>
      <c r="E475" s="234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38">
        <f>SUM(F475, K475, P475, F476, K476, P476)</f>
        <v>0</v>
      </c>
      <c r="V475" s="238">
        <f>SUM(H475, M475, R475, H476, M476, R476)</f>
        <v>0</v>
      </c>
      <c r="W475" s="213">
        <f>IF($U475=0, ,V475/$U475)</f>
        <v>0</v>
      </c>
      <c r="X475" s="238">
        <f>SUM(I475, N475, S475, I476, N476, S476)</f>
        <v>0</v>
      </c>
      <c r="Y475" s="213">
        <f>IF($U475=0, ,X475/$U475)</f>
        <v>0</v>
      </c>
      <c r="Z475" s="238">
        <f>SUM(J475, O475, T475, J476, O476, T476)</f>
        <v>0</v>
      </c>
      <c r="AA475" s="213">
        <f>IF($U475=0, ,Z475/$U475)</f>
        <v>0</v>
      </c>
      <c r="AB475" s="232"/>
    </row>
    <row r="476" spans="1:28" x14ac:dyDescent="0.2">
      <c r="A476" s="242"/>
      <c r="B476" s="246"/>
      <c r="C476" s="10"/>
      <c r="D476" s="10"/>
      <c r="E476" s="235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39"/>
      <c r="V476" s="239"/>
      <c r="W476" s="214"/>
      <c r="X476" s="239"/>
      <c r="Y476" s="214"/>
      <c r="Z476" s="239"/>
      <c r="AA476" s="214"/>
      <c r="AB476" s="233"/>
    </row>
    <row r="477" spans="1:28" x14ac:dyDescent="0.2">
      <c r="A477" s="242"/>
      <c r="B477" s="255" t="s">
        <v>19</v>
      </c>
      <c r="C477" s="9"/>
      <c r="D477" s="9"/>
      <c r="E477" s="219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21">
        <f>SUM(F477, K477, P477, F478, K478, P478)</f>
        <v>0</v>
      </c>
      <c r="V477" s="221">
        <f>SUM(H477, M477, R477, H478, M478, R478)</f>
        <v>0</v>
      </c>
      <c r="W477" s="223">
        <f>IF($U477=0, ,V477/$U477)</f>
        <v>0</v>
      </c>
      <c r="X477" s="221">
        <f>SUM(I477, N477, S477, I478, N478, S478)</f>
        <v>0</v>
      </c>
      <c r="Y477" s="223">
        <f>IF($U477=0, ,X477/$U477)</f>
        <v>0</v>
      </c>
      <c r="Z477" s="221">
        <f>SUM(J477, O477, T477, J478, O478, T478)</f>
        <v>0</v>
      </c>
      <c r="AA477" s="223">
        <f>IF($U477=0, ,Z477/$U477)</f>
        <v>0</v>
      </c>
      <c r="AB477" s="247"/>
    </row>
    <row r="478" spans="1:28" x14ac:dyDescent="0.2">
      <c r="A478" s="242"/>
      <c r="B478" s="274"/>
      <c r="C478" s="9"/>
      <c r="D478" s="9"/>
      <c r="E478" s="220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22"/>
      <c r="V478" s="222"/>
      <c r="W478" s="224"/>
      <c r="X478" s="222"/>
      <c r="Y478" s="224"/>
      <c r="Z478" s="222"/>
      <c r="AA478" s="224"/>
      <c r="AB478" s="248"/>
    </row>
    <row r="479" spans="1:28" x14ac:dyDescent="0.2">
      <c r="A479" s="242"/>
      <c r="B479" s="245" t="s">
        <v>20</v>
      </c>
      <c r="C479" s="10">
        <v>20591</v>
      </c>
      <c r="D479" s="10"/>
      <c r="E479" s="234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38">
        <f>SUM(F479, K479, P479, F480, K480, P480)</f>
        <v>2100</v>
      </c>
      <c r="V479" s="238">
        <f>SUM(H479, M479, R479, H480, M480, R480)</f>
        <v>0</v>
      </c>
      <c r="W479" s="213">
        <f>IF($U479=0, ,V479/$U479)</f>
        <v>0</v>
      </c>
      <c r="X479" s="238">
        <f>SUM(I479, N479, S479, I480, N480, S480)</f>
        <v>0</v>
      </c>
      <c r="Y479" s="213">
        <f>IF($U479=0, ,X479/$U479)</f>
        <v>0</v>
      </c>
      <c r="Z479" s="238">
        <f>SUM(J479, O479, T479, J480, O480, T480)</f>
        <v>0</v>
      </c>
      <c r="AA479" s="213">
        <f>IF($U479=0, ,Z479/$U479)</f>
        <v>0</v>
      </c>
      <c r="AB479" s="232"/>
    </row>
    <row r="480" spans="1:28" x14ac:dyDescent="0.2">
      <c r="A480" s="242"/>
      <c r="B480" s="246"/>
      <c r="C480" s="10"/>
      <c r="D480" s="10"/>
      <c r="E480" s="235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39"/>
      <c r="V480" s="239"/>
      <c r="W480" s="214"/>
      <c r="X480" s="239"/>
      <c r="Y480" s="214"/>
      <c r="Z480" s="239"/>
      <c r="AA480" s="214"/>
      <c r="AB480" s="233"/>
    </row>
    <row r="481" spans="1:28" x14ac:dyDescent="0.2">
      <c r="A481" s="242"/>
      <c r="B481" s="255" t="s">
        <v>21</v>
      </c>
      <c r="C481" s="9">
        <v>20591</v>
      </c>
      <c r="D481" s="9"/>
      <c r="E481" s="219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21">
        <f>SUM(F481, K481, P481, F482, K482, P482)</f>
        <v>2507</v>
      </c>
      <c r="V481" s="221">
        <f>SUM(H481, M481, R481, H482, M482, R482)</f>
        <v>0</v>
      </c>
      <c r="W481" s="223">
        <f>IF($U481=0, ,V481/$U481)</f>
        <v>0</v>
      </c>
      <c r="X481" s="221">
        <f>SUM(I481, N481, S481, I482, N482, S482)</f>
        <v>0</v>
      </c>
      <c r="Y481" s="223">
        <f>IF($U481=0, ,X481/$U481)</f>
        <v>0</v>
      </c>
      <c r="Z481" s="221">
        <f>SUM(J481, O481, T481, J482, O482, T482)</f>
        <v>0</v>
      </c>
      <c r="AA481" s="223">
        <f>IF($U481=0, ,Z481/$U481)</f>
        <v>0</v>
      </c>
      <c r="AB481" s="247"/>
    </row>
    <row r="482" spans="1:28" x14ac:dyDescent="0.2">
      <c r="A482" s="242"/>
      <c r="B482" s="274"/>
      <c r="C482" s="9"/>
      <c r="D482" s="9"/>
      <c r="E482" s="220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22"/>
      <c r="V482" s="222"/>
      <c r="W482" s="224"/>
      <c r="X482" s="222"/>
      <c r="Y482" s="224"/>
      <c r="Z482" s="222"/>
      <c r="AA482" s="224"/>
      <c r="AB482" s="248"/>
    </row>
    <row r="483" spans="1:28" x14ac:dyDescent="0.2">
      <c r="A483" s="242"/>
      <c r="B483" s="245" t="s">
        <v>22</v>
      </c>
      <c r="C483" s="11"/>
      <c r="D483" s="11"/>
      <c r="E483" s="251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38">
        <f>SUM(F483, K483, P483, F484, K484, P484)</f>
        <v>0</v>
      </c>
      <c r="V483" s="238">
        <f>SUM(H483, M483, R483, H484, M484, R484)</f>
        <v>0</v>
      </c>
      <c r="W483" s="213">
        <f>IF($U483=0, ,V483/$U483)</f>
        <v>0</v>
      </c>
      <c r="X483" s="238">
        <f>SUM(I483, N483, S483, I484, N484, S484)</f>
        <v>0</v>
      </c>
      <c r="Y483" s="213">
        <f>IF($U483=0, ,X483/$U483)</f>
        <v>0</v>
      </c>
      <c r="Z483" s="238">
        <f>SUM(J483, O483, T483, J484, O484, T484)</f>
        <v>0</v>
      </c>
      <c r="AA483" s="213">
        <f>IF($U483=0, ,Z483/$U483)</f>
        <v>0</v>
      </c>
      <c r="AB483" s="232"/>
    </row>
    <row r="484" spans="1:28" x14ac:dyDescent="0.2">
      <c r="A484" s="242"/>
      <c r="B484" s="246"/>
      <c r="C484" s="11"/>
      <c r="D484" s="11"/>
      <c r="E484" s="252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39"/>
      <c r="V484" s="239"/>
      <c r="W484" s="214"/>
      <c r="X484" s="239"/>
      <c r="Y484" s="214"/>
      <c r="Z484" s="239"/>
      <c r="AA484" s="214"/>
      <c r="AB484" s="233"/>
    </row>
    <row r="485" spans="1:28" ht="13.5" thickBot="1" x14ac:dyDescent="0.25">
      <c r="A485" s="242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42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42"/>
      <c r="B487" s="243" t="s">
        <v>35</v>
      </c>
      <c r="C487" s="244" t="s">
        <v>25</v>
      </c>
      <c r="D487" s="244" t="s">
        <v>28</v>
      </c>
      <c r="E487" s="225" t="s">
        <v>12</v>
      </c>
      <c r="F487" s="269" t="s">
        <v>13</v>
      </c>
      <c r="G487" s="269"/>
      <c r="H487" s="269"/>
      <c r="I487" s="269" t="s">
        <v>14</v>
      </c>
      <c r="J487" s="269"/>
      <c r="K487" s="269"/>
      <c r="L487" s="269" t="s">
        <v>15</v>
      </c>
      <c r="M487" s="269"/>
      <c r="N487" s="269"/>
      <c r="O487" s="229" t="s">
        <v>34</v>
      </c>
      <c r="P487" s="229" t="s">
        <v>48</v>
      </c>
      <c r="Q487" s="229" t="s">
        <v>60</v>
      </c>
      <c r="R487" s="229" t="s">
        <v>49</v>
      </c>
      <c r="S487" s="229" t="s">
        <v>61</v>
      </c>
      <c r="T487" s="265"/>
      <c r="U487" s="265"/>
      <c r="V487" s="265"/>
      <c r="W487" s="265"/>
      <c r="X487" s="265"/>
      <c r="Y487" s="265"/>
      <c r="Z487" s="265"/>
      <c r="AA487" s="265"/>
      <c r="AB487" s="266"/>
    </row>
    <row r="488" spans="1:28" ht="25.5" x14ac:dyDescent="0.2">
      <c r="A488" s="242"/>
      <c r="B488" s="243"/>
      <c r="C488" s="244"/>
      <c r="D488" s="244"/>
      <c r="E488" s="225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31"/>
      <c r="P488" s="231"/>
      <c r="Q488" s="231"/>
      <c r="R488" s="231"/>
      <c r="S488" s="231"/>
      <c r="T488" s="267"/>
      <c r="U488" s="267"/>
      <c r="V488" s="267"/>
      <c r="W488" s="267"/>
      <c r="X488" s="267"/>
      <c r="Y488" s="267"/>
      <c r="Z488" s="267"/>
      <c r="AA488" s="267"/>
      <c r="AB488" s="268"/>
    </row>
    <row r="489" spans="1:28" x14ac:dyDescent="0.2">
      <c r="A489" s="242"/>
      <c r="B489" s="263" t="s">
        <v>36</v>
      </c>
      <c r="C489" s="12"/>
      <c r="D489" s="12" t="s">
        <v>95</v>
      </c>
      <c r="E489" s="264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21">
        <f>SUM(F489, I489, L489, F490, I490, L490)*$O486</f>
        <v>0</v>
      </c>
      <c r="P489" s="221">
        <f>SUM(G489, J489, M489, G490, J490, M490)</f>
        <v>0</v>
      </c>
      <c r="Q489" s="223">
        <f>IF($O489=0, ,P489/$O489)</f>
        <v>0</v>
      </c>
      <c r="R489" s="221">
        <f>SUM(H489, K489, N489, H490, K490, N490)</f>
        <v>0</v>
      </c>
      <c r="S489" s="223">
        <f>IF($O489=0, ,R489/$O489)</f>
        <v>0</v>
      </c>
      <c r="T489" s="270"/>
      <c r="U489" s="270"/>
      <c r="V489" s="270"/>
      <c r="W489" s="270"/>
      <c r="X489" s="270"/>
      <c r="Y489" s="270"/>
      <c r="Z489" s="270"/>
      <c r="AA489" s="270"/>
      <c r="AB489" s="271"/>
    </row>
    <row r="490" spans="1:28" x14ac:dyDescent="0.2">
      <c r="A490" s="242"/>
      <c r="B490" s="263"/>
      <c r="C490" s="12"/>
      <c r="D490" s="12"/>
      <c r="E490" s="264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22"/>
      <c r="P490" s="222"/>
      <c r="Q490" s="224"/>
      <c r="R490" s="222"/>
      <c r="S490" s="224"/>
      <c r="T490" s="272"/>
      <c r="U490" s="272"/>
      <c r="V490" s="272"/>
      <c r="W490" s="272"/>
      <c r="X490" s="272"/>
      <c r="Y490" s="272"/>
      <c r="Z490" s="272"/>
      <c r="AA490" s="272"/>
      <c r="AB490" s="273"/>
    </row>
    <row r="491" spans="1:28" x14ac:dyDescent="0.2">
      <c r="A491" s="242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42"/>
      <c r="B492" s="276" t="s">
        <v>67</v>
      </c>
      <c r="C492" s="276"/>
      <c r="D492" s="277"/>
      <c r="E492" s="82" t="s">
        <v>68</v>
      </c>
      <c r="F492" s="261" t="s">
        <v>64</v>
      </c>
      <c r="G492" s="261"/>
      <c r="H492" s="261"/>
      <c r="I492" s="261" t="s">
        <v>76</v>
      </c>
      <c r="J492" s="261"/>
      <c r="K492" s="261"/>
      <c r="L492" s="261" t="s">
        <v>65</v>
      </c>
      <c r="M492" s="261"/>
      <c r="N492" s="261"/>
      <c r="O492" s="261" t="s">
        <v>66</v>
      </c>
      <c r="P492" s="261"/>
      <c r="Q492" s="261"/>
      <c r="R492" s="261" t="s">
        <v>73</v>
      </c>
      <c r="S492" s="261"/>
      <c r="T492" s="261"/>
      <c r="U492" s="261" t="s">
        <v>74</v>
      </c>
      <c r="V492" s="261"/>
      <c r="W492" s="261"/>
      <c r="X492" s="261" t="s">
        <v>75</v>
      </c>
      <c r="Y492" s="261"/>
      <c r="Z492" s="261"/>
      <c r="AA492" s="262"/>
      <c r="AB492" s="262"/>
    </row>
    <row r="493" spans="1:28" x14ac:dyDescent="0.2">
      <c r="A493" s="242"/>
      <c r="B493" s="278"/>
      <c r="C493" s="278"/>
      <c r="D493" s="279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62"/>
      <c r="AB493" s="262"/>
    </row>
    <row r="494" spans="1:28" x14ac:dyDescent="0.2">
      <c r="A494" s="242"/>
      <c r="B494" s="280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62"/>
      <c r="AB494" s="262"/>
    </row>
    <row r="495" spans="1:28" x14ac:dyDescent="0.2">
      <c r="A495" s="242"/>
      <c r="B495" s="280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62"/>
      <c r="AB495" s="262"/>
    </row>
    <row r="496" spans="1:28" x14ac:dyDescent="0.2">
      <c r="A496" s="242"/>
      <c r="B496" s="280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62"/>
      <c r="AB496" s="262"/>
    </row>
    <row r="497" spans="1:28" x14ac:dyDescent="0.2">
      <c r="A497" s="242"/>
      <c r="B497" s="280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62"/>
      <c r="AB497" s="262"/>
    </row>
    <row r="499" spans="1:28" x14ac:dyDescent="0.2">
      <c r="A499" s="242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42"/>
      <c r="B500" s="243" t="s">
        <v>10</v>
      </c>
      <c r="C500" s="244" t="s">
        <v>25</v>
      </c>
      <c r="D500" s="244" t="s">
        <v>28</v>
      </c>
      <c r="E500" s="225" t="s">
        <v>12</v>
      </c>
      <c r="F500" s="226" t="s">
        <v>13</v>
      </c>
      <c r="G500" s="227"/>
      <c r="H500" s="227"/>
      <c r="I500" s="227"/>
      <c r="J500" s="228"/>
      <c r="K500" s="226" t="s">
        <v>14</v>
      </c>
      <c r="L500" s="227"/>
      <c r="M500" s="227"/>
      <c r="N500" s="227"/>
      <c r="O500" s="228"/>
      <c r="P500" s="226" t="s">
        <v>15</v>
      </c>
      <c r="Q500" s="227"/>
      <c r="R500" s="227"/>
      <c r="S500" s="227"/>
      <c r="T500" s="228"/>
      <c r="U500" s="275" t="s">
        <v>34</v>
      </c>
      <c r="V500" s="275" t="s">
        <v>48</v>
      </c>
      <c r="W500" s="275" t="s">
        <v>56</v>
      </c>
      <c r="X500" s="275" t="s">
        <v>54</v>
      </c>
      <c r="Y500" s="275" t="s">
        <v>57</v>
      </c>
      <c r="Z500" s="275" t="s">
        <v>55</v>
      </c>
      <c r="AA500" s="275" t="s">
        <v>58</v>
      </c>
      <c r="AB500" s="275" t="s">
        <v>38</v>
      </c>
    </row>
    <row r="501" spans="1:28" ht="38.25" x14ac:dyDescent="0.2">
      <c r="A501" s="242"/>
      <c r="B501" s="243"/>
      <c r="C501" s="244"/>
      <c r="D501" s="244"/>
      <c r="E501" s="225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75"/>
      <c r="V501" s="275"/>
      <c r="W501" s="275"/>
      <c r="X501" s="275"/>
      <c r="Y501" s="275"/>
      <c r="Z501" s="275"/>
      <c r="AA501" s="275"/>
      <c r="AB501" s="275"/>
    </row>
    <row r="502" spans="1:28" x14ac:dyDescent="0.2">
      <c r="A502" s="242"/>
      <c r="B502" s="255" t="s">
        <v>17</v>
      </c>
      <c r="C502" s="12">
        <v>20591</v>
      </c>
      <c r="D502" s="12"/>
      <c r="E502" s="257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21">
        <f>SUM(F502, K502, P502, F503, K503, P503)</f>
        <v>3085</v>
      </c>
      <c r="V502" s="221">
        <f>SUM(H502, M502, R502, H503, M503, R503)</f>
        <v>0</v>
      </c>
      <c r="W502" s="223">
        <f>IF($U502=0, ,V502/$U502)</f>
        <v>0</v>
      </c>
      <c r="X502" s="221">
        <f>SUM(I502, N502, S502, I503, N503, S503)</f>
        <v>0</v>
      </c>
      <c r="Y502" s="223">
        <f>IF($U502=0, ,X502/$U502)</f>
        <v>0</v>
      </c>
      <c r="Z502" s="221">
        <f>SUM(J502, O502, T502, J503, O503, T503)</f>
        <v>0</v>
      </c>
      <c r="AA502" s="223">
        <f>IF($U502=0, ,Z502/$U502)</f>
        <v>0</v>
      </c>
      <c r="AB502" s="247"/>
    </row>
    <row r="503" spans="1:28" x14ac:dyDescent="0.2">
      <c r="A503" s="242"/>
      <c r="B503" s="274"/>
      <c r="C503" s="12"/>
      <c r="D503" s="12"/>
      <c r="E503" s="259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22"/>
      <c r="V503" s="222"/>
      <c r="W503" s="224"/>
      <c r="X503" s="222"/>
      <c r="Y503" s="224"/>
      <c r="Z503" s="222"/>
      <c r="AA503" s="224"/>
      <c r="AB503" s="248"/>
    </row>
    <row r="504" spans="1:28" x14ac:dyDescent="0.2">
      <c r="A504" s="242"/>
      <c r="B504" s="245" t="s">
        <v>18</v>
      </c>
      <c r="C504" s="10"/>
      <c r="D504" s="10"/>
      <c r="E504" s="234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38">
        <f>SUM(F504, K504, P504, F505, K505, P505)</f>
        <v>0</v>
      </c>
      <c r="V504" s="238">
        <f>SUM(H504, M504, R504, H505, M505, R505)</f>
        <v>0</v>
      </c>
      <c r="W504" s="213">
        <f>IF($U504=0, ,V504/$U504)</f>
        <v>0</v>
      </c>
      <c r="X504" s="238">
        <f>SUM(I504, N504, S504, I505, N505, S505)</f>
        <v>0</v>
      </c>
      <c r="Y504" s="213">
        <f>IF($U504=0, ,X504/$U504)</f>
        <v>0</v>
      </c>
      <c r="Z504" s="238">
        <f>SUM(J504, O504, T504, J505, O505, T505)</f>
        <v>0</v>
      </c>
      <c r="AA504" s="213">
        <f>IF($U504=0, ,Z504/$U504)</f>
        <v>0</v>
      </c>
      <c r="AB504" s="232"/>
    </row>
    <row r="505" spans="1:28" x14ac:dyDescent="0.2">
      <c r="A505" s="242"/>
      <c r="B505" s="246"/>
      <c r="C505" s="10"/>
      <c r="D505" s="10"/>
      <c r="E505" s="235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39"/>
      <c r="V505" s="239"/>
      <c r="W505" s="214"/>
      <c r="X505" s="239"/>
      <c r="Y505" s="214"/>
      <c r="Z505" s="239"/>
      <c r="AA505" s="214"/>
      <c r="AB505" s="233"/>
    </row>
    <row r="506" spans="1:28" x14ac:dyDescent="0.2">
      <c r="A506" s="242"/>
      <c r="B506" s="255" t="s">
        <v>19</v>
      </c>
      <c r="C506" s="9"/>
      <c r="D506" s="9"/>
      <c r="E506" s="219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21">
        <f>SUM(F506, K506, P506, F507, K507, P507)</f>
        <v>0</v>
      </c>
      <c r="V506" s="221">
        <f>SUM(H506, M506, R506, H507, M507, R507)</f>
        <v>0</v>
      </c>
      <c r="W506" s="223">
        <f>IF($U506=0, ,V506/$U506)</f>
        <v>0</v>
      </c>
      <c r="X506" s="221">
        <f>SUM(I506, N506, S506, I507, N507, S507)</f>
        <v>0</v>
      </c>
      <c r="Y506" s="223">
        <f>IF($U506=0, ,X506/$U506)</f>
        <v>0</v>
      </c>
      <c r="Z506" s="221">
        <f>SUM(J506, O506, T506, J507, O507, T507)</f>
        <v>0</v>
      </c>
      <c r="AA506" s="223">
        <f>IF($U506=0, ,Z506/$U506)</f>
        <v>0</v>
      </c>
      <c r="AB506" s="247"/>
    </row>
    <row r="507" spans="1:28" x14ac:dyDescent="0.2">
      <c r="A507" s="242"/>
      <c r="B507" s="274"/>
      <c r="C507" s="9"/>
      <c r="D507" s="9"/>
      <c r="E507" s="220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22"/>
      <c r="V507" s="222"/>
      <c r="W507" s="224"/>
      <c r="X507" s="222"/>
      <c r="Y507" s="224"/>
      <c r="Z507" s="222"/>
      <c r="AA507" s="224"/>
      <c r="AB507" s="248"/>
    </row>
    <row r="508" spans="1:28" x14ac:dyDescent="0.2">
      <c r="A508" s="242"/>
      <c r="B508" s="245" t="s">
        <v>20</v>
      </c>
      <c r="C508" s="10">
        <v>20591</v>
      </c>
      <c r="D508" s="10"/>
      <c r="E508" s="234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38">
        <f>SUM(F508, K508, P508, F509, K509, P509)</f>
        <v>2882</v>
      </c>
      <c r="V508" s="238">
        <f>SUM(H508, M508, R508, H509, M509, R509)</f>
        <v>0</v>
      </c>
      <c r="W508" s="213">
        <f>IF($U508=0, ,V508/$U508)</f>
        <v>0</v>
      </c>
      <c r="X508" s="238">
        <f>SUM(I508, N508, S508, I509, N509, S509)</f>
        <v>0</v>
      </c>
      <c r="Y508" s="213">
        <f>IF($U508=0, ,X508/$U508)</f>
        <v>0</v>
      </c>
      <c r="Z508" s="238">
        <f>SUM(J508, O508, T508, J509, O509, T509)</f>
        <v>0</v>
      </c>
      <c r="AA508" s="213">
        <f>IF($U508=0, ,Z508/$U508)</f>
        <v>0</v>
      </c>
      <c r="AB508" s="232"/>
    </row>
    <row r="509" spans="1:28" x14ac:dyDescent="0.2">
      <c r="A509" s="242"/>
      <c r="B509" s="246"/>
      <c r="C509" s="10"/>
      <c r="D509" s="10"/>
      <c r="E509" s="235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39"/>
      <c r="V509" s="239"/>
      <c r="W509" s="214"/>
      <c r="X509" s="239"/>
      <c r="Y509" s="214"/>
      <c r="Z509" s="239"/>
      <c r="AA509" s="214"/>
      <c r="AB509" s="233"/>
    </row>
    <row r="510" spans="1:28" x14ac:dyDescent="0.2">
      <c r="A510" s="242"/>
      <c r="B510" s="255" t="s">
        <v>21</v>
      </c>
      <c r="C510" s="9">
        <v>20591</v>
      </c>
      <c r="D510" s="9"/>
      <c r="E510" s="219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21">
        <f>SUM(F510, K510, P510, F511, K511, P511)</f>
        <v>3053</v>
      </c>
      <c r="V510" s="221">
        <f>SUM(H510, M510, R510, H511, M511, R511)</f>
        <v>0</v>
      </c>
      <c r="W510" s="223">
        <f>IF($U510=0, ,V510/$U510)</f>
        <v>0</v>
      </c>
      <c r="X510" s="221">
        <f>SUM(I510, N510, S510, I511, N511, S511)</f>
        <v>0</v>
      </c>
      <c r="Y510" s="223">
        <f>IF($U510=0, ,X510/$U510)</f>
        <v>0</v>
      </c>
      <c r="Z510" s="221">
        <f>SUM(J510, O510, T510, J511, O511, T511)</f>
        <v>0</v>
      </c>
      <c r="AA510" s="223">
        <f>IF($U510=0, ,Z510/$U510)</f>
        <v>0</v>
      </c>
      <c r="AB510" s="247"/>
    </row>
    <row r="511" spans="1:28" x14ac:dyDescent="0.2">
      <c r="A511" s="242"/>
      <c r="B511" s="274"/>
      <c r="C511" s="9"/>
      <c r="D511" s="9"/>
      <c r="E511" s="220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22"/>
      <c r="V511" s="222"/>
      <c r="W511" s="224"/>
      <c r="X511" s="222"/>
      <c r="Y511" s="224"/>
      <c r="Z511" s="222"/>
      <c r="AA511" s="224"/>
      <c r="AB511" s="248"/>
    </row>
    <row r="512" spans="1:28" x14ac:dyDescent="0.2">
      <c r="A512" s="242"/>
      <c r="B512" s="245" t="s">
        <v>22</v>
      </c>
      <c r="C512" s="11">
        <v>20591</v>
      </c>
      <c r="D512" s="11"/>
      <c r="E512" s="251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38">
        <f>SUM(F512, K512, P512, F513, K513, P513)</f>
        <v>2433</v>
      </c>
      <c r="V512" s="238">
        <f>SUM(H512, M512, R512, H513, M513, R513)</f>
        <v>0</v>
      </c>
      <c r="W512" s="213">
        <f>IF($U512=0, ,V512/$U512)</f>
        <v>0</v>
      </c>
      <c r="X512" s="238">
        <f>SUM(I512, N512, S512, I513, N513, S513)</f>
        <v>0</v>
      </c>
      <c r="Y512" s="213">
        <f>IF($U512=0, ,X512/$U512)</f>
        <v>0</v>
      </c>
      <c r="Z512" s="238">
        <f>SUM(J512, O512, T512, J513, O513, T513)</f>
        <v>0</v>
      </c>
      <c r="AA512" s="213">
        <f>IF($U512=0, ,Z512/$U512)</f>
        <v>0</v>
      </c>
      <c r="AB512" s="232"/>
    </row>
    <row r="513" spans="1:28" x14ac:dyDescent="0.2">
      <c r="A513" s="242"/>
      <c r="B513" s="246"/>
      <c r="C513" s="11"/>
      <c r="D513" s="11"/>
      <c r="E513" s="252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39"/>
      <c r="V513" s="239"/>
      <c r="W513" s="214"/>
      <c r="X513" s="239"/>
      <c r="Y513" s="214"/>
      <c r="Z513" s="239"/>
      <c r="AA513" s="214"/>
      <c r="AB513" s="233"/>
    </row>
    <row r="514" spans="1:28" ht="13.5" thickBot="1" x14ac:dyDescent="0.25">
      <c r="A514" s="242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42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42"/>
      <c r="B516" s="243" t="s">
        <v>35</v>
      </c>
      <c r="C516" s="244" t="s">
        <v>25</v>
      </c>
      <c r="D516" s="244" t="s">
        <v>28</v>
      </c>
      <c r="E516" s="225" t="s">
        <v>12</v>
      </c>
      <c r="F516" s="269" t="s">
        <v>13</v>
      </c>
      <c r="G516" s="269"/>
      <c r="H516" s="269"/>
      <c r="I516" s="269" t="s">
        <v>14</v>
      </c>
      <c r="J516" s="269"/>
      <c r="K516" s="269"/>
      <c r="L516" s="269" t="s">
        <v>15</v>
      </c>
      <c r="M516" s="269"/>
      <c r="N516" s="269"/>
      <c r="O516" s="229" t="s">
        <v>34</v>
      </c>
      <c r="P516" s="229" t="s">
        <v>48</v>
      </c>
      <c r="Q516" s="229" t="s">
        <v>60</v>
      </c>
      <c r="R516" s="229" t="s">
        <v>49</v>
      </c>
      <c r="S516" s="229" t="s">
        <v>61</v>
      </c>
      <c r="T516" s="265"/>
      <c r="U516" s="265"/>
      <c r="V516" s="265"/>
      <c r="W516" s="265"/>
      <c r="X516" s="265"/>
      <c r="Y516" s="265"/>
      <c r="Z516" s="265"/>
      <c r="AA516" s="265"/>
      <c r="AB516" s="266"/>
    </row>
    <row r="517" spans="1:28" ht="25.5" x14ac:dyDescent="0.2">
      <c r="A517" s="242"/>
      <c r="B517" s="243"/>
      <c r="C517" s="244"/>
      <c r="D517" s="244"/>
      <c r="E517" s="225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31"/>
      <c r="P517" s="231"/>
      <c r="Q517" s="231"/>
      <c r="R517" s="231"/>
      <c r="S517" s="231"/>
      <c r="T517" s="267"/>
      <c r="U517" s="267"/>
      <c r="V517" s="267"/>
      <c r="W517" s="267"/>
      <c r="X517" s="267"/>
      <c r="Y517" s="267"/>
      <c r="Z517" s="267"/>
      <c r="AA517" s="267"/>
      <c r="AB517" s="268"/>
    </row>
    <row r="518" spans="1:28" x14ac:dyDescent="0.2">
      <c r="A518" s="242"/>
      <c r="B518" s="263" t="s">
        <v>36</v>
      </c>
      <c r="C518" s="12"/>
      <c r="D518" s="12" t="s">
        <v>95</v>
      </c>
      <c r="E518" s="264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21">
        <f>SUM(F518, I518, L518, F519, I519, L519)*$O515</f>
        <v>0</v>
      </c>
      <c r="P518" s="221">
        <f>SUM(G518, J518, M518, G519, J519, M519)</f>
        <v>0</v>
      </c>
      <c r="Q518" s="223">
        <f>IF($O518=0, ,P518/$O518)</f>
        <v>0</v>
      </c>
      <c r="R518" s="221">
        <f>SUM(H518, K518, N518, H519, K519, N519)</f>
        <v>0</v>
      </c>
      <c r="S518" s="223">
        <f>IF($O518=0, ,R518/$O518)</f>
        <v>0</v>
      </c>
      <c r="T518" s="270"/>
      <c r="U518" s="270"/>
      <c r="V518" s="270"/>
      <c r="W518" s="270"/>
      <c r="X518" s="270"/>
      <c r="Y518" s="270"/>
      <c r="Z518" s="270"/>
      <c r="AA518" s="270"/>
      <c r="AB518" s="271"/>
    </row>
    <row r="519" spans="1:28" x14ac:dyDescent="0.2">
      <c r="A519" s="242"/>
      <c r="B519" s="263"/>
      <c r="C519" s="12"/>
      <c r="D519" s="12"/>
      <c r="E519" s="264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22"/>
      <c r="P519" s="222"/>
      <c r="Q519" s="224"/>
      <c r="R519" s="222"/>
      <c r="S519" s="224"/>
      <c r="T519" s="272"/>
      <c r="U519" s="272"/>
      <c r="V519" s="272"/>
      <c r="W519" s="272"/>
      <c r="X519" s="272"/>
      <c r="Y519" s="272"/>
      <c r="Z519" s="272"/>
      <c r="AA519" s="272"/>
      <c r="AB519" s="273"/>
    </row>
    <row r="520" spans="1:28" x14ac:dyDescent="0.2">
      <c r="A520" s="242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42"/>
      <c r="B521" s="276" t="s">
        <v>67</v>
      </c>
      <c r="C521" s="276"/>
      <c r="D521" s="277"/>
      <c r="E521" s="82" t="s">
        <v>68</v>
      </c>
      <c r="F521" s="261" t="s">
        <v>64</v>
      </c>
      <c r="G521" s="261"/>
      <c r="H521" s="261"/>
      <c r="I521" s="261" t="s">
        <v>76</v>
      </c>
      <c r="J521" s="261"/>
      <c r="K521" s="261"/>
      <c r="L521" s="261" t="s">
        <v>65</v>
      </c>
      <c r="M521" s="261"/>
      <c r="N521" s="261"/>
      <c r="O521" s="261" t="s">
        <v>66</v>
      </c>
      <c r="P521" s="261"/>
      <c r="Q521" s="261"/>
      <c r="R521" s="261" t="s">
        <v>73</v>
      </c>
      <c r="S521" s="261"/>
      <c r="T521" s="261"/>
      <c r="U521" s="261" t="s">
        <v>74</v>
      </c>
      <c r="V521" s="261"/>
      <c r="W521" s="261"/>
      <c r="X521" s="261" t="s">
        <v>75</v>
      </c>
      <c r="Y521" s="261"/>
      <c r="Z521" s="261"/>
      <c r="AA521" s="262"/>
      <c r="AB521" s="262"/>
    </row>
    <row r="522" spans="1:28" x14ac:dyDescent="0.2">
      <c r="A522" s="242"/>
      <c r="B522" s="278"/>
      <c r="C522" s="278"/>
      <c r="D522" s="279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62"/>
      <c r="AB522" s="262"/>
    </row>
    <row r="523" spans="1:28" x14ac:dyDescent="0.2">
      <c r="A523" s="242"/>
      <c r="B523" s="280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62"/>
      <c r="AB523" s="262"/>
    </row>
    <row r="524" spans="1:28" x14ac:dyDescent="0.2">
      <c r="A524" s="242"/>
      <c r="B524" s="280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62"/>
      <c r="AB524" s="262"/>
    </row>
    <row r="525" spans="1:28" x14ac:dyDescent="0.2">
      <c r="A525" s="242"/>
      <c r="B525" s="280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62"/>
      <c r="AB525" s="262"/>
    </row>
    <row r="526" spans="1:28" x14ac:dyDescent="0.2">
      <c r="A526" s="242"/>
      <c r="B526" s="280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62"/>
      <c r="AB526" s="262"/>
    </row>
    <row r="528" spans="1:28" x14ac:dyDescent="0.2">
      <c r="A528" s="242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42"/>
      <c r="B529" s="243" t="s">
        <v>10</v>
      </c>
      <c r="C529" s="244" t="s">
        <v>25</v>
      </c>
      <c r="D529" s="244" t="s">
        <v>28</v>
      </c>
      <c r="E529" s="225" t="s">
        <v>12</v>
      </c>
      <c r="F529" s="226" t="s">
        <v>13</v>
      </c>
      <c r="G529" s="227"/>
      <c r="H529" s="227"/>
      <c r="I529" s="227"/>
      <c r="J529" s="228"/>
      <c r="K529" s="226" t="s">
        <v>14</v>
      </c>
      <c r="L529" s="227"/>
      <c r="M529" s="227"/>
      <c r="N529" s="227"/>
      <c r="O529" s="228"/>
      <c r="P529" s="226" t="s">
        <v>15</v>
      </c>
      <c r="Q529" s="227"/>
      <c r="R529" s="227"/>
      <c r="S529" s="227"/>
      <c r="T529" s="228"/>
      <c r="U529" s="275" t="s">
        <v>34</v>
      </c>
      <c r="V529" s="275" t="s">
        <v>48</v>
      </c>
      <c r="W529" s="275" t="s">
        <v>56</v>
      </c>
      <c r="X529" s="275" t="s">
        <v>54</v>
      </c>
      <c r="Y529" s="275" t="s">
        <v>57</v>
      </c>
      <c r="Z529" s="275" t="s">
        <v>55</v>
      </c>
      <c r="AA529" s="275" t="s">
        <v>58</v>
      </c>
      <c r="AB529" s="275" t="s">
        <v>38</v>
      </c>
    </row>
    <row r="530" spans="1:28" ht="38.25" x14ac:dyDescent="0.2">
      <c r="A530" s="242"/>
      <c r="B530" s="243"/>
      <c r="C530" s="244"/>
      <c r="D530" s="244"/>
      <c r="E530" s="225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75"/>
      <c r="V530" s="275"/>
      <c r="W530" s="275"/>
      <c r="X530" s="275"/>
      <c r="Y530" s="275"/>
      <c r="Z530" s="275"/>
      <c r="AA530" s="275"/>
      <c r="AB530" s="275"/>
    </row>
    <row r="531" spans="1:28" x14ac:dyDescent="0.2">
      <c r="A531" s="242"/>
      <c r="B531" s="255" t="s">
        <v>17</v>
      </c>
      <c r="C531" s="12">
        <v>20591</v>
      </c>
      <c r="D531" s="12"/>
      <c r="E531" s="257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21">
        <f>SUM(F531, K531, P531, F532, K532, P532)</f>
        <v>3244</v>
      </c>
      <c r="V531" s="221">
        <f>SUM(H531, M531, R531, H532, M532, R532)</f>
        <v>0</v>
      </c>
      <c r="W531" s="223">
        <f>IF($U531=0, ,V531/$U531)</f>
        <v>0</v>
      </c>
      <c r="X531" s="221">
        <f>SUM(I531, N531, S531, I532, N532, S532)</f>
        <v>0</v>
      </c>
      <c r="Y531" s="223">
        <f>IF($U531=0, ,X531/$U531)</f>
        <v>0</v>
      </c>
      <c r="Z531" s="221">
        <f>SUM(J531, O531, T531, J532, O532, T532)</f>
        <v>0</v>
      </c>
      <c r="AA531" s="223">
        <f>IF($U531=0, ,Z531/$U531)</f>
        <v>0</v>
      </c>
      <c r="AB531" s="247"/>
    </row>
    <row r="532" spans="1:28" x14ac:dyDescent="0.2">
      <c r="A532" s="242"/>
      <c r="B532" s="274"/>
      <c r="C532" s="12"/>
      <c r="D532" s="12"/>
      <c r="E532" s="259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22"/>
      <c r="V532" s="222"/>
      <c r="W532" s="224"/>
      <c r="X532" s="222"/>
      <c r="Y532" s="224"/>
      <c r="Z532" s="222"/>
      <c r="AA532" s="224"/>
      <c r="AB532" s="248"/>
    </row>
    <row r="533" spans="1:28" x14ac:dyDescent="0.2">
      <c r="A533" s="242"/>
      <c r="B533" s="245" t="s">
        <v>18</v>
      </c>
      <c r="C533" s="10"/>
      <c r="D533" s="10"/>
      <c r="E533" s="234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38">
        <f>SUM(F533, K533, P533, F534, K534, P534)</f>
        <v>0</v>
      </c>
      <c r="V533" s="238">
        <f>SUM(H533, M533, R533, H534, M534, R534)</f>
        <v>0</v>
      </c>
      <c r="W533" s="213">
        <f>IF($U533=0, ,V533/$U533)</f>
        <v>0</v>
      </c>
      <c r="X533" s="238">
        <f>SUM(I533, N533, S533, I534, N534, S534)</f>
        <v>0</v>
      </c>
      <c r="Y533" s="213">
        <f>IF($U533=0, ,X533/$U533)</f>
        <v>0</v>
      </c>
      <c r="Z533" s="238">
        <f>SUM(J533, O533, T533, J534, O534, T534)</f>
        <v>0</v>
      </c>
      <c r="AA533" s="213">
        <f>IF($U533=0, ,Z533/$U533)</f>
        <v>0</v>
      </c>
      <c r="AB533" s="232"/>
    </row>
    <row r="534" spans="1:28" x14ac:dyDescent="0.2">
      <c r="A534" s="242"/>
      <c r="B534" s="246"/>
      <c r="C534" s="10"/>
      <c r="D534" s="10"/>
      <c r="E534" s="235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39"/>
      <c r="V534" s="239"/>
      <c r="W534" s="214"/>
      <c r="X534" s="239"/>
      <c r="Y534" s="214"/>
      <c r="Z534" s="239"/>
      <c r="AA534" s="214"/>
      <c r="AB534" s="233"/>
    </row>
    <row r="535" spans="1:28" x14ac:dyDescent="0.2">
      <c r="A535" s="242"/>
      <c r="B535" s="255" t="s">
        <v>19</v>
      </c>
      <c r="C535" s="9"/>
      <c r="D535" s="9"/>
      <c r="E535" s="219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21">
        <f>SUM(F535, K535, P535, F536, K536, P536)</f>
        <v>0</v>
      </c>
      <c r="V535" s="221">
        <f>SUM(H535, M535, R535, H536, M536, R536)</f>
        <v>0</v>
      </c>
      <c r="W535" s="223">
        <f>IF($U535=0, ,V535/$U535)</f>
        <v>0</v>
      </c>
      <c r="X535" s="221">
        <f>SUM(I535, N535, S535, I536, N536, S536)</f>
        <v>0</v>
      </c>
      <c r="Y535" s="223">
        <f>IF($U535=0, ,X535/$U535)</f>
        <v>0</v>
      </c>
      <c r="Z535" s="221">
        <f>SUM(J535, O535, T535, J536, O536, T536)</f>
        <v>0</v>
      </c>
      <c r="AA535" s="223">
        <f>IF($U535=0, ,Z535/$U535)</f>
        <v>0</v>
      </c>
      <c r="AB535" s="247"/>
    </row>
    <row r="536" spans="1:28" x14ac:dyDescent="0.2">
      <c r="A536" s="242"/>
      <c r="B536" s="274"/>
      <c r="C536" s="9"/>
      <c r="D536" s="9"/>
      <c r="E536" s="220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22"/>
      <c r="V536" s="222"/>
      <c r="W536" s="224"/>
      <c r="X536" s="222"/>
      <c r="Y536" s="224"/>
      <c r="Z536" s="222"/>
      <c r="AA536" s="224"/>
      <c r="AB536" s="248"/>
    </row>
    <row r="537" spans="1:28" x14ac:dyDescent="0.2">
      <c r="A537" s="242"/>
      <c r="B537" s="245" t="s">
        <v>20</v>
      </c>
      <c r="C537" s="10">
        <v>20591</v>
      </c>
      <c r="D537" s="10"/>
      <c r="E537" s="234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38">
        <f>SUM(F537, K537, P537, F538, K538, P538)</f>
        <v>2925</v>
      </c>
      <c r="V537" s="238">
        <f>SUM(H537, M537, R537, H538, M538, R538)</f>
        <v>0</v>
      </c>
      <c r="W537" s="213">
        <f>IF($U537=0, ,V537/$U537)</f>
        <v>0</v>
      </c>
      <c r="X537" s="238">
        <f>SUM(I537, N537, S537, I538, N538, S538)</f>
        <v>0</v>
      </c>
      <c r="Y537" s="213">
        <f>IF($U537=0, ,X537/$U537)</f>
        <v>0</v>
      </c>
      <c r="Z537" s="238">
        <f>SUM(J537, O537, T537, J538, O538, T538)</f>
        <v>0</v>
      </c>
      <c r="AA537" s="213">
        <f>IF($U537=0, ,Z537/$U537)</f>
        <v>0</v>
      </c>
      <c r="AB537" s="232"/>
    </row>
    <row r="538" spans="1:28" x14ac:dyDescent="0.2">
      <c r="A538" s="242"/>
      <c r="B538" s="246"/>
      <c r="C538" s="10"/>
      <c r="D538" s="10"/>
      <c r="E538" s="235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39"/>
      <c r="V538" s="239"/>
      <c r="W538" s="214"/>
      <c r="X538" s="239"/>
      <c r="Y538" s="214"/>
      <c r="Z538" s="239"/>
      <c r="AA538" s="214"/>
      <c r="AB538" s="233"/>
    </row>
    <row r="539" spans="1:28" x14ac:dyDescent="0.2">
      <c r="A539" s="242"/>
      <c r="B539" s="255" t="s">
        <v>21</v>
      </c>
      <c r="C539" s="9">
        <v>20591</v>
      </c>
      <c r="D539" s="9"/>
      <c r="E539" s="219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21">
        <f>SUM(F539, K539, P539, F540, K540, P540)</f>
        <v>1726</v>
      </c>
      <c r="V539" s="221">
        <f>SUM(H539, M539, R539, H540, M540, R540)</f>
        <v>0</v>
      </c>
      <c r="W539" s="223">
        <f>IF($U539=0, ,V539/$U539)</f>
        <v>0</v>
      </c>
      <c r="X539" s="221">
        <f>SUM(I539, N539, S539, I540, N540, S540)</f>
        <v>0</v>
      </c>
      <c r="Y539" s="223">
        <f>IF($U539=0, ,X539/$U539)</f>
        <v>0</v>
      </c>
      <c r="Z539" s="221">
        <f>SUM(J539, O539, T539, J540, O540, T540)</f>
        <v>0</v>
      </c>
      <c r="AA539" s="223">
        <f>IF($U539=0, ,Z539/$U539)</f>
        <v>0</v>
      </c>
      <c r="AB539" s="247"/>
    </row>
    <row r="540" spans="1:28" x14ac:dyDescent="0.2">
      <c r="A540" s="242"/>
      <c r="B540" s="274"/>
      <c r="C540" s="9"/>
      <c r="D540" s="9"/>
      <c r="E540" s="220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22"/>
      <c r="V540" s="222"/>
      <c r="W540" s="224"/>
      <c r="X540" s="222"/>
      <c r="Y540" s="224"/>
      <c r="Z540" s="222"/>
      <c r="AA540" s="224"/>
      <c r="AB540" s="248"/>
    </row>
    <row r="541" spans="1:28" x14ac:dyDescent="0.2">
      <c r="A541" s="242"/>
      <c r="B541" s="245" t="s">
        <v>22</v>
      </c>
      <c r="C541" s="11">
        <v>20591</v>
      </c>
      <c r="D541" s="11"/>
      <c r="E541" s="251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38">
        <f>SUM(F541, K541, P541, F542, K542, P542)</f>
        <v>2386</v>
      </c>
      <c r="V541" s="238">
        <f>SUM(H541, M541, R541, H542, M542, R542)</f>
        <v>0</v>
      </c>
      <c r="W541" s="213">
        <f>IF($U541=0, ,V541/$U541)</f>
        <v>0</v>
      </c>
      <c r="X541" s="238">
        <f>SUM(I541, N541, S541, I542, N542, S542)</f>
        <v>0</v>
      </c>
      <c r="Y541" s="213">
        <f>IF($U541=0, ,X541/$U541)</f>
        <v>0</v>
      </c>
      <c r="Z541" s="238">
        <f>SUM(J541, O541, T541, J542, O542, T542)</f>
        <v>0</v>
      </c>
      <c r="AA541" s="213">
        <f>IF($U541=0, ,Z541/$U541)</f>
        <v>0</v>
      </c>
      <c r="AB541" s="232"/>
    </row>
    <row r="542" spans="1:28" x14ac:dyDescent="0.2">
      <c r="A542" s="242"/>
      <c r="B542" s="246"/>
      <c r="C542" s="11"/>
      <c r="D542" s="11"/>
      <c r="E542" s="252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39"/>
      <c r="V542" s="239"/>
      <c r="W542" s="214"/>
      <c r="X542" s="239"/>
      <c r="Y542" s="214"/>
      <c r="Z542" s="239"/>
      <c r="AA542" s="214"/>
      <c r="AB542" s="233"/>
    </row>
    <row r="543" spans="1:28" ht="13.5" thickBot="1" x14ac:dyDescent="0.25">
      <c r="A543" s="242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42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42"/>
      <c r="B545" s="243" t="s">
        <v>35</v>
      </c>
      <c r="C545" s="244" t="s">
        <v>25</v>
      </c>
      <c r="D545" s="244" t="s">
        <v>28</v>
      </c>
      <c r="E545" s="225" t="s">
        <v>12</v>
      </c>
      <c r="F545" s="269" t="s">
        <v>13</v>
      </c>
      <c r="G545" s="269"/>
      <c r="H545" s="269"/>
      <c r="I545" s="269" t="s">
        <v>14</v>
      </c>
      <c r="J545" s="269"/>
      <c r="K545" s="269"/>
      <c r="L545" s="269" t="s">
        <v>15</v>
      </c>
      <c r="M545" s="269"/>
      <c r="N545" s="269"/>
      <c r="O545" s="229" t="s">
        <v>34</v>
      </c>
      <c r="P545" s="229" t="s">
        <v>48</v>
      </c>
      <c r="Q545" s="229" t="s">
        <v>60</v>
      </c>
      <c r="R545" s="229" t="s">
        <v>49</v>
      </c>
      <c r="S545" s="229" t="s">
        <v>61</v>
      </c>
      <c r="T545" s="265"/>
      <c r="U545" s="265"/>
      <c r="V545" s="265"/>
      <c r="W545" s="265"/>
      <c r="X545" s="265"/>
      <c r="Y545" s="265"/>
      <c r="Z545" s="265"/>
      <c r="AA545" s="265"/>
      <c r="AB545" s="266"/>
    </row>
    <row r="546" spans="1:28" ht="25.5" x14ac:dyDescent="0.2">
      <c r="A546" s="242"/>
      <c r="B546" s="243"/>
      <c r="C546" s="244"/>
      <c r="D546" s="244"/>
      <c r="E546" s="225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31"/>
      <c r="P546" s="231"/>
      <c r="Q546" s="231"/>
      <c r="R546" s="231"/>
      <c r="S546" s="231"/>
      <c r="T546" s="267"/>
      <c r="U546" s="267"/>
      <c r="V546" s="267"/>
      <c r="W546" s="267"/>
      <c r="X546" s="267"/>
      <c r="Y546" s="267"/>
      <c r="Z546" s="267"/>
      <c r="AA546" s="267"/>
      <c r="AB546" s="268"/>
    </row>
    <row r="547" spans="1:28" x14ac:dyDescent="0.2">
      <c r="A547" s="242"/>
      <c r="B547" s="263" t="s">
        <v>36</v>
      </c>
      <c r="C547" s="12"/>
      <c r="D547" s="12" t="s">
        <v>95</v>
      </c>
      <c r="E547" s="264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21">
        <f>SUM(F547, I547, L547, F548, I548, L548)*$O544</f>
        <v>0</v>
      </c>
      <c r="P547" s="221">
        <f>SUM(G547, J547, M547, G548, J548, M548)</f>
        <v>0</v>
      </c>
      <c r="Q547" s="223">
        <f>IF($O547=0, ,P547/$O547)</f>
        <v>0</v>
      </c>
      <c r="R547" s="221">
        <f>SUM(H547, K547, N547, H548, K548, N548)</f>
        <v>0</v>
      </c>
      <c r="S547" s="223">
        <f>IF($O547=0, ,R547/$O547)</f>
        <v>0</v>
      </c>
      <c r="T547" s="270"/>
      <c r="U547" s="270"/>
      <c r="V547" s="270"/>
      <c r="W547" s="270"/>
      <c r="X547" s="270"/>
      <c r="Y547" s="270"/>
      <c r="Z547" s="270"/>
      <c r="AA547" s="270"/>
      <c r="AB547" s="271"/>
    </row>
    <row r="548" spans="1:28" x14ac:dyDescent="0.2">
      <c r="A548" s="242"/>
      <c r="B548" s="263"/>
      <c r="C548" s="12"/>
      <c r="D548" s="12"/>
      <c r="E548" s="264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22"/>
      <c r="P548" s="222"/>
      <c r="Q548" s="224"/>
      <c r="R548" s="222"/>
      <c r="S548" s="224"/>
      <c r="T548" s="272"/>
      <c r="U548" s="272"/>
      <c r="V548" s="272"/>
      <c r="W548" s="272"/>
      <c r="X548" s="272"/>
      <c r="Y548" s="272"/>
      <c r="Z548" s="272"/>
      <c r="AA548" s="272"/>
      <c r="AB548" s="273"/>
    </row>
    <row r="549" spans="1:28" x14ac:dyDescent="0.2">
      <c r="A549" s="242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42"/>
      <c r="B550" s="276" t="s">
        <v>67</v>
      </c>
      <c r="C550" s="276"/>
      <c r="D550" s="277"/>
      <c r="E550" s="82" t="s">
        <v>68</v>
      </c>
      <c r="F550" s="261" t="s">
        <v>64</v>
      </c>
      <c r="G550" s="261"/>
      <c r="H550" s="261"/>
      <c r="I550" s="261" t="s">
        <v>76</v>
      </c>
      <c r="J550" s="261"/>
      <c r="K550" s="261"/>
      <c r="L550" s="261" t="s">
        <v>65</v>
      </c>
      <c r="M550" s="261"/>
      <c r="N550" s="261"/>
      <c r="O550" s="261" t="s">
        <v>66</v>
      </c>
      <c r="P550" s="261"/>
      <c r="Q550" s="261"/>
      <c r="R550" s="261" t="s">
        <v>73</v>
      </c>
      <c r="S550" s="261"/>
      <c r="T550" s="261"/>
      <c r="U550" s="261" t="s">
        <v>74</v>
      </c>
      <c r="V550" s="261"/>
      <c r="W550" s="261"/>
      <c r="X550" s="261" t="s">
        <v>75</v>
      </c>
      <c r="Y550" s="261"/>
      <c r="Z550" s="261"/>
      <c r="AA550" s="262"/>
      <c r="AB550" s="262"/>
    </row>
    <row r="551" spans="1:28" x14ac:dyDescent="0.2">
      <c r="A551" s="242"/>
      <c r="B551" s="278"/>
      <c r="C551" s="278"/>
      <c r="D551" s="279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62"/>
      <c r="AB551" s="262"/>
    </row>
    <row r="552" spans="1:28" x14ac:dyDescent="0.2">
      <c r="A552" s="242"/>
      <c r="B552" s="280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62"/>
      <c r="AB552" s="262"/>
    </row>
    <row r="553" spans="1:28" x14ac:dyDescent="0.2">
      <c r="A553" s="242"/>
      <c r="B553" s="280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62"/>
      <c r="AB553" s="262"/>
    </row>
    <row r="554" spans="1:28" x14ac:dyDescent="0.2">
      <c r="A554" s="242"/>
      <c r="B554" s="280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62"/>
      <c r="AB554" s="262"/>
    </row>
    <row r="555" spans="1:28" x14ac:dyDescent="0.2">
      <c r="A555" s="242"/>
      <c r="B555" s="280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62"/>
      <c r="AB555" s="262"/>
    </row>
    <row r="557" spans="1:28" x14ac:dyDescent="0.2">
      <c r="A557" s="242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42"/>
      <c r="B558" s="243" t="s">
        <v>10</v>
      </c>
      <c r="C558" s="244" t="s">
        <v>25</v>
      </c>
      <c r="D558" s="244" t="s">
        <v>28</v>
      </c>
      <c r="E558" s="225" t="s">
        <v>12</v>
      </c>
      <c r="F558" s="226" t="s">
        <v>13</v>
      </c>
      <c r="G558" s="227"/>
      <c r="H558" s="227"/>
      <c r="I558" s="227"/>
      <c r="J558" s="228"/>
      <c r="K558" s="226" t="s">
        <v>14</v>
      </c>
      <c r="L558" s="227"/>
      <c r="M558" s="227"/>
      <c r="N558" s="227"/>
      <c r="O558" s="228"/>
      <c r="P558" s="226" t="s">
        <v>15</v>
      </c>
      <c r="Q558" s="227"/>
      <c r="R558" s="227"/>
      <c r="S558" s="227"/>
      <c r="T558" s="228"/>
      <c r="U558" s="275" t="s">
        <v>34</v>
      </c>
      <c r="V558" s="275" t="s">
        <v>48</v>
      </c>
      <c r="W558" s="275" t="s">
        <v>56</v>
      </c>
      <c r="X558" s="275" t="s">
        <v>54</v>
      </c>
      <c r="Y558" s="275" t="s">
        <v>57</v>
      </c>
      <c r="Z558" s="275" t="s">
        <v>55</v>
      </c>
      <c r="AA558" s="275" t="s">
        <v>58</v>
      </c>
      <c r="AB558" s="275" t="s">
        <v>38</v>
      </c>
    </row>
    <row r="559" spans="1:28" ht="38.25" x14ac:dyDescent="0.2">
      <c r="A559" s="242"/>
      <c r="B559" s="243"/>
      <c r="C559" s="244"/>
      <c r="D559" s="244"/>
      <c r="E559" s="225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75"/>
      <c r="V559" s="275"/>
      <c r="W559" s="275"/>
      <c r="X559" s="275"/>
      <c r="Y559" s="275"/>
      <c r="Z559" s="275"/>
      <c r="AA559" s="275"/>
      <c r="AB559" s="275"/>
    </row>
    <row r="560" spans="1:28" x14ac:dyDescent="0.2">
      <c r="A560" s="242"/>
      <c r="B560" s="255" t="s">
        <v>17</v>
      </c>
      <c r="C560" s="12">
        <v>20591</v>
      </c>
      <c r="D560" s="12"/>
      <c r="E560" s="257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21">
        <f>SUM(F560, K560, P560, F561, K561, P561)</f>
        <v>1220</v>
      </c>
      <c r="V560" s="221">
        <f>SUM(H560, M560, R560, H561, M561, R561)</f>
        <v>0</v>
      </c>
      <c r="W560" s="223">
        <f>IF($U560=0, ,V560/$U560)</f>
        <v>0</v>
      </c>
      <c r="X560" s="221">
        <f>SUM(I560, N560, S560, I561, N561, S561)</f>
        <v>0</v>
      </c>
      <c r="Y560" s="223">
        <f>IF($U560=0, ,X560/$U560)</f>
        <v>0</v>
      </c>
      <c r="Z560" s="221">
        <f>SUM(J560, O560, T560, J561, O561, T561)</f>
        <v>0</v>
      </c>
      <c r="AA560" s="223">
        <f>IF($U560=0, ,Z560/$U560)</f>
        <v>0</v>
      </c>
      <c r="AB560" s="247"/>
    </row>
    <row r="561" spans="1:28" x14ac:dyDescent="0.2">
      <c r="A561" s="242"/>
      <c r="B561" s="274"/>
      <c r="C561" s="12"/>
      <c r="D561" s="12"/>
      <c r="E561" s="259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22"/>
      <c r="V561" s="222"/>
      <c r="W561" s="224"/>
      <c r="X561" s="222"/>
      <c r="Y561" s="224"/>
      <c r="Z561" s="222"/>
      <c r="AA561" s="224"/>
      <c r="AB561" s="248"/>
    </row>
    <row r="562" spans="1:28" x14ac:dyDescent="0.2">
      <c r="A562" s="242"/>
      <c r="B562" s="245" t="s">
        <v>18</v>
      </c>
      <c r="C562" s="10"/>
      <c r="D562" s="10"/>
      <c r="E562" s="234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38">
        <f>SUM(F562, K562, P562, F563, K563, P563)</f>
        <v>0</v>
      </c>
      <c r="V562" s="238">
        <f>SUM(H562, M562, R562, H563, M563, R563)</f>
        <v>0</v>
      </c>
      <c r="W562" s="213">
        <f>IF($U562=0, ,V562/$U562)</f>
        <v>0</v>
      </c>
      <c r="X562" s="238">
        <f>SUM(I562, N562, S562, I563, N563, S563)</f>
        <v>0</v>
      </c>
      <c r="Y562" s="213">
        <f>IF($U562=0, ,X562/$U562)</f>
        <v>0</v>
      </c>
      <c r="Z562" s="238">
        <f>SUM(J562, O562, T562, J563, O563, T563)</f>
        <v>0</v>
      </c>
      <c r="AA562" s="213">
        <f>IF($U562=0, ,Z562/$U562)</f>
        <v>0</v>
      </c>
      <c r="AB562" s="232"/>
    </row>
    <row r="563" spans="1:28" x14ac:dyDescent="0.2">
      <c r="A563" s="242"/>
      <c r="B563" s="246"/>
      <c r="C563" s="10"/>
      <c r="D563" s="10"/>
      <c r="E563" s="235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39"/>
      <c r="V563" s="239"/>
      <c r="W563" s="214"/>
      <c r="X563" s="239"/>
      <c r="Y563" s="214"/>
      <c r="Z563" s="239"/>
      <c r="AA563" s="214"/>
      <c r="AB563" s="233"/>
    </row>
    <row r="564" spans="1:28" x14ac:dyDescent="0.2">
      <c r="A564" s="242"/>
      <c r="B564" s="255" t="s">
        <v>19</v>
      </c>
      <c r="C564" s="9"/>
      <c r="D564" s="9"/>
      <c r="E564" s="219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21">
        <f>SUM(F564, K564, P564, F565, K565, P565)</f>
        <v>0</v>
      </c>
      <c r="V564" s="221">
        <f>SUM(H564, M564, R564, H565, M565, R565)</f>
        <v>0</v>
      </c>
      <c r="W564" s="223">
        <f>IF($U564=0, ,V564/$U564)</f>
        <v>0</v>
      </c>
      <c r="X564" s="221">
        <f>SUM(I564, N564, S564, I565, N565, S565)</f>
        <v>0</v>
      </c>
      <c r="Y564" s="223">
        <f>IF($U564=0, ,X564/$U564)</f>
        <v>0</v>
      </c>
      <c r="Z564" s="221">
        <f>SUM(J564, O564, T564, J565, O565, T565)</f>
        <v>0</v>
      </c>
      <c r="AA564" s="223">
        <f>IF($U564=0, ,Z564/$U564)</f>
        <v>0</v>
      </c>
      <c r="AB564" s="247"/>
    </row>
    <row r="565" spans="1:28" x14ac:dyDescent="0.2">
      <c r="A565" s="242"/>
      <c r="B565" s="274"/>
      <c r="C565" s="9"/>
      <c r="D565" s="9"/>
      <c r="E565" s="220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22"/>
      <c r="V565" s="222"/>
      <c r="W565" s="224"/>
      <c r="X565" s="222"/>
      <c r="Y565" s="224"/>
      <c r="Z565" s="222"/>
      <c r="AA565" s="224"/>
      <c r="AB565" s="248"/>
    </row>
    <row r="566" spans="1:28" x14ac:dyDescent="0.2">
      <c r="A566" s="242"/>
      <c r="B566" s="245" t="s">
        <v>20</v>
      </c>
      <c r="C566" s="10">
        <v>20591</v>
      </c>
      <c r="D566" s="10"/>
      <c r="E566" s="234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38">
        <f>SUM(F566, K566, P566, F567, K567, P567)</f>
        <v>1507</v>
      </c>
      <c r="V566" s="238">
        <f>SUM(H566, M566, R566, H567, M567, R567)</f>
        <v>0</v>
      </c>
      <c r="W566" s="213">
        <f>IF($U566=0, ,V566/$U566)</f>
        <v>0</v>
      </c>
      <c r="X566" s="238">
        <f>SUM(I566, N566, S566, I567, N567, S567)</f>
        <v>0</v>
      </c>
      <c r="Y566" s="213">
        <f>IF($U566=0, ,X566/$U566)</f>
        <v>0</v>
      </c>
      <c r="Z566" s="238">
        <f>SUM(J566, O566, T566, J567, O567, T567)</f>
        <v>0</v>
      </c>
      <c r="AA566" s="213">
        <f>IF($U566=0, ,Z566/$U566)</f>
        <v>0</v>
      </c>
      <c r="AB566" s="232"/>
    </row>
    <row r="567" spans="1:28" x14ac:dyDescent="0.2">
      <c r="A567" s="242"/>
      <c r="B567" s="246"/>
      <c r="C567" s="10"/>
      <c r="D567" s="10"/>
      <c r="E567" s="235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39"/>
      <c r="V567" s="239"/>
      <c r="W567" s="214"/>
      <c r="X567" s="239"/>
      <c r="Y567" s="214"/>
      <c r="Z567" s="239"/>
      <c r="AA567" s="214"/>
      <c r="AB567" s="233"/>
    </row>
    <row r="568" spans="1:28" x14ac:dyDescent="0.2">
      <c r="A568" s="242"/>
      <c r="B568" s="255" t="s">
        <v>21</v>
      </c>
      <c r="C568" s="9">
        <v>20591</v>
      </c>
      <c r="D568" s="9"/>
      <c r="E568" s="219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21">
        <f>SUM(F568, K568, P568, F569, K569, P569)</f>
        <v>860</v>
      </c>
      <c r="V568" s="221">
        <f>SUM(H568, M568, R568, H569, M569, R569)</f>
        <v>0</v>
      </c>
      <c r="W568" s="223">
        <f>IF($U568=0, ,V568/$U568)</f>
        <v>0</v>
      </c>
      <c r="X568" s="221">
        <f>SUM(I568, N568, S568, I569, N569, S569)</f>
        <v>0</v>
      </c>
      <c r="Y568" s="223">
        <f>IF($U568=0, ,X568/$U568)</f>
        <v>0</v>
      </c>
      <c r="Z568" s="221">
        <f>SUM(J568, O568, T568, J569, O569, T569)</f>
        <v>0</v>
      </c>
      <c r="AA568" s="223">
        <f>IF($U568=0, ,Z568/$U568)</f>
        <v>0</v>
      </c>
      <c r="AB568" s="247"/>
    </row>
    <row r="569" spans="1:28" x14ac:dyDescent="0.2">
      <c r="A569" s="242"/>
      <c r="B569" s="274"/>
      <c r="C569" s="9"/>
      <c r="D569" s="9"/>
      <c r="E569" s="220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22"/>
      <c r="V569" s="222"/>
      <c r="W569" s="224"/>
      <c r="X569" s="222"/>
      <c r="Y569" s="224"/>
      <c r="Z569" s="222"/>
      <c r="AA569" s="224"/>
      <c r="AB569" s="248"/>
    </row>
    <row r="570" spans="1:28" x14ac:dyDescent="0.2">
      <c r="A570" s="242"/>
      <c r="B570" s="245" t="s">
        <v>22</v>
      </c>
      <c r="C570" s="11">
        <v>20591</v>
      </c>
      <c r="D570" s="11"/>
      <c r="E570" s="251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38">
        <f>SUM(F570, K570, P570, F571, K571, P571)</f>
        <v>845</v>
      </c>
      <c r="V570" s="238">
        <f>SUM(H570, M570, R570, H571, M571, R571)</f>
        <v>0</v>
      </c>
      <c r="W570" s="213">
        <f>IF($U570=0, ,V570/$U570)</f>
        <v>0</v>
      </c>
      <c r="X570" s="238">
        <f>SUM(I570, N570, S570, I571, N571, S571)</f>
        <v>0</v>
      </c>
      <c r="Y570" s="213">
        <f>IF($U570=0, ,X570/$U570)</f>
        <v>0</v>
      </c>
      <c r="Z570" s="238">
        <f>SUM(J570, O570, T570, J571, O571, T571)</f>
        <v>0</v>
      </c>
      <c r="AA570" s="213">
        <f>IF($U570=0, ,Z570/$U570)</f>
        <v>0</v>
      </c>
      <c r="AB570" s="232"/>
    </row>
    <row r="571" spans="1:28" x14ac:dyDescent="0.2">
      <c r="A571" s="242"/>
      <c r="B571" s="246"/>
      <c r="C571" s="11"/>
      <c r="D571" s="11"/>
      <c r="E571" s="252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39"/>
      <c r="V571" s="239"/>
      <c r="W571" s="214"/>
      <c r="X571" s="239"/>
      <c r="Y571" s="214"/>
      <c r="Z571" s="239"/>
      <c r="AA571" s="214"/>
      <c r="AB571" s="233"/>
    </row>
    <row r="572" spans="1:28" ht="13.5" thickBot="1" x14ac:dyDescent="0.25">
      <c r="A572" s="242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42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42"/>
      <c r="B574" s="243" t="s">
        <v>35</v>
      </c>
      <c r="C574" s="244" t="s">
        <v>25</v>
      </c>
      <c r="D574" s="244" t="s">
        <v>28</v>
      </c>
      <c r="E574" s="225" t="s">
        <v>12</v>
      </c>
      <c r="F574" s="269" t="s">
        <v>13</v>
      </c>
      <c r="G574" s="269"/>
      <c r="H574" s="269"/>
      <c r="I574" s="269" t="s">
        <v>14</v>
      </c>
      <c r="J574" s="269"/>
      <c r="K574" s="269"/>
      <c r="L574" s="269" t="s">
        <v>15</v>
      </c>
      <c r="M574" s="269"/>
      <c r="N574" s="269"/>
      <c r="O574" s="229" t="s">
        <v>34</v>
      </c>
      <c r="P574" s="229" t="s">
        <v>48</v>
      </c>
      <c r="Q574" s="229" t="s">
        <v>60</v>
      </c>
      <c r="R574" s="229" t="s">
        <v>49</v>
      </c>
      <c r="S574" s="229" t="s">
        <v>61</v>
      </c>
      <c r="T574" s="265"/>
      <c r="U574" s="265"/>
      <c r="V574" s="265"/>
      <c r="W574" s="265"/>
      <c r="X574" s="265"/>
      <c r="Y574" s="265"/>
      <c r="Z574" s="265"/>
      <c r="AA574" s="265"/>
      <c r="AB574" s="266"/>
    </row>
    <row r="575" spans="1:28" ht="25.5" x14ac:dyDescent="0.2">
      <c r="A575" s="242"/>
      <c r="B575" s="243"/>
      <c r="C575" s="244"/>
      <c r="D575" s="244"/>
      <c r="E575" s="225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31"/>
      <c r="P575" s="231"/>
      <c r="Q575" s="231"/>
      <c r="R575" s="231"/>
      <c r="S575" s="231"/>
      <c r="T575" s="267"/>
      <c r="U575" s="267"/>
      <c r="V575" s="267"/>
      <c r="W575" s="267"/>
      <c r="X575" s="267"/>
      <c r="Y575" s="267"/>
      <c r="Z575" s="267"/>
      <c r="AA575" s="267"/>
      <c r="AB575" s="268"/>
    </row>
    <row r="576" spans="1:28" x14ac:dyDescent="0.2">
      <c r="A576" s="242"/>
      <c r="B576" s="263" t="s">
        <v>36</v>
      </c>
      <c r="C576" s="12"/>
      <c r="D576" s="12" t="s">
        <v>95</v>
      </c>
      <c r="E576" s="264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21">
        <f>SUM(F576, I576, L576, F577, I577, L577)*$O573</f>
        <v>0</v>
      </c>
      <c r="P576" s="221">
        <f>SUM(G576, J576, M576, G577, J577, M577)</f>
        <v>0</v>
      </c>
      <c r="Q576" s="223">
        <f>IF($O576=0, ,P576/$O576)</f>
        <v>0</v>
      </c>
      <c r="R576" s="221">
        <f>SUM(H576, K576, N576, H577, K577, N577)</f>
        <v>0</v>
      </c>
      <c r="S576" s="223">
        <f>IF($O576=0, ,R576/$O576)</f>
        <v>0</v>
      </c>
      <c r="T576" s="270"/>
      <c r="U576" s="270"/>
      <c r="V576" s="270"/>
      <c r="W576" s="270"/>
      <c r="X576" s="270"/>
      <c r="Y576" s="270"/>
      <c r="Z576" s="270"/>
      <c r="AA576" s="270"/>
      <c r="AB576" s="271"/>
    </row>
    <row r="577" spans="1:28" x14ac:dyDescent="0.2">
      <c r="A577" s="242"/>
      <c r="B577" s="263"/>
      <c r="C577" s="12"/>
      <c r="D577" s="12"/>
      <c r="E577" s="264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22"/>
      <c r="P577" s="222"/>
      <c r="Q577" s="224"/>
      <c r="R577" s="222"/>
      <c r="S577" s="224"/>
      <c r="T577" s="272"/>
      <c r="U577" s="272"/>
      <c r="V577" s="272"/>
      <c r="W577" s="272"/>
      <c r="X577" s="272"/>
      <c r="Y577" s="272"/>
      <c r="Z577" s="272"/>
      <c r="AA577" s="272"/>
      <c r="AB577" s="273"/>
    </row>
    <row r="578" spans="1:28" x14ac:dyDescent="0.2">
      <c r="A578" s="242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42"/>
      <c r="B579" s="276" t="s">
        <v>67</v>
      </c>
      <c r="C579" s="276"/>
      <c r="D579" s="277"/>
      <c r="E579" s="82" t="s">
        <v>68</v>
      </c>
      <c r="F579" s="261" t="s">
        <v>64</v>
      </c>
      <c r="G579" s="261"/>
      <c r="H579" s="261"/>
      <c r="I579" s="261" t="s">
        <v>76</v>
      </c>
      <c r="J579" s="261"/>
      <c r="K579" s="261"/>
      <c r="L579" s="261" t="s">
        <v>65</v>
      </c>
      <c r="M579" s="261"/>
      <c r="N579" s="261"/>
      <c r="O579" s="261" t="s">
        <v>66</v>
      </c>
      <c r="P579" s="261"/>
      <c r="Q579" s="261"/>
      <c r="R579" s="261" t="s">
        <v>73</v>
      </c>
      <c r="S579" s="261"/>
      <c r="T579" s="261"/>
      <c r="U579" s="261" t="s">
        <v>74</v>
      </c>
      <c r="V579" s="261"/>
      <c r="W579" s="261"/>
      <c r="X579" s="261" t="s">
        <v>75</v>
      </c>
      <c r="Y579" s="261"/>
      <c r="Z579" s="261"/>
      <c r="AA579" s="262"/>
      <c r="AB579" s="262"/>
    </row>
    <row r="580" spans="1:28" x14ac:dyDescent="0.2">
      <c r="A580" s="242"/>
      <c r="B580" s="278"/>
      <c r="C580" s="278"/>
      <c r="D580" s="279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62"/>
      <c r="AB580" s="262"/>
    </row>
    <row r="581" spans="1:28" x14ac:dyDescent="0.2">
      <c r="A581" s="242"/>
      <c r="B581" s="280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62"/>
      <c r="AB581" s="262"/>
    </row>
    <row r="582" spans="1:28" x14ac:dyDescent="0.2">
      <c r="A582" s="242"/>
      <c r="B582" s="280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62"/>
      <c r="AB582" s="262"/>
    </row>
    <row r="583" spans="1:28" x14ac:dyDescent="0.2">
      <c r="A583" s="242"/>
      <c r="B583" s="280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62"/>
      <c r="AB583" s="262"/>
    </row>
    <row r="584" spans="1:28" x14ac:dyDescent="0.2">
      <c r="A584" s="242"/>
      <c r="B584" s="280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62"/>
      <c r="AB584" s="262"/>
    </row>
    <row r="586" spans="1:28" x14ac:dyDescent="0.2">
      <c r="A586" s="242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42"/>
      <c r="B587" s="243" t="s">
        <v>10</v>
      </c>
      <c r="C587" s="244" t="s">
        <v>25</v>
      </c>
      <c r="D587" s="244" t="s">
        <v>28</v>
      </c>
      <c r="E587" s="225" t="s">
        <v>12</v>
      </c>
      <c r="F587" s="226" t="s">
        <v>13</v>
      </c>
      <c r="G587" s="227"/>
      <c r="H587" s="227"/>
      <c r="I587" s="227"/>
      <c r="J587" s="228"/>
      <c r="K587" s="226" t="s">
        <v>14</v>
      </c>
      <c r="L587" s="227"/>
      <c r="M587" s="227"/>
      <c r="N587" s="227"/>
      <c r="O587" s="228"/>
      <c r="P587" s="226" t="s">
        <v>15</v>
      </c>
      <c r="Q587" s="227"/>
      <c r="R587" s="227"/>
      <c r="S587" s="227"/>
      <c r="T587" s="228"/>
      <c r="U587" s="275" t="s">
        <v>34</v>
      </c>
      <c r="V587" s="275" t="s">
        <v>48</v>
      </c>
      <c r="W587" s="275" t="s">
        <v>56</v>
      </c>
      <c r="X587" s="275" t="s">
        <v>54</v>
      </c>
      <c r="Y587" s="275" t="s">
        <v>57</v>
      </c>
      <c r="Z587" s="275" t="s">
        <v>55</v>
      </c>
      <c r="AA587" s="275" t="s">
        <v>58</v>
      </c>
      <c r="AB587" s="275" t="s">
        <v>38</v>
      </c>
    </row>
    <row r="588" spans="1:28" ht="38.25" x14ac:dyDescent="0.2">
      <c r="A588" s="242"/>
      <c r="B588" s="243"/>
      <c r="C588" s="244"/>
      <c r="D588" s="244"/>
      <c r="E588" s="225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75"/>
      <c r="V588" s="275"/>
      <c r="W588" s="275"/>
      <c r="X588" s="275"/>
      <c r="Y588" s="275"/>
      <c r="Z588" s="275"/>
      <c r="AA588" s="275"/>
      <c r="AB588" s="275"/>
    </row>
    <row r="589" spans="1:28" x14ac:dyDescent="0.2">
      <c r="A589" s="242"/>
      <c r="B589" s="255" t="s">
        <v>17</v>
      </c>
      <c r="C589" s="12"/>
      <c r="D589" s="12"/>
      <c r="E589" s="257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21">
        <f>SUM(F589, K589, P589, F590, K590, P590)</f>
        <v>0</v>
      </c>
      <c r="V589" s="221">
        <f>SUM(H589, M589, R589, H590, M590, R590)</f>
        <v>0</v>
      </c>
      <c r="W589" s="223">
        <f>IF($U589=0, ,V589/$U589)</f>
        <v>0</v>
      </c>
      <c r="X589" s="221">
        <f>SUM(I589, N589, S589, I590, N590, S590)</f>
        <v>0</v>
      </c>
      <c r="Y589" s="223">
        <f>IF($U589=0, ,X589/$U589)</f>
        <v>0</v>
      </c>
      <c r="Z589" s="221">
        <f>SUM(J589, O589, T589, J590, O590, T590)</f>
        <v>0</v>
      </c>
      <c r="AA589" s="223">
        <f>IF($U589=0, ,Z589/$U589)</f>
        <v>0</v>
      </c>
      <c r="AB589" s="247"/>
    </row>
    <row r="590" spans="1:28" x14ac:dyDescent="0.2">
      <c r="A590" s="242"/>
      <c r="B590" s="274"/>
      <c r="C590" s="12"/>
      <c r="D590" s="12"/>
      <c r="E590" s="259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22"/>
      <c r="V590" s="222"/>
      <c r="W590" s="224"/>
      <c r="X590" s="222"/>
      <c r="Y590" s="224"/>
      <c r="Z590" s="222"/>
      <c r="AA590" s="224"/>
      <c r="AB590" s="248"/>
    </row>
    <row r="591" spans="1:28" x14ac:dyDescent="0.2">
      <c r="A591" s="242"/>
      <c r="B591" s="245" t="s">
        <v>18</v>
      </c>
      <c r="C591" s="10"/>
      <c r="D591" s="10"/>
      <c r="E591" s="234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38">
        <f>SUM(F591, K591, P591, F592, K592, P592)</f>
        <v>0</v>
      </c>
      <c r="V591" s="238">
        <f>SUM(H591, M591, R591, H592, M592, R592)</f>
        <v>0</v>
      </c>
      <c r="W591" s="213">
        <f>IF($U591=0, ,V591/$U591)</f>
        <v>0</v>
      </c>
      <c r="X591" s="238">
        <f>SUM(I591, N591, S591, I592, N592, S592)</f>
        <v>0</v>
      </c>
      <c r="Y591" s="213">
        <f>IF($U591=0, ,X591/$U591)</f>
        <v>0</v>
      </c>
      <c r="Z591" s="238">
        <f>SUM(J591, O591, T591, J592, O592, T592)</f>
        <v>0</v>
      </c>
      <c r="AA591" s="213">
        <f>IF($U591=0, ,Z591/$U591)</f>
        <v>0</v>
      </c>
      <c r="AB591" s="232"/>
    </row>
    <row r="592" spans="1:28" x14ac:dyDescent="0.2">
      <c r="A592" s="242"/>
      <c r="B592" s="246"/>
      <c r="C592" s="10"/>
      <c r="D592" s="10"/>
      <c r="E592" s="235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39"/>
      <c r="V592" s="239"/>
      <c r="W592" s="214"/>
      <c r="X592" s="239"/>
      <c r="Y592" s="214"/>
      <c r="Z592" s="239"/>
      <c r="AA592" s="214"/>
      <c r="AB592" s="233"/>
    </row>
    <row r="593" spans="1:28" x14ac:dyDescent="0.2">
      <c r="A593" s="242"/>
      <c r="B593" s="255" t="s">
        <v>19</v>
      </c>
      <c r="C593" s="9"/>
      <c r="D593" s="9"/>
      <c r="E593" s="219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21">
        <f>SUM(F593, K593, P593, F594, K594, P594)</f>
        <v>0</v>
      </c>
      <c r="V593" s="221">
        <f>SUM(H593, M593, R593, H594, M594, R594)</f>
        <v>0</v>
      </c>
      <c r="W593" s="223">
        <f>IF($U593=0, ,V593/$U593)</f>
        <v>0</v>
      </c>
      <c r="X593" s="221">
        <f>SUM(I593, N593, S593, I594, N594, S594)</f>
        <v>0</v>
      </c>
      <c r="Y593" s="223">
        <f>IF($U593=0, ,X593/$U593)</f>
        <v>0</v>
      </c>
      <c r="Z593" s="221">
        <f>SUM(J593, O593, T593, J594, O594, T594)</f>
        <v>0</v>
      </c>
      <c r="AA593" s="223">
        <f>IF($U593=0, ,Z593/$U593)</f>
        <v>0</v>
      </c>
      <c r="AB593" s="247"/>
    </row>
    <row r="594" spans="1:28" x14ac:dyDescent="0.2">
      <c r="A594" s="242"/>
      <c r="B594" s="274"/>
      <c r="C594" s="9"/>
      <c r="D594" s="9"/>
      <c r="E594" s="220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22"/>
      <c r="V594" s="222"/>
      <c r="W594" s="224"/>
      <c r="X594" s="222"/>
      <c r="Y594" s="224"/>
      <c r="Z594" s="222"/>
      <c r="AA594" s="224"/>
      <c r="AB594" s="248"/>
    </row>
    <row r="595" spans="1:28" x14ac:dyDescent="0.2">
      <c r="A595" s="242"/>
      <c r="B595" s="245" t="s">
        <v>20</v>
      </c>
      <c r="C595" s="10"/>
      <c r="D595" s="10"/>
      <c r="E595" s="234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38">
        <f>SUM(F595, K595, P595, F596, K596, P596)</f>
        <v>0</v>
      </c>
      <c r="V595" s="238">
        <f>SUM(H595, M595, R595, H596, M596, R596)</f>
        <v>0</v>
      </c>
      <c r="W595" s="213">
        <f>IF($U595=0, ,V595/$U595)</f>
        <v>0</v>
      </c>
      <c r="X595" s="238">
        <f>SUM(I595, N595, S595, I596, N596, S596)</f>
        <v>0</v>
      </c>
      <c r="Y595" s="213">
        <f>IF($U595=0, ,X595/$U595)</f>
        <v>0</v>
      </c>
      <c r="Z595" s="238">
        <f>SUM(J595, O595, T595, J596, O596, T596)</f>
        <v>0</v>
      </c>
      <c r="AA595" s="213">
        <f>IF($U595=0, ,Z595/$U595)</f>
        <v>0</v>
      </c>
      <c r="AB595" s="232"/>
    </row>
    <row r="596" spans="1:28" x14ac:dyDescent="0.2">
      <c r="A596" s="242"/>
      <c r="B596" s="246"/>
      <c r="C596" s="10"/>
      <c r="D596" s="10"/>
      <c r="E596" s="235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39"/>
      <c r="V596" s="239"/>
      <c r="W596" s="214"/>
      <c r="X596" s="239"/>
      <c r="Y596" s="214"/>
      <c r="Z596" s="239"/>
      <c r="AA596" s="214"/>
      <c r="AB596" s="233"/>
    </row>
    <row r="597" spans="1:28" x14ac:dyDescent="0.2">
      <c r="A597" s="242"/>
      <c r="B597" s="255" t="s">
        <v>21</v>
      </c>
      <c r="C597" s="9"/>
      <c r="D597" s="9"/>
      <c r="E597" s="219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21">
        <f>SUM(F597, K597, P597, F598, K598, P598)</f>
        <v>0</v>
      </c>
      <c r="V597" s="221">
        <f>SUM(H597, M597, R597, H598, M598, R598)</f>
        <v>0</v>
      </c>
      <c r="W597" s="223">
        <f>IF($U597=0, ,V597/$U597)</f>
        <v>0</v>
      </c>
      <c r="X597" s="221">
        <f>SUM(I597, N597, S597, I598, N598, S598)</f>
        <v>0</v>
      </c>
      <c r="Y597" s="223">
        <f>IF($U597=0, ,X597/$U597)</f>
        <v>0</v>
      </c>
      <c r="Z597" s="221">
        <f>SUM(J597, O597, T597, J598, O598, T598)</f>
        <v>0</v>
      </c>
      <c r="AA597" s="223">
        <f>IF($U597=0, ,Z597/$U597)</f>
        <v>0</v>
      </c>
      <c r="AB597" s="247"/>
    </row>
    <row r="598" spans="1:28" x14ac:dyDescent="0.2">
      <c r="A598" s="242"/>
      <c r="B598" s="274"/>
      <c r="C598" s="9"/>
      <c r="D598" s="9"/>
      <c r="E598" s="220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22"/>
      <c r="V598" s="222"/>
      <c r="W598" s="224"/>
      <c r="X598" s="222"/>
      <c r="Y598" s="224"/>
      <c r="Z598" s="222"/>
      <c r="AA598" s="224"/>
      <c r="AB598" s="248"/>
    </row>
    <row r="599" spans="1:28" x14ac:dyDescent="0.2">
      <c r="A599" s="242"/>
      <c r="B599" s="245" t="s">
        <v>22</v>
      </c>
      <c r="C599" s="11"/>
      <c r="D599" s="11"/>
      <c r="E599" s="251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38">
        <f>SUM(F599, K599, P599, F600, K600, P600)</f>
        <v>0</v>
      </c>
      <c r="V599" s="238">
        <f>SUM(H599, M599, R599, H600, M600, R600)</f>
        <v>0</v>
      </c>
      <c r="W599" s="213">
        <f>IF($U599=0, ,V599/$U599)</f>
        <v>0</v>
      </c>
      <c r="X599" s="238">
        <f>SUM(I599, N599, S599, I600, N600, S600)</f>
        <v>0</v>
      </c>
      <c r="Y599" s="213">
        <f>IF($U599=0, ,X599/$U599)</f>
        <v>0</v>
      </c>
      <c r="Z599" s="238">
        <f>SUM(J599, O599, T599, J600, O600, T600)</f>
        <v>0</v>
      </c>
      <c r="AA599" s="213">
        <f>IF($U599=0, ,Z599/$U599)</f>
        <v>0</v>
      </c>
      <c r="AB599" s="232"/>
    </row>
    <row r="600" spans="1:28" x14ac:dyDescent="0.2">
      <c r="A600" s="242"/>
      <c r="B600" s="246"/>
      <c r="C600" s="11"/>
      <c r="D600" s="11"/>
      <c r="E600" s="252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39"/>
      <c r="V600" s="239"/>
      <c r="W600" s="214"/>
      <c r="X600" s="239"/>
      <c r="Y600" s="214"/>
      <c r="Z600" s="239"/>
      <c r="AA600" s="214"/>
      <c r="AB600" s="233"/>
    </row>
    <row r="601" spans="1:28" ht="13.5" thickBot="1" x14ac:dyDescent="0.25">
      <c r="A601" s="242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42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42"/>
      <c r="B603" s="243" t="s">
        <v>35</v>
      </c>
      <c r="C603" s="244" t="s">
        <v>25</v>
      </c>
      <c r="D603" s="244" t="s">
        <v>28</v>
      </c>
      <c r="E603" s="225" t="s">
        <v>12</v>
      </c>
      <c r="F603" s="269" t="s">
        <v>13</v>
      </c>
      <c r="G603" s="269"/>
      <c r="H603" s="269"/>
      <c r="I603" s="269" t="s">
        <v>14</v>
      </c>
      <c r="J603" s="269"/>
      <c r="K603" s="269"/>
      <c r="L603" s="269" t="s">
        <v>15</v>
      </c>
      <c r="M603" s="269"/>
      <c r="N603" s="269"/>
      <c r="O603" s="229" t="s">
        <v>34</v>
      </c>
      <c r="P603" s="229" t="s">
        <v>48</v>
      </c>
      <c r="Q603" s="229" t="s">
        <v>60</v>
      </c>
      <c r="R603" s="229" t="s">
        <v>49</v>
      </c>
      <c r="S603" s="229" t="s">
        <v>61</v>
      </c>
      <c r="T603" s="265"/>
      <c r="U603" s="265"/>
      <c r="V603" s="265"/>
      <c r="W603" s="265"/>
      <c r="X603" s="265"/>
      <c r="Y603" s="265"/>
      <c r="Z603" s="265"/>
      <c r="AA603" s="265"/>
      <c r="AB603" s="266"/>
    </row>
    <row r="604" spans="1:28" ht="25.5" x14ac:dyDescent="0.2">
      <c r="A604" s="242"/>
      <c r="B604" s="243"/>
      <c r="C604" s="244"/>
      <c r="D604" s="244"/>
      <c r="E604" s="225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31"/>
      <c r="P604" s="231"/>
      <c r="Q604" s="231"/>
      <c r="R604" s="231"/>
      <c r="S604" s="231"/>
      <c r="T604" s="267"/>
      <c r="U604" s="267"/>
      <c r="V604" s="267"/>
      <c r="W604" s="267"/>
      <c r="X604" s="267"/>
      <c r="Y604" s="267"/>
      <c r="Z604" s="267"/>
      <c r="AA604" s="267"/>
      <c r="AB604" s="268"/>
    </row>
    <row r="605" spans="1:28" x14ac:dyDescent="0.2">
      <c r="A605" s="242"/>
      <c r="B605" s="263" t="s">
        <v>36</v>
      </c>
      <c r="C605" s="12"/>
      <c r="D605" s="12" t="s">
        <v>95</v>
      </c>
      <c r="E605" s="264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21">
        <f>SUM(F605, I605, L605, F606, I606, L606)*$O602</f>
        <v>0</v>
      </c>
      <c r="P605" s="221">
        <f>SUM(G605, J605, M605, G606, J606, M606)</f>
        <v>0</v>
      </c>
      <c r="Q605" s="223">
        <f>IF($O605=0, ,P605/$O605)</f>
        <v>0</v>
      </c>
      <c r="R605" s="221">
        <f>SUM(H605, K605, N605, H606, K606, N606)</f>
        <v>0</v>
      </c>
      <c r="S605" s="223">
        <f>IF($O605=0, ,R605/$O605)</f>
        <v>0</v>
      </c>
      <c r="T605" s="270"/>
      <c r="U605" s="270"/>
      <c r="V605" s="270"/>
      <c r="W605" s="270"/>
      <c r="X605" s="270"/>
      <c r="Y605" s="270"/>
      <c r="Z605" s="270"/>
      <c r="AA605" s="270"/>
      <c r="AB605" s="271"/>
    </row>
    <row r="606" spans="1:28" x14ac:dyDescent="0.2">
      <c r="A606" s="242"/>
      <c r="B606" s="263"/>
      <c r="C606" s="12"/>
      <c r="D606" s="12"/>
      <c r="E606" s="264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22"/>
      <c r="P606" s="222"/>
      <c r="Q606" s="224"/>
      <c r="R606" s="222"/>
      <c r="S606" s="224"/>
      <c r="T606" s="272"/>
      <c r="U606" s="272"/>
      <c r="V606" s="272"/>
      <c r="W606" s="272"/>
      <c r="X606" s="272"/>
      <c r="Y606" s="272"/>
      <c r="Z606" s="272"/>
      <c r="AA606" s="272"/>
      <c r="AB606" s="273"/>
    </row>
    <row r="607" spans="1:28" x14ac:dyDescent="0.2">
      <c r="A607" s="242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42"/>
      <c r="B608" s="276" t="s">
        <v>67</v>
      </c>
      <c r="C608" s="276"/>
      <c r="D608" s="277"/>
      <c r="E608" s="82" t="s">
        <v>68</v>
      </c>
      <c r="F608" s="261" t="s">
        <v>64</v>
      </c>
      <c r="G608" s="261"/>
      <c r="H608" s="261"/>
      <c r="I608" s="261" t="s">
        <v>76</v>
      </c>
      <c r="J608" s="261"/>
      <c r="K608" s="261"/>
      <c r="L608" s="261" t="s">
        <v>65</v>
      </c>
      <c r="M608" s="261"/>
      <c r="N608" s="261"/>
      <c r="O608" s="261" t="s">
        <v>66</v>
      </c>
      <c r="P608" s="261"/>
      <c r="Q608" s="261"/>
      <c r="R608" s="261" t="s">
        <v>73</v>
      </c>
      <c r="S608" s="261"/>
      <c r="T608" s="261"/>
      <c r="U608" s="261" t="s">
        <v>74</v>
      </c>
      <c r="V608" s="261"/>
      <c r="W608" s="261"/>
      <c r="X608" s="261" t="s">
        <v>75</v>
      </c>
      <c r="Y608" s="261"/>
      <c r="Z608" s="261"/>
      <c r="AA608" s="262"/>
      <c r="AB608" s="262"/>
    </row>
    <row r="609" spans="1:28" x14ac:dyDescent="0.2">
      <c r="A609" s="242"/>
      <c r="B609" s="278"/>
      <c r="C609" s="278"/>
      <c r="D609" s="279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62"/>
      <c r="AB609" s="262"/>
    </row>
    <row r="610" spans="1:28" x14ac:dyDescent="0.2">
      <c r="A610" s="242"/>
      <c r="B610" s="280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62"/>
      <c r="AB610" s="262"/>
    </row>
    <row r="611" spans="1:28" x14ac:dyDescent="0.2">
      <c r="A611" s="242"/>
      <c r="B611" s="280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62"/>
      <c r="AB611" s="262"/>
    </row>
    <row r="612" spans="1:28" x14ac:dyDescent="0.2">
      <c r="A612" s="242"/>
      <c r="B612" s="280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62"/>
      <c r="AB612" s="262"/>
    </row>
    <row r="613" spans="1:28" x14ac:dyDescent="0.2">
      <c r="A613" s="242"/>
      <c r="B613" s="280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62"/>
      <c r="AB613" s="262"/>
    </row>
    <row r="615" spans="1:28" x14ac:dyDescent="0.2">
      <c r="A615" s="242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42"/>
      <c r="B616" s="243" t="s">
        <v>10</v>
      </c>
      <c r="C616" s="244" t="s">
        <v>25</v>
      </c>
      <c r="D616" s="244" t="s">
        <v>28</v>
      </c>
      <c r="E616" s="225" t="s">
        <v>12</v>
      </c>
      <c r="F616" s="226" t="s">
        <v>13</v>
      </c>
      <c r="G616" s="227"/>
      <c r="H616" s="227"/>
      <c r="I616" s="227"/>
      <c r="J616" s="228"/>
      <c r="K616" s="226" t="s">
        <v>14</v>
      </c>
      <c r="L616" s="227"/>
      <c r="M616" s="227"/>
      <c r="N616" s="227"/>
      <c r="O616" s="228"/>
      <c r="P616" s="226" t="s">
        <v>15</v>
      </c>
      <c r="Q616" s="227"/>
      <c r="R616" s="227"/>
      <c r="S616" s="227"/>
      <c r="T616" s="228"/>
      <c r="U616" s="275" t="s">
        <v>34</v>
      </c>
      <c r="V616" s="275" t="s">
        <v>48</v>
      </c>
      <c r="W616" s="275" t="s">
        <v>56</v>
      </c>
      <c r="X616" s="275" t="s">
        <v>54</v>
      </c>
      <c r="Y616" s="275" t="s">
        <v>57</v>
      </c>
      <c r="Z616" s="275" t="s">
        <v>55</v>
      </c>
      <c r="AA616" s="275" t="s">
        <v>58</v>
      </c>
      <c r="AB616" s="275" t="s">
        <v>38</v>
      </c>
    </row>
    <row r="617" spans="1:28" ht="38.25" x14ac:dyDescent="0.2">
      <c r="A617" s="242"/>
      <c r="B617" s="243"/>
      <c r="C617" s="244"/>
      <c r="D617" s="244"/>
      <c r="E617" s="225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75"/>
      <c r="V617" s="275"/>
      <c r="W617" s="275"/>
      <c r="X617" s="275"/>
      <c r="Y617" s="275"/>
      <c r="Z617" s="275"/>
      <c r="AA617" s="275"/>
      <c r="AB617" s="275"/>
    </row>
    <row r="618" spans="1:28" x14ac:dyDescent="0.2">
      <c r="A618" s="242"/>
      <c r="B618" s="255" t="s">
        <v>17</v>
      </c>
      <c r="C618" s="12"/>
      <c r="D618" s="12"/>
      <c r="E618" s="257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21">
        <f>SUM(F618, K618, P618, F619, K619, P619)</f>
        <v>0</v>
      </c>
      <c r="V618" s="221">
        <f>SUM(H618, M618, R618, H619, M619, R619)</f>
        <v>0</v>
      </c>
      <c r="W618" s="223">
        <f>IF($U618=0, ,V618/$U618)</f>
        <v>0</v>
      </c>
      <c r="X618" s="221">
        <f>SUM(I618, N618, S618, I619, N619, S619)</f>
        <v>0</v>
      </c>
      <c r="Y618" s="223">
        <f>IF($U618=0, ,X618/$U618)</f>
        <v>0</v>
      </c>
      <c r="Z618" s="221">
        <f>SUM(J618, O618, T618, J619, O619, T619)</f>
        <v>0</v>
      </c>
      <c r="AA618" s="223">
        <f>IF($U618=0, ,Z618/$U618)</f>
        <v>0</v>
      </c>
      <c r="AB618" s="247"/>
    </row>
    <row r="619" spans="1:28" x14ac:dyDescent="0.2">
      <c r="A619" s="242"/>
      <c r="B619" s="274"/>
      <c r="C619" s="12"/>
      <c r="D619" s="12"/>
      <c r="E619" s="259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22"/>
      <c r="V619" s="222"/>
      <c r="W619" s="224"/>
      <c r="X619" s="222"/>
      <c r="Y619" s="224"/>
      <c r="Z619" s="222"/>
      <c r="AA619" s="224"/>
      <c r="AB619" s="248"/>
    </row>
    <row r="620" spans="1:28" x14ac:dyDescent="0.2">
      <c r="A620" s="242"/>
      <c r="B620" s="245" t="s">
        <v>18</v>
      </c>
      <c r="C620" s="10"/>
      <c r="D620" s="10"/>
      <c r="E620" s="234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38">
        <f>SUM(F620, K620, P620, F621, K621, P621)</f>
        <v>0</v>
      </c>
      <c r="V620" s="238">
        <f>SUM(H620, M620, R620, H621, M621, R621)</f>
        <v>0</v>
      </c>
      <c r="W620" s="213">
        <f>IF($U620=0, ,V620/$U620)</f>
        <v>0</v>
      </c>
      <c r="X620" s="238">
        <f>SUM(I620, N620, S620, I621, N621, S621)</f>
        <v>0</v>
      </c>
      <c r="Y620" s="213">
        <f>IF($U620=0, ,X620/$U620)</f>
        <v>0</v>
      </c>
      <c r="Z620" s="238">
        <f>SUM(J620, O620, T620, J621, O621, T621)</f>
        <v>0</v>
      </c>
      <c r="AA620" s="213">
        <f>IF($U620=0, ,Z620/$U620)</f>
        <v>0</v>
      </c>
      <c r="AB620" s="232"/>
    </row>
    <row r="621" spans="1:28" x14ac:dyDescent="0.2">
      <c r="A621" s="242"/>
      <c r="B621" s="246"/>
      <c r="C621" s="10"/>
      <c r="D621" s="10"/>
      <c r="E621" s="235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39"/>
      <c r="V621" s="239"/>
      <c r="W621" s="214"/>
      <c r="X621" s="239"/>
      <c r="Y621" s="214"/>
      <c r="Z621" s="239"/>
      <c r="AA621" s="214"/>
      <c r="AB621" s="233"/>
    </row>
    <row r="622" spans="1:28" x14ac:dyDescent="0.2">
      <c r="A622" s="242"/>
      <c r="B622" s="255" t="s">
        <v>19</v>
      </c>
      <c r="C622" s="9"/>
      <c r="D622" s="9"/>
      <c r="E622" s="219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21">
        <f>SUM(F622, K622, P622, F623, K623, P623)</f>
        <v>0</v>
      </c>
      <c r="V622" s="221">
        <f>SUM(H622, M622, R622, H623, M623, R623)</f>
        <v>0</v>
      </c>
      <c r="W622" s="223">
        <f>IF($U622=0, ,V622/$U622)</f>
        <v>0</v>
      </c>
      <c r="X622" s="221">
        <f>SUM(I622, N622, S622, I623, N623, S623)</f>
        <v>0</v>
      </c>
      <c r="Y622" s="223">
        <f>IF($U622=0, ,X622/$U622)</f>
        <v>0</v>
      </c>
      <c r="Z622" s="221">
        <f>SUM(J622, O622, T622, J623, O623, T623)</f>
        <v>0</v>
      </c>
      <c r="AA622" s="223">
        <f>IF($U622=0, ,Z622/$U622)</f>
        <v>0</v>
      </c>
      <c r="AB622" s="247"/>
    </row>
    <row r="623" spans="1:28" x14ac:dyDescent="0.2">
      <c r="A623" s="242"/>
      <c r="B623" s="274"/>
      <c r="C623" s="9"/>
      <c r="D623" s="9"/>
      <c r="E623" s="220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22"/>
      <c r="V623" s="222"/>
      <c r="W623" s="224"/>
      <c r="X623" s="222"/>
      <c r="Y623" s="224"/>
      <c r="Z623" s="222"/>
      <c r="AA623" s="224"/>
      <c r="AB623" s="248"/>
    </row>
    <row r="624" spans="1:28" x14ac:dyDescent="0.2">
      <c r="A624" s="242"/>
      <c r="B624" s="245" t="s">
        <v>20</v>
      </c>
      <c r="C624" s="10"/>
      <c r="D624" s="10"/>
      <c r="E624" s="234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38">
        <f>SUM(F624, K624, P624, F625, K625, P625)</f>
        <v>0</v>
      </c>
      <c r="V624" s="238">
        <f>SUM(H624, M624, R624, H625, M625, R625)</f>
        <v>0</v>
      </c>
      <c r="W624" s="213">
        <f>IF($U624=0, ,V624/$U624)</f>
        <v>0</v>
      </c>
      <c r="X624" s="238">
        <f>SUM(I624, N624, S624, I625, N625, S625)</f>
        <v>0</v>
      </c>
      <c r="Y624" s="213">
        <f>IF($U624=0, ,X624/$U624)</f>
        <v>0</v>
      </c>
      <c r="Z624" s="238">
        <f>SUM(J624, O624, T624, J625, O625, T625)</f>
        <v>0</v>
      </c>
      <c r="AA624" s="213">
        <f>IF($U624=0, ,Z624/$U624)</f>
        <v>0</v>
      </c>
      <c r="AB624" s="232"/>
    </row>
    <row r="625" spans="1:28" x14ac:dyDescent="0.2">
      <c r="A625" s="242"/>
      <c r="B625" s="246"/>
      <c r="C625" s="10"/>
      <c r="D625" s="10"/>
      <c r="E625" s="235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39"/>
      <c r="V625" s="239"/>
      <c r="W625" s="214"/>
      <c r="X625" s="239"/>
      <c r="Y625" s="214"/>
      <c r="Z625" s="239"/>
      <c r="AA625" s="214"/>
      <c r="AB625" s="233"/>
    </row>
    <row r="626" spans="1:28" x14ac:dyDescent="0.2">
      <c r="A626" s="242"/>
      <c r="B626" s="255" t="s">
        <v>21</v>
      </c>
      <c r="C626" s="9"/>
      <c r="D626" s="9"/>
      <c r="E626" s="219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21">
        <f>SUM(F626, K626, P626, F627, K627, P627)</f>
        <v>0</v>
      </c>
      <c r="V626" s="221">
        <f>SUM(H626, M626, R626, H627, M627, R627)</f>
        <v>0</v>
      </c>
      <c r="W626" s="223">
        <f>IF($U626=0, ,V626/$U626)</f>
        <v>0</v>
      </c>
      <c r="X626" s="221">
        <f>SUM(I626, N626, S626, I627, N627, S627)</f>
        <v>0</v>
      </c>
      <c r="Y626" s="223">
        <f>IF($U626=0, ,X626/$U626)</f>
        <v>0</v>
      </c>
      <c r="Z626" s="221">
        <f>SUM(J626, O626, T626, J627, O627, T627)</f>
        <v>0</v>
      </c>
      <c r="AA626" s="223">
        <f>IF($U626=0, ,Z626/$U626)</f>
        <v>0</v>
      </c>
      <c r="AB626" s="247"/>
    </row>
    <row r="627" spans="1:28" x14ac:dyDescent="0.2">
      <c r="A627" s="242"/>
      <c r="B627" s="274"/>
      <c r="C627" s="9"/>
      <c r="D627" s="9"/>
      <c r="E627" s="220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22"/>
      <c r="V627" s="222"/>
      <c r="W627" s="224"/>
      <c r="X627" s="222"/>
      <c r="Y627" s="224"/>
      <c r="Z627" s="222"/>
      <c r="AA627" s="224"/>
      <c r="AB627" s="248"/>
    </row>
    <row r="628" spans="1:28" x14ac:dyDescent="0.2">
      <c r="A628" s="242"/>
      <c r="B628" s="245" t="s">
        <v>22</v>
      </c>
      <c r="C628" s="11"/>
      <c r="D628" s="11"/>
      <c r="E628" s="251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38">
        <f>SUM(F628, K628, P628, F629, K629, P629)</f>
        <v>0</v>
      </c>
      <c r="V628" s="238">
        <f>SUM(H628, M628, R628, H629, M629, R629)</f>
        <v>0</v>
      </c>
      <c r="W628" s="213">
        <f>IF($U628=0, ,V628/$U628)</f>
        <v>0</v>
      </c>
      <c r="X628" s="238">
        <f>SUM(I628, N628, S628, I629, N629, S629)</f>
        <v>0</v>
      </c>
      <c r="Y628" s="213">
        <f>IF($U628=0, ,X628/$U628)</f>
        <v>0</v>
      </c>
      <c r="Z628" s="238">
        <f>SUM(J628, O628, T628, J629, O629, T629)</f>
        <v>0</v>
      </c>
      <c r="AA628" s="213">
        <f>IF($U628=0, ,Z628/$U628)</f>
        <v>0</v>
      </c>
      <c r="AB628" s="232"/>
    </row>
    <row r="629" spans="1:28" x14ac:dyDescent="0.2">
      <c r="A629" s="242"/>
      <c r="B629" s="246"/>
      <c r="C629" s="11"/>
      <c r="D629" s="11"/>
      <c r="E629" s="252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39"/>
      <c r="V629" s="239"/>
      <c r="W629" s="214"/>
      <c r="X629" s="239"/>
      <c r="Y629" s="214"/>
      <c r="Z629" s="239"/>
      <c r="AA629" s="214"/>
      <c r="AB629" s="233"/>
    </row>
    <row r="630" spans="1:28" ht="13.5" thickBot="1" x14ac:dyDescent="0.25">
      <c r="A630" s="242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42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42"/>
      <c r="B632" s="243" t="s">
        <v>35</v>
      </c>
      <c r="C632" s="244" t="s">
        <v>25</v>
      </c>
      <c r="D632" s="244" t="s">
        <v>28</v>
      </c>
      <c r="E632" s="225" t="s">
        <v>12</v>
      </c>
      <c r="F632" s="269" t="s">
        <v>13</v>
      </c>
      <c r="G632" s="269"/>
      <c r="H632" s="269"/>
      <c r="I632" s="269" t="s">
        <v>14</v>
      </c>
      <c r="J632" s="269"/>
      <c r="K632" s="269"/>
      <c r="L632" s="269" t="s">
        <v>15</v>
      </c>
      <c r="M632" s="269"/>
      <c r="N632" s="269"/>
      <c r="O632" s="229" t="s">
        <v>34</v>
      </c>
      <c r="P632" s="229" t="s">
        <v>48</v>
      </c>
      <c r="Q632" s="229" t="s">
        <v>60</v>
      </c>
      <c r="R632" s="229" t="s">
        <v>49</v>
      </c>
      <c r="S632" s="229" t="s">
        <v>61</v>
      </c>
      <c r="T632" s="265"/>
      <c r="U632" s="265"/>
      <c r="V632" s="265"/>
      <c r="W632" s="265"/>
      <c r="X632" s="265"/>
      <c r="Y632" s="265"/>
      <c r="Z632" s="265"/>
      <c r="AA632" s="265"/>
      <c r="AB632" s="266"/>
    </row>
    <row r="633" spans="1:28" ht="25.5" x14ac:dyDescent="0.2">
      <c r="A633" s="242"/>
      <c r="B633" s="243"/>
      <c r="C633" s="244"/>
      <c r="D633" s="244"/>
      <c r="E633" s="225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31"/>
      <c r="P633" s="231"/>
      <c r="Q633" s="231"/>
      <c r="R633" s="231"/>
      <c r="S633" s="231"/>
      <c r="T633" s="267"/>
      <c r="U633" s="267"/>
      <c r="V633" s="267"/>
      <c r="W633" s="267"/>
      <c r="X633" s="267"/>
      <c r="Y633" s="267"/>
      <c r="Z633" s="267"/>
      <c r="AA633" s="267"/>
      <c r="AB633" s="268"/>
    </row>
    <row r="634" spans="1:28" x14ac:dyDescent="0.2">
      <c r="A634" s="242"/>
      <c r="B634" s="263" t="s">
        <v>36</v>
      </c>
      <c r="C634" s="12"/>
      <c r="D634" s="12" t="s">
        <v>95</v>
      </c>
      <c r="E634" s="264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21">
        <f>SUM(F634, I634, L634, F635, I635, L635)*$O631</f>
        <v>0</v>
      </c>
      <c r="P634" s="221">
        <f>SUM(G634, J634, M634, G635, J635, M635)</f>
        <v>0</v>
      </c>
      <c r="Q634" s="223">
        <f>IF($O634=0, ,P634/$O634)</f>
        <v>0</v>
      </c>
      <c r="R634" s="221">
        <f>SUM(H634, K634, N634, H635, K635, N635)</f>
        <v>0</v>
      </c>
      <c r="S634" s="223">
        <f>IF($O634=0, ,R634/$O634)</f>
        <v>0</v>
      </c>
      <c r="T634" s="270"/>
      <c r="U634" s="270"/>
      <c r="V634" s="270"/>
      <c r="W634" s="270"/>
      <c r="X634" s="270"/>
      <c r="Y634" s="270"/>
      <c r="Z634" s="270"/>
      <c r="AA634" s="270"/>
      <c r="AB634" s="271"/>
    </row>
    <row r="635" spans="1:28" x14ac:dyDescent="0.2">
      <c r="A635" s="242"/>
      <c r="B635" s="263"/>
      <c r="C635" s="12"/>
      <c r="D635" s="12"/>
      <c r="E635" s="264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22"/>
      <c r="P635" s="222"/>
      <c r="Q635" s="224"/>
      <c r="R635" s="222"/>
      <c r="S635" s="224"/>
      <c r="T635" s="272"/>
      <c r="U635" s="272"/>
      <c r="V635" s="272"/>
      <c r="W635" s="272"/>
      <c r="X635" s="272"/>
      <c r="Y635" s="272"/>
      <c r="Z635" s="272"/>
      <c r="AA635" s="272"/>
      <c r="AB635" s="273"/>
    </row>
    <row r="636" spans="1:28" x14ac:dyDescent="0.2">
      <c r="A636" s="242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42"/>
      <c r="B637" s="276" t="s">
        <v>67</v>
      </c>
      <c r="C637" s="276"/>
      <c r="D637" s="277"/>
      <c r="E637" s="82" t="s">
        <v>68</v>
      </c>
      <c r="F637" s="261" t="s">
        <v>64</v>
      </c>
      <c r="G637" s="261"/>
      <c r="H637" s="261"/>
      <c r="I637" s="261" t="s">
        <v>76</v>
      </c>
      <c r="J637" s="261"/>
      <c r="K637" s="261"/>
      <c r="L637" s="261" t="s">
        <v>65</v>
      </c>
      <c r="M637" s="261"/>
      <c r="N637" s="261"/>
      <c r="O637" s="261" t="s">
        <v>66</v>
      </c>
      <c r="P637" s="261"/>
      <c r="Q637" s="261"/>
      <c r="R637" s="261" t="s">
        <v>73</v>
      </c>
      <c r="S637" s="261"/>
      <c r="T637" s="261"/>
      <c r="U637" s="261" t="s">
        <v>74</v>
      </c>
      <c r="V637" s="261"/>
      <c r="W637" s="261"/>
      <c r="X637" s="261" t="s">
        <v>75</v>
      </c>
      <c r="Y637" s="261"/>
      <c r="Z637" s="261"/>
      <c r="AA637" s="262"/>
      <c r="AB637" s="262"/>
    </row>
    <row r="638" spans="1:28" x14ac:dyDescent="0.2">
      <c r="A638" s="242"/>
      <c r="B638" s="278"/>
      <c r="C638" s="278"/>
      <c r="D638" s="279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62"/>
      <c r="AB638" s="262"/>
    </row>
    <row r="639" spans="1:28" x14ac:dyDescent="0.2">
      <c r="A639" s="242"/>
      <c r="B639" s="280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62"/>
      <c r="AB639" s="262"/>
    </row>
    <row r="640" spans="1:28" x14ac:dyDescent="0.2">
      <c r="A640" s="242"/>
      <c r="B640" s="280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62"/>
      <c r="AB640" s="262"/>
    </row>
    <row r="641" spans="1:28" x14ac:dyDescent="0.2">
      <c r="A641" s="242"/>
      <c r="B641" s="280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62"/>
      <c r="AB641" s="262"/>
    </row>
    <row r="642" spans="1:28" x14ac:dyDescent="0.2">
      <c r="A642" s="242"/>
      <c r="B642" s="280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62"/>
      <c r="AB642" s="262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6"/>
  <sheetViews>
    <sheetView workbookViewId="0">
      <selection activeCell="F31" sqref="F31"/>
    </sheetView>
  </sheetViews>
  <sheetFormatPr defaultRowHeight="12.75" x14ac:dyDescent="0.2"/>
  <cols>
    <col min="1" max="1" width="13.85546875" bestFit="1" customWidth="1"/>
    <col min="2" max="2" width="14.42578125" customWidth="1"/>
    <col min="3" max="3" width="16" bestFit="1" customWidth="1"/>
    <col min="4" max="4" width="15.140625" customWidth="1"/>
    <col min="5" max="5" width="17.28515625" bestFit="1" customWidth="1"/>
    <col min="6" max="6" width="13.42578125" bestFit="1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62" t="s">
        <v>159</v>
      </c>
      <c r="B3" t="s">
        <v>163</v>
      </c>
      <c r="C3" t="s">
        <v>160</v>
      </c>
      <c r="D3" t="s">
        <v>161</v>
      </c>
      <c r="E3" t="s">
        <v>162</v>
      </c>
      <c r="F3" t="s">
        <v>165</v>
      </c>
      <c r="G3" t="s">
        <v>164</v>
      </c>
      <c r="H3" t="s">
        <v>171</v>
      </c>
      <c r="I3" s="168" t="s">
        <v>170</v>
      </c>
      <c r="J3" s="168" t="s">
        <v>166</v>
      </c>
    </row>
    <row r="4" spans="1:10" x14ac:dyDescent="0.2">
      <c r="A4" s="167" t="s">
        <v>176</v>
      </c>
      <c r="B4" s="171">
        <v>240</v>
      </c>
      <c r="C4" s="171">
        <v>1</v>
      </c>
      <c r="D4" s="171">
        <v>4.5</v>
      </c>
      <c r="E4" s="171">
        <v>0</v>
      </c>
      <c r="F4" s="164">
        <v>8</v>
      </c>
      <c r="G4" s="171">
        <v>777.78</v>
      </c>
      <c r="H4" s="164">
        <v>30</v>
      </c>
      <c r="I4" s="170">
        <f>G4/H4</f>
        <v>25.925999999999998</v>
      </c>
      <c r="J4" s="169">
        <f>3600*F4/I4</f>
        <v>1110.8539689886602</v>
      </c>
    </row>
    <row r="5" spans="1:10" x14ac:dyDescent="0.2">
      <c r="A5" s="167" t="s">
        <v>157</v>
      </c>
      <c r="B5" s="171">
        <v>240</v>
      </c>
      <c r="C5" s="171">
        <v>1</v>
      </c>
      <c r="D5" s="171">
        <v>4.5</v>
      </c>
      <c r="E5" s="171">
        <v>0</v>
      </c>
      <c r="F5" s="164">
        <v>8</v>
      </c>
      <c r="G5" s="171">
        <v>777.78</v>
      </c>
      <c r="H5" s="164">
        <v>30</v>
      </c>
      <c r="I5" s="170">
        <f>G5/H5</f>
        <v>25.925999999999998</v>
      </c>
      <c r="J5" s="169">
        <f t="shared" ref="J5:J6" si="0">3600*F5/I5</f>
        <v>1110.8539689886602</v>
      </c>
    </row>
    <row r="6" spans="1:10" x14ac:dyDescent="0.2">
      <c r="I6" s="170" t="e">
        <f>G6/H6</f>
        <v>#DIV/0!</v>
      </c>
      <c r="J6" s="169" t="e">
        <f t="shared" si="0"/>
        <v>#DIV/0!</v>
      </c>
    </row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D129"/>
  <sheetViews>
    <sheetView tabSelected="1" zoomScaleNormal="100" workbookViewId="0">
      <pane xSplit="4" ySplit="5" topLeftCell="E102" activePane="bottomRight" state="frozen"/>
      <selection pane="topRight" activeCell="E1" sqref="E1"/>
      <selection pane="bottomLeft" activeCell="A6" sqref="A6"/>
      <selection pane="bottomRight" activeCell="M132" sqref="M132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10.7109375" customWidth="1"/>
    <col min="8" max="8" width="11.7109375" style="54" customWidth="1"/>
    <col min="9" max="9" width="9.5703125" style="70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customWidth="1"/>
    <col min="52" max="55" width="9.140625" hidden="1" customWidth="1"/>
    <col min="56" max="56" width="0" hidden="1" customWidth="1"/>
  </cols>
  <sheetData>
    <row r="1" spans="1:56" x14ac:dyDescent="0.2"/>
    <row r="2" spans="1:56" ht="27.75" thickBot="1" x14ac:dyDescent="0.4">
      <c r="A2" s="283" t="s">
        <v>185</v>
      </c>
      <c r="B2" s="283"/>
      <c r="C2" s="283"/>
      <c r="D2" s="283"/>
      <c r="E2" s="283"/>
      <c r="F2" s="283"/>
      <c r="G2" s="283"/>
      <c r="H2" s="283"/>
      <c r="I2" s="64"/>
      <c r="J2" s="72"/>
      <c r="K2" s="5"/>
      <c r="L2" s="111" t="s">
        <v>40</v>
      </c>
      <c r="M2" s="282">
        <f>$A$6</f>
        <v>45413</v>
      </c>
      <c r="N2" s="282"/>
      <c r="O2" s="282"/>
      <c r="P2" s="282"/>
      <c r="Q2" s="282"/>
      <c r="R2" s="282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213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2">
        <f>SUM(Prod[S1Hrs], Prod[S2Hrs], Prod[S3Hrs])</f>
        <v>1807.25</v>
      </c>
      <c r="AW3">
        <f>SUMIF(Prod[B/C],TRUE,Prod[S1Hrs])+SUMIF(Prod[B/C],TRUE,Prod[S2Hrs])+SUMIF(Prod[B/C],TRUE,Prod[S3Hrs])</f>
        <v>1163.5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65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153</v>
      </c>
      <c r="AX5" t="s">
        <v>154</v>
      </c>
      <c r="AY5" t="s">
        <v>155</v>
      </c>
      <c r="AZ5" t="s">
        <v>167</v>
      </c>
      <c r="BA5" t="s">
        <v>168</v>
      </c>
      <c r="BB5" t="s">
        <v>169</v>
      </c>
      <c r="BC5" t="s">
        <v>44</v>
      </c>
      <c r="BD5" t="s">
        <v>213</v>
      </c>
    </row>
    <row r="6" spans="1:56" x14ac:dyDescent="0.2">
      <c r="A6" s="117">
        <v>45413</v>
      </c>
      <c r="B6" s="120" t="s">
        <v>172</v>
      </c>
      <c r="C6" s="119" t="s">
        <v>173</v>
      </c>
      <c r="D6" s="119">
        <v>26363</v>
      </c>
      <c r="E6" s="130" t="s">
        <v>92</v>
      </c>
      <c r="F6" s="119">
        <v>814</v>
      </c>
      <c r="G6" s="119" t="str">
        <f>IF(OR(Prod[[#This Row],[S1Hrs]]&gt;0,Prod[[#This Row],[S2Hrs]]&gt;0,Prod[[#This Row],[S3Hrs]]&gt;0),"Running","Down")</f>
        <v>Running</v>
      </c>
      <c r="H6" s="140">
        <v>16.64</v>
      </c>
      <c r="I6" s="141">
        <v>8</v>
      </c>
      <c r="J6" s="120">
        <v>1784</v>
      </c>
      <c r="K6" s="129">
        <v>16</v>
      </c>
      <c r="L6" s="120">
        <f>Prod[[#This Row],[S1Shot]]*Prod[[#This Row],[S1Cavity]]-Prod[[#This Row],[S1Dft]]</f>
        <v>28544</v>
      </c>
      <c r="M6" s="133"/>
      <c r="N6" s="140">
        <v>16.64</v>
      </c>
      <c r="O6" s="141">
        <v>8</v>
      </c>
      <c r="P6" s="120">
        <v>1848</v>
      </c>
      <c r="Q6" s="129">
        <v>16</v>
      </c>
      <c r="R6" s="120">
        <f>Prod[[#This Row],[S2Shot]]*Prod[[#This Row],[S2Cavity]]-Prod[[#This Row],[S2Dft]]</f>
        <v>29568</v>
      </c>
      <c r="S6" s="133"/>
      <c r="T6" s="140">
        <v>16.64</v>
      </c>
      <c r="U6" s="141">
        <v>8</v>
      </c>
      <c r="V6" s="120">
        <v>1281</v>
      </c>
      <c r="W6" s="129">
        <v>16</v>
      </c>
      <c r="X6" s="120">
        <f>Prod[[#This Row],[S3Shot]]*Prod[[#This Row],[S3Cavity]]-Prod[[#This Row],[S3Dft]]</f>
        <v>20496</v>
      </c>
      <c r="Y6" s="133"/>
      <c r="Z6" s="120">
        <f>SUM(Prod[[#This Row],[S1Qty]],Prod[[#This Row],[S2Qty]],Prod[[#This Row],[S3Qty]])</f>
        <v>78608</v>
      </c>
      <c r="AA6" s="133"/>
      <c r="AB6" s="134"/>
      <c r="AC6" s="118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1">
        <f>IF(Prod[[#This Row],[S1Hrs]]=0,0,Prod[[#This Row],[S1Shot]]*Prod[[#This Row],[S1Cycle]]/(Prod[[#This Row],[S1Hrs]]*60*60))</f>
        <v>1.0307555555555556</v>
      </c>
      <c r="AT6" s="131">
        <f>IF(Prod[[#This Row],[S2Hrs]]=0,0,Prod[[#This Row],[S2Shot]]*Prod[[#This Row],[S2Cycle]]/(Prod[[#This Row],[S2Hrs]]*60*60))</f>
        <v>1.0677333333333334</v>
      </c>
      <c r="AU6" s="131">
        <f>IF(Prod[[#This Row],[S3Hrs]]=0,0,Prod[[#This Row],[S3Shot]]*Prod[[#This Row],[S3Cycle]]/(Prod[[#This Row],[S3Hrs]]*60*60))</f>
        <v>0.74013333333333331</v>
      </c>
      <c r="AV6" s="131">
        <f>IFERROR(AVERAGEIF(Prod[[#This Row],[S1%]:[S3%]], "&lt;&gt;0"),0)</f>
        <v>0.94620740740740761</v>
      </c>
      <c r="AW6" s="131">
        <v>0</v>
      </c>
      <c r="AX6" s="131">
        <v>0</v>
      </c>
      <c r="AY6" s="131">
        <v>0</v>
      </c>
      <c r="AZ6" s="166">
        <f>IF(Prod[[#This Row],[S1Cycle]]&lt;&gt;0,1,0)</f>
        <v>1</v>
      </c>
      <c r="BA6" s="166">
        <f>IF(Prod[[#This Row],[S2Cycle]]&lt;&gt;0,1,0)</f>
        <v>1</v>
      </c>
      <c r="BB6" s="166">
        <f>IF(Prod[[#This Row],[S3Cycle]]&lt;&gt;0,1,0)</f>
        <v>1</v>
      </c>
      <c r="BC6" s="166">
        <f>MAX(Prod[[#This Row],[S1Cavity]],Prod[[#This Row],[S2Cavity]],Prod[[#This Row],[S3Cavity]])</f>
        <v>16</v>
      </c>
      <c r="BD6" s="166" t="b">
        <f>RegExpMatch(Prod[[#This Row],[MoldNo]], "^DW-(B|C)")</f>
        <v>0</v>
      </c>
    </row>
    <row r="7" spans="1:56" x14ac:dyDescent="0.2">
      <c r="A7" s="117">
        <v>45413</v>
      </c>
      <c r="B7" s="119" t="s">
        <v>179</v>
      </c>
      <c r="C7" s="119" t="s">
        <v>180</v>
      </c>
      <c r="D7" s="119">
        <v>25151</v>
      </c>
      <c r="E7" s="130" t="s">
        <v>92</v>
      </c>
      <c r="F7" s="119">
        <v>814</v>
      </c>
      <c r="G7" s="119" t="str">
        <f>IF(OR(Prod[[#This Row],[S1Hrs]]&gt;0,Prod[[#This Row],[S2Hrs]]&gt;0,Prod[[#This Row],[S3Hrs]]&gt;0),"Running","Down")</f>
        <v>Running</v>
      </c>
      <c r="H7" s="140">
        <v>12.44</v>
      </c>
      <c r="I7" s="141">
        <v>8</v>
      </c>
      <c r="J7" s="120">
        <v>2465</v>
      </c>
      <c r="K7" s="129">
        <v>8</v>
      </c>
      <c r="L7" s="120">
        <f>Prod[[#This Row],[S1Shot]]*Prod[[#This Row],[S1Cavity]]-Prod[[#This Row],[S1Dft]]</f>
        <v>19720</v>
      </c>
      <c r="M7" s="133"/>
      <c r="N7" s="140">
        <v>12.44</v>
      </c>
      <c r="O7" s="141">
        <v>8</v>
      </c>
      <c r="P7" s="120">
        <v>2448</v>
      </c>
      <c r="Q7" s="129">
        <v>8</v>
      </c>
      <c r="R7" s="120">
        <f>Prod[[#This Row],[S2Shot]]*Prod[[#This Row],[S2Cavity]]-Prod[[#This Row],[S2Dft]]</f>
        <v>19584</v>
      </c>
      <c r="S7" s="133"/>
      <c r="T7" s="140">
        <v>12.44</v>
      </c>
      <c r="U7" s="141">
        <v>8</v>
      </c>
      <c r="V7" s="120">
        <v>2405</v>
      </c>
      <c r="W7" s="129">
        <v>8</v>
      </c>
      <c r="X7" s="120">
        <f>Prod[[#This Row],[S3Shot]]*Prod[[#This Row],[S3Cavity]]-Prod[[#This Row],[S3Dft]]</f>
        <v>19240</v>
      </c>
      <c r="Y7" s="133"/>
      <c r="Z7" s="120">
        <f>SUM(Prod[[#This Row],[S1Qty]],Prod[[#This Row],[S2Qty]],Prod[[#This Row],[S3Qty]])</f>
        <v>58544</v>
      </c>
      <c r="AA7" s="133"/>
      <c r="AB7" s="134"/>
      <c r="AC7" s="130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1">
        <f>IF(Prod[[#This Row],[S1Hrs]]=0,0,Prod[[#This Row],[S1Shot]]*Prod[[#This Row],[S1Cycle]]/(Prod[[#This Row],[S1Hrs]]*60*60))</f>
        <v>1.0647430555555555</v>
      </c>
      <c r="AT7" s="131">
        <f>IF(Prod[[#This Row],[S2Hrs]]=0,0,Prod[[#This Row],[S2Shot]]*Prod[[#This Row],[S2Cycle]]/(Prod[[#This Row],[S2Hrs]]*60*60))</f>
        <v>1.0573999999999999</v>
      </c>
      <c r="AU7" s="131">
        <f>IF(Prod[[#This Row],[S3Hrs]]=0,0,Prod[[#This Row],[S3Shot]]*Prod[[#This Row],[S3Cycle]]/(Prod[[#This Row],[S3Hrs]]*60*60))</f>
        <v>1.0388263888888889</v>
      </c>
      <c r="AV7" s="131">
        <f>IFERROR(AVERAGEIF(Prod[[#This Row],[S1%]:[S3%]], "&lt;&gt;0"),0)</f>
        <v>1.0536564814814813</v>
      </c>
      <c r="AW7" s="131">
        <v>0</v>
      </c>
      <c r="AX7" s="131">
        <v>0</v>
      </c>
      <c r="AY7" s="131">
        <v>0</v>
      </c>
      <c r="AZ7" s="166">
        <f>IF(Prod[[#This Row],[S1Cycle]]&lt;&gt;0,1,0)</f>
        <v>1</v>
      </c>
      <c r="BA7" s="166">
        <f>IF(Prod[[#This Row],[S2Cycle]]&lt;&gt;0,1,0)</f>
        <v>1</v>
      </c>
      <c r="BB7" s="166">
        <f>IF(Prod[[#This Row],[S3Cycle]]&lt;&gt;0,1,0)</f>
        <v>1</v>
      </c>
      <c r="BC7" s="166">
        <f>MAX(Prod[[#This Row],[S1Cavity]],Prod[[#This Row],[S2Cavity]],Prod[[#This Row],[S3Cavity]])</f>
        <v>8</v>
      </c>
      <c r="BD7" s="166" t="b">
        <f>RegExpMatch(Prod[[#This Row],[MoldNo]], "^DW-(B|C)")</f>
        <v>0</v>
      </c>
    </row>
    <row r="8" spans="1:56" x14ac:dyDescent="0.2">
      <c r="A8" s="117">
        <v>45413</v>
      </c>
      <c r="B8" s="129" t="s">
        <v>192</v>
      </c>
      <c r="C8" s="130" t="s">
        <v>174</v>
      </c>
      <c r="D8" s="119">
        <v>27456</v>
      </c>
      <c r="E8" s="130" t="s">
        <v>191</v>
      </c>
      <c r="F8" s="119">
        <v>814</v>
      </c>
      <c r="G8" s="119" t="str">
        <f>IF(OR(Prod[[#This Row],[S1Hrs]]&gt;0,Prod[[#This Row],[S2Hrs]]&gt;0,Prod[[#This Row],[S3Hrs]]&gt;0),"Running","Down")</f>
        <v>Running</v>
      </c>
      <c r="H8" s="140">
        <v>15.1</v>
      </c>
      <c r="I8" s="141">
        <v>8</v>
      </c>
      <c r="J8" s="120">
        <v>2007</v>
      </c>
      <c r="K8" s="129">
        <v>16</v>
      </c>
      <c r="L8" s="120">
        <f>Prod[[#This Row],[S1Shot]]*Prod[[#This Row],[S1Cavity]]-Prod[[#This Row],[S1Dft]]</f>
        <v>32112</v>
      </c>
      <c r="M8" s="133"/>
      <c r="N8" s="140">
        <v>15.12</v>
      </c>
      <c r="O8" s="141">
        <v>8</v>
      </c>
      <c r="P8" s="120">
        <v>1927</v>
      </c>
      <c r="Q8" s="129">
        <v>16</v>
      </c>
      <c r="R8" s="120">
        <f>Prod[[#This Row],[S2Shot]]*Prod[[#This Row],[S2Cavity]]-Prod[[#This Row],[S2Dft]]</f>
        <v>30832</v>
      </c>
      <c r="S8" s="133"/>
      <c r="T8" s="140">
        <v>15.1</v>
      </c>
      <c r="U8" s="141">
        <v>8</v>
      </c>
      <c r="V8" s="120">
        <v>1867</v>
      </c>
      <c r="W8" s="129">
        <v>16</v>
      </c>
      <c r="X8" s="120">
        <f>Prod[[#This Row],[S3Shot]]*Prod[[#This Row],[S3Cavity]]-Prod[[#This Row],[S3Dft]]</f>
        <v>29872</v>
      </c>
      <c r="Y8" s="133"/>
      <c r="Z8" s="120">
        <f>SUM(Prod[[#This Row],[S1Qty]],Prod[[#This Row],[S2Qty]],Prod[[#This Row],[S3Qty]])</f>
        <v>92816</v>
      </c>
      <c r="AA8" s="133"/>
      <c r="AB8" s="134"/>
      <c r="AC8" s="130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1">
        <f>IF(Prod[[#This Row],[S1Hrs]]=0,0,Prod[[#This Row],[S1Shot]]*Prod[[#This Row],[S1Cycle]]/(Prod[[#This Row],[S1Hrs]]*60*60))</f>
        <v>1.0522812500000001</v>
      </c>
      <c r="AT8" s="131">
        <f>IF(Prod[[#This Row],[S2Hrs]]=0,0,Prod[[#This Row],[S2Shot]]*Prod[[#This Row],[S2Cycle]]/(Prod[[#This Row],[S2Hrs]]*60*60))</f>
        <v>1.0116749999999999</v>
      </c>
      <c r="AU8" s="131">
        <f>IF(Prod[[#This Row],[S3Hrs]]=0,0,Prod[[#This Row],[S3Shot]]*Prod[[#This Row],[S3Cycle]]/(Prod[[#This Row],[S3Hrs]]*60*60))</f>
        <v>0.97887847222222224</v>
      </c>
      <c r="AV8" s="131">
        <f>IFERROR(AVERAGEIF(Prod[[#This Row],[S1%]:[S3%]], "&lt;&gt;0"),0)</f>
        <v>1.0142782407407407</v>
      </c>
      <c r="AW8" s="131">
        <v>0</v>
      </c>
      <c r="AX8" s="131">
        <v>0</v>
      </c>
      <c r="AY8" s="131">
        <v>0</v>
      </c>
      <c r="AZ8" s="166">
        <f>IF(Prod[[#This Row],[S1Cycle]]&lt;&gt;0,1,0)</f>
        <v>1</v>
      </c>
      <c r="BA8" s="166">
        <f>IF(Prod[[#This Row],[S2Cycle]]&lt;&gt;0,1,0)</f>
        <v>1</v>
      </c>
      <c r="BB8" s="166">
        <f>IF(Prod[[#This Row],[S3Cycle]]&lt;&gt;0,1,0)</f>
        <v>1</v>
      </c>
      <c r="BC8" s="166">
        <f>MAX(Prod[[#This Row],[S1Cavity]],Prod[[#This Row],[S2Cavity]],Prod[[#This Row],[S3Cavity]])</f>
        <v>16</v>
      </c>
      <c r="BD8" s="166" t="b">
        <f>RegExpMatch(Prod[[#This Row],[MoldNo]], "^DW-(B|C)")</f>
        <v>0</v>
      </c>
    </row>
    <row r="9" spans="1:56" x14ac:dyDescent="0.2">
      <c r="A9" s="117">
        <v>45413</v>
      </c>
      <c r="B9" s="120" t="s">
        <v>175</v>
      </c>
      <c r="C9" s="119" t="s">
        <v>178</v>
      </c>
      <c r="D9" s="130" t="s">
        <v>193</v>
      </c>
      <c r="E9" s="130" t="s">
        <v>191</v>
      </c>
      <c r="F9" s="119">
        <v>814</v>
      </c>
      <c r="G9" s="119" t="str">
        <f>IF(OR(Prod[[#This Row],[S1Hrs]]&gt;0,Prod[[#This Row],[S2Hrs]]&gt;0,Prod[[#This Row],[S3Hrs]]&gt;0),"Running","Down")</f>
        <v>Running</v>
      </c>
      <c r="H9" s="140">
        <v>18.989999999999998</v>
      </c>
      <c r="I9" s="141">
        <v>8</v>
      </c>
      <c r="J9" s="120">
        <v>1368</v>
      </c>
      <c r="K9" s="129">
        <v>8</v>
      </c>
      <c r="L9" s="120">
        <f>Prod[[#This Row],[S1Shot]]*Prod[[#This Row],[S1Cavity]]-Prod[[#This Row],[S1Dft]]</f>
        <v>10809</v>
      </c>
      <c r="M9" s="135">
        <f>SUM(Prod[[#This Row],[S1Mold]],Prod[[#This Row],[S1Print]],Prod[[#This Row],[S1Ovlp]],Prod[[#This Row],[S1Seam]],Prod[[#This Row],[S1Dmg]])</f>
        <v>135</v>
      </c>
      <c r="N9" s="140">
        <v>18.989999999999998</v>
      </c>
      <c r="O9" s="141">
        <v>6</v>
      </c>
      <c r="P9" s="120">
        <v>1241</v>
      </c>
      <c r="Q9" s="129">
        <v>8</v>
      </c>
      <c r="R9" s="120">
        <f>Prod[[#This Row],[S2Shot]]*Prod[[#This Row],[S2Cavity]]-Prod[[#This Row],[S2Dft]]</f>
        <v>9843</v>
      </c>
      <c r="S9" s="135">
        <f>SUM(Prod[[#This Row],[S2Mold]],Prod[[#This Row],[S2Print]],Prod[[#This Row],[S2Ovlp]],Prod[[#This Row],[S2Seam]],Prod[[#This Row],[S2Dmg]])</f>
        <v>85</v>
      </c>
      <c r="T9" s="140">
        <v>19.190000000000001</v>
      </c>
      <c r="U9" s="141">
        <v>8</v>
      </c>
      <c r="V9" s="120">
        <v>1255</v>
      </c>
      <c r="W9" s="129">
        <v>8</v>
      </c>
      <c r="X9" s="120">
        <f>Prod[[#This Row],[S3Shot]]*Prod[[#This Row],[S3Cavity]]-Prod[[#This Row],[S3Dft]]</f>
        <v>9915</v>
      </c>
      <c r="Y9" s="120">
        <f>SUM(Prod[[#This Row],[S3Mold]],Prod[[#This Row],[S3Print]],Prod[[#This Row],[S3Ovlp]],Prod[[#This Row],[S3Seam]],Prod[[#This Row],[S3Dmg]])</f>
        <v>125</v>
      </c>
      <c r="Z9" s="120">
        <f>SUM(Prod[[#This Row],[S1Qty]],Prod[[#This Row],[S2Qty]],Prod[[#This Row],[S3Qty]])</f>
        <v>30567</v>
      </c>
      <c r="AA9" s="120">
        <f>SUM(Prod[[#This Row],[S1Dft]],Prod[[#This Row],[S2Dft]],Prod[[#This Row],[S3Dft]])</f>
        <v>345</v>
      </c>
      <c r="AB9" s="121">
        <f>IF(Prod[[#This Row],[Total]]=0,0,Prod[[#This Row],[TotalDft]]/Prod[[#This Row],[Total]])</f>
        <v>1.1286681715575621E-2</v>
      </c>
      <c r="AC9" s="130"/>
      <c r="AD9" s="120">
        <v>25</v>
      </c>
      <c r="AE9" s="120">
        <v>10</v>
      </c>
      <c r="AF9" s="120">
        <v>20</v>
      </c>
      <c r="AG9" s="120">
        <v>110</v>
      </c>
      <c r="AH9" s="120">
        <v>75</v>
      </c>
      <c r="AI9" s="120">
        <v>105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1">
        <f>IF(Prod[[#This Row],[S1Hrs]]=0,0,Prod[[#This Row],[S1Shot]]*Prod[[#This Row],[S1Cycle]]/(Prod[[#This Row],[S1Hrs]]*60*60))</f>
        <v>0.90202499999999985</v>
      </c>
      <c r="AT9" s="131">
        <f>IF(Prod[[#This Row],[S2Hrs]]=0,0,Prod[[#This Row],[S2Shot]]*Prod[[#This Row],[S2Cycle]]/(Prod[[#This Row],[S2Hrs]]*60*60))</f>
        <v>1.0910458333333333</v>
      </c>
      <c r="AU9" s="131">
        <f>IF(Prod[[#This Row],[S3Hrs]]=0,0,Prod[[#This Row],[S3Shot]]*Prod[[#This Row],[S3Cycle]]/(Prod[[#This Row],[S3Hrs]]*60*60))</f>
        <v>0.83623090277777778</v>
      </c>
      <c r="AV9" s="131">
        <f>IFERROR(AVERAGEIF(Prod[[#This Row],[S1%]:[S3%]], "&lt;&gt;0"),0)</f>
        <v>0.94310057870370356</v>
      </c>
      <c r="AW9" s="131">
        <v>0</v>
      </c>
      <c r="AX9" s="131">
        <v>0</v>
      </c>
      <c r="AY9" s="131">
        <v>0</v>
      </c>
      <c r="AZ9" s="166">
        <f>IF(Prod[[#This Row],[S1Cycle]]&lt;&gt;0,1,0)</f>
        <v>1</v>
      </c>
      <c r="BA9" s="166">
        <f>IF(Prod[[#This Row],[S2Cycle]]&lt;&gt;0,1,0)</f>
        <v>1</v>
      </c>
      <c r="BB9" s="166">
        <f>IF(Prod[[#This Row],[S3Cycle]]&lt;&gt;0,1,0)</f>
        <v>1</v>
      </c>
      <c r="BC9" s="166">
        <f>MAX(Prod[[#This Row],[S1Cavity]],Prod[[#This Row],[S2Cavity]],Prod[[#This Row],[S3Cavity]])</f>
        <v>8</v>
      </c>
      <c r="BD9" s="166" t="b">
        <f>RegExpMatch(Prod[[#This Row],[MoldNo]], "^DW-(B|C)")</f>
        <v>1</v>
      </c>
    </row>
    <row r="10" spans="1:56" x14ac:dyDescent="0.2">
      <c r="A10" s="117">
        <v>45413</v>
      </c>
      <c r="B10" s="120" t="s">
        <v>175</v>
      </c>
      <c r="C10" s="119" t="s">
        <v>178</v>
      </c>
      <c r="D10" s="130" t="s">
        <v>196</v>
      </c>
      <c r="E10" s="130" t="s">
        <v>191</v>
      </c>
      <c r="F10" s="119">
        <v>814</v>
      </c>
      <c r="G10" s="119" t="str">
        <f>IF(OR(Prod[[#This Row],[S1Hrs]]&gt;0,Prod[[#This Row],[S2Hrs]]&gt;0,Prod[[#This Row],[S3Hrs]]&gt;0),"Running","Down")</f>
        <v>Running</v>
      </c>
      <c r="H10" s="140">
        <v>0</v>
      </c>
      <c r="I10" s="141">
        <v>0</v>
      </c>
      <c r="J10" s="120">
        <v>0</v>
      </c>
      <c r="K10" s="129">
        <v>0</v>
      </c>
      <c r="L10" s="120">
        <f>Prod[[#This Row],[S1Shot]]*Prod[[#This Row],[S1Cavity]]-Prod[[#This Row],[S1Dft]]</f>
        <v>0</v>
      </c>
      <c r="M10" s="135">
        <f>SUM(Prod[[#This Row],[S1Mold]],Prod[[#This Row],[S1Print]],Prod[[#This Row],[S1Ovlp]],Prod[[#This Row],[S1Seam]],Prod[[#This Row],[S1Dmg]])</f>
        <v>0</v>
      </c>
      <c r="N10" s="140">
        <v>18.989999999999998</v>
      </c>
      <c r="O10" s="141">
        <v>2</v>
      </c>
      <c r="P10" s="120">
        <v>396</v>
      </c>
      <c r="Q10" s="129">
        <v>8</v>
      </c>
      <c r="R10" s="120">
        <f>Prod[[#This Row],[S2Shot]]*Prod[[#This Row],[S2Cavity]]-Prod[[#This Row],[S2Dft]]</f>
        <v>3133</v>
      </c>
      <c r="S10" s="135">
        <f>SUM(Prod[[#This Row],[S2Mold]],Prod[[#This Row],[S2Print]],Prod[[#This Row],[S2Ovlp]],Prod[[#This Row],[S2Seam]],Prod[[#This Row],[S2Dmg]])</f>
        <v>35</v>
      </c>
      <c r="T10" s="140">
        <v>0</v>
      </c>
      <c r="U10" s="141">
        <v>0</v>
      </c>
      <c r="V10" s="120">
        <v>0</v>
      </c>
      <c r="W10" s="129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3133</v>
      </c>
      <c r="AA10" s="120">
        <f>SUM(Prod[[#This Row],[S1Dft]],Prod[[#This Row],[S2Dft]],Prod[[#This Row],[S3Dft]])</f>
        <v>35</v>
      </c>
      <c r="AB10" s="121">
        <f>IF(Prod[[#This Row],[Total]]=0,0,Prod[[#This Row],[TotalDft]]/Prod[[#This Row],[Total]])</f>
        <v>1.1171401212894989E-2</v>
      </c>
      <c r="AC10" s="130" t="s">
        <v>201</v>
      </c>
      <c r="AD10" s="120">
        <v>0</v>
      </c>
      <c r="AE10" s="120">
        <v>15</v>
      </c>
      <c r="AF10" s="120">
        <v>0</v>
      </c>
      <c r="AG10" s="120">
        <v>0</v>
      </c>
      <c r="AH10" s="120">
        <v>20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1">
        <f>IF(Prod[[#This Row],[S1Hrs]]=0,0,Prod[[#This Row],[S1Shot]]*Prod[[#This Row],[S1Cycle]]/(Prod[[#This Row],[S1Hrs]]*60*60))</f>
        <v>0</v>
      </c>
      <c r="AT10" s="131">
        <f>IF(Prod[[#This Row],[S2Hrs]]=0,0,Prod[[#This Row],[S2Shot]]*Prod[[#This Row],[S2Cycle]]/(Prod[[#This Row],[S2Hrs]]*60*60))</f>
        <v>1.0444499999999999</v>
      </c>
      <c r="AU10" s="131">
        <f>IF(Prod[[#This Row],[S3Hrs]]=0,0,Prod[[#This Row],[S3Shot]]*Prod[[#This Row],[S3Cycle]]/(Prod[[#This Row],[S3Hrs]]*60*60))</f>
        <v>0</v>
      </c>
      <c r="AV10" s="131">
        <f>IFERROR(AVERAGEIF(Prod[[#This Row],[S1%]:[S3%]], "&lt;&gt;0"),0)</f>
        <v>1.0444499999999999</v>
      </c>
      <c r="AW10" s="131">
        <v>0</v>
      </c>
      <c r="AX10" s="131">
        <v>0</v>
      </c>
      <c r="AY10" s="131">
        <v>0</v>
      </c>
      <c r="AZ10" s="166">
        <f>IF(Prod[[#This Row],[S1Cycle]]&lt;&gt;0,1,0)</f>
        <v>0</v>
      </c>
      <c r="BA10" s="166">
        <f>IF(Prod[[#This Row],[S2Cycle]]&lt;&gt;0,1,0)</f>
        <v>1</v>
      </c>
      <c r="BB10" s="166">
        <f>IF(Prod[[#This Row],[S3Cycle]]&lt;&gt;0,1,0)</f>
        <v>0</v>
      </c>
      <c r="BC10" s="166">
        <f>MAX(Prod[[#This Row],[S1Cavity]],Prod[[#This Row],[S2Cavity]],Prod[[#This Row],[S3Cavity]])</f>
        <v>8</v>
      </c>
      <c r="BD10" s="166" t="b">
        <f>RegExpMatch(Prod[[#This Row],[MoldNo]], "^DW-(B|C)")</f>
        <v>1</v>
      </c>
    </row>
    <row r="11" spans="1:56" x14ac:dyDescent="0.2">
      <c r="A11" s="117">
        <v>45413</v>
      </c>
      <c r="B11" s="120" t="s">
        <v>177</v>
      </c>
      <c r="C11" s="119" t="s">
        <v>176</v>
      </c>
      <c r="D11" s="130" t="s">
        <v>196</v>
      </c>
      <c r="E11" s="130" t="s">
        <v>191</v>
      </c>
      <c r="F11" s="119">
        <v>814</v>
      </c>
      <c r="G11" s="119" t="str">
        <f>IF(OR(Prod[[#This Row],[S1Hrs]]&gt;0,Prod[[#This Row],[S2Hrs]]&gt;0,Prod[[#This Row],[S3Hrs]]&gt;0),"Running","Down")</f>
        <v>Running</v>
      </c>
      <c r="H11" s="140">
        <v>25.78</v>
      </c>
      <c r="I11" s="141">
        <v>8</v>
      </c>
      <c r="J11" s="120">
        <v>1018</v>
      </c>
      <c r="K11" s="129">
        <v>8</v>
      </c>
      <c r="L11" s="120">
        <f>Prod[[#This Row],[S1Shot]]*Prod[[#This Row],[S1Cavity]]-Prod[[#This Row],[S1Dft]]</f>
        <v>8044</v>
      </c>
      <c r="M11" s="135">
        <f>SUM(Prod[[#This Row],[S1Mold]],Prod[[#This Row],[S1Print]],Prod[[#This Row],[S1Ovlp]],Prod[[#This Row],[S1Seam]],Prod[[#This Row],[S1Dmg]])</f>
        <v>100</v>
      </c>
      <c r="N11" s="140">
        <v>25.78</v>
      </c>
      <c r="O11" s="141">
        <v>8</v>
      </c>
      <c r="P11" s="120">
        <v>1198</v>
      </c>
      <c r="Q11" s="129">
        <v>8</v>
      </c>
      <c r="R11" s="120">
        <f>Prod[[#This Row],[S2Shot]]*Prod[[#This Row],[S2Cavity]]-Prod[[#This Row],[S2Dft]]</f>
        <v>9489</v>
      </c>
      <c r="S11" s="135">
        <f>SUM(Prod[[#This Row],[S2Mold]],Prod[[#This Row],[S2Print]],Prod[[#This Row],[S2Ovlp]],Prod[[#This Row],[S2Seam]],Prod[[#This Row],[S2Dmg]])</f>
        <v>95</v>
      </c>
      <c r="T11" s="140">
        <v>25.78</v>
      </c>
      <c r="U11" s="141">
        <v>8</v>
      </c>
      <c r="V11" s="120">
        <v>1007</v>
      </c>
      <c r="W11" s="129">
        <v>8</v>
      </c>
      <c r="X11" s="120">
        <f>Prod[[#This Row],[S3Shot]]*Prod[[#This Row],[S3Cavity]]-Prod[[#This Row],[S3Dft]]</f>
        <v>7956</v>
      </c>
      <c r="Y11" s="120">
        <f>SUM(Prod[[#This Row],[S3Mold]],Prod[[#This Row],[S3Print]],Prod[[#This Row],[S3Ovlp]],Prod[[#This Row],[S3Seam]],Prod[[#This Row],[S3Dmg]])</f>
        <v>100</v>
      </c>
      <c r="Z11" s="120">
        <f>SUM(Prod[[#This Row],[S1Qty]],Prod[[#This Row],[S2Qty]],Prod[[#This Row],[S3Qty]])</f>
        <v>25489</v>
      </c>
      <c r="AA11" s="120">
        <f>SUM(Prod[[#This Row],[S1Dft]],Prod[[#This Row],[S2Dft]],Prod[[#This Row],[S3Dft]])</f>
        <v>295</v>
      </c>
      <c r="AB11" s="121">
        <f>IF(Prod[[#This Row],[Total]]=0,0,Prod[[#This Row],[TotalDft]]/Prod[[#This Row],[Total]])</f>
        <v>1.157361999293813E-2</v>
      </c>
      <c r="AC11" s="118"/>
      <c r="AD11" s="120">
        <v>15</v>
      </c>
      <c r="AE11" s="120">
        <v>15</v>
      </c>
      <c r="AF11" s="120">
        <v>20</v>
      </c>
      <c r="AG11" s="120">
        <v>85</v>
      </c>
      <c r="AH11" s="120">
        <v>80</v>
      </c>
      <c r="AI11" s="120">
        <v>80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31">
        <f>IF(Prod[[#This Row],[S1Hrs]]=0,0,Prod[[#This Row],[S1Shot]]*Prod[[#This Row],[S1Cycle]]/(Prod[[#This Row],[S1Hrs]]*60*60))</f>
        <v>0.9112513888888889</v>
      </c>
      <c r="AT11" s="131">
        <f>IF(Prod[[#This Row],[S2Hrs]]=0,0,Prod[[#This Row],[S2Shot]]*Prod[[#This Row],[S2Cycle]]/(Prod[[#This Row],[S2Hrs]]*60*60))</f>
        <v>1.0723763888888889</v>
      </c>
      <c r="AU11" s="131">
        <f>IF(Prod[[#This Row],[S3Hrs]]=0,0,Prod[[#This Row],[S3Shot]]*Prod[[#This Row],[S3Cycle]]/(Prod[[#This Row],[S3Hrs]]*60*60))</f>
        <v>0.90140486111111118</v>
      </c>
      <c r="AV11" s="131">
        <f>IFERROR(AVERAGEIF(Prod[[#This Row],[S1%]:[S3%]], "&lt;&gt;0"),0)</f>
        <v>0.96167754629629643</v>
      </c>
      <c r="AW11" s="131">
        <v>0</v>
      </c>
      <c r="AX11" s="131">
        <v>0</v>
      </c>
      <c r="AY11" s="131">
        <v>0</v>
      </c>
      <c r="AZ11" s="166">
        <f>IF(Prod[[#This Row],[S1Cycle]]&lt;&gt;0,1,0)</f>
        <v>1</v>
      </c>
      <c r="BA11" s="166">
        <f>IF(Prod[[#This Row],[S2Cycle]]&lt;&gt;0,1,0)</f>
        <v>1</v>
      </c>
      <c r="BB11" s="166">
        <f>IF(Prod[[#This Row],[S3Cycle]]&lt;&gt;0,1,0)</f>
        <v>1</v>
      </c>
      <c r="BC11" s="166">
        <f>MAX(Prod[[#This Row],[S1Cavity]],Prod[[#This Row],[S2Cavity]],Prod[[#This Row],[S3Cavity]])</f>
        <v>8</v>
      </c>
      <c r="BD11" s="166" t="b">
        <f>RegExpMatch(Prod[[#This Row],[MoldNo]], "^DW-(B|C)")</f>
        <v>1</v>
      </c>
    </row>
    <row r="12" spans="1:56" x14ac:dyDescent="0.2">
      <c r="A12" s="117">
        <v>45413</v>
      </c>
      <c r="B12" s="129" t="s">
        <v>186</v>
      </c>
      <c r="C12" s="130" t="s">
        <v>188</v>
      </c>
      <c r="D12" s="130" t="s">
        <v>197</v>
      </c>
      <c r="E12" s="130" t="s">
        <v>191</v>
      </c>
      <c r="F12" s="119">
        <v>814</v>
      </c>
      <c r="G12" s="119" t="str">
        <f>IF(OR(Prod[[#This Row],[S1Hrs]]&gt;0,Prod[[#This Row],[S2Hrs]]&gt;0,Prod[[#This Row],[S3Hrs]]&gt;0),"Running","Down")</f>
        <v>Running</v>
      </c>
      <c r="H12" s="140">
        <v>23.19</v>
      </c>
      <c r="I12" s="141">
        <v>6.5</v>
      </c>
      <c r="J12" s="120">
        <v>993</v>
      </c>
      <c r="K12" s="129">
        <v>8</v>
      </c>
      <c r="L12" s="120">
        <f>Prod[[#This Row],[S1Shot]]*Prod[[#This Row],[S1Cavity]]-Prod[[#This Row],[S1Dft]]</f>
        <v>7859</v>
      </c>
      <c r="M12" s="135">
        <f>SUM(Prod[[#This Row],[S1Mold]],Prod[[#This Row],[S1Print]],Prod[[#This Row],[S1Ovlp]],Prod[[#This Row],[S1Seam]],Prod[[#This Row],[S1Dmg]])</f>
        <v>85</v>
      </c>
      <c r="N12" s="140">
        <v>0</v>
      </c>
      <c r="O12" s="141">
        <v>0</v>
      </c>
      <c r="P12" s="120">
        <v>0</v>
      </c>
      <c r="Q12" s="129">
        <v>0</v>
      </c>
      <c r="R12" s="120">
        <f>Prod[[#This Row],[S2Shot]]*Prod[[#This Row],[S2Cavity]]-Prod[[#This Row],[S2Dft]]</f>
        <v>0</v>
      </c>
      <c r="S12" s="135">
        <f>SUM(Prod[[#This Row],[S2Mold]],Prod[[#This Row],[S2Print]],Prod[[#This Row],[S2Ovlp]],Prod[[#This Row],[S2Seam]],Prod[[#This Row],[S2Dmg]])</f>
        <v>0</v>
      </c>
      <c r="T12" s="140">
        <v>0</v>
      </c>
      <c r="U12" s="141">
        <v>0</v>
      </c>
      <c r="V12" s="120">
        <v>0</v>
      </c>
      <c r="W12" s="129">
        <v>0</v>
      </c>
      <c r="X12" s="120">
        <f>Prod[[#This Row],[S3Shot]]*Prod[[#This Row],[S3Cavity]]-Prod[[#This Row],[S3Dft]]</f>
        <v>0</v>
      </c>
      <c r="Y12" s="120">
        <f>SUM(Prod[[#This Row],[S3Mold]],Prod[[#This Row],[S3Print]],Prod[[#This Row],[S3Ovlp]],Prod[[#This Row],[S3Seam]],Prod[[#This Row],[S3Dmg]])</f>
        <v>0</v>
      </c>
      <c r="Z12" s="120">
        <f>SUM(Prod[[#This Row],[S1Qty]],Prod[[#This Row],[S2Qty]],Prod[[#This Row],[S3Qty]])</f>
        <v>7859</v>
      </c>
      <c r="AA12" s="120">
        <f>SUM(Prod[[#This Row],[S1Dft]],Prod[[#This Row],[S2Dft]],Prod[[#This Row],[S3Dft]])</f>
        <v>85</v>
      </c>
      <c r="AB12" s="121">
        <f>IF(Prod[[#This Row],[Total]]=0,0,Prod[[#This Row],[TotalDft]]/Prod[[#This Row],[Total]])</f>
        <v>1.0815625397633286E-2</v>
      </c>
      <c r="AC12" s="130"/>
      <c r="AD12" s="120">
        <v>10</v>
      </c>
      <c r="AE12" s="120">
        <v>0</v>
      </c>
      <c r="AF12" s="120">
        <v>0</v>
      </c>
      <c r="AG12" s="120">
        <v>75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31">
        <f>IF(Prod[[#This Row],[S1Hrs]]=0,0,Prod[[#This Row],[S1Shot]]*Prod[[#This Row],[S1Cycle]]/(Prod[[#This Row],[S1Hrs]]*60*60))</f>
        <v>0.98408846153846163</v>
      </c>
      <c r="AT12" s="131">
        <f>IF(Prod[[#This Row],[S2Hrs]]=0,0,Prod[[#This Row],[S2Shot]]*Prod[[#This Row],[S2Cycle]]/(Prod[[#This Row],[S2Hrs]]*60*60))</f>
        <v>0</v>
      </c>
      <c r="AU12" s="131">
        <f>IF(Prod[[#This Row],[S3Hrs]]=0,0,Prod[[#This Row],[S3Shot]]*Prod[[#This Row],[S3Cycle]]/(Prod[[#This Row],[S3Hrs]]*60*60))</f>
        <v>0</v>
      </c>
      <c r="AV12" s="131">
        <f>IFERROR(AVERAGEIF(Prod[[#This Row],[S1%]:[S3%]], "&lt;&gt;0"),0)</f>
        <v>0.98408846153846163</v>
      </c>
      <c r="AW12" s="131">
        <v>0</v>
      </c>
      <c r="AX12" s="131">
        <v>0</v>
      </c>
      <c r="AY12" s="131">
        <v>0</v>
      </c>
      <c r="AZ12" s="166">
        <f>IF(Prod[[#This Row],[S1Cycle]]&lt;&gt;0,1,0)</f>
        <v>1</v>
      </c>
      <c r="BA12" s="166">
        <f>IF(Prod[[#This Row],[S2Cycle]]&lt;&gt;0,1,0)</f>
        <v>0</v>
      </c>
      <c r="BB12" s="166">
        <f>IF(Prod[[#This Row],[S3Cycle]]&lt;&gt;0,1,0)</f>
        <v>0</v>
      </c>
      <c r="BC12" s="166">
        <f>MAX(Prod[[#This Row],[S1Cavity]],Prod[[#This Row],[S2Cavity]],Prod[[#This Row],[S3Cavity]])</f>
        <v>8</v>
      </c>
      <c r="BD12" s="166" t="b">
        <f>RegExpMatch(Prod[[#This Row],[MoldNo]], "^DW-(B|C)")</f>
        <v>1</v>
      </c>
    </row>
    <row r="13" spans="1:56" x14ac:dyDescent="0.2">
      <c r="A13" s="117">
        <v>45413</v>
      </c>
      <c r="B13" s="129" t="s">
        <v>186</v>
      </c>
      <c r="C13" s="130" t="s">
        <v>188</v>
      </c>
      <c r="D13" s="130" t="s">
        <v>194</v>
      </c>
      <c r="E13" s="130" t="s">
        <v>191</v>
      </c>
      <c r="F13" s="119">
        <v>814</v>
      </c>
      <c r="G13" s="119" t="str">
        <f>IF(OR(Prod[[#This Row],[S1Hrs]]&gt;0,Prod[[#This Row],[S2Hrs]]&gt;0,Prod[[#This Row],[S3Hrs]]&gt;0),"Running","Down")</f>
        <v>Running</v>
      </c>
      <c r="H13" s="140">
        <v>23.19</v>
      </c>
      <c r="I13" s="141">
        <v>1.5</v>
      </c>
      <c r="J13" s="120">
        <v>228</v>
      </c>
      <c r="K13" s="129">
        <v>8</v>
      </c>
      <c r="L13" s="120">
        <f>Prod[[#This Row],[S1Shot]]*Prod[[#This Row],[S1Cavity]]-Prod[[#This Row],[S1Dft]]</f>
        <v>1784</v>
      </c>
      <c r="M13" s="135">
        <f>SUM(Prod[[#This Row],[S1Mold]],Prod[[#This Row],[S1Print]],Prod[[#This Row],[S1Ovlp]],Prod[[#This Row],[S1Seam]],Prod[[#This Row],[S1Dmg]])</f>
        <v>40</v>
      </c>
      <c r="N13" s="140">
        <v>22.99</v>
      </c>
      <c r="O13" s="141">
        <v>8</v>
      </c>
      <c r="P13" s="120">
        <v>1305</v>
      </c>
      <c r="Q13" s="129">
        <v>8</v>
      </c>
      <c r="R13" s="120">
        <f>Prod[[#This Row],[S2Shot]]*Prod[[#This Row],[S2Cavity]]-Prod[[#This Row],[S2Dft]]</f>
        <v>10335</v>
      </c>
      <c r="S13" s="135">
        <f>SUM(Prod[[#This Row],[S2Mold]],Prod[[#This Row],[S2Print]],Prod[[#This Row],[S2Ovlp]],Prod[[#This Row],[S2Seam]],Prod[[#This Row],[S2Dmg]])</f>
        <v>105</v>
      </c>
      <c r="T13" s="140">
        <v>23.09</v>
      </c>
      <c r="U13" s="141">
        <v>8</v>
      </c>
      <c r="V13" s="120">
        <v>1162</v>
      </c>
      <c r="W13" s="129">
        <v>8</v>
      </c>
      <c r="X13" s="120">
        <f>Prod[[#This Row],[S3Shot]]*Prod[[#This Row],[S3Cavity]]-Prod[[#This Row],[S3Dft]]</f>
        <v>9196</v>
      </c>
      <c r="Y13" s="120">
        <f>SUM(Prod[[#This Row],[S3Mold]],Prod[[#This Row],[S3Print]],Prod[[#This Row],[S3Ovlp]],Prod[[#This Row],[S3Seam]],Prod[[#This Row],[S3Dmg]])</f>
        <v>100</v>
      </c>
      <c r="Z13" s="120">
        <f>SUM(Prod[[#This Row],[S1Qty]],Prod[[#This Row],[S2Qty]],Prod[[#This Row],[S3Qty]])</f>
        <v>21315</v>
      </c>
      <c r="AA13" s="120">
        <f>SUM(Prod[[#This Row],[S1Dft]],Prod[[#This Row],[S2Dft]],Prod[[#This Row],[S3Dft]])</f>
        <v>245</v>
      </c>
      <c r="AB13" s="121">
        <f>IF(Prod[[#This Row],[Total]]=0,0,Prod[[#This Row],[TotalDft]]/Prod[[#This Row],[Total]])</f>
        <v>1.1494252873563218E-2</v>
      </c>
      <c r="AC13" s="130" t="s">
        <v>202</v>
      </c>
      <c r="AD13" s="120">
        <v>5</v>
      </c>
      <c r="AE13" s="120">
        <v>25</v>
      </c>
      <c r="AF13" s="120">
        <v>20</v>
      </c>
      <c r="AG13" s="120">
        <v>35</v>
      </c>
      <c r="AH13" s="120">
        <v>80</v>
      </c>
      <c r="AI13" s="120">
        <v>80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31">
        <f>IF(Prod[[#This Row],[S1Hrs]]=0,0,Prod[[#This Row],[S1Shot]]*Prod[[#This Row],[S1Cycle]]/(Prod[[#This Row],[S1Hrs]]*60*60))</f>
        <v>0.97913333333333341</v>
      </c>
      <c r="AT13" s="131">
        <f>IF(Prod[[#This Row],[S2Hrs]]=0,0,Prod[[#This Row],[S2Shot]]*Prod[[#This Row],[S2Cycle]]/(Prod[[#This Row],[S2Hrs]]*60*60))</f>
        <v>1.0417343749999999</v>
      </c>
      <c r="AU13" s="131">
        <f>IF(Prod[[#This Row],[S3Hrs]]=0,0,Prod[[#This Row],[S3Shot]]*Prod[[#This Row],[S3Cycle]]/(Prod[[#This Row],[S3Hrs]]*60*60))</f>
        <v>0.93161736111111104</v>
      </c>
      <c r="AV13" s="131">
        <f>IFERROR(AVERAGEIF(Prod[[#This Row],[S1%]:[S3%]], "&lt;&gt;0"),0)</f>
        <v>0.98416168981481478</v>
      </c>
      <c r="AW13" s="131">
        <v>0</v>
      </c>
      <c r="AX13" s="131">
        <v>0</v>
      </c>
      <c r="AY13" s="131">
        <v>0</v>
      </c>
      <c r="AZ13" s="166">
        <f>IF(Prod[[#This Row],[S1Cycle]]&lt;&gt;0,1,0)</f>
        <v>1</v>
      </c>
      <c r="BA13" s="166">
        <f>IF(Prod[[#This Row],[S2Cycle]]&lt;&gt;0,1,0)</f>
        <v>1</v>
      </c>
      <c r="BB13" s="166">
        <f>IF(Prod[[#This Row],[S3Cycle]]&lt;&gt;0,1,0)</f>
        <v>1</v>
      </c>
      <c r="BC13" s="166">
        <f>MAX(Prod[[#This Row],[S1Cavity]],Prod[[#This Row],[S2Cavity]],Prod[[#This Row],[S3Cavity]])</f>
        <v>8</v>
      </c>
      <c r="BD13" s="166" t="b">
        <f>RegExpMatch(Prod[[#This Row],[MoldNo]], "^DW-(B|C)")</f>
        <v>1</v>
      </c>
    </row>
    <row r="14" spans="1:56" x14ac:dyDescent="0.2">
      <c r="A14" s="117">
        <v>45413</v>
      </c>
      <c r="B14" s="129" t="s">
        <v>187</v>
      </c>
      <c r="C14" s="130" t="s">
        <v>189</v>
      </c>
      <c r="D14" s="130" t="s">
        <v>197</v>
      </c>
      <c r="E14" s="130" t="s">
        <v>191</v>
      </c>
      <c r="F14" s="119">
        <v>814</v>
      </c>
      <c r="G14" s="119" t="str">
        <f>IF(OR(Prod[[#This Row],[S1Hrs]]&gt;0,Prod[[#This Row],[S2Hrs]]&gt;0,Prod[[#This Row],[S3Hrs]]&gt;0),"Running","Down")</f>
        <v>Running</v>
      </c>
      <c r="H14" s="140">
        <v>21.99</v>
      </c>
      <c r="I14" s="141">
        <v>8</v>
      </c>
      <c r="J14" s="120">
        <v>1317</v>
      </c>
      <c r="K14" s="129">
        <v>8</v>
      </c>
      <c r="L14" s="120">
        <f>Prod[[#This Row],[S1Shot]]*Prod[[#This Row],[S1Cavity]]-Prod[[#This Row],[S1Dft]]</f>
        <v>10416</v>
      </c>
      <c r="M14" s="135">
        <f>SUM(Prod[[#This Row],[S1Mold]],Prod[[#This Row],[S1Print]],Prod[[#This Row],[S1Ovlp]],Prod[[#This Row],[S1Seam]],Prod[[#This Row],[S1Dmg]])</f>
        <v>120</v>
      </c>
      <c r="N14" s="140">
        <v>22.09</v>
      </c>
      <c r="O14" s="141">
        <v>5</v>
      </c>
      <c r="P14" s="120">
        <v>876</v>
      </c>
      <c r="Q14" s="129">
        <v>8</v>
      </c>
      <c r="R14" s="120">
        <f>Prod[[#This Row],[S2Shot]]*Prod[[#This Row],[S2Cavity]]-Prod[[#This Row],[S2Dft]]</f>
        <v>6933</v>
      </c>
      <c r="S14" s="135">
        <f>SUM(Prod[[#This Row],[S2Mold]],Prod[[#This Row],[S2Print]],Prod[[#This Row],[S2Ovlp]],Prod[[#This Row],[S2Seam]],Prod[[#This Row],[S2Dmg]])</f>
        <v>75</v>
      </c>
      <c r="T14" s="140">
        <v>0</v>
      </c>
      <c r="U14" s="141">
        <v>0</v>
      </c>
      <c r="V14" s="120">
        <v>0</v>
      </c>
      <c r="W14" s="129">
        <v>0</v>
      </c>
      <c r="X14" s="120">
        <f>Prod[[#This Row],[S3Shot]]*Prod[[#This Row],[S3Cavity]]-Prod[[#This Row],[S3Dft]]</f>
        <v>0</v>
      </c>
      <c r="Y14" s="120">
        <f>SUM(Prod[[#This Row],[S3Mold]],Prod[[#This Row],[S3Print]],Prod[[#This Row],[S3Ovlp]],Prod[[#This Row],[S3Seam]],Prod[[#This Row],[S3Dmg]])</f>
        <v>0</v>
      </c>
      <c r="Z14" s="120">
        <f>SUM(Prod[[#This Row],[S1Qty]],Prod[[#This Row],[S2Qty]],Prod[[#This Row],[S3Qty]])</f>
        <v>17349</v>
      </c>
      <c r="AA14" s="120">
        <f>SUM(Prod[[#This Row],[S1Dft]],Prod[[#This Row],[S2Dft]],Prod[[#This Row],[S3Dft]])</f>
        <v>195</v>
      </c>
      <c r="AB14" s="121">
        <f>IF(Prod[[#This Row],[Total]]=0,0,Prod[[#This Row],[TotalDft]]/Prod[[#This Row],[Total]])</f>
        <v>1.1239840913020924E-2</v>
      </c>
      <c r="AC14" s="118"/>
      <c r="AD14" s="120">
        <v>25</v>
      </c>
      <c r="AE14" s="120">
        <v>10</v>
      </c>
      <c r="AF14" s="120">
        <v>0</v>
      </c>
      <c r="AG14" s="120">
        <v>95</v>
      </c>
      <c r="AH14" s="120">
        <v>65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31">
        <f>IF(Prod[[#This Row],[S1Hrs]]=0,0,Prod[[#This Row],[S1Shot]]*Prod[[#This Row],[S1Cycle]]/(Prod[[#This Row],[S1Hrs]]*60*60))</f>
        <v>1.005584375</v>
      </c>
      <c r="AT14" s="131">
        <f>IF(Prod[[#This Row],[S2Hrs]]=0,0,Prod[[#This Row],[S2Shot]]*Prod[[#This Row],[S2Cycle]]/(Prod[[#This Row],[S2Hrs]]*60*60))</f>
        <v>1.0750466666666667</v>
      </c>
      <c r="AU14" s="131">
        <f>IF(Prod[[#This Row],[S3Hrs]]=0,0,Prod[[#This Row],[S3Shot]]*Prod[[#This Row],[S3Cycle]]/(Prod[[#This Row],[S3Hrs]]*60*60))</f>
        <v>0</v>
      </c>
      <c r="AV14" s="131">
        <f>IFERROR(AVERAGEIF(Prod[[#This Row],[S1%]:[S3%]], "&lt;&gt;0"),0)</f>
        <v>1.0403155208333335</v>
      </c>
      <c r="AW14" s="131">
        <v>0</v>
      </c>
      <c r="AX14" s="131">
        <v>0</v>
      </c>
      <c r="AY14" s="131">
        <v>0</v>
      </c>
      <c r="AZ14" s="166">
        <f>IF(Prod[[#This Row],[S1Cycle]]&lt;&gt;0,1,0)</f>
        <v>1</v>
      </c>
      <c r="BA14" s="166">
        <f>IF(Prod[[#This Row],[S2Cycle]]&lt;&gt;0,1,0)</f>
        <v>1</v>
      </c>
      <c r="BB14" s="166">
        <f>IF(Prod[[#This Row],[S3Cycle]]&lt;&gt;0,1,0)</f>
        <v>0</v>
      </c>
      <c r="BC14" s="166">
        <f>MAX(Prod[[#This Row],[S1Cavity]],Prod[[#This Row],[S2Cavity]],Prod[[#This Row],[S3Cavity]])</f>
        <v>8</v>
      </c>
      <c r="BD14" s="166" t="b">
        <f>RegExpMatch(Prod[[#This Row],[MoldNo]], "^DW-(B|C)")</f>
        <v>1</v>
      </c>
    </row>
    <row r="15" spans="1:56" x14ac:dyDescent="0.2">
      <c r="A15" s="117">
        <v>45413</v>
      </c>
      <c r="B15" s="129" t="s">
        <v>187</v>
      </c>
      <c r="C15" s="130" t="s">
        <v>189</v>
      </c>
      <c r="D15" s="130" t="s">
        <v>194</v>
      </c>
      <c r="E15" s="130" t="s">
        <v>191</v>
      </c>
      <c r="F15" s="119">
        <v>814</v>
      </c>
      <c r="G15" s="119" t="str">
        <f>IF(OR(Prod[[#This Row],[S1Hrs]]&gt;0,Prod[[#This Row],[S2Hrs]]&gt;0,Prod[[#This Row],[S3Hrs]]&gt;0),"Running","Down")</f>
        <v>Running</v>
      </c>
      <c r="H15" s="140">
        <v>0</v>
      </c>
      <c r="I15" s="141">
        <v>0</v>
      </c>
      <c r="J15" s="120">
        <v>0</v>
      </c>
      <c r="K15" s="129">
        <v>0</v>
      </c>
      <c r="L15" s="120">
        <f>Prod[[#This Row],[S1Shot]]*Prod[[#This Row],[S1Cavity]]-Prod[[#This Row],[S1Dft]]</f>
        <v>0</v>
      </c>
      <c r="M15" s="135">
        <f>SUM(Prod[[#This Row],[S1Mold]],Prod[[#This Row],[S1Print]],Prod[[#This Row],[S1Ovlp]],Prod[[#This Row],[S1Seam]],Prod[[#This Row],[S1Dmg]])</f>
        <v>0</v>
      </c>
      <c r="N15" s="140">
        <v>22.09</v>
      </c>
      <c r="O15" s="141">
        <v>3</v>
      </c>
      <c r="P15" s="120">
        <v>501</v>
      </c>
      <c r="Q15" s="129">
        <v>8</v>
      </c>
      <c r="R15" s="120">
        <f>Prod[[#This Row],[S2Shot]]*Prod[[#This Row],[S2Cavity]]-Prod[[#This Row],[S2Dft]]</f>
        <v>3963</v>
      </c>
      <c r="S15" s="135">
        <f>SUM(Prod[[#This Row],[S2Mold]],Prod[[#This Row],[S2Print]],Prod[[#This Row],[S2Ovlp]],Prod[[#This Row],[S2Seam]],Prod[[#This Row],[S2Dmg]])</f>
        <v>45</v>
      </c>
      <c r="T15" s="140">
        <v>22</v>
      </c>
      <c r="U15" s="141">
        <v>8</v>
      </c>
      <c r="V15" s="120">
        <v>1204</v>
      </c>
      <c r="W15" s="129">
        <v>8</v>
      </c>
      <c r="X15" s="120">
        <f>Prod[[#This Row],[S3Shot]]*Prod[[#This Row],[S3Cavity]]-Prod[[#This Row],[S3Dft]]</f>
        <v>9522</v>
      </c>
      <c r="Y15" s="120">
        <f>SUM(Prod[[#This Row],[S3Mold]],Prod[[#This Row],[S3Print]],Prod[[#This Row],[S3Ovlp]],Prod[[#This Row],[S3Seam]],Prod[[#This Row],[S3Dmg]])</f>
        <v>110</v>
      </c>
      <c r="Z15" s="120">
        <f>SUM(Prod[[#This Row],[S1Qty]],Prod[[#This Row],[S2Qty]],Prod[[#This Row],[S3Qty]])</f>
        <v>13485</v>
      </c>
      <c r="AA15" s="120">
        <f>SUM(Prod[[#This Row],[S1Dft]],Prod[[#This Row],[S2Dft]],Prod[[#This Row],[S3Dft]])</f>
        <v>155</v>
      </c>
      <c r="AB15" s="121">
        <f>IF(Prod[[#This Row],[Total]]=0,0,Prod[[#This Row],[TotalDft]]/Prod[[#This Row],[Total]])</f>
        <v>1.1494252873563218E-2</v>
      </c>
      <c r="AC15" s="130" t="s">
        <v>203</v>
      </c>
      <c r="AD15" s="120">
        <v>0</v>
      </c>
      <c r="AE15" s="120">
        <v>10</v>
      </c>
      <c r="AF15" s="120">
        <v>0</v>
      </c>
      <c r="AG15" s="120">
        <v>0</v>
      </c>
      <c r="AH15" s="120">
        <v>35</v>
      </c>
      <c r="AI15" s="120">
        <v>110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1">
        <f>IF(Prod[[#This Row],[S1Hrs]]=0,0,Prod[[#This Row],[S1Shot]]*Prod[[#This Row],[S1Cycle]]/(Prod[[#This Row],[S1Hrs]]*60*60))</f>
        <v>0</v>
      </c>
      <c r="AT15" s="131">
        <f>IF(Prod[[#This Row],[S2Hrs]]=0,0,Prod[[#This Row],[S2Shot]]*Prod[[#This Row],[S2Cycle]]/(Prod[[#This Row],[S2Hrs]]*60*60))</f>
        <v>1.0247305555555555</v>
      </c>
      <c r="AU15" s="131">
        <f>IF(Prod[[#This Row],[S3Hrs]]=0,0,Prod[[#This Row],[S3Shot]]*Prod[[#This Row],[S3Cycle]]/(Prod[[#This Row],[S3Hrs]]*60*60))</f>
        <v>0.91972222222222222</v>
      </c>
      <c r="AV15" s="131">
        <f>IFERROR(AVERAGEIF(Prod[[#This Row],[S1%]:[S3%]], "&lt;&gt;0"),0)</f>
        <v>0.9722263888888889</v>
      </c>
      <c r="AW15" s="131">
        <v>0</v>
      </c>
      <c r="AX15" s="131">
        <v>0</v>
      </c>
      <c r="AY15" s="131">
        <v>0</v>
      </c>
      <c r="AZ15" s="166">
        <f>IF(Prod[[#This Row],[S1Cycle]]&lt;&gt;0,1,0)</f>
        <v>0</v>
      </c>
      <c r="BA15" s="166">
        <f>IF(Prod[[#This Row],[S2Cycle]]&lt;&gt;0,1,0)</f>
        <v>1</v>
      </c>
      <c r="BB15" s="166">
        <f>IF(Prod[[#This Row],[S3Cycle]]&lt;&gt;0,1,0)</f>
        <v>1</v>
      </c>
      <c r="BC15" s="166">
        <f>MAX(Prod[[#This Row],[S1Cavity]],Prod[[#This Row],[S2Cavity]],Prod[[#This Row],[S3Cavity]])</f>
        <v>8</v>
      </c>
      <c r="BD15" s="166" t="b">
        <f>RegExpMatch(Prod[[#This Row],[MoldNo]], "^DW-(B|C)")</f>
        <v>1</v>
      </c>
    </row>
    <row r="16" spans="1:56" x14ac:dyDescent="0.2">
      <c r="A16" s="117">
        <v>45413</v>
      </c>
      <c r="B16" s="129" t="s">
        <v>181</v>
      </c>
      <c r="C16" s="130" t="s">
        <v>182</v>
      </c>
      <c r="D16" s="119">
        <v>26364</v>
      </c>
      <c r="E16" s="130" t="s">
        <v>191</v>
      </c>
      <c r="F16" s="119">
        <v>814</v>
      </c>
      <c r="G16" s="119" t="str">
        <f>IF(OR(Prod[[#This Row],[S1Hrs]]&gt;0,Prod[[#This Row],[S2Hrs]]&gt;0,Prod[[#This Row],[S3Hrs]]&gt;0),"Running","Down")</f>
        <v>Running</v>
      </c>
      <c r="H16" s="140">
        <v>21.6</v>
      </c>
      <c r="I16" s="141">
        <v>8</v>
      </c>
      <c r="J16" s="120">
        <v>1365</v>
      </c>
      <c r="K16" s="129">
        <v>16</v>
      </c>
      <c r="L16" s="120">
        <f>Prod[[#This Row],[S1Shot]]*Prod[[#This Row],[S1Cavity]]-Prod[[#This Row],[S1Dft]]</f>
        <v>21840</v>
      </c>
      <c r="M16" s="133"/>
      <c r="N16" s="140">
        <v>21.6</v>
      </c>
      <c r="O16" s="141">
        <v>8</v>
      </c>
      <c r="P16" s="120">
        <v>1386</v>
      </c>
      <c r="Q16" s="129">
        <v>16</v>
      </c>
      <c r="R16" s="120">
        <f>Prod[[#This Row],[S2Shot]]*Prod[[#This Row],[S2Cavity]]-Prod[[#This Row],[S2Dft]]</f>
        <v>22176</v>
      </c>
      <c r="S16" s="133"/>
      <c r="T16" s="140">
        <v>21.6</v>
      </c>
      <c r="U16" s="141">
        <v>8</v>
      </c>
      <c r="V16" s="120">
        <v>1208</v>
      </c>
      <c r="W16" s="129">
        <v>16</v>
      </c>
      <c r="X16" s="120">
        <f>Prod[[#This Row],[S3Shot]]*Prod[[#This Row],[S3Cavity]]-Prod[[#This Row],[S3Dft]]</f>
        <v>19328</v>
      </c>
      <c r="Y16" s="133"/>
      <c r="Z16" s="120">
        <f>SUM(Prod[[#This Row],[S1Qty]],Prod[[#This Row],[S2Qty]],Prod[[#This Row],[S3Qty]])</f>
        <v>63344</v>
      </c>
      <c r="AA16" s="133"/>
      <c r="AB16" s="134"/>
      <c r="AC16" s="118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1">
        <f>IF(Prod[[#This Row],[S1Hrs]]=0,0,Prod[[#This Row],[S1Shot]]*Prod[[#This Row],[S1Cycle]]/(Prod[[#This Row],[S1Hrs]]*60*60))</f>
        <v>1.0237500000000002</v>
      </c>
      <c r="AT16" s="131">
        <f>IF(Prod[[#This Row],[S2Hrs]]=0,0,Prod[[#This Row],[S2Shot]]*Prod[[#This Row],[S2Cycle]]/(Prod[[#This Row],[S2Hrs]]*60*60))</f>
        <v>1.0395000000000001</v>
      </c>
      <c r="AU16" s="131">
        <f>IF(Prod[[#This Row],[S3Hrs]]=0,0,Prod[[#This Row],[S3Shot]]*Prod[[#This Row],[S3Cycle]]/(Prod[[#This Row],[S3Hrs]]*60*60))</f>
        <v>0.90600000000000014</v>
      </c>
      <c r="AV16" s="131">
        <f>IFERROR(AVERAGEIF(Prod[[#This Row],[S1%]:[S3%]], "&lt;&gt;0"),0)</f>
        <v>0.98975000000000002</v>
      </c>
      <c r="AW16" s="131">
        <v>0</v>
      </c>
      <c r="AX16" s="131">
        <v>0</v>
      </c>
      <c r="AY16" s="131">
        <v>0</v>
      </c>
      <c r="AZ16" s="166">
        <f>IF(Prod[[#This Row],[S1Cycle]]&lt;&gt;0,1,0)</f>
        <v>1</v>
      </c>
      <c r="BA16" s="166">
        <f>IF(Prod[[#This Row],[S2Cycle]]&lt;&gt;0,1,0)</f>
        <v>1</v>
      </c>
      <c r="BB16" s="166">
        <f>IF(Prod[[#This Row],[S3Cycle]]&lt;&gt;0,1,0)</f>
        <v>1</v>
      </c>
      <c r="BC16" s="166">
        <f>MAX(Prod[[#This Row],[S1Cavity]],Prod[[#This Row],[S2Cavity]],Prod[[#This Row],[S3Cavity]])</f>
        <v>16</v>
      </c>
      <c r="BD16" s="166" t="b">
        <f>RegExpMatch(Prod[[#This Row],[MoldNo]], "^DW-(B|C)")</f>
        <v>0</v>
      </c>
    </row>
    <row r="17" spans="1:56" x14ac:dyDescent="0.2">
      <c r="A17" s="117">
        <v>45414</v>
      </c>
      <c r="B17" s="120" t="s">
        <v>172</v>
      </c>
      <c r="C17" s="119" t="s">
        <v>173</v>
      </c>
      <c r="D17" s="119">
        <v>26363</v>
      </c>
      <c r="E17" s="130" t="s">
        <v>92</v>
      </c>
      <c r="F17" s="119">
        <v>814</v>
      </c>
      <c r="G17" s="119" t="str">
        <f>IF(OR(Prod[[#This Row],[S1Hrs]]&gt;0,Prod[[#This Row],[S2Hrs]]&gt;0,Prod[[#This Row],[S3Hrs]]&gt;0),"Running","Down")</f>
        <v>Running</v>
      </c>
      <c r="H17" s="140">
        <v>16.63</v>
      </c>
      <c r="I17" s="141">
        <v>3.5</v>
      </c>
      <c r="J17" s="120">
        <v>744</v>
      </c>
      <c r="K17" s="129">
        <v>16</v>
      </c>
      <c r="L17" s="120">
        <f>Prod[[#This Row],[S1Shot]]*Prod[[#This Row],[S1Cavity]]-Prod[[#This Row],[S1Dft]]</f>
        <v>11904</v>
      </c>
      <c r="M17" s="133"/>
      <c r="N17" s="140">
        <v>0</v>
      </c>
      <c r="O17" s="141">
        <v>0</v>
      </c>
      <c r="P17" s="120">
        <v>0</v>
      </c>
      <c r="Q17" s="129">
        <v>0</v>
      </c>
      <c r="R17" s="120">
        <f>Prod[[#This Row],[S2Shot]]*Prod[[#This Row],[S2Cavity]]-Prod[[#This Row],[S2Dft]]</f>
        <v>0</v>
      </c>
      <c r="S17" s="133"/>
      <c r="T17" s="140">
        <v>0</v>
      </c>
      <c r="U17" s="141">
        <v>0</v>
      </c>
      <c r="V17" s="120">
        <v>0</v>
      </c>
      <c r="W17" s="129">
        <v>0</v>
      </c>
      <c r="X17" s="120">
        <f>Prod[[#This Row],[S3Shot]]*Prod[[#This Row],[S3Cavity]]-Prod[[#This Row],[S3Dft]]</f>
        <v>0</v>
      </c>
      <c r="Y17" s="133"/>
      <c r="Z17" s="120">
        <f>SUM(Prod[[#This Row],[S1Qty]],Prod[[#This Row],[S2Qty]],Prod[[#This Row],[S3Qty]])</f>
        <v>11904</v>
      </c>
      <c r="AA17" s="133"/>
      <c r="AB17" s="134"/>
      <c r="AC17" s="118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1">
        <f>IF(Prod[[#This Row],[S1Hrs]]=0,0,Prod[[#This Row],[S1Shot]]*Prod[[#This Row],[S1Cycle]]/(Prod[[#This Row],[S1Hrs]]*60*60))</f>
        <v>0.9819619047619047</v>
      </c>
      <c r="AT17" s="131">
        <f>IF(Prod[[#This Row],[S2Hrs]]=0,0,Prod[[#This Row],[S2Shot]]*Prod[[#This Row],[S2Cycle]]/(Prod[[#This Row],[S2Hrs]]*60*60))</f>
        <v>0</v>
      </c>
      <c r="AU17" s="131">
        <f>IF(Prod[[#This Row],[S3Hrs]]=0,0,Prod[[#This Row],[S3Shot]]*Prod[[#This Row],[S3Cycle]]/(Prod[[#This Row],[S3Hrs]]*60*60))</f>
        <v>0</v>
      </c>
      <c r="AV17" s="131">
        <f>IFERROR(AVERAGEIF(Prod[[#This Row],[S1%]:[S3%]], "&lt;&gt;0"),0)</f>
        <v>0.9819619047619047</v>
      </c>
      <c r="AW17" s="131">
        <v>0.5</v>
      </c>
      <c r="AX17" s="131">
        <v>0</v>
      </c>
      <c r="AY17" s="131">
        <v>0</v>
      </c>
      <c r="AZ17" s="166">
        <f>IF(Prod[[#This Row],[S1Cycle]]&lt;&gt;0,1,0)</f>
        <v>1</v>
      </c>
      <c r="BA17" s="166">
        <f>IF(Prod[[#This Row],[S2Cycle]]&lt;&gt;0,1,0)</f>
        <v>0</v>
      </c>
      <c r="BB17" s="166">
        <f>IF(Prod[[#This Row],[S3Cycle]]&lt;&gt;0,1,0)</f>
        <v>0</v>
      </c>
      <c r="BC17" s="166">
        <f>MAX(Prod[[#This Row],[S1Cavity]],Prod[[#This Row],[S2Cavity]],Prod[[#This Row],[S3Cavity]])</f>
        <v>16</v>
      </c>
      <c r="BD17" s="166" t="b">
        <f>RegExpMatch(Prod[[#This Row],[MoldNo]], "^DW-(B|C)")</f>
        <v>0</v>
      </c>
    </row>
    <row r="18" spans="1:56" x14ac:dyDescent="0.2">
      <c r="A18" s="117">
        <v>45414</v>
      </c>
      <c r="B18" s="119" t="s">
        <v>179</v>
      </c>
      <c r="C18" s="119" t="s">
        <v>180</v>
      </c>
      <c r="D18" s="119">
        <v>25151</v>
      </c>
      <c r="E18" s="130" t="s">
        <v>92</v>
      </c>
      <c r="F18" s="119">
        <v>814</v>
      </c>
      <c r="G18" s="119" t="str">
        <f>IF(OR(Prod[[#This Row],[S1Hrs]]&gt;0,Prod[[#This Row],[S2Hrs]]&gt;0,Prod[[#This Row],[S3Hrs]]&gt;0),"Running","Down")</f>
        <v>Running</v>
      </c>
      <c r="H18" s="140">
        <v>12.44</v>
      </c>
      <c r="I18" s="141">
        <v>8</v>
      </c>
      <c r="J18" s="120">
        <v>2408</v>
      </c>
      <c r="K18" s="129">
        <v>8</v>
      </c>
      <c r="L18" s="120">
        <f>Prod[[#This Row],[S1Shot]]*Prod[[#This Row],[S1Cavity]]-Prod[[#This Row],[S1Dft]]</f>
        <v>19264</v>
      </c>
      <c r="M18" s="133"/>
      <c r="N18" s="140">
        <v>12.44</v>
      </c>
      <c r="O18" s="141">
        <v>8</v>
      </c>
      <c r="P18" s="120">
        <v>2391</v>
      </c>
      <c r="Q18" s="129">
        <v>8</v>
      </c>
      <c r="R18" s="120">
        <f>Prod[[#This Row],[S2Shot]]*Prod[[#This Row],[S2Cavity]]-Prod[[#This Row],[S2Dft]]</f>
        <v>19128</v>
      </c>
      <c r="S18" s="133"/>
      <c r="T18" s="140">
        <v>12.43</v>
      </c>
      <c r="U18" s="141">
        <v>8</v>
      </c>
      <c r="V18" s="120">
        <v>2259</v>
      </c>
      <c r="W18" s="129">
        <v>8</v>
      </c>
      <c r="X18" s="120">
        <f>Prod[[#This Row],[S3Shot]]*Prod[[#This Row],[S3Cavity]]-Prod[[#This Row],[S3Dft]]</f>
        <v>18072</v>
      </c>
      <c r="Y18" s="133"/>
      <c r="Z18" s="120">
        <f>SUM(Prod[[#This Row],[S1Qty]],Prod[[#This Row],[S2Qty]],Prod[[#This Row],[S3Qty]])</f>
        <v>56464</v>
      </c>
      <c r="AA18" s="133"/>
      <c r="AB18" s="134"/>
      <c r="AC18" s="130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1">
        <f>IF(Prod[[#This Row],[S1Hrs]]=0,0,Prod[[#This Row],[S1Shot]]*Prod[[#This Row],[S1Cycle]]/(Prod[[#This Row],[S1Hrs]]*60*60))</f>
        <v>1.0401222222222222</v>
      </c>
      <c r="AT18" s="131">
        <f>IF(Prod[[#This Row],[S2Hrs]]=0,0,Prod[[#This Row],[S2Shot]]*Prod[[#This Row],[S2Cycle]]/(Prod[[#This Row],[S2Hrs]]*60*60))</f>
        <v>1.0327791666666666</v>
      </c>
      <c r="AU18" s="131">
        <f>IF(Prod[[#This Row],[S3Hrs]]=0,0,Prod[[#This Row],[S3Shot]]*Prod[[#This Row],[S3Cycle]]/(Prod[[#This Row],[S3Hrs]]*60*60))</f>
        <v>0.97497812499999992</v>
      </c>
      <c r="AV18" s="131">
        <f>IFERROR(AVERAGEIF(Prod[[#This Row],[S1%]:[S3%]], "&lt;&gt;0"),0)</f>
        <v>1.0159598379629629</v>
      </c>
      <c r="AW18" s="131">
        <v>0</v>
      </c>
      <c r="AX18" s="131">
        <v>0</v>
      </c>
      <c r="AY18" s="131">
        <v>0</v>
      </c>
      <c r="AZ18" s="166">
        <f>IF(Prod[[#This Row],[S1Cycle]]&lt;&gt;0,1,0)</f>
        <v>1</v>
      </c>
      <c r="BA18" s="166">
        <f>IF(Prod[[#This Row],[S2Cycle]]&lt;&gt;0,1,0)</f>
        <v>1</v>
      </c>
      <c r="BB18" s="166">
        <f>IF(Prod[[#This Row],[S3Cycle]]&lt;&gt;0,1,0)</f>
        <v>1</v>
      </c>
      <c r="BC18" s="166">
        <f>MAX(Prod[[#This Row],[S1Cavity]],Prod[[#This Row],[S2Cavity]],Prod[[#This Row],[S3Cavity]])</f>
        <v>8</v>
      </c>
      <c r="BD18" s="166" t="b">
        <f>RegExpMatch(Prod[[#This Row],[MoldNo]], "^DW-(B|C)")</f>
        <v>0</v>
      </c>
    </row>
    <row r="19" spans="1:56" x14ac:dyDescent="0.2">
      <c r="A19" s="117">
        <v>45414</v>
      </c>
      <c r="B19" s="129" t="s">
        <v>192</v>
      </c>
      <c r="C19" s="130" t="s">
        <v>174</v>
      </c>
      <c r="D19" s="119">
        <v>27456</v>
      </c>
      <c r="E19" s="130" t="s">
        <v>191</v>
      </c>
      <c r="F19" s="119">
        <v>814</v>
      </c>
      <c r="G19" s="119" t="str">
        <f>IF(OR(Prod[[#This Row],[S1Hrs]]&gt;0,Prod[[#This Row],[S2Hrs]]&gt;0,Prod[[#This Row],[S3Hrs]]&gt;0),"Running","Down")</f>
        <v>Running</v>
      </c>
      <c r="H19" s="140">
        <v>15.12</v>
      </c>
      <c r="I19" s="141">
        <v>8</v>
      </c>
      <c r="J19" s="120">
        <v>1932</v>
      </c>
      <c r="K19" s="129">
        <v>16</v>
      </c>
      <c r="L19" s="120">
        <f>Prod[[#This Row],[S1Shot]]*Prod[[#This Row],[S1Cavity]]-Prod[[#This Row],[S1Dft]]</f>
        <v>30912</v>
      </c>
      <c r="M19" s="133"/>
      <c r="N19" s="140">
        <v>15.1</v>
      </c>
      <c r="O19" s="141">
        <v>8</v>
      </c>
      <c r="P19" s="120">
        <v>2012</v>
      </c>
      <c r="Q19" s="129">
        <v>16</v>
      </c>
      <c r="R19" s="120">
        <f>Prod[[#This Row],[S2Shot]]*Prod[[#This Row],[S2Cavity]]-Prod[[#This Row],[S2Dft]]</f>
        <v>32192</v>
      </c>
      <c r="S19" s="133"/>
      <c r="T19" s="140">
        <v>15.1</v>
      </c>
      <c r="U19" s="141">
        <v>8</v>
      </c>
      <c r="V19" s="120">
        <v>1750</v>
      </c>
      <c r="W19" s="129">
        <v>16</v>
      </c>
      <c r="X19" s="120">
        <f>Prod[[#This Row],[S3Shot]]*Prod[[#This Row],[S3Cavity]]-Prod[[#This Row],[S3Dft]]</f>
        <v>28000</v>
      </c>
      <c r="Y19" s="133"/>
      <c r="Z19" s="120">
        <f>SUM(Prod[[#This Row],[S1Qty]],Prod[[#This Row],[S2Qty]],Prod[[#This Row],[S3Qty]])</f>
        <v>91104</v>
      </c>
      <c r="AA19" s="133"/>
      <c r="AB19" s="134"/>
      <c r="AC19" s="130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1">
        <f>IF(Prod[[#This Row],[S1Hrs]]=0,0,Prod[[#This Row],[S1Shot]]*Prod[[#This Row],[S1Cycle]]/(Prod[[#This Row],[S1Hrs]]*60*60))</f>
        <v>1.0143</v>
      </c>
      <c r="AT19" s="131">
        <f>IF(Prod[[#This Row],[S2Hrs]]=0,0,Prod[[#This Row],[S2Shot]]*Prod[[#This Row],[S2Cycle]]/(Prod[[#This Row],[S2Hrs]]*60*60))</f>
        <v>1.0549027777777777</v>
      </c>
      <c r="AU19" s="131">
        <f>IF(Prod[[#This Row],[S3Hrs]]=0,0,Prod[[#This Row],[S3Shot]]*Prod[[#This Row],[S3Cycle]]/(Prod[[#This Row],[S3Hrs]]*60*60))</f>
        <v>0.91753472222222221</v>
      </c>
      <c r="AV19" s="131">
        <f>IFERROR(AVERAGEIF(Prod[[#This Row],[S1%]:[S3%]], "&lt;&gt;0"),0)</f>
        <v>0.99557916666666679</v>
      </c>
      <c r="AW19" s="131">
        <v>0</v>
      </c>
      <c r="AX19" s="131">
        <v>0</v>
      </c>
      <c r="AY19" s="131">
        <v>0</v>
      </c>
      <c r="AZ19" s="166">
        <f>IF(Prod[[#This Row],[S1Cycle]]&lt;&gt;0,1,0)</f>
        <v>1</v>
      </c>
      <c r="BA19" s="166">
        <f>IF(Prod[[#This Row],[S2Cycle]]&lt;&gt;0,1,0)</f>
        <v>1</v>
      </c>
      <c r="BB19" s="166">
        <f>IF(Prod[[#This Row],[S3Cycle]]&lt;&gt;0,1,0)</f>
        <v>1</v>
      </c>
      <c r="BC19" s="166">
        <f>MAX(Prod[[#This Row],[S1Cavity]],Prod[[#This Row],[S2Cavity]],Prod[[#This Row],[S3Cavity]])</f>
        <v>16</v>
      </c>
      <c r="BD19" s="166" t="b">
        <f>RegExpMatch(Prod[[#This Row],[MoldNo]], "^DW-(B|C)")</f>
        <v>0</v>
      </c>
    </row>
    <row r="20" spans="1:56" x14ac:dyDescent="0.2">
      <c r="A20" s="117">
        <v>45414</v>
      </c>
      <c r="B20" s="120" t="s">
        <v>175</v>
      </c>
      <c r="C20" s="119" t="s">
        <v>178</v>
      </c>
      <c r="D20" s="130" t="s">
        <v>209</v>
      </c>
      <c r="E20" s="130" t="s">
        <v>191</v>
      </c>
      <c r="F20" s="119">
        <v>814</v>
      </c>
      <c r="G20" s="119" t="str">
        <f>IF(OR(Prod[[#This Row],[S1Hrs]]&gt;0,Prod[[#This Row],[S2Hrs]]&gt;0,Prod[[#This Row],[S3Hrs]]&gt;0),"Running","Down")</f>
        <v>Running</v>
      </c>
      <c r="H20" s="140">
        <v>19.29</v>
      </c>
      <c r="I20" s="141">
        <v>8</v>
      </c>
      <c r="J20" s="120">
        <v>1491</v>
      </c>
      <c r="K20" s="129">
        <v>8</v>
      </c>
      <c r="L20" s="120">
        <f>Prod[[#This Row],[S1Shot]]*Prod[[#This Row],[S1Cavity]]-Prod[[#This Row],[S1Dft]]</f>
        <v>11793</v>
      </c>
      <c r="M20" s="135">
        <f>SUM(Prod[[#This Row],[S1Mold]],Prod[[#This Row],[S1Print]],Prod[[#This Row],[S1Ovlp]],Prod[[#This Row],[S1Seam]],Prod[[#This Row],[S1Dmg]])</f>
        <v>135</v>
      </c>
      <c r="N20" s="140">
        <v>19.190000000000001</v>
      </c>
      <c r="O20" s="141">
        <v>8</v>
      </c>
      <c r="P20" s="120">
        <v>1264</v>
      </c>
      <c r="Q20" s="129">
        <v>8</v>
      </c>
      <c r="R20" s="120">
        <f>Prod[[#This Row],[S2Shot]]*Prod[[#This Row],[S2Cavity]]-Prod[[#This Row],[S2Dft]]</f>
        <v>9987</v>
      </c>
      <c r="S20" s="135">
        <f>SUM(Prod[[#This Row],[S2Mold]],Prod[[#This Row],[S2Print]],Prod[[#This Row],[S2Ovlp]],Prod[[#This Row],[S2Seam]],Prod[[#This Row],[S2Dmg]])</f>
        <v>125</v>
      </c>
      <c r="T20" s="140">
        <v>19.29</v>
      </c>
      <c r="U20" s="141">
        <v>8</v>
      </c>
      <c r="V20" s="120">
        <v>1375</v>
      </c>
      <c r="W20" s="129">
        <v>8</v>
      </c>
      <c r="X20" s="120">
        <f>Prod[[#This Row],[S3Shot]]*Prod[[#This Row],[S3Cavity]]-Prod[[#This Row],[S3Dft]]</f>
        <v>10880</v>
      </c>
      <c r="Y20" s="120">
        <f>SUM(Prod[[#This Row],[S3Mold]],Prod[[#This Row],[S3Print]],Prod[[#This Row],[S3Ovlp]],Prod[[#This Row],[S3Seam]],Prod[[#This Row],[S3Dmg]])</f>
        <v>120</v>
      </c>
      <c r="Z20" s="120">
        <f>SUM(Prod[[#This Row],[S1Qty]],Prod[[#This Row],[S2Qty]],Prod[[#This Row],[S3Qty]])</f>
        <v>32660</v>
      </c>
      <c r="AA20" s="120">
        <f>SUM(Prod[[#This Row],[S1Dft]],Prod[[#This Row],[S2Dft]],Prod[[#This Row],[S3Dft]])</f>
        <v>380</v>
      </c>
      <c r="AB20" s="121">
        <f>IF(Prod[[#This Row],[Total]]=0,0,Prod[[#This Row],[TotalDft]]/Prod[[#This Row],[Total]])</f>
        <v>1.1635027556644213E-2</v>
      </c>
      <c r="AC20" s="130"/>
      <c r="AD20" s="120">
        <v>25</v>
      </c>
      <c r="AE20" s="120">
        <v>25</v>
      </c>
      <c r="AF20" s="120">
        <v>20</v>
      </c>
      <c r="AG20" s="120">
        <v>110</v>
      </c>
      <c r="AH20" s="120">
        <v>100</v>
      </c>
      <c r="AI20" s="120">
        <v>100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31">
        <f>IF(Prod[[#This Row],[S1Hrs]]=0,0,Prod[[#This Row],[S1Shot]]*Prod[[#This Row],[S1Cycle]]/(Prod[[#This Row],[S1Hrs]]*60*60))</f>
        <v>0.99865937500000002</v>
      </c>
      <c r="AT20" s="131">
        <f>IF(Prod[[#This Row],[S2Hrs]]=0,0,Prod[[#This Row],[S2Shot]]*Prod[[#This Row],[S2Cycle]]/(Prod[[#This Row],[S2Hrs]]*60*60))</f>
        <v>0.8422277777777778</v>
      </c>
      <c r="AU20" s="131">
        <f>IF(Prod[[#This Row],[S3Hrs]]=0,0,Prod[[#This Row],[S3Shot]]*Prod[[#This Row],[S3Cycle]]/(Prod[[#This Row],[S3Hrs]]*60*60))</f>
        <v>0.92096354166666672</v>
      </c>
      <c r="AV20" s="131">
        <f>IFERROR(AVERAGEIF(Prod[[#This Row],[S1%]:[S3%]], "&lt;&gt;0"),0)</f>
        <v>0.92061689814814818</v>
      </c>
      <c r="AW20" s="131">
        <v>0</v>
      </c>
      <c r="AX20" s="131">
        <v>0</v>
      </c>
      <c r="AY20" s="131">
        <v>0</v>
      </c>
      <c r="AZ20" s="166">
        <f>IF(Prod[[#This Row],[S1Cycle]]&lt;&gt;0,1,0)</f>
        <v>1</v>
      </c>
      <c r="BA20" s="166">
        <f>IF(Prod[[#This Row],[S2Cycle]]&lt;&gt;0,1,0)</f>
        <v>1</v>
      </c>
      <c r="BB20" s="166">
        <f>IF(Prod[[#This Row],[S3Cycle]]&lt;&gt;0,1,0)</f>
        <v>1</v>
      </c>
      <c r="BC20" s="166">
        <f>MAX(Prod[[#This Row],[S1Cavity]],Prod[[#This Row],[S2Cavity]],Prod[[#This Row],[S3Cavity]])</f>
        <v>8</v>
      </c>
      <c r="BD20" s="166" t="b">
        <f>RegExpMatch(Prod[[#This Row],[MoldNo]], "^DW-(B|C)")</f>
        <v>1</v>
      </c>
    </row>
    <row r="21" spans="1:56" x14ac:dyDescent="0.2">
      <c r="A21" s="117">
        <v>45414</v>
      </c>
      <c r="B21" s="120" t="s">
        <v>177</v>
      </c>
      <c r="C21" s="119" t="s">
        <v>176</v>
      </c>
      <c r="D21" s="130" t="s">
        <v>209</v>
      </c>
      <c r="E21" s="130" t="s">
        <v>191</v>
      </c>
      <c r="F21" s="119">
        <v>814</v>
      </c>
      <c r="G21" s="119" t="str">
        <f>IF(OR(Prod[[#This Row],[S1Hrs]]&gt;0,Prod[[#This Row],[S2Hrs]]&gt;0,Prod[[#This Row],[S3Hrs]]&gt;0),"Running","Down")</f>
        <v>Running</v>
      </c>
      <c r="H21" s="140">
        <v>25.88</v>
      </c>
      <c r="I21" s="141">
        <v>8</v>
      </c>
      <c r="J21" s="120">
        <v>1191</v>
      </c>
      <c r="K21" s="129">
        <v>8</v>
      </c>
      <c r="L21" s="120">
        <f>Prod[[#This Row],[S1Shot]]*Prod[[#This Row],[S1Cavity]]-Prod[[#This Row],[S1Dft]]</f>
        <v>9428</v>
      </c>
      <c r="M21" s="135">
        <f>SUM(Prod[[#This Row],[S1Mold]],Prod[[#This Row],[S1Print]],Prod[[#This Row],[S1Ovlp]],Prod[[#This Row],[S1Seam]],Prod[[#This Row],[S1Dmg]])</f>
        <v>100</v>
      </c>
      <c r="N21" s="140">
        <v>25.78</v>
      </c>
      <c r="O21" s="141">
        <v>8</v>
      </c>
      <c r="P21" s="120">
        <v>1025</v>
      </c>
      <c r="Q21" s="129">
        <v>8</v>
      </c>
      <c r="R21" s="120">
        <f>Prod[[#This Row],[S2Shot]]*Prod[[#This Row],[S2Cavity]]-Prod[[#This Row],[S2Dft]]</f>
        <v>8110</v>
      </c>
      <c r="S21" s="135">
        <f>SUM(Prod[[#This Row],[S2Mold]],Prod[[#This Row],[S2Print]],Prod[[#This Row],[S2Ovlp]],Prod[[#This Row],[S2Seam]],Prod[[#This Row],[S2Dmg]])</f>
        <v>90</v>
      </c>
      <c r="T21" s="140">
        <v>25.78</v>
      </c>
      <c r="U21" s="141">
        <v>8</v>
      </c>
      <c r="V21" s="120">
        <v>1017</v>
      </c>
      <c r="W21" s="129">
        <v>8</v>
      </c>
      <c r="X21" s="120">
        <f>Prod[[#This Row],[S3Shot]]*Prod[[#This Row],[S3Cavity]]-Prod[[#This Row],[S3Dft]]</f>
        <v>8036</v>
      </c>
      <c r="Y21" s="120">
        <f>SUM(Prod[[#This Row],[S3Mold]],Prod[[#This Row],[S3Print]],Prod[[#This Row],[S3Ovlp]],Prod[[#This Row],[S3Seam]],Prod[[#This Row],[S3Dmg]])</f>
        <v>100</v>
      </c>
      <c r="Z21" s="120">
        <f>SUM(Prod[[#This Row],[S1Qty]],Prod[[#This Row],[S2Qty]],Prod[[#This Row],[S3Qty]])</f>
        <v>25574</v>
      </c>
      <c r="AA21" s="120">
        <f>SUM(Prod[[#This Row],[S1Dft]],Prod[[#This Row],[S2Dft]],Prod[[#This Row],[S3Dft]])</f>
        <v>290</v>
      </c>
      <c r="AB21" s="121">
        <f>IF(Prod[[#This Row],[Total]]=0,0,Prod[[#This Row],[TotalDft]]/Prod[[#This Row],[Total]])</f>
        <v>1.1339641823727223E-2</v>
      </c>
      <c r="AC21" s="118"/>
      <c r="AD21" s="120">
        <v>25</v>
      </c>
      <c r="AE21" s="120">
        <v>20</v>
      </c>
      <c r="AF21" s="120">
        <v>25</v>
      </c>
      <c r="AG21" s="120">
        <v>75</v>
      </c>
      <c r="AH21" s="120">
        <v>70</v>
      </c>
      <c r="AI21" s="120">
        <v>75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1">
        <f>IF(Prod[[#This Row],[S1Hrs]]=0,0,Prod[[#This Row],[S1Shot]]*Prod[[#This Row],[S1Cycle]]/(Prod[[#This Row],[S1Hrs]]*60*60))</f>
        <v>1.0702458333333333</v>
      </c>
      <c r="AT21" s="131">
        <f>IF(Prod[[#This Row],[S2Hrs]]=0,0,Prod[[#This Row],[S2Shot]]*Prod[[#This Row],[S2Cycle]]/(Prod[[#This Row],[S2Hrs]]*60*60))</f>
        <v>0.91751736111111115</v>
      </c>
      <c r="AU21" s="131">
        <f>IF(Prod[[#This Row],[S3Hrs]]=0,0,Prod[[#This Row],[S3Shot]]*Prod[[#This Row],[S3Cycle]]/(Prod[[#This Row],[S3Hrs]]*60*60))</f>
        <v>0.91035625000000009</v>
      </c>
      <c r="AV21" s="131">
        <f>IFERROR(AVERAGEIF(Prod[[#This Row],[S1%]:[S3%]], "&lt;&gt;0"),0)</f>
        <v>0.96603981481481493</v>
      </c>
      <c r="AW21" s="131">
        <v>0</v>
      </c>
      <c r="AX21" s="131">
        <v>0</v>
      </c>
      <c r="AY21" s="131">
        <v>0</v>
      </c>
      <c r="AZ21" s="166">
        <f>IF(Prod[[#This Row],[S1Cycle]]&lt;&gt;0,1,0)</f>
        <v>1</v>
      </c>
      <c r="BA21" s="166">
        <f>IF(Prod[[#This Row],[S2Cycle]]&lt;&gt;0,1,0)</f>
        <v>1</v>
      </c>
      <c r="BB21" s="166">
        <f>IF(Prod[[#This Row],[S3Cycle]]&lt;&gt;0,1,0)</f>
        <v>1</v>
      </c>
      <c r="BC21" s="166">
        <f>MAX(Prod[[#This Row],[S1Cavity]],Prod[[#This Row],[S2Cavity]],Prod[[#This Row],[S3Cavity]])</f>
        <v>8</v>
      </c>
      <c r="BD21" s="166" t="b">
        <f>RegExpMatch(Prod[[#This Row],[MoldNo]], "^DW-(B|C)")</f>
        <v>1</v>
      </c>
    </row>
    <row r="22" spans="1:56" x14ac:dyDescent="0.2">
      <c r="A22" s="117">
        <v>45414</v>
      </c>
      <c r="B22" s="129" t="s">
        <v>186</v>
      </c>
      <c r="C22" s="130" t="s">
        <v>188</v>
      </c>
      <c r="D22" s="130" t="s">
        <v>194</v>
      </c>
      <c r="E22" s="130" t="s">
        <v>191</v>
      </c>
      <c r="F22" s="119">
        <v>814</v>
      </c>
      <c r="G22" s="119" t="str">
        <f>IF(OR(Prod[[#This Row],[S1Hrs]]&gt;0,Prod[[#This Row],[S2Hrs]]&gt;0,Prod[[#This Row],[S3Hrs]]&gt;0),"Running","Down")</f>
        <v>Running</v>
      </c>
      <c r="H22" s="140">
        <v>23.08</v>
      </c>
      <c r="I22" s="141">
        <v>8</v>
      </c>
      <c r="J22" s="120">
        <v>1247</v>
      </c>
      <c r="K22" s="129">
        <v>8</v>
      </c>
      <c r="L22" s="120">
        <f>Prod[[#This Row],[S1Shot]]*Prod[[#This Row],[S1Cavity]]-Prod[[#This Row],[S1Dft]]</f>
        <v>9856</v>
      </c>
      <c r="M22" s="135">
        <f>SUM(Prod[[#This Row],[S1Mold]],Prod[[#This Row],[S1Print]],Prod[[#This Row],[S1Ovlp]],Prod[[#This Row],[S1Seam]],Prod[[#This Row],[S1Dmg]])</f>
        <v>120</v>
      </c>
      <c r="N22" s="140">
        <v>23.19</v>
      </c>
      <c r="O22" s="141">
        <v>6</v>
      </c>
      <c r="P22" s="120">
        <v>748</v>
      </c>
      <c r="Q22" s="129">
        <v>8</v>
      </c>
      <c r="R22" s="120">
        <f>Prod[[#This Row],[S2Shot]]*Prod[[#This Row],[S2Cavity]]-Prod[[#This Row],[S2Dft]]</f>
        <v>5934</v>
      </c>
      <c r="S22" s="135">
        <f>SUM(Prod[[#This Row],[S2Mold]],Prod[[#This Row],[S2Print]],Prod[[#This Row],[S2Ovlp]],Prod[[#This Row],[S2Seam]],Prod[[#This Row],[S2Dmg]])</f>
        <v>50</v>
      </c>
      <c r="T22" s="140">
        <v>22.9</v>
      </c>
      <c r="U22" s="141">
        <v>8</v>
      </c>
      <c r="V22" s="120">
        <v>645</v>
      </c>
      <c r="W22" s="129">
        <v>8</v>
      </c>
      <c r="X22" s="120">
        <f>Prod[[#This Row],[S3Shot]]*Prod[[#This Row],[S3Cavity]]-Prod[[#This Row],[S3Dft]]</f>
        <v>5095</v>
      </c>
      <c r="Y22" s="120">
        <f>SUM(Prod[[#This Row],[S3Mold]],Prod[[#This Row],[S3Print]],Prod[[#This Row],[S3Ovlp]],Prod[[#This Row],[S3Seam]],Prod[[#This Row],[S3Dmg]])</f>
        <v>65</v>
      </c>
      <c r="Z22" s="120">
        <f>SUM(Prod[[#This Row],[S1Qty]],Prod[[#This Row],[S2Qty]],Prod[[#This Row],[S3Qty]])</f>
        <v>20885</v>
      </c>
      <c r="AA22" s="120">
        <f>SUM(Prod[[#This Row],[S1Dft]],Prod[[#This Row],[S2Dft]],Prod[[#This Row],[S3Dft]])</f>
        <v>235</v>
      </c>
      <c r="AB22" s="121">
        <f>IF(Prod[[#This Row],[Total]]=0,0,Prod[[#This Row],[TotalDft]]/Prod[[#This Row],[Total]])</f>
        <v>1.1252094804883888E-2</v>
      </c>
      <c r="AC22" s="130" t="s">
        <v>204</v>
      </c>
      <c r="AD22" s="120">
        <v>25</v>
      </c>
      <c r="AE22" s="120">
        <v>10</v>
      </c>
      <c r="AF22" s="120">
        <v>20</v>
      </c>
      <c r="AG22" s="120">
        <v>95</v>
      </c>
      <c r="AH22" s="120">
        <v>40</v>
      </c>
      <c r="AI22" s="120">
        <v>45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1">
        <f>IF(Prod[[#This Row],[S1Hrs]]=0,0,Prod[[#This Row],[S1Shot]]*Prod[[#This Row],[S1Cycle]]/(Prod[[#This Row],[S1Hrs]]*60*60))</f>
        <v>0.9993319444444444</v>
      </c>
      <c r="AT22" s="131">
        <f>IF(Prod[[#This Row],[S2Hrs]]=0,0,Prod[[#This Row],[S2Shot]]*Prod[[#This Row],[S2Cycle]]/(Prod[[#This Row],[S2Hrs]]*60*60))</f>
        <v>0.80306111111111123</v>
      </c>
      <c r="AU22" s="131">
        <f>IF(Prod[[#This Row],[S3Hrs]]=0,0,Prod[[#This Row],[S3Shot]]*Prod[[#This Row],[S3Cycle]]/(Prod[[#This Row],[S3Hrs]]*60*60))</f>
        <v>0.51286458333333329</v>
      </c>
      <c r="AV22" s="131">
        <f>IFERROR(AVERAGEIF(Prod[[#This Row],[S1%]:[S3%]], "&lt;&gt;0"),0)</f>
        <v>0.7717525462962963</v>
      </c>
      <c r="AW22" s="131">
        <v>0</v>
      </c>
      <c r="AX22" s="131">
        <v>0</v>
      </c>
      <c r="AY22" s="131">
        <v>0</v>
      </c>
      <c r="AZ22" s="166">
        <f>IF(Prod[[#This Row],[S1Cycle]]&lt;&gt;0,1,0)</f>
        <v>1</v>
      </c>
      <c r="BA22" s="166">
        <f>IF(Prod[[#This Row],[S2Cycle]]&lt;&gt;0,1,0)</f>
        <v>1</v>
      </c>
      <c r="BB22" s="166">
        <f>IF(Prod[[#This Row],[S3Cycle]]&lt;&gt;0,1,0)</f>
        <v>1</v>
      </c>
      <c r="BC22" s="166">
        <f>MAX(Prod[[#This Row],[S1Cavity]],Prod[[#This Row],[S2Cavity]],Prod[[#This Row],[S3Cavity]])</f>
        <v>8</v>
      </c>
      <c r="BD22" s="166" t="b">
        <f>RegExpMatch(Prod[[#This Row],[MoldNo]], "^DW-(B|C)")</f>
        <v>1</v>
      </c>
    </row>
    <row r="23" spans="1:56" x14ac:dyDescent="0.2">
      <c r="A23" s="117">
        <v>45414</v>
      </c>
      <c r="B23" s="129" t="s">
        <v>187</v>
      </c>
      <c r="C23" s="130" t="s">
        <v>189</v>
      </c>
      <c r="D23" s="130" t="s">
        <v>205</v>
      </c>
      <c r="E23" s="130" t="s">
        <v>191</v>
      </c>
      <c r="F23" s="119">
        <v>814</v>
      </c>
      <c r="G23" s="119" t="str">
        <f>IF(OR(Prod[[#This Row],[S1Hrs]]&gt;0,Prod[[#This Row],[S2Hrs]]&gt;0,Prod[[#This Row],[S3Hrs]]&gt;0),"Running","Down")</f>
        <v>Running</v>
      </c>
      <c r="H23" s="140">
        <v>22.09</v>
      </c>
      <c r="I23" s="141">
        <v>8</v>
      </c>
      <c r="J23" s="120">
        <v>1311</v>
      </c>
      <c r="K23" s="129">
        <v>8</v>
      </c>
      <c r="L23" s="120">
        <f>Prod[[#This Row],[S1Shot]]*Prod[[#This Row],[S1Cavity]]-Prod[[#This Row],[S1Dft]]</f>
        <v>10368</v>
      </c>
      <c r="M23" s="135">
        <f>SUM(Prod[[#This Row],[S1Mold]],Prod[[#This Row],[S1Print]],Prod[[#This Row],[S1Ovlp]],Prod[[#This Row],[S1Seam]],Prod[[#This Row],[S1Dmg]])</f>
        <v>120</v>
      </c>
      <c r="N23" s="140">
        <v>22.09</v>
      </c>
      <c r="O23" s="141">
        <v>3</v>
      </c>
      <c r="P23" s="120">
        <v>518</v>
      </c>
      <c r="Q23" s="129">
        <v>8</v>
      </c>
      <c r="R23" s="120">
        <f>Prod[[#This Row],[S2Shot]]*Prod[[#This Row],[S2Cavity]]-Prod[[#This Row],[S2Dft]]</f>
        <v>4104</v>
      </c>
      <c r="S23" s="135">
        <f>SUM(Prod[[#This Row],[S2Mold]],Prod[[#This Row],[S2Print]],Prod[[#This Row],[S2Ovlp]],Prod[[#This Row],[S2Seam]],Prod[[#This Row],[S2Dmg]])</f>
        <v>40</v>
      </c>
      <c r="T23" s="140">
        <v>0</v>
      </c>
      <c r="U23" s="141">
        <v>0</v>
      </c>
      <c r="V23" s="120">
        <v>0</v>
      </c>
      <c r="W23" s="129">
        <v>0</v>
      </c>
      <c r="X23" s="120">
        <f>Prod[[#This Row],[S3Shot]]*Prod[[#This Row],[S3Cavity]]-Prod[[#This Row],[S3Dft]]</f>
        <v>0</v>
      </c>
      <c r="Y23" s="120">
        <f>SUM(Prod[[#This Row],[S3Mold]],Prod[[#This Row],[S3Print]],Prod[[#This Row],[S3Ovlp]],Prod[[#This Row],[S3Seam]],Prod[[#This Row],[S3Dmg]])</f>
        <v>0</v>
      </c>
      <c r="Z23" s="120">
        <f>SUM(Prod[[#This Row],[S1Qty]],Prod[[#This Row],[S2Qty]],Prod[[#This Row],[S3Qty]])</f>
        <v>14472</v>
      </c>
      <c r="AA23" s="120">
        <f>SUM(Prod[[#This Row],[S1Dft]],Prod[[#This Row],[S2Dft]],Prod[[#This Row],[S3Dft]])</f>
        <v>160</v>
      </c>
      <c r="AB23" s="121">
        <f>IF(Prod[[#This Row],[Total]]=0,0,Prod[[#This Row],[TotalDft]]/Prod[[#This Row],[Total]])</f>
        <v>1.1055831951354339E-2</v>
      </c>
      <c r="AC23" s="130" t="s">
        <v>211</v>
      </c>
      <c r="AD23" s="120">
        <v>20</v>
      </c>
      <c r="AE23" s="120">
        <v>5</v>
      </c>
      <c r="AF23" s="120">
        <v>0</v>
      </c>
      <c r="AG23" s="120">
        <v>100</v>
      </c>
      <c r="AH23" s="120">
        <v>35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1">
        <f>IF(Prod[[#This Row],[S1Hrs]]=0,0,Prod[[#This Row],[S1Shot]]*Prod[[#This Row],[S1Cycle]]/(Prod[[#This Row],[S1Hrs]]*60*60))</f>
        <v>1.0055552083333335</v>
      </c>
      <c r="AT23" s="131">
        <f>IF(Prod[[#This Row],[S2Hrs]]=0,0,Prod[[#This Row],[S2Shot]]*Prod[[#This Row],[S2Cycle]]/(Prod[[#This Row],[S2Hrs]]*60*60))</f>
        <v>1.059501851851852</v>
      </c>
      <c r="AU23" s="131">
        <f>IF(Prod[[#This Row],[S3Hrs]]=0,0,Prod[[#This Row],[S3Shot]]*Prod[[#This Row],[S3Cycle]]/(Prod[[#This Row],[S3Hrs]]*60*60))</f>
        <v>0</v>
      </c>
      <c r="AV23" s="131">
        <f>IFERROR(AVERAGEIF(Prod[[#This Row],[S1%]:[S3%]], "&lt;&gt;0"),0)</f>
        <v>1.0325285300925926</v>
      </c>
      <c r="AW23" s="131">
        <v>0.5</v>
      </c>
      <c r="AX23" s="131">
        <v>0</v>
      </c>
      <c r="AY23" s="131">
        <v>0</v>
      </c>
      <c r="AZ23" s="166">
        <f>IF(Prod[[#This Row],[S1Cycle]]&lt;&gt;0,1,0)</f>
        <v>1</v>
      </c>
      <c r="BA23" s="166">
        <f>IF(Prod[[#This Row],[S2Cycle]]&lt;&gt;0,1,0)</f>
        <v>1</v>
      </c>
      <c r="BB23" s="166">
        <f>IF(Prod[[#This Row],[S3Cycle]]&lt;&gt;0,1,0)</f>
        <v>0</v>
      </c>
      <c r="BC23" s="166">
        <f>MAX(Prod[[#This Row],[S1Cavity]],Prod[[#This Row],[S2Cavity]],Prod[[#This Row],[S3Cavity]])</f>
        <v>8</v>
      </c>
      <c r="BD23" s="166" t="b">
        <f>RegExpMatch(Prod[[#This Row],[MoldNo]], "^DW-(B|C)")</f>
        <v>1</v>
      </c>
    </row>
    <row r="24" spans="1:56" x14ac:dyDescent="0.2">
      <c r="A24" s="117">
        <v>45414</v>
      </c>
      <c r="B24" s="129" t="s">
        <v>181</v>
      </c>
      <c r="C24" s="130" t="s">
        <v>182</v>
      </c>
      <c r="D24" s="119">
        <v>26364</v>
      </c>
      <c r="E24" s="130" t="s">
        <v>191</v>
      </c>
      <c r="F24" s="119">
        <v>814</v>
      </c>
      <c r="G24" s="119" t="str">
        <f>IF(OR(Prod[[#This Row],[S1Hrs]]&gt;0,Prod[[#This Row],[S2Hrs]]&gt;0,Prod[[#This Row],[S3Hrs]]&gt;0),"Running","Down")</f>
        <v>Running</v>
      </c>
      <c r="H24" s="140">
        <v>20.6</v>
      </c>
      <c r="I24" s="141">
        <v>8</v>
      </c>
      <c r="J24" s="120">
        <v>1344</v>
      </c>
      <c r="K24" s="129">
        <v>16</v>
      </c>
      <c r="L24" s="120">
        <f>Prod[[#This Row],[S1Shot]]*Prod[[#This Row],[S1Cavity]]-Prod[[#This Row],[S1Dft]]</f>
        <v>21504</v>
      </c>
      <c r="M24" s="133"/>
      <c r="N24" s="140">
        <v>21.6</v>
      </c>
      <c r="O24" s="141">
        <v>8</v>
      </c>
      <c r="P24" s="120">
        <v>1357</v>
      </c>
      <c r="Q24" s="129">
        <v>16</v>
      </c>
      <c r="R24" s="120">
        <f>Prod[[#This Row],[S2Shot]]*Prod[[#This Row],[S2Cavity]]-Prod[[#This Row],[S2Dft]]</f>
        <v>21712</v>
      </c>
      <c r="S24" s="133"/>
      <c r="T24" s="140">
        <v>21.6</v>
      </c>
      <c r="U24" s="141">
        <v>8</v>
      </c>
      <c r="V24" s="120">
        <v>1213</v>
      </c>
      <c r="W24" s="129">
        <v>16</v>
      </c>
      <c r="X24" s="120">
        <f>Prod[[#This Row],[S3Shot]]*Prod[[#This Row],[S3Cavity]]-Prod[[#This Row],[S3Dft]]</f>
        <v>19408</v>
      </c>
      <c r="Y24" s="133"/>
      <c r="Z24" s="120">
        <f>SUM(Prod[[#This Row],[S1Qty]],Prod[[#This Row],[S2Qty]],Prod[[#This Row],[S3Qty]])</f>
        <v>62624</v>
      </c>
      <c r="AA24" s="133"/>
      <c r="AB24" s="134"/>
      <c r="AC24" s="118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1">
        <f>IF(Prod[[#This Row],[S1Hrs]]=0,0,Prod[[#This Row],[S1Shot]]*Prod[[#This Row],[S1Cycle]]/(Prod[[#This Row],[S1Hrs]]*60*60))</f>
        <v>0.96133333333333337</v>
      </c>
      <c r="AT24" s="131">
        <f>IF(Prod[[#This Row],[S2Hrs]]=0,0,Prod[[#This Row],[S2Shot]]*Prod[[#This Row],[S2Cycle]]/(Prod[[#This Row],[S2Hrs]]*60*60))</f>
        <v>1.0177499999999999</v>
      </c>
      <c r="AU24" s="131">
        <f>IF(Prod[[#This Row],[S3Hrs]]=0,0,Prod[[#This Row],[S3Shot]]*Prod[[#This Row],[S3Cycle]]/(Prod[[#This Row],[S3Hrs]]*60*60))</f>
        <v>0.90975000000000006</v>
      </c>
      <c r="AV24" s="131">
        <f>IFERROR(AVERAGEIF(Prod[[#This Row],[S1%]:[S3%]], "&lt;&gt;0"),0)</f>
        <v>0.96294444444444449</v>
      </c>
      <c r="AW24" s="131">
        <v>0</v>
      </c>
      <c r="AX24" s="131">
        <v>0</v>
      </c>
      <c r="AY24" s="131">
        <v>0</v>
      </c>
      <c r="AZ24" s="166">
        <f>IF(Prod[[#This Row],[S1Cycle]]&lt;&gt;0,1,0)</f>
        <v>1</v>
      </c>
      <c r="BA24" s="166">
        <f>IF(Prod[[#This Row],[S2Cycle]]&lt;&gt;0,1,0)</f>
        <v>1</v>
      </c>
      <c r="BB24" s="166">
        <f>IF(Prod[[#This Row],[S3Cycle]]&lt;&gt;0,1,0)</f>
        <v>1</v>
      </c>
      <c r="BC24" s="166">
        <f>MAX(Prod[[#This Row],[S1Cavity]],Prod[[#This Row],[S2Cavity]],Prod[[#This Row],[S3Cavity]])</f>
        <v>16</v>
      </c>
      <c r="BD24" s="166" t="b">
        <f>RegExpMatch(Prod[[#This Row],[MoldNo]], "^DW-(B|C)")</f>
        <v>0</v>
      </c>
    </row>
    <row r="25" spans="1:56" x14ac:dyDescent="0.2">
      <c r="A25" s="117">
        <v>45415</v>
      </c>
      <c r="B25" s="120" t="s">
        <v>172</v>
      </c>
      <c r="C25" s="119" t="s">
        <v>173</v>
      </c>
      <c r="D25" s="119"/>
      <c r="E25" s="130"/>
      <c r="F25" s="119"/>
      <c r="G25" s="119" t="str">
        <f>IF(OR(Prod[[#This Row],[S1Hrs]]&gt;0,Prod[[#This Row],[S2Hrs]]&gt;0,Prod[[#This Row],[S3Hrs]]&gt;0),"Running","Down")</f>
        <v>Down</v>
      </c>
      <c r="H25" s="140">
        <v>0</v>
      </c>
      <c r="I25" s="141">
        <v>0</v>
      </c>
      <c r="J25" s="120">
        <v>0</v>
      </c>
      <c r="K25" s="129">
        <v>0</v>
      </c>
      <c r="L25" s="120">
        <f>Prod[[#This Row],[S1Shot]]*Prod[[#This Row],[S1Cavity]]-Prod[[#This Row],[S1Dft]]</f>
        <v>0</v>
      </c>
      <c r="M25" s="133"/>
      <c r="N25" s="140">
        <v>0</v>
      </c>
      <c r="O25" s="141">
        <v>0</v>
      </c>
      <c r="P25" s="120">
        <v>0</v>
      </c>
      <c r="Q25" s="129">
        <v>0</v>
      </c>
      <c r="R25" s="120">
        <f>Prod[[#This Row],[S2Shot]]*Prod[[#This Row],[S2Cavity]]-Prod[[#This Row],[S2Dft]]</f>
        <v>0</v>
      </c>
      <c r="S25" s="133"/>
      <c r="T25" s="140">
        <v>0</v>
      </c>
      <c r="U25" s="141">
        <v>0</v>
      </c>
      <c r="V25" s="120">
        <v>0</v>
      </c>
      <c r="W25" s="129">
        <v>0</v>
      </c>
      <c r="X25" s="120">
        <f>Prod[[#This Row],[S3Shot]]*Prod[[#This Row],[S3Cavity]]-Prod[[#This Row],[S3Dft]]</f>
        <v>0</v>
      </c>
      <c r="Y25" s="133"/>
      <c r="Z25" s="120">
        <f>SUM(Prod[[#This Row],[S1Qty]],Prod[[#This Row],[S2Qty]],Prod[[#This Row],[S3Qty]])</f>
        <v>0</v>
      </c>
      <c r="AA25" s="133"/>
      <c r="AB25" s="134"/>
      <c r="AC25" s="118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1">
        <f>IF(Prod[[#This Row],[S1Hrs]]=0,0,Prod[[#This Row],[S1Shot]]*Prod[[#This Row],[S1Cycle]]/(Prod[[#This Row],[S1Hrs]]*60*60))</f>
        <v>0</v>
      </c>
      <c r="AT25" s="131">
        <f>IF(Prod[[#This Row],[S2Hrs]]=0,0,Prod[[#This Row],[S2Shot]]*Prod[[#This Row],[S2Cycle]]/(Prod[[#This Row],[S2Hrs]]*60*60))</f>
        <v>0</v>
      </c>
      <c r="AU25" s="131">
        <f>IF(Prod[[#This Row],[S3Hrs]]=0,0,Prod[[#This Row],[S3Shot]]*Prod[[#This Row],[S3Cycle]]/(Prod[[#This Row],[S3Hrs]]*60*60))</f>
        <v>0</v>
      </c>
      <c r="AV25" s="131">
        <f>IFERROR(AVERAGEIF(Prod[[#This Row],[S1%]:[S3%]], "&lt;&gt;0"),0)</f>
        <v>0</v>
      </c>
      <c r="AW25" s="131">
        <v>0</v>
      </c>
      <c r="AX25" s="131">
        <v>0</v>
      </c>
      <c r="AY25" s="131">
        <v>0</v>
      </c>
      <c r="AZ25" s="166">
        <f>IF(Prod[[#This Row],[S1Cycle]]&lt;&gt;0,1,0)</f>
        <v>0</v>
      </c>
      <c r="BA25" s="166">
        <f>IF(Prod[[#This Row],[S2Cycle]]&lt;&gt;0,1,0)</f>
        <v>0</v>
      </c>
      <c r="BB25" s="166">
        <f>IF(Prod[[#This Row],[S3Cycle]]&lt;&gt;0,1,0)</f>
        <v>0</v>
      </c>
      <c r="BC25" s="166">
        <f>MAX(Prod[[#This Row],[S1Cavity]],Prod[[#This Row],[S2Cavity]],Prod[[#This Row],[S3Cavity]])</f>
        <v>0</v>
      </c>
      <c r="BD25" s="166" t="b">
        <f>RegExpMatch(Prod[[#This Row],[MoldNo]], "^DW-(B|C)")</f>
        <v>0</v>
      </c>
    </row>
    <row r="26" spans="1:56" x14ac:dyDescent="0.2">
      <c r="A26" s="117">
        <v>45415</v>
      </c>
      <c r="B26" s="119" t="s">
        <v>179</v>
      </c>
      <c r="C26" s="119" t="s">
        <v>180</v>
      </c>
      <c r="D26" s="119">
        <v>25151</v>
      </c>
      <c r="E26" s="130" t="s">
        <v>92</v>
      </c>
      <c r="F26" s="119">
        <v>814</v>
      </c>
      <c r="G26" s="119" t="str">
        <f>IF(OR(Prod[[#This Row],[S1Hrs]]&gt;0,Prod[[#This Row],[S2Hrs]]&gt;0,Prod[[#This Row],[S3Hrs]]&gt;0),"Running","Down")</f>
        <v>Running</v>
      </c>
      <c r="H26" s="140">
        <v>12.44</v>
      </c>
      <c r="I26" s="141">
        <v>8</v>
      </c>
      <c r="J26" s="120">
        <v>2150</v>
      </c>
      <c r="K26" s="129">
        <v>8</v>
      </c>
      <c r="L26" s="120">
        <f>Prod[[#This Row],[S1Shot]]*Prod[[#This Row],[S1Cavity]]-Prod[[#This Row],[S1Dft]]</f>
        <v>17200</v>
      </c>
      <c r="M26" s="133"/>
      <c r="N26" s="140">
        <v>12.44</v>
      </c>
      <c r="O26" s="141">
        <v>8</v>
      </c>
      <c r="P26" s="120">
        <v>2480</v>
      </c>
      <c r="Q26" s="129">
        <v>8</v>
      </c>
      <c r="R26" s="120">
        <f>Prod[[#This Row],[S2Shot]]*Prod[[#This Row],[S2Cavity]]-Prod[[#This Row],[S2Dft]]</f>
        <v>19840</v>
      </c>
      <c r="S26" s="133"/>
      <c r="T26" s="140">
        <v>12.43</v>
      </c>
      <c r="U26" s="141">
        <v>8</v>
      </c>
      <c r="V26" s="120">
        <v>2066</v>
      </c>
      <c r="W26" s="129">
        <v>8</v>
      </c>
      <c r="X26" s="120">
        <f>Prod[[#This Row],[S3Shot]]*Prod[[#This Row],[S3Cavity]]-Prod[[#This Row],[S3Dft]]</f>
        <v>16528</v>
      </c>
      <c r="Y26" s="133"/>
      <c r="Z26" s="120">
        <f>SUM(Prod[[#This Row],[S1Qty]],Prod[[#This Row],[S2Qty]],Prod[[#This Row],[S3Qty]])</f>
        <v>53568</v>
      </c>
      <c r="AA26" s="133"/>
      <c r="AB26" s="134"/>
      <c r="AC26" s="130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1">
        <f>IF(Prod[[#This Row],[S1Hrs]]=0,0,Prod[[#This Row],[S1Shot]]*Prod[[#This Row],[S1Cycle]]/(Prod[[#This Row],[S1Hrs]]*60*60))</f>
        <v>0.92868055555555551</v>
      </c>
      <c r="AT26" s="131">
        <f>IF(Prod[[#This Row],[S2Hrs]]=0,0,Prod[[#This Row],[S2Shot]]*Prod[[#This Row],[S2Cycle]]/(Prod[[#This Row],[S2Hrs]]*60*60))</f>
        <v>1.0712222222222221</v>
      </c>
      <c r="AU26" s="131">
        <f>IF(Prod[[#This Row],[S3Hrs]]=0,0,Prod[[#This Row],[S3Shot]]*Prod[[#This Row],[S3Cycle]]/(Prod[[#This Row],[S3Hrs]]*60*60))</f>
        <v>0.89167986111111119</v>
      </c>
      <c r="AV26" s="131">
        <f>IFERROR(AVERAGEIF(Prod[[#This Row],[S1%]:[S3%]], "&lt;&gt;0"),0)</f>
        <v>0.96386087962962963</v>
      </c>
      <c r="AW26" s="131">
        <v>0</v>
      </c>
      <c r="AX26" s="131">
        <v>0</v>
      </c>
      <c r="AY26" s="131">
        <v>0</v>
      </c>
      <c r="AZ26" s="166">
        <f>IF(Prod[[#This Row],[S1Cycle]]&lt;&gt;0,1,0)</f>
        <v>1</v>
      </c>
      <c r="BA26" s="166">
        <f>IF(Prod[[#This Row],[S2Cycle]]&lt;&gt;0,1,0)</f>
        <v>1</v>
      </c>
      <c r="BB26" s="166">
        <f>IF(Prod[[#This Row],[S3Cycle]]&lt;&gt;0,1,0)</f>
        <v>1</v>
      </c>
      <c r="BC26" s="166">
        <f>MAX(Prod[[#This Row],[S1Cavity]],Prod[[#This Row],[S2Cavity]],Prod[[#This Row],[S3Cavity]])</f>
        <v>8</v>
      </c>
      <c r="BD26" s="166" t="b">
        <f>RegExpMatch(Prod[[#This Row],[MoldNo]], "^DW-(B|C)")</f>
        <v>0</v>
      </c>
    </row>
    <row r="27" spans="1:56" x14ac:dyDescent="0.2">
      <c r="A27" s="117">
        <v>45415</v>
      </c>
      <c r="B27" s="129" t="s">
        <v>192</v>
      </c>
      <c r="C27" s="130" t="s">
        <v>174</v>
      </c>
      <c r="D27" s="119">
        <v>27456</v>
      </c>
      <c r="E27" s="130" t="s">
        <v>191</v>
      </c>
      <c r="F27" s="119">
        <v>814</v>
      </c>
      <c r="G27" s="119" t="str">
        <f>IF(OR(Prod[[#This Row],[S1Hrs]]&gt;0,Prod[[#This Row],[S2Hrs]]&gt;0,Prod[[#This Row],[S3Hrs]]&gt;0),"Running","Down")</f>
        <v>Running</v>
      </c>
      <c r="H27" s="140">
        <v>15.1</v>
      </c>
      <c r="I27" s="141">
        <v>8</v>
      </c>
      <c r="J27" s="120">
        <v>1948</v>
      </c>
      <c r="K27" s="129">
        <v>16</v>
      </c>
      <c r="L27" s="120">
        <f>Prod[[#This Row],[S1Shot]]*Prod[[#This Row],[S1Cavity]]-Prod[[#This Row],[S1Dft]]</f>
        <v>31168</v>
      </c>
      <c r="M27" s="133"/>
      <c r="N27" s="140">
        <v>15.11</v>
      </c>
      <c r="O27" s="141">
        <v>8</v>
      </c>
      <c r="P27" s="120">
        <v>1974</v>
      </c>
      <c r="Q27" s="129">
        <v>16</v>
      </c>
      <c r="R27" s="120">
        <f>Prod[[#This Row],[S2Shot]]*Prod[[#This Row],[S2Cavity]]-Prod[[#This Row],[S2Dft]]</f>
        <v>31584</v>
      </c>
      <c r="S27" s="133"/>
      <c r="T27" s="140">
        <v>15.09</v>
      </c>
      <c r="U27" s="141">
        <v>8</v>
      </c>
      <c r="V27" s="120">
        <v>1774</v>
      </c>
      <c r="W27" s="129">
        <v>16</v>
      </c>
      <c r="X27" s="120">
        <f>Prod[[#This Row],[S3Shot]]*Prod[[#This Row],[S3Cavity]]-Prod[[#This Row],[S3Dft]]</f>
        <v>28384</v>
      </c>
      <c r="Y27" s="133"/>
      <c r="Z27" s="120">
        <f>SUM(Prod[[#This Row],[S1Qty]],Prod[[#This Row],[S2Qty]],Prod[[#This Row],[S3Qty]])</f>
        <v>91136</v>
      </c>
      <c r="AA27" s="133"/>
      <c r="AB27" s="134"/>
      <c r="AC27" s="130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1">
        <f>IF(Prod[[#This Row],[S1Hrs]]=0,0,Prod[[#This Row],[S1Shot]]*Prod[[#This Row],[S1Cycle]]/(Prod[[#This Row],[S1Hrs]]*60*60))</f>
        <v>1.0213472222222222</v>
      </c>
      <c r="AT27" s="131">
        <f>IF(Prod[[#This Row],[S2Hrs]]=0,0,Prod[[#This Row],[S2Shot]]*Prod[[#This Row],[S2Cycle]]/(Prod[[#This Row],[S2Hrs]]*60*60))</f>
        <v>1.0356645833333333</v>
      </c>
      <c r="AU27" s="131">
        <f>IF(Prod[[#This Row],[S3Hrs]]=0,0,Prod[[#This Row],[S3Shot]]*Prod[[#This Row],[S3Cycle]]/(Prod[[#This Row],[S3Hrs]]*60*60))</f>
        <v>0.92950208333333328</v>
      </c>
      <c r="AV27" s="131">
        <f>IFERROR(AVERAGEIF(Prod[[#This Row],[S1%]:[S3%]], "&lt;&gt;0"),0)</f>
        <v>0.99550462962962971</v>
      </c>
      <c r="AW27" s="131">
        <v>0</v>
      </c>
      <c r="AX27" s="131">
        <v>0</v>
      </c>
      <c r="AY27" s="131">
        <v>0</v>
      </c>
      <c r="AZ27" s="166">
        <f>IF(Prod[[#This Row],[S1Cycle]]&lt;&gt;0,1,0)</f>
        <v>1</v>
      </c>
      <c r="BA27" s="166">
        <f>IF(Prod[[#This Row],[S2Cycle]]&lt;&gt;0,1,0)</f>
        <v>1</v>
      </c>
      <c r="BB27" s="166">
        <f>IF(Prod[[#This Row],[S3Cycle]]&lt;&gt;0,1,0)</f>
        <v>1</v>
      </c>
      <c r="BC27" s="166">
        <f>MAX(Prod[[#This Row],[S1Cavity]],Prod[[#This Row],[S2Cavity]],Prod[[#This Row],[S3Cavity]])</f>
        <v>16</v>
      </c>
      <c r="BD27" s="166" t="b">
        <f>RegExpMatch(Prod[[#This Row],[MoldNo]], "^DW-(B|C)")</f>
        <v>0</v>
      </c>
    </row>
    <row r="28" spans="1:56" x14ac:dyDescent="0.2">
      <c r="A28" s="117">
        <v>45415</v>
      </c>
      <c r="B28" s="129" t="s">
        <v>216</v>
      </c>
      <c r="C28" s="130" t="s">
        <v>217</v>
      </c>
      <c r="D28" s="130" t="s">
        <v>214</v>
      </c>
      <c r="E28" s="130" t="s">
        <v>191</v>
      </c>
      <c r="F28" s="119">
        <v>814</v>
      </c>
      <c r="G28" s="119" t="str">
        <f>IF(OR(Prod[[#This Row],[S1Hrs]]&gt;0,Prod[[#This Row],[S2Hrs]]&gt;0,Prod[[#This Row],[S3Hrs]]&gt;0),"Running","Down")</f>
        <v>Running</v>
      </c>
      <c r="H28" s="140">
        <v>18.2</v>
      </c>
      <c r="I28" s="141">
        <v>0.5</v>
      </c>
      <c r="J28" s="120">
        <v>60</v>
      </c>
      <c r="K28" s="129">
        <v>7</v>
      </c>
      <c r="L28" s="120">
        <f>Prod[[#This Row],[S1Shot]]*Prod[[#This Row],[S1Cavity]]-Prod[[#This Row],[S1Dft]]</f>
        <v>395</v>
      </c>
      <c r="M28" s="135">
        <f>SUM(Prod[[#This Row],[S1Mold]],Prod[[#This Row],[S1Print]],Prod[[#This Row],[S1Ovlp]],Prod[[#This Row],[S1Seam]],Prod[[#This Row],[S1Dmg]])</f>
        <v>25</v>
      </c>
      <c r="N28" s="140">
        <v>18</v>
      </c>
      <c r="O28" s="141">
        <v>8</v>
      </c>
      <c r="P28" s="120">
        <v>1606</v>
      </c>
      <c r="Q28" s="129">
        <v>7</v>
      </c>
      <c r="R28" s="120">
        <f>Prod[[#This Row],[S2Shot]]*Prod[[#This Row],[S2Cavity]]-Prod[[#This Row],[S2Dft]]</f>
        <v>11092</v>
      </c>
      <c r="S28" s="135">
        <f>SUM(Prod[[#This Row],[S2Mold]],Prod[[#This Row],[S2Print]],Prod[[#This Row],[S2Ovlp]],Prod[[#This Row],[S2Seam]],Prod[[#This Row],[S2Dmg]])</f>
        <v>150</v>
      </c>
      <c r="T28" s="140">
        <v>17.989999999999998</v>
      </c>
      <c r="U28" s="141">
        <v>2.5</v>
      </c>
      <c r="V28" s="120">
        <v>495</v>
      </c>
      <c r="W28" s="129">
        <v>8</v>
      </c>
      <c r="X28" s="120">
        <f>Prod[[#This Row],[S3Shot]]*Prod[[#This Row],[S3Cavity]]-Prod[[#This Row],[S3Dft]]</f>
        <v>3895</v>
      </c>
      <c r="Y28" s="120">
        <f>SUM(Prod[[#This Row],[S3Mold]],Prod[[#This Row],[S3Print]],Prod[[#This Row],[S3Ovlp]],Prod[[#This Row],[S3Seam]],Prod[[#This Row],[S3Dmg]])</f>
        <v>65</v>
      </c>
      <c r="Z28" s="120">
        <f>SUM(Prod[[#This Row],[S1Qty]],Prod[[#This Row],[S2Qty]],Prod[[#This Row],[S3Qty]])</f>
        <v>15382</v>
      </c>
      <c r="AA28" s="120">
        <f>SUM(Prod[[#This Row],[S1Dft]],Prod[[#This Row],[S2Dft]],Prod[[#This Row],[S3Dft]])</f>
        <v>240</v>
      </c>
      <c r="AB28" s="121">
        <f>IF(Prod[[#This Row],[Total]]=0,0,Prod[[#This Row],[TotalDft]]/Prod[[#This Row],[Total]])</f>
        <v>1.5602652450916656E-2</v>
      </c>
      <c r="AC28" s="118"/>
      <c r="AD28" s="120">
        <v>5</v>
      </c>
      <c r="AE28" s="120">
        <v>30</v>
      </c>
      <c r="AF28" s="120">
        <v>15</v>
      </c>
      <c r="AG28" s="120">
        <v>20</v>
      </c>
      <c r="AH28" s="120">
        <v>120</v>
      </c>
      <c r="AI28" s="120">
        <v>50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1">
        <f>IF(Prod[[#This Row],[S1Hrs]]=0,0,Prod[[#This Row],[S1Shot]]*Prod[[#This Row],[S1Cycle]]/(Prod[[#This Row],[S1Hrs]]*60*60))</f>
        <v>0.60666666666666669</v>
      </c>
      <c r="AT28" s="131">
        <f>IF(Prod[[#This Row],[S2Hrs]]=0,0,Prod[[#This Row],[S2Shot]]*Prod[[#This Row],[S2Cycle]]/(Prod[[#This Row],[S2Hrs]]*60*60))</f>
        <v>1.0037499999999999</v>
      </c>
      <c r="AU28" s="131">
        <f>IF(Prod[[#This Row],[S3Hrs]]=0,0,Prod[[#This Row],[S3Shot]]*Prod[[#This Row],[S3Cycle]]/(Prod[[#This Row],[S3Hrs]]*60*60))</f>
        <v>0.98944999999999994</v>
      </c>
      <c r="AV28" s="131">
        <f>IFERROR(AVERAGEIF(Prod[[#This Row],[S1%]:[S3%]], "&lt;&gt;0"),0)</f>
        <v>0.86662222222222207</v>
      </c>
      <c r="AW28" s="131">
        <v>0</v>
      </c>
      <c r="AX28" s="131">
        <v>0</v>
      </c>
      <c r="AY28" s="131">
        <v>0</v>
      </c>
      <c r="AZ28" s="166">
        <f>IF(Prod[[#This Row],[S1Cycle]]&lt;&gt;0,1,0)</f>
        <v>1</v>
      </c>
      <c r="BA28" s="166">
        <f>IF(Prod[[#This Row],[S2Cycle]]&lt;&gt;0,1,0)</f>
        <v>1</v>
      </c>
      <c r="BB28" s="166">
        <f>IF(Prod[[#This Row],[S3Cycle]]&lt;&gt;0,1,0)</f>
        <v>1</v>
      </c>
      <c r="BC28" s="166">
        <f>MAX(Prod[[#This Row],[S1Cavity]],Prod[[#This Row],[S2Cavity]],Prod[[#This Row],[S3Cavity]])</f>
        <v>8</v>
      </c>
      <c r="BD28" s="166" t="b">
        <f>RegExpMatch(Prod[[#This Row],[MoldNo]], "^DW-(B|C)")</f>
        <v>1</v>
      </c>
    </row>
    <row r="29" spans="1:56" x14ac:dyDescent="0.2">
      <c r="A29" s="117">
        <v>45415</v>
      </c>
      <c r="B29" s="129" t="s">
        <v>216</v>
      </c>
      <c r="C29" s="130" t="s">
        <v>217</v>
      </c>
      <c r="D29" s="130" t="s">
        <v>215</v>
      </c>
      <c r="E29" s="130" t="s">
        <v>191</v>
      </c>
      <c r="F29" s="119">
        <v>814</v>
      </c>
      <c r="G29" s="119" t="str">
        <f>IF(OR(Prod[[#This Row],[S1Hrs]]&gt;0,Prod[[#This Row],[S2Hrs]]&gt;0,Prod[[#This Row],[S3Hrs]]&gt;0),"Running","Down")</f>
        <v>Running</v>
      </c>
      <c r="H29" s="140">
        <v>0</v>
      </c>
      <c r="I29" s="141">
        <v>0</v>
      </c>
      <c r="J29" s="120">
        <v>0</v>
      </c>
      <c r="K29" s="129">
        <v>0</v>
      </c>
      <c r="L29" s="120">
        <f>Prod[[#This Row],[S1Shot]]*Prod[[#This Row],[S1Cavity]]-Prod[[#This Row],[S1Dft]]</f>
        <v>0</v>
      </c>
      <c r="M29" s="135">
        <f>SUM(Prod[[#This Row],[S1Mold]],Prod[[#This Row],[S1Print]],Prod[[#This Row],[S1Ovlp]],Prod[[#This Row],[S1Seam]],Prod[[#This Row],[S1Dmg]])</f>
        <v>0</v>
      </c>
      <c r="N29" s="140">
        <v>0</v>
      </c>
      <c r="O29" s="141">
        <v>0</v>
      </c>
      <c r="P29" s="120">
        <v>0</v>
      </c>
      <c r="Q29" s="129">
        <v>0</v>
      </c>
      <c r="R29" s="120">
        <f>Prod[[#This Row],[S2Shot]]*Prod[[#This Row],[S2Cavity]]-Prod[[#This Row],[S2Dft]]</f>
        <v>0</v>
      </c>
      <c r="S29" s="135">
        <f>SUM(Prod[[#This Row],[S2Mold]],Prod[[#This Row],[S2Print]],Prod[[#This Row],[S2Ovlp]],Prod[[#This Row],[S2Seam]],Prod[[#This Row],[S2Dmg]])</f>
        <v>0</v>
      </c>
      <c r="T29" s="140">
        <v>17.989999999999998</v>
      </c>
      <c r="U29" s="141">
        <v>0.5</v>
      </c>
      <c r="V29" s="120">
        <v>105</v>
      </c>
      <c r="W29" s="129">
        <v>8</v>
      </c>
      <c r="X29" s="120">
        <f>Prod[[#This Row],[S3Shot]]*Prod[[#This Row],[S3Cavity]]-Prod[[#This Row],[S3Dft]]</f>
        <v>822</v>
      </c>
      <c r="Y29" s="120">
        <f>SUM(Prod[[#This Row],[S3Mold]],Prod[[#This Row],[S3Print]],Prod[[#This Row],[S3Ovlp]],Prod[[#This Row],[S3Seam]],Prod[[#This Row],[S3Dmg]])</f>
        <v>18</v>
      </c>
      <c r="Z29" s="120">
        <f>SUM(Prod[[#This Row],[S1Qty]],Prod[[#This Row],[S2Qty]],Prod[[#This Row],[S3Qty]])</f>
        <v>822</v>
      </c>
      <c r="AA29" s="120">
        <f>SUM(Prod[[#This Row],[S1Dft]],Prod[[#This Row],[S2Dft]],Prod[[#This Row],[S3Dft]])</f>
        <v>18</v>
      </c>
      <c r="AB29" s="121">
        <f>IF(Prod[[#This Row],[Total]]=0,0,Prod[[#This Row],[TotalDft]]/Prod[[#This Row],[Total]])</f>
        <v>2.1897810218978103E-2</v>
      </c>
      <c r="AC29" s="130" t="s">
        <v>218</v>
      </c>
      <c r="AD29" s="120">
        <v>0</v>
      </c>
      <c r="AE29" s="120">
        <v>0</v>
      </c>
      <c r="AF29" s="120">
        <v>3</v>
      </c>
      <c r="AG29" s="120">
        <v>0</v>
      </c>
      <c r="AH29" s="120">
        <v>0</v>
      </c>
      <c r="AI29" s="120">
        <v>15</v>
      </c>
      <c r="AJ29" s="120">
        <v>0</v>
      </c>
      <c r="AK29" s="120">
        <v>0</v>
      </c>
      <c r="AL29" s="120">
        <v>0</v>
      </c>
      <c r="AM29" s="120">
        <v>0</v>
      </c>
      <c r="AN29" s="120">
        <v>0</v>
      </c>
      <c r="AO29" s="120">
        <v>0</v>
      </c>
      <c r="AP29" s="120">
        <v>0</v>
      </c>
      <c r="AQ29" s="120">
        <v>0</v>
      </c>
      <c r="AR29" s="120">
        <v>0</v>
      </c>
      <c r="AS29" s="131">
        <f>IF(Prod[[#This Row],[S1Hrs]]=0,0,Prod[[#This Row],[S1Shot]]*Prod[[#This Row],[S1Cycle]]/(Prod[[#This Row],[S1Hrs]]*60*60))</f>
        <v>0</v>
      </c>
      <c r="AT29" s="131">
        <f>IF(Prod[[#This Row],[S2Hrs]]=0,0,Prod[[#This Row],[S2Shot]]*Prod[[#This Row],[S2Cycle]]/(Prod[[#This Row],[S2Hrs]]*60*60))</f>
        <v>0</v>
      </c>
      <c r="AU29" s="131">
        <f>IF(Prod[[#This Row],[S3Hrs]]=0,0,Prod[[#This Row],[S3Shot]]*Prod[[#This Row],[S3Cycle]]/(Prod[[#This Row],[S3Hrs]]*60*60))</f>
        <v>1.0494166666666667</v>
      </c>
      <c r="AV29" s="131">
        <f>IFERROR(AVERAGEIF(Prod[[#This Row],[S1%]:[S3%]], "&lt;&gt;0"),0)</f>
        <v>1.0494166666666667</v>
      </c>
      <c r="AW29" s="131">
        <v>0</v>
      </c>
      <c r="AX29" s="131">
        <v>0</v>
      </c>
      <c r="AY29" s="131">
        <v>0</v>
      </c>
      <c r="AZ29" s="166">
        <f>IF(Prod[[#This Row],[S1Cycle]]&lt;&gt;0,1,0)</f>
        <v>0</v>
      </c>
      <c r="BA29" s="166">
        <f>IF(Prod[[#This Row],[S2Cycle]]&lt;&gt;0,1,0)</f>
        <v>0</v>
      </c>
      <c r="BB29" s="166">
        <f>IF(Prod[[#This Row],[S3Cycle]]&lt;&gt;0,1,0)</f>
        <v>1</v>
      </c>
      <c r="BC29" s="166">
        <f>MAX(Prod[[#This Row],[S1Cavity]],Prod[[#This Row],[S2Cavity]],Prod[[#This Row],[S3Cavity]])</f>
        <v>8</v>
      </c>
      <c r="BD29" s="166" t="b">
        <f>RegExpMatch(Prod[[#This Row],[MoldNo]], "^DW-(B|C)")</f>
        <v>1</v>
      </c>
    </row>
    <row r="30" spans="1:56" x14ac:dyDescent="0.2">
      <c r="A30" s="117">
        <v>45415</v>
      </c>
      <c r="B30" s="120" t="s">
        <v>175</v>
      </c>
      <c r="C30" s="119" t="s">
        <v>178</v>
      </c>
      <c r="D30" s="130" t="s">
        <v>209</v>
      </c>
      <c r="E30" s="130" t="s">
        <v>191</v>
      </c>
      <c r="F30" s="119">
        <v>814</v>
      </c>
      <c r="G30" s="119" t="str">
        <f>IF(OR(Prod[[#This Row],[S1Hrs]]&gt;0,Prod[[#This Row],[S2Hrs]]&gt;0,Prod[[#This Row],[S3Hrs]]&gt;0),"Running","Down")</f>
        <v>Running</v>
      </c>
      <c r="H30" s="140">
        <v>19.29</v>
      </c>
      <c r="I30" s="141">
        <v>8</v>
      </c>
      <c r="J30" s="120">
        <v>1267</v>
      </c>
      <c r="K30" s="129">
        <v>8</v>
      </c>
      <c r="L30" s="120">
        <f>Prod[[#This Row],[S1Shot]]*Prod[[#This Row],[S1Cavity]]-Prod[[#This Row],[S1Dft]]</f>
        <v>10016</v>
      </c>
      <c r="M30" s="135">
        <f>SUM(Prod[[#This Row],[S1Mold]],Prod[[#This Row],[S1Print]],Prod[[#This Row],[S1Ovlp]],Prod[[#This Row],[S1Seam]],Prod[[#This Row],[S1Dmg]])</f>
        <v>120</v>
      </c>
      <c r="N30" s="140">
        <v>19.18</v>
      </c>
      <c r="O30" s="141">
        <v>8</v>
      </c>
      <c r="P30" s="120">
        <v>1395</v>
      </c>
      <c r="Q30" s="129">
        <v>8</v>
      </c>
      <c r="R30" s="120">
        <f>Prod[[#This Row],[S2Shot]]*Prod[[#This Row],[S2Cavity]]-Prod[[#This Row],[S2Dft]]</f>
        <v>11055</v>
      </c>
      <c r="S30" s="135">
        <f>SUM(Prod[[#This Row],[S2Mold]],Prod[[#This Row],[S2Print]],Prod[[#This Row],[S2Ovlp]],Prod[[#This Row],[S2Seam]],Prod[[#This Row],[S2Dmg]])</f>
        <v>105</v>
      </c>
      <c r="T30" s="140">
        <v>19.190000000000001</v>
      </c>
      <c r="U30" s="141">
        <v>8</v>
      </c>
      <c r="V30" s="120">
        <v>1509</v>
      </c>
      <c r="W30" s="129">
        <v>8</v>
      </c>
      <c r="X30" s="120">
        <f>Prod[[#This Row],[S3Shot]]*Prod[[#This Row],[S3Cavity]]-Prod[[#This Row],[S3Dft]]</f>
        <v>11932</v>
      </c>
      <c r="Y30" s="120">
        <f>SUM(Prod[[#This Row],[S3Mold]],Prod[[#This Row],[S3Print]],Prod[[#This Row],[S3Ovlp]],Prod[[#This Row],[S3Seam]],Prod[[#This Row],[S3Dmg]])</f>
        <v>140</v>
      </c>
      <c r="Z30" s="120">
        <f>SUM(Prod[[#This Row],[S1Qty]],Prod[[#This Row],[S2Qty]],Prod[[#This Row],[S3Qty]])</f>
        <v>33003</v>
      </c>
      <c r="AA30" s="120">
        <f>SUM(Prod[[#This Row],[S1Dft]],Prod[[#This Row],[S2Dft]],Prod[[#This Row],[S3Dft]])</f>
        <v>365</v>
      </c>
      <c r="AB30" s="121">
        <f>IF(Prod[[#This Row],[Total]]=0,0,Prod[[#This Row],[TotalDft]]/Prod[[#This Row],[Total]])</f>
        <v>1.1059600642365846E-2</v>
      </c>
      <c r="AC30" s="130"/>
      <c r="AD30" s="120">
        <v>20</v>
      </c>
      <c r="AE30" s="120">
        <v>15</v>
      </c>
      <c r="AF30" s="120">
        <v>20</v>
      </c>
      <c r="AG30" s="120">
        <v>100</v>
      </c>
      <c r="AH30" s="120">
        <v>90</v>
      </c>
      <c r="AI30" s="120">
        <v>120</v>
      </c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>
        <v>0</v>
      </c>
      <c r="AP30" s="120">
        <v>0</v>
      </c>
      <c r="AQ30" s="120">
        <v>0</v>
      </c>
      <c r="AR30" s="120">
        <v>0</v>
      </c>
      <c r="AS30" s="131">
        <f>IF(Prod[[#This Row],[S1Hrs]]=0,0,Prod[[#This Row],[S1Shot]]*Prod[[#This Row],[S1Cycle]]/(Prod[[#This Row],[S1Hrs]]*60*60))</f>
        <v>0.84862604166666666</v>
      </c>
      <c r="AT30" s="131">
        <f>IF(Prod[[#This Row],[S2Hrs]]=0,0,Prod[[#This Row],[S2Shot]]*Prod[[#This Row],[S2Cycle]]/(Prod[[#This Row],[S2Hrs]]*60*60))</f>
        <v>0.92903124999999998</v>
      </c>
      <c r="AU30" s="131">
        <f>IF(Prod[[#This Row],[S3Hrs]]=0,0,Prod[[#This Row],[S3Shot]]*Prod[[#This Row],[S3Cycle]]/(Prod[[#This Row],[S3Hrs]]*60*60))</f>
        <v>1.0054760416666668</v>
      </c>
      <c r="AV30" s="131">
        <f>IFERROR(AVERAGEIF(Prod[[#This Row],[S1%]:[S3%]], "&lt;&gt;0"),0)</f>
        <v>0.92771111111111126</v>
      </c>
      <c r="AW30" s="131">
        <v>0</v>
      </c>
      <c r="AX30" s="131">
        <v>0</v>
      </c>
      <c r="AY30" s="131">
        <v>0</v>
      </c>
      <c r="AZ30" s="166">
        <f>IF(Prod[[#This Row],[S1Cycle]]&lt;&gt;0,1,0)</f>
        <v>1</v>
      </c>
      <c r="BA30" s="166">
        <f>IF(Prod[[#This Row],[S2Cycle]]&lt;&gt;0,1,0)</f>
        <v>1</v>
      </c>
      <c r="BB30" s="166">
        <f>IF(Prod[[#This Row],[S3Cycle]]&lt;&gt;0,1,0)</f>
        <v>1</v>
      </c>
      <c r="BC30" s="166">
        <f>MAX(Prod[[#This Row],[S1Cavity]],Prod[[#This Row],[S2Cavity]],Prod[[#This Row],[S3Cavity]])</f>
        <v>8</v>
      </c>
      <c r="BD30" s="166" t="b">
        <f>RegExpMatch(Prod[[#This Row],[MoldNo]], "^DW-(B|C)")</f>
        <v>1</v>
      </c>
    </row>
    <row r="31" spans="1:56" x14ac:dyDescent="0.2">
      <c r="A31" s="117">
        <v>45415</v>
      </c>
      <c r="B31" s="120" t="s">
        <v>177</v>
      </c>
      <c r="C31" s="119" t="s">
        <v>176</v>
      </c>
      <c r="D31" s="130" t="s">
        <v>209</v>
      </c>
      <c r="E31" s="130" t="s">
        <v>191</v>
      </c>
      <c r="F31" s="119">
        <v>814</v>
      </c>
      <c r="G31" s="119" t="str">
        <f>IF(OR(Prod[[#This Row],[S1Hrs]]&gt;0,Prod[[#This Row],[S2Hrs]]&gt;0,Prod[[#This Row],[S3Hrs]]&gt;0),"Running","Down")</f>
        <v>Running</v>
      </c>
      <c r="H31" s="140">
        <v>25.78</v>
      </c>
      <c r="I31" s="141">
        <v>8</v>
      </c>
      <c r="J31" s="120">
        <v>1117</v>
      </c>
      <c r="K31" s="129">
        <v>8</v>
      </c>
      <c r="L31" s="120">
        <f>Prod[[#This Row],[S1Shot]]*Prod[[#This Row],[S1Cavity]]-Prod[[#This Row],[S1Dft]]</f>
        <v>8816</v>
      </c>
      <c r="M31" s="135">
        <f>SUM(Prod[[#This Row],[S1Mold]],Prod[[#This Row],[S1Print]],Prod[[#This Row],[S1Ovlp]],Prod[[#This Row],[S1Seam]],Prod[[#This Row],[S1Dmg]])</f>
        <v>120</v>
      </c>
      <c r="N31" s="140">
        <v>25.79</v>
      </c>
      <c r="O31" s="141">
        <v>8</v>
      </c>
      <c r="P31" s="120">
        <v>1096</v>
      </c>
      <c r="Q31" s="129">
        <v>8</v>
      </c>
      <c r="R31" s="120">
        <f>Prod[[#This Row],[S2Shot]]*Prod[[#This Row],[S2Cavity]]-Prod[[#This Row],[S2Dft]]</f>
        <v>8663</v>
      </c>
      <c r="S31" s="135">
        <f>SUM(Prod[[#This Row],[S2Mold]],Prod[[#This Row],[S2Print]],Prod[[#This Row],[S2Ovlp]],Prod[[#This Row],[S2Seam]],Prod[[#This Row],[S2Dmg]])</f>
        <v>105</v>
      </c>
      <c r="T31" s="140">
        <v>25.89</v>
      </c>
      <c r="U31" s="141">
        <v>8</v>
      </c>
      <c r="V31" s="120">
        <v>1107</v>
      </c>
      <c r="W31" s="129">
        <v>8</v>
      </c>
      <c r="X31" s="120">
        <f>Prod[[#This Row],[S3Shot]]*Prod[[#This Row],[S3Cavity]]-Prod[[#This Row],[S3Dft]]</f>
        <v>8746</v>
      </c>
      <c r="Y31" s="120">
        <f>SUM(Prod[[#This Row],[S3Mold]],Prod[[#This Row],[S3Print]],Prod[[#This Row],[S3Ovlp]],Prod[[#This Row],[S3Seam]],Prod[[#This Row],[S3Dmg]])</f>
        <v>110</v>
      </c>
      <c r="Z31" s="120">
        <f>SUM(Prod[[#This Row],[S1Qty]],Prod[[#This Row],[S2Qty]],Prod[[#This Row],[S3Qty]])</f>
        <v>26225</v>
      </c>
      <c r="AA31" s="120">
        <f>SUM(Prod[[#This Row],[S1Dft]],Prod[[#This Row],[S2Dft]],Prod[[#This Row],[S3Dft]])</f>
        <v>335</v>
      </c>
      <c r="AB31" s="121">
        <f>IF(Prod[[#This Row],[Total]]=0,0,Prod[[#This Row],[TotalDft]]/Prod[[#This Row],[Total]])</f>
        <v>1.2774070543374642E-2</v>
      </c>
      <c r="AC31" s="118"/>
      <c r="AD31" s="120">
        <v>20</v>
      </c>
      <c r="AE31" s="120">
        <v>25</v>
      </c>
      <c r="AF31" s="120">
        <v>20</v>
      </c>
      <c r="AG31" s="120">
        <v>100</v>
      </c>
      <c r="AH31" s="120">
        <v>80</v>
      </c>
      <c r="AI31" s="120">
        <v>90</v>
      </c>
      <c r="AJ31" s="120">
        <v>0</v>
      </c>
      <c r="AK31" s="120">
        <v>0</v>
      </c>
      <c r="AL31" s="120">
        <v>0</v>
      </c>
      <c r="AM31" s="120">
        <v>0</v>
      </c>
      <c r="AN31" s="120">
        <v>0</v>
      </c>
      <c r="AO31" s="120">
        <v>0</v>
      </c>
      <c r="AP31" s="120">
        <v>0</v>
      </c>
      <c r="AQ31" s="120">
        <v>0</v>
      </c>
      <c r="AR31" s="120">
        <v>0</v>
      </c>
      <c r="AS31" s="131">
        <f>IF(Prod[[#This Row],[S1Hrs]]=0,0,Prod[[#This Row],[S1Shot]]*Prod[[#This Row],[S1Cycle]]/(Prod[[#This Row],[S1Hrs]]*60*60))</f>
        <v>0.99987013888888898</v>
      </c>
      <c r="AT31" s="131">
        <f>IF(Prod[[#This Row],[S2Hrs]]=0,0,Prod[[#This Row],[S2Shot]]*Prod[[#This Row],[S2Cycle]]/(Prod[[#This Row],[S2Hrs]]*60*60))</f>
        <v>0.98145277777777773</v>
      </c>
      <c r="AU31" s="131">
        <f>IF(Prod[[#This Row],[S3Hrs]]=0,0,Prod[[#This Row],[S3Shot]]*Prod[[#This Row],[S3Cycle]]/(Prod[[#This Row],[S3Hrs]]*60*60))</f>
        <v>0.99514687499999999</v>
      </c>
      <c r="AV31" s="131">
        <f>IFERROR(AVERAGEIF(Prod[[#This Row],[S1%]:[S3%]], "&lt;&gt;0"),0)</f>
        <v>0.99215659722222227</v>
      </c>
      <c r="AW31" s="131">
        <v>0</v>
      </c>
      <c r="AX31" s="131">
        <v>0</v>
      </c>
      <c r="AY31" s="131">
        <v>0</v>
      </c>
      <c r="AZ31" s="166">
        <f>IF(Prod[[#This Row],[S1Cycle]]&lt;&gt;0,1,0)</f>
        <v>1</v>
      </c>
      <c r="BA31" s="166">
        <f>IF(Prod[[#This Row],[S2Cycle]]&lt;&gt;0,1,0)</f>
        <v>1</v>
      </c>
      <c r="BB31" s="166">
        <f>IF(Prod[[#This Row],[S3Cycle]]&lt;&gt;0,1,0)</f>
        <v>1</v>
      </c>
      <c r="BC31" s="166">
        <f>MAX(Prod[[#This Row],[S1Cavity]],Prod[[#This Row],[S2Cavity]],Prod[[#This Row],[S3Cavity]])</f>
        <v>8</v>
      </c>
      <c r="BD31" s="166" t="b">
        <f>RegExpMatch(Prod[[#This Row],[MoldNo]], "^DW-(B|C)")</f>
        <v>1</v>
      </c>
    </row>
    <row r="32" spans="1:56" x14ac:dyDescent="0.2">
      <c r="A32" s="117">
        <v>45415</v>
      </c>
      <c r="B32" s="129" t="s">
        <v>186</v>
      </c>
      <c r="C32" s="130" t="s">
        <v>188</v>
      </c>
      <c r="D32" s="130" t="s">
        <v>194</v>
      </c>
      <c r="E32" s="130" t="s">
        <v>191</v>
      </c>
      <c r="F32" s="119">
        <v>814</v>
      </c>
      <c r="G32" s="119" t="str">
        <f>IF(OR(Prod[[#This Row],[S1Hrs]]&gt;0,Prod[[#This Row],[S2Hrs]]&gt;0,Prod[[#This Row],[S3Hrs]]&gt;0),"Running","Down")</f>
        <v>Running</v>
      </c>
      <c r="H32" s="140">
        <v>22.99</v>
      </c>
      <c r="I32" s="141">
        <v>4</v>
      </c>
      <c r="J32" s="120">
        <v>538</v>
      </c>
      <c r="K32" s="129">
        <v>8</v>
      </c>
      <c r="L32" s="120">
        <f>Prod[[#This Row],[S1Shot]]*Prod[[#This Row],[S1Cavity]]-Prod[[#This Row],[S1Dft]]</f>
        <v>4204</v>
      </c>
      <c r="M32" s="135">
        <f>SUM(Prod[[#This Row],[S1Mold]],Prod[[#This Row],[S1Print]],Prod[[#This Row],[S1Ovlp]],Prod[[#This Row],[S1Seam]],Prod[[#This Row],[S1Dmg]])</f>
        <v>100</v>
      </c>
      <c r="N32" s="140">
        <v>22.78</v>
      </c>
      <c r="O32" s="141">
        <v>2</v>
      </c>
      <c r="P32" s="120">
        <v>290</v>
      </c>
      <c r="Q32" s="129">
        <v>8</v>
      </c>
      <c r="R32" s="120">
        <f>Prod[[#This Row],[S2Shot]]*Prod[[#This Row],[S2Cavity]]-Prod[[#This Row],[S2Dft]]</f>
        <v>2260</v>
      </c>
      <c r="S32" s="135">
        <f>SUM(Prod[[#This Row],[S2Mold]],Prod[[#This Row],[S2Print]],Prod[[#This Row],[S2Ovlp]],Prod[[#This Row],[S2Seam]],Prod[[#This Row],[S2Dmg]])</f>
        <v>60</v>
      </c>
      <c r="T32" s="140">
        <v>22.73</v>
      </c>
      <c r="U32" s="141">
        <v>8</v>
      </c>
      <c r="V32" s="120">
        <v>1136</v>
      </c>
      <c r="W32" s="129">
        <v>8</v>
      </c>
      <c r="X32" s="120">
        <f>Prod[[#This Row],[S3Shot]]*Prod[[#This Row],[S3Cavity]]-Prod[[#This Row],[S3Dft]]</f>
        <v>8953</v>
      </c>
      <c r="Y32" s="120">
        <f>SUM(Prod[[#This Row],[S3Mold]],Prod[[#This Row],[S3Print]],Prod[[#This Row],[S3Ovlp]],Prod[[#This Row],[S3Seam]],Prod[[#This Row],[S3Dmg]])</f>
        <v>135</v>
      </c>
      <c r="Z32" s="120">
        <f>SUM(Prod[[#This Row],[S1Qty]],Prod[[#This Row],[S2Qty]],Prod[[#This Row],[S3Qty]])</f>
        <v>15417</v>
      </c>
      <c r="AA32" s="120">
        <f>SUM(Prod[[#This Row],[S1Dft]],Prod[[#This Row],[S2Dft]],Prod[[#This Row],[S3Dft]])</f>
        <v>295</v>
      </c>
      <c r="AB32" s="121">
        <f>IF(Prod[[#This Row],[Total]]=0,0,Prod[[#This Row],[TotalDft]]/Prod[[#This Row],[Total]])</f>
        <v>1.9134721411428943E-2</v>
      </c>
      <c r="AC32" s="130" t="s">
        <v>219</v>
      </c>
      <c r="AD32" s="120">
        <v>20</v>
      </c>
      <c r="AE32" s="120">
        <v>10</v>
      </c>
      <c r="AF32" s="120">
        <v>25</v>
      </c>
      <c r="AG32" s="120">
        <v>80</v>
      </c>
      <c r="AH32" s="120">
        <v>50</v>
      </c>
      <c r="AI32" s="120">
        <v>110</v>
      </c>
      <c r="AJ32" s="120">
        <v>0</v>
      </c>
      <c r="AK32" s="120">
        <v>0</v>
      </c>
      <c r="AL32" s="120">
        <v>0</v>
      </c>
      <c r="AM32" s="120">
        <v>0</v>
      </c>
      <c r="AN32" s="120">
        <v>0</v>
      </c>
      <c r="AO32" s="120">
        <v>0</v>
      </c>
      <c r="AP32" s="120">
        <v>0</v>
      </c>
      <c r="AQ32" s="120">
        <v>0</v>
      </c>
      <c r="AR32" s="120">
        <v>0</v>
      </c>
      <c r="AS32" s="131">
        <f>IF(Prod[[#This Row],[S1Hrs]]=0,0,Prod[[#This Row],[S1Shot]]*Prod[[#This Row],[S1Cycle]]/(Prod[[#This Row],[S1Hrs]]*60*60))</f>
        <v>0.85893194444444443</v>
      </c>
      <c r="AT32" s="131">
        <f>IF(Prod[[#This Row],[S2Hrs]]=0,0,Prod[[#This Row],[S2Shot]]*Prod[[#This Row],[S2Cycle]]/(Prod[[#This Row],[S2Hrs]]*60*60))</f>
        <v>0.91752777777777783</v>
      </c>
      <c r="AU32" s="131">
        <f>IF(Prod[[#This Row],[S3Hrs]]=0,0,Prod[[#This Row],[S3Shot]]*Prod[[#This Row],[S3Cycle]]/(Prod[[#This Row],[S3Hrs]]*60*60))</f>
        <v>0.89657222222222221</v>
      </c>
      <c r="AV32" s="131">
        <f>IFERROR(AVERAGEIF(Prod[[#This Row],[S1%]:[S3%]], "&lt;&gt;0"),0)</f>
        <v>0.89101064814814812</v>
      </c>
      <c r="AW32" s="131">
        <v>0</v>
      </c>
      <c r="AX32" s="131">
        <v>10</v>
      </c>
      <c r="AY32" s="131">
        <v>0</v>
      </c>
      <c r="AZ32" s="166">
        <f>IF(Prod[[#This Row],[S1Cycle]]&lt;&gt;0,1,0)</f>
        <v>1</v>
      </c>
      <c r="BA32" s="166">
        <f>IF(Prod[[#This Row],[S2Cycle]]&lt;&gt;0,1,0)</f>
        <v>1</v>
      </c>
      <c r="BB32" s="166">
        <f>IF(Prod[[#This Row],[S3Cycle]]&lt;&gt;0,1,0)</f>
        <v>1</v>
      </c>
      <c r="BC32" s="166">
        <f>MAX(Prod[[#This Row],[S1Cavity]],Prod[[#This Row],[S2Cavity]],Prod[[#This Row],[S3Cavity]])</f>
        <v>8</v>
      </c>
      <c r="BD32" s="166" t="b">
        <f>RegExpMatch(Prod[[#This Row],[MoldNo]], "^DW-(B|C)")</f>
        <v>1</v>
      </c>
    </row>
    <row r="33" spans="1:56" x14ac:dyDescent="0.2">
      <c r="A33" s="117">
        <v>45415</v>
      </c>
      <c r="B33" s="129" t="s">
        <v>187</v>
      </c>
      <c r="C33" s="130" t="s">
        <v>189</v>
      </c>
      <c r="D33" s="130"/>
      <c r="E33" s="130"/>
      <c r="F33" s="119"/>
      <c r="G33" s="119" t="str">
        <f>IF(OR(Prod[[#This Row],[S1Hrs]]&gt;0,Prod[[#This Row],[S2Hrs]]&gt;0,Prod[[#This Row],[S3Hrs]]&gt;0),"Running","Down")</f>
        <v>Down</v>
      </c>
      <c r="H33" s="140">
        <v>0</v>
      </c>
      <c r="I33" s="141">
        <v>0</v>
      </c>
      <c r="J33" s="120">
        <v>0</v>
      </c>
      <c r="K33" s="129">
        <v>0</v>
      </c>
      <c r="L33" s="120">
        <f>Prod[[#This Row],[S1Shot]]*Prod[[#This Row],[S1Cavity]]-Prod[[#This Row],[S1Dft]]</f>
        <v>0</v>
      </c>
      <c r="M33" s="135">
        <f>SUM(Prod[[#This Row],[S1Mold]],Prod[[#This Row],[S1Print]],Prod[[#This Row],[S1Ovlp]],Prod[[#This Row],[S1Seam]],Prod[[#This Row],[S1Dmg]])</f>
        <v>0</v>
      </c>
      <c r="N33" s="140">
        <v>0</v>
      </c>
      <c r="O33" s="141">
        <v>0</v>
      </c>
      <c r="P33" s="120">
        <v>0</v>
      </c>
      <c r="Q33" s="129">
        <v>0</v>
      </c>
      <c r="R33" s="120">
        <f>Prod[[#This Row],[S2Shot]]*Prod[[#This Row],[S2Cavity]]-Prod[[#This Row],[S2Dft]]</f>
        <v>0</v>
      </c>
      <c r="S33" s="135">
        <f>SUM(Prod[[#This Row],[S2Mold]],Prod[[#This Row],[S2Print]],Prod[[#This Row],[S2Ovlp]],Prod[[#This Row],[S2Seam]],Prod[[#This Row],[S2Dmg]])</f>
        <v>0</v>
      </c>
      <c r="T33" s="140">
        <v>0</v>
      </c>
      <c r="U33" s="141">
        <v>0</v>
      </c>
      <c r="V33" s="120">
        <v>0</v>
      </c>
      <c r="W33" s="129">
        <v>0</v>
      </c>
      <c r="X33" s="120">
        <f>Prod[[#This Row],[S3Shot]]*Prod[[#This Row],[S3Cavity]]-Prod[[#This Row],[S3Dft]]</f>
        <v>0</v>
      </c>
      <c r="Y33" s="120">
        <f>SUM(Prod[[#This Row],[S3Mold]],Prod[[#This Row],[S3Print]],Prod[[#This Row],[S3Ovlp]],Prod[[#This Row],[S3Seam]],Prod[[#This Row],[S3Dmg]])</f>
        <v>0</v>
      </c>
      <c r="Z33" s="120">
        <f>SUM(Prod[[#This Row],[S1Qty]],Prod[[#This Row],[S2Qty]],Prod[[#This Row],[S3Qty]])</f>
        <v>0</v>
      </c>
      <c r="AA33" s="120">
        <f>SUM(Prod[[#This Row],[S1Dft]],Prod[[#This Row],[S2Dft]],Prod[[#This Row],[S3Dft]])</f>
        <v>0</v>
      </c>
      <c r="AB33" s="121">
        <f>IF(Prod[[#This Row],[Total]]=0,0,Prod[[#This Row],[TotalDft]]/Prod[[#This Row],[Total]])</f>
        <v>0</v>
      </c>
      <c r="AC33" s="118"/>
      <c r="AD33" s="120">
        <v>0</v>
      </c>
      <c r="AE33" s="120">
        <v>0</v>
      </c>
      <c r="AF33" s="120">
        <v>0</v>
      </c>
      <c r="AG33" s="120">
        <v>0</v>
      </c>
      <c r="AH33" s="120">
        <v>0</v>
      </c>
      <c r="AI33" s="120">
        <v>0</v>
      </c>
      <c r="AJ33" s="120">
        <v>0</v>
      </c>
      <c r="AK33" s="120">
        <v>0</v>
      </c>
      <c r="AL33" s="120">
        <v>0</v>
      </c>
      <c r="AM33" s="120">
        <v>0</v>
      </c>
      <c r="AN33" s="120">
        <v>0</v>
      </c>
      <c r="AO33" s="120">
        <v>0</v>
      </c>
      <c r="AP33" s="120">
        <v>0</v>
      </c>
      <c r="AQ33" s="120">
        <v>0</v>
      </c>
      <c r="AR33" s="120">
        <v>0</v>
      </c>
      <c r="AS33" s="131">
        <f>IF(Prod[[#This Row],[S1Hrs]]=0,0,Prod[[#This Row],[S1Shot]]*Prod[[#This Row],[S1Cycle]]/(Prod[[#This Row],[S1Hrs]]*60*60))</f>
        <v>0</v>
      </c>
      <c r="AT33" s="131">
        <f>IF(Prod[[#This Row],[S2Hrs]]=0,0,Prod[[#This Row],[S2Shot]]*Prod[[#This Row],[S2Cycle]]/(Prod[[#This Row],[S2Hrs]]*60*60))</f>
        <v>0</v>
      </c>
      <c r="AU33" s="131">
        <f>IF(Prod[[#This Row],[S3Hrs]]=0,0,Prod[[#This Row],[S3Shot]]*Prod[[#This Row],[S3Cycle]]/(Prod[[#This Row],[S3Hrs]]*60*60))</f>
        <v>0</v>
      </c>
      <c r="AV33" s="131">
        <f>IFERROR(AVERAGEIF(Prod[[#This Row],[S1%]:[S3%]], "&lt;&gt;0"),0)</f>
        <v>0</v>
      </c>
      <c r="AW33" s="131">
        <v>0</v>
      </c>
      <c r="AX33" s="131">
        <v>0</v>
      </c>
      <c r="AY33" s="131">
        <v>0</v>
      </c>
      <c r="AZ33" s="166">
        <f>IF(Prod[[#This Row],[S1Cycle]]&lt;&gt;0,1,0)</f>
        <v>0</v>
      </c>
      <c r="BA33" s="166">
        <f>IF(Prod[[#This Row],[S2Cycle]]&lt;&gt;0,1,0)</f>
        <v>0</v>
      </c>
      <c r="BB33" s="166">
        <f>IF(Prod[[#This Row],[S3Cycle]]&lt;&gt;0,1,0)</f>
        <v>0</v>
      </c>
      <c r="BC33" s="166">
        <f>MAX(Prod[[#This Row],[S1Cavity]],Prod[[#This Row],[S2Cavity]],Prod[[#This Row],[S3Cavity]])</f>
        <v>0</v>
      </c>
      <c r="BD33" s="166" t="b">
        <f>RegExpMatch(Prod[[#This Row],[MoldNo]], "^DW-(B|C)")</f>
        <v>1</v>
      </c>
    </row>
    <row r="34" spans="1:56" x14ac:dyDescent="0.2">
      <c r="A34" s="117">
        <v>45415</v>
      </c>
      <c r="B34" s="129" t="s">
        <v>181</v>
      </c>
      <c r="C34" s="130" t="s">
        <v>182</v>
      </c>
      <c r="D34" s="119">
        <v>26364</v>
      </c>
      <c r="E34" s="130" t="s">
        <v>191</v>
      </c>
      <c r="F34" s="119">
        <v>814</v>
      </c>
      <c r="G34" s="119" t="str">
        <f>IF(OR(Prod[[#This Row],[S1Hrs]]&gt;0,Prod[[#This Row],[S2Hrs]]&gt;0,Prod[[#This Row],[S3Hrs]]&gt;0),"Running","Down")</f>
        <v>Running</v>
      </c>
      <c r="H34" s="140">
        <v>21.6</v>
      </c>
      <c r="I34" s="141">
        <v>8</v>
      </c>
      <c r="J34" s="120">
        <v>1280</v>
      </c>
      <c r="K34" s="129">
        <v>16</v>
      </c>
      <c r="L34" s="120">
        <f>Prod[[#This Row],[S1Shot]]*Prod[[#This Row],[S1Cavity]]-Prod[[#This Row],[S1Dft]]</f>
        <v>20480</v>
      </c>
      <c r="M34" s="133"/>
      <c r="N34" s="140">
        <v>21.61</v>
      </c>
      <c r="O34" s="141">
        <v>8</v>
      </c>
      <c r="P34" s="120">
        <v>1381</v>
      </c>
      <c r="Q34" s="129">
        <v>16</v>
      </c>
      <c r="R34" s="120">
        <f>Prod[[#This Row],[S2Shot]]*Prod[[#This Row],[S2Cavity]]-Prod[[#This Row],[S2Dft]]</f>
        <v>22096</v>
      </c>
      <c r="S34" s="133"/>
      <c r="T34" s="140">
        <v>21.6</v>
      </c>
      <c r="U34" s="141">
        <v>8</v>
      </c>
      <c r="V34" s="120">
        <v>1256</v>
      </c>
      <c r="W34" s="129">
        <v>16</v>
      </c>
      <c r="X34" s="120">
        <f>Prod[[#This Row],[S3Shot]]*Prod[[#This Row],[S3Cavity]]-Prod[[#This Row],[S3Dft]]</f>
        <v>20096</v>
      </c>
      <c r="Y34" s="133"/>
      <c r="Z34" s="120">
        <f>SUM(Prod[[#This Row],[S1Qty]],Prod[[#This Row],[S2Qty]],Prod[[#This Row],[S3Qty]])</f>
        <v>62672</v>
      </c>
      <c r="AA34" s="133"/>
      <c r="AB34" s="134"/>
      <c r="AC34" s="118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1">
        <f>IF(Prod[[#This Row],[S1Hrs]]=0,0,Prod[[#This Row],[S1Shot]]*Prod[[#This Row],[S1Cycle]]/(Prod[[#This Row],[S1Hrs]]*60*60))</f>
        <v>0.96</v>
      </c>
      <c r="AT34" s="131">
        <f>IF(Prod[[#This Row],[S2Hrs]]=0,0,Prod[[#This Row],[S2Shot]]*Prod[[#This Row],[S2Cycle]]/(Prod[[#This Row],[S2Hrs]]*60*60))</f>
        <v>1.0362295138888888</v>
      </c>
      <c r="AU34" s="131">
        <f>IF(Prod[[#This Row],[S3Hrs]]=0,0,Prod[[#This Row],[S3Shot]]*Prod[[#This Row],[S3Cycle]]/(Prod[[#This Row],[S3Hrs]]*60*60))</f>
        <v>0.94200000000000006</v>
      </c>
      <c r="AV34" s="131">
        <f>IFERROR(AVERAGEIF(Prod[[#This Row],[S1%]:[S3%]], "&lt;&gt;0"),0)</f>
        <v>0.97940983796296299</v>
      </c>
      <c r="AW34" s="131">
        <v>0</v>
      </c>
      <c r="AX34" s="131">
        <v>0</v>
      </c>
      <c r="AY34" s="131">
        <v>0</v>
      </c>
      <c r="AZ34" s="166">
        <f>IF(Prod[[#This Row],[S1Cycle]]&lt;&gt;0,1,0)</f>
        <v>1</v>
      </c>
      <c r="BA34" s="166">
        <f>IF(Prod[[#This Row],[S2Cycle]]&lt;&gt;0,1,0)</f>
        <v>1</v>
      </c>
      <c r="BB34" s="166">
        <f>IF(Prod[[#This Row],[S3Cycle]]&lt;&gt;0,1,0)</f>
        <v>1</v>
      </c>
      <c r="BC34" s="166">
        <f>MAX(Prod[[#This Row],[S1Cavity]],Prod[[#This Row],[S2Cavity]],Prod[[#This Row],[S3Cavity]])</f>
        <v>16</v>
      </c>
      <c r="BD34" s="166" t="b">
        <f>RegExpMatch(Prod[[#This Row],[MoldNo]], "^DW-(B|C)")</f>
        <v>0</v>
      </c>
    </row>
    <row r="35" spans="1:56" x14ac:dyDescent="0.2">
      <c r="A35" s="117">
        <v>45416</v>
      </c>
      <c r="B35" s="120" t="s">
        <v>172</v>
      </c>
      <c r="C35" s="119" t="s">
        <v>173</v>
      </c>
      <c r="D35" s="119"/>
      <c r="E35" s="130"/>
      <c r="F35" s="119"/>
      <c r="G35" s="119" t="str">
        <f>IF(OR(Prod[[#This Row],[S1Hrs]]&gt;0,Prod[[#This Row],[S2Hrs]]&gt;0,Prod[[#This Row],[S3Hrs]]&gt;0),"Running","Down")</f>
        <v>Down</v>
      </c>
      <c r="H35" s="197">
        <v>0</v>
      </c>
      <c r="I35" s="198">
        <v>0</v>
      </c>
      <c r="J35" s="129">
        <v>0</v>
      </c>
      <c r="K35" s="129">
        <v>0</v>
      </c>
      <c r="L35" s="120">
        <f>Prod[[#This Row],[S1Shot]]*Prod[[#This Row],[S1Cavity]]-Prod[[#This Row],[S1Dft]]</f>
        <v>0</v>
      </c>
      <c r="M35" s="133"/>
      <c r="N35" s="197">
        <v>0</v>
      </c>
      <c r="O35" s="198">
        <v>0</v>
      </c>
      <c r="P35" s="129">
        <v>0</v>
      </c>
      <c r="Q35" s="129">
        <v>0</v>
      </c>
      <c r="R35" s="120">
        <f>Prod[[#This Row],[S2Shot]]*Prod[[#This Row],[S2Cavity]]-Prod[[#This Row],[S2Dft]]</f>
        <v>0</v>
      </c>
      <c r="S35" s="133"/>
      <c r="T35" s="197">
        <v>0</v>
      </c>
      <c r="U35" s="198">
        <v>0</v>
      </c>
      <c r="V35" s="129">
        <v>0</v>
      </c>
      <c r="W35" s="129">
        <v>0</v>
      </c>
      <c r="X35" s="120">
        <f>Prod[[#This Row],[S3Shot]]*Prod[[#This Row],[S3Cavity]]-Prod[[#This Row],[S3Dft]]</f>
        <v>0</v>
      </c>
      <c r="Y35" s="133"/>
      <c r="Z35" s="120">
        <f>SUM(Prod[[#This Row],[S1Qty]],Prod[[#This Row],[S2Qty]],Prod[[#This Row],[S3Qty]])</f>
        <v>0</v>
      </c>
      <c r="AA35" s="133"/>
      <c r="AB35" s="134"/>
      <c r="AC35" s="118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1">
        <f>IF(Prod[[#This Row],[S1Hrs]]=0,0,Prod[[#This Row],[S1Shot]]*Prod[[#This Row],[S1Cycle]]/(Prod[[#This Row],[S1Hrs]]*60*60))</f>
        <v>0</v>
      </c>
      <c r="AT35" s="131">
        <f>IF(Prod[[#This Row],[S2Hrs]]=0,0,Prod[[#This Row],[S2Shot]]*Prod[[#This Row],[S2Cycle]]/(Prod[[#This Row],[S2Hrs]]*60*60))</f>
        <v>0</v>
      </c>
      <c r="AU35" s="131">
        <f>IF(Prod[[#This Row],[S3Hrs]]=0,0,Prod[[#This Row],[S3Shot]]*Prod[[#This Row],[S3Cycle]]/(Prod[[#This Row],[S3Hrs]]*60*60))</f>
        <v>0</v>
      </c>
      <c r="AV35" s="131">
        <f>IFERROR(AVERAGEIF(Prod[[#This Row],[S1%]:[S3%]], "&lt;&gt;0"),0)</f>
        <v>0</v>
      </c>
      <c r="AW35" s="131">
        <v>0</v>
      </c>
      <c r="AX35" s="131">
        <v>0</v>
      </c>
      <c r="AY35" s="131">
        <v>0</v>
      </c>
      <c r="AZ35" s="166">
        <f>IF(Prod[[#This Row],[S1Cycle]]&lt;&gt;0,1,0)</f>
        <v>0</v>
      </c>
      <c r="BA35" s="166">
        <f>IF(Prod[[#This Row],[S2Cycle]]&lt;&gt;0,1,0)</f>
        <v>0</v>
      </c>
      <c r="BB35" s="166">
        <f>IF(Prod[[#This Row],[S3Cycle]]&lt;&gt;0,1,0)</f>
        <v>0</v>
      </c>
      <c r="BC35" s="166">
        <f>MAX(Prod[[#This Row],[S1Cavity]],Prod[[#This Row],[S2Cavity]],Prod[[#This Row],[S3Cavity]])</f>
        <v>0</v>
      </c>
      <c r="BD35" s="166" t="b">
        <f>RegExpMatch(Prod[[#This Row],[MoldNo]], "^DW-(B|C)")</f>
        <v>0</v>
      </c>
    </row>
    <row r="36" spans="1:56" x14ac:dyDescent="0.2">
      <c r="A36" s="117">
        <v>45416</v>
      </c>
      <c r="B36" s="119" t="s">
        <v>179</v>
      </c>
      <c r="C36" s="119" t="s">
        <v>180</v>
      </c>
      <c r="D36" s="119">
        <v>25151</v>
      </c>
      <c r="E36" s="130" t="s">
        <v>92</v>
      </c>
      <c r="F36" s="119">
        <v>814</v>
      </c>
      <c r="G36" s="119" t="str">
        <f>IF(OR(Prod[[#This Row],[S1Hrs]]&gt;0,Prod[[#This Row],[S2Hrs]]&gt;0,Prod[[#This Row],[S3Hrs]]&gt;0),"Running","Down")</f>
        <v>Running</v>
      </c>
      <c r="H36" s="197">
        <v>12.44</v>
      </c>
      <c r="I36" s="198">
        <v>8</v>
      </c>
      <c r="J36" s="129">
        <v>2324</v>
      </c>
      <c r="K36" s="129">
        <v>8</v>
      </c>
      <c r="L36" s="120">
        <f>Prod[[#This Row],[S1Shot]]*Prod[[#This Row],[S1Cavity]]-Prod[[#This Row],[S1Dft]]</f>
        <v>18592</v>
      </c>
      <c r="M36" s="133"/>
      <c r="N36" s="197">
        <v>12.44</v>
      </c>
      <c r="O36" s="198">
        <v>8</v>
      </c>
      <c r="P36" s="129">
        <v>2230</v>
      </c>
      <c r="Q36" s="129">
        <v>8</v>
      </c>
      <c r="R36" s="120">
        <f>Prod[[#This Row],[S2Shot]]*Prod[[#This Row],[S2Cavity]]-Prod[[#This Row],[S2Dft]]</f>
        <v>17840</v>
      </c>
      <c r="S36" s="133"/>
      <c r="T36" s="197">
        <v>12.43</v>
      </c>
      <c r="U36" s="198">
        <v>8</v>
      </c>
      <c r="V36" s="129">
        <v>2231</v>
      </c>
      <c r="W36" s="129">
        <v>8</v>
      </c>
      <c r="X36" s="120">
        <f>Prod[[#This Row],[S3Shot]]*Prod[[#This Row],[S3Cavity]]-Prod[[#This Row],[S3Dft]]</f>
        <v>17848</v>
      </c>
      <c r="Y36" s="133"/>
      <c r="Z36" s="120">
        <f>SUM(Prod[[#This Row],[S1Qty]],Prod[[#This Row],[S2Qty]],Prod[[#This Row],[S3Qty]])</f>
        <v>54280</v>
      </c>
      <c r="AA36" s="133"/>
      <c r="AB36" s="134"/>
      <c r="AC36" s="130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1">
        <f>IF(Prod[[#This Row],[S1Hrs]]=0,0,Prod[[#This Row],[S1Shot]]*Prod[[#This Row],[S1Cycle]]/(Prod[[#This Row],[S1Hrs]]*60*60))</f>
        <v>1.0038388888888887</v>
      </c>
      <c r="AT36" s="131">
        <f>IF(Prod[[#This Row],[S2Hrs]]=0,0,Prod[[#This Row],[S2Shot]]*Prod[[#This Row],[S2Cycle]]/(Prod[[#This Row],[S2Hrs]]*60*60))</f>
        <v>0.96323611111111096</v>
      </c>
      <c r="AU36" s="131">
        <f>IF(Prod[[#This Row],[S3Hrs]]=0,0,Prod[[#This Row],[S3Shot]]*Prod[[#This Row],[S3Cycle]]/(Prod[[#This Row],[S3Hrs]]*60*60))</f>
        <v>0.96289340277777768</v>
      </c>
      <c r="AV36" s="131">
        <f>IFERROR(AVERAGEIF(Prod[[#This Row],[S1%]:[S3%]], "&lt;&gt;0"),0)</f>
        <v>0.97665613425925912</v>
      </c>
      <c r="AW36" s="131">
        <v>0</v>
      </c>
      <c r="AX36" s="131">
        <v>0</v>
      </c>
      <c r="AY36" s="131">
        <v>0</v>
      </c>
      <c r="AZ36" s="166">
        <f>IF(Prod[[#This Row],[S1Cycle]]&lt;&gt;0,1,0)</f>
        <v>1</v>
      </c>
      <c r="BA36" s="166">
        <f>IF(Prod[[#This Row],[S2Cycle]]&lt;&gt;0,1,0)</f>
        <v>1</v>
      </c>
      <c r="BB36" s="166">
        <f>IF(Prod[[#This Row],[S3Cycle]]&lt;&gt;0,1,0)</f>
        <v>1</v>
      </c>
      <c r="BC36" s="166">
        <f>MAX(Prod[[#This Row],[S1Cavity]],Prod[[#This Row],[S2Cavity]],Prod[[#This Row],[S3Cavity]])</f>
        <v>8</v>
      </c>
      <c r="BD36" s="166" t="b">
        <f>RegExpMatch(Prod[[#This Row],[MoldNo]], "^DW-(B|C)")</f>
        <v>0</v>
      </c>
    </row>
    <row r="37" spans="1:56" x14ac:dyDescent="0.2">
      <c r="A37" s="117">
        <v>45416</v>
      </c>
      <c r="B37" s="129" t="s">
        <v>192</v>
      </c>
      <c r="C37" s="130" t="s">
        <v>174</v>
      </c>
      <c r="D37" s="119"/>
      <c r="E37" s="130"/>
      <c r="F37" s="119"/>
      <c r="G37" s="119" t="str">
        <f>IF(OR(Prod[[#This Row],[S1Hrs]]&gt;0,Prod[[#This Row],[S2Hrs]]&gt;0,Prod[[#This Row],[S3Hrs]]&gt;0),"Running","Down")</f>
        <v>Down</v>
      </c>
      <c r="H37" s="197">
        <v>0</v>
      </c>
      <c r="I37" s="198">
        <v>0</v>
      </c>
      <c r="J37" s="129">
        <v>0</v>
      </c>
      <c r="K37" s="129">
        <v>0</v>
      </c>
      <c r="L37" s="120">
        <f>Prod[[#This Row],[S1Shot]]*Prod[[#This Row],[S1Cavity]]-Prod[[#This Row],[S1Dft]]</f>
        <v>0</v>
      </c>
      <c r="M37" s="133"/>
      <c r="N37" s="197">
        <v>0</v>
      </c>
      <c r="O37" s="198">
        <v>0</v>
      </c>
      <c r="P37" s="129">
        <v>0</v>
      </c>
      <c r="Q37" s="129">
        <v>0</v>
      </c>
      <c r="R37" s="120">
        <f>Prod[[#This Row],[S2Shot]]*Prod[[#This Row],[S2Cavity]]-Prod[[#This Row],[S2Dft]]</f>
        <v>0</v>
      </c>
      <c r="S37" s="133"/>
      <c r="T37" s="197">
        <v>0</v>
      </c>
      <c r="U37" s="198">
        <v>0</v>
      </c>
      <c r="V37" s="129">
        <v>0</v>
      </c>
      <c r="W37" s="129">
        <v>0</v>
      </c>
      <c r="X37" s="120">
        <f>Prod[[#This Row],[S3Shot]]*Prod[[#This Row],[S3Cavity]]-Prod[[#This Row],[S3Dft]]</f>
        <v>0</v>
      </c>
      <c r="Y37" s="133"/>
      <c r="Z37" s="120">
        <f>SUM(Prod[[#This Row],[S1Qty]],Prod[[#This Row],[S2Qty]],Prod[[#This Row],[S3Qty]])</f>
        <v>0</v>
      </c>
      <c r="AA37" s="133"/>
      <c r="AB37" s="134"/>
      <c r="AC37" s="130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1">
        <f>IF(Prod[[#This Row],[S1Hrs]]=0,0,Prod[[#This Row],[S1Shot]]*Prod[[#This Row],[S1Cycle]]/(Prod[[#This Row],[S1Hrs]]*60*60))</f>
        <v>0</v>
      </c>
      <c r="AT37" s="131">
        <f>IF(Prod[[#This Row],[S2Hrs]]=0,0,Prod[[#This Row],[S2Shot]]*Prod[[#This Row],[S2Cycle]]/(Prod[[#This Row],[S2Hrs]]*60*60))</f>
        <v>0</v>
      </c>
      <c r="AU37" s="131">
        <f>IF(Prod[[#This Row],[S3Hrs]]=0,0,Prod[[#This Row],[S3Shot]]*Prod[[#This Row],[S3Cycle]]/(Prod[[#This Row],[S3Hrs]]*60*60))</f>
        <v>0</v>
      </c>
      <c r="AV37" s="131">
        <f>IFERROR(AVERAGEIF(Prod[[#This Row],[S1%]:[S3%]], "&lt;&gt;0"),0)</f>
        <v>0</v>
      </c>
      <c r="AW37" s="131">
        <v>0</v>
      </c>
      <c r="AX37" s="131">
        <v>0</v>
      </c>
      <c r="AY37" s="131">
        <v>0</v>
      </c>
      <c r="AZ37" s="166">
        <f>IF(Prod[[#This Row],[S1Cycle]]&lt;&gt;0,1,0)</f>
        <v>0</v>
      </c>
      <c r="BA37" s="166">
        <f>IF(Prod[[#This Row],[S2Cycle]]&lt;&gt;0,1,0)</f>
        <v>0</v>
      </c>
      <c r="BB37" s="166">
        <f>IF(Prod[[#This Row],[S3Cycle]]&lt;&gt;0,1,0)</f>
        <v>0</v>
      </c>
      <c r="BC37" s="166">
        <f>MAX(Prod[[#This Row],[S1Cavity]],Prod[[#This Row],[S2Cavity]],Prod[[#This Row],[S3Cavity]])</f>
        <v>0</v>
      </c>
      <c r="BD37" s="166" t="b">
        <f>RegExpMatch(Prod[[#This Row],[MoldNo]], "^DW-(B|C)")</f>
        <v>0</v>
      </c>
    </row>
    <row r="38" spans="1:56" x14ac:dyDescent="0.2">
      <c r="A38" s="117">
        <v>45416</v>
      </c>
      <c r="B38" s="129" t="s">
        <v>216</v>
      </c>
      <c r="C38" s="130" t="s">
        <v>217</v>
      </c>
      <c r="D38" s="130">
        <v>26365</v>
      </c>
      <c r="E38" s="130" t="s">
        <v>191</v>
      </c>
      <c r="F38" s="119">
        <v>814</v>
      </c>
      <c r="G38" s="119" t="str">
        <f>IF(OR(Prod[[#This Row],[S1Hrs]]&gt;0,Prod[[#This Row],[S2Hrs]]&gt;0,Prod[[#This Row],[S3Hrs]]&gt;0),"Running","Down")</f>
        <v>Running</v>
      </c>
      <c r="H38" s="197">
        <v>18.100000000000001</v>
      </c>
      <c r="I38" s="198">
        <v>4.5</v>
      </c>
      <c r="J38" s="129">
        <v>795</v>
      </c>
      <c r="K38" s="129">
        <v>8</v>
      </c>
      <c r="L38" s="120">
        <f>Prod[[#This Row],[S1Shot]]*Prod[[#This Row],[S1Cavity]]-Prod[[#This Row],[S1Dft]]</f>
        <v>6267</v>
      </c>
      <c r="M38" s="135">
        <f>SUM(Prod[[#This Row],[S1Mold]],Prod[[#This Row],[S1Print]],Prod[[#This Row],[S1Ovlp]],Prod[[#This Row],[S1Seam]],Prod[[#This Row],[S1Dmg]])</f>
        <v>93</v>
      </c>
      <c r="N38" s="197">
        <v>18.100000000000001</v>
      </c>
      <c r="O38" s="198">
        <v>8</v>
      </c>
      <c r="P38" s="129">
        <v>1131</v>
      </c>
      <c r="Q38" s="129">
        <v>8</v>
      </c>
      <c r="R38" s="120">
        <f>Prod[[#This Row],[S2Shot]]*Prod[[#This Row],[S2Cavity]]-Prod[[#This Row],[S2Dft]]</f>
        <v>8903</v>
      </c>
      <c r="S38" s="135">
        <f>SUM(Prod[[#This Row],[S2Mold]],Prod[[#This Row],[S2Print]],Prod[[#This Row],[S2Ovlp]],Prod[[#This Row],[S2Seam]],Prod[[#This Row],[S2Dmg]])</f>
        <v>145</v>
      </c>
      <c r="T38" s="197">
        <v>18.09</v>
      </c>
      <c r="U38" s="198">
        <v>8</v>
      </c>
      <c r="V38" s="129">
        <v>1528</v>
      </c>
      <c r="W38" s="129">
        <v>8</v>
      </c>
      <c r="X38" s="120">
        <f>Prod[[#This Row],[S3Shot]]*Prod[[#This Row],[S3Cavity]]-Prod[[#This Row],[S3Dft]]</f>
        <v>12094</v>
      </c>
      <c r="Y38" s="120">
        <f>SUM(Prod[[#This Row],[S3Mold]],Prod[[#This Row],[S3Print]],Prod[[#This Row],[S3Ovlp]],Prod[[#This Row],[S3Seam]],Prod[[#This Row],[S3Dmg]])</f>
        <v>130</v>
      </c>
      <c r="Z38" s="120">
        <f>SUM(Prod[[#This Row],[S1Qty]],Prod[[#This Row],[S2Qty]],Prod[[#This Row],[S3Qty]])</f>
        <v>27264</v>
      </c>
      <c r="AA38" s="120">
        <f>SUM(Prod[[#This Row],[S1Dft]],Prod[[#This Row],[S2Dft]],Prod[[#This Row],[S3Dft]])</f>
        <v>368</v>
      </c>
      <c r="AB38" s="121">
        <f>IF(Prod[[#This Row],[Total]]=0,0,Prod[[#This Row],[TotalDft]]/Prod[[#This Row],[Total]])</f>
        <v>1.3497652582159625E-2</v>
      </c>
      <c r="AC38" s="118"/>
      <c r="AD38" s="120">
        <v>18</v>
      </c>
      <c r="AE38" s="120">
        <v>25</v>
      </c>
      <c r="AF38" s="120">
        <v>20</v>
      </c>
      <c r="AG38" s="120">
        <v>75</v>
      </c>
      <c r="AH38" s="120">
        <v>120</v>
      </c>
      <c r="AI38" s="120">
        <v>110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31">
        <f>IF(Prod[[#This Row],[S1Hrs]]=0,0,Prod[[#This Row],[S1Shot]]*Prod[[#This Row],[S1Cycle]]/(Prod[[#This Row],[S1Hrs]]*60*60))</f>
        <v>0.88824074074074089</v>
      </c>
      <c r="AT38" s="131">
        <f>IF(Prod[[#This Row],[S2Hrs]]=0,0,Prod[[#This Row],[S2Shot]]*Prod[[#This Row],[S2Cycle]]/(Prod[[#This Row],[S2Hrs]]*60*60))</f>
        <v>0.71080208333333339</v>
      </c>
      <c r="AU38" s="131">
        <f>IF(Prod[[#This Row],[S3Hrs]]=0,0,Prod[[#This Row],[S3Shot]]*Prod[[#This Row],[S3Cycle]]/(Prod[[#This Row],[S3Hrs]]*60*60))</f>
        <v>0.95977500000000004</v>
      </c>
      <c r="AV38" s="131">
        <f>IFERROR(AVERAGEIF(Prod[[#This Row],[S1%]:[S3%]], "&lt;&gt;0"),0)</f>
        <v>0.85293927469135811</v>
      </c>
      <c r="AW38" s="131">
        <v>0</v>
      </c>
      <c r="AX38" s="131">
        <v>0</v>
      </c>
      <c r="AY38" s="131">
        <v>0</v>
      </c>
      <c r="AZ38" s="166">
        <f>IF(Prod[[#This Row],[S1Cycle]]&lt;&gt;0,1,0)</f>
        <v>1</v>
      </c>
      <c r="BA38" s="166">
        <f>IF(Prod[[#This Row],[S2Cycle]]&lt;&gt;0,1,0)</f>
        <v>1</v>
      </c>
      <c r="BB38" s="166">
        <f>IF(Prod[[#This Row],[S3Cycle]]&lt;&gt;0,1,0)</f>
        <v>1</v>
      </c>
      <c r="BC38" s="166">
        <f>MAX(Prod[[#This Row],[S1Cavity]],Prod[[#This Row],[S2Cavity]],Prod[[#This Row],[S3Cavity]])</f>
        <v>8</v>
      </c>
      <c r="BD38" s="166" t="b">
        <f>RegExpMatch(Prod[[#This Row],[MoldNo]], "^DW-(B|C)")</f>
        <v>1</v>
      </c>
    </row>
    <row r="39" spans="1:56" x14ac:dyDescent="0.2">
      <c r="A39" s="117">
        <v>45416</v>
      </c>
      <c r="B39" s="120" t="s">
        <v>175</v>
      </c>
      <c r="C39" s="119" t="s">
        <v>178</v>
      </c>
      <c r="D39" s="130" t="s">
        <v>228</v>
      </c>
      <c r="E39" s="130" t="s">
        <v>191</v>
      </c>
      <c r="F39" s="119">
        <v>814</v>
      </c>
      <c r="G39" s="119" t="str">
        <f>IF(OR(Prod[[#This Row],[S1Hrs]]&gt;0,Prod[[#This Row],[S2Hrs]]&gt;0,Prod[[#This Row],[S3Hrs]]&gt;0),"Running","Down")</f>
        <v>Running</v>
      </c>
      <c r="H39" s="197">
        <v>19.39</v>
      </c>
      <c r="I39" s="198">
        <v>3</v>
      </c>
      <c r="J39" s="129">
        <v>437</v>
      </c>
      <c r="K39" s="129">
        <v>8</v>
      </c>
      <c r="L39" s="120">
        <f>Prod[[#This Row],[S1Shot]]*Prod[[#This Row],[S1Cavity]]-Prod[[#This Row],[S1Dft]]</f>
        <v>3381</v>
      </c>
      <c r="M39" s="135">
        <f>SUM(Prod[[#This Row],[S1Mold]],Prod[[#This Row],[S1Print]],Prod[[#This Row],[S1Ovlp]],Prod[[#This Row],[S1Seam]],Prod[[#This Row],[S1Dmg]])</f>
        <v>115</v>
      </c>
      <c r="N39" s="197">
        <v>19.29</v>
      </c>
      <c r="O39" s="198">
        <v>8</v>
      </c>
      <c r="P39" s="129">
        <v>1417</v>
      </c>
      <c r="Q39" s="129">
        <v>8</v>
      </c>
      <c r="R39" s="120">
        <f>Prod[[#This Row],[S2Shot]]*Prod[[#This Row],[S2Cavity]]-Prod[[#This Row],[S2Dft]]</f>
        <v>11236</v>
      </c>
      <c r="S39" s="135">
        <f>SUM(Prod[[#This Row],[S2Mold]],Prod[[#This Row],[S2Print]],Prod[[#This Row],[S2Ovlp]],Prod[[#This Row],[S2Seam]],Prod[[#This Row],[S2Dmg]])</f>
        <v>100</v>
      </c>
      <c r="T39" s="197">
        <v>19.190000000000001</v>
      </c>
      <c r="U39" s="198">
        <v>8</v>
      </c>
      <c r="V39" s="129">
        <v>1504</v>
      </c>
      <c r="W39" s="129">
        <v>8</v>
      </c>
      <c r="X39" s="120">
        <f>Prod[[#This Row],[S3Shot]]*Prod[[#This Row],[S3Cavity]]-Prod[[#This Row],[S3Dft]]</f>
        <v>11932</v>
      </c>
      <c r="Y39" s="120">
        <f>SUM(Prod[[#This Row],[S3Mold]],Prod[[#This Row],[S3Print]],Prod[[#This Row],[S3Ovlp]],Prod[[#This Row],[S3Seam]],Prod[[#This Row],[S3Dmg]])</f>
        <v>100</v>
      </c>
      <c r="Z39" s="120">
        <f>SUM(Prod[[#This Row],[S1Qty]],Prod[[#This Row],[S2Qty]],Prod[[#This Row],[S3Qty]])</f>
        <v>26549</v>
      </c>
      <c r="AA39" s="120">
        <f>SUM(Prod[[#This Row],[S1Dft]],Prod[[#This Row],[S2Dft]],Prod[[#This Row],[S3Dft]])</f>
        <v>315</v>
      </c>
      <c r="AB39" s="121">
        <f>IF(Prod[[#This Row],[Total]]=0,0,Prod[[#This Row],[TotalDft]]/Prod[[#This Row],[Total]])</f>
        <v>1.1864853666804776E-2</v>
      </c>
      <c r="AC39" s="130"/>
      <c r="AD39" s="120">
        <v>15</v>
      </c>
      <c r="AE39" s="120">
        <v>20</v>
      </c>
      <c r="AF39" s="120">
        <v>15</v>
      </c>
      <c r="AG39" s="120">
        <v>100</v>
      </c>
      <c r="AH39" s="120">
        <v>80</v>
      </c>
      <c r="AI39" s="120">
        <v>85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1">
        <f>IF(Prod[[#This Row],[S1Hrs]]=0,0,Prod[[#This Row],[S1Shot]]*Prod[[#This Row],[S1Cycle]]/(Prod[[#This Row],[S1Hrs]]*60*60))</f>
        <v>0.78457685185185189</v>
      </c>
      <c r="AT39" s="131">
        <f>IF(Prod[[#This Row],[S2Hrs]]=0,0,Prod[[#This Row],[S2Shot]]*Prod[[#This Row],[S2Cycle]]/(Prod[[#This Row],[S2Hrs]]*60*60))</f>
        <v>0.94909479166666666</v>
      </c>
      <c r="AU39" s="131">
        <f>IF(Prod[[#This Row],[S3Hrs]]=0,0,Prod[[#This Row],[S3Shot]]*Prod[[#This Row],[S3Cycle]]/(Prod[[#This Row],[S3Hrs]]*60*60))</f>
        <v>1.0021444444444445</v>
      </c>
      <c r="AV39" s="131">
        <f>IFERROR(AVERAGEIF(Prod[[#This Row],[S1%]:[S3%]], "&lt;&gt;0"),0)</f>
        <v>0.91193869598765431</v>
      </c>
      <c r="AW39" s="131">
        <v>0</v>
      </c>
      <c r="AX39" s="131">
        <v>0</v>
      </c>
      <c r="AY39" s="131">
        <v>0</v>
      </c>
      <c r="AZ39" s="166">
        <f>IF(Prod[[#This Row],[S1Cycle]]&lt;&gt;0,1,0)</f>
        <v>1</v>
      </c>
      <c r="BA39" s="166">
        <f>IF(Prod[[#This Row],[S2Cycle]]&lt;&gt;0,1,0)</f>
        <v>1</v>
      </c>
      <c r="BB39" s="166">
        <f>IF(Prod[[#This Row],[S3Cycle]]&lt;&gt;0,1,0)</f>
        <v>1</v>
      </c>
      <c r="BC39" s="166">
        <f>MAX(Prod[[#This Row],[S1Cavity]],Prod[[#This Row],[S2Cavity]],Prod[[#This Row],[S3Cavity]])</f>
        <v>8</v>
      </c>
      <c r="BD39" s="166" t="b">
        <f>RegExpMatch(Prod[[#This Row],[MoldNo]], "^DW-(B|C)")</f>
        <v>1</v>
      </c>
    </row>
    <row r="40" spans="1:56" x14ac:dyDescent="0.2">
      <c r="A40" s="117">
        <v>45416</v>
      </c>
      <c r="B40" s="120" t="s">
        <v>177</v>
      </c>
      <c r="C40" s="119" t="s">
        <v>176</v>
      </c>
      <c r="D40" s="130" t="s">
        <v>209</v>
      </c>
      <c r="E40" s="130" t="s">
        <v>191</v>
      </c>
      <c r="F40" s="119">
        <v>814</v>
      </c>
      <c r="G40" s="119" t="str">
        <f>IF(OR(Prod[[#This Row],[S1Hrs]]&gt;0,Prod[[#This Row],[S2Hrs]]&gt;0,Prod[[#This Row],[S3Hrs]]&gt;0),"Running","Down")</f>
        <v>Running</v>
      </c>
      <c r="H40" s="197">
        <v>25.78</v>
      </c>
      <c r="I40" s="198">
        <v>8</v>
      </c>
      <c r="J40" s="129">
        <v>1130</v>
      </c>
      <c r="K40" s="129">
        <v>8</v>
      </c>
      <c r="L40" s="120">
        <f>Prod[[#This Row],[S1Shot]]*Prod[[#This Row],[S1Cavity]]-Prod[[#This Row],[S1Dft]]</f>
        <v>8935</v>
      </c>
      <c r="M40" s="135">
        <f>SUM(Prod[[#This Row],[S1Mold]],Prod[[#This Row],[S1Print]],Prod[[#This Row],[S1Ovlp]],Prod[[#This Row],[S1Seam]],Prod[[#This Row],[S1Dmg]])</f>
        <v>105</v>
      </c>
      <c r="N40" s="197">
        <v>25.8</v>
      </c>
      <c r="O40" s="198">
        <v>8</v>
      </c>
      <c r="P40" s="129">
        <v>1093</v>
      </c>
      <c r="Q40" s="129">
        <v>8</v>
      </c>
      <c r="R40" s="120">
        <f>Prod[[#This Row],[S2Shot]]*Prod[[#This Row],[S2Cavity]]-Prod[[#This Row],[S2Dft]]</f>
        <v>8644</v>
      </c>
      <c r="S40" s="135">
        <f>SUM(Prod[[#This Row],[S2Mold]],Prod[[#This Row],[S2Print]],Prod[[#This Row],[S2Ovlp]],Prod[[#This Row],[S2Seam]],Prod[[#This Row],[S2Dmg]])</f>
        <v>100</v>
      </c>
      <c r="T40" s="197">
        <v>25.89</v>
      </c>
      <c r="U40" s="198">
        <v>8</v>
      </c>
      <c r="V40" s="129">
        <v>1099</v>
      </c>
      <c r="W40" s="129">
        <v>8</v>
      </c>
      <c r="X40" s="120">
        <f>Prod[[#This Row],[S3Shot]]*Prod[[#This Row],[S3Cavity]]-Prod[[#This Row],[S3Dft]]</f>
        <v>8667</v>
      </c>
      <c r="Y40" s="120">
        <f>SUM(Prod[[#This Row],[S3Mold]],Prod[[#This Row],[S3Print]],Prod[[#This Row],[S3Ovlp]],Prod[[#This Row],[S3Seam]],Prod[[#This Row],[S3Dmg]])</f>
        <v>125</v>
      </c>
      <c r="Z40" s="120">
        <f>SUM(Prod[[#This Row],[S1Qty]],Prod[[#This Row],[S2Qty]],Prod[[#This Row],[S3Qty]])</f>
        <v>26246</v>
      </c>
      <c r="AA40" s="120">
        <f>SUM(Prod[[#This Row],[S1Dft]],Prod[[#This Row],[S2Dft]],Prod[[#This Row],[S3Dft]])</f>
        <v>330</v>
      </c>
      <c r="AB40" s="121">
        <f>IF(Prod[[#This Row],[Total]]=0,0,Prod[[#This Row],[TotalDft]]/Prod[[#This Row],[Total]])</f>
        <v>1.2573344509639563E-2</v>
      </c>
      <c r="AC40" s="130" t="s">
        <v>227</v>
      </c>
      <c r="AD40" s="120">
        <v>20</v>
      </c>
      <c r="AE40" s="120">
        <v>20</v>
      </c>
      <c r="AF40" s="120">
        <v>15</v>
      </c>
      <c r="AG40" s="120">
        <v>85</v>
      </c>
      <c r="AH40" s="120">
        <v>80</v>
      </c>
      <c r="AI40" s="120">
        <v>110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1">
        <f>IF(Prod[[#This Row],[S1Hrs]]=0,0,Prod[[#This Row],[S1Shot]]*Prod[[#This Row],[S1Cycle]]/(Prod[[#This Row],[S1Hrs]]*60*60))</f>
        <v>1.0115069444444444</v>
      </c>
      <c r="AT40" s="131">
        <f>IF(Prod[[#This Row],[S2Hrs]]=0,0,Prod[[#This Row],[S2Shot]]*Prod[[#This Row],[S2Cycle]]/(Prod[[#This Row],[S2Hrs]]*60*60))</f>
        <v>0.97914583333333338</v>
      </c>
      <c r="AU40" s="131">
        <f>IF(Prod[[#This Row],[S3Hrs]]=0,0,Prod[[#This Row],[S3Shot]]*Prod[[#This Row],[S3Cycle]]/(Prod[[#This Row],[S3Hrs]]*60*60))</f>
        <v>0.98795520833333339</v>
      </c>
      <c r="AV40" s="131">
        <f>IFERROR(AVERAGEIF(Prod[[#This Row],[S1%]:[S3%]], "&lt;&gt;0"),0)</f>
        <v>0.9928693287037037</v>
      </c>
      <c r="AW40" s="131">
        <v>0</v>
      </c>
      <c r="AX40" s="131">
        <v>0</v>
      </c>
      <c r="AY40" s="131">
        <v>0</v>
      </c>
      <c r="AZ40" s="166">
        <f>IF(Prod[[#This Row],[S1Cycle]]&lt;&gt;0,1,0)</f>
        <v>1</v>
      </c>
      <c r="BA40" s="166">
        <f>IF(Prod[[#This Row],[S2Cycle]]&lt;&gt;0,1,0)</f>
        <v>1</v>
      </c>
      <c r="BB40" s="166">
        <f>IF(Prod[[#This Row],[S3Cycle]]&lt;&gt;0,1,0)</f>
        <v>1</v>
      </c>
      <c r="BC40" s="166">
        <f>MAX(Prod[[#This Row],[S1Cavity]],Prod[[#This Row],[S2Cavity]],Prod[[#This Row],[S3Cavity]])</f>
        <v>8</v>
      </c>
      <c r="BD40" s="166" t="b">
        <f>RegExpMatch(Prod[[#This Row],[MoldNo]], "^DW-(B|C)")</f>
        <v>1</v>
      </c>
    </row>
    <row r="41" spans="1:56" x14ac:dyDescent="0.2">
      <c r="A41" s="117">
        <v>45416</v>
      </c>
      <c r="B41" s="129" t="s">
        <v>186</v>
      </c>
      <c r="C41" s="130" t="s">
        <v>188</v>
      </c>
      <c r="D41" s="130" t="s">
        <v>224</v>
      </c>
      <c r="E41" s="130" t="s">
        <v>191</v>
      </c>
      <c r="F41" s="119">
        <v>814</v>
      </c>
      <c r="G41" s="119" t="str">
        <f>IF(OR(Prod[[#This Row],[S1Hrs]]&gt;0,Prod[[#This Row],[S2Hrs]]&gt;0,Prod[[#This Row],[S3Hrs]]&gt;0),"Running","Down")</f>
        <v>Running</v>
      </c>
      <c r="H41" s="197">
        <v>22.38</v>
      </c>
      <c r="I41" s="198">
        <v>7</v>
      </c>
      <c r="J41" s="129">
        <v>952</v>
      </c>
      <c r="K41" s="129">
        <v>8</v>
      </c>
      <c r="L41" s="120">
        <f>Prod[[#This Row],[S1Shot]]*Prod[[#This Row],[S1Cavity]]-Prod[[#This Row],[S1Dft]]</f>
        <v>7496</v>
      </c>
      <c r="M41" s="135">
        <f>SUM(Prod[[#This Row],[S1Mold]],Prod[[#This Row],[S1Print]],Prod[[#This Row],[S1Ovlp]],Prod[[#This Row],[S1Seam]],Prod[[#This Row],[S1Dmg]])</f>
        <v>120</v>
      </c>
      <c r="N41" s="197">
        <v>22.59</v>
      </c>
      <c r="O41" s="198">
        <v>8</v>
      </c>
      <c r="P41" s="129">
        <v>1237</v>
      </c>
      <c r="Q41" s="129">
        <v>8</v>
      </c>
      <c r="R41" s="120">
        <f>Prod[[#This Row],[S2Shot]]*Prod[[#This Row],[S2Cavity]]-Prod[[#This Row],[S2Dft]]</f>
        <v>9751</v>
      </c>
      <c r="S41" s="135">
        <f>SUM(Prod[[#This Row],[S2Mold]],Prod[[#This Row],[S2Print]],Prod[[#This Row],[S2Ovlp]],Prod[[#This Row],[S2Seam]],Prod[[#This Row],[S2Dmg]])</f>
        <v>145</v>
      </c>
      <c r="T41" s="197">
        <v>22.93</v>
      </c>
      <c r="U41" s="198">
        <v>8</v>
      </c>
      <c r="V41" s="129">
        <v>1222</v>
      </c>
      <c r="W41" s="129">
        <v>8</v>
      </c>
      <c r="X41" s="120">
        <f>Prod[[#This Row],[S3Shot]]*Prod[[#This Row],[S3Cavity]]-Prod[[#This Row],[S3Dft]]</f>
        <v>9636</v>
      </c>
      <c r="Y41" s="120">
        <f>SUM(Prod[[#This Row],[S3Mold]],Prod[[#This Row],[S3Print]],Prod[[#This Row],[S3Ovlp]],Prod[[#This Row],[S3Seam]],Prod[[#This Row],[S3Dmg]])</f>
        <v>140</v>
      </c>
      <c r="Z41" s="120">
        <f>SUM(Prod[[#This Row],[S1Qty]],Prod[[#This Row],[S2Qty]],Prod[[#This Row],[S3Qty]])</f>
        <v>26883</v>
      </c>
      <c r="AA41" s="120">
        <f>SUM(Prod[[#This Row],[S1Dft]],Prod[[#This Row],[S2Dft]],Prod[[#This Row],[S3Dft]])</f>
        <v>405</v>
      </c>
      <c r="AB41" s="121">
        <f>IF(Prod[[#This Row],[Total]]=0,0,Prod[[#This Row],[TotalDft]]/Prod[[#This Row],[Total]])</f>
        <v>1.5065282892534315E-2</v>
      </c>
      <c r="AC41" s="130"/>
      <c r="AD41" s="120">
        <v>20</v>
      </c>
      <c r="AE41" s="120">
        <v>25</v>
      </c>
      <c r="AF41" s="120">
        <v>20</v>
      </c>
      <c r="AG41" s="120">
        <v>100</v>
      </c>
      <c r="AH41" s="120">
        <v>120</v>
      </c>
      <c r="AI41" s="120">
        <v>120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1">
        <f>IF(Prod[[#This Row],[S1Hrs]]=0,0,Prod[[#This Row],[S1Shot]]*Prod[[#This Row],[S1Cycle]]/(Prod[[#This Row],[S1Hrs]]*60*60))</f>
        <v>0.84546666666666659</v>
      </c>
      <c r="AT41" s="131">
        <f>IF(Prod[[#This Row],[S2Hrs]]=0,0,Prod[[#This Row],[S2Shot]]*Prod[[#This Row],[S2Cycle]]/(Prod[[#This Row],[S2Hrs]]*60*60))</f>
        <v>0.97027187499999989</v>
      </c>
      <c r="AU41" s="131">
        <f>IF(Prod[[#This Row],[S3Hrs]]=0,0,Prod[[#This Row],[S3Shot]]*Prod[[#This Row],[S3Cycle]]/(Prod[[#This Row],[S3Hrs]]*60*60))</f>
        <v>0.97293263888888881</v>
      </c>
      <c r="AV41" s="131">
        <f>IFERROR(AVERAGEIF(Prod[[#This Row],[S1%]:[S3%]], "&lt;&gt;0"),0)</f>
        <v>0.92955706018518514</v>
      </c>
      <c r="AW41" s="131">
        <v>0</v>
      </c>
      <c r="AX41" s="131">
        <v>0</v>
      </c>
      <c r="AY41" s="131">
        <v>0</v>
      </c>
      <c r="AZ41" s="166">
        <f>IF(Prod[[#This Row],[S1Cycle]]&lt;&gt;0,1,0)</f>
        <v>1</v>
      </c>
      <c r="BA41" s="166">
        <f>IF(Prod[[#This Row],[S2Cycle]]&lt;&gt;0,1,0)</f>
        <v>1</v>
      </c>
      <c r="BB41" s="166">
        <f>IF(Prod[[#This Row],[S3Cycle]]&lt;&gt;0,1,0)</f>
        <v>1</v>
      </c>
      <c r="BC41" s="166">
        <f>MAX(Prod[[#This Row],[S1Cavity]],Prod[[#This Row],[S2Cavity]],Prod[[#This Row],[S3Cavity]])</f>
        <v>8</v>
      </c>
      <c r="BD41" s="166" t="b">
        <f>RegExpMatch(Prod[[#This Row],[MoldNo]], "^DW-(B|C)")</f>
        <v>1</v>
      </c>
    </row>
    <row r="42" spans="1:56" x14ac:dyDescent="0.2">
      <c r="A42" s="117">
        <v>45416</v>
      </c>
      <c r="B42" s="129" t="s">
        <v>187</v>
      </c>
      <c r="C42" s="130" t="s">
        <v>189</v>
      </c>
      <c r="D42" s="130"/>
      <c r="E42" s="130"/>
      <c r="F42" s="119"/>
      <c r="G42" s="119" t="str">
        <f>IF(OR(Prod[[#This Row],[S1Hrs]]&gt;0,Prod[[#This Row],[S2Hrs]]&gt;0,Prod[[#This Row],[S3Hrs]]&gt;0),"Running","Down")</f>
        <v>Down</v>
      </c>
      <c r="H42" s="197">
        <v>0</v>
      </c>
      <c r="I42" s="198">
        <v>0</v>
      </c>
      <c r="J42" s="129">
        <v>0</v>
      </c>
      <c r="K42" s="129">
        <v>0</v>
      </c>
      <c r="L42" s="120">
        <f>Prod[[#This Row],[S1Shot]]*Prod[[#This Row],[S1Cavity]]-Prod[[#This Row],[S1Dft]]</f>
        <v>0</v>
      </c>
      <c r="M42" s="135">
        <f>SUM(Prod[[#This Row],[S1Mold]],Prod[[#This Row],[S1Print]],Prod[[#This Row],[S1Ovlp]],Prod[[#This Row],[S1Seam]],Prod[[#This Row],[S1Dmg]])</f>
        <v>0</v>
      </c>
      <c r="N42" s="197">
        <v>0</v>
      </c>
      <c r="O42" s="198">
        <v>0</v>
      </c>
      <c r="P42" s="129">
        <v>0</v>
      </c>
      <c r="Q42" s="129">
        <v>0</v>
      </c>
      <c r="R42" s="120">
        <f>Prod[[#This Row],[S2Shot]]*Prod[[#This Row],[S2Cavity]]-Prod[[#This Row],[S2Dft]]</f>
        <v>0</v>
      </c>
      <c r="S42" s="135">
        <f>SUM(Prod[[#This Row],[S2Mold]],Prod[[#This Row],[S2Print]],Prod[[#This Row],[S2Ovlp]],Prod[[#This Row],[S2Seam]],Prod[[#This Row],[S2Dmg]])</f>
        <v>0</v>
      </c>
      <c r="T42" s="197">
        <v>0</v>
      </c>
      <c r="U42" s="198">
        <v>0</v>
      </c>
      <c r="V42" s="129">
        <v>0</v>
      </c>
      <c r="W42" s="129">
        <v>0</v>
      </c>
      <c r="X42" s="120">
        <f>Prod[[#This Row],[S3Shot]]*Prod[[#This Row],[S3Cavity]]-Prod[[#This Row],[S3Dft]]</f>
        <v>0</v>
      </c>
      <c r="Y42" s="120">
        <f>SUM(Prod[[#This Row],[S3Mold]],Prod[[#This Row],[S3Print]],Prod[[#This Row],[S3Ovlp]],Prod[[#This Row],[S3Seam]],Prod[[#This Row],[S3Dmg]])</f>
        <v>0</v>
      </c>
      <c r="Z42" s="120">
        <f>SUM(Prod[[#This Row],[S1Qty]],Prod[[#This Row],[S2Qty]],Prod[[#This Row],[S3Qty]])</f>
        <v>0</v>
      </c>
      <c r="AA42" s="120">
        <f>SUM(Prod[[#This Row],[S1Dft]],Prod[[#This Row],[S2Dft]],Prod[[#This Row],[S3Dft]])</f>
        <v>0</v>
      </c>
      <c r="AB42" s="121">
        <f>IF(Prod[[#This Row],[Total]]=0,0,Prod[[#This Row],[TotalDft]]/Prod[[#This Row],[Total]])</f>
        <v>0</v>
      </c>
      <c r="AC42" s="118"/>
      <c r="AD42" s="120">
        <v>0</v>
      </c>
      <c r="AE42" s="120">
        <v>0</v>
      </c>
      <c r="AF42" s="120">
        <v>0</v>
      </c>
      <c r="AG42" s="120">
        <v>0</v>
      </c>
      <c r="AH42" s="120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1">
        <f>IF(Prod[[#This Row],[S1Hrs]]=0,0,Prod[[#This Row],[S1Shot]]*Prod[[#This Row],[S1Cycle]]/(Prod[[#This Row],[S1Hrs]]*60*60))</f>
        <v>0</v>
      </c>
      <c r="AT42" s="131">
        <f>IF(Prod[[#This Row],[S2Hrs]]=0,0,Prod[[#This Row],[S2Shot]]*Prod[[#This Row],[S2Cycle]]/(Prod[[#This Row],[S2Hrs]]*60*60))</f>
        <v>0</v>
      </c>
      <c r="AU42" s="131">
        <f>IF(Prod[[#This Row],[S3Hrs]]=0,0,Prod[[#This Row],[S3Shot]]*Prod[[#This Row],[S3Cycle]]/(Prod[[#This Row],[S3Hrs]]*60*60))</f>
        <v>0</v>
      </c>
      <c r="AV42" s="131">
        <f>IFERROR(AVERAGEIF(Prod[[#This Row],[S1%]:[S3%]], "&lt;&gt;0"),0)</f>
        <v>0</v>
      </c>
      <c r="AW42" s="131">
        <v>0</v>
      </c>
      <c r="AX42" s="131">
        <v>0</v>
      </c>
      <c r="AY42" s="131">
        <v>0</v>
      </c>
      <c r="AZ42" s="166">
        <f>IF(Prod[[#This Row],[S1Cycle]]&lt;&gt;0,1,0)</f>
        <v>0</v>
      </c>
      <c r="BA42" s="166">
        <f>IF(Prod[[#This Row],[S2Cycle]]&lt;&gt;0,1,0)</f>
        <v>0</v>
      </c>
      <c r="BB42" s="166">
        <f>IF(Prod[[#This Row],[S3Cycle]]&lt;&gt;0,1,0)</f>
        <v>0</v>
      </c>
      <c r="BC42" s="166">
        <f>MAX(Prod[[#This Row],[S1Cavity]],Prod[[#This Row],[S2Cavity]],Prod[[#This Row],[S3Cavity]])</f>
        <v>0</v>
      </c>
      <c r="BD42" s="166" t="b">
        <f>RegExpMatch(Prod[[#This Row],[MoldNo]], "^DW-(B|C)")</f>
        <v>1</v>
      </c>
    </row>
    <row r="43" spans="1:56" x14ac:dyDescent="0.2">
      <c r="A43" s="117">
        <v>45416</v>
      </c>
      <c r="B43" s="129" t="s">
        <v>225</v>
      </c>
      <c r="C43" s="130" t="s">
        <v>226</v>
      </c>
      <c r="D43" s="130">
        <v>26365</v>
      </c>
      <c r="E43" s="130" t="s">
        <v>191</v>
      </c>
      <c r="F43" s="119">
        <v>814</v>
      </c>
      <c r="G43" s="119" t="str">
        <f>IF(OR(Prod[[#This Row],[S1Hrs]]&gt;0,Prod[[#This Row],[S2Hrs]]&gt;0,Prod[[#This Row],[S3Hrs]]&gt;0),"Running","Down")</f>
        <v>Running</v>
      </c>
      <c r="H43" s="197">
        <v>0</v>
      </c>
      <c r="I43" s="198">
        <v>0</v>
      </c>
      <c r="J43" s="129">
        <v>0</v>
      </c>
      <c r="K43" s="129">
        <v>0</v>
      </c>
      <c r="L43" s="120">
        <f>Prod[[#This Row],[S1Shot]]*Prod[[#This Row],[S1Cavity]]-Prod[[#This Row],[S1Dft]]</f>
        <v>0</v>
      </c>
      <c r="M43" s="135">
        <f>SUM(Prod[[#This Row],[S1Mold]],Prod[[#This Row],[S1Print]],Prod[[#This Row],[S1Ovlp]],Prod[[#This Row],[S1Seam]],Prod[[#This Row],[S1Dmg]])</f>
        <v>0</v>
      </c>
      <c r="N43" s="197">
        <v>17.23</v>
      </c>
      <c r="O43" s="198">
        <v>5</v>
      </c>
      <c r="P43" s="129">
        <v>1052</v>
      </c>
      <c r="Q43" s="129">
        <v>8</v>
      </c>
      <c r="R43" s="120">
        <f>Prod[[#This Row],[S2Shot]]*Prod[[#This Row],[S2Cavity]]-Prod[[#This Row],[S2Dft]]</f>
        <v>8351</v>
      </c>
      <c r="S43" s="135">
        <f>SUM(Prod[[#This Row],[S2Mold]],Prod[[#This Row],[S2Print]],Prod[[#This Row],[S2Ovlp]],Prod[[#This Row],[S2Seam]],Prod[[#This Row],[S2Dmg]])</f>
        <v>65</v>
      </c>
      <c r="T43" s="197">
        <v>17.36</v>
      </c>
      <c r="U43" s="198">
        <v>8</v>
      </c>
      <c r="V43" s="129">
        <v>1553</v>
      </c>
      <c r="W43" s="129">
        <v>8</v>
      </c>
      <c r="X43" s="120">
        <f>Prod[[#This Row],[S3Shot]]*Prod[[#This Row],[S3Cavity]]-Prod[[#This Row],[S3Dft]]</f>
        <v>12286</v>
      </c>
      <c r="Y43" s="120">
        <f>SUM(Prod[[#This Row],[S3Mold]],Prod[[#This Row],[S3Print]],Prod[[#This Row],[S3Ovlp]],Prod[[#This Row],[S3Seam]],Prod[[#This Row],[S3Dmg]])</f>
        <v>138</v>
      </c>
      <c r="Z43" s="120">
        <f>SUM(Prod[[#This Row],[S1Qty]],Prod[[#This Row],[S2Qty]],Prod[[#This Row],[S3Qty]])</f>
        <v>20637</v>
      </c>
      <c r="AA43" s="120">
        <f>SUM(Prod[[#This Row],[S1Dft]],Prod[[#This Row],[S2Dft]],Prod[[#This Row],[S3Dft]])</f>
        <v>203</v>
      </c>
      <c r="AB43" s="121">
        <f>IF(Prod[[#This Row],[Total]]=0,0,Prod[[#This Row],[TotalDft]]/Prod[[#This Row],[Total]])</f>
        <v>9.8367010708920871E-3</v>
      </c>
      <c r="AC43" s="118"/>
      <c r="AD43" s="120">
        <v>0</v>
      </c>
      <c r="AE43" s="120">
        <v>15</v>
      </c>
      <c r="AF43" s="120">
        <v>28</v>
      </c>
      <c r="AG43" s="120">
        <v>0</v>
      </c>
      <c r="AH43" s="120">
        <v>50</v>
      </c>
      <c r="AI43" s="120">
        <v>110</v>
      </c>
      <c r="AJ43" s="120">
        <v>0</v>
      </c>
      <c r="AK43" s="120">
        <v>0</v>
      </c>
      <c r="AL43" s="120">
        <v>0</v>
      </c>
      <c r="AM43" s="120">
        <v>0</v>
      </c>
      <c r="AN43" s="120">
        <v>0</v>
      </c>
      <c r="AO43" s="120">
        <v>0</v>
      </c>
      <c r="AP43" s="120">
        <v>0</v>
      </c>
      <c r="AQ43" s="120">
        <v>0</v>
      </c>
      <c r="AR43" s="120">
        <v>0</v>
      </c>
      <c r="AS43" s="131">
        <f>IF(Prod[[#This Row],[S1Hrs]]=0,0,Prod[[#This Row],[S1Shot]]*Prod[[#This Row],[S1Cycle]]/(Prod[[#This Row],[S1Hrs]]*60*60))</f>
        <v>0</v>
      </c>
      <c r="AT43" s="131">
        <f>IF(Prod[[#This Row],[S2Hrs]]=0,0,Prod[[#This Row],[S2Shot]]*Prod[[#This Row],[S2Cycle]]/(Prod[[#This Row],[S2Hrs]]*60*60))</f>
        <v>1.0069977777777777</v>
      </c>
      <c r="AU43" s="131">
        <f>IF(Prod[[#This Row],[S3Hrs]]=0,0,Prod[[#This Row],[S3Shot]]*Prod[[#This Row],[S3Cycle]]/(Prod[[#This Row],[S3Hrs]]*60*60))</f>
        <v>0.9361138888888888</v>
      </c>
      <c r="AV43" s="131">
        <f>IFERROR(AVERAGEIF(Prod[[#This Row],[S1%]:[S3%]], "&lt;&gt;0"),0)</f>
        <v>0.97155583333333317</v>
      </c>
      <c r="AW43" s="131">
        <v>0.5</v>
      </c>
      <c r="AX43" s="131">
        <v>0</v>
      </c>
      <c r="AY43" s="131">
        <v>0</v>
      </c>
      <c r="AZ43" s="166">
        <f>IF(Prod[[#This Row],[S1Cycle]]&lt;&gt;0,1,0)</f>
        <v>0</v>
      </c>
      <c r="BA43" s="166">
        <f>IF(Prod[[#This Row],[S2Cycle]]&lt;&gt;0,1,0)</f>
        <v>1</v>
      </c>
      <c r="BB43" s="166">
        <f>IF(Prod[[#This Row],[S3Cycle]]&lt;&gt;0,1,0)</f>
        <v>1</v>
      </c>
      <c r="BC43" s="166">
        <f>MAX(Prod[[#This Row],[S1Cavity]],Prod[[#This Row],[S2Cavity]],Prod[[#This Row],[S3Cavity]])</f>
        <v>8</v>
      </c>
      <c r="BD43" s="166" t="b">
        <f>RegExpMatch(Prod[[#This Row],[MoldNo]], "^DW-(B|C)")</f>
        <v>1</v>
      </c>
    </row>
    <row r="44" spans="1:56" x14ac:dyDescent="0.2">
      <c r="A44" s="117">
        <v>45416</v>
      </c>
      <c r="B44" s="129" t="s">
        <v>181</v>
      </c>
      <c r="C44" s="130" t="s">
        <v>182</v>
      </c>
      <c r="D44" s="119">
        <v>25154</v>
      </c>
      <c r="E44" s="130" t="s">
        <v>191</v>
      </c>
      <c r="F44" s="119">
        <v>814</v>
      </c>
      <c r="G44" s="119" t="str">
        <f>IF(OR(Prod[[#This Row],[S1Hrs]]&gt;0,Prod[[#This Row],[S2Hrs]]&gt;0,Prod[[#This Row],[S3Hrs]]&gt;0),"Running","Down")</f>
        <v>Running</v>
      </c>
      <c r="H44" s="197">
        <v>21.6</v>
      </c>
      <c r="I44" s="198">
        <v>8</v>
      </c>
      <c r="J44" s="129">
        <v>1332</v>
      </c>
      <c r="K44" s="129">
        <v>16</v>
      </c>
      <c r="L44" s="120">
        <f>Prod[[#This Row],[S1Shot]]*Prod[[#This Row],[S1Cavity]]-Prod[[#This Row],[S1Dft]]</f>
        <v>21312</v>
      </c>
      <c r="M44" s="133"/>
      <c r="N44" s="197">
        <v>21.6</v>
      </c>
      <c r="O44" s="198">
        <v>8</v>
      </c>
      <c r="P44" s="129">
        <v>1346</v>
      </c>
      <c r="Q44" s="129">
        <v>16</v>
      </c>
      <c r="R44" s="120">
        <f>Prod[[#This Row],[S2Shot]]*Prod[[#This Row],[S2Cavity]]-Prod[[#This Row],[S2Dft]]</f>
        <v>21536</v>
      </c>
      <c r="S44" s="133"/>
      <c r="T44" s="197">
        <v>21.6</v>
      </c>
      <c r="U44" s="198">
        <v>8</v>
      </c>
      <c r="V44" s="129">
        <v>1065</v>
      </c>
      <c r="W44" s="129">
        <v>16</v>
      </c>
      <c r="X44" s="120">
        <f>Prod[[#This Row],[S3Shot]]*Prod[[#This Row],[S3Cavity]]-Prod[[#This Row],[S3Dft]]</f>
        <v>17040</v>
      </c>
      <c r="Y44" s="133"/>
      <c r="Z44" s="120">
        <f>SUM(Prod[[#This Row],[S1Qty]],Prod[[#This Row],[S2Qty]],Prod[[#This Row],[S3Qty]])</f>
        <v>59888</v>
      </c>
      <c r="AA44" s="133"/>
      <c r="AB44" s="134"/>
      <c r="AC44" s="118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1">
        <f>IF(Prod[[#This Row],[S1Hrs]]=0,0,Prod[[#This Row],[S1Shot]]*Prod[[#This Row],[S1Cycle]]/(Prod[[#This Row],[S1Hrs]]*60*60))</f>
        <v>0.999</v>
      </c>
      <c r="AT44" s="131">
        <f>IF(Prod[[#This Row],[S2Hrs]]=0,0,Prod[[#This Row],[S2Shot]]*Prod[[#This Row],[S2Cycle]]/(Prod[[#This Row],[S2Hrs]]*60*60))</f>
        <v>1.0095000000000001</v>
      </c>
      <c r="AU44" s="131">
        <f>IF(Prod[[#This Row],[S3Hrs]]=0,0,Prod[[#This Row],[S3Shot]]*Prod[[#This Row],[S3Cycle]]/(Prod[[#This Row],[S3Hrs]]*60*60))</f>
        <v>0.79874999999999996</v>
      </c>
      <c r="AV44" s="131">
        <f>IFERROR(AVERAGEIF(Prod[[#This Row],[S1%]:[S3%]], "&lt;&gt;0"),0)</f>
        <v>0.93575000000000008</v>
      </c>
      <c r="AW44" s="131">
        <v>0</v>
      </c>
      <c r="AX44" s="131">
        <v>0</v>
      </c>
      <c r="AY44" s="131">
        <v>0</v>
      </c>
      <c r="AZ44" s="166">
        <f>IF(Prod[[#This Row],[S1Cycle]]&lt;&gt;0,1,0)</f>
        <v>1</v>
      </c>
      <c r="BA44" s="166">
        <f>IF(Prod[[#This Row],[S2Cycle]]&lt;&gt;0,1,0)</f>
        <v>1</v>
      </c>
      <c r="BB44" s="166">
        <f>IF(Prod[[#This Row],[S3Cycle]]&lt;&gt;0,1,0)</f>
        <v>1</v>
      </c>
      <c r="BC44" s="166">
        <f>MAX(Prod[[#This Row],[S1Cavity]],Prod[[#This Row],[S2Cavity]],Prod[[#This Row],[S3Cavity]])</f>
        <v>16</v>
      </c>
      <c r="BD44" s="166" t="b">
        <f>RegExpMatch(Prod[[#This Row],[MoldNo]], "^DW-(B|C)")</f>
        <v>0</v>
      </c>
    </row>
    <row r="45" spans="1:56" x14ac:dyDescent="0.2">
      <c r="A45" s="117">
        <v>45417</v>
      </c>
      <c r="B45" s="120" t="s">
        <v>172</v>
      </c>
      <c r="C45" s="119" t="s">
        <v>173</v>
      </c>
      <c r="D45" s="119"/>
      <c r="E45" s="130"/>
      <c r="F45" s="119"/>
      <c r="G45" s="119" t="str">
        <f>IF(OR(Prod[[#This Row],[S1Hrs]]&gt;0,Prod[[#This Row],[S2Hrs]]&gt;0,Prod[[#This Row],[S3Hrs]]&gt;0),"Running","Down")</f>
        <v>Down</v>
      </c>
      <c r="H45" s="197">
        <v>0</v>
      </c>
      <c r="I45" s="198">
        <v>0</v>
      </c>
      <c r="J45" s="129">
        <v>0</v>
      </c>
      <c r="K45" s="129">
        <v>0</v>
      </c>
      <c r="L45" s="120">
        <f>Prod[[#This Row],[S1Shot]]*Prod[[#This Row],[S1Cavity]]-Prod[[#This Row],[S1Dft]]</f>
        <v>0</v>
      </c>
      <c r="M45" s="133"/>
      <c r="N45" s="197">
        <v>0</v>
      </c>
      <c r="O45" s="198">
        <v>0</v>
      </c>
      <c r="P45" s="129">
        <v>0</v>
      </c>
      <c r="Q45" s="129">
        <v>0</v>
      </c>
      <c r="R45" s="120">
        <f>Prod[[#This Row],[S2Shot]]*Prod[[#This Row],[S2Cavity]]-Prod[[#This Row],[S2Dft]]</f>
        <v>0</v>
      </c>
      <c r="S45" s="133"/>
      <c r="T45" s="197">
        <v>0</v>
      </c>
      <c r="U45" s="198">
        <v>0</v>
      </c>
      <c r="V45" s="129">
        <v>0</v>
      </c>
      <c r="W45" s="129">
        <v>0</v>
      </c>
      <c r="X45" s="120">
        <f>Prod[[#This Row],[S3Shot]]*Prod[[#This Row],[S3Cavity]]-Prod[[#This Row],[S3Dft]]</f>
        <v>0</v>
      </c>
      <c r="Y45" s="133"/>
      <c r="Z45" s="120">
        <f>SUM(Prod[[#This Row],[S1Qty]],Prod[[#This Row],[S2Qty]],Prod[[#This Row],[S3Qty]])</f>
        <v>0</v>
      </c>
      <c r="AA45" s="133"/>
      <c r="AB45" s="134"/>
      <c r="AC45" s="118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1">
        <f>IF(Prod[[#This Row],[S1Hrs]]=0,0,Prod[[#This Row],[S1Shot]]*Prod[[#This Row],[S1Cycle]]/(Prod[[#This Row],[S1Hrs]]*60*60))</f>
        <v>0</v>
      </c>
      <c r="AT45" s="131">
        <f>IF(Prod[[#This Row],[S2Hrs]]=0,0,Prod[[#This Row],[S2Shot]]*Prod[[#This Row],[S2Cycle]]/(Prod[[#This Row],[S2Hrs]]*60*60))</f>
        <v>0</v>
      </c>
      <c r="AU45" s="131">
        <f>IF(Prod[[#This Row],[S3Hrs]]=0,0,Prod[[#This Row],[S3Shot]]*Prod[[#This Row],[S3Cycle]]/(Prod[[#This Row],[S3Hrs]]*60*60))</f>
        <v>0</v>
      </c>
      <c r="AV45" s="131">
        <f>IFERROR(AVERAGEIF(Prod[[#This Row],[S1%]:[S3%]], "&lt;&gt;0"),0)</f>
        <v>0</v>
      </c>
      <c r="AW45" s="131">
        <v>0</v>
      </c>
      <c r="AX45" s="131">
        <v>0</v>
      </c>
      <c r="AY45" s="131">
        <v>0</v>
      </c>
      <c r="AZ45" s="166">
        <f>IF(Prod[[#This Row],[S1Cycle]]&lt;&gt;0,1,0)</f>
        <v>0</v>
      </c>
      <c r="BA45" s="166">
        <f>IF(Prod[[#This Row],[S2Cycle]]&lt;&gt;0,1,0)</f>
        <v>0</v>
      </c>
      <c r="BB45" s="166">
        <f>IF(Prod[[#This Row],[S3Cycle]]&lt;&gt;0,1,0)</f>
        <v>0</v>
      </c>
      <c r="BC45" s="166">
        <f>MAX(Prod[[#This Row],[S1Cavity]],Prod[[#This Row],[S2Cavity]],Prod[[#This Row],[S3Cavity]])</f>
        <v>0</v>
      </c>
      <c r="BD45" s="166" t="b">
        <f>RegExpMatch(Prod[[#This Row],[MoldNo]], "^DW-(B|C)")</f>
        <v>0</v>
      </c>
    </row>
    <row r="46" spans="1:56" x14ac:dyDescent="0.2">
      <c r="A46" s="117">
        <v>45417</v>
      </c>
      <c r="B46" s="119" t="s">
        <v>179</v>
      </c>
      <c r="C46" s="119" t="s">
        <v>180</v>
      </c>
      <c r="D46" s="119">
        <v>25151</v>
      </c>
      <c r="E46" s="130" t="s">
        <v>92</v>
      </c>
      <c r="F46" s="119">
        <v>814</v>
      </c>
      <c r="G46" s="119" t="str">
        <f>IF(OR(Prod[[#This Row],[S1Hrs]]&gt;0,Prod[[#This Row],[S2Hrs]]&gt;0,Prod[[#This Row],[S3Hrs]]&gt;0),"Running","Down")</f>
        <v>Running</v>
      </c>
      <c r="H46" s="197">
        <v>12.44</v>
      </c>
      <c r="I46" s="198">
        <v>7</v>
      </c>
      <c r="J46" s="129">
        <v>2101</v>
      </c>
      <c r="K46" s="129">
        <v>8</v>
      </c>
      <c r="L46" s="120">
        <f>Prod[[#This Row],[S1Shot]]*Prod[[#This Row],[S1Cavity]]-Prod[[#This Row],[S1Dft]]</f>
        <v>16808</v>
      </c>
      <c r="M46" s="133"/>
      <c r="N46" s="197">
        <v>12.64</v>
      </c>
      <c r="O46" s="198">
        <v>8</v>
      </c>
      <c r="P46" s="129">
        <v>2250</v>
      </c>
      <c r="Q46" s="129">
        <v>8</v>
      </c>
      <c r="R46" s="120">
        <f>Prod[[#This Row],[S2Shot]]*Prod[[#This Row],[S2Cavity]]-Prod[[#This Row],[S2Dft]]</f>
        <v>18000</v>
      </c>
      <c r="S46" s="133"/>
      <c r="T46" s="197">
        <v>12.64</v>
      </c>
      <c r="U46" s="198">
        <v>8</v>
      </c>
      <c r="V46" s="129">
        <v>2194</v>
      </c>
      <c r="W46" s="129">
        <v>8</v>
      </c>
      <c r="X46" s="120">
        <f>Prod[[#This Row],[S3Shot]]*Prod[[#This Row],[S3Cavity]]-Prod[[#This Row],[S3Dft]]</f>
        <v>17552</v>
      </c>
      <c r="Y46" s="133"/>
      <c r="Z46" s="120">
        <f>SUM(Prod[[#This Row],[S1Qty]],Prod[[#This Row],[S2Qty]],Prod[[#This Row],[S3Qty]])</f>
        <v>52360</v>
      </c>
      <c r="AA46" s="133"/>
      <c r="AB46" s="134"/>
      <c r="AC46" s="130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1">
        <f>IF(Prod[[#This Row],[S1Hrs]]=0,0,Prod[[#This Row],[S1Shot]]*Prod[[#This Row],[S1Cycle]]/(Prod[[#This Row],[S1Hrs]]*60*60))</f>
        <v>1.0371603174603174</v>
      </c>
      <c r="AT46" s="131">
        <f>IF(Prod[[#This Row],[S2Hrs]]=0,0,Prod[[#This Row],[S2Shot]]*Prod[[#This Row],[S2Cycle]]/(Prod[[#This Row],[S2Hrs]]*60*60))</f>
        <v>0.98750000000000004</v>
      </c>
      <c r="AU46" s="131">
        <f>IF(Prod[[#This Row],[S3Hrs]]=0,0,Prod[[#This Row],[S3Shot]]*Prod[[#This Row],[S3Cycle]]/(Prod[[#This Row],[S3Hrs]]*60*60))</f>
        <v>0.96292222222222223</v>
      </c>
      <c r="AV46" s="131">
        <f>IFERROR(AVERAGEIF(Prod[[#This Row],[S1%]:[S3%]], "&lt;&gt;0"),0)</f>
        <v>0.99586084656084661</v>
      </c>
      <c r="AW46" s="131">
        <v>0</v>
      </c>
      <c r="AX46" s="131">
        <v>0</v>
      </c>
      <c r="AY46" s="131">
        <v>0</v>
      </c>
      <c r="AZ46" s="166">
        <f>IF(Prod[[#This Row],[S1Cycle]]&lt;&gt;0,1,0)</f>
        <v>1</v>
      </c>
      <c r="BA46" s="166">
        <f>IF(Prod[[#This Row],[S2Cycle]]&lt;&gt;0,1,0)</f>
        <v>1</v>
      </c>
      <c r="BB46" s="166">
        <f>IF(Prod[[#This Row],[S3Cycle]]&lt;&gt;0,1,0)</f>
        <v>1</v>
      </c>
      <c r="BC46" s="166">
        <f>MAX(Prod[[#This Row],[S1Cavity]],Prod[[#This Row],[S2Cavity]],Prod[[#This Row],[S3Cavity]])</f>
        <v>8</v>
      </c>
      <c r="BD46" s="166" t="b">
        <f>RegExpMatch(Prod[[#This Row],[MoldNo]], "^DW-(B|C)")</f>
        <v>0</v>
      </c>
    </row>
    <row r="47" spans="1:56" x14ac:dyDescent="0.2">
      <c r="A47" s="117">
        <v>45417</v>
      </c>
      <c r="B47" s="129" t="s">
        <v>192</v>
      </c>
      <c r="C47" s="130" t="s">
        <v>174</v>
      </c>
      <c r="D47" s="119"/>
      <c r="E47" s="130"/>
      <c r="F47" s="119"/>
      <c r="G47" s="119" t="str">
        <f>IF(OR(Prod[[#This Row],[S1Hrs]]&gt;0,Prod[[#This Row],[S2Hrs]]&gt;0,Prod[[#This Row],[S3Hrs]]&gt;0),"Running","Down")</f>
        <v>Down</v>
      </c>
      <c r="H47" s="197">
        <v>0</v>
      </c>
      <c r="I47" s="198">
        <v>0</v>
      </c>
      <c r="J47" s="129">
        <v>0</v>
      </c>
      <c r="K47" s="129">
        <v>0</v>
      </c>
      <c r="L47" s="120">
        <f>Prod[[#This Row],[S1Shot]]*Prod[[#This Row],[S1Cavity]]-Prod[[#This Row],[S1Dft]]</f>
        <v>0</v>
      </c>
      <c r="M47" s="133"/>
      <c r="N47" s="197">
        <v>0</v>
      </c>
      <c r="O47" s="198">
        <v>0</v>
      </c>
      <c r="P47" s="129">
        <v>0</v>
      </c>
      <c r="Q47" s="129">
        <v>0</v>
      </c>
      <c r="R47" s="120">
        <f>Prod[[#This Row],[S2Shot]]*Prod[[#This Row],[S2Cavity]]-Prod[[#This Row],[S2Dft]]</f>
        <v>0</v>
      </c>
      <c r="S47" s="133"/>
      <c r="T47" s="197">
        <v>0</v>
      </c>
      <c r="U47" s="198">
        <v>0</v>
      </c>
      <c r="V47" s="129">
        <v>0</v>
      </c>
      <c r="W47" s="129">
        <v>0</v>
      </c>
      <c r="X47" s="120">
        <f>Prod[[#This Row],[S3Shot]]*Prod[[#This Row],[S3Cavity]]-Prod[[#This Row],[S3Dft]]</f>
        <v>0</v>
      </c>
      <c r="Y47" s="133"/>
      <c r="Z47" s="120">
        <f>SUM(Prod[[#This Row],[S1Qty]],Prod[[#This Row],[S2Qty]],Prod[[#This Row],[S3Qty]])</f>
        <v>0</v>
      </c>
      <c r="AA47" s="133"/>
      <c r="AB47" s="134"/>
      <c r="AC47" s="130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1">
        <f>IF(Prod[[#This Row],[S1Hrs]]=0,0,Prod[[#This Row],[S1Shot]]*Prod[[#This Row],[S1Cycle]]/(Prod[[#This Row],[S1Hrs]]*60*60))</f>
        <v>0</v>
      </c>
      <c r="AT47" s="131">
        <f>IF(Prod[[#This Row],[S2Hrs]]=0,0,Prod[[#This Row],[S2Shot]]*Prod[[#This Row],[S2Cycle]]/(Prod[[#This Row],[S2Hrs]]*60*60))</f>
        <v>0</v>
      </c>
      <c r="AU47" s="131">
        <f>IF(Prod[[#This Row],[S3Hrs]]=0,0,Prod[[#This Row],[S3Shot]]*Prod[[#This Row],[S3Cycle]]/(Prod[[#This Row],[S3Hrs]]*60*60))</f>
        <v>0</v>
      </c>
      <c r="AV47" s="131">
        <f>IFERROR(AVERAGEIF(Prod[[#This Row],[S1%]:[S3%]], "&lt;&gt;0"),0)</f>
        <v>0</v>
      </c>
      <c r="AW47" s="131">
        <v>0</v>
      </c>
      <c r="AX47" s="131">
        <v>0</v>
      </c>
      <c r="AY47" s="131">
        <v>0</v>
      </c>
      <c r="AZ47" s="166">
        <f>IF(Prod[[#This Row],[S1Cycle]]&lt;&gt;0,1,0)</f>
        <v>0</v>
      </c>
      <c r="BA47" s="166">
        <f>IF(Prod[[#This Row],[S2Cycle]]&lt;&gt;0,1,0)</f>
        <v>0</v>
      </c>
      <c r="BB47" s="166">
        <f>IF(Prod[[#This Row],[S3Cycle]]&lt;&gt;0,1,0)</f>
        <v>0</v>
      </c>
      <c r="BC47" s="166">
        <f>MAX(Prod[[#This Row],[S1Cavity]],Prod[[#This Row],[S2Cavity]],Prod[[#This Row],[S3Cavity]])</f>
        <v>0</v>
      </c>
      <c r="BD47" s="166" t="b">
        <f>RegExpMatch(Prod[[#This Row],[MoldNo]], "^DW-(B|C)")</f>
        <v>0</v>
      </c>
    </row>
    <row r="48" spans="1:56" x14ac:dyDescent="0.2">
      <c r="A48" s="117">
        <v>45417</v>
      </c>
      <c r="B48" s="129" t="s">
        <v>216</v>
      </c>
      <c r="C48" s="130" t="s">
        <v>217</v>
      </c>
      <c r="D48" s="130">
        <v>26365</v>
      </c>
      <c r="E48" s="130" t="s">
        <v>191</v>
      </c>
      <c r="F48" s="119">
        <v>814</v>
      </c>
      <c r="G48" s="119" t="str">
        <f>IF(OR(Prod[[#This Row],[S1Hrs]]&gt;0,Prod[[#This Row],[S2Hrs]]&gt;0,Prod[[#This Row],[S3Hrs]]&gt;0),"Running","Down")</f>
        <v>Running</v>
      </c>
      <c r="H48" s="197">
        <v>18.100000000000001</v>
      </c>
      <c r="I48" s="198">
        <v>8</v>
      </c>
      <c r="J48" s="129">
        <v>1436</v>
      </c>
      <c r="K48" s="129">
        <v>8</v>
      </c>
      <c r="L48" s="120">
        <f>Prod[[#This Row],[S1Shot]]*Prod[[#This Row],[S1Cavity]]-Prod[[#This Row],[S1Dft]]</f>
        <v>11343</v>
      </c>
      <c r="M48" s="135">
        <f>SUM(Prod[[#This Row],[S1Mold]],Prod[[#This Row],[S1Print]],Prod[[#This Row],[S1Ovlp]],Prod[[#This Row],[S1Seam]],Prod[[#This Row],[S1Dmg]])</f>
        <v>145</v>
      </c>
      <c r="N48" s="197">
        <v>18.100000000000001</v>
      </c>
      <c r="O48" s="198">
        <v>8</v>
      </c>
      <c r="P48" s="129">
        <v>1436</v>
      </c>
      <c r="Q48" s="129">
        <v>8</v>
      </c>
      <c r="R48" s="120">
        <f>Prod[[#This Row],[S2Shot]]*Prod[[#This Row],[S2Cavity]]-Prod[[#This Row],[S2Dft]]</f>
        <v>11358</v>
      </c>
      <c r="S48" s="135">
        <f>SUM(Prod[[#This Row],[S2Mold]],Prod[[#This Row],[S2Print]],Prod[[#This Row],[S2Ovlp]],Prod[[#This Row],[S2Seam]],Prod[[#This Row],[S2Dmg]])</f>
        <v>130</v>
      </c>
      <c r="T48" s="197">
        <v>18.100000000000001</v>
      </c>
      <c r="U48" s="198">
        <v>8</v>
      </c>
      <c r="V48" s="129">
        <v>1553</v>
      </c>
      <c r="W48" s="129">
        <v>8</v>
      </c>
      <c r="X48" s="120">
        <f>Prod[[#This Row],[S3Shot]]*Prod[[#This Row],[S3Cavity]]-Prod[[#This Row],[S3Dft]]</f>
        <v>12304</v>
      </c>
      <c r="Y48" s="120">
        <f>SUM(Prod[[#This Row],[S3Mold]],Prod[[#This Row],[S3Print]],Prod[[#This Row],[S3Ovlp]],Prod[[#This Row],[S3Seam]],Prod[[#This Row],[S3Dmg]])</f>
        <v>120</v>
      </c>
      <c r="Z48" s="120">
        <f>SUM(Prod[[#This Row],[S1Qty]],Prod[[#This Row],[S2Qty]],Prod[[#This Row],[S3Qty]])</f>
        <v>35005</v>
      </c>
      <c r="AA48" s="120">
        <f>SUM(Prod[[#This Row],[S1Dft]],Prod[[#This Row],[S2Dft]],Prod[[#This Row],[S3Dft]])</f>
        <v>395</v>
      </c>
      <c r="AB48" s="121">
        <f>IF(Prod[[#This Row],[Total]]=0,0,Prod[[#This Row],[TotalDft]]/Prod[[#This Row],[Total]])</f>
        <v>1.1284102271104128E-2</v>
      </c>
      <c r="AC48" s="130"/>
      <c r="AD48" s="120">
        <v>25</v>
      </c>
      <c r="AE48" s="120">
        <v>20</v>
      </c>
      <c r="AF48" s="120">
        <v>20</v>
      </c>
      <c r="AG48" s="120">
        <v>120</v>
      </c>
      <c r="AH48" s="120">
        <v>110</v>
      </c>
      <c r="AI48" s="120">
        <v>100</v>
      </c>
      <c r="AJ48" s="120">
        <v>0</v>
      </c>
      <c r="AK48" s="120">
        <v>0</v>
      </c>
      <c r="AL48" s="120">
        <v>0</v>
      </c>
      <c r="AM48" s="120">
        <v>0</v>
      </c>
      <c r="AN48" s="120">
        <v>0</v>
      </c>
      <c r="AO48" s="120">
        <v>0</v>
      </c>
      <c r="AP48" s="120">
        <v>0</v>
      </c>
      <c r="AQ48" s="120">
        <v>0</v>
      </c>
      <c r="AR48" s="120">
        <v>0</v>
      </c>
      <c r="AS48" s="131">
        <f>IF(Prod[[#This Row],[S1Hrs]]=0,0,Prod[[#This Row],[S1Shot]]*Prod[[#This Row],[S1Cycle]]/(Prod[[#This Row],[S1Hrs]]*60*60))</f>
        <v>0.90248611111111121</v>
      </c>
      <c r="AT48" s="131">
        <f>IF(Prod[[#This Row],[S2Hrs]]=0,0,Prod[[#This Row],[S2Shot]]*Prod[[#This Row],[S2Cycle]]/(Prod[[#This Row],[S2Hrs]]*60*60))</f>
        <v>0.90248611111111121</v>
      </c>
      <c r="AU48" s="131">
        <f>IF(Prod[[#This Row],[S3Hrs]]=0,0,Prod[[#This Row],[S3Shot]]*Prod[[#This Row],[S3Cycle]]/(Prod[[#This Row],[S3Hrs]]*60*60))</f>
        <v>0.97601736111111126</v>
      </c>
      <c r="AV48" s="131">
        <f>IFERROR(AVERAGEIF(Prod[[#This Row],[S1%]:[S3%]], "&lt;&gt;0"),0)</f>
        <v>0.92699652777777786</v>
      </c>
      <c r="AW48" s="131">
        <v>0</v>
      </c>
      <c r="AX48" s="131">
        <v>0</v>
      </c>
      <c r="AY48" s="131">
        <v>0</v>
      </c>
      <c r="AZ48" s="166">
        <f>IF(Prod[[#This Row],[S1Cycle]]&lt;&gt;0,1,0)</f>
        <v>1</v>
      </c>
      <c r="BA48" s="166">
        <f>IF(Prod[[#This Row],[S2Cycle]]&lt;&gt;0,1,0)</f>
        <v>1</v>
      </c>
      <c r="BB48" s="166">
        <f>IF(Prod[[#This Row],[S3Cycle]]&lt;&gt;0,1,0)</f>
        <v>1</v>
      </c>
      <c r="BC48" s="166">
        <f>MAX(Prod[[#This Row],[S1Cavity]],Prod[[#This Row],[S2Cavity]],Prod[[#This Row],[S3Cavity]])</f>
        <v>8</v>
      </c>
      <c r="BD48" s="166" t="b">
        <f>RegExpMatch(Prod[[#This Row],[MoldNo]], "^DW-(B|C)")</f>
        <v>1</v>
      </c>
    </row>
    <row r="49" spans="1:56" x14ac:dyDescent="0.2">
      <c r="A49" s="117">
        <v>45417</v>
      </c>
      <c r="B49" s="120" t="s">
        <v>175</v>
      </c>
      <c r="C49" s="119" t="s">
        <v>178</v>
      </c>
      <c r="D49" s="130" t="s">
        <v>228</v>
      </c>
      <c r="E49" s="130" t="s">
        <v>191</v>
      </c>
      <c r="F49" s="119">
        <v>814</v>
      </c>
      <c r="G49" s="119" t="str">
        <f>IF(OR(Prod[[#This Row],[S1Hrs]]&gt;0,Prod[[#This Row],[S2Hrs]]&gt;0,Prod[[#This Row],[S3Hrs]]&gt;0),"Running","Down")</f>
        <v>Running</v>
      </c>
      <c r="H49" s="197">
        <v>19.29</v>
      </c>
      <c r="I49" s="198">
        <v>8</v>
      </c>
      <c r="J49" s="129">
        <v>1511</v>
      </c>
      <c r="K49" s="129">
        <v>8</v>
      </c>
      <c r="L49" s="120">
        <f>Prod[[#This Row],[S1Shot]]*Prod[[#This Row],[S1Cavity]]-Prod[[#This Row],[S1Dft]]</f>
        <v>11978</v>
      </c>
      <c r="M49" s="135">
        <f>SUM(Prod[[#This Row],[S1Mold]],Prod[[#This Row],[S1Print]],Prod[[#This Row],[S1Ovlp]],Prod[[#This Row],[S1Seam]],Prod[[#This Row],[S1Dmg]])</f>
        <v>110</v>
      </c>
      <c r="N49" s="197">
        <v>19.190000000000001</v>
      </c>
      <c r="O49" s="198">
        <v>8</v>
      </c>
      <c r="P49" s="129">
        <v>1420</v>
      </c>
      <c r="Q49" s="129">
        <v>8</v>
      </c>
      <c r="R49" s="120">
        <f>Prod[[#This Row],[S2Shot]]*Prod[[#This Row],[S2Cavity]]-Prod[[#This Row],[S2Dft]]</f>
        <v>11220</v>
      </c>
      <c r="S49" s="135">
        <f>SUM(Prod[[#This Row],[S2Mold]],Prod[[#This Row],[S2Print]],Prod[[#This Row],[S2Ovlp]],Prod[[#This Row],[S2Seam]],Prod[[#This Row],[S2Dmg]])</f>
        <v>140</v>
      </c>
      <c r="T49" s="197">
        <v>19.18</v>
      </c>
      <c r="U49" s="198">
        <v>3</v>
      </c>
      <c r="V49" s="129">
        <v>588</v>
      </c>
      <c r="W49" s="129">
        <v>8</v>
      </c>
      <c r="X49" s="120">
        <f>Prod[[#This Row],[S3Shot]]*Prod[[#This Row],[S3Cavity]]-Prod[[#This Row],[S3Dft]]</f>
        <v>4634</v>
      </c>
      <c r="Y49" s="120">
        <f>SUM(Prod[[#This Row],[S3Mold]],Prod[[#This Row],[S3Print]],Prod[[#This Row],[S3Ovlp]],Prod[[#This Row],[S3Seam]],Prod[[#This Row],[S3Dmg]])</f>
        <v>70</v>
      </c>
      <c r="Z49" s="120">
        <f>SUM(Prod[[#This Row],[S1Qty]],Prod[[#This Row],[S2Qty]],Prod[[#This Row],[S3Qty]])</f>
        <v>27832</v>
      </c>
      <c r="AA49" s="120">
        <f>SUM(Prod[[#This Row],[S1Dft]],Prod[[#This Row],[S2Dft]],Prod[[#This Row],[S3Dft]])</f>
        <v>320</v>
      </c>
      <c r="AB49" s="121">
        <f>IF(Prod[[#This Row],[Total]]=0,0,Prod[[#This Row],[TotalDft]]/Prod[[#This Row],[Total]])</f>
        <v>1.1497556769186549E-2</v>
      </c>
      <c r="AC49" s="130"/>
      <c r="AD49" s="120">
        <v>25</v>
      </c>
      <c r="AE49" s="120">
        <v>20</v>
      </c>
      <c r="AF49" s="120">
        <v>10</v>
      </c>
      <c r="AG49" s="120">
        <v>85</v>
      </c>
      <c r="AH49" s="120">
        <v>120</v>
      </c>
      <c r="AI49" s="120">
        <v>60</v>
      </c>
      <c r="AJ49" s="120">
        <v>0</v>
      </c>
      <c r="AK49" s="120">
        <v>0</v>
      </c>
      <c r="AL49" s="120">
        <v>0</v>
      </c>
      <c r="AM49" s="120">
        <v>0</v>
      </c>
      <c r="AN49" s="120">
        <v>0</v>
      </c>
      <c r="AO49" s="120">
        <v>0</v>
      </c>
      <c r="AP49" s="120">
        <v>0</v>
      </c>
      <c r="AQ49" s="120">
        <v>0</v>
      </c>
      <c r="AR49" s="120">
        <v>0</v>
      </c>
      <c r="AS49" s="131">
        <f>IF(Prod[[#This Row],[S1Hrs]]=0,0,Prod[[#This Row],[S1Shot]]*Prod[[#This Row],[S1Cycle]]/(Prod[[#This Row],[S1Hrs]]*60*60))</f>
        <v>1.0120552083333332</v>
      </c>
      <c r="AT49" s="131">
        <f>IF(Prod[[#This Row],[S2Hrs]]=0,0,Prod[[#This Row],[S2Shot]]*Prod[[#This Row],[S2Cycle]]/(Prod[[#This Row],[S2Hrs]]*60*60))</f>
        <v>0.9461736111111112</v>
      </c>
      <c r="AU49" s="131">
        <f>IF(Prod[[#This Row],[S3Hrs]]=0,0,Prod[[#This Row],[S3Shot]]*Prod[[#This Row],[S3Cycle]]/(Prod[[#This Row],[S3Hrs]]*60*60))</f>
        <v>1.0442444444444445</v>
      </c>
      <c r="AV49" s="131">
        <f>IFERROR(AVERAGEIF(Prod[[#This Row],[S1%]:[S3%]], "&lt;&gt;0"),0)</f>
        <v>1.0008244212962962</v>
      </c>
      <c r="AW49" s="131">
        <v>0</v>
      </c>
      <c r="AX49" s="131">
        <v>0</v>
      </c>
      <c r="AY49" s="131">
        <v>0</v>
      </c>
      <c r="AZ49" s="166">
        <f>IF(Prod[[#This Row],[S1Cycle]]&lt;&gt;0,1,0)</f>
        <v>1</v>
      </c>
      <c r="BA49" s="166">
        <f>IF(Prod[[#This Row],[S2Cycle]]&lt;&gt;0,1,0)</f>
        <v>1</v>
      </c>
      <c r="BB49" s="166">
        <f>IF(Prod[[#This Row],[S3Cycle]]&lt;&gt;0,1,0)</f>
        <v>1</v>
      </c>
      <c r="BC49" s="166">
        <f>MAX(Prod[[#This Row],[S1Cavity]],Prod[[#This Row],[S2Cavity]],Prod[[#This Row],[S3Cavity]])</f>
        <v>8</v>
      </c>
      <c r="BD49" s="166" t="b">
        <f>RegExpMatch(Prod[[#This Row],[MoldNo]], "^DW-(B|C)")</f>
        <v>1</v>
      </c>
    </row>
    <row r="50" spans="1:56" x14ac:dyDescent="0.2">
      <c r="A50" s="117">
        <v>45417</v>
      </c>
      <c r="B50" s="120" t="s">
        <v>175</v>
      </c>
      <c r="C50" s="119" t="s">
        <v>178</v>
      </c>
      <c r="D50" s="130" t="s">
        <v>229</v>
      </c>
      <c r="E50" s="130" t="s">
        <v>191</v>
      </c>
      <c r="F50" s="119">
        <v>814</v>
      </c>
      <c r="G50" s="119" t="str">
        <f>IF(OR(Prod[[#This Row],[S1Hrs]]&gt;0,Prod[[#This Row],[S2Hrs]]&gt;0,Prod[[#This Row],[S3Hrs]]&gt;0),"Running","Down")</f>
        <v>Running</v>
      </c>
      <c r="H50" s="197">
        <v>0</v>
      </c>
      <c r="I50" s="198">
        <v>0</v>
      </c>
      <c r="J50" s="129">
        <v>0</v>
      </c>
      <c r="K50" s="129">
        <v>0</v>
      </c>
      <c r="L50" s="120">
        <f>Prod[[#This Row],[S1Shot]]*Prod[[#This Row],[S1Cavity]]-Prod[[#This Row],[S1Dft]]</f>
        <v>0</v>
      </c>
      <c r="M50" s="135">
        <f>SUM(Prod[[#This Row],[S1Mold]],Prod[[#This Row],[S1Print]],Prod[[#This Row],[S1Ovlp]],Prod[[#This Row],[S1Seam]],Prod[[#This Row],[S1Dmg]])</f>
        <v>0</v>
      </c>
      <c r="N50" s="197">
        <v>0</v>
      </c>
      <c r="O50" s="198">
        <v>0</v>
      </c>
      <c r="P50" s="129">
        <v>0</v>
      </c>
      <c r="Q50" s="129">
        <v>0</v>
      </c>
      <c r="R50" s="120">
        <f>Prod[[#This Row],[S2Shot]]*Prod[[#This Row],[S2Cavity]]-Prod[[#This Row],[S2Dft]]</f>
        <v>0</v>
      </c>
      <c r="S50" s="135">
        <f>SUM(Prod[[#This Row],[S2Mold]],Prod[[#This Row],[S2Print]],Prod[[#This Row],[S2Ovlp]],Prod[[#This Row],[S2Seam]],Prod[[#This Row],[S2Dmg]])</f>
        <v>0</v>
      </c>
      <c r="T50" s="197">
        <v>19.170000000000002</v>
      </c>
      <c r="U50" s="198">
        <v>2</v>
      </c>
      <c r="V50" s="129">
        <v>266</v>
      </c>
      <c r="W50" s="129">
        <v>8</v>
      </c>
      <c r="X50" s="120">
        <f>Prod[[#This Row],[S3Shot]]*Prod[[#This Row],[S3Cavity]]-Prod[[#This Row],[S3Dft]]</f>
        <v>2078</v>
      </c>
      <c r="Y50" s="120">
        <f>SUM(Prod[[#This Row],[S3Mold]],Prod[[#This Row],[S3Print]],Prod[[#This Row],[S3Ovlp]],Prod[[#This Row],[S3Seam]],Prod[[#This Row],[S3Dmg]])</f>
        <v>50</v>
      </c>
      <c r="Z50" s="120">
        <f>SUM(Prod[[#This Row],[S1Qty]],Prod[[#This Row],[S2Qty]],Prod[[#This Row],[S3Qty]])</f>
        <v>2078</v>
      </c>
      <c r="AA50" s="120">
        <f>SUM(Prod[[#This Row],[S1Dft]],Prod[[#This Row],[S2Dft]],Prod[[#This Row],[S3Dft]])</f>
        <v>50</v>
      </c>
      <c r="AB50" s="121">
        <f>IF(Prod[[#This Row],[Total]]=0,0,Prod[[#This Row],[TotalDft]]/Prod[[#This Row],[Total]])</f>
        <v>2.406159769008662E-2</v>
      </c>
      <c r="AC50" s="130" t="s">
        <v>230</v>
      </c>
      <c r="AD50" s="120">
        <v>0</v>
      </c>
      <c r="AE50" s="120">
        <v>0</v>
      </c>
      <c r="AF50" s="120">
        <v>10</v>
      </c>
      <c r="AG50" s="120">
        <v>0</v>
      </c>
      <c r="AH50" s="120">
        <v>0</v>
      </c>
      <c r="AI50" s="120">
        <v>40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1">
        <f>IF(Prod[[#This Row],[S1Hrs]]=0,0,Prod[[#This Row],[S1Shot]]*Prod[[#This Row],[S1Cycle]]/(Prod[[#This Row],[S1Hrs]]*60*60))</f>
        <v>0</v>
      </c>
      <c r="AT50" s="131">
        <f>IF(Prod[[#This Row],[S2Hrs]]=0,0,Prod[[#This Row],[S2Shot]]*Prod[[#This Row],[S2Cycle]]/(Prod[[#This Row],[S2Hrs]]*60*60))</f>
        <v>0</v>
      </c>
      <c r="AU50" s="131">
        <f>IF(Prod[[#This Row],[S3Hrs]]=0,0,Prod[[#This Row],[S3Shot]]*Prod[[#This Row],[S3Cycle]]/(Prod[[#This Row],[S3Hrs]]*60*60))</f>
        <v>0.70822499999999999</v>
      </c>
      <c r="AV50" s="131">
        <f>IFERROR(AVERAGEIF(Prod[[#This Row],[S1%]:[S3%]], "&lt;&gt;0"),0)</f>
        <v>0.70822499999999999</v>
      </c>
      <c r="AW50" s="131">
        <v>0</v>
      </c>
      <c r="AX50" s="131">
        <v>0</v>
      </c>
      <c r="AY50" s="131">
        <v>0</v>
      </c>
      <c r="AZ50" s="166">
        <f>IF(Prod[[#This Row],[S1Cycle]]&lt;&gt;0,1,0)</f>
        <v>0</v>
      </c>
      <c r="BA50" s="166">
        <f>IF(Prod[[#This Row],[S2Cycle]]&lt;&gt;0,1,0)</f>
        <v>0</v>
      </c>
      <c r="BB50" s="166">
        <f>IF(Prod[[#This Row],[S3Cycle]]&lt;&gt;0,1,0)</f>
        <v>1</v>
      </c>
      <c r="BC50" s="166">
        <f>MAX(Prod[[#This Row],[S1Cavity]],Prod[[#This Row],[S2Cavity]],Prod[[#This Row],[S3Cavity]])</f>
        <v>8</v>
      </c>
      <c r="BD50" s="166" t="b">
        <f>RegExpMatch(Prod[[#This Row],[MoldNo]], "^DW-(B|C)")</f>
        <v>1</v>
      </c>
    </row>
    <row r="51" spans="1:56" x14ac:dyDescent="0.2">
      <c r="A51" s="117">
        <v>45417</v>
      </c>
      <c r="B51" s="120" t="s">
        <v>177</v>
      </c>
      <c r="C51" s="119" t="s">
        <v>176</v>
      </c>
      <c r="D51" s="130" t="s">
        <v>209</v>
      </c>
      <c r="E51" s="130" t="s">
        <v>191</v>
      </c>
      <c r="F51" s="119">
        <v>814</v>
      </c>
      <c r="G51" s="119" t="str">
        <f>IF(OR(Prod[[#This Row],[S1Hrs]]&gt;0,Prod[[#This Row],[S2Hrs]]&gt;0,Prod[[#This Row],[S3Hrs]]&gt;0),"Running","Down")</f>
        <v>Running</v>
      </c>
      <c r="H51" s="197">
        <v>25.79</v>
      </c>
      <c r="I51" s="198">
        <v>8</v>
      </c>
      <c r="J51" s="129">
        <v>1042</v>
      </c>
      <c r="K51" s="129">
        <v>8</v>
      </c>
      <c r="L51" s="120">
        <f>Prod[[#This Row],[S1Shot]]*Prod[[#This Row],[S1Cavity]]-Prod[[#This Row],[S1Dft]]</f>
        <v>8191</v>
      </c>
      <c r="M51" s="135">
        <f>SUM(Prod[[#This Row],[S1Mold]],Prod[[#This Row],[S1Print]],Prod[[#This Row],[S1Ovlp]],Prod[[#This Row],[S1Seam]],Prod[[#This Row],[S1Dmg]])</f>
        <v>145</v>
      </c>
      <c r="N51" s="197">
        <v>25.78</v>
      </c>
      <c r="O51" s="198">
        <v>8</v>
      </c>
      <c r="P51" s="129">
        <v>1004</v>
      </c>
      <c r="Q51" s="129">
        <v>7</v>
      </c>
      <c r="R51" s="120">
        <f>Prod[[#This Row],[S2Shot]]*Prod[[#This Row],[S2Cavity]]-Prod[[#This Row],[S2Dft]]</f>
        <v>6908</v>
      </c>
      <c r="S51" s="135">
        <f>SUM(Prod[[#This Row],[S2Mold]],Prod[[#This Row],[S2Print]],Prod[[#This Row],[S2Ovlp]],Prod[[#This Row],[S2Seam]],Prod[[#This Row],[S2Dmg]])</f>
        <v>120</v>
      </c>
      <c r="T51" s="197">
        <v>25.89</v>
      </c>
      <c r="U51" s="198">
        <v>8</v>
      </c>
      <c r="V51" s="129">
        <v>1098</v>
      </c>
      <c r="W51" s="129">
        <v>7</v>
      </c>
      <c r="X51" s="120">
        <f>Prod[[#This Row],[S3Shot]]*Prod[[#This Row],[S3Cavity]]-Prod[[#This Row],[S3Dft]]</f>
        <v>7566</v>
      </c>
      <c r="Y51" s="120">
        <f>SUM(Prod[[#This Row],[S3Mold]],Prod[[#This Row],[S3Print]],Prod[[#This Row],[S3Ovlp]],Prod[[#This Row],[S3Seam]],Prod[[#This Row],[S3Dmg]])</f>
        <v>120</v>
      </c>
      <c r="Z51" s="120">
        <f>SUM(Prod[[#This Row],[S1Qty]],Prod[[#This Row],[S2Qty]],Prod[[#This Row],[S3Qty]])</f>
        <v>22665</v>
      </c>
      <c r="AA51" s="120">
        <f>SUM(Prod[[#This Row],[S1Dft]],Prod[[#This Row],[S2Dft]],Prod[[#This Row],[S3Dft]])</f>
        <v>385</v>
      </c>
      <c r="AB51" s="121">
        <f>IF(Prod[[#This Row],[Total]]=0,0,Prod[[#This Row],[TotalDft]]/Prod[[#This Row],[Total]])</f>
        <v>1.6986543128171189E-2</v>
      </c>
      <c r="AC51" s="130" t="s">
        <v>232</v>
      </c>
      <c r="AD51" s="120">
        <v>25</v>
      </c>
      <c r="AE51" s="120">
        <v>20</v>
      </c>
      <c r="AF51" s="120">
        <v>20</v>
      </c>
      <c r="AG51" s="120">
        <v>120</v>
      </c>
      <c r="AH51" s="120">
        <v>100</v>
      </c>
      <c r="AI51" s="120">
        <v>100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1">
        <f>IF(Prod[[#This Row],[S1Hrs]]=0,0,Prod[[#This Row],[S1Shot]]*Prod[[#This Row],[S1Cycle]]/(Prod[[#This Row],[S1Hrs]]*60*60))</f>
        <v>0.93309652777777774</v>
      </c>
      <c r="AT51" s="131">
        <f>IF(Prod[[#This Row],[S2Hrs]]=0,0,Prod[[#This Row],[S2Shot]]*Prod[[#This Row],[S2Cycle]]/(Prod[[#This Row],[S2Hrs]]*60*60))</f>
        <v>0.89871944444444452</v>
      </c>
      <c r="AU51" s="131">
        <f>IF(Prod[[#This Row],[S3Hrs]]=0,0,Prod[[#This Row],[S3Shot]]*Prod[[#This Row],[S3Cycle]]/(Prod[[#This Row],[S3Hrs]]*60*60))</f>
        <v>0.98705625000000008</v>
      </c>
      <c r="AV51" s="131">
        <f>IFERROR(AVERAGEIF(Prod[[#This Row],[S1%]:[S3%]], "&lt;&gt;0"),0)</f>
        <v>0.93962407407407411</v>
      </c>
      <c r="AW51" s="131">
        <v>0</v>
      </c>
      <c r="AX51" s="131">
        <v>0</v>
      </c>
      <c r="AY51" s="131">
        <v>0</v>
      </c>
      <c r="AZ51" s="166">
        <f>IF(Prod[[#This Row],[S1Cycle]]&lt;&gt;0,1,0)</f>
        <v>1</v>
      </c>
      <c r="BA51" s="166">
        <f>IF(Prod[[#This Row],[S2Cycle]]&lt;&gt;0,1,0)</f>
        <v>1</v>
      </c>
      <c r="BB51" s="166">
        <f>IF(Prod[[#This Row],[S3Cycle]]&lt;&gt;0,1,0)</f>
        <v>1</v>
      </c>
      <c r="BC51" s="166">
        <f>MAX(Prod[[#This Row],[S1Cavity]],Prod[[#This Row],[S2Cavity]],Prod[[#This Row],[S3Cavity]])</f>
        <v>8</v>
      </c>
      <c r="BD51" s="166" t="b">
        <f>RegExpMatch(Prod[[#This Row],[MoldNo]], "^DW-(B|C)")</f>
        <v>1</v>
      </c>
    </row>
    <row r="52" spans="1:56" x14ac:dyDescent="0.2">
      <c r="A52" s="117">
        <v>45417</v>
      </c>
      <c r="B52" s="129" t="s">
        <v>186</v>
      </c>
      <c r="C52" s="130" t="s">
        <v>188</v>
      </c>
      <c r="D52" s="130" t="s">
        <v>205</v>
      </c>
      <c r="E52" s="130" t="s">
        <v>191</v>
      </c>
      <c r="F52" s="119">
        <v>814</v>
      </c>
      <c r="G52" s="119" t="str">
        <f>IF(OR(Prod[[#This Row],[S1Hrs]]&gt;0,Prod[[#This Row],[S2Hrs]]&gt;0,Prod[[#This Row],[S3Hrs]]&gt;0),"Running","Down")</f>
        <v>Running</v>
      </c>
      <c r="H52" s="197">
        <v>22.68</v>
      </c>
      <c r="I52" s="198">
        <v>8</v>
      </c>
      <c r="J52" s="129">
        <v>1206</v>
      </c>
      <c r="K52" s="129">
        <v>8</v>
      </c>
      <c r="L52" s="120">
        <f>Prod[[#This Row],[S1Shot]]*Prod[[#This Row],[S1Cavity]]-Prod[[#This Row],[S1Dft]]</f>
        <v>9506</v>
      </c>
      <c r="M52" s="135">
        <f>SUM(Prod[[#This Row],[S1Mold]],Prod[[#This Row],[S1Print]],Prod[[#This Row],[S1Ovlp]],Prod[[#This Row],[S1Seam]],Prod[[#This Row],[S1Dmg]])</f>
        <v>142</v>
      </c>
      <c r="N52" s="197">
        <v>22.68</v>
      </c>
      <c r="O52" s="198">
        <v>7.5</v>
      </c>
      <c r="P52" s="129">
        <v>1139</v>
      </c>
      <c r="Q52" s="129">
        <v>8</v>
      </c>
      <c r="R52" s="120">
        <f>Prod[[#This Row],[S2Shot]]*Prod[[#This Row],[S2Cavity]]-Prod[[#This Row],[S2Dft]]</f>
        <v>8992</v>
      </c>
      <c r="S52" s="135">
        <f>SUM(Prod[[#This Row],[S2Mold]],Prod[[#This Row],[S2Print]],Prod[[#This Row],[S2Ovlp]],Prod[[#This Row],[S2Seam]],Prod[[#This Row],[S2Dmg]])</f>
        <v>120</v>
      </c>
      <c r="T52" s="197">
        <v>0</v>
      </c>
      <c r="U52" s="198">
        <v>0</v>
      </c>
      <c r="V52" s="129">
        <v>0</v>
      </c>
      <c r="W52" s="129">
        <v>0</v>
      </c>
      <c r="X52" s="120">
        <f>Prod[[#This Row],[S3Shot]]*Prod[[#This Row],[S3Cavity]]-Prod[[#This Row],[S3Dft]]</f>
        <v>0</v>
      </c>
      <c r="Y52" s="120">
        <f>SUM(Prod[[#This Row],[S3Mold]],Prod[[#This Row],[S3Print]],Prod[[#This Row],[S3Ovlp]],Prod[[#This Row],[S3Seam]],Prod[[#This Row],[S3Dmg]])</f>
        <v>0</v>
      </c>
      <c r="Z52" s="120">
        <f>SUM(Prod[[#This Row],[S1Qty]],Prod[[#This Row],[S2Qty]],Prod[[#This Row],[S3Qty]])</f>
        <v>18498</v>
      </c>
      <c r="AA52" s="120">
        <f>SUM(Prod[[#This Row],[S1Dft]],Prod[[#This Row],[S2Dft]],Prod[[#This Row],[S3Dft]])</f>
        <v>262</v>
      </c>
      <c r="AB52" s="121">
        <f>IF(Prod[[#This Row],[Total]]=0,0,Prod[[#This Row],[TotalDft]]/Prod[[#This Row],[Total]])</f>
        <v>1.416369337225646E-2</v>
      </c>
      <c r="AC52" s="130"/>
      <c r="AD52" s="120">
        <v>22</v>
      </c>
      <c r="AE52" s="120">
        <v>20</v>
      </c>
      <c r="AF52" s="120">
        <v>0</v>
      </c>
      <c r="AG52" s="120">
        <v>120</v>
      </c>
      <c r="AH52" s="120">
        <v>100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1">
        <f>IF(Prod[[#This Row],[S1Hrs]]=0,0,Prod[[#This Row],[S1Shot]]*Prod[[#This Row],[S1Cycle]]/(Prod[[#This Row],[S1Hrs]]*60*60))</f>
        <v>0.94972499999999993</v>
      </c>
      <c r="AT52" s="131">
        <f>IF(Prod[[#This Row],[S2Hrs]]=0,0,Prod[[#This Row],[S2Shot]]*Prod[[#This Row],[S2Cycle]]/(Prod[[#This Row],[S2Hrs]]*60*60))</f>
        <v>0.95676000000000005</v>
      </c>
      <c r="AU52" s="131">
        <f>IF(Prod[[#This Row],[S3Hrs]]=0,0,Prod[[#This Row],[S3Shot]]*Prod[[#This Row],[S3Cycle]]/(Prod[[#This Row],[S3Hrs]]*60*60))</f>
        <v>0</v>
      </c>
      <c r="AV52" s="131">
        <f>IFERROR(AVERAGEIF(Prod[[#This Row],[S1%]:[S3%]], "&lt;&gt;0"),0)</f>
        <v>0.95324249999999999</v>
      </c>
      <c r="AW52" s="131">
        <v>0</v>
      </c>
      <c r="AX52" s="131">
        <v>0</v>
      </c>
      <c r="AY52" s="131">
        <v>0</v>
      </c>
      <c r="AZ52" s="166">
        <f>IF(Prod[[#This Row],[S1Cycle]]&lt;&gt;0,1,0)</f>
        <v>1</v>
      </c>
      <c r="BA52" s="166">
        <f>IF(Prod[[#This Row],[S2Cycle]]&lt;&gt;0,1,0)</f>
        <v>1</v>
      </c>
      <c r="BB52" s="166">
        <f>IF(Prod[[#This Row],[S3Cycle]]&lt;&gt;0,1,0)</f>
        <v>0</v>
      </c>
      <c r="BC52" s="166">
        <f>MAX(Prod[[#This Row],[S1Cavity]],Prod[[#This Row],[S2Cavity]],Prod[[#This Row],[S3Cavity]])</f>
        <v>8</v>
      </c>
      <c r="BD52" s="166" t="b">
        <f>RegExpMatch(Prod[[#This Row],[MoldNo]], "^DW-(B|C)")</f>
        <v>1</v>
      </c>
    </row>
    <row r="53" spans="1:56" x14ac:dyDescent="0.2">
      <c r="A53" s="117">
        <v>45417</v>
      </c>
      <c r="B53" s="129" t="s">
        <v>186</v>
      </c>
      <c r="C53" s="130" t="s">
        <v>188</v>
      </c>
      <c r="D53" s="130" t="s">
        <v>197</v>
      </c>
      <c r="E53" s="130" t="s">
        <v>191</v>
      </c>
      <c r="F53" s="119">
        <v>814</v>
      </c>
      <c r="G53" s="119" t="str">
        <f>IF(OR(Prod[[#This Row],[S1Hrs]]&gt;0,Prod[[#This Row],[S2Hrs]]&gt;0,Prod[[#This Row],[S3Hrs]]&gt;0),"Running","Down")</f>
        <v>Running</v>
      </c>
      <c r="H53" s="197">
        <v>0</v>
      </c>
      <c r="I53" s="198">
        <v>0</v>
      </c>
      <c r="J53" s="129">
        <v>0</v>
      </c>
      <c r="K53" s="129">
        <v>0</v>
      </c>
      <c r="L53" s="120">
        <f>Prod[[#This Row],[S1Shot]]*Prod[[#This Row],[S1Cavity]]-Prod[[#This Row],[S1Dft]]</f>
        <v>0</v>
      </c>
      <c r="M53" s="135">
        <f>SUM(Prod[[#This Row],[S1Mold]],Prod[[#This Row],[S1Print]],Prod[[#This Row],[S1Ovlp]],Prod[[#This Row],[S1Seam]],Prod[[#This Row],[S1Dmg]])</f>
        <v>0</v>
      </c>
      <c r="N53" s="197">
        <v>22.68</v>
      </c>
      <c r="O53" s="198">
        <v>0.5</v>
      </c>
      <c r="P53" s="129">
        <v>85</v>
      </c>
      <c r="Q53" s="129">
        <v>8</v>
      </c>
      <c r="R53" s="120">
        <f>Prod[[#This Row],[S2Shot]]*Prod[[#This Row],[S2Cavity]]-Prod[[#This Row],[S2Dft]]</f>
        <v>660</v>
      </c>
      <c r="S53" s="135">
        <f>SUM(Prod[[#This Row],[S2Mold]],Prod[[#This Row],[S2Print]],Prod[[#This Row],[S2Ovlp]],Prod[[#This Row],[S2Seam]],Prod[[#This Row],[S2Dmg]])</f>
        <v>20</v>
      </c>
      <c r="T53" s="197">
        <v>22.73</v>
      </c>
      <c r="U53" s="198">
        <v>8</v>
      </c>
      <c r="V53" s="129">
        <v>1150</v>
      </c>
      <c r="W53" s="129">
        <v>8</v>
      </c>
      <c r="X53" s="120">
        <f>Prod[[#This Row],[S3Shot]]*Prod[[#This Row],[S3Cavity]]-Prod[[#This Row],[S3Dft]]</f>
        <v>9080</v>
      </c>
      <c r="Y53" s="120">
        <f>SUM(Prod[[#This Row],[S3Mold]],Prod[[#This Row],[S3Print]],Prod[[#This Row],[S3Ovlp]],Prod[[#This Row],[S3Seam]],Prod[[#This Row],[S3Dmg]])</f>
        <v>120</v>
      </c>
      <c r="Z53" s="120">
        <f>SUM(Prod[[#This Row],[S1Qty]],Prod[[#This Row],[S2Qty]],Prod[[#This Row],[S3Qty]])</f>
        <v>9740</v>
      </c>
      <c r="AA53" s="120">
        <f>SUM(Prod[[#This Row],[S1Dft]],Prod[[#This Row],[S2Dft]],Prod[[#This Row],[S3Dft]])</f>
        <v>140</v>
      </c>
      <c r="AB53" s="121">
        <f>IF(Prod[[#This Row],[Total]]=0,0,Prod[[#This Row],[TotalDft]]/Prod[[#This Row],[Total]])</f>
        <v>1.4373716632443531E-2</v>
      </c>
      <c r="AC53" s="130" t="s">
        <v>201</v>
      </c>
      <c r="AD53" s="120">
        <v>0</v>
      </c>
      <c r="AE53" s="120">
        <v>0</v>
      </c>
      <c r="AF53" s="120">
        <v>20</v>
      </c>
      <c r="AG53" s="120">
        <v>0</v>
      </c>
      <c r="AH53" s="120">
        <v>20</v>
      </c>
      <c r="AI53" s="120">
        <v>100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1">
        <f>IF(Prod[[#This Row],[S1Hrs]]=0,0,Prod[[#This Row],[S1Shot]]*Prod[[#This Row],[S1Cycle]]/(Prod[[#This Row],[S1Hrs]]*60*60))</f>
        <v>0</v>
      </c>
      <c r="AT53" s="131">
        <f>IF(Prod[[#This Row],[S2Hrs]]=0,0,Prod[[#This Row],[S2Shot]]*Prod[[#This Row],[S2Cycle]]/(Prod[[#This Row],[S2Hrs]]*60*60))</f>
        <v>1.071</v>
      </c>
      <c r="AU53" s="131">
        <f>IF(Prod[[#This Row],[S3Hrs]]=0,0,Prod[[#This Row],[S3Shot]]*Prod[[#This Row],[S3Cycle]]/(Prod[[#This Row],[S3Hrs]]*60*60))</f>
        <v>0.90762152777777783</v>
      </c>
      <c r="AV53" s="131">
        <f>IFERROR(AVERAGEIF(Prod[[#This Row],[S1%]:[S3%]], "&lt;&gt;0"),0)</f>
        <v>0.98931076388888894</v>
      </c>
      <c r="AW53" s="131">
        <v>0</v>
      </c>
      <c r="AX53" s="131">
        <v>0</v>
      </c>
      <c r="AY53" s="131">
        <v>0</v>
      </c>
      <c r="AZ53" s="166">
        <f>IF(Prod[[#This Row],[S1Cycle]]&lt;&gt;0,1,0)</f>
        <v>0</v>
      </c>
      <c r="BA53" s="166">
        <f>IF(Prod[[#This Row],[S2Cycle]]&lt;&gt;0,1,0)</f>
        <v>1</v>
      </c>
      <c r="BB53" s="166">
        <f>IF(Prod[[#This Row],[S3Cycle]]&lt;&gt;0,1,0)</f>
        <v>1</v>
      </c>
      <c r="BC53" s="166">
        <f>MAX(Prod[[#This Row],[S1Cavity]],Prod[[#This Row],[S2Cavity]],Prod[[#This Row],[S3Cavity]])</f>
        <v>8</v>
      </c>
      <c r="BD53" s="166" t="b">
        <f>RegExpMatch(Prod[[#This Row],[MoldNo]], "^DW-(B|C)")</f>
        <v>1</v>
      </c>
    </row>
    <row r="54" spans="1:56" x14ac:dyDescent="0.2">
      <c r="A54" s="117">
        <v>45417</v>
      </c>
      <c r="B54" s="129" t="s">
        <v>187</v>
      </c>
      <c r="C54" s="130" t="s">
        <v>189</v>
      </c>
      <c r="D54" s="130" t="s">
        <v>197</v>
      </c>
      <c r="E54" s="130" t="s">
        <v>191</v>
      </c>
      <c r="F54" s="119">
        <v>814</v>
      </c>
      <c r="G54" s="119" t="str">
        <f>IF(OR(Prod[[#This Row],[S1Hrs]]&gt;0,Prod[[#This Row],[S2Hrs]]&gt;0,Prod[[#This Row],[S3Hrs]]&gt;0),"Running","Down")</f>
        <v>Running</v>
      </c>
      <c r="H54" s="197">
        <v>0</v>
      </c>
      <c r="I54" s="198">
        <v>0</v>
      </c>
      <c r="J54" s="129">
        <v>0</v>
      </c>
      <c r="K54" s="129">
        <v>0</v>
      </c>
      <c r="L54" s="120">
        <f>Prod[[#This Row],[S1Shot]]*Prod[[#This Row],[S1Cavity]]-Prod[[#This Row],[S1Dft]]</f>
        <v>0</v>
      </c>
      <c r="M54" s="135">
        <f>SUM(Prod[[#This Row],[S1Mold]],Prod[[#This Row],[S1Print]],Prod[[#This Row],[S1Ovlp]],Prod[[#This Row],[S1Seam]],Prod[[#This Row],[S1Dmg]])</f>
        <v>0</v>
      </c>
      <c r="N54" s="197">
        <v>0</v>
      </c>
      <c r="O54" s="198">
        <v>0</v>
      </c>
      <c r="P54" s="129">
        <v>0</v>
      </c>
      <c r="Q54" s="129">
        <v>0</v>
      </c>
      <c r="R54" s="120">
        <f>Prod[[#This Row],[S2Shot]]*Prod[[#This Row],[S2Cavity]]-Prod[[#This Row],[S2Dft]]</f>
        <v>0</v>
      </c>
      <c r="S54" s="135">
        <f>SUM(Prod[[#This Row],[S2Mold]],Prod[[#This Row],[S2Print]],Prod[[#This Row],[S2Ovlp]],Prod[[#This Row],[S2Seam]],Prod[[#This Row],[S2Dmg]])</f>
        <v>0</v>
      </c>
      <c r="T54" s="197">
        <v>21.99</v>
      </c>
      <c r="U54" s="198">
        <v>8</v>
      </c>
      <c r="V54" s="129">
        <v>1437</v>
      </c>
      <c r="W54" s="129">
        <v>8</v>
      </c>
      <c r="X54" s="120">
        <f>Prod[[#This Row],[S3Shot]]*Prod[[#This Row],[S3Cavity]]-Prod[[#This Row],[S3Dft]]</f>
        <v>11371</v>
      </c>
      <c r="Y54" s="120">
        <f>SUM(Prod[[#This Row],[S3Mold]],Prod[[#This Row],[S3Print]],Prod[[#This Row],[S3Ovlp]],Prod[[#This Row],[S3Seam]],Prod[[#This Row],[S3Dmg]])</f>
        <v>125</v>
      </c>
      <c r="Z54" s="120">
        <f>SUM(Prod[[#This Row],[S1Qty]],Prod[[#This Row],[S2Qty]],Prod[[#This Row],[S3Qty]])</f>
        <v>11371</v>
      </c>
      <c r="AA54" s="120">
        <f>SUM(Prod[[#This Row],[S1Dft]],Prod[[#This Row],[S2Dft]],Prod[[#This Row],[S3Dft]])</f>
        <v>125</v>
      </c>
      <c r="AB54" s="121">
        <f>IF(Prod[[#This Row],[Total]]=0,0,Prod[[#This Row],[TotalDft]]/Prod[[#This Row],[Total]])</f>
        <v>1.0992876615952862E-2</v>
      </c>
      <c r="AC54" s="118"/>
      <c r="AD54" s="120">
        <v>0</v>
      </c>
      <c r="AE54" s="120">
        <v>0</v>
      </c>
      <c r="AF54" s="120">
        <v>25</v>
      </c>
      <c r="AG54" s="120">
        <v>0</v>
      </c>
      <c r="AH54" s="120">
        <v>0</v>
      </c>
      <c r="AI54" s="120">
        <v>100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1">
        <f>IF(Prod[[#This Row],[S1Hrs]]=0,0,Prod[[#This Row],[S1Shot]]*Prod[[#This Row],[S1Cycle]]/(Prod[[#This Row],[S1Hrs]]*60*60))</f>
        <v>0</v>
      </c>
      <c r="AT54" s="131">
        <f>IF(Prod[[#This Row],[S2Hrs]]=0,0,Prod[[#This Row],[S2Shot]]*Prod[[#This Row],[S2Cycle]]/(Prod[[#This Row],[S2Hrs]]*60*60))</f>
        <v>0</v>
      </c>
      <c r="AU54" s="131">
        <f>IF(Prod[[#This Row],[S3Hrs]]=0,0,Prod[[#This Row],[S3Shot]]*Prod[[#This Row],[S3Cycle]]/(Prod[[#This Row],[S3Hrs]]*60*60))</f>
        <v>1.0972093749999998</v>
      </c>
      <c r="AV54" s="131">
        <f>IFERROR(AVERAGEIF(Prod[[#This Row],[S1%]:[S3%]], "&lt;&gt;0"),0)</f>
        <v>1.0972093749999998</v>
      </c>
      <c r="AW54" s="131">
        <v>0</v>
      </c>
      <c r="AX54" s="131">
        <v>0</v>
      </c>
      <c r="AY54" s="131">
        <v>0</v>
      </c>
      <c r="AZ54" s="166">
        <f>IF(Prod[[#This Row],[S1Cycle]]&lt;&gt;0,1,0)</f>
        <v>0</v>
      </c>
      <c r="BA54" s="166">
        <f>IF(Prod[[#This Row],[S2Cycle]]&lt;&gt;0,1,0)</f>
        <v>0</v>
      </c>
      <c r="BB54" s="166">
        <f>IF(Prod[[#This Row],[S3Cycle]]&lt;&gt;0,1,0)</f>
        <v>1</v>
      </c>
      <c r="BC54" s="166">
        <f>MAX(Prod[[#This Row],[S1Cavity]],Prod[[#This Row],[S2Cavity]],Prod[[#This Row],[S3Cavity]])</f>
        <v>8</v>
      </c>
      <c r="BD54" s="166" t="b">
        <f>RegExpMatch(Prod[[#This Row],[MoldNo]], "^DW-(B|C)")</f>
        <v>1</v>
      </c>
    </row>
    <row r="55" spans="1:56" x14ac:dyDescent="0.2">
      <c r="A55" s="117">
        <v>45417</v>
      </c>
      <c r="B55" s="129" t="s">
        <v>225</v>
      </c>
      <c r="C55" s="130" t="s">
        <v>226</v>
      </c>
      <c r="D55" s="130">
        <v>26365</v>
      </c>
      <c r="E55" s="130" t="s">
        <v>191</v>
      </c>
      <c r="F55" s="119">
        <v>814</v>
      </c>
      <c r="G55" s="119" t="str">
        <f>IF(OR(Prod[[#This Row],[S1Hrs]]&gt;0,Prod[[#This Row],[S2Hrs]]&gt;0,Prod[[#This Row],[S3Hrs]]&gt;0),"Running","Down")</f>
        <v>Running</v>
      </c>
      <c r="H55" s="197">
        <v>17.32</v>
      </c>
      <c r="I55" s="198">
        <v>8</v>
      </c>
      <c r="J55" s="129">
        <v>1566</v>
      </c>
      <c r="K55" s="129">
        <v>8</v>
      </c>
      <c r="L55" s="120">
        <f>Prod[[#This Row],[S1Shot]]*Prod[[#This Row],[S1Cavity]]-Prod[[#This Row],[S1Dft]]</f>
        <v>12383</v>
      </c>
      <c r="M55" s="135">
        <f>SUM(Prod[[#This Row],[S1Mold]],Prod[[#This Row],[S1Print]],Prod[[#This Row],[S1Ovlp]],Prod[[#This Row],[S1Seam]],Prod[[#This Row],[S1Dmg]])</f>
        <v>145</v>
      </c>
      <c r="N55" s="197">
        <v>18</v>
      </c>
      <c r="O55" s="198">
        <v>4.5</v>
      </c>
      <c r="P55" s="129">
        <v>850</v>
      </c>
      <c r="Q55" s="129">
        <v>8</v>
      </c>
      <c r="R55" s="120">
        <f>Prod[[#This Row],[S2Shot]]*Prod[[#This Row],[S2Cavity]]-Prod[[#This Row],[S2Dft]]</f>
        <v>6665</v>
      </c>
      <c r="S55" s="135">
        <f>SUM(Prod[[#This Row],[S2Mold]],Prod[[#This Row],[S2Print]],Prod[[#This Row],[S2Ovlp]],Prod[[#This Row],[S2Seam]],Prod[[#This Row],[S2Dmg]])</f>
        <v>135</v>
      </c>
      <c r="T55" s="197">
        <v>0</v>
      </c>
      <c r="U55" s="198">
        <v>0</v>
      </c>
      <c r="V55" s="129">
        <v>0</v>
      </c>
      <c r="W55" s="129">
        <v>0</v>
      </c>
      <c r="X55" s="120">
        <f>Prod[[#This Row],[S3Shot]]*Prod[[#This Row],[S3Cavity]]-Prod[[#This Row],[S3Dft]]</f>
        <v>0</v>
      </c>
      <c r="Y55" s="120">
        <f>SUM(Prod[[#This Row],[S3Mold]],Prod[[#This Row],[S3Print]],Prod[[#This Row],[S3Ovlp]],Prod[[#This Row],[S3Seam]],Prod[[#This Row],[S3Dmg]])</f>
        <v>0</v>
      </c>
      <c r="Z55" s="120">
        <f>SUM(Prod[[#This Row],[S1Qty]],Prod[[#This Row],[S2Qty]],Prod[[#This Row],[S3Qty]])</f>
        <v>19048</v>
      </c>
      <c r="AA55" s="120">
        <f>SUM(Prod[[#This Row],[S1Dft]],Prod[[#This Row],[S2Dft]],Prod[[#This Row],[S3Dft]])</f>
        <v>280</v>
      </c>
      <c r="AB55" s="121">
        <f>IF(Prod[[#This Row],[Total]]=0,0,Prod[[#This Row],[TotalDft]]/Prod[[#This Row],[Total]])</f>
        <v>1.4699706005879883E-2</v>
      </c>
      <c r="AC55" s="118"/>
      <c r="AD55" s="120">
        <v>25</v>
      </c>
      <c r="AE55" s="120">
        <v>20</v>
      </c>
      <c r="AF55" s="120">
        <v>0</v>
      </c>
      <c r="AG55" s="120">
        <v>120</v>
      </c>
      <c r="AH55" s="120">
        <v>115</v>
      </c>
      <c r="AI55" s="120">
        <v>0</v>
      </c>
      <c r="AJ55" s="120">
        <v>0</v>
      </c>
      <c r="AK55" s="120">
        <v>0</v>
      </c>
      <c r="AL55" s="120">
        <v>0</v>
      </c>
      <c r="AM55" s="120">
        <v>0</v>
      </c>
      <c r="AN55" s="120">
        <v>0</v>
      </c>
      <c r="AO55" s="120">
        <v>0</v>
      </c>
      <c r="AP55" s="120">
        <v>0</v>
      </c>
      <c r="AQ55" s="120">
        <v>0</v>
      </c>
      <c r="AR55" s="120">
        <v>0</v>
      </c>
      <c r="AS55" s="131">
        <f>IF(Prod[[#This Row],[S1Hrs]]=0,0,Prod[[#This Row],[S1Shot]]*Prod[[#This Row],[S1Cycle]]/(Prod[[#This Row],[S1Hrs]]*60*60))</f>
        <v>0.94177499999999992</v>
      </c>
      <c r="AT55" s="131">
        <f>IF(Prod[[#This Row],[S2Hrs]]=0,0,Prod[[#This Row],[S2Shot]]*Prod[[#This Row],[S2Cycle]]/(Prod[[#This Row],[S2Hrs]]*60*60))</f>
        <v>0.94444444444444442</v>
      </c>
      <c r="AU55" s="131">
        <f>IF(Prod[[#This Row],[S3Hrs]]=0,0,Prod[[#This Row],[S3Shot]]*Prod[[#This Row],[S3Cycle]]/(Prod[[#This Row],[S3Hrs]]*60*60))</f>
        <v>0</v>
      </c>
      <c r="AV55" s="131">
        <f>IFERROR(AVERAGEIF(Prod[[#This Row],[S1%]:[S3%]], "&lt;&gt;0"),0)</f>
        <v>0.94310972222222222</v>
      </c>
      <c r="AW55" s="131">
        <v>0.5</v>
      </c>
      <c r="AX55" s="131">
        <v>0</v>
      </c>
      <c r="AY55" s="131">
        <v>0</v>
      </c>
      <c r="AZ55" s="166">
        <f>IF(Prod[[#This Row],[S1Cycle]]&lt;&gt;0,1,0)</f>
        <v>1</v>
      </c>
      <c r="BA55" s="166">
        <f>IF(Prod[[#This Row],[S2Cycle]]&lt;&gt;0,1,0)</f>
        <v>1</v>
      </c>
      <c r="BB55" s="166">
        <f>IF(Prod[[#This Row],[S3Cycle]]&lt;&gt;0,1,0)</f>
        <v>0</v>
      </c>
      <c r="BC55" s="166">
        <f>MAX(Prod[[#This Row],[S1Cavity]],Prod[[#This Row],[S2Cavity]],Prod[[#This Row],[S3Cavity]])</f>
        <v>8</v>
      </c>
      <c r="BD55" s="166" t="b">
        <f>RegExpMatch(Prod[[#This Row],[MoldNo]], "^DW-(B|C)")</f>
        <v>1</v>
      </c>
    </row>
    <row r="56" spans="1:56" x14ac:dyDescent="0.2">
      <c r="A56" s="117">
        <v>45417</v>
      </c>
      <c r="B56" s="129" t="s">
        <v>225</v>
      </c>
      <c r="C56" s="130" t="s">
        <v>226</v>
      </c>
      <c r="D56" s="130">
        <v>27203</v>
      </c>
      <c r="E56" s="130" t="s">
        <v>191</v>
      </c>
      <c r="F56" s="119">
        <v>814</v>
      </c>
      <c r="G56" s="119" t="str">
        <f>IF(OR(Prod[[#This Row],[S1Hrs]]&gt;0,Prod[[#This Row],[S2Hrs]]&gt;0,Prod[[#This Row],[S3Hrs]]&gt;0),"Running","Down")</f>
        <v>Running</v>
      </c>
      <c r="H56" s="197">
        <v>0</v>
      </c>
      <c r="I56" s="198">
        <v>0</v>
      </c>
      <c r="J56" s="129">
        <v>0</v>
      </c>
      <c r="K56" s="129">
        <v>0</v>
      </c>
      <c r="L56" s="120">
        <f>Prod[[#This Row],[S1Shot]]*Prod[[#This Row],[S1Cavity]]-Prod[[#This Row],[S1Dft]]</f>
        <v>0</v>
      </c>
      <c r="M56" s="135">
        <f>SUM(Prod[[#This Row],[S1Mold]],Prod[[#This Row],[S1Print]],Prod[[#This Row],[S1Ovlp]],Prod[[#This Row],[S1Seam]],Prod[[#This Row],[S1Dmg]])</f>
        <v>0</v>
      </c>
      <c r="N56" s="197">
        <v>0</v>
      </c>
      <c r="O56" s="198">
        <v>0</v>
      </c>
      <c r="P56" s="129">
        <v>0</v>
      </c>
      <c r="Q56" s="129">
        <v>0</v>
      </c>
      <c r="R56" s="120">
        <f>Prod[[#This Row],[S2Shot]]*Prod[[#This Row],[S2Cavity]]-Prod[[#This Row],[S2Dft]]</f>
        <v>0</v>
      </c>
      <c r="S56" s="135">
        <f>SUM(Prod[[#This Row],[S2Mold]],Prod[[#This Row],[S2Print]],Prod[[#This Row],[S2Ovlp]],Prod[[#This Row],[S2Seam]],Prod[[#This Row],[S2Dmg]])</f>
        <v>0</v>
      </c>
      <c r="T56" s="197">
        <v>17.600000000000001</v>
      </c>
      <c r="U56" s="198">
        <v>8</v>
      </c>
      <c r="V56" s="129">
        <v>1609</v>
      </c>
      <c r="W56" s="129">
        <v>8</v>
      </c>
      <c r="X56" s="120">
        <f>Prod[[#This Row],[S3Shot]]*Prod[[#This Row],[S3Cavity]]-Prod[[#This Row],[S3Dft]]</f>
        <v>12732</v>
      </c>
      <c r="Y56" s="120">
        <f>SUM(Prod[[#This Row],[S3Mold]],Prod[[#This Row],[S3Print]],Prod[[#This Row],[S3Ovlp]],Prod[[#This Row],[S3Seam]],Prod[[#This Row],[S3Dmg]])</f>
        <v>140</v>
      </c>
      <c r="Z56" s="120">
        <f>SUM(Prod[[#This Row],[S1Qty]],Prod[[#This Row],[S2Qty]],Prod[[#This Row],[S3Qty]])</f>
        <v>12732</v>
      </c>
      <c r="AA56" s="120">
        <f>SUM(Prod[[#This Row],[S1Dft]],Prod[[#This Row],[S2Dft]],Prod[[#This Row],[S3Dft]])</f>
        <v>140</v>
      </c>
      <c r="AB56" s="121">
        <f>IF(Prod[[#This Row],[Total]]=0,0,Prod[[#This Row],[TotalDft]]/Prod[[#This Row],[Total]])</f>
        <v>1.0995915802701853E-2</v>
      </c>
      <c r="AC56" s="130" t="s">
        <v>231</v>
      </c>
      <c r="AD56" s="120">
        <v>0</v>
      </c>
      <c r="AE56" s="120">
        <v>0</v>
      </c>
      <c r="AF56" s="120">
        <v>20</v>
      </c>
      <c r="AG56" s="120">
        <v>0</v>
      </c>
      <c r="AH56" s="120">
        <v>0</v>
      </c>
      <c r="AI56" s="120">
        <v>120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1">
        <f>IF(Prod[[#This Row],[S1Hrs]]=0,0,Prod[[#This Row],[S1Shot]]*Prod[[#This Row],[S1Cycle]]/(Prod[[#This Row],[S1Hrs]]*60*60))</f>
        <v>0</v>
      </c>
      <c r="AT56" s="131">
        <f>IF(Prod[[#This Row],[S2Hrs]]=0,0,Prod[[#This Row],[S2Shot]]*Prod[[#This Row],[S2Cycle]]/(Prod[[#This Row],[S2Hrs]]*60*60))</f>
        <v>0</v>
      </c>
      <c r="AU56" s="131">
        <f>IF(Prod[[#This Row],[S3Hrs]]=0,0,Prod[[#This Row],[S3Shot]]*Prod[[#This Row],[S3Cycle]]/(Prod[[#This Row],[S3Hrs]]*60*60))</f>
        <v>0.98327777777777781</v>
      </c>
      <c r="AV56" s="131">
        <f>IFERROR(AVERAGEIF(Prod[[#This Row],[S1%]:[S3%]], "&lt;&gt;0"),0)</f>
        <v>0.98327777777777781</v>
      </c>
      <c r="AW56" s="131">
        <v>0</v>
      </c>
      <c r="AX56" s="131">
        <v>0</v>
      </c>
      <c r="AY56" s="131">
        <v>0</v>
      </c>
      <c r="AZ56" s="166">
        <f>IF(Prod[[#This Row],[S1Cycle]]&lt;&gt;0,1,0)</f>
        <v>0</v>
      </c>
      <c r="BA56" s="166">
        <f>IF(Prod[[#This Row],[S2Cycle]]&lt;&gt;0,1,0)</f>
        <v>0</v>
      </c>
      <c r="BB56" s="166">
        <f>IF(Prod[[#This Row],[S3Cycle]]&lt;&gt;0,1,0)</f>
        <v>1</v>
      </c>
      <c r="BC56" s="166">
        <f>MAX(Prod[[#This Row],[S1Cavity]],Prod[[#This Row],[S2Cavity]],Prod[[#This Row],[S3Cavity]])</f>
        <v>8</v>
      </c>
      <c r="BD56" s="166" t="b">
        <f>RegExpMatch(Prod[[#This Row],[MoldNo]], "^DW-(B|C)")</f>
        <v>1</v>
      </c>
    </row>
    <row r="57" spans="1:56" x14ac:dyDescent="0.2">
      <c r="A57" s="117">
        <v>45417</v>
      </c>
      <c r="B57" s="129" t="s">
        <v>181</v>
      </c>
      <c r="C57" s="130" t="s">
        <v>182</v>
      </c>
      <c r="D57" s="119">
        <v>25154</v>
      </c>
      <c r="E57" s="130" t="s">
        <v>191</v>
      </c>
      <c r="F57" s="119">
        <v>814</v>
      </c>
      <c r="G57" s="119" t="str">
        <f>IF(OR(Prod[[#This Row],[S1Hrs]]&gt;0,Prod[[#This Row],[S2Hrs]]&gt;0,Prod[[#This Row],[S3Hrs]]&gt;0),"Running","Down")</f>
        <v>Running</v>
      </c>
      <c r="H57" s="197">
        <v>21.59</v>
      </c>
      <c r="I57" s="198">
        <v>8</v>
      </c>
      <c r="J57" s="129">
        <v>1314</v>
      </c>
      <c r="K57" s="129">
        <v>16</v>
      </c>
      <c r="L57" s="120">
        <f>Prod[[#This Row],[S1Shot]]*Prod[[#This Row],[S1Cavity]]-Prod[[#This Row],[S1Dft]]</f>
        <v>21024</v>
      </c>
      <c r="M57" s="133"/>
      <c r="N57" s="197">
        <v>21.61</v>
      </c>
      <c r="O57" s="198">
        <v>8</v>
      </c>
      <c r="P57" s="129">
        <v>1361</v>
      </c>
      <c r="Q57" s="129">
        <v>16</v>
      </c>
      <c r="R57" s="120">
        <f>Prod[[#This Row],[S2Shot]]*Prod[[#This Row],[S2Cavity]]-Prod[[#This Row],[S2Dft]]</f>
        <v>21776</v>
      </c>
      <c r="S57" s="133"/>
      <c r="T57" s="197">
        <v>21.61</v>
      </c>
      <c r="U57" s="198">
        <v>8</v>
      </c>
      <c r="V57" s="129">
        <v>1319</v>
      </c>
      <c r="W57" s="129">
        <v>16</v>
      </c>
      <c r="X57" s="120">
        <f>Prod[[#This Row],[S3Shot]]*Prod[[#This Row],[S3Cavity]]-Prod[[#This Row],[S3Dft]]</f>
        <v>21104</v>
      </c>
      <c r="Y57" s="133"/>
      <c r="Z57" s="120">
        <f>SUM(Prod[[#This Row],[S1Qty]],Prod[[#This Row],[S2Qty]],Prod[[#This Row],[S3Qty]])</f>
        <v>63904</v>
      </c>
      <c r="AA57" s="133"/>
      <c r="AB57" s="134"/>
      <c r="AC57" s="118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1">
        <f>IF(Prod[[#This Row],[S1Hrs]]=0,0,Prod[[#This Row],[S1Shot]]*Prod[[#This Row],[S1Cycle]]/(Prod[[#This Row],[S1Hrs]]*60*60))</f>
        <v>0.98504375</v>
      </c>
      <c r="AT57" s="131">
        <f>IF(Prod[[#This Row],[S2Hrs]]=0,0,Prod[[#This Row],[S2Shot]]*Prod[[#This Row],[S2Cycle]]/(Prod[[#This Row],[S2Hrs]]*60*60))</f>
        <v>1.0212225694444443</v>
      </c>
      <c r="AU57" s="131">
        <f>IF(Prod[[#This Row],[S3Hrs]]=0,0,Prod[[#This Row],[S3Shot]]*Prod[[#This Row],[S3Cycle]]/(Prod[[#This Row],[S3Hrs]]*60*60))</f>
        <v>0.9897079861111111</v>
      </c>
      <c r="AV57" s="131">
        <f>IFERROR(AVERAGEIF(Prod[[#This Row],[S1%]:[S3%]], "&lt;&gt;0"),0)</f>
        <v>0.99865810185185178</v>
      </c>
      <c r="AW57" s="131">
        <v>0</v>
      </c>
      <c r="AX57" s="131">
        <v>0</v>
      </c>
      <c r="AY57" s="131">
        <v>0</v>
      </c>
      <c r="AZ57" s="166">
        <f>IF(Prod[[#This Row],[S1Cycle]]&lt;&gt;0,1,0)</f>
        <v>1</v>
      </c>
      <c r="BA57" s="166">
        <f>IF(Prod[[#This Row],[S2Cycle]]&lt;&gt;0,1,0)</f>
        <v>1</v>
      </c>
      <c r="BB57" s="166">
        <f>IF(Prod[[#This Row],[S3Cycle]]&lt;&gt;0,1,0)</f>
        <v>1</v>
      </c>
      <c r="BC57" s="166">
        <f>MAX(Prod[[#This Row],[S1Cavity]],Prod[[#This Row],[S2Cavity]],Prod[[#This Row],[S3Cavity]])</f>
        <v>16</v>
      </c>
      <c r="BD57" s="166" t="b">
        <f>RegExpMatch(Prod[[#This Row],[MoldNo]], "^DW-(B|C)")</f>
        <v>0</v>
      </c>
    </row>
    <row r="58" spans="1:56" x14ac:dyDescent="0.2">
      <c r="A58" s="117">
        <v>45418</v>
      </c>
      <c r="B58" s="120" t="s">
        <v>172</v>
      </c>
      <c r="C58" s="119" t="s">
        <v>173</v>
      </c>
      <c r="D58" s="119"/>
      <c r="E58" s="130"/>
      <c r="F58" s="119"/>
      <c r="G58" s="119" t="str">
        <f>IF(OR(Prod[[#This Row],[S1Hrs]]&gt;0,Prod[[#This Row],[S2Hrs]]&gt;0,Prod[[#This Row],[S3Hrs]]&gt;0),"Running","Down")</f>
        <v>Down</v>
      </c>
      <c r="H58" s="197">
        <v>0</v>
      </c>
      <c r="I58" s="198">
        <v>0</v>
      </c>
      <c r="J58" s="129">
        <v>0</v>
      </c>
      <c r="K58" s="129">
        <v>0</v>
      </c>
      <c r="L58" s="120">
        <f>Prod[[#This Row],[S1Shot]]*Prod[[#This Row],[S1Cavity]]-Prod[[#This Row],[S1Dft]]</f>
        <v>0</v>
      </c>
      <c r="M58" s="133"/>
      <c r="N58" s="197">
        <v>0</v>
      </c>
      <c r="O58" s="198">
        <v>0</v>
      </c>
      <c r="P58" s="129">
        <v>0</v>
      </c>
      <c r="Q58" s="129">
        <v>0</v>
      </c>
      <c r="R58" s="120">
        <f>Prod[[#This Row],[S2Shot]]*Prod[[#This Row],[S2Cavity]]-Prod[[#This Row],[S2Dft]]</f>
        <v>0</v>
      </c>
      <c r="S58" s="133"/>
      <c r="T58" s="197">
        <v>0</v>
      </c>
      <c r="U58" s="198">
        <v>0</v>
      </c>
      <c r="V58" s="129">
        <v>0</v>
      </c>
      <c r="W58" s="129">
        <v>0</v>
      </c>
      <c r="X58" s="120">
        <f>Prod[[#This Row],[S3Shot]]*Prod[[#This Row],[S3Cavity]]-Prod[[#This Row],[S3Dft]]</f>
        <v>0</v>
      </c>
      <c r="Y58" s="133"/>
      <c r="Z58" s="120">
        <f>SUM(Prod[[#This Row],[S1Qty]],Prod[[#This Row],[S2Qty]],Prod[[#This Row],[S3Qty]])</f>
        <v>0</v>
      </c>
      <c r="AA58" s="133"/>
      <c r="AB58" s="134"/>
      <c r="AC58" s="118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1">
        <f>IF(Prod[[#This Row],[S1Hrs]]=0,0,Prod[[#This Row],[S1Shot]]*Prod[[#This Row],[S1Cycle]]/(Prod[[#This Row],[S1Hrs]]*60*60))</f>
        <v>0</v>
      </c>
      <c r="AT58" s="131">
        <f>IF(Prod[[#This Row],[S2Hrs]]=0,0,Prod[[#This Row],[S2Shot]]*Prod[[#This Row],[S2Cycle]]/(Prod[[#This Row],[S2Hrs]]*60*60))</f>
        <v>0</v>
      </c>
      <c r="AU58" s="131">
        <f>IF(Prod[[#This Row],[S3Hrs]]=0,0,Prod[[#This Row],[S3Shot]]*Prod[[#This Row],[S3Cycle]]/(Prod[[#This Row],[S3Hrs]]*60*60))</f>
        <v>0</v>
      </c>
      <c r="AV58" s="131">
        <f>IFERROR(AVERAGEIF(Prod[[#This Row],[S1%]:[S3%]], "&lt;&gt;0"),0)</f>
        <v>0</v>
      </c>
      <c r="AW58" s="131">
        <v>0</v>
      </c>
      <c r="AX58" s="131">
        <v>0</v>
      </c>
      <c r="AY58" s="131">
        <v>0</v>
      </c>
      <c r="AZ58" s="166">
        <f>IF(Prod[[#This Row],[S1Cycle]]&lt;&gt;0,1,0)</f>
        <v>0</v>
      </c>
      <c r="BA58" s="166">
        <f>IF(Prod[[#This Row],[S2Cycle]]&lt;&gt;0,1,0)</f>
        <v>0</v>
      </c>
      <c r="BB58" s="166">
        <f>IF(Prod[[#This Row],[S3Cycle]]&lt;&gt;0,1,0)</f>
        <v>0</v>
      </c>
      <c r="BC58" s="166">
        <f>MAX(Prod[[#This Row],[S1Cavity]],Prod[[#This Row],[S2Cavity]],Prod[[#This Row],[S3Cavity]])</f>
        <v>0</v>
      </c>
      <c r="BD58" s="166" t="b">
        <f>RegExpMatch(Prod[[#This Row],[MoldNo]], "^DW-(B|C)")</f>
        <v>0</v>
      </c>
    </row>
    <row r="59" spans="1:56" x14ac:dyDescent="0.2">
      <c r="A59" s="117">
        <v>45418</v>
      </c>
      <c r="B59" s="119" t="s">
        <v>179</v>
      </c>
      <c r="C59" s="119" t="s">
        <v>180</v>
      </c>
      <c r="D59" s="119">
        <v>26363</v>
      </c>
      <c r="E59" s="130" t="s">
        <v>92</v>
      </c>
      <c r="F59" s="119">
        <v>814</v>
      </c>
      <c r="G59" s="119" t="str">
        <f>IF(OR(Prod[[#This Row],[S1Hrs]]&gt;0,Prod[[#This Row],[S2Hrs]]&gt;0,Prod[[#This Row],[S3Hrs]]&gt;0),"Running","Down")</f>
        <v>Running</v>
      </c>
      <c r="H59" s="197">
        <v>12.65</v>
      </c>
      <c r="I59" s="198">
        <v>8</v>
      </c>
      <c r="J59" s="129">
        <v>2274</v>
      </c>
      <c r="K59" s="129">
        <v>16</v>
      </c>
      <c r="L59" s="120">
        <f>Prod[[#This Row],[S1Shot]]*Prod[[#This Row],[S1Cavity]]-Prod[[#This Row],[S1Dft]]</f>
        <v>36384</v>
      </c>
      <c r="M59" s="133"/>
      <c r="N59" s="197">
        <v>12.65</v>
      </c>
      <c r="O59" s="198">
        <v>8</v>
      </c>
      <c r="P59" s="129">
        <v>2360</v>
      </c>
      <c r="Q59" s="129">
        <v>16</v>
      </c>
      <c r="R59" s="120">
        <f>Prod[[#This Row],[S2Shot]]*Prod[[#This Row],[S2Cavity]]-Prod[[#This Row],[S2Dft]]</f>
        <v>37760</v>
      </c>
      <c r="S59" s="133"/>
      <c r="T59" s="197">
        <v>12.64</v>
      </c>
      <c r="U59" s="198">
        <v>8</v>
      </c>
      <c r="V59" s="129">
        <v>2301</v>
      </c>
      <c r="W59" s="129">
        <v>16</v>
      </c>
      <c r="X59" s="120">
        <f>Prod[[#This Row],[S3Shot]]*Prod[[#This Row],[S3Cavity]]-Prod[[#This Row],[S3Dft]]</f>
        <v>36816</v>
      </c>
      <c r="Y59" s="133"/>
      <c r="Z59" s="120">
        <f>SUM(Prod[[#This Row],[S1Qty]],Prod[[#This Row],[S2Qty]],Prod[[#This Row],[S3Qty]])</f>
        <v>110960</v>
      </c>
      <c r="AA59" s="133"/>
      <c r="AB59" s="134"/>
      <c r="AC59" s="130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1">
        <f>IF(Prod[[#This Row],[S1Hrs]]=0,0,Prod[[#This Row],[S1Shot]]*Prod[[#This Row],[S1Cycle]]/(Prod[[#This Row],[S1Hrs]]*60*60))</f>
        <v>0.99882291666666678</v>
      </c>
      <c r="AT59" s="131">
        <f>IF(Prod[[#This Row],[S2Hrs]]=0,0,Prod[[#This Row],[S2Shot]]*Prod[[#This Row],[S2Cycle]]/(Prod[[#This Row],[S2Hrs]]*60*60))</f>
        <v>1.0365972222222222</v>
      </c>
      <c r="AU59" s="131">
        <f>IF(Prod[[#This Row],[S3Hrs]]=0,0,Prod[[#This Row],[S3Shot]]*Prod[[#This Row],[S3Cycle]]/(Prod[[#This Row],[S3Hrs]]*60*60))</f>
        <v>1.0098833333333335</v>
      </c>
      <c r="AV59" s="131">
        <f>IFERROR(AVERAGEIF(Prod[[#This Row],[S1%]:[S3%]], "&lt;&gt;0"),0)</f>
        <v>1.0151011574074076</v>
      </c>
      <c r="AW59" s="131">
        <v>0</v>
      </c>
      <c r="AX59" s="131">
        <v>0</v>
      </c>
      <c r="AY59" s="131">
        <v>0</v>
      </c>
      <c r="AZ59" s="166">
        <f>IF(Prod[[#This Row],[S1Cycle]]&lt;&gt;0,1,0)</f>
        <v>1</v>
      </c>
      <c r="BA59" s="166">
        <f>IF(Prod[[#This Row],[S2Cycle]]&lt;&gt;0,1,0)</f>
        <v>1</v>
      </c>
      <c r="BB59" s="166">
        <f>IF(Prod[[#This Row],[S3Cycle]]&lt;&gt;0,1,0)</f>
        <v>1</v>
      </c>
      <c r="BC59" s="166">
        <f>MAX(Prod[[#This Row],[S1Cavity]],Prod[[#This Row],[S2Cavity]],Prod[[#This Row],[S3Cavity]])</f>
        <v>16</v>
      </c>
      <c r="BD59" s="166" t="b">
        <f>RegExpMatch(Prod[[#This Row],[MoldNo]], "^DW-(B|C)")</f>
        <v>0</v>
      </c>
    </row>
    <row r="60" spans="1:56" x14ac:dyDescent="0.2">
      <c r="A60" s="117">
        <v>45418</v>
      </c>
      <c r="B60" s="129" t="s">
        <v>192</v>
      </c>
      <c r="C60" s="130" t="s">
        <v>174</v>
      </c>
      <c r="D60" s="119"/>
      <c r="E60" s="130"/>
      <c r="F60" s="119"/>
      <c r="G60" s="119" t="str">
        <f>IF(OR(Prod[[#This Row],[S1Hrs]]&gt;0,Prod[[#This Row],[S2Hrs]]&gt;0,Prod[[#This Row],[S3Hrs]]&gt;0),"Running","Down")</f>
        <v>Down</v>
      </c>
      <c r="H60" s="197">
        <v>0</v>
      </c>
      <c r="I60" s="198">
        <v>0</v>
      </c>
      <c r="J60" s="129">
        <v>0</v>
      </c>
      <c r="K60" s="129">
        <v>0</v>
      </c>
      <c r="L60" s="120">
        <f>Prod[[#This Row],[S1Shot]]*Prod[[#This Row],[S1Cavity]]-Prod[[#This Row],[S1Dft]]</f>
        <v>0</v>
      </c>
      <c r="M60" s="133"/>
      <c r="N60" s="197">
        <v>0</v>
      </c>
      <c r="O60" s="198">
        <v>0</v>
      </c>
      <c r="P60" s="129">
        <v>0</v>
      </c>
      <c r="Q60" s="129">
        <v>0</v>
      </c>
      <c r="R60" s="120">
        <f>Prod[[#This Row],[S2Shot]]*Prod[[#This Row],[S2Cavity]]-Prod[[#This Row],[S2Dft]]</f>
        <v>0</v>
      </c>
      <c r="S60" s="133"/>
      <c r="T60" s="197">
        <v>0</v>
      </c>
      <c r="U60" s="198">
        <v>0</v>
      </c>
      <c r="V60" s="129">
        <v>0</v>
      </c>
      <c r="W60" s="129">
        <v>0</v>
      </c>
      <c r="X60" s="120">
        <f>Prod[[#This Row],[S3Shot]]*Prod[[#This Row],[S3Cavity]]-Prod[[#This Row],[S3Dft]]</f>
        <v>0</v>
      </c>
      <c r="Y60" s="133"/>
      <c r="Z60" s="120">
        <f>SUM(Prod[[#This Row],[S1Qty]],Prod[[#This Row],[S2Qty]],Prod[[#This Row],[S3Qty]])</f>
        <v>0</v>
      </c>
      <c r="AA60" s="133"/>
      <c r="AB60" s="134"/>
      <c r="AC60" s="130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1">
        <f>IF(Prod[[#This Row],[S1Hrs]]=0,0,Prod[[#This Row],[S1Shot]]*Prod[[#This Row],[S1Cycle]]/(Prod[[#This Row],[S1Hrs]]*60*60))</f>
        <v>0</v>
      </c>
      <c r="AT60" s="131">
        <f>IF(Prod[[#This Row],[S2Hrs]]=0,0,Prod[[#This Row],[S2Shot]]*Prod[[#This Row],[S2Cycle]]/(Prod[[#This Row],[S2Hrs]]*60*60))</f>
        <v>0</v>
      </c>
      <c r="AU60" s="131">
        <f>IF(Prod[[#This Row],[S3Hrs]]=0,0,Prod[[#This Row],[S3Shot]]*Prod[[#This Row],[S3Cycle]]/(Prod[[#This Row],[S3Hrs]]*60*60))</f>
        <v>0</v>
      </c>
      <c r="AV60" s="131">
        <f>IFERROR(AVERAGEIF(Prod[[#This Row],[S1%]:[S3%]], "&lt;&gt;0"),0)</f>
        <v>0</v>
      </c>
      <c r="AW60" s="131">
        <v>0</v>
      </c>
      <c r="AX60" s="131">
        <v>0</v>
      </c>
      <c r="AY60" s="131">
        <v>0</v>
      </c>
      <c r="AZ60" s="166">
        <f>IF(Prod[[#This Row],[S1Cycle]]&lt;&gt;0,1,0)</f>
        <v>0</v>
      </c>
      <c r="BA60" s="166">
        <f>IF(Prod[[#This Row],[S2Cycle]]&lt;&gt;0,1,0)</f>
        <v>0</v>
      </c>
      <c r="BB60" s="166">
        <f>IF(Prod[[#This Row],[S3Cycle]]&lt;&gt;0,1,0)</f>
        <v>0</v>
      </c>
      <c r="BC60" s="166">
        <f>MAX(Prod[[#This Row],[S1Cavity]],Prod[[#This Row],[S2Cavity]],Prod[[#This Row],[S3Cavity]])</f>
        <v>0</v>
      </c>
      <c r="BD60" s="166" t="b">
        <f>RegExpMatch(Prod[[#This Row],[MoldNo]], "^DW-(B|C)")</f>
        <v>0</v>
      </c>
    </row>
    <row r="61" spans="1:56" x14ac:dyDescent="0.2">
      <c r="A61" s="117">
        <v>45418</v>
      </c>
      <c r="B61" s="129" t="s">
        <v>216</v>
      </c>
      <c r="C61" s="130" t="s">
        <v>217</v>
      </c>
      <c r="D61" s="130">
        <v>27203</v>
      </c>
      <c r="E61" s="130" t="s">
        <v>191</v>
      </c>
      <c r="F61" s="119">
        <v>814</v>
      </c>
      <c r="G61" s="119" t="str">
        <f>IF(OR(Prod[[#This Row],[S1Hrs]]&gt;0,Prod[[#This Row],[S2Hrs]]&gt;0,Prod[[#This Row],[S3Hrs]]&gt;0),"Running","Down")</f>
        <v>Running</v>
      </c>
      <c r="H61" s="197">
        <v>18.100000000000001</v>
      </c>
      <c r="I61" s="198">
        <v>5</v>
      </c>
      <c r="J61" s="129">
        <v>1035</v>
      </c>
      <c r="K61" s="129">
        <v>8</v>
      </c>
      <c r="L61" s="120">
        <f>Prod[[#This Row],[S1Shot]]*Prod[[#This Row],[S1Cavity]]-Prod[[#This Row],[S1Dft]]</f>
        <v>8220</v>
      </c>
      <c r="M61" s="135">
        <f>SUM(Prod[[#This Row],[S1Mold]],Prod[[#This Row],[S1Print]],Prod[[#This Row],[S1Ovlp]],Prod[[#This Row],[S1Seam]],Prod[[#This Row],[S1Dmg]])</f>
        <v>60</v>
      </c>
      <c r="N61" s="197">
        <v>18.100000000000001</v>
      </c>
      <c r="O61" s="198">
        <v>8</v>
      </c>
      <c r="P61" s="129">
        <v>1143</v>
      </c>
      <c r="Q61" s="129">
        <v>8</v>
      </c>
      <c r="R61" s="120">
        <f>Prod[[#This Row],[S2Shot]]*Prod[[#This Row],[S2Cavity]]-Prod[[#This Row],[S2Dft]]</f>
        <v>9004</v>
      </c>
      <c r="S61" s="135">
        <f>SUM(Prod[[#This Row],[S2Mold]],Prod[[#This Row],[S2Print]],Prod[[#This Row],[S2Ovlp]],Prod[[#This Row],[S2Seam]],Prod[[#This Row],[S2Dmg]])</f>
        <v>140</v>
      </c>
      <c r="T61" s="197">
        <v>18.100000000000001</v>
      </c>
      <c r="U61" s="198">
        <v>6</v>
      </c>
      <c r="V61" s="129">
        <v>1211</v>
      </c>
      <c r="W61" s="129">
        <v>8</v>
      </c>
      <c r="X61" s="120">
        <f>Prod[[#This Row],[S3Shot]]*Prod[[#This Row],[S3Cavity]]-Prod[[#This Row],[S3Dft]]</f>
        <v>9573</v>
      </c>
      <c r="Y61" s="120">
        <f>SUM(Prod[[#This Row],[S3Mold]],Prod[[#This Row],[S3Print]],Prod[[#This Row],[S3Ovlp]],Prod[[#This Row],[S3Seam]],Prod[[#This Row],[S3Dmg]])</f>
        <v>115</v>
      </c>
      <c r="Z61" s="120">
        <f>SUM(Prod[[#This Row],[S1Qty]],Prod[[#This Row],[S2Qty]],Prod[[#This Row],[S3Qty]])</f>
        <v>26797</v>
      </c>
      <c r="AA61" s="120">
        <f>SUM(Prod[[#This Row],[S1Dft]],Prod[[#This Row],[S2Dft]],Prod[[#This Row],[S3Dft]])</f>
        <v>315</v>
      </c>
      <c r="AB61" s="121">
        <f>IF(Prod[[#This Row],[Total]]=0,0,Prod[[#This Row],[TotalDft]]/Prod[[#This Row],[Total]])</f>
        <v>1.1755047206776878E-2</v>
      </c>
      <c r="AC61" s="130" t="s">
        <v>238</v>
      </c>
      <c r="AD61" s="120">
        <v>10</v>
      </c>
      <c r="AE61" s="120">
        <v>20</v>
      </c>
      <c r="AF61" s="120">
        <v>15</v>
      </c>
      <c r="AG61" s="120">
        <v>50</v>
      </c>
      <c r="AH61" s="120">
        <v>120</v>
      </c>
      <c r="AI61" s="120">
        <v>100</v>
      </c>
      <c r="AJ61" s="120">
        <v>0</v>
      </c>
      <c r="AK61" s="120">
        <v>0</v>
      </c>
      <c r="AL61" s="120">
        <v>0</v>
      </c>
      <c r="AM61" s="120">
        <v>0</v>
      </c>
      <c r="AN61" s="120">
        <v>0</v>
      </c>
      <c r="AO61" s="120">
        <v>0</v>
      </c>
      <c r="AP61" s="120">
        <v>0</v>
      </c>
      <c r="AQ61" s="120">
        <v>0</v>
      </c>
      <c r="AR61" s="120">
        <v>0</v>
      </c>
      <c r="AS61" s="131">
        <f>IF(Prod[[#This Row],[S1Hrs]]=0,0,Prod[[#This Row],[S1Shot]]*Prod[[#This Row],[S1Cycle]]/(Prod[[#This Row],[S1Hrs]]*60*60))</f>
        <v>1.0407500000000001</v>
      </c>
      <c r="AT61" s="131">
        <f>IF(Prod[[#This Row],[S2Hrs]]=0,0,Prod[[#This Row],[S2Shot]]*Prod[[#This Row],[S2Cycle]]/(Prod[[#This Row],[S2Hrs]]*60*60))</f>
        <v>0.71834375000000006</v>
      </c>
      <c r="AU61" s="131">
        <f>IF(Prod[[#This Row],[S3Hrs]]=0,0,Prod[[#This Row],[S3Shot]]*Prod[[#This Row],[S3Cycle]]/(Prod[[#This Row],[S3Hrs]]*60*60))</f>
        <v>1.0147731481481483</v>
      </c>
      <c r="AV61" s="131">
        <f>IFERROR(AVERAGEIF(Prod[[#This Row],[S1%]:[S3%]], "&lt;&gt;0"),0)</f>
        <v>0.92462229938271623</v>
      </c>
      <c r="AW61" s="131">
        <v>0</v>
      </c>
      <c r="AX61" s="131">
        <v>0</v>
      </c>
      <c r="AY61" s="131">
        <v>0</v>
      </c>
      <c r="AZ61" s="166">
        <f>IF(Prod[[#This Row],[S1Cycle]]&lt;&gt;0,1,0)</f>
        <v>1</v>
      </c>
      <c r="BA61" s="166">
        <f>IF(Prod[[#This Row],[S2Cycle]]&lt;&gt;0,1,0)</f>
        <v>1</v>
      </c>
      <c r="BB61" s="166">
        <f>IF(Prod[[#This Row],[S3Cycle]]&lt;&gt;0,1,0)</f>
        <v>1</v>
      </c>
      <c r="BC61" s="166">
        <f>MAX(Prod[[#This Row],[S1Cavity]],Prod[[#This Row],[S2Cavity]],Prod[[#This Row],[S3Cavity]])</f>
        <v>8</v>
      </c>
      <c r="BD61" s="166" t="b">
        <f>RegExpMatch(Prod[[#This Row],[MoldNo]], "^DW-(B|C)")</f>
        <v>1</v>
      </c>
    </row>
    <row r="62" spans="1:56" x14ac:dyDescent="0.2">
      <c r="A62" s="117">
        <v>45418</v>
      </c>
      <c r="B62" s="129" t="s">
        <v>216</v>
      </c>
      <c r="C62" s="130" t="s">
        <v>217</v>
      </c>
      <c r="D62" s="130" t="s">
        <v>237</v>
      </c>
      <c r="E62" s="130" t="s">
        <v>191</v>
      </c>
      <c r="F62" s="119">
        <v>814</v>
      </c>
      <c r="G62" s="119" t="str">
        <f>IF(OR(Prod[[#This Row],[S1Hrs]]&gt;0,Prod[[#This Row],[S2Hrs]]&gt;0,Prod[[#This Row],[S3Hrs]]&gt;0),"Running","Down")</f>
        <v>Running</v>
      </c>
      <c r="H62" s="197">
        <v>0</v>
      </c>
      <c r="I62" s="198">
        <v>0</v>
      </c>
      <c r="J62" s="129">
        <v>0</v>
      </c>
      <c r="K62" s="129">
        <v>0</v>
      </c>
      <c r="L62" s="120">
        <f>Prod[[#This Row],[S1Shot]]*Prod[[#This Row],[S1Cavity]]-Prod[[#This Row],[S1Dft]]</f>
        <v>0</v>
      </c>
      <c r="M62" s="135">
        <f>SUM(Prod[[#This Row],[S1Mold]],Prod[[#This Row],[S1Print]],Prod[[#This Row],[S1Ovlp]],Prod[[#This Row],[S1Seam]],Prod[[#This Row],[S1Dmg]])</f>
        <v>0</v>
      </c>
      <c r="N62" s="197">
        <v>0</v>
      </c>
      <c r="O62" s="198">
        <v>0</v>
      </c>
      <c r="P62" s="129">
        <v>0</v>
      </c>
      <c r="Q62" s="129">
        <v>0</v>
      </c>
      <c r="R62" s="120">
        <f>Prod[[#This Row],[S2Shot]]*Prod[[#This Row],[S2Cavity]]-Prod[[#This Row],[S2Dft]]</f>
        <v>0</v>
      </c>
      <c r="S62" s="135">
        <f>SUM(Prod[[#This Row],[S2Mold]],Prod[[#This Row],[S2Print]],Prod[[#This Row],[S2Ovlp]],Prod[[#This Row],[S2Seam]],Prod[[#This Row],[S2Dmg]])</f>
        <v>0</v>
      </c>
      <c r="T62" s="197">
        <v>18.100000000000001</v>
      </c>
      <c r="U62" s="198">
        <v>2</v>
      </c>
      <c r="V62" s="129">
        <v>255</v>
      </c>
      <c r="W62" s="129">
        <v>8</v>
      </c>
      <c r="X62" s="120">
        <f>Prod[[#This Row],[S3Shot]]*Prod[[#This Row],[S3Cavity]]-Prod[[#This Row],[S3Dft]]</f>
        <v>2005</v>
      </c>
      <c r="Y62" s="120">
        <f>SUM(Prod[[#This Row],[S3Mold]],Prod[[#This Row],[S3Print]],Prod[[#This Row],[S3Ovlp]],Prod[[#This Row],[S3Seam]],Prod[[#This Row],[S3Dmg]])</f>
        <v>35</v>
      </c>
      <c r="Z62" s="120">
        <f>SUM(Prod[[#This Row],[S1Qty]],Prod[[#This Row],[S2Qty]],Prod[[#This Row],[S3Qty]])</f>
        <v>2005</v>
      </c>
      <c r="AA62" s="120">
        <f>SUM(Prod[[#This Row],[S1Dft]],Prod[[#This Row],[S2Dft]],Prod[[#This Row],[S3Dft]])</f>
        <v>35</v>
      </c>
      <c r="AB62" s="121">
        <f>IF(Prod[[#This Row],[Total]]=0,0,Prod[[#This Row],[TotalDft]]/Prod[[#This Row],[Total]])</f>
        <v>1.7456359102244388E-2</v>
      </c>
      <c r="AC62" s="130" t="s">
        <v>239</v>
      </c>
      <c r="AD62" s="120">
        <v>0</v>
      </c>
      <c r="AE62" s="120">
        <v>0</v>
      </c>
      <c r="AF62" s="120">
        <v>5</v>
      </c>
      <c r="AG62" s="120">
        <v>0</v>
      </c>
      <c r="AH62" s="120">
        <v>0</v>
      </c>
      <c r="AI62" s="120">
        <v>30</v>
      </c>
      <c r="AJ62" s="120">
        <v>0</v>
      </c>
      <c r="AK62" s="120">
        <v>0</v>
      </c>
      <c r="AL62" s="120">
        <v>0</v>
      </c>
      <c r="AM62" s="120">
        <v>0</v>
      </c>
      <c r="AN62" s="120">
        <v>0</v>
      </c>
      <c r="AO62" s="120">
        <v>0</v>
      </c>
      <c r="AP62" s="120">
        <v>0</v>
      </c>
      <c r="AQ62" s="120">
        <v>0</v>
      </c>
      <c r="AR62" s="120">
        <v>0</v>
      </c>
      <c r="AS62" s="131">
        <f>IF(Prod[[#This Row],[S1Hrs]]=0,0,Prod[[#This Row],[S1Shot]]*Prod[[#This Row],[S1Cycle]]/(Prod[[#This Row],[S1Hrs]]*60*60))</f>
        <v>0</v>
      </c>
      <c r="AT62" s="131">
        <f>IF(Prod[[#This Row],[S2Hrs]]=0,0,Prod[[#This Row],[S2Shot]]*Prod[[#This Row],[S2Cycle]]/(Prod[[#This Row],[S2Hrs]]*60*60))</f>
        <v>0</v>
      </c>
      <c r="AU62" s="131">
        <f>IF(Prod[[#This Row],[S3Hrs]]=0,0,Prod[[#This Row],[S3Shot]]*Prod[[#This Row],[S3Cycle]]/(Prod[[#This Row],[S3Hrs]]*60*60))</f>
        <v>0.64104166666666662</v>
      </c>
      <c r="AV62" s="131">
        <f>IFERROR(AVERAGEIF(Prod[[#This Row],[S1%]:[S3%]], "&lt;&gt;0"),0)</f>
        <v>0.64104166666666662</v>
      </c>
      <c r="AW62" s="131">
        <v>0</v>
      </c>
      <c r="AX62" s="131">
        <v>0</v>
      </c>
      <c r="AY62" s="131">
        <v>0</v>
      </c>
      <c r="AZ62" s="166">
        <f>IF(Prod[[#This Row],[S1Cycle]]&lt;&gt;0,1,0)</f>
        <v>0</v>
      </c>
      <c r="BA62" s="166">
        <f>IF(Prod[[#This Row],[S2Cycle]]&lt;&gt;0,1,0)</f>
        <v>0</v>
      </c>
      <c r="BB62" s="166">
        <f>IF(Prod[[#This Row],[S3Cycle]]&lt;&gt;0,1,0)</f>
        <v>1</v>
      </c>
      <c r="BC62" s="166">
        <f>MAX(Prod[[#This Row],[S1Cavity]],Prod[[#This Row],[S2Cavity]],Prod[[#This Row],[S3Cavity]])</f>
        <v>8</v>
      </c>
      <c r="BD62" s="166" t="b">
        <f>RegExpMatch(Prod[[#This Row],[MoldNo]], "^DW-(B|C)")</f>
        <v>1</v>
      </c>
    </row>
    <row r="63" spans="1:56" x14ac:dyDescent="0.2">
      <c r="A63" s="117">
        <v>45418</v>
      </c>
      <c r="B63" s="120" t="s">
        <v>175</v>
      </c>
      <c r="C63" s="119" t="s">
        <v>178</v>
      </c>
      <c r="D63" s="130" t="s">
        <v>229</v>
      </c>
      <c r="E63" s="130" t="s">
        <v>191</v>
      </c>
      <c r="F63" s="119">
        <v>814</v>
      </c>
      <c r="G63" s="119" t="str">
        <f>IF(OR(Prod[[#This Row],[S1Hrs]]&gt;0,Prod[[#This Row],[S2Hrs]]&gt;0,Prod[[#This Row],[S3Hrs]]&gt;0),"Running","Down")</f>
        <v>Running</v>
      </c>
      <c r="H63" s="197">
        <v>19.190000000000001</v>
      </c>
      <c r="I63" s="198">
        <v>8</v>
      </c>
      <c r="J63" s="129">
        <v>1514</v>
      </c>
      <c r="K63" s="129">
        <v>8</v>
      </c>
      <c r="L63" s="120">
        <f>Prod[[#This Row],[S1Shot]]*Prod[[#This Row],[S1Cavity]]-Prod[[#This Row],[S1Dft]]</f>
        <v>11972</v>
      </c>
      <c r="M63" s="135">
        <f>SUM(Prod[[#This Row],[S1Mold]],Prod[[#This Row],[S1Print]],Prod[[#This Row],[S1Ovlp]],Prod[[#This Row],[S1Seam]],Prod[[#This Row],[S1Dmg]])</f>
        <v>140</v>
      </c>
      <c r="N63" s="197">
        <v>19.190000000000001</v>
      </c>
      <c r="O63" s="198">
        <v>8</v>
      </c>
      <c r="P63" s="129">
        <v>1492</v>
      </c>
      <c r="Q63" s="129">
        <v>8</v>
      </c>
      <c r="R63" s="120">
        <f>Prod[[#This Row],[S2Shot]]*Prod[[#This Row],[S2Cavity]]-Prod[[#This Row],[S2Dft]]</f>
        <v>11816</v>
      </c>
      <c r="S63" s="135">
        <f>SUM(Prod[[#This Row],[S2Mold]],Prod[[#This Row],[S2Print]],Prod[[#This Row],[S2Ovlp]],Prod[[#This Row],[S2Seam]],Prod[[#This Row],[S2Dmg]])</f>
        <v>120</v>
      </c>
      <c r="T63" s="197">
        <v>19.28</v>
      </c>
      <c r="U63" s="198">
        <v>8</v>
      </c>
      <c r="V63" s="129">
        <v>1486</v>
      </c>
      <c r="W63" s="129">
        <v>8</v>
      </c>
      <c r="X63" s="120">
        <f>Prod[[#This Row],[S3Shot]]*Prod[[#This Row],[S3Cavity]]-Prod[[#This Row],[S3Dft]]</f>
        <v>11758</v>
      </c>
      <c r="Y63" s="120">
        <f>SUM(Prod[[#This Row],[S3Mold]],Prod[[#This Row],[S3Print]],Prod[[#This Row],[S3Ovlp]],Prod[[#This Row],[S3Seam]],Prod[[#This Row],[S3Dmg]])</f>
        <v>130</v>
      </c>
      <c r="Z63" s="120">
        <f>SUM(Prod[[#This Row],[S1Qty]],Prod[[#This Row],[S2Qty]],Prod[[#This Row],[S3Qty]])</f>
        <v>35546</v>
      </c>
      <c r="AA63" s="120">
        <f>SUM(Prod[[#This Row],[S1Dft]],Prod[[#This Row],[S2Dft]],Prod[[#This Row],[S3Dft]])</f>
        <v>390</v>
      </c>
      <c r="AB63" s="121">
        <f>IF(Prod[[#This Row],[Total]]=0,0,Prod[[#This Row],[TotalDft]]/Prod[[#This Row],[Total]])</f>
        <v>1.0971698644010578E-2</v>
      </c>
      <c r="AC63" s="130"/>
      <c r="AD63" s="120">
        <v>20</v>
      </c>
      <c r="AE63" s="120">
        <v>20</v>
      </c>
      <c r="AF63" s="120">
        <v>25</v>
      </c>
      <c r="AG63" s="120">
        <v>120</v>
      </c>
      <c r="AH63" s="120">
        <v>100</v>
      </c>
      <c r="AI63" s="120">
        <v>105</v>
      </c>
      <c r="AJ63" s="120">
        <v>0</v>
      </c>
      <c r="AK63" s="120">
        <v>0</v>
      </c>
      <c r="AL63" s="120">
        <v>0</v>
      </c>
      <c r="AM63" s="120">
        <v>0</v>
      </c>
      <c r="AN63" s="120">
        <v>0</v>
      </c>
      <c r="AO63" s="120">
        <v>0</v>
      </c>
      <c r="AP63" s="120">
        <v>0</v>
      </c>
      <c r="AQ63" s="120">
        <v>0</v>
      </c>
      <c r="AR63" s="120">
        <v>0</v>
      </c>
      <c r="AS63" s="131">
        <f>IF(Prod[[#This Row],[S1Hrs]]=0,0,Prod[[#This Row],[S1Shot]]*Prod[[#This Row],[S1Cycle]]/(Prod[[#This Row],[S1Hrs]]*60*60))</f>
        <v>1.0088076388888889</v>
      </c>
      <c r="AT63" s="131">
        <f>IF(Prod[[#This Row],[S2Hrs]]=0,0,Prod[[#This Row],[S2Shot]]*Prod[[#This Row],[S2Cycle]]/(Prod[[#This Row],[S2Hrs]]*60*60))</f>
        <v>0.99414861111111119</v>
      </c>
      <c r="AU63" s="131">
        <f>IF(Prod[[#This Row],[S3Hrs]]=0,0,Prod[[#This Row],[S3Shot]]*Prod[[#This Row],[S3Cycle]]/(Prod[[#This Row],[S3Hrs]]*60*60))</f>
        <v>0.99479444444444454</v>
      </c>
      <c r="AV63" s="131">
        <f>IFERROR(AVERAGEIF(Prod[[#This Row],[S1%]:[S3%]], "&lt;&gt;0"),0)</f>
        <v>0.99925023148148151</v>
      </c>
      <c r="AW63" s="131">
        <v>0</v>
      </c>
      <c r="AX63" s="131">
        <v>0</v>
      </c>
      <c r="AY63" s="131">
        <v>0</v>
      </c>
      <c r="AZ63" s="166">
        <f>IF(Prod[[#This Row],[S1Cycle]]&lt;&gt;0,1,0)</f>
        <v>1</v>
      </c>
      <c r="BA63" s="166">
        <f>IF(Prod[[#This Row],[S2Cycle]]&lt;&gt;0,1,0)</f>
        <v>1</v>
      </c>
      <c r="BB63" s="166">
        <f>IF(Prod[[#This Row],[S3Cycle]]&lt;&gt;0,1,0)</f>
        <v>1</v>
      </c>
      <c r="BC63" s="166">
        <f>MAX(Prod[[#This Row],[S1Cavity]],Prod[[#This Row],[S2Cavity]],Prod[[#This Row],[S3Cavity]])</f>
        <v>8</v>
      </c>
      <c r="BD63" s="166" t="b">
        <f>RegExpMatch(Prod[[#This Row],[MoldNo]], "^DW-(B|C)")</f>
        <v>1</v>
      </c>
    </row>
    <row r="64" spans="1:56" x14ac:dyDescent="0.2">
      <c r="A64" s="117">
        <v>45418</v>
      </c>
      <c r="B64" s="120" t="s">
        <v>177</v>
      </c>
      <c r="C64" s="119" t="s">
        <v>176</v>
      </c>
      <c r="D64" s="130" t="s">
        <v>209</v>
      </c>
      <c r="E64" s="130" t="s">
        <v>191</v>
      </c>
      <c r="F64" s="119">
        <v>814</v>
      </c>
      <c r="G64" s="119" t="str">
        <f>IF(OR(Prod[[#This Row],[S1Hrs]]&gt;0,Prod[[#This Row],[S2Hrs]]&gt;0,Prod[[#This Row],[S3Hrs]]&gt;0),"Running","Down")</f>
        <v>Running</v>
      </c>
      <c r="H64" s="197">
        <v>25.79</v>
      </c>
      <c r="I64" s="198">
        <v>2.5</v>
      </c>
      <c r="J64" s="129">
        <v>357</v>
      </c>
      <c r="K64" s="129">
        <v>8</v>
      </c>
      <c r="L64" s="120">
        <f>Prod[[#This Row],[S1Shot]]*Prod[[#This Row],[S1Cavity]]-Prod[[#This Row],[S1Dft]]</f>
        <v>2816</v>
      </c>
      <c r="M64" s="135">
        <f>SUM(Prod[[#This Row],[S1Mold]],Prod[[#This Row],[S1Print]],Prod[[#This Row],[S1Ovlp]],Prod[[#This Row],[S1Seam]],Prod[[#This Row],[S1Dmg]])</f>
        <v>40</v>
      </c>
      <c r="N64" s="197">
        <v>25.78</v>
      </c>
      <c r="O64" s="198">
        <v>8</v>
      </c>
      <c r="P64" s="129">
        <v>1189</v>
      </c>
      <c r="Q64" s="129">
        <v>8</v>
      </c>
      <c r="R64" s="120">
        <f>Prod[[#This Row],[S2Shot]]*Prod[[#This Row],[S2Cavity]]-Prod[[#This Row],[S2Dft]]</f>
        <v>9392</v>
      </c>
      <c r="S64" s="135">
        <f>SUM(Prod[[#This Row],[S2Mold]],Prod[[#This Row],[S2Print]],Prod[[#This Row],[S2Ovlp]],Prod[[#This Row],[S2Seam]],Prod[[#This Row],[S2Dmg]])</f>
        <v>120</v>
      </c>
      <c r="T64" s="197">
        <v>25.8</v>
      </c>
      <c r="U64" s="198">
        <v>8</v>
      </c>
      <c r="V64" s="129">
        <v>1026</v>
      </c>
      <c r="W64" s="129">
        <v>8</v>
      </c>
      <c r="X64" s="120">
        <f>Prod[[#This Row],[S3Shot]]*Prod[[#This Row],[S3Cavity]]-Prod[[#This Row],[S3Dft]]</f>
        <v>8068</v>
      </c>
      <c r="Y64" s="120">
        <f>SUM(Prod[[#This Row],[S3Mold]],Prod[[#This Row],[S3Print]],Prod[[#This Row],[S3Ovlp]],Prod[[#This Row],[S3Seam]],Prod[[#This Row],[S3Dmg]])</f>
        <v>140</v>
      </c>
      <c r="Z64" s="120">
        <f>SUM(Prod[[#This Row],[S1Qty]],Prod[[#This Row],[S2Qty]],Prod[[#This Row],[S3Qty]])</f>
        <v>20276</v>
      </c>
      <c r="AA64" s="120">
        <f>SUM(Prod[[#This Row],[S1Dft]],Prod[[#This Row],[S2Dft]],Prod[[#This Row],[S3Dft]])</f>
        <v>300</v>
      </c>
      <c r="AB64" s="121">
        <f>IF(Prod[[#This Row],[Total]]=0,0,Prod[[#This Row],[TotalDft]]/Prod[[#This Row],[Total]])</f>
        <v>1.4795817715525744E-2</v>
      </c>
      <c r="AC64" s="130" t="s">
        <v>236</v>
      </c>
      <c r="AD64" s="120">
        <v>5</v>
      </c>
      <c r="AE64" s="120">
        <v>20</v>
      </c>
      <c r="AF64" s="120">
        <v>20</v>
      </c>
      <c r="AG64" s="120">
        <v>35</v>
      </c>
      <c r="AH64" s="120">
        <v>100</v>
      </c>
      <c r="AI64" s="120">
        <v>120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1">
        <f>IF(Prod[[#This Row],[S1Hrs]]=0,0,Prod[[#This Row],[S1Shot]]*Prod[[#This Row],[S1Cycle]]/(Prod[[#This Row],[S1Hrs]]*60*60))</f>
        <v>1.0230033333333333</v>
      </c>
      <c r="AT64" s="131">
        <f>IF(Prod[[#This Row],[S2Hrs]]=0,0,Prod[[#This Row],[S2Shot]]*Prod[[#This Row],[S2Cycle]]/(Prod[[#This Row],[S2Hrs]]*60*60))</f>
        <v>1.064320138888889</v>
      </c>
      <c r="AU64" s="131">
        <f>IF(Prod[[#This Row],[S3Hrs]]=0,0,Prod[[#This Row],[S3Shot]]*Prod[[#This Row],[S3Cycle]]/(Prod[[#This Row],[S3Hrs]]*60*60))</f>
        <v>0.91912499999999997</v>
      </c>
      <c r="AV64" s="131">
        <f>IFERROR(AVERAGEIF(Prod[[#This Row],[S1%]:[S3%]], "&lt;&gt;0"),0)</f>
        <v>1.0021494907407407</v>
      </c>
      <c r="AW64" s="131">
        <v>1</v>
      </c>
      <c r="AX64" s="131">
        <v>4.5</v>
      </c>
      <c r="AY64" s="131">
        <v>0</v>
      </c>
      <c r="AZ64" s="166">
        <f>IF(Prod[[#This Row],[S1Cycle]]&lt;&gt;0,1,0)</f>
        <v>1</v>
      </c>
      <c r="BA64" s="166">
        <f>IF(Prod[[#This Row],[S2Cycle]]&lt;&gt;0,1,0)</f>
        <v>1</v>
      </c>
      <c r="BB64" s="166">
        <f>IF(Prod[[#This Row],[S3Cycle]]&lt;&gt;0,1,0)</f>
        <v>1</v>
      </c>
      <c r="BC64" s="166">
        <f>MAX(Prod[[#This Row],[S1Cavity]],Prod[[#This Row],[S2Cavity]],Prod[[#This Row],[S3Cavity]])</f>
        <v>8</v>
      </c>
      <c r="BD64" s="166" t="b">
        <f>RegExpMatch(Prod[[#This Row],[MoldNo]], "^DW-(B|C)")</f>
        <v>1</v>
      </c>
    </row>
    <row r="65" spans="1:56" x14ac:dyDescent="0.2">
      <c r="A65" s="117">
        <v>45418</v>
      </c>
      <c r="B65" s="129" t="s">
        <v>186</v>
      </c>
      <c r="C65" s="130" t="s">
        <v>188</v>
      </c>
      <c r="D65" s="130" t="s">
        <v>197</v>
      </c>
      <c r="E65" s="130" t="s">
        <v>191</v>
      </c>
      <c r="F65" s="119">
        <v>814</v>
      </c>
      <c r="G65" s="119" t="str">
        <f>IF(OR(Prod[[#This Row],[S1Hrs]]&gt;0,Prod[[#This Row],[S2Hrs]]&gt;0,Prod[[#This Row],[S3Hrs]]&gt;0),"Running","Down")</f>
        <v>Running</v>
      </c>
      <c r="H65" s="197">
        <v>21.88</v>
      </c>
      <c r="I65" s="198">
        <v>8</v>
      </c>
      <c r="J65" s="129">
        <v>1261</v>
      </c>
      <c r="K65" s="129">
        <v>8</v>
      </c>
      <c r="L65" s="120">
        <f>Prod[[#This Row],[S1Shot]]*Prod[[#This Row],[S1Cavity]]-Prod[[#This Row],[S1Dft]]</f>
        <v>9944</v>
      </c>
      <c r="M65" s="135">
        <f>SUM(Prod[[#This Row],[S1Mold]],Prod[[#This Row],[S1Print]],Prod[[#This Row],[S1Ovlp]],Prod[[#This Row],[S1Seam]],Prod[[#This Row],[S1Dmg]])</f>
        <v>144</v>
      </c>
      <c r="N65" s="197">
        <v>22.69</v>
      </c>
      <c r="O65" s="198">
        <v>8</v>
      </c>
      <c r="P65" s="129">
        <v>1236</v>
      </c>
      <c r="Q65" s="129">
        <v>8</v>
      </c>
      <c r="R65" s="120">
        <f>Prod[[#This Row],[S2Shot]]*Prod[[#This Row],[S2Cavity]]-Prod[[#This Row],[S2Dft]]</f>
        <v>9748</v>
      </c>
      <c r="S65" s="135">
        <f>SUM(Prod[[#This Row],[S2Mold]],Prod[[#This Row],[S2Print]],Prod[[#This Row],[S2Ovlp]],Prod[[#This Row],[S2Seam]],Prod[[#This Row],[S2Dmg]])</f>
        <v>140</v>
      </c>
      <c r="T65" s="197">
        <v>22.77</v>
      </c>
      <c r="U65" s="198">
        <v>8</v>
      </c>
      <c r="V65" s="129">
        <v>1181</v>
      </c>
      <c r="W65" s="129">
        <v>8</v>
      </c>
      <c r="X65" s="120">
        <f>Prod[[#This Row],[S3Shot]]*Prod[[#This Row],[S3Cavity]]-Prod[[#This Row],[S3Dft]]</f>
        <v>9302</v>
      </c>
      <c r="Y65" s="120">
        <f>SUM(Prod[[#This Row],[S3Mold]],Prod[[#This Row],[S3Print]],Prod[[#This Row],[S3Ovlp]],Prod[[#This Row],[S3Seam]],Prod[[#This Row],[S3Dmg]])</f>
        <v>146</v>
      </c>
      <c r="Z65" s="120">
        <f>SUM(Prod[[#This Row],[S1Qty]],Prod[[#This Row],[S2Qty]],Prod[[#This Row],[S3Qty]])</f>
        <v>28994</v>
      </c>
      <c r="AA65" s="120">
        <f>SUM(Prod[[#This Row],[S1Dft]],Prod[[#This Row],[S2Dft]],Prod[[#This Row],[S3Dft]])</f>
        <v>430</v>
      </c>
      <c r="AB65" s="121">
        <f>IF(Prod[[#This Row],[Total]]=0,0,Prod[[#This Row],[TotalDft]]/Prod[[#This Row],[Total]])</f>
        <v>1.4830654618196869E-2</v>
      </c>
      <c r="AC65" s="130"/>
      <c r="AD65" s="120">
        <v>26</v>
      </c>
      <c r="AE65" s="120">
        <v>20</v>
      </c>
      <c r="AF65" s="120">
        <v>25</v>
      </c>
      <c r="AG65" s="120">
        <v>118</v>
      </c>
      <c r="AH65" s="120">
        <v>120</v>
      </c>
      <c r="AI65" s="120">
        <v>121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31">
        <f>IF(Prod[[#This Row],[S1Hrs]]=0,0,Prod[[#This Row],[S1Shot]]*Prod[[#This Row],[S1Cycle]]/(Prod[[#This Row],[S1Hrs]]*60*60))</f>
        <v>0.95800972222222225</v>
      </c>
      <c r="AT65" s="131">
        <f>IF(Prod[[#This Row],[S2Hrs]]=0,0,Prod[[#This Row],[S2Shot]]*Prod[[#This Row],[S2Cycle]]/(Prod[[#This Row],[S2Hrs]]*60*60))</f>
        <v>0.97377916666666664</v>
      </c>
      <c r="AU65" s="131">
        <f>IF(Prod[[#This Row],[S3Hrs]]=0,0,Prod[[#This Row],[S3Shot]]*Prod[[#This Row],[S3Cycle]]/(Prod[[#This Row],[S3Hrs]]*60*60))</f>
        <v>0.93372812500000002</v>
      </c>
      <c r="AV65" s="131">
        <f>IFERROR(AVERAGEIF(Prod[[#This Row],[S1%]:[S3%]], "&lt;&gt;0"),0)</f>
        <v>0.95517233796296297</v>
      </c>
      <c r="AW65" s="131">
        <v>0</v>
      </c>
      <c r="AX65" s="131">
        <v>0</v>
      </c>
      <c r="AY65" s="131">
        <v>0</v>
      </c>
      <c r="AZ65" s="166">
        <f>IF(Prod[[#This Row],[S1Cycle]]&lt;&gt;0,1,0)</f>
        <v>1</v>
      </c>
      <c r="BA65" s="166">
        <f>IF(Prod[[#This Row],[S2Cycle]]&lt;&gt;0,1,0)</f>
        <v>1</v>
      </c>
      <c r="BB65" s="166">
        <f>IF(Prod[[#This Row],[S3Cycle]]&lt;&gt;0,1,0)</f>
        <v>1</v>
      </c>
      <c r="BC65" s="166">
        <f>MAX(Prod[[#This Row],[S1Cavity]],Prod[[#This Row],[S2Cavity]],Prod[[#This Row],[S3Cavity]])</f>
        <v>8</v>
      </c>
      <c r="BD65" s="166" t="b">
        <f>RegExpMatch(Prod[[#This Row],[MoldNo]], "^DW-(B|C)")</f>
        <v>1</v>
      </c>
    </row>
    <row r="66" spans="1:56" x14ac:dyDescent="0.2">
      <c r="A66" s="117">
        <v>45418</v>
      </c>
      <c r="B66" s="129" t="s">
        <v>187</v>
      </c>
      <c r="C66" s="130" t="s">
        <v>189</v>
      </c>
      <c r="D66" s="130" t="s">
        <v>197</v>
      </c>
      <c r="E66" s="130" t="s">
        <v>191</v>
      </c>
      <c r="F66" s="119">
        <v>814</v>
      </c>
      <c r="G66" s="119" t="str">
        <f>IF(OR(Prod[[#This Row],[S1Hrs]]&gt;0,Prod[[#This Row],[S2Hrs]]&gt;0,Prod[[#This Row],[S3Hrs]]&gt;0),"Running","Down")</f>
        <v>Running</v>
      </c>
      <c r="H66" s="197">
        <v>22.07</v>
      </c>
      <c r="I66" s="198">
        <v>8</v>
      </c>
      <c r="J66" s="129">
        <v>1142</v>
      </c>
      <c r="K66" s="129">
        <v>8</v>
      </c>
      <c r="L66" s="120">
        <f>Prod[[#This Row],[S1Shot]]*Prod[[#This Row],[S1Cavity]]-Prod[[#This Row],[S1Dft]]</f>
        <v>8996</v>
      </c>
      <c r="M66" s="135">
        <f>SUM(Prod[[#This Row],[S1Mold]],Prod[[#This Row],[S1Print]],Prod[[#This Row],[S1Ovlp]],Prod[[#This Row],[S1Seam]],Prod[[#This Row],[S1Dmg]])</f>
        <v>140</v>
      </c>
      <c r="N66" s="197">
        <v>22.07</v>
      </c>
      <c r="O66" s="198">
        <v>8</v>
      </c>
      <c r="P66" s="129">
        <v>1313</v>
      </c>
      <c r="Q66" s="129">
        <v>8</v>
      </c>
      <c r="R66" s="120">
        <f>Prod[[#This Row],[S2Shot]]*Prod[[#This Row],[S2Cavity]]-Prod[[#This Row],[S2Dft]]</f>
        <v>10384</v>
      </c>
      <c r="S66" s="135">
        <f>SUM(Prod[[#This Row],[S2Mold]],Prod[[#This Row],[S2Print]],Prod[[#This Row],[S2Ovlp]],Prod[[#This Row],[S2Seam]],Prod[[#This Row],[S2Dmg]])</f>
        <v>120</v>
      </c>
      <c r="T66" s="197">
        <v>22.07</v>
      </c>
      <c r="U66" s="198">
        <v>8</v>
      </c>
      <c r="V66" s="129">
        <v>1187</v>
      </c>
      <c r="W66" s="129">
        <v>8</v>
      </c>
      <c r="X66" s="120">
        <f>Prod[[#This Row],[S3Shot]]*Prod[[#This Row],[S3Cavity]]-Prod[[#This Row],[S3Dft]]</f>
        <v>9371</v>
      </c>
      <c r="Y66" s="120">
        <f>SUM(Prod[[#This Row],[S3Mold]],Prod[[#This Row],[S3Print]],Prod[[#This Row],[S3Ovlp]],Prod[[#This Row],[S3Seam]],Prod[[#This Row],[S3Dmg]])</f>
        <v>125</v>
      </c>
      <c r="Z66" s="120">
        <f>SUM(Prod[[#This Row],[S1Qty]],Prod[[#This Row],[S2Qty]],Prod[[#This Row],[S3Qty]])</f>
        <v>28751</v>
      </c>
      <c r="AA66" s="120">
        <f>SUM(Prod[[#This Row],[S1Dft]],Prod[[#This Row],[S2Dft]],Prod[[#This Row],[S3Dft]])</f>
        <v>385</v>
      </c>
      <c r="AB66" s="121">
        <f>IF(Prod[[#This Row],[Total]]=0,0,Prod[[#This Row],[TotalDft]]/Prod[[#This Row],[Total]])</f>
        <v>1.3390838579527669E-2</v>
      </c>
      <c r="AC66" s="118"/>
      <c r="AD66" s="120">
        <v>20</v>
      </c>
      <c r="AE66" s="120">
        <v>20</v>
      </c>
      <c r="AF66" s="120">
        <v>25</v>
      </c>
      <c r="AG66" s="120">
        <v>120</v>
      </c>
      <c r="AH66" s="120">
        <v>100</v>
      </c>
      <c r="AI66" s="120">
        <v>100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31">
        <f>IF(Prod[[#This Row],[S1Hrs]]=0,0,Prod[[#This Row],[S1Shot]]*Prod[[#This Row],[S1Cycle]]/(Prod[[#This Row],[S1Hrs]]*60*60))</f>
        <v>0.87513680555555551</v>
      </c>
      <c r="AT66" s="131">
        <f>IF(Prod[[#This Row],[S2Hrs]]=0,0,Prod[[#This Row],[S2Shot]]*Prod[[#This Row],[S2Cycle]]/(Prod[[#This Row],[S2Hrs]]*60*60))</f>
        <v>1.0061774305555555</v>
      </c>
      <c r="AU66" s="131">
        <f>IF(Prod[[#This Row],[S3Hrs]]=0,0,Prod[[#This Row],[S3Shot]]*Prod[[#This Row],[S3Cycle]]/(Prod[[#This Row],[S3Hrs]]*60*60))</f>
        <v>0.90962118055555552</v>
      </c>
      <c r="AV66" s="131">
        <f>IFERROR(AVERAGEIF(Prod[[#This Row],[S1%]:[S3%]], "&lt;&gt;0"),0)</f>
        <v>0.93031180555555559</v>
      </c>
      <c r="AW66" s="131">
        <v>0</v>
      </c>
      <c r="AX66" s="131">
        <v>0</v>
      </c>
      <c r="AY66" s="131">
        <v>0</v>
      </c>
      <c r="AZ66" s="166">
        <f>IF(Prod[[#This Row],[S1Cycle]]&lt;&gt;0,1,0)</f>
        <v>1</v>
      </c>
      <c r="BA66" s="166">
        <f>IF(Prod[[#This Row],[S2Cycle]]&lt;&gt;0,1,0)</f>
        <v>1</v>
      </c>
      <c r="BB66" s="166">
        <f>IF(Prod[[#This Row],[S3Cycle]]&lt;&gt;0,1,0)</f>
        <v>1</v>
      </c>
      <c r="BC66" s="166">
        <f>MAX(Prod[[#This Row],[S1Cavity]],Prod[[#This Row],[S2Cavity]],Prod[[#This Row],[S3Cavity]])</f>
        <v>8</v>
      </c>
      <c r="BD66" s="166" t="b">
        <f>RegExpMatch(Prod[[#This Row],[MoldNo]], "^DW-(B|C)")</f>
        <v>1</v>
      </c>
    </row>
    <row r="67" spans="1:56" x14ac:dyDescent="0.2">
      <c r="A67" s="117">
        <v>45418</v>
      </c>
      <c r="B67" s="129" t="s">
        <v>225</v>
      </c>
      <c r="C67" s="130" t="s">
        <v>226</v>
      </c>
      <c r="D67" s="130">
        <v>27203</v>
      </c>
      <c r="E67" s="130" t="s">
        <v>191</v>
      </c>
      <c r="F67" s="119">
        <v>814</v>
      </c>
      <c r="G67" s="119" t="str">
        <f>IF(OR(Prod[[#This Row],[S1Hrs]]&gt;0,Prod[[#This Row],[S2Hrs]]&gt;0,Prod[[#This Row],[S3Hrs]]&gt;0),"Running","Down")</f>
        <v>Running</v>
      </c>
      <c r="H67" s="197">
        <v>17.329999999999998</v>
      </c>
      <c r="I67" s="198">
        <v>8</v>
      </c>
      <c r="J67" s="129">
        <v>1581</v>
      </c>
      <c r="K67" s="129">
        <v>8</v>
      </c>
      <c r="L67" s="120">
        <f>Prod[[#This Row],[S1Shot]]*Prod[[#This Row],[S1Cavity]]-Prod[[#This Row],[S1Dft]]</f>
        <v>12523</v>
      </c>
      <c r="M67" s="135">
        <f>SUM(Prod[[#This Row],[S1Mold]],Prod[[#This Row],[S1Print]],Prod[[#This Row],[S1Ovlp]],Prod[[#This Row],[S1Seam]],Prod[[#This Row],[S1Dmg]])</f>
        <v>125</v>
      </c>
      <c r="N67" s="197">
        <v>17.87</v>
      </c>
      <c r="O67" s="198">
        <v>7.5</v>
      </c>
      <c r="P67" s="129">
        <v>1434</v>
      </c>
      <c r="Q67" s="129">
        <v>8</v>
      </c>
      <c r="R67" s="120">
        <f>Prod[[#This Row],[S2Shot]]*Prod[[#This Row],[S2Cavity]]-Prod[[#This Row],[S2Dft]]</f>
        <v>11332</v>
      </c>
      <c r="S67" s="135">
        <f>SUM(Prod[[#This Row],[S2Mold]],Prod[[#This Row],[S2Print]],Prod[[#This Row],[S2Ovlp]],Prod[[#This Row],[S2Seam]],Prod[[#This Row],[S2Dmg]])</f>
        <v>140</v>
      </c>
      <c r="T67" s="197">
        <v>17.28</v>
      </c>
      <c r="U67" s="198">
        <v>8</v>
      </c>
      <c r="V67" s="129">
        <v>1607</v>
      </c>
      <c r="W67" s="129">
        <v>8</v>
      </c>
      <c r="X67" s="120">
        <f>Prod[[#This Row],[S3Shot]]*Prod[[#This Row],[S3Cavity]]-Prod[[#This Row],[S3Dft]]</f>
        <v>12731</v>
      </c>
      <c r="Y67" s="120">
        <f>SUM(Prod[[#This Row],[S3Mold]],Prod[[#This Row],[S3Print]],Prod[[#This Row],[S3Ovlp]],Prod[[#This Row],[S3Seam]],Prod[[#This Row],[S3Dmg]])</f>
        <v>125</v>
      </c>
      <c r="Z67" s="120">
        <f>SUM(Prod[[#This Row],[S1Qty]],Prod[[#This Row],[S2Qty]],Prod[[#This Row],[S3Qty]])</f>
        <v>36586</v>
      </c>
      <c r="AA67" s="120">
        <f>SUM(Prod[[#This Row],[S1Dft]],Prod[[#This Row],[S2Dft]],Prod[[#This Row],[S3Dft]])</f>
        <v>390</v>
      </c>
      <c r="AB67" s="121">
        <f>IF(Prod[[#This Row],[Total]]=0,0,Prod[[#This Row],[TotalDft]]/Prod[[#This Row],[Total]])</f>
        <v>1.0659815229869349E-2</v>
      </c>
      <c r="AC67" s="118"/>
      <c r="AD67" s="120">
        <v>25</v>
      </c>
      <c r="AE67" s="120">
        <v>20</v>
      </c>
      <c r="AF67" s="120">
        <v>25</v>
      </c>
      <c r="AG67" s="120">
        <v>100</v>
      </c>
      <c r="AH67" s="120">
        <v>120</v>
      </c>
      <c r="AI67" s="120">
        <v>100</v>
      </c>
      <c r="AJ67" s="120">
        <v>0</v>
      </c>
      <c r="AK67" s="120">
        <v>0</v>
      </c>
      <c r="AL67" s="120">
        <v>0</v>
      </c>
      <c r="AM67" s="120">
        <v>0</v>
      </c>
      <c r="AN67" s="120">
        <v>0</v>
      </c>
      <c r="AO67" s="120">
        <v>0</v>
      </c>
      <c r="AP67" s="120">
        <v>0</v>
      </c>
      <c r="AQ67" s="120">
        <v>0</v>
      </c>
      <c r="AR67" s="120">
        <v>0</v>
      </c>
      <c r="AS67" s="131">
        <f>IF(Prod[[#This Row],[S1Hrs]]=0,0,Prod[[#This Row],[S1Shot]]*Prod[[#This Row],[S1Cycle]]/(Prod[[#This Row],[S1Hrs]]*60*60))</f>
        <v>0.95134479166666652</v>
      </c>
      <c r="AT67" s="131">
        <f>IF(Prod[[#This Row],[S2Hrs]]=0,0,Prod[[#This Row],[S2Shot]]*Prod[[#This Row],[S2Cycle]]/(Prod[[#This Row],[S2Hrs]]*60*60))</f>
        <v>0.94909555555555558</v>
      </c>
      <c r="AU67" s="131">
        <f>IF(Prod[[#This Row],[S3Hrs]]=0,0,Prod[[#This Row],[S3Shot]]*Prod[[#This Row],[S3Cycle]]/(Prod[[#This Row],[S3Hrs]]*60*60))</f>
        <v>0.96420000000000006</v>
      </c>
      <c r="AV67" s="131">
        <f>IFERROR(AVERAGEIF(Prod[[#This Row],[S1%]:[S3%]], "&lt;&gt;0"),0)</f>
        <v>0.95488011574074072</v>
      </c>
      <c r="AW67" s="131">
        <v>0</v>
      </c>
      <c r="AX67" s="131">
        <v>0</v>
      </c>
      <c r="AY67" s="131">
        <v>0</v>
      </c>
      <c r="AZ67" s="166">
        <f>IF(Prod[[#This Row],[S1Cycle]]&lt;&gt;0,1,0)</f>
        <v>1</v>
      </c>
      <c r="BA67" s="166">
        <f>IF(Prod[[#This Row],[S2Cycle]]&lt;&gt;0,1,0)</f>
        <v>1</v>
      </c>
      <c r="BB67" s="166">
        <f>IF(Prod[[#This Row],[S3Cycle]]&lt;&gt;0,1,0)</f>
        <v>1</v>
      </c>
      <c r="BC67" s="166">
        <f>MAX(Prod[[#This Row],[S1Cavity]],Prod[[#This Row],[S2Cavity]],Prod[[#This Row],[S3Cavity]])</f>
        <v>8</v>
      </c>
      <c r="BD67" s="166" t="b">
        <f>RegExpMatch(Prod[[#This Row],[MoldNo]], "^DW-(B|C)")</f>
        <v>1</v>
      </c>
    </row>
    <row r="68" spans="1:56" x14ac:dyDescent="0.2">
      <c r="A68" s="117">
        <v>45418</v>
      </c>
      <c r="B68" s="129" t="s">
        <v>181</v>
      </c>
      <c r="C68" s="130" t="s">
        <v>182</v>
      </c>
      <c r="D68" s="119">
        <v>25154</v>
      </c>
      <c r="E68" s="130" t="s">
        <v>191</v>
      </c>
      <c r="F68" s="119">
        <v>814</v>
      </c>
      <c r="G68" s="119" t="str">
        <f>IF(OR(Prod[[#This Row],[S1Hrs]]&gt;0,Prod[[#This Row],[S2Hrs]]&gt;0,Prod[[#This Row],[S3Hrs]]&gt;0),"Running","Down")</f>
        <v>Running</v>
      </c>
      <c r="H68" s="197">
        <v>21.62</v>
      </c>
      <c r="I68" s="198">
        <v>8</v>
      </c>
      <c r="J68" s="129">
        <v>1301</v>
      </c>
      <c r="K68" s="129">
        <v>16</v>
      </c>
      <c r="L68" s="120">
        <f>Prod[[#This Row],[S1Shot]]*Prod[[#This Row],[S1Cavity]]-Prod[[#This Row],[S1Dft]]</f>
        <v>20816</v>
      </c>
      <c r="M68" s="133"/>
      <c r="N68" s="197">
        <v>21.59</v>
      </c>
      <c r="O68" s="198">
        <v>8</v>
      </c>
      <c r="P68" s="129">
        <v>1399</v>
      </c>
      <c r="Q68" s="129">
        <v>16</v>
      </c>
      <c r="R68" s="120">
        <f>Prod[[#This Row],[S2Shot]]*Prod[[#This Row],[S2Cavity]]-Prod[[#This Row],[S2Dft]]</f>
        <v>22384</v>
      </c>
      <c r="S68" s="133"/>
      <c r="T68" s="197">
        <v>21.6</v>
      </c>
      <c r="U68" s="198">
        <v>8</v>
      </c>
      <c r="V68" s="129">
        <v>1256</v>
      </c>
      <c r="W68" s="129">
        <v>16</v>
      </c>
      <c r="X68" s="120">
        <f>Prod[[#This Row],[S3Shot]]*Prod[[#This Row],[S3Cavity]]-Prod[[#This Row],[S3Dft]]</f>
        <v>20096</v>
      </c>
      <c r="Y68" s="133"/>
      <c r="Z68" s="120">
        <f>SUM(Prod[[#This Row],[S1Qty]],Prod[[#This Row],[S2Qty]],Prod[[#This Row],[S3Qty]])</f>
        <v>63296</v>
      </c>
      <c r="AA68" s="133"/>
      <c r="AB68" s="134"/>
      <c r="AC68" s="118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1">
        <f>IF(Prod[[#This Row],[S1Hrs]]=0,0,Prod[[#This Row],[S1Shot]]*Prod[[#This Row],[S1Cycle]]/(Prod[[#This Row],[S1Hrs]]*60*60))</f>
        <v>0.97665347222222232</v>
      </c>
      <c r="AT68" s="131">
        <f>IF(Prod[[#This Row],[S2Hrs]]=0,0,Prod[[#This Row],[S2Shot]]*Prod[[#This Row],[S2Cycle]]/(Prod[[#This Row],[S2Hrs]]*60*60))</f>
        <v>1.0487642361111111</v>
      </c>
      <c r="AU68" s="131">
        <f>IF(Prod[[#This Row],[S3Hrs]]=0,0,Prod[[#This Row],[S3Shot]]*Prod[[#This Row],[S3Cycle]]/(Prod[[#This Row],[S3Hrs]]*60*60))</f>
        <v>0.94200000000000006</v>
      </c>
      <c r="AV68" s="131">
        <f>IFERROR(AVERAGEIF(Prod[[#This Row],[S1%]:[S3%]], "&lt;&gt;0"),0)</f>
        <v>0.98913923611111121</v>
      </c>
      <c r="AW68" s="131">
        <v>0</v>
      </c>
      <c r="AX68" s="131">
        <v>0</v>
      </c>
      <c r="AY68" s="131">
        <v>0</v>
      </c>
      <c r="AZ68" s="166">
        <f>IF(Prod[[#This Row],[S1Cycle]]&lt;&gt;0,1,0)</f>
        <v>1</v>
      </c>
      <c r="BA68" s="166">
        <f>IF(Prod[[#This Row],[S2Cycle]]&lt;&gt;0,1,0)</f>
        <v>1</v>
      </c>
      <c r="BB68" s="166">
        <f>IF(Prod[[#This Row],[S3Cycle]]&lt;&gt;0,1,0)</f>
        <v>1</v>
      </c>
      <c r="BC68" s="166">
        <f>MAX(Prod[[#This Row],[S1Cavity]],Prod[[#This Row],[S2Cavity]],Prod[[#This Row],[S3Cavity]])</f>
        <v>16</v>
      </c>
      <c r="BD68" s="166" t="b">
        <f>RegExpMatch(Prod[[#This Row],[MoldNo]], "^DW-(B|C)")</f>
        <v>0</v>
      </c>
    </row>
    <row r="69" spans="1:56" x14ac:dyDescent="0.2">
      <c r="A69" s="117">
        <v>45419</v>
      </c>
      <c r="B69" s="120" t="s">
        <v>172</v>
      </c>
      <c r="C69" s="119" t="s">
        <v>173</v>
      </c>
      <c r="D69" s="119">
        <v>26363</v>
      </c>
      <c r="E69" s="130" t="s">
        <v>191</v>
      </c>
      <c r="F69" s="119">
        <v>814</v>
      </c>
      <c r="G69" s="119" t="str">
        <f>IF(OR(Prod[[#This Row],[S1Hrs]]&gt;0,Prod[[#This Row],[S2Hrs]]&gt;0,Prod[[#This Row],[S3Hrs]]&gt;0),"Running","Down")</f>
        <v>Running</v>
      </c>
      <c r="H69" s="197">
        <v>16.170000000000002</v>
      </c>
      <c r="I69" s="198">
        <v>6</v>
      </c>
      <c r="J69" s="129">
        <v>1194</v>
      </c>
      <c r="K69" s="129">
        <v>16</v>
      </c>
      <c r="L69" s="120">
        <f>Prod[[#This Row],[S1Shot]]*Prod[[#This Row],[S1Cavity]]-Prod[[#This Row],[S1Dft]]</f>
        <v>19104</v>
      </c>
      <c r="M69" s="133"/>
      <c r="N69" s="197">
        <v>16.170000000000002</v>
      </c>
      <c r="O69" s="198">
        <v>8</v>
      </c>
      <c r="P69" s="129">
        <v>1650</v>
      </c>
      <c r="Q69" s="129">
        <v>16</v>
      </c>
      <c r="R69" s="120">
        <f>Prod[[#This Row],[S2Shot]]*Prod[[#This Row],[S2Cavity]]-Prod[[#This Row],[S2Dft]]</f>
        <v>26400</v>
      </c>
      <c r="S69" s="133"/>
      <c r="T69" s="197">
        <v>16.440000000000001</v>
      </c>
      <c r="U69" s="198">
        <v>8</v>
      </c>
      <c r="V69" s="129">
        <v>1603</v>
      </c>
      <c r="W69" s="129">
        <v>16</v>
      </c>
      <c r="X69" s="120">
        <f>Prod[[#This Row],[S3Shot]]*Prod[[#This Row],[S3Cavity]]-Prod[[#This Row],[S3Dft]]</f>
        <v>25648</v>
      </c>
      <c r="Y69" s="133"/>
      <c r="Z69" s="120">
        <f>SUM(Prod[[#This Row],[S1Qty]],Prod[[#This Row],[S2Qty]],Prod[[#This Row],[S3Qty]])</f>
        <v>71152</v>
      </c>
      <c r="AA69" s="133"/>
      <c r="AB69" s="134"/>
      <c r="AC69" s="118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1">
        <f>IF(Prod[[#This Row],[S1Hrs]]=0,0,Prod[[#This Row],[S1Shot]]*Prod[[#This Row],[S1Cycle]]/(Prod[[#This Row],[S1Hrs]]*60*60))</f>
        <v>0.89384166666666687</v>
      </c>
      <c r="AT69" s="131">
        <f>IF(Prod[[#This Row],[S2Hrs]]=0,0,Prod[[#This Row],[S2Shot]]*Prod[[#This Row],[S2Cycle]]/(Prod[[#This Row],[S2Hrs]]*60*60))</f>
        <v>0.9264062500000001</v>
      </c>
      <c r="AU69" s="131">
        <f>IF(Prod[[#This Row],[S3Hrs]]=0,0,Prod[[#This Row],[S3Shot]]*Prod[[#This Row],[S3Cycle]]/(Prod[[#This Row],[S3Hrs]]*60*60))</f>
        <v>0.91504583333333345</v>
      </c>
      <c r="AV69" s="131">
        <f>IFERROR(AVERAGEIF(Prod[[#This Row],[S1%]:[S3%]], "&lt;&gt;0"),0)</f>
        <v>0.91176458333333343</v>
      </c>
      <c r="AW69" s="131">
        <v>0.5</v>
      </c>
      <c r="AX69" s="131">
        <v>0</v>
      </c>
      <c r="AY69" s="131">
        <v>0</v>
      </c>
      <c r="AZ69" s="166">
        <f>IF(Prod[[#This Row],[S1Cycle]]&lt;&gt;0,1,0)</f>
        <v>1</v>
      </c>
      <c r="BA69" s="166">
        <f>IF(Prod[[#This Row],[S2Cycle]]&lt;&gt;0,1,0)</f>
        <v>1</v>
      </c>
      <c r="BB69" s="166">
        <f>IF(Prod[[#This Row],[S3Cycle]]&lt;&gt;0,1,0)</f>
        <v>1</v>
      </c>
      <c r="BC69" s="166">
        <f>MAX(Prod[[#This Row],[S1Cavity]],Prod[[#This Row],[S2Cavity]],Prod[[#This Row],[S3Cavity]])</f>
        <v>16</v>
      </c>
      <c r="BD69" s="166" t="b">
        <f>RegExpMatch(Prod[[#This Row],[MoldNo]], "^DW-(B|C)")</f>
        <v>0</v>
      </c>
    </row>
    <row r="70" spans="1:56" x14ac:dyDescent="0.2">
      <c r="A70" s="117">
        <v>45419</v>
      </c>
      <c r="B70" s="119" t="s">
        <v>179</v>
      </c>
      <c r="C70" s="119" t="s">
        <v>180</v>
      </c>
      <c r="D70" s="119">
        <v>26363</v>
      </c>
      <c r="E70" s="130" t="s">
        <v>92</v>
      </c>
      <c r="F70" s="119">
        <v>814</v>
      </c>
      <c r="G70" s="119" t="str">
        <f>IF(OR(Prod[[#This Row],[S1Hrs]]&gt;0,Prod[[#This Row],[S2Hrs]]&gt;0,Prod[[#This Row],[S3Hrs]]&gt;0),"Running","Down")</f>
        <v>Running</v>
      </c>
      <c r="H70" s="197">
        <v>12.7</v>
      </c>
      <c r="I70" s="198">
        <v>8</v>
      </c>
      <c r="J70" s="129">
        <v>2229</v>
      </c>
      <c r="K70" s="129">
        <v>16</v>
      </c>
      <c r="L70" s="120">
        <f>Prod[[#This Row],[S1Shot]]*Prod[[#This Row],[S1Cavity]]-Prod[[#This Row],[S1Dft]]</f>
        <v>35664</v>
      </c>
      <c r="M70" s="133"/>
      <c r="N70" s="197">
        <v>12.69</v>
      </c>
      <c r="O70" s="198">
        <v>8</v>
      </c>
      <c r="P70" s="129">
        <v>2150</v>
      </c>
      <c r="Q70" s="129">
        <v>16</v>
      </c>
      <c r="R70" s="120">
        <f>Prod[[#This Row],[S2Shot]]*Prod[[#This Row],[S2Cavity]]-Prod[[#This Row],[S2Dft]]</f>
        <v>34400</v>
      </c>
      <c r="S70" s="133"/>
      <c r="T70" s="197">
        <v>12.69</v>
      </c>
      <c r="U70" s="198">
        <v>8</v>
      </c>
      <c r="V70" s="129">
        <v>2140</v>
      </c>
      <c r="W70" s="129">
        <v>16</v>
      </c>
      <c r="X70" s="120">
        <f>Prod[[#This Row],[S3Shot]]*Prod[[#This Row],[S3Cavity]]-Prod[[#This Row],[S3Dft]]</f>
        <v>34240</v>
      </c>
      <c r="Y70" s="133"/>
      <c r="Z70" s="120">
        <f>SUM(Prod[[#This Row],[S1Qty]],Prod[[#This Row],[S2Qty]],Prod[[#This Row],[S3Qty]])</f>
        <v>104304</v>
      </c>
      <c r="AA70" s="133"/>
      <c r="AB70" s="134"/>
      <c r="AC70" s="130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1">
        <f>IF(Prod[[#This Row],[S1Hrs]]=0,0,Prod[[#This Row],[S1Shot]]*Prod[[#This Row],[S1Cycle]]/(Prod[[#This Row],[S1Hrs]]*60*60))</f>
        <v>0.98292708333333334</v>
      </c>
      <c r="AT70" s="131">
        <f>IF(Prod[[#This Row],[S2Hrs]]=0,0,Prod[[#This Row],[S2Shot]]*Prod[[#This Row],[S2Cycle]]/(Prod[[#This Row],[S2Hrs]]*60*60))</f>
        <v>0.94734375000000004</v>
      </c>
      <c r="AU70" s="131">
        <f>IF(Prod[[#This Row],[S3Hrs]]=0,0,Prod[[#This Row],[S3Shot]]*Prod[[#This Row],[S3Cycle]]/(Prod[[#This Row],[S3Hrs]]*60*60))</f>
        <v>0.94293749999999998</v>
      </c>
      <c r="AV70" s="131">
        <f>IFERROR(AVERAGEIF(Prod[[#This Row],[S1%]:[S3%]], "&lt;&gt;0"),0)</f>
        <v>0.95773611111111112</v>
      </c>
      <c r="AW70" s="131">
        <v>0</v>
      </c>
      <c r="AX70" s="131">
        <v>0</v>
      </c>
      <c r="AY70" s="131">
        <v>0</v>
      </c>
      <c r="AZ70" s="166">
        <f>IF(Prod[[#This Row],[S1Cycle]]&lt;&gt;0,1,0)</f>
        <v>1</v>
      </c>
      <c r="BA70" s="166">
        <f>IF(Prod[[#This Row],[S2Cycle]]&lt;&gt;0,1,0)</f>
        <v>1</v>
      </c>
      <c r="BB70" s="166">
        <f>IF(Prod[[#This Row],[S3Cycle]]&lt;&gt;0,1,0)</f>
        <v>1</v>
      </c>
      <c r="BC70" s="166">
        <f>MAX(Prod[[#This Row],[S1Cavity]],Prod[[#This Row],[S2Cavity]],Prod[[#This Row],[S3Cavity]])</f>
        <v>16</v>
      </c>
      <c r="BD70" s="166" t="b">
        <f>RegExpMatch(Prod[[#This Row],[MoldNo]], "^DW-(B|C)")</f>
        <v>0</v>
      </c>
    </row>
    <row r="71" spans="1:56" x14ac:dyDescent="0.2">
      <c r="A71" s="117">
        <v>45419</v>
      </c>
      <c r="B71" s="129" t="s">
        <v>192</v>
      </c>
      <c r="C71" s="130" t="s">
        <v>174</v>
      </c>
      <c r="D71" s="119"/>
      <c r="E71" s="130"/>
      <c r="F71" s="119"/>
      <c r="G71" s="119" t="str">
        <f>IF(OR(Prod[[#This Row],[S1Hrs]]&gt;0,Prod[[#This Row],[S2Hrs]]&gt;0,Prod[[#This Row],[S3Hrs]]&gt;0),"Running","Down")</f>
        <v>Down</v>
      </c>
      <c r="H71" s="197">
        <v>0</v>
      </c>
      <c r="I71" s="198">
        <v>0</v>
      </c>
      <c r="J71" s="129">
        <v>0</v>
      </c>
      <c r="K71" s="129">
        <v>0</v>
      </c>
      <c r="L71" s="120">
        <f>Prod[[#This Row],[S1Shot]]*Prod[[#This Row],[S1Cavity]]-Prod[[#This Row],[S1Dft]]</f>
        <v>0</v>
      </c>
      <c r="M71" s="133"/>
      <c r="N71" s="197">
        <v>0</v>
      </c>
      <c r="O71" s="198">
        <v>0</v>
      </c>
      <c r="P71" s="129">
        <v>0</v>
      </c>
      <c r="Q71" s="129">
        <v>0</v>
      </c>
      <c r="R71" s="120">
        <f>Prod[[#This Row],[S2Shot]]*Prod[[#This Row],[S2Cavity]]-Prod[[#This Row],[S2Dft]]</f>
        <v>0</v>
      </c>
      <c r="S71" s="133"/>
      <c r="T71" s="197">
        <v>0</v>
      </c>
      <c r="U71" s="198">
        <v>0</v>
      </c>
      <c r="V71" s="129">
        <v>0</v>
      </c>
      <c r="W71" s="129">
        <v>0</v>
      </c>
      <c r="X71" s="120">
        <f>Prod[[#This Row],[S3Shot]]*Prod[[#This Row],[S3Cavity]]-Prod[[#This Row],[S3Dft]]</f>
        <v>0</v>
      </c>
      <c r="Y71" s="133"/>
      <c r="Z71" s="120">
        <f>SUM(Prod[[#This Row],[S1Qty]],Prod[[#This Row],[S2Qty]],Prod[[#This Row],[S3Qty]])</f>
        <v>0</v>
      </c>
      <c r="AA71" s="133"/>
      <c r="AB71" s="134"/>
      <c r="AC71" s="130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1">
        <f>IF(Prod[[#This Row],[S1Hrs]]=0,0,Prod[[#This Row],[S1Shot]]*Prod[[#This Row],[S1Cycle]]/(Prod[[#This Row],[S1Hrs]]*60*60))</f>
        <v>0</v>
      </c>
      <c r="AT71" s="131">
        <f>IF(Prod[[#This Row],[S2Hrs]]=0,0,Prod[[#This Row],[S2Shot]]*Prod[[#This Row],[S2Cycle]]/(Prod[[#This Row],[S2Hrs]]*60*60))</f>
        <v>0</v>
      </c>
      <c r="AU71" s="131">
        <f>IF(Prod[[#This Row],[S3Hrs]]=0,0,Prod[[#This Row],[S3Shot]]*Prod[[#This Row],[S3Cycle]]/(Prod[[#This Row],[S3Hrs]]*60*60))</f>
        <v>0</v>
      </c>
      <c r="AV71" s="131">
        <f>IFERROR(AVERAGEIF(Prod[[#This Row],[S1%]:[S3%]], "&lt;&gt;0"),0)</f>
        <v>0</v>
      </c>
      <c r="AW71" s="131">
        <v>0</v>
      </c>
      <c r="AX71" s="131">
        <v>0</v>
      </c>
      <c r="AY71" s="131">
        <v>0</v>
      </c>
      <c r="AZ71" s="166">
        <f>IF(Prod[[#This Row],[S1Cycle]]&lt;&gt;0,1,0)</f>
        <v>0</v>
      </c>
      <c r="BA71" s="166">
        <f>IF(Prod[[#This Row],[S2Cycle]]&lt;&gt;0,1,0)</f>
        <v>0</v>
      </c>
      <c r="BB71" s="166">
        <f>IF(Prod[[#This Row],[S3Cycle]]&lt;&gt;0,1,0)</f>
        <v>0</v>
      </c>
      <c r="BC71" s="166">
        <f>MAX(Prod[[#This Row],[S1Cavity]],Prod[[#This Row],[S2Cavity]],Prod[[#This Row],[S3Cavity]])</f>
        <v>0</v>
      </c>
      <c r="BD71" s="166" t="b">
        <f>RegExpMatch(Prod[[#This Row],[MoldNo]], "^DW-(B|C)")</f>
        <v>0</v>
      </c>
    </row>
    <row r="72" spans="1:56" x14ac:dyDescent="0.2">
      <c r="A72" s="117">
        <v>45419</v>
      </c>
      <c r="B72" s="129" t="s">
        <v>216</v>
      </c>
      <c r="C72" s="130" t="s">
        <v>217</v>
      </c>
      <c r="D72" s="130">
        <v>27203</v>
      </c>
      <c r="E72" s="130" t="s">
        <v>191</v>
      </c>
      <c r="F72" s="119">
        <v>814</v>
      </c>
      <c r="G72" s="119" t="str">
        <f>IF(OR(Prod[[#This Row],[S1Hrs]]&gt;0,Prod[[#This Row],[S2Hrs]]&gt;0,Prod[[#This Row],[S3Hrs]]&gt;0),"Running","Down")</f>
        <v>Running</v>
      </c>
      <c r="H72" s="197">
        <v>18.100000000000001</v>
      </c>
      <c r="I72" s="198">
        <v>8</v>
      </c>
      <c r="J72" s="129">
        <v>1122</v>
      </c>
      <c r="K72" s="129">
        <v>8</v>
      </c>
      <c r="L72" s="120">
        <f>Prod[[#This Row],[S1Shot]]*Prod[[#This Row],[S1Cavity]]-Prod[[#This Row],[S1Dft]]</f>
        <v>8831</v>
      </c>
      <c r="M72" s="135">
        <f>SUM(Prod[[#This Row],[S1Mold]],Prod[[#This Row],[S1Print]],Prod[[#This Row],[S1Ovlp]],Prod[[#This Row],[S1Seam]],Prod[[#This Row],[S1Dmg]])</f>
        <v>145</v>
      </c>
      <c r="N72" s="197">
        <v>18.100000000000001</v>
      </c>
      <c r="O72" s="198">
        <v>8</v>
      </c>
      <c r="P72" s="129">
        <v>1765</v>
      </c>
      <c r="Q72" s="129">
        <v>8</v>
      </c>
      <c r="R72" s="120">
        <f>Prod[[#This Row],[S2Shot]]*Prod[[#This Row],[S2Cavity]]-Prod[[#This Row],[S2Dft]]</f>
        <v>13995</v>
      </c>
      <c r="S72" s="135">
        <f>SUM(Prod[[#This Row],[S2Mold]],Prod[[#This Row],[S2Print]],Prod[[#This Row],[S2Ovlp]],Prod[[#This Row],[S2Seam]],Prod[[#This Row],[S2Dmg]])</f>
        <v>125</v>
      </c>
      <c r="T72" s="197">
        <v>18.100000000000001</v>
      </c>
      <c r="U72" s="198">
        <v>8</v>
      </c>
      <c r="V72" s="129">
        <v>1533</v>
      </c>
      <c r="W72" s="129">
        <v>8</v>
      </c>
      <c r="X72" s="120">
        <f>Prod[[#This Row],[S3Shot]]*Prod[[#This Row],[S3Cavity]]-Prod[[#This Row],[S3Dft]]</f>
        <v>12129</v>
      </c>
      <c r="Y72" s="120">
        <f>SUM(Prod[[#This Row],[S3Mold]],Prod[[#This Row],[S3Print]],Prod[[#This Row],[S3Ovlp]],Prod[[#This Row],[S3Seam]],Prod[[#This Row],[S3Dmg]])</f>
        <v>135</v>
      </c>
      <c r="Z72" s="120">
        <f>SUM(Prod[[#This Row],[S1Qty]],Prod[[#This Row],[S2Qty]],Prod[[#This Row],[S3Qty]])</f>
        <v>34955</v>
      </c>
      <c r="AA72" s="120">
        <f>SUM(Prod[[#This Row],[S1Dft]],Prod[[#This Row],[S2Dft]],Prod[[#This Row],[S3Dft]])</f>
        <v>405</v>
      </c>
      <c r="AB72" s="121">
        <f>IF(Prod[[#This Row],[Total]]=0,0,Prod[[#This Row],[TotalDft]]/Prod[[#This Row],[Total]])</f>
        <v>1.1586325275354026E-2</v>
      </c>
      <c r="AC72" s="130"/>
      <c r="AD72" s="120">
        <v>20</v>
      </c>
      <c r="AE72" s="120">
        <v>25</v>
      </c>
      <c r="AF72" s="120">
        <v>20</v>
      </c>
      <c r="AG72" s="120">
        <v>125</v>
      </c>
      <c r="AH72" s="120">
        <v>100</v>
      </c>
      <c r="AI72" s="120">
        <v>115</v>
      </c>
      <c r="AJ72" s="120">
        <v>0</v>
      </c>
      <c r="AK72" s="120">
        <v>0</v>
      </c>
      <c r="AL72" s="120">
        <v>0</v>
      </c>
      <c r="AM72" s="120">
        <v>0</v>
      </c>
      <c r="AN72" s="120">
        <v>0</v>
      </c>
      <c r="AO72" s="120">
        <v>0</v>
      </c>
      <c r="AP72" s="120">
        <v>0</v>
      </c>
      <c r="AQ72" s="120">
        <v>0</v>
      </c>
      <c r="AR72" s="120">
        <v>0</v>
      </c>
      <c r="AS72" s="131">
        <f>IF(Prod[[#This Row],[S1Hrs]]=0,0,Prod[[#This Row],[S1Shot]]*Prod[[#This Row],[S1Cycle]]/(Prod[[#This Row],[S1Hrs]]*60*60))</f>
        <v>0.70514583333333336</v>
      </c>
      <c r="AT72" s="131">
        <f>IF(Prod[[#This Row],[S2Hrs]]=0,0,Prod[[#This Row],[S2Shot]]*Prod[[#This Row],[S2Cycle]]/(Prod[[#This Row],[S2Hrs]]*60*60))</f>
        <v>1.1092534722222223</v>
      </c>
      <c r="AU72" s="131">
        <f>IF(Prod[[#This Row],[S3Hrs]]=0,0,Prod[[#This Row],[S3Shot]]*Prod[[#This Row],[S3Cycle]]/(Prod[[#This Row],[S3Hrs]]*60*60))</f>
        <v>0.96344791666666674</v>
      </c>
      <c r="AV72" s="131">
        <f>IFERROR(AVERAGEIF(Prod[[#This Row],[S1%]:[S3%]], "&lt;&gt;0"),0)</f>
        <v>0.92594907407407412</v>
      </c>
      <c r="AW72" s="131">
        <v>0</v>
      </c>
      <c r="AX72" s="131">
        <v>0</v>
      </c>
      <c r="AY72" s="131">
        <v>0</v>
      </c>
      <c r="AZ72" s="166">
        <f>IF(Prod[[#This Row],[S1Cycle]]&lt;&gt;0,1,0)</f>
        <v>1</v>
      </c>
      <c r="BA72" s="166">
        <f>IF(Prod[[#This Row],[S2Cycle]]&lt;&gt;0,1,0)</f>
        <v>1</v>
      </c>
      <c r="BB72" s="166">
        <f>IF(Prod[[#This Row],[S3Cycle]]&lt;&gt;0,1,0)</f>
        <v>1</v>
      </c>
      <c r="BC72" s="166">
        <f>MAX(Prod[[#This Row],[S1Cavity]],Prod[[#This Row],[S2Cavity]],Prod[[#This Row],[S3Cavity]])</f>
        <v>8</v>
      </c>
      <c r="BD72" s="166" t="b">
        <f>RegExpMatch(Prod[[#This Row],[MoldNo]], "^DW-(B|C)")</f>
        <v>1</v>
      </c>
    </row>
    <row r="73" spans="1:56" x14ac:dyDescent="0.2">
      <c r="A73" s="117">
        <v>45419</v>
      </c>
      <c r="B73" s="120" t="s">
        <v>175</v>
      </c>
      <c r="C73" s="119" t="s">
        <v>178</v>
      </c>
      <c r="D73" s="130">
        <v>26367</v>
      </c>
      <c r="E73" s="130" t="s">
        <v>191</v>
      </c>
      <c r="F73" s="119">
        <v>814</v>
      </c>
      <c r="G73" s="119" t="str">
        <f>IF(OR(Prod[[#This Row],[S1Hrs]]&gt;0,Prod[[#This Row],[S2Hrs]]&gt;0,Prod[[#This Row],[S3Hrs]]&gt;0),"Running","Down")</f>
        <v>Running</v>
      </c>
      <c r="H73" s="197">
        <v>19.29</v>
      </c>
      <c r="I73" s="198">
        <v>8</v>
      </c>
      <c r="J73" s="129">
        <v>1339</v>
      </c>
      <c r="K73" s="129">
        <v>8</v>
      </c>
      <c r="L73" s="120">
        <f>Prod[[#This Row],[S1Shot]]*Prod[[#This Row],[S1Cavity]]-Prod[[#This Row],[S1Dft]]</f>
        <v>10567</v>
      </c>
      <c r="M73" s="135">
        <f>SUM(Prod[[#This Row],[S1Mold]],Prod[[#This Row],[S1Print]],Prod[[#This Row],[S1Ovlp]],Prod[[#This Row],[S1Seam]],Prod[[#This Row],[S1Dmg]])</f>
        <v>145</v>
      </c>
      <c r="N73" s="197">
        <v>19.29</v>
      </c>
      <c r="O73" s="198">
        <v>8</v>
      </c>
      <c r="P73" s="129">
        <v>1617</v>
      </c>
      <c r="Q73" s="129">
        <v>8</v>
      </c>
      <c r="R73" s="120">
        <f>Prod[[#This Row],[S2Shot]]*Prod[[#This Row],[S2Cavity]]-Prod[[#This Row],[S2Dft]]</f>
        <v>12816</v>
      </c>
      <c r="S73" s="135">
        <f>SUM(Prod[[#This Row],[S2Mold]],Prod[[#This Row],[S2Print]],Prod[[#This Row],[S2Ovlp]],Prod[[#This Row],[S2Seam]],Prod[[#This Row],[S2Dmg]])</f>
        <v>120</v>
      </c>
      <c r="T73" s="197">
        <v>19.260000000000002</v>
      </c>
      <c r="U73" s="198">
        <v>8</v>
      </c>
      <c r="V73" s="129">
        <v>1370</v>
      </c>
      <c r="W73" s="129">
        <v>8</v>
      </c>
      <c r="X73" s="120">
        <f>Prod[[#This Row],[S3Shot]]*Prod[[#This Row],[S3Cavity]]-Prod[[#This Row],[S3Dft]]</f>
        <v>10815</v>
      </c>
      <c r="Y73" s="120">
        <f>SUM(Prod[[#This Row],[S3Mold]],Prod[[#This Row],[S3Print]],Prod[[#This Row],[S3Ovlp]],Prod[[#This Row],[S3Seam]],Prod[[#This Row],[S3Dmg]])</f>
        <v>145</v>
      </c>
      <c r="Z73" s="120">
        <f>SUM(Prod[[#This Row],[S1Qty]],Prod[[#This Row],[S2Qty]],Prod[[#This Row],[S3Qty]])</f>
        <v>34198</v>
      </c>
      <c r="AA73" s="120">
        <f>SUM(Prod[[#This Row],[S1Dft]],Prod[[#This Row],[S2Dft]],Prod[[#This Row],[S3Dft]])</f>
        <v>410</v>
      </c>
      <c r="AB73" s="121">
        <f>IF(Prod[[#This Row],[Total]]=0,0,Prod[[#This Row],[TotalDft]]/Prod[[#This Row],[Total]])</f>
        <v>1.1989005204982748E-2</v>
      </c>
      <c r="AC73" s="130"/>
      <c r="AD73" s="120">
        <v>25</v>
      </c>
      <c r="AE73" s="120">
        <v>20</v>
      </c>
      <c r="AF73" s="120">
        <v>25</v>
      </c>
      <c r="AG73" s="120">
        <v>120</v>
      </c>
      <c r="AH73" s="120">
        <v>100</v>
      </c>
      <c r="AI73" s="120">
        <v>120</v>
      </c>
      <c r="AJ73" s="120">
        <v>0</v>
      </c>
      <c r="AK73" s="120">
        <v>0</v>
      </c>
      <c r="AL73" s="120">
        <v>0</v>
      </c>
      <c r="AM73" s="120">
        <v>0</v>
      </c>
      <c r="AN73" s="120">
        <v>0</v>
      </c>
      <c r="AO73" s="120">
        <v>0</v>
      </c>
      <c r="AP73" s="120">
        <v>0</v>
      </c>
      <c r="AQ73" s="120">
        <v>0</v>
      </c>
      <c r="AR73" s="120">
        <v>0</v>
      </c>
      <c r="AS73" s="131">
        <f>IF(Prod[[#This Row],[S1Hrs]]=0,0,Prod[[#This Row],[S1Shot]]*Prod[[#This Row],[S1Cycle]]/(Prod[[#This Row],[S1Hrs]]*60*60))</f>
        <v>0.89685104166666663</v>
      </c>
      <c r="AT73" s="131">
        <f>IF(Prod[[#This Row],[S2Hrs]]=0,0,Prod[[#This Row],[S2Shot]]*Prod[[#This Row],[S2Cycle]]/(Prod[[#This Row],[S2Hrs]]*60*60))</f>
        <v>1.0830531249999999</v>
      </c>
      <c r="AU73" s="131">
        <f>IF(Prod[[#This Row],[S3Hrs]]=0,0,Prod[[#This Row],[S3Shot]]*Prod[[#This Row],[S3Cycle]]/(Prod[[#This Row],[S3Hrs]]*60*60))</f>
        <v>0.91618750000000004</v>
      </c>
      <c r="AV73" s="131">
        <f>IFERROR(AVERAGEIF(Prod[[#This Row],[S1%]:[S3%]], "&lt;&gt;0"),0)</f>
        <v>0.9653638888888888</v>
      </c>
      <c r="AW73" s="131">
        <v>0</v>
      </c>
      <c r="AX73" s="131">
        <v>0</v>
      </c>
      <c r="AY73" s="131">
        <v>0</v>
      </c>
      <c r="AZ73" s="166">
        <f>IF(Prod[[#This Row],[S1Cycle]]&lt;&gt;0,1,0)</f>
        <v>1</v>
      </c>
      <c r="BA73" s="166">
        <f>IF(Prod[[#This Row],[S2Cycle]]&lt;&gt;0,1,0)</f>
        <v>1</v>
      </c>
      <c r="BB73" s="166">
        <f>IF(Prod[[#This Row],[S3Cycle]]&lt;&gt;0,1,0)</f>
        <v>1</v>
      </c>
      <c r="BC73" s="166">
        <f>MAX(Prod[[#This Row],[S1Cavity]],Prod[[#This Row],[S2Cavity]],Prod[[#This Row],[S3Cavity]])</f>
        <v>8</v>
      </c>
      <c r="BD73" s="166" t="b">
        <f>RegExpMatch(Prod[[#This Row],[MoldNo]], "^DW-(B|C)")</f>
        <v>1</v>
      </c>
    </row>
    <row r="74" spans="1:56" x14ac:dyDescent="0.2">
      <c r="A74" s="117">
        <v>45419</v>
      </c>
      <c r="B74" s="120" t="s">
        <v>177</v>
      </c>
      <c r="C74" s="119" t="s">
        <v>176</v>
      </c>
      <c r="D74" s="130" t="s">
        <v>229</v>
      </c>
      <c r="E74" s="130" t="s">
        <v>191</v>
      </c>
      <c r="F74" s="119">
        <v>814</v>
      </c>
      <c r="G74" s="119" t="str">
        <f>IF(OR(Prod[[#This Row],[S1Hrs]]&gt;0,Prod[[#This Row],[S2Hrs]]&gt;0,Prod[[#This Row],[S3Hrs]]&gt;0),"Running","Down")</f>
        <v>Running</v>
      </c>
      <c r="H74" s="197">
        <v>25.69</v>
      </c>
      <c r="I74" s="198">
        <v>8</v>
      </c>
      <c r="J74" s="129">
        <v>1032</v>
      </c>
      <c r="K74" s="129">
        <v>8</v>
      </c>
      <c r="L74" s="120">
        <f>Prod[[#This Row],[S1Shot]]*Prod[[#This Row],[S1Cavity]]-Prod[[#This Row],[S1Dft]]</f>
        <v>8111</v>
      </c>
      <c r="M74" s="135">
        <f>SUM(Prod[[#This Row],[S1Mold]],Prod[[#This Row],[S1Print]],Prod[[#This Row],[S1Ovlp]],Prod[[#This Row],[S1Seam]],Prod[[#This Row],[S1Dmg]])</f>
        <v>145</v>
      </c>
      <c r="N74" s="197">
        <v>25.79</v>
      </c>
      <c r="O74" s="198">
        <v>8</v>
      </c>
      <c r="P74" s="129">
        <v>1182</v>
      </c>
      <c r="Q74" s="129">
        <v>8</v>
      </c>
      <c r="R74" s="120">
        <f>Prod[[#This Row],[S2Shot]]*Prod[[#This Row],[S2Cavity]]-Prod[[#This Row],[S2Dft]]</f>
        <v>9316</v>
      </c>
      <c r="S74" s="135">
        <f>SUM(Prod[[#This Row],[S2Mold]],Prod[[#This Row],[S2Print]],Prod[[#This Row],[S2Ovlp]],Prod[[#This Row],[S2Seam]],Prod[[#This Row],[S2Dmg]])</f>
        <v>140</v>
      </c>
      <c r="T74" s="197">
        <v>28.79</v>
      </c>
      <c r="U74" s="198">
        <v>8</v>
      </c>
      <c r="V74" s="129">
        <v>992</v>
      </c>
      <c r="W74" s="129">
        <v>8</v>
      </c>
      <c r="X74" s="120">
        <f>Prod[[#This Row],[S3Shot]]*Prod[[#This Row],[S3Cavity]]-Prod[[#This Row],[S3Dft]]</f>
        <v>7811</v>
      </c>
      <c r="Y74" s="120">
        <f>SUM(Prod[[#This Row],[S3Mold]],Prod[[#This Row],[S3Print]],Prod[[#This Row],[S3Ovlp]],Prod[[#This Row],[S3Seam]],Prod[[#This Row],[S3Dmg]])</f>
        <v>125</v>
      </c>
      <c r="Z74" s="120">
        <f>SUM(Prod[[#This Row],[S1Qty]],Prod[[#This Row],[S2Qty]],Prod[[#This Row],[S3Qty]])</f>
        <v>25238</v>
      </c>
      <c r="AA74" s="120">
        <f>SUM(Prod[[#This Row],[S1Dft]],Prod[[#This Row],[S2Dft]],Prod[[#This Row],[S3Dft]])</f>
        <v>410</v>
      </c>
      <c r="AB74" s="121">
        <f>IF(Prod[[#This Row],[Total]]=0,0,Prod[[#This Row],[TotalDft]]/Prod[[#This Row],[Total]])</f>
        <v>1.6245344322054045E-2</v>
      </c>
      <c r="AC74" s="130" t="s">
        <v>242</v>
      </c>
      <c r="AD74" s="120">
        <v>25</v>
      </c>
      <c r="AE74" s="120">
        <v>20</v>
      </c>
      <c r="AF74" s="120">
        <v>25</v>
      </c>
      <c r="AG74" s="120">
        <v>120</v>
      </c>
      <c r="AH74" s="120">
        <v>120</v>
      </c>
      <c r="AI74" s="120">
        <v>100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31">
        <f>IF(Prod[[#This Row],[S1Hrs]]=0,0,Prod[[#This Row],[S1Shot]]*Prod[[#This Row],[S1Cycle]]/(Prod[[#This Row],[S1Hrs]]*60*60))</f>
        <v>0.92055833333333337</v>
      </c>
      <c r="AT74" s="131">
        <f>IF(Prod[[#This Row],[S2Hrs]]=0,0,Prod[[#This Row],[S2Shot]]*Prod[[#This Row],[S2Cycle]]/(Prod[[#This Row],[S2Hrs]]*60*60))</f>
        <v>1.0584645833333333</v>
      </c>
      <c r="AU74" s="131">
        <f>IF(Prod[[#This Row],[S3Hrs]]=0,0,Prod[[#This Row],[S3Shot]]*Prod[[#This Row],[S3Cycle]]/(Prod[[#This Row],[S3Hrs]]*60*60))</f>
        <v>0.99165555555555551</v>
      </c>
      <c r="AV74" s="131">
        <f>IFERROR(AVERAGEIF(Prod[[#This Row],[S1%]:[S3%]], "&lt;&gt;0"),0)</f>
        <v>0.99022615740740738</v>
      </c>
      <c r="AW74" s="131">
        <v>0</v>
      </c>
      <c r="AX74" s="131">
        <v>0</v>
      </c>
      <c r="AY74" s="131">
        <v>0</v>
      </c>
      <c r="AZ74" s="166">
        <f>IF(Prod[[#This Row],[S1Cycle]]&lt;&gt;0,1,0)</f>
        <v>1</v>
      </c>
      <c r="BA74" s="166">
        <f>IF(Prod[[#This Row],[S2Cycle]]&lt;&gt;0,1,0)</f>
        <v>1</v>
      </c>
      <c r="BB74" s="166">
        <f>IF(Prod[[#This Row],[S3Cycle]]&lt;&gt;0,1,0)</f>
        <v>1</v>
      </c>
      <c r="BC74" s="166">
        <f>MAX(Prod[[#This Row],[S1Cavity]],Prod[[#This Row],[S2Cavity]],Prod[[#This Row],[S3Cavity]])</f>
        <v>8</v>
      </c>
      <c r="BD74" s="166" t="b">
        <f>RegExpMatch(Prod[[#This Row],[MoldNo]], "^DW-(B|C)")</f>
        <v>1</v>
      </c>
    </row>
    <row r="75" spans="1:56" x14ac:dyDescent="0.2">
      <c r="A75" s="117">
        <v>45419</v>
      </c>
      <c r="B75" s="129" t="s">
        <v>186</v>
      </c>
      <c r="C75" s="130" t="s">
        <v>188</v>
      </c>
      <c r="D75" s="130" t="s">
        <v>197</v>
      </c>
      <c r="E75" s="130" t="s">
        <v>191</v>
      </c>
      <c r="F75" s="119">
        <v>814</v>
      </c>
      <c r="G75" s="119" t="str">
        <f>IF(OR(Prod[[#This Row],[S1Hrs]]&gt;0,Prod[[#This Row],[S2Hrs]]&gt;0,Prod[[#This Row],[S3Hrs]]&gt;0),"Running","Down")</f>
        <v>Running</v>
      </c>
      <c r="H75" s="197">
        <v>22.78</v>
      </c>
      <c r="I75" s="198">
        <v>0.7</v>
      </c>
      <c r="J75" s="129">
        <v>105</v>
      </c>
      <c r="K75" s="129">
        <v>8</v>
      </c>
      <c r="L75" s="120">
        <f>Prod[[#This Row],[S1Shot]]*Prod[[#This Row],[S1Cavity]]-Prod[[#This Row],[S1Dft]]</f>
        <v>825</v>
      </c>
      <c r="M75" s="135">
        <f>SUM(Prod[[#This Row],[S1Mold]],Prod[[#This Row],[S1Print]],Prod[[#This Row],[S1Ovlp]],Prod[[#This Row],[S1Seam]],Prod[[#This Row],[S1Dmg]])</f>
        <v>15</v>
      </c>
      <c r="N75" s="197">
        <v>0</v>
      </c>
      <c r="O75" s="198">
        <v>0</v>
      </c>
      <c r="P75" s="129">
        <v>0</v>
      </c>
      <c r="Q75" s="129">
        <v>0</v>
      </c>
      <c r="R75" s="120">
        <f>Prod[[#This Row],[S2Shot]]*Prod[[#This Row],[S2Cavity]]-Prod[[#This Row],[S2Dft]]</f>
        <v>0</v>
      </c>
      <c r="S75" s="135">
        <f>SUM(Prod[[#This Row],[S2Mold]],Prod[[#This Row],[S2Print]],Prod[[#This Row],[S2Ovlp]],Prod[[#This Row],[S2Seam]],Prod[[#This Row],[S2Dmg]])</f>
        <v>0</v>
      </c>
      <c r="T75" s="197">
        <v>0</v>
      </c>
      <c r="U75" s="198">
        <v>0</v>
      </c>
      <c r="V75" s="129">
        <v>0</v>
      </c>
      <c r="W75" s="129">
        <v>0</v>
      </c>
      <c r="X75" s="120">
        <f>Prod[[#This Row],[S3Shot]]*Prod[[#This Row],[S3Cavity]]-Prod[[#This Row],[S3Dft]]</f>
        <v>0</v>
      </c>
      <c r="Y75" s="120">
        <f>SUM(Prod[[#This Row],[S3Mold]],Prod[[#This Row],[S3Print]],Prod[[#This Row],[S3Ovlp]],Prod[[#This Row],[S3Seam]],Prod[[#This Row],[S3Dmg]])</f>
        <v>0</v>
      </c>
      <c r="Z75" s="120">
        <f>SUM(Prod[[#This Row],[S1Qty]],Prod[[#This Row],[S2Qty]],Prod[[#This Row],[S3Qty]])</f>
        <v>825</v>
      </c>
      <c r="AA75" s="120">
        <f>SUM(Prod[[#This Row],[S1Dft]],Prod[[#This Row],[S2Dft]],Prod[[#This Row],[S3Dft]])</f>
        <v>15</v>
      </c>
      <c r="AB75" s="121">
        <f>IF(Prod[[#This Row],[Total]]=0,0,Prod[[#This Row],[TotalDft]]/Prod[[#This Row],[Total]])</f>
        <v>1.8181818181818181E-2</v>
      </c>
      <c r="AC75" s="130"/>
      <c r="AD75" s="120">
        <v>0</v>
      </c>
      <c r="AE75" s="120">
        <v>0</v>
      </c>
      <c r="AF75" s="120">
        <v>0</v>
      </c>
      <c r="AG75" s="120">
        <v>15</v>
      </c>
      <c r="AH75" s="120">
        <v>0</v>
      </c>
      <c r="AI75" s="120">
        <v>0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31">
        <f>IF(Prod[[#This Row],[S1Hrs]]=0,0,Prod[[#This Row],[S1Shot]]*Prod[[#This Row],[S1Cycle]]/(Prod[[#This Row],[S1Hrs]]*60*60))</f>
        <v>0.94916666666666671</v>
      </c>
      <c r="AT75" s="131">
        <f>IF(Prod[[#This Row],[S2Hrs]]=0,0,Prod[[#This Row],[S2Shot]]*Prod[[#This Row],[S2Cycle]]/(Prod[[#This Row],[S2Hrs]]*60*60))</f>
        <v>0</v>
      </c>
      <c r="AU75" s="131">
        <f>IF(Prod[[#This Row],[S3Hrs]]=0,0,Prod[[#This Row],[S3Shot]]*Prod[[#This Row],[S3Cycle]]/(Prod[[#This Row],[S3Hrs]]*60*60))</f>
        <v>0</v>
      </c>
      <c r="AV75" s="131">
        <f>IFERROR(AVERAGEIF(Prod[[#This Row],[S1%]:[S3%]], "&lt;&gt;0"),0)</f>
        <v>0.94916666666666671</v>
      </c>
      <c r="AW75" s="131">
        <v>0</v>
      </c>
      <c r="AX75" s="131">
        <v>0</v>
      </c>
      <c r="AY75" s="131">
        <v>0</v>
      </c>
      <c r="AZ75" s="166">
        <f>IF(Prod[[#This Row],[S1Cycle]]&lt;&gt;0,1,0)</f>
        <v>1</v>
      </c>
      <c r="BA75" s="166">
        <f>IF(Prod[[#This Row],[S2Cycle]]&lt;&gt;0,1,0)</f>
        <v>0</v>
      </c>
      <c r="BB75" s="166">
        <f>IF(Prod[[#This Row],[S3Cycle]]&lt;&gt;0,1,0)</f>
        <v>0</v>
      </c>
      <c r="BC75" s="166">
        <f>MAX(Prod[[#This Row],[S1Cavity]],Prod[[#This Row],[S2Cavity]],Prod[[#This Row],[S3Cavity]])</f>
        <v>8</v>
      </c>
      <c r="BD75" s="166" t="b">
        <f>RegExpMatch(Prod[[#This Row],[MoldNo]], "^DW-(B|C)")</f>
        <v>1</v>
      </c>
    </row>
    <row r="76" spans="1:56" x14ac:dyDescent="0.2">
      <c r="A76" s="117">
        <v>45419</v>
      </c>
      <c r="B76" s="129" t="s">
        <v>186</v>
      </c>
      <c r="C76" s="130" t="s">
        <v>188</v>
      </c>
      <c r="D76" s="130" t="s">
        <v>243</v>
      </c>
      <c r="E76" s="130" t="s">
        <v>191</v>
      </c>
      <c r="F76" s="119">
        <v>814</v>
      </c>
      <c r="G76" s="119" t="str">
        <f>IF(OR(Prod[[#This Row],[S1Hrs]]&gt;0,Prod[[#This Row],[S2Hrs]]&gt;0,Prod[[#This Row],[S3Hrs]]&gt;0),"Running","Down")</f>
        <v>Running</v>
      </c>
      <c r="H76" s="197">
        <v>22.78</v>
      </c>
      <c r="I76" s="198">
        <v>7.3</v>
      </c>
      <c r="J76" s="129">
        <v>1161</v>
      </c>
      <c r="K76" s="129">
        <v>8</v>
      </c>
      <c r="L76" s="120">
        <f>Prod[[#This Row],[S1Shot]]*Prod[[#This Row],[S1Cavity]]-Prod[[#This Row],[S1Dft]]</f>
        <v>9163</v>
      </c>
      <c r="M76" s="135">
        <f>SUM(Prod[[#This Row],[S1Mold]],Prod[[#This Row],[S1Print]],Prod[[#This Row],[S1Ovlp]],Prod[[#This Row],[S1Seam]],Prod[[#This Row],[S1Dmg]])</f>
        <v>125</v>
      </c>
      <c r="N76" s="197">
        <v>22.79</v>
      </c>
      <c r="O76" s="198">
        <v>8</v>
      </c>
      <c r="P76" s="129">
        <v>1351</v>
      </c>
      <c r="Q76" s="129">
        <v>8</v>
      </c>
      <c r="R76" s="120">
        <f>Prod[[#This Row],[S2Shot]]*Prod[[#This Row],[S2Cavity]]-Prod[[#This Row],[S2Dft]]</f>
        <v>10668</v>
      </c>
      <c r="S76" s="135">
        <f>SUM(Prod[[#This Row],[S2Mold]],Prod[[#This Row],[S2Print]],Prod[[#This Row],[S2Ovlp]],Prod[[#This Row],[S2Seam]],Prod[[#This Row],[S2Dmg]])</f>
        <v>140</v>
      </c>
      <c r="T76" s="197">
        <v>22.74</v>
      </c>
      <c r="U76" s="198">
        <v>8</v>
      </c>
      <c r="V76" s="129">
        <v>1388</v>
      </c>
      <c r="W76" s="129">
        <v>8</v>
      </c>
      <c r="X76" s="120">
        <f>Prod[[#This Row],[S3Shot]]*Prod[[#This Row],[S3Cavity]]-Prod[[#This Row],[S3Dft]]</f>
        <v>10959</v>
      </c>
      <c r="Y76" s="120">
        <f>SUM(Prod[[#This Row],[S3Mold]],Prod[[#This Row],[S3Print]],Prod[[#This Row],[S3Ovlp]],Prod[[#This Row],[S3Seam]],Prod[[#This Row],[S3Dmg]])</f>
        <v>145</v>
      </c>
      <c r="Z76" s="120">
        <f>SUM(Prod[[#This Row],[S1Qty]],Prod[[#This Row],[S2Qty]],Prod[[#This Row],[S3Qty]])</f>
        <v>30790</v>
      </c>
      <c r="AA76" s="120">
        <f>SUM(Prod[[#This Row],[S1Dft]],Prod[[#This Row],[S2Dft]],Prod[[#This Row],[S3Dft]])</f>
        <v>410</v>
      </c>
      <c r="AB76" s="121">
        <f>IF(Prod[[#This Row],[Total]]=0,0,Prod[[#This Row],[TotalDft]]/Prod[[#This Row],[Total]])</f>
        <v>1.3316011692107827E-2</v>
      </c>
      <c r="AC76" s="130" t="s">
        <v>244</v>
      </c>
      <c r="AD76" s="120">
        <v>25</v>
      </c>
      <c r="AE76" s="120">
        <v>20</v>
      </c>
      <c r="AF76" s="120">
        <v>25</v>
      </c>
      <c r="AG76" s="120">
        <v>100</v>
      </c>
      <c r="AH76" s="120">
        <v>120</v>
      </c>
      <c r="AI76" s="120">
        <v>120</v>
      </c>
      <c r="AJ76" s="120">
        <v>0</v>
      </c>
      <c r="AK76" s="120">
        <v>0</v>
      </c>
      <c r="AL76" s="120">
        <v>0</v>
      </c>
      <c r="AM76" s="120">
        <v>0</v>
      </c>
      <c r="AN76" s="120">
        <v>0</v>
      </c>
      <c r="AO76" s="120">
        <v>0</v>
      </c>
      <c r="AP76" s="120">
        <v>0</v>
      </c>
      <c r="AQ76" s="120">
        <v>0</v>
      </c>
      <c r="AR76" s="120">
        <v>0</v>
      </c>
      <c r="AS76" s="131">
        <f>IF(Prod[[#This Row],[S1Hrs]]=0,0,Prod[[#This Row],[S1Shot]]*Prod[[#This Row],[S1Cycle]]/(Prod[[#This Row],[S1Hrs]]*60*60))</f>
        <v>1.0063767123287672</v>
      </c>
      <c r="AT76" s="131">
        <f>IF(Prod[[#This Row],[S2Hrs]]=0,0,Prod[[#This Row],[S2Shot]]*Prod[[#This Row],[S2Cycle]]/(Prod[[#This Row],[S2Hrs]]*60*60))</f>
        <v>1.0690725694444443</v>
      </c>
      <c r="AU76" s="131">
        <f>IF(Prod[[#This Row],[S3Hrs]]=0,0,Prod[[#This Row],[S3Shot]]*Prod[[#This Row],[S3Cycle]]/(Prod[[#This Row],[S3Hrs]]*60*60))</f>
        <v>1.0959416666666666</v>
      </c>
      <c r="AV76" s="131">
        <f>IFERROR(AVERAGEIF(Prod[[#This Row],[S1%]:[S3%]], "&lt;&gt;0"),0)</f>
        <v>1.0571303161466261</v>
      </c>
      <c r="AW76" s="131">
        <v>0</v>
      </c>
      <c r="AX76" s="131">
        <v>0</v>
      </c>
      <c r="AY76" s="131">
        <v>0</v>
      </c>
      <c r="AZ76" s="166">
        <f>IF(Prod[[#This Row],[S1Cycle]]&lt;&gt;0,1,0)</f>
        <v>1</v>
      </c>
      <c r="BA76" s="166">
        <f>IF(Prod[[#This Row],[S2Cycle]]&lt;&gt;0,1,0)</f>
        <v>1</v>
      </c>
      <c r="BB76" s="166">
        <f>IF(Prod[[#This Row],[S3Cycle]]&lt;&gt;0,1,0)</f>
        <v>1</v>
      </c>
      <c r="BC76" s="166">
        <f>MAX(Prod[[#This Row],[S1Cavity]],Prod[[#This Row],[S2Cavity]],Prod[[#This Row],[S3Cavity]])</f>
        <v>8</v>
      </c>
      <c r="BD76" s="166" t="b">
        <f>RegExpMatch(Prod[[#This Row],[MoldNo]], "^DW-(B|C)")</f>
        <v>1</v>
      </c>
    </row>
    <row r="77" spans="1:56" x14ac:dyDescent="0.2">
      <c r="A77" s="117">
        <v>45419</v>
      </c>
      <c r="B77" s="129" t="s">
        <v>187</v>
      </c>
      <c r="C77" s="130" t="s">
        <v>189</v>
      </c>
      <c r="D77" s="130" t="s">
        <v>243</v>
      </c>
      <c r="E77" s="130" t="s">
        <v>191</v>
      </c>
      <c r="F77" s="119">
        <v>814</v>
      </c>
      <c r="G77" s="119" t="str">
        <f>IF(OR(Prod[[#This Row],[S1Hrs]]&gt;0,Prod[[#This Row],[S2Hrs]]&gt;0,Prod[[#This Row],[S3Hrs]]&gt;0),"Running","Down")</f>
        <v>Running</v>
      </c>
      <c r="H77" s="197">
        <v>22</v>
      </c>
      <c r="I77" s="198">
        <v>8</v>
      </c>
      <c r="J77" s="129">
        <v>1245</v>
      </c>
      <c r="K77" s="129">
        <v>8</v>
      </c>
      <c r="L77" s="120">
        <f>Prod[[#This Row],[S1Shot]]*Prod[[#This Row],[S1Cavity]]-Prod[[#This Row],[S1Dft]]</f>
        <v>9840</v>
      </c>
      <c r="M77" s="135">
        <f>SUM(Prod[[#This Row],[S1Mold]],Prod[[#This Row],[S1Print]],Prod[[#This Row],[S1Ovlp]],Prod[[#This Row],[S1Seam]],Prod[[#This Row],[S1Dmg]])</f>
        <v>120</v>
      </c>
      <c r="N77" s="197">
        <v>22</v>
      </c>
      <c r="O77" s="198">
        <v>8</v>
      </c>
      <c r="P77" s="129">
        <v>1303</v>
      </c>
      <c r="Q77" s="129">
        <v>8</v>
      </c>
      <c r="R77" s="120">
        <f>Prod[[#This Row],[S2Shot]]*Prod[[#This Row],[S2Cavity]]-Prod[[#This Row],[S2Dft]]</f>
        <v>10284</v>
      </c>
      <c r="S77" s="135">
        <f>SUM(Prod[[#This Row],[S2Mold]],Prod[[#This Row],[S2Print]],Prod[[#This Row],[S2Ovlp]],Prod[[#This Row],[S2Seam]],Prod[[#This Row],[S2Dmg]])</f>
        <v>140</v>
      </c>
      <c r="T77" s="197">
        <v>22.03</v>
      </c>
      <c r="U77" s="198">
        <v>8</v>
      </c>
      <c r="V77" s="129">
        <v>1346</v>
      </c>
      <c r="W77" s="129">
        <v>8</v>
      </c>
      <c r="X77" s="120">
        <f>Prod[[#This Row],[S3Shot]]*Prod[[#This Row],[S3Cavity]]-Prod[[#This Row],[S3Dft]]</f>
        <v>10623</v>
      </c>
      <c r="Y77" s="120">
        <f>SUM(Prod[[#This Row],[S3Mold]],Prod[[#This Row],[S3Print]],Prod[[#This Row],[S3Ovlp]],Prod[[#This Row],[S3Seam]],Prod[[#This Row],[S3Dmg]])</f>
        <v>145</v>
      </c>
      <c r="Z77" s="120">
        <f>SUM(Prod[[#This Row],[S1Qty]],Prod[[#This Row],[S2Qty]],Prod[[#This Row],[S3Qty]])</f>
        <v>30747</v>
      </c>
      <c r="AA77" s="120">
        <f>SUM(Prod[[#This Row],[S1Dft]],Prod[[#This Row],[S2Dft]],Prod[[#This Row],[S3Dft]])</f>
        <v>405</v>
      </c>
      <c r="AB77" s="121">
        <f>IF(Prod[[#This Row],[Total]]=0,0,Prod[[#This Row],[TotalDft]]/Prod[[#This Row],[Total]])</f>
        <v>1.3172016782125085E-2</v>
      </c>
      <c r="AC77" s="118"/>
      <c r="AD77" s="120">
        <v>20</v>
      </c>
      <c r="AE77" s="120">
        <v>20</v>
      </c>
      <c r="AF77" s="120">
        <v>25</v>
      </c>
      <c r="AG77" s="120">
        <v>100</v>
      </c>
      <c r="AH77" s="120">
        <v>120</v>
      </c>
      <c r="AI77" s="120">
        <v>120</v>
      </c>
      <c r="AJ77" s="120">
        <v>0</v>
      </c>
      <c r="AK77" s="120">
        <v>0</v>
      </c>
      <c r="AL77" s="120">
        <v>0</v>
      </c>
      <c r="AM77" s="120">
        <v>0</v>
      </c>
      <c r="AN77" s="120">
        <v>0</v>
      </c>
      <c r="AO77" s="120">
        <v>0</v>
      </c>
      <c r="AP77" s="120">
        <v>0</v>
      </c>
      <c r="AQ77" s="120">
        <v>0</v>
      </c>
      <c r="AR77" s="120">
        <v>0</v>
      </c>
      <c r="AS77" s="131">
        <f>IF(Prod[[#This Row],[S1Hrs]]=0,0,Prod[[#This Row],[S1Shot]]*Prod[[#This Row],[S1Cycle]]/(Prod[[#This Row],[S1Hrs]]*60*60))</f>
        <v>0.95104166666666667</v>
      </c>
      <c r="AT77" s="131">
        <f>IF(Prod[[#This Row],[S2Hrs]]=0,0,Prod[[#This Row],[S2Shot]]*Prod[[#This Row],[S2Cycle]]/(Prod[[#This Row],[S2Hrs]]*60*60))</f>
        <v>0.99534722222222227</v>
      </c>
      <c r="AU77" s="131">
        <f>IF(Prod[[#This Row],[S3Hrs]]=0,0,Prod[[#This Row],[S3Shot]]*Prod[[#This Row],[S3Cycle]]/(Prod[[#This Row],[S3Hrs]]*60*60))</f>
        <v>1.0295965277777779</v>
      </c>
      <c r="AV77" s="131">
        <f>IFERROR(AVERAGEIF(Prod[[#This Row],[S1%]:[S3%]], "&lt;&gt;0"),0)</f>
        <v>0.99199513888888902</v>
      </c>
      <c r="AW77" s="131">
        <v>0</v>
      </c>
      <c r="AX77" s="131">
        <v>0</v>
      </c>
      <c r="AY77" s="131">
        <v>0</v>
      </c>
      <c r="AZ77" s="166">
        <f>IF(Prod[[#This Row],[S1Cycle]]&lt;&gt;0,1,0)</f>
        <v>1</v>
      </c>
      <c r="BA77" s="166">
        <f>IF(Prod[[#This Row],[S2Cycle]]&lt;&gt;0,1,0)</f>
        <v>1</v>
      </c>
      <c r="BB77" s="166">
        <f>IF(Prod[[#This Row],[S3Cycle]]&lt;&gt;0,1,0)</f>
        <v>1</v>
      </c>
      <c r="BC77" s="166">
        <f>MAX(Prod[[#This Row],[S1Cavity]],Prod[[#This Row],[S2Cavity]],Prod[[#This Row],[S3Cavity]])</f>
        <v>8</v>
      </c>
      <c r="BD77" s="166" t="b">
        <f>RegExpMatch(Prod[[#This Row],[MoldNo]], "^DW-(B|C)")</f>
        <v>1</v>
      </c>
    </row>
    <row r="78" spans="1:56" x14ac:dyDescent="0.2">
      <c r="A78" s="117">
        <v>45419</v>
      </c>
      <c r="B78" s="129" t="s">
        <v>225</v>
      </c>
      <c r="C78" s="130" t="s">
        <v>226</v>
      </c>
      <c r="D78" s="130">
        <v>27203</v>
      </c>
      <c r="E78" s="130" t="s">
        <v>191</v>
      </c>
      <c r="F78" s="119">
        <v>814</v>
      </c>
      <c r="G78" s="119" t="str">
        <f>IF(OR(Prod[[#This Row],[S1Hrs]]&gt;0,Prod[[#This Row],[S2Hrs]]&gt;0,Prod[[#This Row],[S3Hrs]]&gt;0),"Running","Down")</f>
        <v>Running</v>
      </c>
      <c r="H78" s="197">
        <v>17.3</v>
      </c>
      <c r="I78" s="198">
        <v>3.5</v>
      </c>
      <c r="J78" s="129">
        <v>787</v>
      </c>
      <c r="K78" s="129">
        <v>8</v>
      </c>
      <c r="L78" s="120">
        <f>Prod[[#This Row],[S1Shot]]*Prod[[#This Row],[S1Cavity]]-Prod[[#This Row],[S1Dft]]</f>
        <v>6216</v>
      </c>
      <c r="M78" s="135">
        <f>SUM(Prod[[#This Row],[S1Mold]],Prod[[#This Row],[S1Print]],Prod[[#This Row],[S1Ovlp]],Prod[[#This Row],[S1Seam]],Prod[[#This Row],[S1Dmg]])</f>
        <v>80</v>
      </c>
      <c r="N78" s="197">
        <v>0</v>
      </c>
      <c r="O78" s="198">
        <v>0</v>
      </c>
      <c r="P78" s="129">
        <v>0</v>
      </c>
      <c r="Q78" s="129">
        <v>0</v>
      </c>
      <c r="R78" s="120">
        <f>Prod[[#This Row],[S2Shot]]*Prod[[#This Row],[S2Cavity]]-Prod[[#This Row],[S2Dft]]</f>
        <v>0</v>
      </c>
      <c r="S78" s="135">
        <f>SUM(Prod[[#This Row],[S2Mold]],Prod[[#This Row],[S2Print]],Prod[[#This Row],[S2Ovlp]],Prod[[#This Row],[S2Seam]],Prod[[#This Row],[S2Dmg]])</f>
        <v>0</v>
      </c>
      <c r="T78" s="197">
        <v>0</v>
      </c>
      <c r="U78" s="198">
        <v>0</v>
      </c>
      <c r="V78" s="129">
        <v>0</v>
      </c>
      <c r="W78" s="129">
        <v>0</v>
      </c>
      <c r="X78" s="120">
        <f>Prod[[#This Row],[S3Shot]]*Prod[[#This Row],[S3Cavity]]-Prod[[#This Row],[S3Dft]]</f>
        <v>0</v>
      </c>
      <c r="Y78" s="120">
        <f>SUM(Prod[[#This Row],[S3Mold]],Prod[[#This Row],[S3Print]],Prod[[#This Row],[S3Ovlp]],Prod[[#This Row],[S3Seam]],Prod[[#This Row],[S3Dmg]])</f>
        <v>0</v>
      </c>
      <c r="Z78" s="120">
        <f>SUM(Prod[[#This Row],[S1Qty]],Prod[[#This Row],[S2Qty]],Prod[[#This Row],[S3Qty]])</f>
        <v>6216</v>
      </c>
      <c r="AA78" s="120">
        <f>SUM(Prod[[#This Row],[S1Dft]],Prod[[#This Row],[S2Dft]],Prod[[#This Row],[S3Dft]])</f>
        <v>80</v>
      </c>
      <c r="AB78" s="121">
        <f>IF(Prod[[#This Row],[Total]]=0,0,Prod[[#This Row],[TotalDft]]/Prod[[#This Row],[Total]])</f>
        <v>1.2870012870012869E-2</v>
      </c>
      <c r="AC78" s="118"/>
      <c r="AD78" s="120">
        <v>10</v>
      </c>
      <c r="AE78" s="120">
        <v>0</v>
      </c>
      <c r="AF78" s="120">
        <v>0</v>
      </c>
      <c r="AG78" s="120">
        <v>70</v>
      </c>
      <c r="AH78" s="120">
        <v>0</v>
      </c>
      <c r="AI78" s="120">
        <v>0</v>
      </c>
      <c r="AJ78" s="120">
        <v>0</v>
      </c>
      <c r="AK78" s="120">
        <v>0</v>
      </c>
      <c r="AL78" s="120">
        <v>0</v>
      </c>
      <c r="AM78" s="120">
        <v>0</v>
      </c>
      <c r="AN78" s="120">
        <v>0</v>
      </c>
      <c r="AO78" s="120">
        <v>0</v>
      </c>
      <c r="AP78" s="120">
        <v>0</v>
      </c>
      <c r="AQ78" s="120">
        <v>0</v>
      </c>
      <c r="AR78" s="120">
        <v>0</v>
      </c>
      <c r="AS78" s="131">
        <f>IF(Prod[[#This Row],[S1Hrs]]=0,0,Prod[[#This Row],[S1Shot]]*Prod[[#This Row],[S1Cycle]]/(Prod[[#This Row],[S1Hrs]]*60*60))</f>
        <v>1.0805634920634921</v>
      </c>
      <c r="AT78" s="131">
        <f>IF(Prod[[#This Row],[S2Hrs]]=0,0,Prod[[#This Row],[S2Shot]]*Prod[[#This Row],[S2Cycle]]/(Prod[[#This Row],[S2Hrs]]*60*60))</f>
        <v>0</v>
      </c>
      <c r="AU78" s="131">
        <f>IF(Prod[[#This Row],[S3Hrs]]=0,0,Prod[[#This Row],[S3Shot]]*Prod[[#This Row],[S3Cycle]]/(Prod[[#This Row],[S3Hrs]]*60*60))</f>
        <v>0</v>
      </c>
      <c r="AV78" s="131">
        <f>IFERROR(AVERAGEIF(Prod[[#This Row],[S1%]:[S3%]], "&lt;&gt;0"),0)</f>
        <v>1.0805634920634921</v>
      </c>
      <c r="AW78" s="131">
        <v>0</v>
      </c>
      <c r="AX78" s="131">
        <v>0</v>
      </c>
      <c r="AY78" s="131">
        <v>0</v>
      </c>
      <c r="AZ78" s="166">
        <f>IF(Prod[[#This Row],[S1Cycle]]&lt;&gt;0,1,0)</f>
        <v>1</v>
      </c>
      <c r="BA78" s="166">
        <f>IF(Prod[[#This Row],[S2Cycle]]&lt;&gt;0,1,0)</f>
        <v>0</v>
      </c>
      <c r="BB78" s="166">
        <f>IF(Prod[[#This Row],[S3Cycle]]&lt;&gt;0,1,0)</f>
        <v>0</v>
      </c>
      <c r="BC78" s="166">
        <f>MAX(Prod[[#This Row],[S1Cavity]],Prod[[#This Row],[S2Cavity]],Prod[[#This Row],[S3Cavity]])</f>
        <v>8</v>
      </c>
      <c r="BD78" s="166" t="b">
        <f>RegExpMatch(Prod[[#This Row],[MoldNo]], "^DW-(B|C)")</f>
        <v>1</v>
      </c>
    </row>
    <row r="79" spans="1:56" x14ac:dyDescent="0.2">
      <c r="A79" s="117">
        <v>45419</v>
      </c>
      <c r="B79" s="129" t="s">
        <v>225</v>
      </c>
      <c r="C79" s="130" t="s">
        <v>226</v>
      </c>
      <c r="D79" s="130" t="s">
        <v>237</v>
      </c>
      <c r="E79" s="130" t="s">
        <v>191</v>
      </c>
      <c r="F79" s="119">
        <v>814</v>
      </c>
      <c r="G79" s="119" t="str">
        <f>IF(OR(Prod[[#This Row],[S1Hrs]]&gt;0,Prod[[#This Row],[S2Hrs]]&gt;0,Prod[[#This Row],[S3Hrs]]&gt;0),"Running","Down")</f>
        <v>Running</v>
      </c>
      <c r="H79" s="197">
        <v>17.3</v>
      </c>
      <c r="I79" s="198">
        <v>3.5</v>
      </c>
      <c r="J79" s="129">
        <v>763</v>
      </c>
      <c r="K79" s="129">
        <v>8</v>
      </c>
      <c r="L79" s="120">
        <f>Prod[[#This Row],[S1Shot]]*Prod[[#This Row],[S1Cavity]]-Prod[[#This Row],[S1Dft]]</f>
        <v>6029</v>
      </c>
      <c r="M79" s="135">
        <f>SUM(Prod[[#This Row],[S1Mold]],Prod[[#This Row],[S1Print]],Prod[[#This Row],[S1Ovlp]],Prod[[#This Row],[S1Seam]],Prod[[#This Row],[S1Dmg]])</f>
        <v>75</v>
      </c>
      <c r="N79" s="197">
        <v>17.309999999999999</v>
      </c>
      <c r="O79" s="198">
        <v>8</v>
      </c>
      <c r="P79" s="129">
        <v>1610</v>
      </c>
      <c r="Q79" s="129">
        <v>8</v>
      </c>
      <c r="R79" s="120">
        <f>Prod[[#This Row],[S2Shot]]*Prod[[#This Row],[S2Cavity]]-Prod[[#This Row],[S2Dft]]</f>
        <v>12755</v>
      </c>
      <c r="S79" s="135">
        <f>SUM(Prod[[#This Row],[S2Mold]],Prod[[#This Row],[S2Print]],Prod[[#This Row],[S2Ovlp]],Prod[[#This Row],[S2Seam]],Prod[[#This Row],[S2Dmg]])</f>
        <v>125</v>
      </c>
      <c r="T79" s="197">
        <v>17.3</v>
      </c>
      <c r="U79" s="198">
        <v>8</v>
      </c>
      <c r="V79" s="129">
        <v>1503</v>
      </c>
      <c r="W79" s="129">
        <v>8</v>
      </c>
      <c r="X79" s="120">
        <f>Prod[[#This Row],[S3Shot]]*Prod[[#This Row],[S3Cavity]]-Prod[[#This Row],[S3Dft]]</f>
        <v>11889</v>
      </c>
      <c r="Y79" s="120">
        <f>SUM(Prod[[#This Row],[S3Mold]],Prod[[#This Row],[S3Print]],Prod[[#This Row],[S3Ovlp]],Prod[[#This Row],[S3Seam]],Prod[[#This Row],[S3Dmg]])</f>
        <v>135</v>
      </c>
      <c r="Z79" s="120">
        <f>SUM(Prod[[#This Row],[S1Qty]],Prod[[#This Row],[S2Qty]],Prod[[#This Row],[S3Qty]])</f>
        <v>30673</v>
      </c>
      <c r="AA79" s="120">
        <f>SUM(Prod[[#This Row],[S1Dft]],Prod[[#This Row],[S2Dft]],Prod[[#This Row],[S3Dft]])</f>
        <v>335</v>
      </c>
      <c r="AB79" s="121">
        <f>IF(Prod[[#This Row],[Total]]=0,0,Prod[[#This Row],[TotalDft]]/Prod[[#This Row],[Total]])</f>
        <v>1.0921657483780524E-2</v>
      </c>
      <c r="AC79" s="130" t="s">
        <v>245</v>
      </c>
      <c r="AD79" s="120">
        <v>10</v>
      </c>
      <c r="AE79" s="120">
        <v>25</v>
      </c>
      <c r="AF79" s="120">
        <v>20</v>
      </c>
      <c r="AG79" s="120">
        <v>65</v>
      </c>
      <c r="AH79" s="120">
        <v>100</v>
      </c>
      <c r="AI79" s="120">
        <v>115</v>
      </c>
      <c r="AJ79" s="120">
        <v>0</v>
      </c>
      <c r="AK79" s="120">
        <v>0</v>
      </c>
      <c r="AL79" s="120">
        <v>0</v>
      </c>
      <c r="AM79" s="120">
        <v>0</v>
      </c>
      <c r="AN79" s="120">
        <v>0</v>
      </c>
      <c r="AO79" s="120">
        <v>0</v>
      </c>
      <c r="AP79" s="120">
        <v>0</v>
      </c>
      <c r="AQ79" s="120">
        <v>0</v>
      </c>
      <c r="AR79" s="120">
        <v>0</v>
      </c>
      <c r="AS79" s="131">
        <f>IF(Prod[[#This Row],[S1Hrs]]=0,0,Prod[[#This Row],[S1Shot]]*Prod[[#This Row],[S1Cycle]]/(Prod[[#This Row],[S1Hrs]]*60*60))</f>
        <v>1.047611111111111</v>
      </c>
      <c r="AT79" s="131">
        <f>IF(Prod[[#This Row],[S2Hrs]]=0,0,Prod[[#This Row],[S2Shot]]*Prod[[#This Row],[S2Cycle]]/(Prod[[#This Row],[S2Hrs]]*60*60))</f>
        <v>0.96767708333333324</v>
      </c>
      <c r="AU79" s="131">
        <f>IF(Prod[[#This Row],[S3Hrs]]=0,0,Prod[[#This Row],[S3Shot]]*Prod[[#This Row],[S3Cycle]]/(Prod[[#This Row],[S3Hrs]]*60*60))</f>
        <v>0.90284375000000006</v>
      </c>
      <c r="AV79" s="131">
        <f>IFERROR(AVERAGEIF(Prod[[#This Row],[S1%]:[S3%]], "&lt;&gt;0"),0)</f>
        <v>0.97271064814814823</v>
      </c>
      <c r="AW79" s="131">
        <v>0</v>
      </c>
      <c r="AX79" s="131">
        <v>1</v>
      </c>
      <c r="AY79" s="131">
        <v>0</v>
      </c>
      <c r="AZ79" s="166">
        <f>IF(Prod[[#This Row],[S1Cycle]]&lt;&gt;0,1,0)</f>
        <v>1</v>
      </c>
      <c r="BA79" s="166">
        <f>IF(Prod[[#This Row],[S2Cycle]]&lt;&gt;0,1,0)</f>
        <v>1</v>
      </c>
      <c r="BB79" s="166">
        <f>IF(Prod[[#This Row],[S3Cycle]]&lt;&gt;0,1,0)</f>
        <v>1</v>
      </c>
      <c r="BC79" s="166">
        <f>MAX(Prod[[#This Row],[S1Cavity]],Prod[[#This Row],[S2Cavity]],Prod[[#This Row],[S3Cavity]])</f>
        <v>8</v>
      </c>
      <c r="BD79" s="166" t="b">
        <f>RegExpMatch(Prod[[#This Row],[MoldNo]], "^DW-(B|C)")</f>
        <v>1</v>
      </c>
    </row>
    <row r="80" spans="1:56" x14ac:dyDescent="0.2">
      <c r="A80" s="117">
        <v>45419</v>
      </c>
      <c r="B80" s="129" t="s">
        <v>181</v>
      </c>
      <c r="C80" s="130" t="s">
        <v>182</v>
      </c>
      <c r="D80" s="119">
        <v>26367</v>
      </c>
      <c r="E80" s="130" t="s">
        <v>191</v>
      </c>
      <c r="F80" s="119">
        <v>814</v>
      </c>
      <c r="G80" s="119" t="str">
        <f>IF(OR(Prod[[#This Row],[S1Hrs]]&gt;0,Prod[[#This Row],[S2Hrs]]&gt;0,Prod[[#This Row],[S3Hrs]]&gt;0),"Running","Down")</f>
        <v>Running</v>
      </c>
      <c r="H80" s="197">
        <v>21.6</v>
      </c>
      <c r="I80" s="198">
        <v>8</v>
      </c>
      <c r="J80" s="129">
        <v>1315</v>
      </c>
      <c r="K80" s="129">
        <v>16</v>
      </c>
      <c r="L80" s="120">
        <f>Prod[[#This Row],[S1Shot]]*Prod[[#This Row],[S1Cavity]]-Prod[[#This Row],[S1Dft]]</f>
        <v>21040</v>
      </c>
      <c r="M80" s="133"/>
      <c r="N80" s="197">
        <v>21.6</v>
      </c>
      <c r="O80" s="198">
        <v>8</v>
      </c>
      <c r="P80" s="129">
        <v>1399</v>
      </c>
      <c r="Q80" s="129">
        <v>16</v>
      </c>
      <c r="R80" s="120">
        <f>Prod[[#This Row],[S2Shot]]*Prod[[#This Row],[S2Cavity]]-Prod[[#This Row],[S2Dft]]</f>
        <v>22384</v>
      </c>
      <c r="S80" s="133"/>
      <c r="T80" s="197">
        <v>21.6</v>
      </c>
      <c r="U80" s="198">
        <v>8</v>
      </c>
      <c r="V80" s="129">
        <v>1237</v>
      </c>
      <c r="W80" s="129">
        <v>16</v>
      </c>
      <c r="X80" s="120">
        <f>Prod[[#This Row],[S3Shot]]*Prod[[#This Row],[S3Cavity]]-Prod[[#This Row],[S3Dft]]</f>
        <v>19792</v>
      </c>
      <c r="Y80" s="133"/>
      <c r="Z80" s="120">
        <f>SUM(Prod[[#This Row],[S1Qty]],Prod[[#This Row],[S2Qty]],Prod[[#This Row],[S3Qty]])</f>
        <v>63216</v>
      </c>
      <c r="AA80" s="133"/>
      <c r="AB80" s="134"/>
      <c r="AC80" s="118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1">
        <f>IF(Prod[[#This Row],[S1Hrs]]=0,0,Prod[[#This Row],[S1Shot]]*Prod[[#This Row],[S1Cycle]]/(Prod[[#This Row],[S1Hrs]]*60*60))</f>
        <v>0.98625000000000007</v>
      </c>
      <c r="AT80" s="131">
        <f>IF(Prod[[#This Row],[S2Hrs]]=0,0,Prod[[#This Row],[S2Shot]]*Prod[[#This Row],[S2Cycle]]/(Prod[[#This Row],[S2Hrs]]*60*60))</f>
        <v>1.04925</v>
      </c>
      <c r="AU80" s="131">
        <f>IF(Prod[[#This Row],[S3Hrs]]=0,0,Prod[[#This Row],[S3Shot]]*Prod[[#This Row],[S3Cycle]]/(Prod[[#This Row],[S3Hrs]]*60*60))</f>
        <v>0.92775000000000007</v>
      </c>
      <c r="AV80" s="131">
        <f>IFERROR(AVERAGEIF(Prod[[#This Row],[S1%]:[S3%]], "&lt;&gt;0"),0)</f>
        <v>0.98775000000000002</v>
      </c>
      <c r="AW80" s="131">
        <v>0</v>
      </c>
      <c r="AX80" s="131">
        <v>0</v>
      </c>
      <c r="AY80" s="131">
        <v>0</v>
      </c>
      <c r="AZ80" s="166">
        <f>IF(Prod[[#This Row],[S1Cycle]]&lt;&gt;0,1,0)</f>
        <v>1</v>
      </c>
      <c r="BA80" s="166">
        <f>IF(Prod[[#This Row],[S2Cycle]]&lt;&gt;0,1,0)</f>
        <v>1</v>
      </c>
      <c r="BB80" s="166">
        <f>IF(Prod[[#This Row],[S3Cycle]]&lt;&gt;0,1,0)</f>
        <v>1</v>
      </c>
      <c r="BC80" s="166">
        <f>MAX(Prod[[#This Row],[S1Cavity]],Prod[[#This Row],[S2Cavity]],Prod[[#This Row],[S3Cavity]])</f>
        <v>16</v>
      </c>
      <c r="BD80" s="166" t="b">
        <f>RegExpMatch(Prod[[#This Row],[MoldNo]], "^DW-(B|C)")</f>
        <v>0</v>
      </c>
    </row>
    <row r="81" spans="1:56" x14ac:dyDescent="0.2">
      <c r="A81" s="117">
        <v>45420</v>
      </c>
      <c r="B81" s="120" t="s">
        <v>172</v>
      </c>
      <c r="C81" s="119" t="s">
        <v>173</v>
      </c>
      <c r="D81" s="119">
        <v>26363</v>
      </c>
      <c r="E81" s="130" t="s">
        <v>92</v>
      </c>
      <c r="F81" s="119">
        <v>814</v>
      </c>
      <c r="G81" s="119" t="str">
        <f>IF(OR(Prod[[#This Row],[S1Hrs]]&gt;0,Prod[[#This Row],[S2Hrs]]&gt;0,Prod[[#This Row],[S3Hrs]]&gt;0),"Running","Down")</f>
        <v>Running</v>
      </c>
      <c r="H81" s="197">
        <v>16.43</v>
      </c>
      <c r="I81" s="198">
        <v>8</v>
      </c>
      <c r="J81" s="129">
        <v>1755</v>
      </c>
      <c r="K81" s="129">
        <v>16</v>
      </c>
      <c r="L81" s="120">
        <f>Prod[[#This Row],[S1Shot]]*Prod[[#This Row],[S1Cavity]]-Prod[[#This Row],[S1Dft]]</f>
        <v>28080</v>
      </c>
      <c r="M81" s="133"/>
      <c r="N81" s="197">
        <v>16.43</v>
      </c>
      <c r="O81" s="198">
        <v>8</v>
      </c>
      <c r="P81" s="129">
        <v>1702</v>
      </c>
      <c r="Q81" s="129">
        <v>16</v>
      </c>
      <c r="R81" s="120">
        <f>Prod[[#This Row],[S2Shot]]*Prod[[#This Row],[S2Cavity]]-Prod[[#This Row],[S2Dft]]</f>
        <v>27232</v>
      </c>
      <c r="S81" s="133"/>
      <c r="T81" s="197">
        <v>16.440000000000001</v>
      </c>
      <c r="U81" s="198">
        <v>8</v>
      </c>
      <c r="V81" s="129">
        <v>1725</v>
      </c>
      <c r="W81" s="129">
        <v>16</v>
      </c>
      <c r="X81" s="120">
        <f>Prod[[#This Row],[S3Shot]]*Prod[[#This Row],[S3Cavity]]-Prod[[#This Row],[S3Dft]]</f>
        <v>27600</v>
      </c>
      <c r="Y81" s="133"/>
      <c r="Z81" s="120">
        <f>SUM(Prod[[#This Row],[S1Qty]],Prod[[#This Row],[S2Qty]],Prod[[#This Row],[S3Qty]])</f>
        <v>82912</v>
      </c>
      <c r="AA81" s="133"/>
      <c r="AB81" s="134"/>
      <c r="AC81" s="118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1">
        <f>IF(Prod[[#This Row],[S1Hrs]]=0,0,Prod[[#This Row],[S1Shot]]*Prod[[#This Row],[S1Cycle]]/(Prod[[#This Row],[S1Hrs]]*60*60))</f>
        <v>1.001203125</v>
      </c>
      <c r="AT81" s="131">
        <f>IF(Prod[[#This Row],[S2Hrs]]=0,0,Prod[[#This Row],[S2Shot]]*Prod[[#This Row],[S2Cycle]]/(Prod[[#This Row],[S2Hrs]]*60*60))</f>
        <v>0.97096736111111115</v>
      </c>
      <c r="AU81" s="131">
        <f>IF(Prod[[#This Row],[S3Hrs]]=0,0,Prod[[#This Row],[S3Shot]]*Prod[[#This Row],[S3Cycle]]/(Prod[[#This Row],[S3Hrs]]*60*60))</f>
        <v>0.98468750000000016</v>
      </c>
      <c r="AV81" s="131">
        <f>IFERROR(AVERAGEIF(Prod[[#This Row],[S1%]:[S3%]], "&lt;&gt;0"),0)</f>
        <v>0.98561932870370372</v>
      </c>
      <c r="AW81" s="131">
        <v>0</v>
      </c>
      <c r="AX81" s="131">
        <v>0</v>
      </c>
      <c r="AY81" s="131">
        <v>0</v>
      </c>
      <c r="AZ81" s="166">
        <f>IF(Prod[[#This Row],[S1Cycle]]&lt;&gt;0,1,0)</f>
        <v>1</v>
      </c>
      <c r="BA81" s="166">
        <f>IF(Prod[[#This Row],[S2Cycle]]&lt;&gt;0,1,0)</f>
        <v>1</v>
      </c>
      <c r="BB81" s="166">
        <f>IF(Prod[[#This Row],[S3Cycle]]&lt;&gt;0,1,0)</f>
        <v>1</v>
      </c>
      <c r="BC81" s="166">
        <f>MAX(Prod[[#This Row],[S1Cavity]],Prod[[#This Row],[S2Cavity]],Prod[[#This Row],[S3Cavity]])</f>
        <v>16</v>
      </c>
      <c r="BD81" s="166" t="b">
        <f>RegExpMatch(Prod[[#This Row],[MoldNo]], "^DW-(B|C)")</f>
        <v>0</v>
      </c>
    </row>
    <row r="82" spans="1:56" x14ac:dyDescent="0.2">
      <c r="A82" s="117">
        <v>45420</v>
      </c>
      <c r="B82" s="119" t="s">
        <v>179</v>
      </c>
      <c r="C82" s="119" t="s">
        <v>180</v>
      </c>
      <c r="D82" s="119">
        <v>26363</v>
      </c>
      <c r="E82" s="130" t="s">
        <v>92</v>
      </c>
      <c r="F82" s="119">
        <v>814</v>
      </c>
      <c r="G82" s="119" t="str">
        <f>IF(OR(Prod[[#This Row],[S1Hrs]]&gt;0,Prod[[#This Row],[S2Hrs]]&gt;0,Prod[[#This Row],[S3Hrs]]&gt;0),"Running","Down")</f>
        <v>Running</v>
      </c>
      <c r="H82" s="197">
        <v>12.69</v>
      </c>
      <c r="I82" s="198">
        <v>8</v>
      </c>
      <c r="J82" s="129">
        <v>2087</v>
      </c>
      <c r="K82" s="129">
        <v>16</v>
      </c>
      <c r="L82" s="120">
        <f>Prod[[#This Row],[S1Shot]]*Prod[[#This Row],[S1Cavity]]-Prod[[#This Row],[S1Dft]]</f>
        <v>33392</v>
      </c>
      <c r="M82" s="133"/>
      <c r="N82" s="197">
        <v>11.95</v>
      </c>
      <c r="O82" s="198">
        <v>8</v>
      </c>
      <c r="P82" s="129">
        <v>2552</v>
      </c>
      <c r="Q82" s="129">
        <v>16</v>
      </c>
      <c r="R82" s="120">
        <f>Prod[[#This Row],[S2Shot]]*Prod[[#This Row],[S2Cavity]]-Prod[[#This Row],[S2Dft]]</f>
        <v>40832</v>
      </c>
      <c r="S82" s="133"/>
      <c r="T82" s="197">
        <v>11.95</v>
      </c>
      <c r="U82" s="198">
        <v>8</v>
      </c>
      <c r="V82" s="129">
        <v>2265</v>
      </c>
      <c r="W82" s="129">
        <v>16</v>
      </c>
      <c r="X82" s="120">
        <f>Prod[[#This Row],[S3Shot]]*Prod[[#This Row],[S3Cavity]]-Prod[[#This Row],[S3Dft]]</f>
        <v>36240</v>
      </c>
      <c r="Y82" s="133"/>
      <c r="Z82" s="120">
        <f>SUM(Prod[[#This Row],[S1Qty]],Prod[[#This Row],[S2Qty]],Prod[[#This Row],[S3Qty]])</f>
        <v>110464</v>
      </c>
      <c r="AA82" s="133"/>
      <c r="AB82" s="134"/>
      <c r="AC82" s="130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1">
        <f>IF(Prod[[#This Row],[S1Hrs]]=0,0,Prod[[#This Row],[S1Shot]]*Prod[[#This Row],[S1Cycle]]/(Prod[[#This Row],[S1Hrs]]*60*60))</f>
        <v>0.91958437500000001</v>
      </c>
      <c r="AT82" s="131">
        <f>IF(Prod[[#This Row],[S2Hrs]]=0,0,Prod[[#This Row],[S2Shot]]*Prod[[#This Row],[S2Cycle]]/(Prod[[#This Row],[S2Hrs]]*60*60))</f>
        <v>1.0589027777777777</v>
      </c>
      <c r="AU82" s="131">
        <f>IF(Prod[[#This Row],[S3Hrs]]=0,0,Prod[[#This Row],[S3Shot]]*Prod[[#This Row],[S3Cycle]]/(Prod[[#This Row],[S3Hrs]]*60*60))</f>
        <v>0.93981770833333333</v>
      </c>
      <c r="AV82" s="131">
        <f>IFERROR(AVERAGEIF(Prod[[#This Row],[S1%]:[S3%]], "&lt;&gt;0"),0)</f>
        <v>0.9727682870370371</v>
      </c>
      <c r="AW82" s="131">
        <v>0</v>
      </c>
      <c r="AX82" s="131">
        <v>0</v>
      </c>
      <c r="AY82" s="131">
        <v>0</v>
      </c>
      <c r="AZ82" s="166">
        <f>IF(Prod[[#This Row],[S1Cycle]]&lt;&gt;0,1,0)</f>
        <v>1</v>
      </c>
      <c r="BA82" s="166">
        <f>IF(Prod[[#This Row],[S2Cycle]]&lt;&gt;0,1,0)</f>
        <v>1</v>
      </c>
      <c r="BB82" s="166">
        <f>IF(Prod[[#This Row],[S3Cycle]]&lt;&gt;0,1,0)</f>
        <v>1</v>
      </c>
      <c r="BC82" s="166">
        <f>MAX(Prod[[#This Row],[S1Cavity]],Prod[[#This Row],[S2Cavity]],Prod[[#This Row],[S3Cavity]])</f>
        <v>16</v>
      </c>
      <c r="BD82" s="166" t="b">
        <f>RegExpMatch(Prod[[#This Row],[MoldNo]], "^DW-(B|C)")</f>
        <v>0</v>
      </c>
    </row>
    <row r="83" spans="1:56" x14ac:dyDescent="0.2">
      <c r="A83" s="117">
        <v>45420</v>
      </c>
      <c r="B83" s="129" t="s">
        <v>192</v>
      </c>
      <c r="C83" s="130" t="s">
        <v>174</v>
      </c>
      <c r="D83" s="119"/>
      <c r="E83" s="130"/>
      <c r="F83" s="119"/>
      <c r="G83" s="119" t="str">
        <f>IF(OR(Prod[[#This Row],[S1Hrs]]&gt;0,Prod[[#This Row],[S2Hrs]]&gt;0,Prod[[#This Row],[S3Hrs]]&gt;0),"Running","Down")</f>
        <v>Down</v>
      </c>
      <c r="H83" s="197">
        <v>0</v>
      </c>
      <c r="I83" s="198">
        <v>0</v>
      </c>
      <c r="J83" s="129">
        <v>0</v>
      </c>
      <c r="K83" s="129">
        <v>0</v>
      </c>
      <c r="L83" s="120">
        <f>Prod[[#This Row],[S1Shot]]*Prod[[#This Row],[S1Cavity]]-Prod[[#This Row],[S1Dft]]</f>
        <v>0</v>
      </c>
      <c r="M83" s="133"/>
      <c r="N83" s="197">
        <v>0</v>
      </c>
      <c r="O83" s="198">
        <v>0</v>
      </c>
      <c r="P83" s="129">
        <v>0</v>
      </c>
      <c r="Q83" s="129">
        <v>0</v>
      </c>
      <c r="R83" s="120">
        <f>Prod[[#This Row],[S2Shot]]*Prod[[#This Row],[S2Cavity]]-Prod[[#This Row],[S2Dft]]</f>
        <v>0</v>
      </c>
      <c r="S83" s="133"/>
      <c r="T83" s="197">
        <v>0</v>
      </c>
      <c r="U83" s="198">
        <v>0</v>
      </c>
      <c r="V83" s="129">
        <v>0</v>
      </c>
      <c r="W83" s="129">
        <v>0</v>
      </c>
      <c r="X83" s="120">
        <f>Prod[[#This Row],[S3Shot]]*Prod[[#This Row],[S3Cavity]]-Prod[[#This Row],[S3Dft]]</f>
        <v>0</v>
      </c>
      <c r="Y83" s="133"/>
      <c r="Z83" s="120">
        <f>SUM(Prod[[#This Row],[S1Qty]],Prod[[#This Row],[S2Qty]],Prod[[#This Row],[S3Qty]])</f>
        <v>0</v>
      </c>
      <c r="AA83" s="133"/>
      <c r="AB83" s="134"/>
      <c r="AC83" s="130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1">
        <f>IF(Prod[[#This Row],[S1Hrs]]=0,0,Prod[[#This Row],[S1Shot]]*Prod[[#This Row],[S1Cycle]]/(Prod[[#This Row],[S1Hrs]]*60*60))</f>
        <v>0</v>
      </c>
      <c r="AT83" s="131">
        <f>IF(Prod[[#This Row],[S2Hrs]]=0,0,Prod[[#This Row],[S2Shot]]*Prod[[#This Row],[S2Cycle]]/(Prod[[#This Row],[S2Hrs]]*60*60))</f>
        <v>0</v>
      </c>
      <c r="AU83" s="131">
        <f>IF(Prod[[#This Row],[S3Hrs]]=0,0,Prod[[#This Row],[S3Shot]]*Prod[[#This Row],[S3Cycle]]/(Prod[[#This Row],[S3Hrs]]*60*60))</f>
        <v>0</v>
      </c>
      <c r="AV83" s="131">
        <f>IFERROR(AVERAGEIF(Prod[[#This Row],[S1%]:[S3%]], "&lt;&gt;0"),0)</f>
        <v>0</v>
      </c>
      <c r="AW83" s="131">
        <v>0</v>
      </c>
      <c r="AX83" s="131">
        <v>0</v>
      </c>
      <c r="AY83" s="131">
        <v>0</v>
      </c>
      <c r="AZ83" s="166">
        <f>IF(Prod[[#This Row],[S1Cycle]]&lt;&gt;0,1,0)</f>
        <v>0</v>
      </c>
      <c r="BA83" s="166">
        <f>IF(Prod[[#This Row],[S2Cycle]]&lt;&gt;0,1,0)</f>
        <v>0</v>
      </c>
      <c r="BB83" s="166">
        <f>IF(Prod[[#This Row],[S3Cycle]]&lt;&gt;0,1,0)</f>
        <v>0</v>
      </c>
      <c r="BC83" s="166">
        <f>MAX(Prod[[#This Row],[S1Cavity]],Prod[[#This Row],[S2Cavity]],Prod[[#This Row],[S3Cavity]])</f>
        <v>0</v>
      </c>
      <c r="BD83" s="166" t="b">
        <f>RegExpMatch(Prod[[#This Row],[MoldNo]], "^DW-(B|C)")</f>
        <v>0</v>
      </c>
    </row>
    <row r="84" spans="1:56" x14ac:dyDescent="0.2">
      <c r="A84" s="117">
        <v>45420</v>
      </c>
      <c r="B84" s="129" t="s">
        <v>216</v>
      </c>
      <c r="C84" s="130" t="s">
        <v>217</v>
      </c>
      <c r="D84" s="130" t="s">
        <v>237</v>
      </c>
      <c r="E84" s="130" t="s">
        <v>191</v>
      </c>
      <c r="F84" s="119">
        <v>814</v>
      </c>
      <c r="G84" s="119" t="str">
        <f>IF(OR(Prod[[#This Row],[S1Hrs]]&gt;0,Prod[[#This Row],[S2Hrs]]&gt;0,Prod[[#This Row],[S3Hrs]]&gt;0),"Running","Down")</f>
        <v>Running</v>
      </c>
      <c r="H84" s="197">
        <v>18.100000000000001</v>
      </c>
      <c r="I84" s="198">
        <v>8</v>
      </c>
      <c r="J84" s="129">
        <v>1680</v>
      </c>
      <c r="K84" s="129">
        <v>8</v>
      </c>
      <c r="L84" s="120">
        <f>Prod[[#This Row],[S1Shot]]*Prod[[#This Row],[S1Cavity]]-Prod[[#This Row],[S1Dft]]</f>
        <v>13285</v>
      </c>
      <c r="M84" s="135">
        <f>SUM(Prod[[#This Row],[S1Mold]],Prod[[#This Row],[S1Print]],Prod[[#This Row],[S1Ovlp]],Prod[[#This Row],[S1Seam]],Prod[[#This Row],[S1Dmg]])</f>
        <v>155</v>
      </c>
      <c r="N84" s="197">
        <v>0</v>
      </c>
      <c r="O84" s="198">
        <v>0</v>
      </c>
      <c r="P84" s="129">
        <v>0</v>
      </c>
      <c r="Q84" s="129">
        <v>0</v>
      </c>
      <c r="R84" s="120">
        <f>Prod[[#This Row],[S2Shot]]*Prod[[#This Row],[S2Cavity]]-Prod[[#This Row],[S2Dft]]</f>
        <v>0</v>
      </c>
      <c r="S84" s="135">
        <f>SUM(Prod[[#This Row],[S2Mold]],Prod[[#This Row],[S2Print]],Prod[[#This Row],[S2Ovlp]],Prod[[#This Row],[S2Seam]],Prod[[#This Row],[S2Dmg]])</f>
        <v>0</v>
      </c>
      <c r="T84" s="197">
        <v>0</v>
      </c>
      <c r="U84" s="198">
        <v>0</v>
      </c>
      <c r="V84" s="129">
        <v>0</v>
      </c>
      <c r="W84" s="129">
        <v>0</v>
      </c>
      <c r="X84" s="120">
        <f>Prod[[#This Row],[S3Shot]]*Prod[[#This Row],[S3Cavity]]-Prod[[#This Row],[S3Dft]]</f>
        <v>0</v>
      </c>
      <c r="Y84" s="120">
        <f>SUM(Prod[[#This Row],[S3Mold]],Prod[[#This Row],[S3Print]],Prod[[#This Row],[S3Ovlp]],Prod[[#This Row],[S3Seam]],Prod[[#This Row],[S3Dmg]])</f>
        <v>0</v>
      </c>
      <c r="Z84" s="120">
        <f>SUM(Prod[[#This Row],[S1Qty]],Prod[[#This Row],[S2Qty]],Prod[[#This Row],[S3Qty]])</f>
        <v>13285</v>
      </c>
      <c r="AA84" s="120">
        <f>SUM(Prod[[#This Row],[S1Dft]],Prod[[#This Row],[S2Dft]],Prod[[#This Row],[S3Dft]])</f>
        <v>155</v>
      </c>
      <c r="AB84" s="121">
        <f>IF(Prod[[#This Row],[Total]]=0,0,Prod[[#This Row],[TotalDft]]/Prod[[#This Row],[Total]])</f>
        <v>1.1667293940534437E-2</v>
      </c>
      <c r="AC84" s="118"/>
      <c r="AD84" s="120">
        <v>25</v>
      </c>
      <c r="AE84" s="120">
        <v>0</v>
      </c>
      <c r="AF84" s="120">
        <v>0</v>
      </c>
      <c r="AG84" s="120">
        <v>130</v>
      </c>
      <c r="AH84" s="120">
        <v>0</v>
      </c>
      <c r="AI84" s="120">
        <v>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31">
        <f>IF(Prod[[#This Row],[S1Hrs]]=0,0,Prod[[#This Row],[S1Shot]]*Prod[[#This Row],[S1Cycle]]/(Prod[[#This Row],[S1Hrs]]*60*60))</f>
        <v>1.0558333333333334</v>
      </c>
      <c r="AT84" s="131">
        <f>IF(Prod[[#This Row],[S2Hrs]]=0,0,Prod[[#This Row],[S2Shot]]*Prod[[#This Row],[S2Cycle]]/(Prod[[#This Row],[S2Hrs]]*60*60))</f>
        <v>0</v>
      </c>
      <c r="AU84" s="131">
        <f>IF(Prod[[#This Row],[S3Hrs]]=0,0,Prod[[#This Row],[S3Shot]]*Prod[[#This Row],[S3Cycle]]/(Prod[[#This Row],[S3Hrs]]*60*60))</f>
        <v>0</v>
      </c>
      <c r="AV84" s="131">
        <f>IFERROR(AVERAGEIF(Prod[[#This Row],[S1%]:[S3%]], "&lt;&gt;0"),0)</f>
        <v>1.0558333333333334</v>
      </c>
      <c r="AW84" s="131">
        <v>0</v>
      </c>
      <c r="AX84" s="131">
        <v>0</v>
      </c>
      <c r="AY84" s="131">
        <v>0</v>
      </c>
      <c r="AZ84" s="166">
        <f>IF(Prod[[#This Row],[S1Cycle]]&lt;&gt;0,1,0)</f>
        <v>1</v>
      </c>
      <c r="BA84" s="166">
        <f>IF(Prod[[#This Row],[S2Cycle]]&lt;&gt;0,1,0)</f>
        <v>0</v>
      </c>
      <c r="BB84" s="166">
        <f>IF(Prod[[#This Row],[S3Cycle]]&lt;&gt;0,1,0)</f>
        <v>0</v>
      </c>
      <c r="BC84" s="166">
        <f>MAX(Prod[[#This Row],[S1Cavity]],Prod[[#This Row],[S2Cavity]],Prod[[#This Row],[S3Cavity]])</f>
        <v>8</v>
      </c>
      <c r="BD84" s="166" t="b">
        <f>RegExpMatch(Prod[[#This Row],[MoldNo]], "^DW-(B|C)")</f>
        <v>1</v>
      </c>
    </row>
    <row r="85" spans="1:56" x14ac:dyDescent="0.2">
      <c r="A85" s="117">
        <v>45420</v>
      </c>
      <c r="B85" s="129" t="s">
        <v>216</v>
      </c>
      <c r="C85" s="130" t="s">
        <v>217</v>
      </c>
      <c r="D85" s="130" t="s">
        <v>249</v>
      </c>
      <c r="E85" s="130" t="s">
        <v>191</v>
      </c>
      <c r="F85" s="119">
        <v>814</v>
      </c>
      <c r="G85" s="119" t="str">
        <f>IF(OR(Prod[[#This Row],[S1Hrs]]&gt;0,Prod[[#This Row],[S2Hrs]]&gt;0,Prod[[#This Row],[S3Hrs]]&gt;0),"Running","Down")</f>
        <v>Running</v>
      </c>
      <c r="H85" s="197">
        <v>0</v>
      </c>
      <c r="I85" s="198">
        <v>0</v>
      </c>
      <c r="J85" s="129">
        <v>0</v>
      </c>
      <c r="K85" s="129">
        <v>0</v>
      </c>
      <c r="L85" s="120">
        <f>Prod[[#This Row],[S1Shot]]*Prod[[#This Row],[S1Cavity]]-Prod[[#This Row],[S1Dft]]</f>
        <v>0</v>
      </c>
      <c r="M85" s="135">
        <f>SUM(Prod[[#This Row],[S1Mold]],Prod[[#This Row],[S1Print]],Prod[[#This Row],[S1Ovlp]],Prod[[#This Row],[S1Seam]],Prod[[#This Row],[S1Dmg]])</f>
        <v>0</v>
      </c>
      <c r="N85" s="197">
        <v>18.100000000000001</v>
      </c>
      <c r="O85" s="198">
        <v>8</v>
      </c>
      <c r="P85" s="129">
        <v>1674</v>
      </c>
      <c r="Q85" s="129">
        <v>8</v>
      </c>
      <c r="R85" s="120">
        <f>Prod[[#This Row],[S2Shot]]*Prod[[#This Row],[S2Cavity]]-Prod[[#This Row],[S2Dft]]</f>
        <v>13262</v>
      </c>
      <c r="S85" s="135">
        <f>SUM(Prod[[#This Row],[S2Mold]],Prod[[#This Row],[S2Print]],Prod[[#This Row],[S2Ovlp]],Prod[[#This Row],[S2Seam]],Prod[[#This Row],[S2Dmg]])</f>
        <v>130</v>
      </c>
      <c r="T85" s="197">
        <v>18.100000000000001</v>
      </c>
      <c r="U85" s="198">
        <v>8</v>
      </c>
      <c r="V85" s="129">
        <v>1489</v>
      </c>
      <c r="W85" s="129">
        <v>8</v>
      </c>
      <c r="X85" s="120">
        <f>Prod[[#This Row],[S3Shot]]*Prod[[#This Row],[S3Cavity]]-Prod[[#This Row],[S3Dft]]</f>
        <v>11767</v>
      </c>
      <c r="Y85" s="120">
        <f>SUM(Prod[[#This Row],[S3Mold]],Prod[[#This Row],[S3Print]],Prod[[#This Row],[S3Ovlp]],Prod[[#This Row],[S3Seam]],Prod[[#This Row],[S3Dmg]])</f>
        <v>145</v>
      </c>
      <c r="Z85" s="120">
        <f>SUM(Prod[[#This Row],[S1Qty]],Prod[[#This Row],[S2Qty]],Prod[[#This Row],[S3Qty]])</f>
        <v>25029</v>
      </c>
      <c r="AA85" s="120">
        <f>SUM(Prod[[#This Row],[S1Dft]],Prod[[#This Row],[S2Dft]],Prod[[#This Row],[S3Dft]])</f>
        <v>275</v>
      </c>
      <c r="AB85" s="121">
        <f>IF(Prod[[#This Row],[Total]]=0,0,Prod[[#This Row],[TotalDft]]/Prod[[#This Row],[Total]])</f>
        <v>1.0987254784450038E-2</v>
      </c>
      <c r="AC85" s="130" t="s">
        <v>250</v>
      </c>
      <c r="AD85" s="120">
        <v>0</v>
      </c>
      <c r="AE85" s="120">
        <v>20</v>
      </c>
      <c r="AF85" s="120">
        <v>20</v>
      </c>
      <c r="AG85" s="120">
        <v>0</v>
      </c>
      <c r="AH85" s="120">
        <v>110</v>
      </c>
      <c r="AI85" s="120">
        <v>125</v>
      </c>
      <c r="AJ85" s="120">
        <v>0</v>
      </c>
      <c r="AK85" s="120">
        <v>0</v>
      </c>
      <c r="AL85" s="120">
        <v>0</v>
      </c>
      <c r="AM85" s="120">
        <v>0</v>
      </c>
      <c r="AN85" s="120">
        <v>0</v>
      </c>
      <c r="AO85" s="120">
        <v>0</v>
      </c>
      <c r="AP85" s="120">
        <v>0</v>
      </c>
      <c r="AQ85" s="120">
        <v>0</v>
      </c>
      <c r="AR85" s="120">
        <v>0</v>
      </c>
      <c r="AS85" s="131">
        <f>IF(Prod[[#This Row],[S1Hrs]]=0,0,Prod[[#This Row],[S1Shot]]*Prod[[#This Row],[S1Cycle]]/(Prod[[#This Row],[S1Hrs]]*60*60))</f>
        <v>0</v>
      </c>
      <c r="AT85" s="131">
        <f>IF(Prod[[#This Row],[S2Hrs]]=0,0,Prod[[#This Row],[S2Shot]]*Prod[[#This Row],[S2Cycle]]/(Prod[[#This Row],[S2Hrs]]*60*60))</f>
        <v>1.0520625000000001</v>
      </c>
      <c r="AU85" s="131">
        <f>IF(Prod[[#This Row],[S3Hrs]]=0,0,Prod[[#This Row],[S3Shot]]*Prod[[#This Row],[S3Cycle]]/(Prod[[#This Row],[S3Hrs]]*60*60))</f>
        <v>0.93579513888888899</v>
      </c>
      <c r="AV85" s="131">
        <f>IFERROR(AVERAGEIF(Prod[[#This Row],[S1%]:[S3%]], "&lt;&gt;0"),0)</f>
        <v>0.99392881944444456</v>
      </c>
      <c r="AW85" s="131">
        <v>0</v>
      </c>
      <c r="AX85" s="131">
        <v>0</v>
      </c>
      <c r="AY85" s="131">
        <v>0</v>
      </c>
      <c r="AZ85" s="166">
        <f>IF(Prod[[#This Row],[S1Cycle]]&lt;&gt;0,1,0)</f>
        <v>0</v>
      </c>
      <c r="BA85" s="166">
        <f>IF(Prod[[#This Row],[S2Cycle]]&lt;&gt;0,1,0)</f>
        <v>1</v>
      </c>
      <c r="BB85" s="166">
        <f>IF(Prod[[#This Row],[S3Cycle]]&lt;&gt;0,1,0)</f>
        <v>1</v>
      </c>
      <c r="BC85" s="166">
        <f>MAX(Prod[[#This Row],[S1Cavity]],Prod[[#This Row],[S2Cavity]],Prod[[#This Row],[S3Cavity]])</f>
        <v>8</v>
      </c>
      <c r="BD85" s="166" t="b">
        <f>RegExpMatch(Prod[[#This Row],[MoldNo]], "^DW-(B|C)")</f>
        <v>1</v>
      </c>
    </row>
    <row r="86" spans="1:56" x14ac:dyDescent="0.2">
      <c r="A86" s="117">
        <v>45420</v>
      </c>
      <c r="B86" s="120" t="s">
        <v>175</v>
      </c>
      <c r="C86" s="119" t="s">
        <v>178</v>
      </c>
      <c r="D86" s="130">
        <v>26367</v>
      </c>
      <c r="E86" s="130" t="s">
        <v>191</v>
      </c>
      <c r="F86" s="119">
        <v>814</v>
      </c>
      <c r="G86" s="119" t="str">
        <f>IF(OR(Prod[[#This Row],[S1Hrs]]&gt;0,Prod[[#This Row],[S2Hrs]]&gt;0,Prod[[#This Row],[S3Hrs]]&gt;0),"Running","Down")</f>
        <v>Running</v>
      </c>
      <c r="H86" s="197">
        <v>19.29</v>
      </c>
      <c r="I86" s="198">
        <v>8</v>
      </c>
      <c r="J86" s="129">
        <v>1442</v>
      </c>
      <c r="K86" s="129">
        <v>8</v>
      </c>
      <c r="L86" s="120">
        <f>Prod[[#This Row],[S1Shot]]*Prod[[#This Row],[S1Cavity]]-Prod[[#This Row],[S1Dft]]</f>
        <v>11386</v>
      </c>
      <c r="M86" s="135">
        <f>SUM(Prod[[#This Row],[S1Mold]],Prod[[#This Row],[S1Print]],Prod[[#This Row],[S1Ovlp]],Prod[[#This Row],[S1Seam]],Prod[[#This Row],[S1Dmg]])</f>
        <v>150</v>
      </c>
      <c r="N86" s="197">
        <v>19.190000000000001</v>
      </c>
      <c r="O86" s="198">
        <v>8</v>
      </c>
      <c r="P86" s="129">
        <v>1419</v>
      </c>
      <c r="Q86" s="129">
        <v>8</v>
      </c>
      <c r="R86" s="120">
        <f>Prod[[#This Row],[S2Shot]]*Prod[[#This Row],[S2Cavity]]-Prod[[#This Row],[S2Dft]]</f>
        <v>11232</v>
      </c>
      <c r="S86" s="135">
        <f>SUM(Prod[[#This Row],[S2Mold]],Prod[[#This Row],[S2Print]],Prod[[#This Row],[S2Ovlp]],Prod[[#This Row],[S2Seam]],Prod[[#This Row],[S2Dmg]])</f>
        <v>120</v>
      </c>
      <c r="T86" s="197">
        <v>19.29</v>
      </c>
      <c r="U86" s="198">
        <v>4</v>
      </c>
      <c r="V86" s="129">
        <v>697</v>
      </c>
      <c r="W86" s="129">
        <v>8</v>
      </c>
      <c r="X86" s="120">
        <f>Prod[[#This Row],[S3Shot]]*Prod[[#This Row],[S3Cavity]]-Prod[[#This Row],[S3Dft]]</f>
        <v>5501</v>
      </c>
      <c r="Y86" s="120">
        <f>SUM(Prod[[#This Row],[S3Mold]],Prod[[#This Row],[S3Print]],Prod[[#This Row],[S3Ovlp]],Prod[[#This Row],[S3Seam]],Prod[[#This Row],[S3Dmg]])</f>
        <v>75</v>
      </c>
      <c r="Z86" s="120">
        <f>SUM(Prod[[#This Row],[S1Qty]],Prod[[#This Row],[S2Qty]],Prod[[#This Row],[S3Qty]])</f>
        <v>28119</v>
      </c>
      <c r="AA86" s="120">
        <f>SUM(Prod[[#This Row],[S1Dft]],Prod[[#This Row],[S2Dft]],Prod[[#This Row],[S3Dft]])</f>
        <v>345</v>
      </c>
      <c r="AB86" s="121">
        <f>IF(Prod[[#This Row],[Total]]=0,0,Prod[[#This Row],[TotalDft]]/Prod[[#This Row],[Total]])</f>
        <v>1.2269284113944309E-2</v>
      </c>
      <c r="AC86" s="130"/>
      <c r="AD86" s="120">
        <v>30</v>
      </c>
      <c r="AE86" s="120">
        <v>20</v>
      </c>
      <c r="AF86" s="120">
        <v>15</v>
      </c>
      <c r="AG86" s="120">
        <v>120</v>
      </c>
      <c r="AH86" s="120">
        <v>100</v>
      </c>
      <c r="AI86" s="120">
        <v>60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31">
        <f>IF(Prod[[#This Row],[S1Hrs]]=0,0,Prod[[#This Row],[S1Shot]]*Prod[[#This Row],[S1Cycle]]/(Prod[[#This Row],[S1Hrs]]*60*60))</f>
        <v>0.96583958333333331</v>
      </c>
      <c r="AT86" s="131">
        <f>IF(Prod[[#This Row],[S2Hrs]]=0,0,Prod[[#This Row],[S2Shot]]*Prod[[#This Row],[S2Cycle]]/(Prod[[#This Row],[S2Hrs]]*60*60))</f>
        <v>0.94550729166666669</v>
      </c>
      <c r="AU86" s="131">
        <f>IF(Prod[[#This Row],[S3Hrs]]=0,0,Prod[[#This Row],[S3Shot]]*Prod[[#This Row],[S3Cycle]]/(Prod[[#This Row],[S3Hrs]]*60*60))</f>
        <v>0.9336895833333333</v>
      </c>
      <c r="AV86" s="131">
        <f>IFERROR(AVERAGEIF(Prod[[#This Row],[S1%]:[S3%]], "&lt;&gt;0"),0)</f>
        <v>0.94834548611111114</v>
      </c>
      <c r="AW86" s="131">
        <v>0</v>
      </c>
      <c r="AX86" s="131">
        <v>0</v>
      </c>
      <c r="AY86" s="131">
        <v>0</v>
      </c>
      <c r="AZ86" s="166">
        <f>IF(Prod[[#This Row],[S1Cycle]]&lt;&gt;0,1,0)</f>
        <v>1</v>
      </c>
      <c r="BA86" s="166">
        <f>IF(Prod[[#This Row],[S2Cycle]]&lt;&gt;0,1,0)</f>
        <v>1</v>
      </c>
      <c r="BB86" s="166">
        <f>IF(Prod[[#This Row],[S3Cycle]]&lt;&gt;0,1,0)</f>
        <v>1</v>
      </c>
      <c r="BC86" s="166">
        <f>MAX(Prod[[#This Row],[S1Cavity]],Prod[[#This Row],[S2Cavity]],Prod[[#This Row],[S3Cavity]])</f>
        <v>8</v>
      </c>
      <c r="BD86" s="166" t="b">
        <f>RegExpMatch(Prod[[#This Row],[MoldNo]], "^DW-(B|C)")</f>
        <v>1</v>
      </c>
    </row>
    <row r="87" spans="1:56" x14ac:dyDescent="0.2">
      <c r="A87" s="117">
        <v>45420</v>
      </c>
      <c r="B87" s="120" t="s">
        <v>175</v>
      </c>
      <c r="C87" s="119" t="s">
        <v>178</v>
      </c>
      <c r="D87" s="130">
        <v>25157</v>
      </c>
      <c r="E87" s="130" t="s">
        <v>191</v>
      </c>
      <c r="F87" s="119">
        <v>814</v>
      </c>
      <c r="G87" s="119" t="str">
        <f>IF(OR(Prod[[#This Row],[S1Hrs]]&gt;0,Prod[[#This Row],[S2Hrs]]&gt;0,Prod[[#This Row],[S3Hrs]]&gt;0),"Running","Down")</f>
        <v>Running</v>
      </c>
      <c r="H87" s="197">
        <v>0</v>
      </c>
      <c r="I87" s="198">
        <v>0</v>
      </c>
      <c r="J87" s="129">
        <v>0</v>
      </c>
      <c r="K87" s="129">
        <v>0</v>
      </c>
      <c r="L87" s="120">
        <f>Prod[[#This Row],[S1Shot]]*Prod[[#This Row],[S1Cavity]]-Prod[[#This Row],[S1Dft]]</f>
        <v>0</v>
      </c>
      <c r="M87" s="135">
        <f>SUM(Prod[[#This Row],[S1Mold]],Prod[[#This Row],[S1Print]],Prod[[#This Row],[S1Ovlp]],Prod[[#This Row],[S1Seam]],Prod[[#This Row],[S1Dmg]])</f>
        <v>0</v>
      </c>
      <c r="N87" s="197">
        <v>0</v>
      </c>
      <c r="O87" s="198">
        <v>0</v>
      </c>
      <c r="P87" s="129">
        <v>0</v>
      </c>
      <c r="Q87" s="129">
        <v>0</v>
      </c>
      <c r="R87" s="120">
        <f>Prod[[#This Row],[S2Shot]]*Prod[[#This Row],[S2Cavity]]-Prod[[#This Row],[S2Dft]]</f>
        <v>0</v>
      </c>
      <c r="S87" s="135">
        <f>SUM(Prod[[#This Row],[S2Mold]],Prod[[#This Row],[S2Print]],Prod[[#This Row],[S2Ovlp]],Prod[[#This Row],[S2Seam]],Prod[[#This Row],[S2Dmg]])</f>
        <v>0</v>
      </c>
      <c r="T87" s="197">
        <v>19.190000000000001</v>
      </c>
      <c r="U87" s="198">
        <v>2</v>
      </c>
      <c r="V87" s="129">
        <v>302</v>
      </c>
      <c r="W87" s="129">
        <v>8</v>
      </c>
      <c r="X87" s="120">
        <f>Prod[[#This Row],[S3Shot]]*Prod[[#This Row],[S3Cavity]]-Prod[[#This Row],[S3Dft]]</f>
        <v>2381</v>
      </c>
      <c r="Y87" s="120">
        <f>SUM(Prod[[#This Row],[S3Mold]],Prod[[#This Row],[S3Print]],Prod[[#This Row],[S3Ovlp]],Prod[[#This Row],[S3Seam]],Prod[[#This Row],[S3Dmg]])</f>
        <v>35</v>
      </c>
      <c r="Z87" s="120">
        <f>SUM(Prod[[#This Row],[S1Qty]],Prod[[#This Row],[S2Qty]],Prod[[#This Row],[S3Qty]])</f>
        <v>2381</v>
      </c>
      <c r="AA87" s="120">
        <f>SUM(Prod[[#This Row],[S1Dft]],Prod[[#This Row],[S2Dft]],Prod[[#This Row],[S3Dft]])</f>
        <v>35</v>
      </c>
      <c r="AB87" s="121">
        <f>IF(Prod[[#This Row],[Total]]=0,0,Prod[[#This Row],[TotalDft]]/Prod[[#This Row],[Total]])</f>
        <v>1.4699706005879883E-2</v>
      </c>
      <c r="AC87" s="130" t="s">
        <v>251</v>
      </c>
      <c r="AD87" s="120">
        <v>0</v>
      </c>
      <c r="AE87" s="120">
        <v>0</v>
      </c>
      <c r="AF87" s="120">
        <v>5</v>
      </c>
      <c r="AG87" s="120">
        <v>0</v>
      </c>
      <c r="AH87" s="120">
        <v>0</v>
      </c>
      <c r="AI87" s="120">
        <v>30</v>
      </c>
      <c r="AJ87" s="120">
        <v>0</v>
      </c>
      <c r="AK87" s="120">
        <v>0</v>
      </c>
      <c r="AL87" s="120">
        <v>0</v>
      </c>
      <c r="AM87" s="120">
        <v>0</v>
      </c>
      <c r="AN87" s="120">
        <v>0</v>
      </c>
      <c r="AO87" s="120">
        <v>0</v>
      </c>
      <c r="AP87" s="120">
        <v>0</v>
      </c>
      <c r="AQ87" s="120">
        <v>0</v>
      </c>
      <c r="AR87" s="120">
        <v>0</v>
      </c>
      <c r="AS87" s="131">
        <f>IF(Prod[[#This Row],[S1Hrs]]=0,0,Prod[[#This Row],[S1Shot]]*Prod[[#This Row],[S1Cycle]]/(Prod[[#This Row],[S1Hrs]]*60*60))</f>
        <v>0</v>
      </c>
      <c r="AT87" s="131">
        <f>IF(Prod[[#This Row],[S2Hrs]]=0,0,Prod[[#This Row],[S2Shot]]*Prod[[#This Row],[S2Cycle]]/(Prod[[#This Row],[S2Hrs]]*60*60))</f>
        <v>0</v>
      </c>
      <c r="AU87" s="131">
        <f>IF(Prod[[#This Row],[S3Hrs]]=0,0,Prod[[#This Row],[S3Shot]]*Prod[[#This Row],[S3Cycle]]/(Prod[[#This Row],[S3Hrs]]*60*60))</f>
        <v>0.80491388888888893</v>
      </c>
      <c r="AV87" s="131">
        <f>IFERROR(AVERAGEIF(Prod[[#This Row],[S1%]:[S3%]], "&lt;&gt;0"),0)</f>
        <v>0.80491388888888893</v>
      </c>
      <c r="AW87" s="131">
        <v>0</v>
      </c>
      <c r="AX87" s="131">
        <v>0</v>
      </c>
      <c r="AY87" s="131">
        <v>0</v>
      </c>
      <c r="AZ87" s="166">
        <f>IF(Prod[[#This Row],[S1Cycle]]&lt;&gt;0,1,0)</f>
        <v>0</v>
      </c>
      <c r="BA87" s="166">
        <f>IF(Prod[[#This Row],[S2Cycle]]&lt;&gt;0,1,0)</f>
        <v>0</v>
      </c>
      <c r="BB87" s="166">
        <f>IF(Prod[[#This Row],[S3Cycle]]&lt;&gt;0,1,0)</f>
        <v>1</v>
      </c>
      <c r="BC87" s="166">
        <f>MAX(Prod[[#This Row],[S1Cavity]],Prod[[#This Row],[S2Cavity]],Prod[[#This Row],[S3Cavity]])</f>
        <v>8</v>
      </c>
      <c r="BD87" s="166" t="b">
        <f>RegExpMatch(Prod[[#This Row],[MoldNo]], "^DW-(B|C)")</f>
        <v>1</v>
      </c>
    </row>
    <row r="88" spans="1:56" x14ac:dyDescent="0.2">
      <c r="A88" s="117">
        <v>45420</v>
      </c>
      <c r="B88" s="120" t="s">
        <v>177</v>
      </c>
      <c r="C88" s="119" t="s">
        <v>176</v>
      </c>
      <c r="D88" s="130">
        <v>26367</v>
      </c>
      <c r="E88" s="130" t="s">
        <v>191</v>
      </c>
      <c r="F88" s="119">
        <v>814</v>
      </c>
      <c r="G88" s="119" t="str">
        <f>IF(OR(Prod[[#This Row],[S1Hrs]]&gt;0,Prod[[#This Row],[S2Hrs]]&gt;0,Prod[[#This Row],[S3Hrs]]&gt;0),"Running","Down")</f>
        <v>Running</v>
      </c>
      <c r="H88" s="197">
        <v>25.78</v>
      </c>
      <c r="I88" s="198">
        <v>8</v>
      </c>
      <c r="J88" s="129">
        <v>1153</v>
      </c>
      <c r="K88" s="129">
        <v>8</v>
      </c>
      <c r="L88" s="120">
        <f>Prod[[#This Row],[S1Shot]]*Prod[[#This Row],[S1Cavity]]-Prod[[#This Row],[S1Dft]]</f>
        <v>9074</v>
      </c>
      <c r="M88" s="135">
        <f>SUM(Prod[[#This Row],[S1Mold]],Prod[[#This Row],[S1Print]],Prod[[#This Row],[S1Ovlp]],Prod[[#This Row],[S1Seam]],Prod[[#This Row],[S1Dmg]])</f>
        <v>150</v>
      </c>
      <c r="N88" s="197">
        <v>25.78</v>
      </c>
      <c r="O88" s="198">
        <v>8</v>
      </c>
      <c r="P88" s="129">
        <v>1143</v>
      </c>
      <c r="Q88" s="129">
        <v>8</v>
      </c>
      <c r="R88" s="120">
        <f>Prod[[#This Row],[S2Shot]]*Prod[[#This Row],[S2Cavity]]-Prod[[#This Row],[S2Dft]]</f>
        <v>9004</v>
      </c>
      <c r="S88" s="135">
        <f>SUM(Prod[[#This Row],[S2Mold]],Prod[[#This Row],[S2Print]],Prod[[#This Row],[S2Ovlp]],Prod[[#This Row],[S2Seam]],Prod[[#This Row],[S2Dmg]])</f>
        <v>140</v>
      </c>
      <c r="T88" s="197">
        <v>25.88</v>
      </c>
      <c r="U88" s="198">
        <v>8</v>
      </c>
      <c r="V88" s="129">
        <v>1047</v>
      </c>
      <c r="W88" s="129">
        <v>8</v>
      </c>
      <c r="X88" s="120">
        <f>Prod[[#This Row],[S3Shot]]*Prod[[#This Row],[S3Cavity]]-Prod[[#This Row],[S3Dft]]</f>
        <v>8251</v>
      </c>
      <c r="Y88" s="120">
        <f>SUM(Prod[[#This Row],[S3Mold]],Prod[[#This Row],[S3Print]],Prod[[#This Row],[S3Ovlp]],Prod[[#This Row],[S3Seam]],Prod[[#This Row],[S3Dmg]])</f>
        <v>125</v>
      </c>
      <c r="Z88" s="120">
        <f>SUM(Prod[[#This Row],[S1Qty]],Prod[[#This Row],[S2Qty]],Prod[[#This Row],[S3Qty]])</f>
        <v>26329</v>
      </c>
      <c r="AA88" s="120">
        <f>SUM(Prod[[#This Row],[S1Dft]],Prod[[#This Row],[S2Dft]],Prod[[#This Row],[S3Dft]])</f>
        <v>415</v>
      </c>
      <c r="AB88" s="121">
        <f>IF(Prod[[#This Row],[Total]]=0,0,Prod[[#This Row],[TotalDft]]/Prod[[#This Row],[Total]])</f>
        <v>1.5762087432109082E-2</v>
      </c>
      <c r="AC88" s="118"/>
      <c r="AD88" s="120">
        <v>35</v>
      </c>
      <c r="AE88" s="120">
        <v>20</v>
      </c>
      <c r="AF88" s="120">
        <v>25</v>
      </c>
      <c r="AG88" s="120">
        <v>115</v>
      </c>
      <c r="AH88" s="120">
        <v>120</v>
      </c>
      <c r="AI88" s="120">
        <v>100</v>
      </c>
      <c r="AJ88" s="120">
        <v>0</v>
      </c>
      <c r="AK88" s="120">
        <v>0</v>
      </c>
      <c r="AL88" s="120">
        <v>0</v>
      </c>
      <c r="AM88" s="120">
        <v>0</v>
      </c>
      <c r="AN88" s="120">
        <v>0</v>
      </c>
      <c r="AO88" s="120">
        <v>0</v>
      </c>
      <c r="AP88" s="120">
        <v>0</v>
      </c>
      <c r="AQ88" s="120">
        <v>0</v>
      </c>
      <c r="AR88" s="120">
        <v>0</v>
      </c>
      <c r="AS88" s="131">
        <f>IF(Prod[[#This Row],[S1Hrs]]=0,0,Prod[[#This Row],[S1Shot]]*Prod[[#This Row],[S1Cycle]]/(Prod[[#This Row],[S1Hrs]]*60*60))</f>
        <v>1.0320951388888888</v>
      </c>
      <c r="AT88" s="131">
        <f>IF(Prod[[#This Row],[S2Hrs]]=0,0,Prod[[#This Row],[S2Shot]]*Prod[[#This Row],[S2Cycle]]/(Prod[[#This Row],[S2Hrs]]*60*60))</f>
        <v>1.02314375</v>
      </c>
      <c r="AU88" s="131">
        <f>IF(Prod[[#This Row],[S3Hrs]]=0,0,Prod[[#This Row],[S3Shot]]*Prod[[#This Row],[S3Cycle]]/(Prod[[#This Row],[S3Hrs]]*60*60))</f>
        <v>0.94084583333333338</v>
      </c>
      <c r="AV88" s="131">
        <f>IFERROR(AVERAGEIF(Prod[[#This Row],[S1%]:[S3%]], "&lt;&gt;0"),0)</f>
        <v>0.99869490740740741</v>
      </c>
      <c r="AW88" s="131">
        <v>0</v>
      </c>
      <c r="AX88" s="131">
        <v>0</v>
      </c>
      <c r="AY88" s="131">
        <v>0</v>
      </c>
      <c r="AZ88" s="166">
        <f>IF(Prod[[#This Row],[S1Cycle]]&lt;&gt;0,1,0)</f>
        <v>1</v>
      </c>
      <c r="BA88" s="166">
        <f>IF(Prod[[#This Row],[S2Cycle]]&lt;&gt;0,1,0)</f>
        <v>1</v>
      </c>
      <c r="BB88" s="166">
        <f>IF(Prod[[#This Row],[S3Cycle]]&lt;&gt;0,1,0)</f>
        <v>1</v>
      </c>
      <c r="BC88" s="166">
        <f>MAX(Prod[[#This Row],[S1Cavity]],Prod[[#This Row],[S2Cavity]],Prod[[#This Row],[S3Cavity]])</f>
        <v>8</v>
      </c>
      <c r="BD88" s="166" t="b">
        <f>RegExpMatch(Prod[[#This Row],[MoldNo]], "^DW-(B|C)")</f>
        <v>1</v>
      </c>
    </row>
    <row r="89" spans="1:56" x14ac:dyDescent="0.2">
      <c r="A89" s="117">
        <v>45420</v>
      </c>
      <c r="B89" s="129" t="s">
        <v>186</v>
      </c>
      <c r="C89" s="130" t="s">
        <v>188</v>
      </c>
      <c r="D89" s="130" t="s">
        <v>243</v>
      </c>
      <c r="E89" s="130" t="s">
        <v>191</v>
      </c>
      <c r="F89" s="119">
        <v>814</v>
      </c>
      <c r="G89" s="119" t="str">
        <f>IF(OR(Prod[[#This Row],[S1Hrs]]&gt;0,Prod[[#This Row],[S2Hrs]]&gt;0,Prod[[#This Row],[S3Hrs]]&gt;0),"Running","Down")</f>
        <v>Running</v>
      </c>
      <c r="H89" s="197">
        <v>22.69</v>
      </c>
      <c r="I89" s="198">
        <v>6</v>
      </c>
      <c r="J89" s="129">
        <v>988</v>
      </c>
      <c r="K89" s="129">
        <v>8</v>
      </c>
      <c r="L89" s="120">
        <f>Prod[[#This Row],[S1Shot]]*Prod[[#This Row],[S1Cavity]]-Prod[[#This Row],[S1Dft]]</f>
        <v>7784</v>
      </c>
      <c r="M89" s="135">
        <f>SUM(Prod[[#This Row],[S1Mold]],Prod[[#This Row],[S1Print]],Prod[[#This Row],[S1Ovlp]],Prod[[#This Row],[S1Seam]],Prod[[#This Row],[S1Dmg]])</f>
        <v>120</v>
      </c>
      <c r="N89" s="197">
        <v>22.79</v>
      </c>
      <c r="O89" s="198">
        <v>8</v>
      </c>
      <c r="P89" s="129">
        <v>1367</v>
      </c>
      <c r="Q89" s="129">
        <v>8</v>
      </c>
      <c r="R89" s="120">
        <f>Prod[[#This Row],[S2Shot]]*Prod[[#This Row],[S2Cavity]]-Prod[[#This Row],[S2Dft]]</f>
        <v>10791</v>
      </c>
      <c r="S89" s="135">
        <f>SUM(Prod[[#This Row],[S2Mold]],Prod[[#This Row],[S2Print]],Prod[[#This Row],[S2Ovlp]],Prod[[#This Row],[S2Seam]],Prod[[#This Row],[S2Dmg]])</f>
        <v>145</v>
      </c>
      <c r="T89" s="197">
        <v>22.71</v>
      </c>
      <c r="U89" s="198">
        <v>4</v>
      </c>
      <c r="V89" s="129">
        <v>607</v>
      </c>
      <c r="W89" s="129">
        <v>8</v>
      </c>
      <c r="X89" s="120">
        <f>Prod[[#This Row],[S3Shot]]*Prod[[#This Row],[S3Cavity]]-Prod[[#This Row],[S3Dft]]</f>
        <v>4776</v>
      </c>
      <c r="Y89" s="120">
        <f>SUM(Prod[[#This Row],[S3Mold]],Prod[[#This Row],[S3Print]],Prod[[#This Row],[S3Ovlp]],Prod[[#This Row],[S3Seam]],Prod[[#This Row],[S3Dmg]])</f>
        <v>80</v>
      </c>
      <c r="Z89" s="120">
        <f>SUM(Prod[[#This Row],[S1Qty]],Prod[[#This Row],[S2Qty]],Prod[[#This Row],[S3Qty]])</f>
        <v>23351</v>
      </c>
      <c r="AA89" s="120">
        <f>SUM(Prod[[#This Row],[S1Dft]],Prod[[#This Row],[S2Dft]],Prod[[#This Row],[S3Dft]])</f>
        <v>345</v>
      </c>
      <c r="AB89" s="121">
        <f>IF(Prod[[#This Row],[Total]]=0,0,Prod[[#This Row],[TotalDft]]/Prod[[#This Row],[Total]])</f>
        <v>1.4774527857479337E-2</v>
      </c>
      <c r="AC89" s="130"/>
      <c r="AD89" s="120">
        <v>20</v>
      </c>
      <c r="AE89" s="120">
        <v>25</v>
      </c>
      <c r="AF89" s="120">
        <v>15</v>
      </c>
      <c r="AG89" s="120">
        <v>100</v>
      </c>
      <c r="AH89" s="120">
        <v>120</v>
      </c>
      <c r="AI89" s="120">
        <v>65</v>
      </c>
      <c r="AJ89" s="120">
        <v>0</v>
      </c>
      <c r="AK89" s="120">
        <v>0</v>
      </c>
      <c r="AL89" s="120">
        <v>0</v>
      </c>
      <c r="AM89" s="120">
        <v>0</v>
      </c>
      <c r="AN89" s="120">
        <v>0</v>
      </c>
      <c r="AO89" s="120">
        <v>0</v>
      </c>
      <c r="AP89" s="120">
        <v>0</v>
      </c>
      <c r="AQ89" s="120">
        <v>0</v>
      </c>
      <c r="AR89" s="120">
        <v>0</v>
      </c>
      <c r="AS89" s="131">
        <f>IF(Prod[[#This Row],[S1Hrs]]=0,0,Prod[[#This Row],[S1Shot]]*Prod[[#This Row],[S1Cycle]]/(Prod[[#This Row],[S1Hrs]]*60*60))</f>
        <v>1.0378574074074074</v>
      </c>
      <c r="AT89" s="131">
        <f>IF(Prod[[#This Row],[S2Hrs]]=0,0,Prod[[#This Row],[S2Shot]]*Prod[[#This Row],[S2Cycle]]/(Prod[[#This Row],[S2Hrs]]*60*60))</f>
        <v>1.0817336805555555</v>
      </c>
      <c r="AU89" s="131">
        <f>IF(Prod[[#This Row],[S3Hrs]]=0,0,Prod[[#This Row],[S3Shot]]*Prod[[#This Row],[S3Cycle]]/(Prod[[#This Row],[S3Hrs]]*60*60))</f>
        <v>0.95728958333333336</v>
      </c>
      <c r="AV89" s="131">
        <f>IFERROR(AVERAGEIF(Prod[[#This Row],[S1%]:[S3%]], "&lt;&gt;0"),0)</f>
        <v>1.0256268904320989</v>
      </c>
      <c r="AW89" s="131">
        <v>0</v>
      </c>
      <c r="AX89" s="131">
        <v>0</v>
      </c>
      <c r="AY89" s="131">
        <v>0</v>
      </c>
      <c r="AZ89" s="166">
        <f>IF(Prod[[#This Row],[S1Cycle]]&lt;&gt;0,1,0)</f>
        <v>1</v>
      </c>
      <c r="BA89" s="166">
        <f>IF(Prod[[#This Row],[S2Cycle]]&lt;&gt;0,1,0)</f>
        <v>1</v>
      </c>
      <c r="BB89" s="166">
        <f>IF(Prod[[#This Row],[S3Cycle]]&lt;&gt;0,1,0)</f>
        <v>1</v>
      </c>
      <c r="BC89" s="166">
        <f>MAX(Prod[[#This Row],[S1Cavity]],Prod[[#This Row],[S2Cavity]],Prod[[#This Row],[S3Cavity]])</f>
        <v>8</v>
      </c>
      <c r="BD89" s="166" t="b">
        <f>RegExpMatch(Prod[[#This Row],[MoldNo]], "^DW-(B|C)")</f>
        <v>1</v>
      </c>
    </row>
    <row r="90" spans="1:56" x14ac:dyDescent="0.2">
      <c r="A90" s="117">
        <v>45420</v>
      </c>
      <c r="B90" s="129" t="s">
        <v>186</v>
      </c>
      <c r="C90" s="130" t="s">
        <v>188</v>
      </c>
      <c r="D90" s="130"/>
      <c r="E90" s="130"/>
      <c r="F90" s="119"/>
      <c r="G90" s="119" t="str">
        <f>IF(OR(Prod[[#This Row],[S1Hrs]]&gt;0,Prod[[#This Row],[S2Hrs]]&gt;0,Prod[[#This Row],[S3Hrs]]&gt;0),"Running","Down")</f>
        <v>Running</v>
      </c>
      <c r="H90" s="197">
        <v>0</v>
      </c>
      <c r="I90" s="198">
        <v>0</v>
      </c>
      <c r="J90" s="129">
        <v>0</v>
      </c>
      <c r="K90" s="129">
        <v>0</v>
      </c>
      <c r="L90" s="120">
        <f>Prod[[#This Row],[S1Shot]]*Prod[[#This Row],[S1Cavity]]-Prod[[#This Row],[S1Dft]]</f>
        <v>0</v>
      </c>
      <c r="M90" s="135">
        <f>SUM(Prod[[#This Row],[S1Mold]],Prod[[#This Row],[S1Print]],Prod[[#This Row],[S1Ovlp]],Prod[[#This Row],[S1Seam]],Prod[[#This Row],[S1Dmg]])</f>
        <v>0</v>
      </c>
      <c r="N90" s="197">
        <v>0</v>
      </c>
      <c r="O90" s="198">
        <v>0</v>
      </c>
      <c r="P90" s="129">
        <v>0</v>
      </c>
      <c r="Q90" s="129">
        <v>0</v>
      </c>
      <c r="R90" s="120">
        <f>Prod[[#This Row],[S2Shot]]*Prod[[#This Row],[S2Cavity]]-Prod[[#This Row],[S2Dft]]</f>
        <v>0</v>
      </c>
      <c r="S90" s="135">
        <f>SUM(Prod[[#This Row],[S2Mold]],Prod[[#This Row],[S2Print]],Prod[[#This Row],[S2Ovlp]],Prod[[#This Row],[S2Seam]],Prod[[#This Row],[S2Dmg]])</f>
        <v>0</v>
      </c>
      <c r="T90" s="197">
        <v>22.71</v>
      </c>
      <c r="U90" s="198">
        <v>4</v>
      </c>
      <c r="V90" s="129">
        <v>534</v>
      </c>
      <c r="W90" s="129">
        <v>8</v>
      </c>
      <c r="X90" s="120">
        <f>Prod[[#This Row],[S3Shot]]*Prod[[#This Row],[S3Cavity]]-Prod[[#This Row],[S3Dft]]</f>
        <v>4197</v>
      </c>
      <c r="Y90" s="120">
        <f>SUM(Prod[[#This Row],[S3Mold]],Prod[[#This Row],[S3Print]],Prod[[#This Row],[S3Ovlp]],Prod[[#This Row],[S3Seam]],Prod[[#This Row],[S3Dmg]])</f>
        <v>75</v>
      </c>
      <c r="Z90" s="120">
        <f>SUM(Prod[[#This Row],[S1Qty]],Prod[[#This Row],[S2Qty]],Prod[[#This Row],[S3Qty]])</f>
        <v>4197</v>
      </c>
      <c r="AA90" s="120">
        <f>SUM(Prod[[#This Row],[S1Dft]],Prod[[#This Row],[S2Dft]],Prod[[#This Row],[S3Dft]])</f>
        <v>75</v>
      </c>
      <c r="AB90" s="121">
        <f>IF(Prod[[#This Row],[Total]]=0,0,Prod[[#This Row],[TotalDft]]/Prod[[#This Row],[Total]])</f>
        <v>1.7869907076483203E-2</v>
      </c>
      <c r="AC90" s="130" t="s">
        <v>218</v>
      </c>
      <c r="AD90" s="120">
        <v>0</v>
      </c>
      <c r="AE90" s="120">
        <v>0</v>
      </c>
      <c r="AF90" s="120">
        <v>20</v>
      </c>
      <c r="AG90" s="120">
        <v>0</v>
      </c>
      <c r="AH90" s="120">
        <v>0</v>
      </c>
      <c r="AI90" s="120">
        <v>55</v>
      </c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>
        <v>0</v>
      </c>
      <c r="AP90" s="120">
        <v>0</v>
      </c>
      <c r="AQ90" s="120">
        <v>0</v>
      </c>
      <c r="AR90" s="120">
        <v>0</v>
      </c>
      <c r="AS90" s="131">
        <f>IF(Prod[[#This Row],[S1Hrs]]=0,0,Prod[[#This Row],[S1Shot]]*Prod[[#This Row],[S1Cycle]]/(Prod[[#This Row],[S1Hrs]]*60*60))</f>
        <v>0</v>
      </c>
      <c r="AT90" s="131">
        <f>IF(Prod[[#This Row],[S2Hrs]]=0,0,Prod[[#This Row],[S2Shot]]*Prod[[#This Row],[S2Cycle]]/(Prod[[#This Row],[S2Hrs]]*60*60))</f>
        <v>0</v>
      </c>
      <c r="AU90" s="131">
        <f>IF(Prod[[#This Row],[S3Hrs]]=0,0,Prod[[#This Row],[S3Shot]]*Prod[[#This Row],[S3Cycle]]/(Prod[[#This Row],[S3Hrs]]*60*60))</f>
        <v>0.84216250000000004</v>
      </c>
      <c r="AV90" s="131">
        <f>IFERROR(AVERAGEIF(Prod[[#This Row],[S1%]:[S3%]], "&lt;&gt;0"),0)</f>
        <v>0.84216250000000004</v>
      </c>
      <c r="AW90" s="131">
        <v>0</v>
      </c>
      <c r="AX90" s="131">
        <v>0</v>
      </c>
      <c r="AY90" s="131">
        <v>0</v>
      </c>
      <c r="AZ90" s="166">
        <f>IF(Prod[[#This Row],[S1Cycle]]&lt;&gt;0,1,0)</f>
        <v>0</v>
      </c>
      <c r="BA90" s="166">
        <f>IF(Prod[[#This Row],[S2Cycle]]&lt;&gt;0,1,0)</f>
        <v>0</v>
      </c>
      <c r="BB90" s="166">
        <f>IF(Prod[[#This Row],[S3Cycle]]&lt;&gt;0,1,0)</f>
        <v>1</v>
      </c>
      <c r="BC90" s="166">
        <f>MAX(Prod[[#This Row],[S1Cavity]],Prod[[#This Row],[S2Cavity]],Prod[[#This Row],[S3Cavity]])</f>
        <v>8</v>
      </c>
      <c r="BD90" s="166" t="b">
        <f>RegExpMatch(Prod[[#This Row],[MoldNo]], "^DW-(B|C)")</f>
        <v>1</v>
      </c>
    </row>
    <row r="91" spans="1:56" x14ac:dyDescent="0.2">
      <c r="A91" s="117">
        <v>45420</v>
      </c>
      <c r="B91" s="129" t="s">
        <v>187</v>
      </c>
      <c r="C91" s="130" t="s">
        <v>226</v>
      </c>
      <c r="D91" s="130" t="s">
        <v>243</v>
      </c>
      <c r="E91" s="130" t="s">
        <v>191</v>
      </c>
      <c r="F91" s="119">
        <v>814</v>
      </c>
      <c r="G91" s="119" t="str">
        <f>IF(OR(Prod[[#This Row],[S1Hrs]]&gt;0,Prod[[#This Row],[S2Hrs]]&gt;0,Prod[[#This Row],[S3Hrs]]&gt;0),"Running","Down")</f>
        <v>Running</v>
      </c>
      <c r="H91" s="197">
        <v>22.08</v>
      </c>
      <c r="I91" s="198">
        <v>6</v>
      </c>
      <c r="J91" s="129">
        <v>983</v>
      </c>
      <c r="K91" s="129">
        <v>8</v>
      </c>
      <c r="L91" s="120">
        <f>Prod[[#This Row],[S1Shot]]*Prod[[#This Row],[S1Cavity]]-Prod[[#This Row],[S1Dft]]</f>
        <v>7744</v>
      </c>
      <c r="M91" s="135">
        <f>SUM(Prod[[#This Row],[S1Mold]],Prod[[#This Row],[S1Print]],Prod[[#This Row],[S1Ovlp]],Prod[[#This Row],[S1Seam]],Prod[[#This Row],[S1Dmg]])</f>
        <v>120</v>
      </c>
      <c r="N91" s="197">
        <v>22.08</v>
      </c>
      <c r="O91" s="198">
        <v>7</v>
      </c>
      <c r="P91" s="129">
        <v>1078</v>
      </c>
      <c r="Q91" s="129">
        <v>8</v>
      </c>
      <c r="R91" s="120">
        <f>Prod[[#This Row],[S2Shot]]*Prod[[#This Row],[S2Cavity]]-Prod[[#This Row],[S2Dft]]</f>
        <v>8504</v>
      </c>
      <c r="S91" s="135">
        <f>SUM(Prod[[#This Row],[S2Mold]],Prod[[#This Row],[S2Print]],Prod[[#This Row],[S2Ovlp]],Prod[[#This Row],[S2Seam]],Prod[[#This Row],[S2Dmg]])</f>
        <v>120</v>
      </c>
      <c r="T91" s="197">
        <v>0</v>
      </c>
      <c r="U91" s="198">
        <v>0</v>
      </c>
      <c r="V91" s="129">
        <v>0</v>
      </c>
      <c r="W91" s="129">
        <v>0</v>
      </c>
      <c r="X91" s="120">
        <f>Prod[[#This Row],[S3Shot]]*Prod[[#This Row],[S3Cavity]]-Prod[[#This Row],[S3Dft]]</f>
        <v>0</v>
      </c>
      <c r="Y91" s="120">
        <f>SUM(Prod[[#This Row],[S3Mold]],Prod[[#This Row],[S3Print]],Prod[[#This Row],[S3Ovlp]],Prod[[#This Row],[S3Seam]],Prod[[#This Row],[S3Dmg]])</f>
        <v>0</v>
      </c>
      <c r="Z91" s="120">
        <f>SUM(Prod[[#This Row],[S1Qty]],Prod[[#This Row],[S2Qty]],Prod[[#This Row],[S3Qty]])</f>
        <v>16248</v>
      </c>
      <c r="AA91" s="120">
        <f>SUM(Prod[[#This Row],[S1Dft]],Prod[[#This Row],[S2Dft]],Prod[[#This Row],[S3Dft]])</f>
        <v>240</v>
      </c>
      <c r="AB91" s="121">
        <f>IF(Prod[[#This Row],[Total]]=0,0,Prod[[#This Row],[TotalDft]]/Prod[[#This Row],[Total]])</f>
        <v>1.4771048744460856E-2</v>
      </c>
      <c r="AC91" s="118"/>
      <c r="AD91" s="120">
        <v>20</v>
      </c>
      <c r="AE91" s="120">
        <v>20</v>
      </c>
      <c r="AF91" s="120">
        <v>0</v>
      </c>
      <c r="AG91" s="120">
        <v>100</v>
      </c>
      <c r="AH91" s="120">
        <v>100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31">
        <f>IF(Prod[[#This Row],[S1Hrs]]=0,0,Prod[[#This Row],[S1Shot]]*Prod[[#This Row],[S1Cycle]]/(Prod[[#This Row],[S1Hrs]]*60*60))</f>
        <v>1.0048444444444444</v>
      </c>
      <c r="AT91" s="131">
        <f>IF(Prod[[#This Row],[S2Hrs]]=0,0,Prod[[#This Row],[S2Shot]]*Prod[[#This Row],[S2Cycle]]/(Prod[[#This Row],[S2Hrs]]*60*60))</f>
        <v>0.94453333333333322</v>
      </c>
      <c r="AU91" s="131">
        <f>IF(Prod[[#This Row],[S3Hrs]]=0,0,Prod[[#This Row],[S3Shot]]*Prod[[#This Row],[S3Cycle]]/(Prod[[#This Row],[S3Hrs]]*60*60))</f>
        <v>0</v>
      </c>
      <c r="AV91" s="131">
        <f>IFERROR(AVERAGEIF(Prod[[#This Row],[S1%]:[S3%]], "&lt;&gt;0"),0)</f>
        <v>0.97468888888888883</v>
      </c>
      <c r="AW91" s="131">
        <v>0</v>
      </c>
      <c r="AX91" s="131">
        <v>0</v>
      </c>
      <c r="AY91" s="131">
        <v>0</v>
      </c>
      <c r="AZ91" s="166">
        <f>IF(Prod[[#This Row],[S1Cycle]]&lt;&gt;0,1,0)</f>
        <v>1</v>
      </c>
      <c r="BA91" s="166">
        <f>IF(Prod[[#This Row],[S2Cycle]]&lt;&gt;0,1,0)</f>
        <v>1</v>
      </c>
      <c r="BB91" s="166">
        <f>IF(Prod[[#This Row],[S3Cycle]]&lt;&gt;0,1,0)</f>
        <v>0</v>
      </c>
      <c r="BC91" s="166">
        <f>MAX(Prod[[#This Row],[S1Cavity]],Prod[[#This Row],[S2Cavity]],Prod[[#This Row],[S3Cavity]])</f>
        <v>8</v>
      </c>
      <c r="BD91" s="166" t="b">
        <f>RegExpMatch(Prod[[#This Row],[MoldNo]], "^DW-(B|C)")</f>
        <v>1</v>
      </c>
    </row>
    <row r="92" spans="1:56" x14ac:dyDescent="0.2">
      <c r="A92" s="117">
        <v>45420</v>
      </c>
      <c r="B92" s="129" t="s">
        <v>187</v>
      </c>
      <c r="C92" s="130" t="s">
        <v>226</v>
      </c>
      <c r="D92" s="130">
        <v>26365</v>
      </c>
      <c r="E92" s="130" t="s">
        <v>191</v>
      </c>
      <c r="F92" s="119">
        <v>814</v>
      </c>
      <c r="G92" s="119" t="str">
        <f>IF(OR(Prod[[#This Row],[S1Hrs]]&gt;0,Prod[[#This Row],[S2Hrs]]&gt;0,Prod[[#This Row],[S3Hrs]]&gt;0),"Running","Down")</f>
        <v>Running</v>
      </c>
      <c r="H92" s="197">
        <v>0</v>
      </c>
      <c r="I92" s="198">
        <v>0</v>
      </c>
      <c r="J92" s="129">
        <v>0</v>
      </c>
      <c r="K92" s="129">
        <v>0</v>
      </c>
      <c r="L92" s="120">
        <f>Prod[[#This Row],[S1Shot]]*Prod[[#This Row],[S1Cavity]]-Prod[[#This Row],[S1Dft]]</f>
        <v>0</v>
      </c>
      <c r="M92" s="135">
        <f>SUM(Prod[[#This Row],[S1Mold]],Prod[[#This Row],[S1Print]],Prod[[#This Row],[S1Ovlp]],Prod[[#This Row],[S1Seam]],Prod[[#This Row],[S1Dmg]])</f>
        <v>0</v>
      </c>
      <c r="N92" s="197">
        <v>22.08</v>
      </c>
      <c r="O92" s="198">
        <v>1</v>
      </c>
      <c r="P92" s="129">
        <v>141</v>
      </c>
      <c r="Q92" s="129">
        <v>8</v>
      </c>
      <c r="R92" s="120">
        <f>Prod[[#This Row],[S2Shot]]*Prod[[#This Row],[S2Cavity]]-Prod[[#This Row],[S2Dft]]</f>
        <v>1103</v>
      </c>
      <c r="S92" s="135">
        <f>SUM(Prod[[#This Row],[S2Mold]],Prod[[#This Row],[S2Print]],Prod[[#This Row],[S2Ovlp]],Prod[[#This Row],[S2Seam]],Prod[[#This Row],[S2Dmg]])</f>
        <v>25</v>
      </c>
      <c r="T92" s="197">
        <v>21.99</v>
      </c>
      <c r="U92" s="198">
        <v>8</v>
      </c>
      <c r="V92" s="129">
        <v>1194</v>
      </c>
      <c r="W92" s="129">
        <v>8</v>
      </c>
      <c r="X92" s="120">
        <f>Prod[[#This Row],[S3Shot]]*Prod[[#This Row],[S3Cavity]]-Prod[[#This Row],[S3Dft]]</f>
        <v>9407</v>
      </c>
      <c r="Y92" s="120">
        <f>SUM(Prod[[#This Row],[S3Mold]],Prod[[#This Row],[S3Print]],Prod[[#This Row],[S3Ovlp]],Prod[[#This Row],[S3Seam]],Prod[[#This Row],[S3Dmg]])</f>
        <v>145</v>
      </c>
      <c r="Z92" s="120">
        <f>SUM(Prod[[#This Row],[S1Qty]],Prod[[#This Row],[S2Qty]],Prod[[#This Row],[S3Qty]])</f>
        <v>10510</v>
      </c>
      <c r="AA92" s="120">
        <f>SUM(Prod[[#This Row],[S1Dft]],Prod[[#This Row],[S2Dft]],Prod[[#This Row],[S3Dft]])</f>
        <v>170</v>
      </c>
      <c r="AB92" s="121">
        <f>IF(Prod[[#This Row],[Total]]=0,0,Prod[[#This Row],[TotalDft]]/Prod[[#This Row],[Total]])</f>
        <v>1.6175071360608945E-2</v>
      </c>
      <c r="AC92" s="130" t="s">
        <v>252</v>
      </c>
      <c r="AD92" s="120">
        <v>0</v>
      </c>
      <c r="AE92" s="120">
        <v>5</v>
      </c>
      <c r="AF92" s="120">
        <v>30</v>
      </c>
      <c r="AG92" s="120">
        <v>0</v>
      </c>
      <c r="AH92" s="120">
        <v>20</v>
      </c>
      <c r="AI92" s="120">
        <v>115</v>
      </c>
      <c r="AJ92" s="120">
        <v>0</v>
      </c>
      <c r="AK92" s="120">
        <v>0</v>
      </c>
      <c r="AL92" s="120">
        <v>0</v>
      </c>
      <c r="AM92" s="120">
        <v>0</v>
      </c>
      <c r="AN92" s="120">
        <v>0</v>
      </c>
      <c r="AO92" s="120">
        <v>0</v>
      </c>
      <c r="AP92" s="120">
        <v>0</v>
      </c>
      <c r="AQ92" s="120">
        <v>0</v>
      </c>
      <c r="AR92" s="120">
        <v>0</v>
      </c>
      <c r="AS92" s="131">
        <f>IF(Prod[[#This Row],[S1Hrs]]=0,0,Prod[[#This Row],[S1Shot]]*Prod[[#This Row],[S1Cycle]]/(Prod[[#This Row],[S1Hrs]]*60*60))</f>
        <v>0</v>
      </c>
      <c r="AT92" s="131">
        <f>IF(Prod[[#This Row],[S2Hrs]]=0,0,Prod[[#This Row],[S2Shot]]*Prod[[#This Row],[S2Cycle]]/(Prod[[#This Row],[S2Hrs]]*60*60))</f>
        <v>0.8647999999999999</v>
      </c>
      <c r="AU92" s="131">
        <f>IF(Prod[[#This Row],[S3Hrs]]=0,0,Prod[[#This Row],[S3Shot]]*Prod[[#This Row],[S3Cycle]]/(Prod[[#This Row],[S3Hrs]]*60*60))</f>
        <v>0.91166874999999992</v>
      </c>
      <c r="AV92" s="131">
        <f>IFERROR(AVERAGEIF(Prod[[#This Row],[S1%]:[S3%]], "&lt;&gt;0"),0)</f>
        <v>0.88823437499999991</v>
      </c>
      <c r="AW92" s="131">
        <v>0</v>
      </c>
      <c r="AX92" s="131">
        <v>0</v>
      </c>
      <c r="AY92" s="131">
        <v>0</v>
      </c>
      <c r="AZ92" s="166">
        <f>IF(Prod[[#This Row],[S1Cycle]]&lt;&gt;0,1,0)</f>
        <v>0</v>
      </c>
      <c r="BA92" s="166">
        <f>IF(Prod[[#This Row],[S2Cycle]]&lt;&gt;0,1,0)</f>
        <v>1</v>
      </c>
      <c r="BB92" s="166">
        <f>IF(Prod[[#This Row],[S3Cycle]]&lt;&gt;0,1,0)</f>
        <v>1</v>
      </c>
      <c r="BC92" s="166">
        <f>MAX(Prod[[#This Row],[S1Cavity]],Prod[[#This Row],[S2Cavity]],Prod[[#This Row],[S3Cavity]])</f>
        <v>8</v>
      </c>
      <c r="BD92" s="166" t="b">
        <f>RegExpMatch(Prod[[#This Row],[MoldNo]], "^DW-(B|C)")</f>
        <v>1</v>
      </c>
    </row>
    <row r="93" spans="1:56" x14ac:dyDescent="0.2">
      <c r="A93" s="117">
        <v>45420</v>
      </c>
      <c r="B93" s="129" t="s">
        <v>225</v>
      </c>
      <c r="C93" s="130" t="s">
        <v>226</v>
      </c>
      <c r="D93" s="130" t="s">
        <v>237</v>
      </c>
      <c r="E93" s="130" t="s">
        <v>191</v>
      </c>
      <c r="F93" s="119">
        <v>814</v>
      </c>
      <c r="G93" s="119" t="str">
        <f>IF(OR(Prod[[#This Row],[S1Hrs]]&gt;0,Prod[[#This Row],[S2Hrs]]&gt;0,Prod[[#This Row],[S3Hrs]]&gt;0),"Running","Down")</f>
        <v>Running</v>
      </c>
      <c r="H93" s="197">
        <v>17.25</v>
      </c>
      <c r="I93" s="198">
        <v>8</v>
      </c>
      <c r="J93" s="129">
        <v>1541</v>
      </c>
      <c r="K93" s="129">
        <v>8</v>
      </c>
      <c r="L93" s="120">
        <f>Prod[[#This Row],[S1Shot]]*Prod[[#This Row],[S1Cavity]]-Prod[[#This Row],[S1Dft]]</f>
        <v>12188</v>
      </c>
      <c r="M93" s="135">
        <f>SUM(Prod[[#This Row],[S1Mold]],Prod[[#This Row],[S1Print]],Prod[[#This Row],[S1Ovlp]],Prod[[#This Row],[S1Seam]],Prod[[#This Row],[S1Dmg]])</f>
        <v>140</v>
      </c>
      <c r="N93" s="197">
        <v>17.29</v>
      </c>
      <c r="O93" s="198">
        <v>8</v>
      </c>
      <c r="P93" s="129">
        <v>1638</v>
      </c>
      <c r="Q93" s="129">
        <v>8</v>
      </c>
      <c r="R93" s="120">
        <f>Prod[[#This Row],[S2Shot]]*Prod[[#This Row],[S2Cavity]]-Prod[[#This Row],[S2Dft]]</f>
        <v>12974</v>
      </c>
      <c r="S93" s="135">
        <f>SUM(Prod[[#This Row],[S2Mold]],Prod[[#This Row],[S2Print]],Prod[[#This Row],[S2Ovlp]],Prod[[#This Row],[S2Seam]],Prod[[#This Row],[S2Dmg]])</f>
        <v>130</v>
      </c>
      <c r="T93" s="197">
        <v>17.899999999999999</v>
      </c>
      <c r="U93" s="198">
        <v>8</v>
      </c>
      <c r="V93" s="129">
        <v>1582</v>
      </c>
      <c r="W93" s="129">
        <v>8</v>
      </c>
      <c r="X93" s="120">
        <f>Prod[[#This Row],[S3Shot]]*Prod[[#This Row],[S3Cavity]]-Prod[[#This Row],[S3Dft]]</f>
        <v>12511</v>
      </c>
      <c r="Y93" s="120">
        <f>SUM(Prod[[#This Row],[S3Mold]],Prod[[#This Row],[S3Print]],Prod[[#This Row],[S3Ovlp]],Prod[[#This Row],[S3Seam]],Prod[[#This Row],[S3Dmg]])</f>
        <v>145</v>
      </c>
      <c r="Z93" s="120">
        <f>SUM(Prod[[#This Row],[S1Qty]],Prod[[#This Row],[S2Qty]],Prod[[#This Row],[S3Qty]])</f>
        <v>37673</v>
      </c>
      <c r="AA93" s="120">
        <f>SUM(Prod[[#This Row],[S1Dft]],Prod[[#This Row],[S2Dft]],Prod[[#This Row],[S3Dft]])</f>
        <v>415</v>
      </c>
      <c r="AB93" s="121">
        <f>IF(Prod[[#This Row],[Total]]=0,0,Prod[[#This Row],[TotalDft]]/Prod[[#This Row],[Total]])</f>
        <v>1.1015846893000293E-2</v>
      </c>
      <c r="AC93" s="118"/>
      <c r="AD93" s="120">
        <v>25</v>
      </c>
      <c r="AE93" s="120">
        <v>20</v>
      </c>
      <c r="AF93" s="120">
        <v>20</v>
      </c>
      <c r="AG93" s="120">
        <v>115</v>
      </c>
      <c r="AH93" s="120">
        <v>110</v>
      </c>
      <c r="AI93" s="120">
        <v>125</v>
      </c>
      <c r="AJ93" s="120">
        <v>0</v>
      </c>
      <c r="AK93" s="120">
        <v>0</v>
      </c>
      <c r="AL93" s="120">
        <v>0</v>
      </c>
      <c r="AM93" s="120">
        <v>0</v>
      </c>
      <c r="AN93" s="120">
        <v>0</v>
      </c>
      <c r="AO93" s="120">
        <v>0</v>
      </c>
      <c r="AP93" s="120">
        <v>0</v>
      </c>
      <c r="AQ93" s="120">
        <v>0</v>
      </c>
      <c r="AR93" s="120">
        <v>0</v>
      </c>
      <c r="AS93" s="131">
        <f>IF(Prod[[#This Row],[S1Hrs]]=0,0,Prod[[#This Row],[S1Shot]]*Prod[[#This Row],[S1Cycle]]/(Prod[[#This Row],[S1Hrs]]*60*60))</f>
        <v>0.92299479166666665</v>
      </c>
      <c r="AT93" s="131">
        <f>IF(Prod[[#This Row],[S2Hrs]]=0,0,Prod[[#This Row],[S2Shot]]*Prod[[#This Row],[S2Cycle]]/(Prod[[#This Row],[S2Hrs]]*60*60))</f>
        <v>0.9833687499999999</v>
      </c>
      <c r="AU93" s="131">
        <f>IF(Prod[[#This Row],[S3Hrs]]=0,0,Prod[[#This Row],[S3Shot]]*Prod[[#This Row],[S3Cycle]]/(Prod[[#This Row],[S3Hrs]]*60*60))</f>
        <v>0.98325694444444445</v>
      </c>
      <c r="AV93" s="131">
        <f>IFERROR(AVERAGEIF(Prod[[#This Row],[S1%]:[S3%]], "&lt;&gt;0"),0)</f>
        <v>0.96320682870370355</v>
      </c>
      <c r="AW93" s="131">
        <v>0</v>
      </c>
      <c r="AX93" s="131">
        <v>0</v>
      </c>
      <c r="AY93" s="131">
        <v>0</v>
      </c>
      <c r="AZ93" s="166">
        <f>IF(Prod[[#This Row],[S1Cycle]]&lt;&gt;0,1,0)</f>
        <v>1</v>
      </c>
      <c r="BA93" s="166">
        <f>IF(Prod[[#This Row],[S2Cycle]]&lt;&gt;0,1,0)</f>
        <v>1</v>
      </c>
      <c r="BB93" s="166">
        <f>IF(Prod[[#This Row],[S3Cycle]]&lt;&gt;0,1,0)</f>
        <v>1</v>
      </c>
      <c r="BC93" s="166">
        <f>MAX(Prod[[#This Row],[S1Cavity]],Prod[[#This Row],[S2Cavity]],Prod[[#This Row],[S3Cavity]])</f>
        <v>8</v>
      </c>
      <c r="BD93" s="166" t="b">
        <f>RegExpMatch(Prod[[#This Row],[MoldNo]], "^DW-(B|C)")</f>
        <v>1</v>
      </c>
    </row>
    <row r="94" spans="1:56" x14ac:dyDescent="0.2">
      <c r="A94" s="117">
        <v>45420</v>
      </c>
      <c r="B94" s="129" t="s">
        <v>181</v>
      </c>
      <c r="C94" s="130" t="s">
        <v>182</v>
      </c>
      <c r="D94" s="119">
        <v>26367</v>
      </c>
      <c r="E94" s="130" t="s">
        <v>191</v>
      </c>
      <c r="F94" s="119">
        <v>814</v>
      </c>
      <c r="G94" s="119" t="str">
        <f>IF(OR(Prod[[#This Row],[S1Hrs]]&gt;0,Prod[[#This Row],[S2Hrs]]&gt;0,Prod[[#This Row],[S3Hrs]]&gt;0),"Running","Down")</f>
        <v>Running</v>
      </c>
      <c r="H94" s="197">
        <v>21.62</v>
      </c>
      <c r="I94" s="198">
        <v>7</v>
      </c>
      <c r="J94" s="129">
        <v>1229</v>
      </c>
      <c r="K94" s="129">
        <v>16</v>
      </c>
      <c r="L94" s="120">
        <f>Prod[[#This Row],[S1Shot]]*Prod[[#This Row],[S1Cavity]]-Prod[[#This Row],[S1Dft]]</f>
        <v>19664</v>
      </c>
      <c r="M94" s="133"/>
      <c r="N94" s="197">
        <v>21.61</v>
      </c>
      <c r="O94" s="198">
        <v>8</v>
      </c>
      <c r="P94" s="129">
        <v>1414</v>
      </c>
      <c r="Q94" s="129">
        <v>16</v>
      </c>
      <c r="R94" s="120">
        <f>Prod[[#This Row],[S2Shot]]*Prod[[#This Row],[S2Cavity]]-Prod[[#This Row],[S2Dft]]</f>
        <v>22624</v>
      </c>
      <c r="S94" s="133"/>
      <c r="T94" s="197">
        <v>21.61</v>
      </c>
      <c r="U94" s="198">
        <v>8</v>
      </c>
      <c r="V94" s="129">
        <v>1211</v>
      </c>
      <c r="W94" s="129">
        <v>16</v>
      </c>
      <c r="X94" s="120">
        <f>Prod[[#This Row],[S3Shot]]*Prod[[#This Row],[S3Cavity]]-Prod[[#This Row],[S3Dft]]</f>
        <v>19376</v>
      </c>
      <c r="Y94" s="133"/>
      <c r="Z94" s="120">
        <f>SUM(Prod[[#This Row],[S1Qty]],Prod[[#This Row],[S2Qty]],Prod[[#This Row],[S3Qty]])</f>
        <v>61664</v>
      </c>
      <c r="AA94" s="133"/>
      <c r="AB94" s="134"/>
      <c r="AC94" s="118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1">
        <f>IF(Prod[[#This Row],[S1Hrs]]=0,0,Prod[[#This Row],[S1Shot]]*Prod[[#This Row],[S1Cycle]]/(Prod[[#This Row],[S1Hrs]]*60*60))</f>
        <v>1.0544039682539683</v>
      </c>
      <c r="AT94" s="131">
        <f>IF(Prod[[#This Row],[S2Hrs]]=0,0,Prod[[#This Row],[S2Shot]]*Prod[[#This Row],[S2Cycle]]/(Prod[[#This Row],[S2Hrs]]*60*60))</f>
        <v>1.0609909722222222</v>
      </c>
      <c r="AU94" s="131">
        <f>IF(Prod[[#This Row],[S3Hrs]]=0,0,Prod[[#This Row],[S3Shot]]*Prod[[#This Row],[S3Cycle]]/(Prod[[#This Row],[S3Hrs]]*60*60))</f>
        <v>0.90867048611111112</v>
      </c>
      <c r="AV94" s="131">
        <f>IFERROR(AVERAGEIF(Prod[[#This Row],[S1%]:[S3%]], "&lt;&gt;0"),0)</f>
        <v>1.008021808862434</v>
      </c>
      <c r="AW94" s="131">
        <v>0</v>
      </c>
      <c r="AX94" s="131">
        <v>0</v>
      </c>
      <c r="AY94" s="131">
        <v>0</v>
      </c>
      <c r="AZ94" s="166">
        <f>IF(Prod[[#This Row],[S1Cycle]]&lt;&gt;0,1,0)</f>
        <v>1</v>
      </c>
      <c r="BA94" s="166">
        <f>IF(Prod[[#This Row],[S2Cycle]]&lt;&gt;0,1,0)</f>
        <v>1</v>
      </c>
      <c r="BB94" s="166">
        <f>IF(Prod[[#This Row],[S3Cycle]]&lt;&gt;0,1,0)</f>
        <v>1</v>
      </c>
      <c r="BC94" s="166">
        <f>MAX(Prod[[#This Row],[S1Cavity]],Prod[[#This Row],[S2Cavity]],Prod[[#This Row],[S3Cavity]])</f>
        <v>16</v>
      </c>
      <c r="BD94" s="166" t="b">
        <f>RegExpMatch(Prod[[#This Row],[MoldNo]], "^DW-(B|C)")</f>
        <v>0</v>
      </c>
    </row>
    <row r="95" spans="1:56" x14ac:dyDescent="0.2">
      <c r="A95" s="117">
        <v>45421</v>
      </c>
      <c r="B95" s="120" t="s">
        <v>172</v>
      </c>
      <c r="C95" s="119" t="s">
        <v>173</v>
      </c>
      <c r="D95" s="119">
        <v>26363</v>
      </c>
      <c r="E95" s="130" t="s">
        <v>92</v>
      </c>
      <c r="F95" s="119">
        <v>814</v>
      </c>
      <c r="G95" s="119" t="str">
        <f>IF(OR(Prod[[#This Row],[S1Hrs]]&gt;0,Prod[[#This Row],[S2Hrs]]&gt;0,Prod[[#This Row],[S3Hrs]]&gt;0),"Running","Down")</f>
        <v>Running</v>
      </c>
      <c r="H95" s="197">
        <v>16.43</v>
      </c>
      <c r="I95" s="198">
        <v>8</v>
      </c>
      <c r="J95" s="129">
        <v>1704</v>
      </c>
      <c r="K95" s="129">
        <v>16</v>
      </c>
      <c r="L95" s="120">
        <f>Prod[[#This Row],[S1Shot]]*Prod[[#This Row],[S1Cavity]]-Prod[[#This Row],[S1Dft]]</f>
        <v>27264</v>
      </c>
      <c r="M95" s="133"/>
      <c r="N95" s="197">
        <v>16.43</v>
      </c>
      <c r="O95" s="198">
        <v>8</v>
      </c>
      <c r="P95" s="129">
        <v>1895</v>
      </c>
      <c r="Q95" s="129">
        <v>16</v>
      </c>
      <c r="R95" s="120">
        <f>Prod[[#This Row],[S2Shot]]*Prod[[#This Row],[S2Cavity]]-Prod[[#This Row],[S2Dft]]</f>
        <v>30320</v>
      </c>
      <c r="S95" s="133"/>
      <c r="T95" s="197">
        <v>16.440000000000001</v>
      </c>
      <c r="U95" s="198">
        <v>8</v>
      </c>
      <c r="V95" s="129">
        <v>1693</v>
      </c>
      <c r="W95" s="129">
        <v>16</v>
      </c>
      <c r="X95" s="120">
        <f>Prod[[#This Row],[S3Shot]]*Prod[[#This Row],[S3Cavity]]-Prod[[#This Row],[S3Dft]]</f>
        <v>27088</v>
      </c>
      <c r="Y95" s="133"/>
      <c r="Z95" s="120">
        <f>SUM(Prod[[#This Row],[S1Qty]],Prod[[#This Row],[S2Qty]],Prod[[#This Row],[S3Qty]])</f>
        <v>84672</v>
      </c>
      <c r="AA95" s="133"/>
      <c r="AB95" s="134"/>
      <c r="AC95" s="118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1">
        <f>IF(Prod[[#This Row],[S1Hrs]]=0,0,Prod[[#This Row],[S1Shot]]*Prod[[#This Row],[S1Cycle]]/(Prod[[#This Row],[S1Hrs]]*60*60))</f>
        <v>0.97210833333333335</v>
      </c>
      <c r="AT95" s="131">
        <f>IF(Prod[[#This Row],[S2Hrs]]=0,0,Prod[[#This Row],[S2Shot]]*Prod[[#This Row],[S2Cycle]]/(Prod[[#This Row],[S2Hrs]]*60*60))</f>
        <v>1.0810711805555555</v>
      </c>
      <c r="AU95" s="131">
        <f>IF(Prod[[#This Row],[S3Hrs]]=0,0,Prod[[#This Row],[S3Shot]]*Prod[[#This Row],[S3Cycle]]/(Prod[[#This Row],[S3Hrs]]*60*60))</f>
        <v>0.9664208333333334</v>
      </c>
      <c r="AV95" s="131">
        <f>IFERROR(AVERAGEIF(Prod[[#This Row],[S1%]:[S3%]], "&lt;&gt;0"),0)</f>
        <v>1.006533449074074</v>
      </c>
      <c r="AW95" s="131">
        <v>0</v>
      </c>
      <c r="AX95" s="131">
        <v>0</v>
      </c>
      <c r="AY95" s="131">
        <v>0</v>
      </c>
      <c r="AZ95" s="166">
        <f>IF(Prod[[#This Row],[S1Cycle]]&lt;&gt;0,1,0)</f>
        <v>1</v>
      </c>
      <c r="BA95" s="166">
        <f>IF(Prod[[#This Row],[S2Cycle]]&lt;&gt;0,1,0)</f>
        <v>1</v>
      </c>
      <c r="BB95" s="166">
        <f>IF(Prod[[#This Row],[S3Cycle]]&lt;&gt;0,1,0)</f>
        <v>1</v>
      </c>
      <c r="BC95" s="166">
        <f>MAX(Prod[[#This Row],[S1Cavity]],Prod[[#This Row],[S2Cavity]],Prod[[#This Row],[S3Cavity]])</f>
        <v>16</v>
      </c>
      <c r="BD95" s="166" t="b">
        <f>RegExpMatch(Prod[[#This Row],[MoldNo]], "^DW-(B|C)")</f>
        <v>0</v>
      </c>
    </row>
    <row r="96" spans="1:56" x14ac:dyDescent="0.2">
      <c r="A96" s="117">
        <v>45421</v>
      </c>
      <c r="B96" s="119" t="s">
        <v>179</v>
      </c>
      <c r="C96" s="119" t="s">
        <v>180</v>
      </c>
      <c r="D96" s="119">
        <v>26363</v>
      </c>
      <c r="E96" s="130" t="s">
        <v>92</v>
      </c>
      <c r="F96" s="119">
        <v>814</v>
      </c>
      <c r="G96" s="119" t="str">
        <f>IF(OR(Prod[[#This Row],[S1Hrs]]&gt;0,Prod[[#This Row],[S2Hrs]]&gt;0,Prod[[#This Row],[S3Hrs]]&gt;0),"Running","Down")</f>
        <v>Running</v>
      </c>
      <c r="H96" s="197">
        <v>11.95</v>
      </c>
      <c r="I96" s="198">
        <v>8</v>
      </c>
      <c r="J96" s="129">
        <v>2029</v>
      </c>
      <c r="K96" s="129">
        <v>16</v>
      </c>
      <c r="L96" s="120">
        <f>Prod[[#This Row],[S1Shot]]*Prod[[#This Row],[S1Cavity]]-Prod[[#This Row],[S1Dft]]</f>
        <v>32464</v>
      </c>
      <c r="M96" s="133"/>
      <c r="N96" s="197">
        <v>11.95</v>
      </c>
      <c r="O96" s="198">
        <v>8</v>
      </c>
      <c r="P96" s="129">
        <v>2596</v>
      </c>
      <c r="Q96" s="129">
        <v>16</v>
      </c>
      <c r="R96" s="120">
        <f>Prod[[#This Row],[S2Shot]]*Prod[[#This Row],[S2Cavity]]-Prod[[#This Row],[S2Dft]]</f>
        <v>41536</v>
      </c>
      <c r="S96" s="133"/>
      <c r="T96" s="197">
        <v>11.95</v>
      </c>
      <c r="U96" s="198">
        <v>8</v>
      </c>
      <c r="V96" s="129">
        <v>2224</v>
      </c>
      <c r="W96" s="129">
        <v>16</v>
      </c>
      <c r="X96" s="120">
        <f>Prod[[#This Row],[S3Shot]]*Prod[[#This Row],[S3Cavity]]-Prod[[#This Row],[S3Dft]]</f>
        <v>35584</v>
      </c>
      <c r="Y96" s="133"/>
      <c r="Z96" s="120">
        <f>SUM(Prod[[#This Row],[S1Qty]],Prod[[#This Row],[S2Qty]],Prod[[#This Row],[S3Qty]])</f>
        <v>109584</v>
      </c>
      <c r="AA96" s="133"/>
      <c r="AB96" s="134"/>
      <c r="AC96" s="130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1">
        <f>IF(Prod[[#This Row],[S1Hrs]]=0,0,Prod[[#This Row],[S1Shot]]*Prod[[#This Row],[S1Cycle]]/(Prod[[#This Row],[S1Hrs]]*60*60))</f>
        <v>0.84189409722222219</v>
      </c>
      <c r="AT96" s="131">
        <f>IF(Prod[[#This Row],[S2Hrs]]=0,0,Prod[[#This Row],[S2Shot]]*Prod[[#This Row],[S2Cycle]]/(Prod[[#This Row],[S2Hrs]]*60*60))</f>
        <v>1.0771597222222222</v>
      </c>
      <c r="AU96" s="131">
        <f>IF(Prod[[#This Row],[S3Hrs]]=0,0,Prod[[#This Row],[S3Shot]]*Prod[[#This Row],[S3Cycle]]/(Prod[[#This Row],[S3Hrs]]*60*60))</f>
        <v>0.92280555555555555</v>
      </c>
      <c r="AV96" s="131">
        <f>IFERROR(AVERAGEIF(Prod[[#This Row],[S1%]:[S3%]], "&lt;&gt;0"),0)</f>
        <v>0.94728645833333325</v>
      </c>
      <c r="AW96" s="131">
        <v>0</v>
      </c>
      <c r="AX96" s="131">
        <v>0</v>
      </c>
      <c r="AY96" s="131">
        <v>0</v>
      </c>
      <c r="AZ96" s="166">
        <f>IF(Prod[[#This Row],[S1Cycle]]&lt;&gt;0,1,0)</f>
        <v>1</v>
      </c>
      <c r="BA96" s="166">
        <f>IF(Prod[[#This Row],[S2Cycle]]&lt;&gt;0,1,0)</f>
        <v>1</v>
      </c>
      <c r="BB96" s="166">
        <f>IF(Prod[[#This Row],[S3Cycle]]&lt;&gt;0,1,0)</f>
        <v>1</v>
      </c>
      <c r="BC96" s="166">
        <f>MAX(Prod[[#This Row],[S1Cavity]],Prod[[#This Row],[S2Cavity]],Prod[[#This Row],[S3Cavity]])</f>
        <v>16</v>
      </c>
      <c r="BD96" s="166" t="b">
        <f>RegExpMatch(Prod[[#This Row],[MoldNo]], "^DW-(B|C)")</f>
        <v>0</v>
      </c>
    </row>
    <row r="97" spans="1:56" x14ac:dyDescent="0.2">
      <c r="A97" s="117">
        <v>45421</v>
      </c>
      <c r="B97" s="129" t="s">
        <v>216</v>
      </c>
      <c r="C97" s="130" t="s">
        <v>217</v>
      </c>
      <c r="D97" s="119" t="s">
        <v>249</v>
      </c>
      <c r="E97" s="130" t="s">
        <v>191</v>
      </c>
      <c r="F97" s="119">
        <v>814</v>
      </c>
      <c r="G97" s="119" t="str">
        <f>IF(OR(Prod[[#This Row],[S1Hrs]]&gt;0,Prod[[#This Row],[S2Hrs]]&gt;0,Prod[[#This Row],[S3Hrs]]&gt;0),"Running","Down")</f>
        <v>Running</v>
      </c>
      <c r="H97" s="197">
        <v>19.59</v>
      </c>
      <c r="I97" s="198">
        <v>8</v>
      </c>
      <c r="J97" s="129">
        <v>1399</v>
      </c>
      <c r="K97" s="129">
        <v>8</v>
      </c>
      <c r="L97" s="120">
        <f>Prod[[#This Row],[S1Shot]]*Prod[[#This Row],[S1Cavity]]-Prod[[#This Row],[S1Dft]]</f>
        <v>11042</v>
      </c>
      <c r="M97" s="135">
        <f>SUM(Prod[[#This Row],[S1Mold]],Prod[[#This Row],[S1Print]],Prod[[#This Row],[S1Ovlp]],Prod[[#This Row],[S1Seam]],Prod[[#This Row],[S1Dmg]])</f>
        <v>150</v>
      </c>
      <c r="N97" s="197">
        <v>19.59</v>
      </c>
      <c r="O97" s="198">
        <v>8</v>
      </c>
      <c r="P97" s="129">
        <v>1449</v>
      </c>
      <c r="Q97" s="129">
        <v>8</v>
      </c>
      <c r="R97" s="120">
        <f>Prod[[#This Row],[S2Shot]]*Prod[[#This Row],[S2Cavity]]-Prod[[#This Row],[S2Dft]]</f>
        <v>11437</v>
      </c>
      <c r="S97" s="135">
        <f>SUM(Prod[[#This Row],[S2Mold]],Prod[[#This Row],[S2Print]],Prod[[#This Row],[S2Ovlp]],Prod[[#This Row],[S2Seam]],Prod[[#This Row],[S2Dmg]])</f>
        <v>155</v>
      </c>
      <c r="T97" s="197">
        <v>20.12</v>
      </c>
      <c r="U97" s="198">
        <v>7</v>
      </c>
      <c r="V97" s="129">
        <f>762+492</f>
        <v>1254</v>
      </c>
      <c r="W97" s="129">
        <v>8</v>
      </c>
      <c r="X97" s="120">
        <f>Prod[[#This Row],[S3Shot]]*Prod[[#This Row],[S3Cavity]]-Prod[[#This Row],[S3Dft]]</f>
        <v>9882</v>
      </c>
      <c r="Y97" s="120">
        <f>SUM(Prod[[#This Row],[S3Mold]],Prod[[#This Row],[S3Print]],Prod[[#This Row],[S3Ovlp]],Prod[[#This Row],[S3Seam]],Prod[[#This Row],[S3Dmg]])</f>
        <v>150</v>
      </c>
      <c r="Z97" s="120">
        <f>SUM(Prod[[#This Row],[S1Qty]],Prod[[#This Row],[S2Qty]],Prod[[#This Row],[S3Qty]])</f>
        <v>32361</v>
      </c>
      <c r="AA97" s="120">
        <f>SUM(Prod[[#This Row],[S1Dft]],Prod[[#This Row],[S2Dft]],Prod[[#This Row],[S3Dft]])</f>
        <v>455</v>
      </c>
      <c r="AB97" s="121">
        <f>IF(Prod[[#This Row],[Total]]=0,0,Prod[[#This Row],[TotalDft]]/Prod[[#This Row],[Total]])</f>
        <v>1.4060134112048454E-2</v>
      </c>
      <c r="AC97" s="130" t="s">
        <v>262</v>
      </c>
      <c r="AD97" s="120">
        <v>30</v>
      </c>
      <c r="AE97" s="120">
        <v>35</v>
      </c>
      <c r="AF97" s="120">
        <v>35</v>
      </c>
      <c r="AG97" s="120">
        <v>120</v>
      </c>
      <c r="AH97" s="120">
        <v>120</v>
      </c>
      <c r="AI97" s="120">
        <v>115</v>
      </c>
      <c r="AJ97" s="120">
        <v>0</v>
      </c>
      <c r="AK97" s="120">
        <v>0</v>
      </c>
      <c r="AL97" s="120">
        <v>0</v>
      </c>
      <c r="AM97" s="120">
        <v>0</v>
      </c>
      <c r="AN97" s="120">
        <v>0</v>
      </c>
      <c r="AO97" s="120">
        <v>0</v>
      </c>
      <c r="AP97" s="120">
        <v>0</v>
      </c>
      <c r="AQ97" s="120">
        <v>0</v>
      </c>
      <c r="AR97" s="120">
        <v>0</v>
      </c>
      <c r="AS97" s="131">
        <f>IF(Prod[[#This Row],[S1Hrs]]=0,0,Prod[[#This Row],[S1Shot]]*Prod[[#This Row],[S1Cycle]]/(Prod[[#This Row],[S1Hrs]]*60*60))</f>
        <v>0.95161145833333338</v>
      </c>
      <c r="AT97" s="131">
        <f>IF(Prod[[#This Row],[S2Hrs]]=0,0,Prod[[#This Row],[S2Shot]]*Prod[[#This Row],[S2Cycle]]/(Prod[[#This Row],[S2Hrs]]*60*60))</f>
        <v>0.98562187499999998</v>
      </c>
      <c r="AU97" s="131">
        <f>IF(Prod[[#This Row],[S3Hrs]]=0,0,Prod[[#This Row],[S3Shot]]*Prod[[#This Row],[S3Cycle]]/(Prod[[#This Row],[S3Hrs]]*60*60))</f>
        <v>1.0012095238095238</v>
      </c>
      <c r="AV97" s="131">
        <f>IFERROR(AVERAGEIF(Prod[[#This Row],[S1%]:[S3%]], "&lt;&gt;0"),0)</f>
        <v>0.97948095238095245</v>
      </c>
      <c r="AW97" s="131">
        <v>0</v>
      </c>
      <c r="AX97" s="131">
        <v>0</v>
      </c>
      <c r="AY97" s="131">
        <v>0</v>
      </c>
      <c r="AZ97" s="166">
        <f>IF(Prod[[#This Row],[S1Cycle]]&lt;&gt;0,1,0)</f>
        <v>1</v>
      </c>
      <c r="BA97" s="166">
        <f>IF(Prod[[#This Row],[S2Cycle]]&lt;&gt;0,1,0)</f>
        <v>1</v>
      </c>
      <c r="BB97" s="166">
        <f>IF(Prod[[#This Row],[S3Cycle]]&lt;&gt;0,1,0)</f>
        <v>1</v>
      </c>
      <c r="BC97" s="166">
        <f>MAX(Prod[[#This Row],[S1Cavity]],Prod[[#This Row],[S2Cavity]],Prod[[#This Row],[S3Cavity]])</f>
        <v>8</v>
      </c>
      <c r="BD97" s="166" t="b">
        <f>RegExpMatch(Prod[[#This Row],[MoldNo]], "^DW-(B|C)")</f>
        <v>1</v>
      </c>
    </row>
    <row r="98" spans="1:56" x14ac:dyDescent="0.2">
      <c r="A98" s="117">
        <v>45421</v>
      </c>
      <c r="B98" s="129" t="s">
        <v>192</v>
      </c>
      <c r="C98" s="130" t="s">
        <v>174</v>
      </c>
      <c r="D98" s="119"/>
      <c r="E98" s="130"/>
      <c r="F98" s="119"/>
      <c r="G98" s="119" t="str">
        <f>IF(OR(Prod[[#This Row],[S1Hrs]]&gt;0,Prod[[#This Row],[S2Hrs]]&gt;0,Prod[[#This Row],[S3Hrs]]&gt;0),"Running","Down")</f>
        <v>Down</v>
      </c>
      <c r="H98" s="197">
        <v>0</v>
      </c>
      <c r="I98" s="198">
        <v>0</v>
      </c>
      <c r="J98" s="129">
        <v>0</v>
      </c>
      <c r="K98" s="129">
        <v>0</v>
      </c>
      <c r="L98" s="120">
        <f>Prod[[#This Row],[S1Shot]]*Prod[[#This Row],[S1Cavity]]-Prod[[#This Row],[S1Dft]]</f>
        <v>0</v>
      </c>
      <c r="M98" s="133"/>
      <c r="N98" s="197">
        <v>0</v>
      </c>
      <c r="O98" s="198">
        <v>0</v>
      </c>
      <c r="P98" s="129">
        <v>0</v>
      </c>
      <c r="Q98" s="129">
        <v>0</v>
      </c>
      <c r="R98" s="120">
        <f>Prod[[#This Row],[S2Shot]]*Prod[[#This Row],[S2Cavity]]-Prod[[#This Row],[S2Dft]]</f>
        <v>0</v>
      </c>
      <c r="S98" s="133"/>
      <c r="T98" s="197">
        <v>0</v>
      </c>
      <c r="U98" s="198">
        <v>0</v>
      </c>
      <c r="V98" s="129">
        <v>0</v>
      </c>
      <c r="W98" s="129">
        <v>0</v>
      </c>
      <c r="X98" s="120">
        <f>Prod[[#This Row],[S3Shot]]*Prod[[#This Row],[S3Cavity]]-Prod[[#This Row],[S3Dft]]</f>
        <v>0</v>
      </c>
      <c r="Y98" s="133"/>
      <c r="Z98" s="120">
        <f>SUM(Prod[[#This Row],[S1Qty]],Prod[[#This Row],[S2Qty]],Prod[[#This Row],[S3Qty]])</f>
        <v>0</v>
      </c>
      <c r="AA98" s="133"/>
      <c r="AB98" s="134"/>
      <c r="AC98" s="130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1">
        <f>IF(Prod[[#This Row],[S1Hrs]]=0,0,Prod[[#This Row],[S1Shot]]*Prod[[#This Row],[S1Cycle]]/(Prod[[#This Row],[S1Hrs]]*60*60))</f>
        <v>0</v>
      </c>
      <c r="AT98" s="131">
        <f>IF(Prod[[#This Row],[S2Hrs]]=0,0,Prod[[#This Row],[S2Shot]]*Prod[[#This Row],[S2Cycle]]/(Prod[[#This Row],[S2Hrs]]*60*60))</f>
        <v>0</v>
      </c>
      <c r="AU98" s="131">
        <f>IF(Prod[[#This Row],[S3Hrs]]=0,0,Prod[[#This Row],[S3Shot]]*Prod[[#This Row],[S3Cycle]]/(Prod[[#This Row],[S3Hrs]]*60*60))</f>
        <v>0</v>
      </c>
      <c r="AV98" s="131">
        <f>IFERROR(AVERAGEIF(Prod[[#This Row],[S1%]:[S3%]], "&lt;&gt;0"),0)</f>
        <v>0</v>
      </c>
      <c r="AW98" s="131">
        <v>0</v>
      </c>
      <c r="AX98" s="131">
        <v>0</v>
      </c>
      <c r="AY98" s="131">
        <v>0</v>
      </c>
      <c r="AZ98" s="166">
        <f>IF(Prod[[#This Row],[S1Cycle]]&lt;&gt;0,1,0)</f>
        <v>0</v>
      </c>
      <c r="BA98" s="166">
        <f>IF(Prod[[#This Row],[S2Cycle]]&lt;&gt;0,1,0)</f>
        <v>0</v>
      </c>
      <c r="BB98" s="166">
        <f>IF(Prod[[#This Row],[S3Cycle]]&lt;&gt;0,1,0)</f>
        <v>0</v>
      </c>
      <c r="BC98" s="166">
        <f>MAX(Prod[[#This Row],[S1Cavity]],Prod[[#This Row],[S2Cavity]],Prod[[#This Row],[S3Cavity]])</f>
        <v>0</v>
      </c>
      <c r="BD98" s="166" t="b">
        <f>RegExpMatch(Prod[[#This Row],[MoldNo]], "^DW-(B|C)")</f>
        <v>0</v>
      </c>
    </row>
    <row r="99" spans="1:56" x14ac:dyDescent="0.2">
      <c r="A99" s="117">
        <v>45421</v>
      </c>
      <c r="B99" s="120" t="s">
        <v>175</v>
      </c>
      <c r="C99" s="119" t="s">
        <v>178</v>
      </c>
      <c r="D99" s="130">
        <v>25157</v>
      </c>
      <c r="E99" s="130" t="s">
        <v>191</v>
      </c>
      <c r="F99" s="119">
        <v>814</v>
      </c>
      <c r="G99" s="119" t="str">
        <f>IF(OR(Prod[[#This Row],[S1Hrs]]&gt;0,Prod[[#This Row],[S2Hrs]]&gt;0,Prod[[#This Row],[S3Hrs]]&gt;0),"Running","Down")</f>
        <v>Running</v>
      </c>
      <c r="H99" s="197">
        <v>19.989999999999998</v>
      </c>
      <c r="I99" s="198">
        <v>5</v>
      </c>
      <c r="J99" s="129">
        <v>940</v>
      </c>
      <c r="K99" s="129">
        <v>8</v>
      </c>
      <c r="L99" s="120">
        <f>Prod[[#This Row],[S1Shot]]*Prod[[#This Row],[S1Cavity]]-Prod[[#This Row],[S1Dft]]</f>
        <v>7395</v>
      </c>
      <c r="M99" s="135">
        <f>SUM(Prod[[#This Row],[S1Mold]],Prod[[#This Row],[S1Print]],Prod[[#This Row],[S1Ovlp]],Prod[[#This Row],[S1Seam]],Prod[[#This Row],[S1Dmg]])</f>
        <v>125</v>
      </c>
      <c r="N99" s="197">
        <v>19.989999999999998</v>
      </c>
      <c r="O99" s="198">
        <v>6</v>
      </c>
      <c r="P99" s="129">
        <v>1021</v>
      </c>
      <c r="Q99" s="129">
        <v>8</v>
      </c>
      <c r="R99" s="120">
        <f>Prod[[#This Row],[S2Shot]]*Prod[[#This Row],[S2Cavity]]-Prod[[#This Row],[S2Dft]]</f>
        <v>8043</v>
      </c>
      <c r="S99" s="135">
        <f>SUM(Prod[[#This Row],[S2Mold]],Prod[[#This Row],[S2Print]],Prod[[#This Row],[S2Ovlp]],Prod[[#This Row],[S2Seam]],Prod[[#This Row],[S2Dmg]])</f>
        <v>125</v>
      </c>
      <c r="T99" s="197">
        <v>19.29</v>
      </c>
      <c r="U99" s="198">
        <v>8</v>
      </c>
      <c r="V99" s="129">
        <v>1382</v>
      </c>
      <c r="W99" s="129">
        <v>8</v>
      </c>
      <c r="X99" s="120">
        <f>Prod[[#This Row],[S3Shot]]*Prod[[#This Row],[S3Cavity]]-Prod[[#This Row],[S3Dft]]</f>
        <v>10931</v>
      </c>
      <c r="Y99" s="120">
        <f>SUM(Prod[[#This Row],[S3Mold]],Prod[[#This Row],[S3Print]],Prod[[#This Row],[S3Ovlp]],Prod[[#This Row],[S3Seam]],Prod[[#This Row],[S3Dmg]])</f>
        <v>125</v>
      </c>
      <c r="Z99" s="120">
        <f>SUM(Prod[[#This Row],[S1Qty]],Prod[[#This Row],[S2Qty]],Prod[[#This Row],[S3Qty]])</f>
        <v>26369</v>
      </c>
      <c r="AA99" s="120">
        <f>SUM(Prod[[#This Row],[S1Dft]],Prod[[#This Row],[S2Dft]],Prod[[#This Row],[S3Dft]])</f>
        <v>375</v>
      </c>
      <c r="AB99" s="121">
        <f>IF(Prod[[#This Row],[Total]]=0,0,Prod[[#This Row],[TotalDft]]/Prod[[#This Row],[Total]])</f>
        <v>1.4221244643331184E-2</v>
      </c>
      <c r="AC99" s="130"/>
      <c r="AD99" s="120">
        <v>20</v>
      </c>
      <c r="AE99" s="120">
        <v>25</v>
      </c>
      <c r="AF99" s="120">
        <v>25</v>
      </c>
      <c r="AG99" s="120">
        <v>105</v>
      </c>
      <c r="AH99" s="120">
        <v>100</v>
      </c>
      <c r="AI99" s="120">
        <v>100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31">
        <f>IF(Prod[[#This Row],[S1Hrs]]=0,0,Prod[[#This Row],[S1Shot]]*Prod[[#This Row],[S1Cycle]]/(Prod[[#This Row],[S1Hrs]]*60*60))</f>
        <v>1.0439222222222222</v>
      </c>
      <c r="AT99" s="131">
        <f>IF(Prod[[#This Row],[S2Hrs]]=0,0,Prod[[#This Row],[S2Shot]]*Prod[[#This Row],[S2Cycle]]/(Prod[[#This Row],[S2Hrs]]*60*60))</f>
        <v>0.94489768518518502</v>
      </c>
      <c r="AU99" s="131">
        <f>IF(Prod[[#This Row],[S3Hrs]]=0,0,Prod[[#This Row],[S3Shot]]*Prod[[#This Row],[S3Cycle]]/(Prod[[#This Row],[S3Hrs]]*60*60))</f>
        <v>0.92565208333333326</v>
      </c>
      <c r="AV99" s="131">
        <f>IFERROR(AVERAGEIF(Prod[[#This Row],[S1%]:[S3%]], "&lt;&gt;0"),0)</f>
        <v>0.97149066358024694</v>
      </c>
      <c r="AW99" s="131">
        <v>0</v>
      </c>
      <c r="AX99" s="131">
        <v>0</v>
      </c>
      <c r="AY99" s="131">
        <v>0</v>
      </c>
      <c r="AZ99" s="166">
        <f>IF(Prod[[#This Row],[S1Cycle]]&lt;&gt;0,1,0)</f>
        <v>1</v>
      </c>
      <c r="BA99" s="166">
        <f>IF(Prod[[#This Row],[S2Cycle]]&lt;&gt;0,1,0)</f>
        <v>1</v>
      </c>
      <c r="BB99" s="166">
        <f>IF(Prod[[#This Row],[S3Cycle]]&lt;&gt;0,1,0)</f>
        <v>1</v>
      </c>
      <c r="BC99" s="166">
        <f>MAX(Prod[[#This Row],[S1Cavity]],Prod[[#This Row],[S2Cavity]],Prod[[#This Row],[S3Cavity]])</f>
        <v>8</v>
      </c>
      <c r="BD99" s="166" t="b">
        <f>RegExpMatch(Prod[[#This Row],[MoldNo]], "^DW-(B|C)")</f>
        <v>1</v>
      </c>
    </row>
    <row r="100" spans="1:56" x14ac:dyDescent="0.2">
      <c r="A100" s="117">
        <v>45421</v>
      </c>
      <c r="B100" s="120" t="s">
        <v>177</v>
      </c>
      <c r="C100" s="119" t="s">
        <v>176</v>
      </c>
      <c r="D100" s="130">
        <v>26367</v>
      </c>
      <c r="E100" s="130" t="s">
        <v>191</v>
      </c>
      <c r="F100" s="119">
        <v>814</v>
      </c>
      <c r="G100" s="119" t="str">
        <f>IF(OR(Prod[[#This Row],[S1Hrs]]&gt;0,Prod[[#This Row],[S2Hrs]]&gt;0,Prod[[#This Row],[S3Hrs]]&gt;0),"Running","Down")</f>
        <v>Running</v>
      </c>
      <c r="H100" s="197">
        <v>25.99</v>
      </c>
      <c r="I100" s="198">
        <v>8</v>
      </c>
      <c r="J100" s="129">
        <v>1123</v>
      </c>
      <c r="K100" s="129">
        <v>8</v>
      </c>
      <c r="L100" s="120">
        <f>Prod[[#This Row],[S1Shot]]*Prod[[#This Row],[S1Cavity]]-Prod[[#This Row],[S1Dft]]</f>
        <v>8869</v>
      </c>
      <c r="M100" s="135">
        <f>SUM(Prod[[#This Row],[S1Mold]],Prod[[#This Row],[S1Print]],Prod[[#This Row],[S1Ovlp]],Prod[[#This Row],[S1Seam]],Prod[[#This Row],[S1Dmg]])</f>
        <v>115</v>
      </c>
      <c r="N100" s="197">
        <v>25.99</v>
      </c>
      <c r="O100" s="198">
        <v>8</v>
      </c>
      <c r="P100" s="129">
        <v>1133</v>
      </c>
      <c r="Q100" s="129">
        <v>8</v>
      </c>
      <c r="R100" s="120">
        <f>Prod[[#This Row],[S2Shot]]*Prod[[#This Row],[S2Cavity]]-Prod[[#This Row],[S2Dft]]</f>
        <v>8944</v>
      </c>
      <c r="S100" s="135">
        <f>SUM(Prod[[#This Row],[S2Mold]],Prod[[#This Row],[S2Print]],Prod[[#This Row],[S2Ovlp]],Prod[[#This Row],[S2Seam]],Prod[[#This Row],[S2Dmg]])</f>
        <v>120</v>
      </c>
      <c r="T100" s="197">
        <v>25.89</v>
      </c>
      <c r="U100" s="198">
        <v>8</v>
      </c>
      <c r="V100" s="129">
        <v>1048</v>
      </c>
      <c r="W100" s="129">
        <v>7</v>
      </c>
      <c r="X100" s="120">
        <f>Prod[[#This Row],[S3Shot]]*Prod[[#This Row],[S3Cavity]]-Prod[[#This Row],[S3Dft]]</f>
        <v>7211</v>
      </c>
      <c r="Y100" s="120">
        <f>SUM(Prod[[#This Row],[S3Mold]],Prod[[#This Row],[S3Print]],Prod[[#This Row],[S3Ovlp]],Prod[[#This Row],[S3Seam]],Prod[[#This Row],[S3Dmg]])</f>
        <v>125</v>
      </c>
      <c r="Z100" s="120">
        <f>SUM(Prod[[#This Row],[S1Qty]],Prod[[#This Row],[S2Qty]],Prod[[#This Row],[S3Qty]])</f>
        <v>25024</v>
      </c>
      <c r="AA100" s="120">
        <f>SUM(Prod[[#This Row],[S1Dft]],Prod[[#This Row],[S2Dft]],Prod[[#This Row],[S3Dft]])</f>
        <v>360</v>
      </c>
      <c r="AB100" s="121">
        <f>IF(Prod[[#This Row],[Total]]=0,0,Prod[[#This Row],[TotalDft]]/Prod[[#This Row],[Total]])</f>
        <v>1.438618925831202E-2</v>
      </c>
      <c r="AC100" s="118"/>
      <c r="AD100" s="120">
        <v>20</v>
      </c>
      <c r="AE100" s="120">
        <v>20</v>
      </c>
      <c r="AF100" s="120">
        <v>20</v>
      </c>
      <c r="AG100" s="120">
        <v>95</v>
      </c>
      <c r="AH100" s="120">
        <v>100</v>
      </c>
      <c r="AI100" s="120">
        <v>105</v>
      </c>
      <c r="AJ100" s="120">
        <v>0</v>
      </c>
      <c r="AK100" s="120">
        <v>0</v>
      </c>
      <c r="AL100" s="120">
        <v>0</v>
      </c>
      <c r="AM100" s="120">
        <v>0</v>
      </c>
      <c r="AN100" s="120">
        <v>0</v>
      </c>
      <c r="AO100" s="120">
        <v>0</v>
      </c>
      <c r="AP100" s="120">
        <v>0</v>
      </c>
      <c r="AQ100" s="120">
        <v>0</v>
      </c>
      <c r="AR100" s="120">
        <v>0</v>
      </c>
      <c r="AS100" s="131">
        <f>IF(Prod[[#This Row],[S1Hrs]]=0,0,Prod[[#This Row],[S1Shot]]*Prod[[#This Row],[S1Cycle]]/(Prod[[#This Row],[S1Hrs]]*60*60))</f>
        <v>1.0134295138888887</v>
      </c>
      <c r="AT100" s="131">
        <f>IF(Prod[[#This Row],[S2Hrs]]=0,0,Prod[[#This Row],[S2Shot]]*Prod[[#This Row],[S2Cycle]]/(Prod[[#This Row],[S2Hrs]]*60*60))</f>
        <v>1.0224538194444444</v>
      </c>
      <c r="AU100" s="131">
        <f>IF(Prod[[#This Row],[S3Hrs]]=0,0,Prod[[#This Row],[S3Shot]]*Prod[[#This Row],[S3Cycle]]/(Prod[[#This Row],[S3Hrs]]*60*60))</f>
        <v>0.94210833333333333</v>
      </c>
      <c r="AV100" s="131">
        <f>IFERROR(AVERAGEIF(Prod[[#This Row],[S1%]:[S3%]], "&lt;&gt;0"),0)</f>
        <v>0.99266388888888868</v>
      </c>
      <c r="AW100" s="131">
        <v>0</v>
      </c>
      <c r="AX100" s="131">
        <v>0</v>
      </c>
      <c r="AY100" s="131">
        <v>0</v>
      </c>
      <c r="AZ100" s="166">
        <f>IF(Prod[[#This Row],[S1Cycle]]&lt;&gt;0,1,0)</f>
        <v>1</v>
      </c>
      <c r="BA100" s="166">
        <f>IF(Prod[[#This Row],[S2Cycle]]&lt;&gt;0,1,0)</f>
        <v>1</v>
      </c>
      <c r="BB100" s="166">
        <f>IF(Prod[[#This Row],[S3Cycle]]&lt;&gt;0,1,0)</f>
        <v>1</v>
      </c>
      <c r="BC100" s="166">
        <f>MAX(Prod[[#This Row],[S1Cavity]],Prod[[#This Row],[S2Cavity]],Prod[[#This Row],[S3Cavity]])</f>
        <v>8</v>
      </c>
      <c r="BD100" s="166" t="b">
        <f>RegExpMatch(Prod[[#This Row],[MoldNo]], "^DW-(B|C)")</f>
        <v>1</v>
      </c>
    </row>
    <row r="101" spans="1:56" x14ac:dyDescent="0.2">
      <c r="A101" s="117">
        <v>45421</v>
      </c>
      <c r="B101" s="129" t="s">
        <v>186</v>
      </c>
      <c r="C101" s="130" t="s">
        <v>188</v>
      </c>
      <c r="D101" s="130">
        <v>26365</v>
      </c>
      <c r="E101" s="130" t="s">
        <v>191</v>
      </c>
      <c r="F101" s="119">
        <v>814</v>
      </c>
      <c r="G101" s="119" t="str">
        <f>IF(OR(Prod[[#This Row],[S1Hrs]]&gt;0,Prod[[#This Row],[S2Hrs]]&gt;0,Prod[[#This Row],[S3Hrs]]&gt;0),"Running","Down")</f>
        <v>Running</v>
      </c>
      <c r="H101" s="197">
        <v>22.69</v>
      </c>
      <c r="I101" s="198">
        <v>8</v>
      </c>
      <c r="J101" s="129">
        <v>1354</v>
      </c>
      <c r="K101" s="129">
        <v>8</v>
      </c>
      <c r="L101" s="120">
        <f>Prod[[#This Row],[S1Shot]]*Prod[[#This Row],[S1Cavity]]-Prod[[#This Row],[S1Dft]]</f>
        <v>10682</v>
      </c>
      <c r="M101" s="135">
        <f>SUM(Prod[[#This Row],[S1Mold]],Prod[[#This Row],[S1Print]],Prod[[#This Row],[S1Ovlp]],Prod[[#This Row],[S1Seam]],Prod[[#This Row],[S1Dmg]])</f>
        <v>150</v>
      </c>
      <c r="N101" s="197">
        <v>22.09</v>
      </c>
      <c r="O101" s="198">
        <v>8</v>
      </c>
      <c r="P101" s="129">
        <v>1213</v>
      </c>
      <c r="Q101" s="129">
        <v>8</v>
      </c>
      <c r="R101" s="120">
        <f>Prod[[#This Row],[S2Shot]]*Prod[[#This Row],[S2Cavity]]-Prod[[#This Row],[S2Dft]]</f>
        <v>9559</v>
      </c>
      <c r="S101" s="135">
        <f>SUM(Prod[[#This Row],[S2Mold]],Prod[[#This Row],[S2Print]],Prod[[#This Row],[S2Ovlp]],Prod[[#This Row],[S2Seam]],Prod[[#This Row],[S2Dmg]])</f>
        <v>145</v>
      </c>
      <c r="T101" s="197">
        <v>22.74</v>
      </c>
      <c r="U101" s="198">
        <v>7.5</v>
      </c>
      <c r="V101" s="129">
        <v>1141</v>
      </c>
      <c r="W101" s="129">
        <v>8</v>
      </c>
      <c r="X101" s="120">
        <f>Prod[[#This Row],[S3Shot]]*Prod[[#This Row],[S3Cavity]]-Prod[[#This Row],[S3Dft]]</f>
        <v>8988</v>
      </c>
      <c r="Y101" s="120">
        <f>SUM(Prod[[#This Row],[S3Mold]],Prod[[#This Row],[S3Print]],Prod[[#This Row],[S3Ovlp]],Prod[[#This Row],[S3Seam]],Prod[[#This Row],[S3Dmg]])</f>
        <v>140</v>
      </c>
      <c r="Z101" s="120">
        <f>SUM(Prod[[#This Row],[S1Qty]],Prod[[#This Row],[S2Qty]],Prod[[#This Row],[S3Qty]])</f>
        <v>29229</v>
      </c>
      <c r="AA101" s="120">
        <f>SUM(Prod[[#This Row],[S1Dft]],Prod[[#This Row],[S2Dft]],Prod[[#This Row],[S3Dft]])</f>
        <v>435</v>
      </c>
      <c r="AB101" s="121">
        <f>IF(Prod[[#This Row],[Total]]=0,0,Prod[[#This Row],[TotalDft]]/Prod[[#This Row],[Total]])</f>
        <v>1.4882479729036231E-2</v>
      </c>
      <c r="AC101" s="130"/>
      <c r="AD101" s="120">
        <v>25</v>
      </c>
      <c r="AE101" s="120">
        <v>25</v>
      </c>
      <c r="AF101" s="120">
        <v>20</v>
      </c>
      <c r="AG101" s="120">
        <v>125</v>
      </c>
      <c r="AH101" s="120">
        <v>120</v>
      </c>
      <c r="AI101" s="120">
        <v>120</v>
      </c>
      <c r="AJ101" s="120">
        <v>0</v>
      </c>
      <c r="AK101" s="120">
        <v>0</v>
      </c>
      <c r="AL101" s="120">
        <v>0</v>
      </c>
      <c r="AM101" s="120">
        <v>0</v>
      </c>
      <c r="AN101" s="120">
        <v>0</v>
      </c>
      <c r="AO101" s="120">
        <v>0</v>
      </c>
      <c r="AP101" s="120">
        <v>0</v>
      </c>
      <c r="AQ101" s="120">
        <v>0</v>
      </c>
      <c r="AR101" s="120">
        <v>0</v>
      </c>
      <c r="AS101" s="131">
        <f>IF(Prod[[#This Row],[S1Hrs]]=0,0,Prod[[#This Row],[S1Shot]]*Prod[[#This Row],[S1Cycle]]/(Prod[[#This Row],[S1Hrs]]*60*60))</f>
        <v>1.0667451388888889</v>
      </c>
      <c r="AT101" s="131">
        <f>IF(Prod[[#This Row],[S2Hrs]]=0,0,Prod[[#This Row],[S2Shot]]*Prod[[#This Row],[S2Cycle]]/(Prod[[#This Row],[S2Hrs]]*60*60))</f>
        <v>0.93038784722222212</v>
      </c>
      <c r="AU101" s="131">
        <f>IF(Prod[[#This Row],[S3Hrs]]=0,0,Prod[[#This Row],[S3Shot]]*Prod[[#This Row],[S3Cycle]]/(Prod[[#This Row],[S3Hrs]]*60*60))</f>
        <v>0.96097555555555547</v>
      </c>
      <c r="AV101" s="131">
        <f>IFERROR(AVERAGEIF(Prod[[#This Row],[S1%]:[S3%]], "&lt;&gt;0"),0)</f>
        <v>0.98603618055555542</v>
      </c>
      <c r="AW101" s="131">
        <v>0</v>
      </c>
      <c r="AX101" s="131">
        <v>0</v>
      </c>
      <c r="AY101" s="131">
        <v>0</v>
      </c>
      <c r="AZ101" s="166">
        <f>IF(Prod[[#This Row],[S1Cycle]]&lt;&gt;0,1,0)</f>
        <v>1</v>
      </c>
      <c r="BA101" s="166">
        <f>IF(Prod[[#This Row],[S2Cycle]]&lt;&gt;0,1,0)</f>
        <v>1</v>
      </c>
      <c r="BB101" s="166">
        <f>IF(Prod[[#This Row],[S3Cycle]]&lt;&gt;0,1,0)</f>
        <v>1</v>
      </c>
      <c r="BC101" s="166">
        <f>MAX(Prod[[#This Row],[S1Cavity]],Prod[[#This Row],[S2Cavity]],Prod[[#This Row],[S3Cavity]])</f>
        <v>8</v>
      </c>
      <c r="BD101" s="166" t="b">
        <f>RegExpMatch(Prod[[#This Row],[MoldNo]], "^DW-(B|C)")</f>
        <v>1</v>
      </c>
    </row>
    <row r="102" spans="1:56" x14ac:dyDescent="0.2">
      <c r="A102" s="117">
        <v>45421</v>
      </c>
      <c r="B102" s="129" t="s">
        <v>186</v>
      </c>
      <c r="C102" s="130" t="s">
        <v>188</v>
      </c>
      <c r="D102" s="130">
        <v>27128</v>
      </c>
      <c r="E102" s="130" t="s">
        <v>191</v>
      </c>
      <c r="F102" s="119">
        <v>814</v>
      </c>
      <c r="G102" s="119" t="str">
        <f>IF(OR(Prod[[#This Row],[S1Hrs]]&gt;0,Prod[[#This Row],[S2Hrs]]&gt;0,Prod[[#This Row],[S3Hrs]]&gt;0),"Running","Down")</f>
        <v>Running</v>
      </c>
      <c r="H102" s="197">
        <v>0</v>
      </c>
      <c r="I102" s="198">
        <v>0</v>
      </c>
      <c r="J102" s="129">
        <v>0</v>
      </c>
      <c r="K102" s="129">
        <v>0</v>
      </c>
      <c r="L102" s="120">
        <f>Prod[[#This Row],[S1Shot]]*Prod[[#This Row],[S1Cavity]]-Prod[[#This Row],[S1Dft]]</f>
        <v>0</v>
      </c>
      <c r="M102" s="135">
        <f>SUM(Prod[[#This Row],[S1Mold]],Prod[[#This Row],[S1Print]],Prod[[#This Row],[S1Ovlp]],Prod[[#This Row],[S1Seam]],Prod[[#This Row],[S1Dmg]])</f>
        <v>0</v>
      </c>
      <c r="N102" s="197">
        <v>0</v>
      </c>
      <c r="O102" s="198">
        <v>0</v>
      </c>
      <c r="P102" s="129">
        <v>0</v>
      </c>
      <c r="Q102" s="129">
        <v>0</v>
      </c>
      <c r="R102" s="120">
        <f>Prod[[#This Row],[S2Shot]]*Prod[[#This Row],[S2Cavity]]-Prod[[#This Row],[S2Dft]]</f>
        <v>0</v>
      </c>
      <c r="S102" s="135">
        <f>SUM(Prod[[#This Row],[S2Mold]],Prod[[#This Row],[S2Print]],Prod[[#This Row],[S2Ovlp]],Prod[[#This Row],[S2Seam]],Prod[[#This Row],[S2Dmg]])</f>
        <v>0</v>
      </c>
      <c r="T102" s="197">
        <v>22.74</v>
      </c>
      <c r="U102" s="198">
        <v>0.5</v>
      </c>
      <c r="V102" s="129">
        <v>80</v>
      </c>
      <c r="W102" s="129">
        <v>8</v>
      </c>
      <c r="X102" s="120">
        <f>Prod[[#This Row],[S3Shot]]*Prod[[#This Row],[S3Cavity]]-Prod[[#This Row],[S3Dft]]</f>
        <v>631</v>
      </c>
      <c r="Y102" s="120">
        <f>SUM(Prod[[#This Row],[S3Mold]],Prod[[#This Row],[S3Print]],Prod[[#This Row],[S3Ovlp]],Prod[[#This Row],[S3Seam]],Prod[[#This Row],[S3Dmg]])</f>
        <v>9</v>
      </c>
      <c r="Z102" s="120">
        <f>SUM(Prod[[#This Row],[S1Qty]],Prod[[#This Row],[S2Qty]],Prod[[#This Row],[S3Qty]])</f>
        <v>631</v>
      </c>
      <c r="AA102" s="120">
        <f>SUM(Prod[[#This Row],[S1Dft]],Prod[[#This Row],[S2Dft]],Prod[[#This Row],[S3Dft]])</f>
        <v>9</v>
      </c>
      <c r="AB102" s="121">
        <f>IF(Prod[[#This Row],[Total]]=0,0,Prod[[#This Row],[TotalDft]]/Prod[[#This Row],[Total]])</f>
        <v>1.4263074484944533E-2</v>
      </c>
      <c r="AC102" s="130"/>
      <c r="AD102" s="120">
        <v>0</v>
      </c>
      <c r="AE102" s="120">
        <v>0</v>
      </c>
      <c r="AF102" s="120">
        <v>4</v>
      </c>
      <c r="AG102" s="120">
        <v>0</v>
      </c>
      <c r="AH102" s="120">
        <v>0</v>
      </c>
      <c r="AI102" s="120">
        <v>5</v>
      </c>
      <c r="AJ102" s="120">
        <v>0</v>
      </c>
      <c r="AK102" s="120">
        <v>0</v>
      </c>
      <c r="AL102" s="120">
        <v>0</v>
      </c>
      <c r="AM102" s="120">
        <v>0</v>
      </c>
      <c r="AN102" s="120">
        <v>0</v>
      </c>
      <c r="AO102" s="120">
        <v>0</v>
      </c>
      <c r="AP102" s="120">
        <v>0</v>
      </c>
      <c r="AQ102" s="120">
        <v>0</v>
      </c>
      <c r="AR102" s="120">
        <v>0</v>
      </c>
      <c r="AS102" s="131">
        <f>IF(Prod[[#This Row],[S1Hrs]]=0,0,Prod[[#This Row],[S1Shot]]*Prod[[#This Row],[S1Cycle]]/(Prod[[#This Row],[S1Hrs]]*60*60))</f>
        <v>0</v>
      </c>
      <c r="AT102" s="131">
        <f>IF(Prod[[#This Row],[S2Hrs]]=0,0,Prod[[#This Row],[S2Shot]]*Prod[[#This Row],[S2Cycle]]/(Prod[[#This Row],[S2Hrs]]*60*60))</f>
        <v>0</v>
      </c>
      <c r="AU102" s="131">
        <f>IF(Prod[[#This Row],[S3Hrs]]=0,0,Prod[[#This Row],[S3Shot]]*Prod[[#This Row],[S3Cycle]]/(Prod[[#This Row],[S3Hrs]]*60*60))</f>
        <v>1.0106666666666666</v>
      </c>
      <c r="AV102" s="131">
        <f>IFERROR(AVERAGEIF(Prod[[#This Row],[S1%]:[S3%]], "&lt;&gt;0"),0)</f>
        <v>1.0106666666666666</v>
      </c>
      <c r="AW102" s="131">
        <v>0</v>
      </c>
      <c r="AX102" s="131">
        <v>0</v>
      </c>
      <c r="AY102" s="131">
        <v>0</v>
      </c>
      <c r="AZ102" s="166">
        <f>IF(Prod[[#This Row],[S1Cycle]]&lt;&gt;0,1,0)</f>
        <v>0</v>
      </c>
      <c r="BA102" s="166">
        <f>IF(Prod[[#This Row],[S2Cycle]]&lt;&gt;0,1,0)</f>
        <v>0</v>
      </c>
      <c r="BB102" s="166">
        <f>IF(Prod[[#This Row],[S3Cycle]]&lt;&gt;0,1,0)</f>
        <v>1</v>
      </c>
      <c r="BC102" s="166">
        <f>MAX(Prod[[#This Row],[S1Cavity]],Prod[[#This Row],[S2Cavity]],Prod[[#This Row],[S3Cavity]])</f>
        <v>8</v>
      </c>
      <c r="BD102" s="166" t="b">
        <f>RegExpMatch(Prod[[#This Row],[MoldNo]], "^DW-(B|C)")</f>
        <v>1</v>
      </c>
    </row>
    <row r="103" spans="1:56" x14ac:dyDescent="0.2">
      <c r="A103" s="117">
        <v>45421</v>
      </c>
      <c r="B103" s="129" t="s">
        <v>187</v>
      </c>
      <c r="C103" s="130" t="s">
        <v>189</v>
      </c>
      <c r="D103" s="130">
        <v>26365</v>
      </c>
      <c r="E103" s="130" t="s">
        <v>191</v>
      </c>
      <c r="F103" s="119">
        <v>814</v>
      </c>
      <c r="G103" s="119" t="str">
        <f>IF(OR(Prod[[#This Row],[S1Hrs]]&gt;0,Prod[[#This Row],[S2Hrs]]&gt;0,Prod[[#This Row],[S3Hrs]]&gt;0),"Running","Down")</f>
        <v>Running</v>
      </c>
      <c r="H103" s="197">
        <v>22.08</v>
      </c>
      <c r="I103" s="198">
        <v>8</v>
      </c>
      <c r="J103" s="129">
        <v>1387</v>
      </c>
      <c r="K103" s="129">
        <v>8</v>
      </c>
      <c r="L103" s="120">
        <f>Prod[[#This Row],[S1Shot]]*Prod[[#This Row],[S1Cavity]]-Prod[[#This Row],[S1Dft]]</f>
        <v>10951</v>
      </c>
      <c r="M103" s="135">
        <f>SUM(Prod[[#This Row],[S1Mold]],Prod[[#This Row],[S1Print]],Prod[[#This Row],[S1Ovlp]],Prod[[#This Row],[S1Seam]],Prod[[#This Row],[S1Dmg]])</f>
        <v>145</v>
      </c>
      <c r="N103" s="197">
        <v>22.08</v>
      </c>
      <c r="O103" s="198">
        <v>8</v>
      </c>
      <c r="P103" s="129">
        <v>1359</v>
      </c>
      <c r="Q103" s="129">
        <v>8</v>
      </c>
      <c r="R103" s="120">
        <f>Prod[[#This Row],[S2Shot]]*Prod[[#This Row],[S2Cavity]]-Prod[[#This Row],[S2Dft]]</f>
        <v>10727</v>
      </c>
      <c r="S103" s="135">
        <f>SUM(Prod[[#This Row],[S2Mold]],Prod[[#This Row],[S2Print]],Prod[[#This Row],[S2Ovlp]],Prod[[#This Row],[S2Seam]],Prod[[#This Row],[S2Dmg]])</f>
        <v>145</v>
      </c>
      <c r="T103" s="197">
        <v>22.01</v>
      </c>
      <c r="U103" s="198">
        <v>3</v>
      </c>
      <c r="V103" s="129">
        <v>452</v>
      </c>
      <c r="W103" s="129">
        <v>8</v>
      </c>
      <c r="X103" s="120">
        <f>Prod[[#This Row],[S3Shot]]*Prod[[#This Row],[S3Cavity]]-Prod[[#This Row],[S3Dft]]</f>
        <v>3546</v>
      </c>
      <c r="Y103" s="120">
        <f>SUM(Prod[[#This Row],[S3Mold]],Prod[[#This Row],[S3Print]],Prod[[#This Row],[S3Ovlp]],Prod[[#This Row],[S3Seam]],Prod[[#This Row],[S3Dmg]])</f>
        <v>70</v>
      </c>
      <c r="Z103" s="120">
        <f>SUM(Prod[[#This Row],[S1Qty]],Prod[[#This Row],[S2Qty]],Prod[[#This Row],[S3Qty]])</f>
        <v>25224</v>
      </c>
      <c r="AA103" s="120">
        <f>SUM(Prod[[#This Row],[S1Dft]],Prod[[#This Row],[S2Dft]],Prod[[#This Row],[S3Dft]])</f>
        <v>360</v>
      </c>
      <c r="AB103" s="121">
        <f>IF(Prod[[#This Row],[Total]]=0,0,Prod[[#This Row],[TotalDft]]/Prod[[#This Row],[Total]])</f>
        <v>1.4272121788772598E-2</v>
      </c>
      <c r="AC103" s="118"/>
      <c r="AD103" s="120">
        <v>25</v>
      </c>
      <c r="AE103" s="120">
        <v>20</v>
      </c>
      <c r="AF103" s="120">
        <v>10</v>
      </c>
      <c r="AG103" s="120">
        <v>120</v>
      </c>
      <c r="AH103" s="120">
        <v>125</v>
      </c>
      <c r="AI103" s="120">
        <v>60</v>
      </c>
      <c r="AJ103" s="120">
        <v>0</v>
      </c>
      <c r="AK103" s="120">
        <v>0</v>
      </c>
      <c r="AL103" s="120">
        <v>0</v>
      </c>
      <c r="AM103" s="120">
        <v>0</v>
      </c>
      <c r="AN103" s="120">
        <v>0</v>
      </c>
      <c r="AO103" s="120">
        <v>0</v>
      </c>
      <c r="AP103" s="120">
        <v>0</v>
      </c>
      <c r="AQ103" s="120">
        <v>0</v>
      </c>
      <c r="AR103" s="120">
        <v>0</v>
      </c>
      <c r="AS103" s="131">
        <f>IF(Prod[[#This Row],[S1Hrs]]=0,0,Prod[[#This Row],[S1Shot]]*Prod[[#This Row],[S1Cycle]]/(Prod[[#This Row],[S1Hrs]]*60*60))</f>
        <v>1.0633666666666666</v>
      </c>
      <c r="AT103" s="131">
        <f>IF(Prod[[#This Row],[S2Hrs]]=0,0,Prod[[#This Row],[S2Shot]]*Prod[[#This Row],[S2Cycle]]/(Prod[[#This Row],[S2Hrs]]*60*60))</f>
        <v>1.0418999999999998</v>
      </c>
      <c r="AU103" s="131">
        <f>IF(Prod[[#This Row],[S3Hrs]]=0,0,Prod[[#This Row],[S3Shot]]*Prod[[#This Row],[S3Cycle]]/(Prod[[#This Row],[S3Hrs]]*60*60))</f>
        <v>0.92115925925925934</v>
      </c>
      <c r="AV103" s="131">
        <f>IFERROR(AVERAGEIF(Prod[[#This Row],[S1%]:[S3%]], "&lt;&gt;0"),0)</f>
        <v>1.0088086419753084</v>
      </c>
      <c r="AW103" s="131">
        <v>0</v>
      </c>
      <c r="AX103" s="131">
        <v>0</v>
      </c>
      <c r="AY103" s="131">
        <v>0</v>
      </c>
      <c r="AZ103" s="166">
        <f>IF(Prod[[#This Row],[S1Cycle]]&lt;&gt;0,1,0)</f>
        <v>1</v>
      </c>
      <c r="BA103" s="166">
        <f>IF(Prod[[#This Row],[S2Cycle]]&lt;&gt;0,1,0)</f>
        <v>1</v>
      </c>
      <c r="BB103" s="166">
        <f>IF(Prod[[#This Row],[S3Cycle]]&lt;&gt;0,1,0)</f>
        <v>1</v>
      </c>
      <c r="BC103" s="166">
        <f>MAX(Prod[[#This Row],[S1Cavity]],Prod[[#This Row],[S2Cavity]],Prod[[#This Row],[S3Cavity]])</f>
        <v>8</v>
      </c>
      <c r="BD103" s="166" t="b">
        <f>RegExpMatch(Prod[[#This Row],[MoldNo]], "^DW-(B|C)")</f>
        <v>1</v>
      </c>
    </row>
    <row r="104" spans="1:56" x14ac:dyDescent="0.2">
      <c r="A104" s="117">
        <v>45421</v>
      </c>
      <c r="B104" s="129" t="s">
        <v>187</v>
      </c>
      <c r="C104" s="130" t="s">
        <v>189</v>
      </c>
      <c r="D104" s="130">
        <v>27128</v>
      </c>
      <c r="E104" s="130" t="s">
        <v>191</v>
      </c>
      <c r="F104" s="119">
        <v>814</v>
      </c>
      <c r="G104" s="119" t="str">
        <f>IF(OR(Prod[[#This Row],[S1Hrs]]&gt;0,Prod[[#This Row],[S2Hrs]]&gt;0,Prod[[#This Row],[S3Hrs]]&gt;0),"Running","Down")</f>
        <v>Running</v>
      </c>
      <c r="H104" s="197">
        <v>0</v>
      </c>
      <c r="I104" s="198">
        <v>0</v>
      </c>
      <c r="J104" s="129">
        <v>0</v>
      </c>
      <c r="K104" s="129">
        <v>0</v>
      </c>
      <c r="L104" s="120">
        <f>Prod[[#This Row],[S1Shot]]*Prod[[#This Row],[S1Cavity]]-Prod[[#This Row],[S1Dft]]</f>
        <v>0</v>
      </c>
      <c r="M104" s="135">
        <f>SUM(Prod[[#This Row],[S1Mold]],Prod[[#This Row],[S1Print]],Prod[[#This Row],[S1Ovlp]],Prod[[#This Row],[S1Seam]],Prod[[#This Row],[S1Dmg]])</f>
        <v>0</v>
      </c>
      <c r="N104" s="197">
        <v>0</v>
      </c>
      <c r="O104" s="198">
        <v>0</v>
      </c>
      <c r="P104" s="129">
        <v>0</v>
      </c>
      <c r="Q104" s="129">
        <v>0</v>
      </c>
      <c r="R104" s="120">
        <f>Prod[[#This Row],[S2Shot]]*Prod[[#This Row],[S2Cavity]]-Prod[[#This Row],[S2Dft]]</f>
        <v>0</v>
      </c>
      <c r="S104" s="135">
        <f>SUM(Prod[[#This Row],[S2Mold]],Prod[[#This Row],[S2Print]],Prod[[#This Row],[S2Ovlp]],Prod[[#This Row],[S2Seam]],Prod[[#This Row],[S2Dmg]])</f>
        <v>0</v>
      </c>
      <c r="T104" s="197">
        <v>22.01</v>
      </c>
      <c r="U104" s="198">
        <v>5</v>
      </c>
      <c r="V104" s="129">
        <v>644</v>
      </c>
      <c r="W104" s="129">
        <v>8</v>
      </c>
      <c r="X104" s="120">
        <f>Prod[[#This Row],[S3Shot]]*Prod[[#This Row],[S3Cavity]]-Prod[[#This Row],[S3Dft]]</f>
        <v>5077</v>
      </c>
      <c r="Y104" s="120">
        <f>SUM(Prod[[#This Row],[S3Mold]],Prod[[#This Row],[S3Print]],Prod[[#This Row],[S3Ovlp]],Prod[[#This Row],[S3Seam]],Prod[[#This Row],[S3Dmg]])</f>
        <v>75</v>
      </c>
      <c r="Z104" s="120">
        <f>SUM(Prod[[#This Row],[S1Qty]],Prod[[#This Row],[S2Qty]],Prod[[#This Row],[S3Qty]])</f>
        <v>5077</v>
      </c>
      <c r="AA104" s="120">
        <f>SUM(Prod[[#This Row],[S1Dft]],Prod[[#This Row],[S2Dft]],Prod[[#This Row],[S3Dft]])</f>
        <v>75</v>
      </c>
      <c r="AB104" s="121">
        <f>IF(Prod[[#This Row],[Total]]=0,0,Prod[[#This Row],[TotalDft]]/Prod[[#This Row],[Total]])</f>
        <v>1.4772503446917471E-2</v>
      </c>
      <c r="AC104" s="118"/>
      <c r="AD104" s="120">
        <v>0</v>
      </c>
      <c r="AE104" s="120">
        <v>0</v>
      </c>
      <c r="AF104" s="120">
        <v>15</v>
      </c>
      <c r="AG104" s="120">
        <v>0</v>
      </c>
      <c r="AH104" s="120">
        <v>0</v>
      </c>
      <c r="AI104" s="120">
        <v>60</v>
      </c>
      <c r="AJ104" s="120">
        <v>0</v>
      </c>
      <c r="AK104" s="120">
        <v>0</v>
      </c>
      <c r="AL104" s="120">
        <v>0</v>
      </c>
      <c r="AM104" s="120">
        <v>0</v>
      </c>
      <c r="AN104" s="120">
        <v>0</v>
      </c>
      <c r="AO104" s="120">
        <v>0</v>
      </c>
      <c r="AP104" s="120">
        <v>0</v>
      </c>
      <c r="AQ104" s="120">
        <v>0</v>
      </c>
      <c r="AR104" s="120">
        <v>0</v>
      </c>
      <c r="AS104" s="131">
        <f>IF(Prod[[#This Row],[S1Hrs]]=0,0,Prod[[#This Row],[S1Shot]]*Prod[[#This Row],[S1Cycle]]/(Prod[[#This Row],[S1Hrs]]*60*60))</f>
        <v>0</v>
      </c>
      <c r="AT104" s="131">
        <f>IF(Prod[[#This Row],[S2Hrs]]=0,0,Prod[[#This Row],[S2Shot]]*Prod[[#This Row],[S2Cycle]]/(Prod[[#This Row],[S2Hrs]]*60*60))</f>
        <v>0</v>
      </c>
      <c r="AU104" s="131">
        <f>IF(Prod[[#This Row],[S3Hrs]]=0,0,Prod[[#This Row],[S3Shot]]*Prod[[#This Row],[S3Cycle]]/(Prod[[#This Row],[S3Hrs]]*60*60))</f>
        <v>0.78746888888888888</v>
      </c>
      <c r="AV104" s="131">
        <f>IFERROR(AVERAGEIF(Prod[[#This Row],[S1%]:[S3%]], "&lt;&gt;0"),0)</f>
        <v>0.78746888888888888</v>
      </c>
      <c r="AW104" s="131">
        <v>0</v>
      </c>
      <c r="AX104" s="131">
        <v>0</v>
      </c>
      <c r="AY104" s="131">
        <v>0</v>
      </c>
      <c r="AZ104" s="166">
        <f>IF(Prod[[#This Row],[S1Cycle]]&lt;&gt;0,1,0)</f>
        <v>0</v>
      </c>
      <c r="BA104" s="166">
        <f>IF(Prod[[#This Row],[S2Cycle]]&lt;&gt;0,1,0)</f>
        <v>0</v>
      </c>
      <c r="BB104" s="166">
        <f>IF(Prod[[#This Row],[S3Cycle]]&lt;&gt;0,1,0)</f>
        <v>1</v>
      </c>
      <c r="BC104" s="166">
        <f>MAX(Prod[[#This Row],[S1Cavity]],Prod[[#This Row],[S2Cavity]],Prod[[#This Row],[S3Cavity]])</f>
        <v>8</v>
      </c>
      <c r="BD104" s="166" t="b">
        <f>RegExpMatch(Prod[[#This Row],[MoldNo]], "^DW-(B|C)")</f>
        <v>1</v>
      </c>
    </row>
    <row r="105" spans="1:56" x14ac:dyDescent="0.2">
      <c r="A105" s="117">
        <v>45421</v>
      </c>
      <c r="B105" s="129" t="s">
        <v>181</v>
      </c>
      <c r="C105" s="130" t="s">
        <v>182</v>
      </c>
      <c r="D105" s="119">
        <v>26367</v>
      </c>
      <c r="E105" s="130" t="s">
        <v>191</v>
      </c>
      <c r="F105" s="119">
        <v>814</v>
      </c>
      <c r="G105" s="119" t="str">
        <f>IF(OR(Prod[[#This Row],[S1Hrs]]&gt;0,Prod[[#This Row],[S2Hrs]]&gt;0,Prod[[#This Row],[S3Hrs]]&gt;0),"Running","Down")</f>
        <v>Running</v>
      </c>
      <c r="H105" s="197">
        <v>21.06</v>
      </c>
      <c r="I105" s="198">
        <v>8</v>
      </c>
      <c r="J105" s="129">
        <v>1369</v>
      </c>
      <c r="K105" s="129">
        <v>8</v>
      </c>
      <c r="L105" s="120">
        <f>Prod[[#This Row],[S1Shot]]*Prod[[#This Row],[S1Cavity]]-Prod[[#This Row],[S1Dft]]</f>
        <v>10952</v>
      </c>
      <c r="M105" s="133"/>
      <c r="N105" s="197">
        <v>21.06</v>
      </c>
      <c r="O105" s="198">
        <v>8</v>
      </c>
      <c r="P105" s="129">
        <v>1404</v>
      </c>
      <c r="Q105" s="129">
        <v>8</v>
      </c>
      <c r="R105" s="120">
        <f>Prod[[#This Row],[S2Shot]]*Prod[[#This Row],[S2Cavity]]-Prod[[#This Row],[S2Dft]]</f>
        <v>11232</v>
      </c>
      <c r="S105" s="133"/>
      <c r="T105" s="197">
        <v>21.09</v>
      </c>
      <c r="U105" s="198">
        <v>8</v>
      </c>
      <c r="V105" s="129">
        <v>1252</v>
      </c>
      <c r="W105" s="129">
        <v>8</v>
      </c>
      <c r="X105" s="120">
        <f>Prod[[#This Row],[S3Shot]]*Prod[[#This Row],[S3Cavity]]-Prod[[#This Row],[S3Dft]]</f>
        <v>10016</v>
      </c>
      <c r="Y105" s="133"/>
      <c r="Z105" s="120">
        <f>SUM(Prod[[#This Row],[S1Qty]],Prod[[#This Row],[S2Qty]],Prod[[#This Row],[S3Qty]])</f>
        <v>32200</v>
      </c>
      <c r="AA105" s="133"/>
      <c r="AB105" s="134"/>
      <c r="AC105" s="118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1">
        <f>IF(Prod[[#This Row],[S1Hrs]]=0,0,Prod[[#This Row],[S1Shot]]*Prod[[#This Row],[S1Cycle]]/(Prod[[#This Row],[S1Hrs]]*60*60))</f>
        <v>1.0010812499999999</v>
      </c>
      <c r="AT105" s="131">
        <f>IF(Prod[[#This Row],[S2Hrs]]=0,0,Prod[[#This Row],[S2Shot]]*Prod[[#This Row],[S2Cycle]]/(Prod[[#This Row],[S2Hrs]]*60*60))</f>
        <v>1.026675</v>
      </c>
      <c r="AU105" s="131">
        <f>IF(Prod[[#This Row],[S3Hrs]]=0,0,Prod[[#This Row],[S3Shot]]*Prod[[#This Row],[S3Cycle]]/(Prod[[#This Row],[S3Hrs]]*60*60))</f>
        <v>0.9168291666666667</v>
      </c>
      <c r="AV105" s="131">
        <f>IFERROR(AVERAGEIF(Prod[[#This Row],[S1%]:[S3%]], "&lt;&gt;0"),0)</f>
        <v>0.98152847222222217</v>
      </c>
      <c r="AW105" s="131">
        <v>0</v>
      </c>
      <c r="AX105" s="131">
        <v>0</v>
      </c>
      <c r="AY105" s="131">
        <v>0</v>
      </c>
      <c r="AZ105" s="166">
        <f>IF(Prod[[#This Row],[S1Cycle]]&lt;&gt;0,1,0)</f>
        <v>1</v>
      </c>
      <c r="BA105" s="166">
        <f>IF(Prod[[#This Row],[S2Cycle]]&lt;&gt;0,1,0)</f>
        <v>1</v>
      </c>
      <c r="BB105" s="166">
        <f>IF(Prod[[#This Row],[S3Cycle]]&lt;&gt;0,1,0)</f>
        <v>1</v>
      </c>
      <c r="BC105" s="166">
        <f>MAX(Prod[[#This Row],[S1Cavity]],Prod[[#This Row],[S2Cavity]],Prod[[#This Row],[S3Cavity]])</f>
        <v>8</v>
      </c>
      <c r="BD105" s="166" t="b">
        <f>RegExpMatch(Prod[[#This Row],[MoldNo]], "^DW-(B|C)")</f>
        <v>0</v>
      </c>
    </row>
    <row r="106" spans="1:56" x14ac:dyDescent="0.2">
      <c r="A106" s="117">
        <v>45421</v>
      </c>
      <c r="B106" s="120" t="s">
        <v>225</v>
      </c>
      <c r="C106" s="119" t="s">
        <v>226</v>
      </c>
      <c r="D106" s="130" t="s">
        <v>249</v>
      </c>
      <c r="E106" s="130" t="s">
        <v>191</v>
      </c>
      <c r="F106" s="119">
        <v>814</v>
      </c>
      <c r="G106" s="119" t="str">
        <f>IF(OR(Prod[[#This Row],[S1Hrs]]&gt;0,Prod[[#This Row],[S2Hrs]]&gt;0,Prod[[#This Row],[S3Hrs]]&gt;0),"Running","Down")</f>
        <v>Running</v>
      </c>
      <c r="H106" s="140">
        <v>17.940000000000001</v>
      </c>
      <c r="I106" s="141">
        <v>8</v>
      </c>
      <c r="J106" s="120">
        <v>1682</v>
      </c>
      <c r="K106" s="129">
        <v>8</v>
      </c>
      <c r="L106" s="120">
        <f>Prod[[#This Row],[S1Shot]]*Prod[[#This Row],[S1Cavity]]-Prod[[#This Row],[S1Dft]]</f>
        <v>13271</v>
      </c>
      <c r="M106" s="135">
        <f>SUM(Prod[[#This Row],[S1Mold]],Prod[[#This Row],[S1Print]],Prod[[#This Row],[S1Ovlp]],Prod[[#This Row],[S1Seam]],Prod[[#This Row],[S1Dmg]])</f>
        <v>185</v>
      </c>
      <c r="N106" s="140">
        <v>17.940000000000001</v>
      </c>
      <c r="O106" s="141">
        <v>8</v>
      </c>
      <c r="P106" s="120">
        <v>1669</v>
      </c>
      <c r="Q106" s="129">
        <v>8</v>
      </c>
      <c r="R106" s="120">
        <f>Prod[[#This Row],[S2Shot]]*Prod[[#This Row],[S2Cavity]]-Prod[[#This Row],[S2Dft]]</f>
        <v>13167</v>
      </c>
      <c r="S106" s="135">
        <f>SUM(Prod[[#This Row],[S2Mold]],Prod[[#This Row],[S2Print]],Prod[[#This Row],[S2Ovlp]],Prod[[#This Row],[S2Seam]],Prod[[#This Row],[S2Dmg]])</f>
        <v>185</v>
      </c>
      <c r="T106" s="140">
        <v>17.3</v>
      </c>
      <c r="U106" s="141">
        <v>8</v>
      </c>
      <c r="V106" s="120">
        <v>1488</v>
      </c>
      <c r="W106" s="129">
        <v>8</v>
      </c>
      <c r="X106" s="120">
        <f>Prod[[#This Row],[S3Shot]]*Prod[[#This Row],[S3Cavity]]-Prod[[#This Row],[S3Dft]]</f>
        <v>11719</v>
      </c>
      <c r="Y106" s="120">
        <f>SUM(Prod[[#This Row],[S3Mold]],Prod[[#This Row],[S3Print]],Prod[[#This Row],[S3Ovlp]],Prod[[#This Row],[S3Seam]],Prod[[#This Row],[S3Dmg]])</f>
        <v>185</v>
      </c>
      <c r="Z106" s="120">
        <f>SUM(Prod[[#This Row],[S1Qty]],Prod[[#This Row],[S2Qty]],Prod[[#This Row],[S3Qty]])</f>
        <v>38157</v>
      </c>
      <c r="AA106" s="120">
        <f>SUM(Prod[[#This Row],[S1Dft]],Prod[[#This Row],[S2Dft]],Prod[[#This Row],[S3Dft]])</f>
        <v>555</v>
      </c>
      <c r="AB106" s="121">
        <f>IF(Prod[[#This Row],[Total]]=0,0,Prod[[#This Row],[TotalDft]]/Prod[[#This Row],[Total]])</f>
        <v>1.4545168645333752E-2</v>
      </c>
      <c r="AC106" s="130"/>
      <c r="AD106" s="120">
        <v>35</v>
      </c>
      <c r="AE106" s="120">
        <v>30</v>
      </c>
      <c r="AF106" s="120">
        <v>35</v>
      </c>
      <c r="AG106" s="120">
        <v>150</v>
      </c>
      <c r="AH106" s="120">
        <v>155</v>
      </c>
      <c r="AI106" s="120">
        <v>150</v>
      </c>
      <c r="AJ106" s="120">
        <v>0</v>
      </c>
      <c r="AK106" s="120">
        <v>0</v>
      </c>
      <c r="AL106" s="120">
        <v>0</v>
      </c>
      <c r="AM106" s="120">
        <v>0</v>
      </c>
      <c r="AN106" s="120">
        <v>0</v>
      </c>
      <c r="AO106" s="120">
        <v>0</v>
      </c>
      <c r="AP106" s="120">
        <v>0</v>
      </c>
      <c r="AQ106" s="120">
        <v>0</v>
      </c>
      <c r="AR106" s="120">
        <v>0</v>
      </c>
      <c r="AS106" s="131">
        <f>IF(Prod[[#This Row],[S1Hrs]]=0,0,Prod[[#This Row],[S1Shot]]*Prod[[#This Row],[S1Cycle]]/(Prod[[#This Row],[S1Hrs]]*60*60))</f>
        <v>1.0477458333333334</v>
      </c>
      <c r="AT106" s="131">
        <f>IF(Prod[[#This Row],[S2Hrs]]=0,0,Prod[[#This Row],[S2Shot]]*Prod[[#This Row],[S2Cycle]]/(Prod[[#This Row],[S2Hrs]]*60*60))</f>
        <v>1.0396479166666668</v>
      </c>
      <c r="AU106" s="131">
        <f>IF(Prod[[#This Row],[S3Hrs]]=0,0,Prod[[#This Row],[S3Shot]]*Prod[[#This Row],[S3Cycle]]/(Prod[[#This Row],[S3Hrs]]*60*60))</f>
        <v>0.89383333333333337</v>
      </c>
      <c r="AV106" s="131">
        <f>IFERROR(AVERAGEIF(Prod[[#This Row],[S1%]:[S3%]], "&lt;&gt;0"),0)</f>
        <v>0.99374236111111125</v>
      </c>
      <c r="AW106" s="131">
        <v>0</v>
      </c>
      <c r="AX106" s="131">
        <v>0</v>
      </c>
      <c r="AY106" s="131">
        <v>0</v>
      </c>
      <c r="AZ106" s="166">
        <f>IF(Prod[[#This Row],[S1Cycle]]&lt;&gt;0,1,0)</f>
        <v>1</v>
      </c>
      <c r="BA106" s="166">
        <f>IF(Prod[[#This Row],[S2Cycle]]&lt;&gt;0,1,0)</f>
        <v>1</v>
      </c>
      <c r="BB106" s="166">
        <f>IF(Prod[[#This Row],[S3Cycle]]&lt;&gt;0,1,0)</f>
        <v>1</v>
      </c>
      <c r="BC106" s="166">
        <f>MAX(Prod[[#This Row],[S1Cavity]],Prod[[#This Row],[S2Cavity]],Prod[[#This Row],[S3Cavity]])</f>
        <v>8</v>
      </c>
      <c r="BD106" s="166" t="b">
        <f>RegExpMatch(Prod[[#This Row],[MoldNo]], "^DW-(B|C)")</f>
        <v>1</v>
      </c>
    </row>
    <row r="107" spans="1:56" x14ac:dyDescent="0.2">
      <c r="A107" s="117">
        <v>45422</v>
      </c>
      <c r="B107" s="120" t="s">
        <v>172</v>
      </c>
      <c r="C107" s="119" t="s">
        <v>173</v>
      </c>
      <c r="D107" s="119">
        <v>26363</v>
      </c>
      <c r="E107" s="130" t="s">
        <v>92</v>
      </c>
      <c r="F107" s="119">
        <v>814</v>
      </c>
      <c r="G107" s="119" t="str">
        <f>IF(OR(Prod[[#This Row],[S1Hrs]]&gt;0,Prod[[#This Row],[S2Hrs]]&gt;0,Prod[[#This Row],[S3Hrs]]&gt;0),"Running","Down")</f>
        <v>Running</v>
      </c>
      <c r="H107" s="140">
        <v>16.45</v>
      </c>
      <c r="I107" s="141">
        <v>8</v>
      </c>
      <c r="J107" s="120">
        <v>1507</v>
      </c>
      <c r="K107" s="129">
        <v>16</v>
      </c>
      <c r="L107" s="120">
        <f>Prod[[#This Row],[S1Shot]]*Prod[[#This Row],[S1Cavity]]-Prod[[#This Row],[S1Dft]]</f>
        <v>24112</v>
      </c>
      <c r="M107" s="133"/>
      <c r="N107" s="140">
        <v>0</v>
      </c>
      <c r="O107" s="141">
        <v>0</v>
      </c>
      <c r="P107" s="120">
        <v>0</v>
      </c>
      <c r="Q107" s="129">
        <v>0</v>
      </c>
      <c r="R107" s="120">
        <f>Prod[[#This Row],[S2Shot]]*Prod[[#This Row],[S2Cavity]]-Prod[[#This Row],[S2Dft]]</f>
        <v>0</v>
      </c>
      <c r="S107" s="133"/>
      <c r="T107" s="140">
        <v>16.440000000000001</v>
      </c>
      <c r="U107" s="141">
        <v>8</v>
      </c>
      <c r="V107" s="120">
        <v>1687</v>
      </c>
      <c r="W107" s="129">
        <v>16</v>
      </c>
      <c r="X107" s="120">
        <f>Prod[[#This Row],[S3Shot]]*Prod[[#This Row],[S3Cavity]]-Prod[[#This Row],[S3Dft]]</f>
        <v>26992</v>
      </c>
      <c r="Y107" s="133"/>
      <c r="Z107" s="120">
        <f>SUM(Prod[[#This Row],[S1Qty]],Prod[[#This Row],[S2Qty]],Prod[[#This Row],[S3Qty]])</f>
        <v>51104</v>
      </c>
      <c r="AA107" s="133"/>
      <c r="AB107" s="134"/>
      <c r="AC107" s="118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1">
        <f>IF(Prod[[#This Row],[S1Hrs]]=0,0,Prod[[#This Row],[S1Shot]]*Prod[[#This Row],[S1Cycle]]/(Prod[[#This Row],[S1Hrs]]*60*60))</f>
        <v>0.86076909722222217</v>
      </c>
      <c r="AT107" s="131">
        <f>IF(Prod[[#This Row],[S2Hrs]]=0,0,Prod[[#This Row],[S2Shot]]*Prod[[#This Row],[S2Cycle]]/(Prod[[#This Row],[S2Hrs]]*60*60))</f>
        <v>0</v>
      </c>
      <c r="AU107" s="131">
        <f>IF(Prod[[#This Row],[S3Hrs]]=0,0,Prod[[#This Row],[S3Shot]]*Prod[[#This Row],[S3Cycle]]/(Prod[[#This Row],[S3Hrs]]*60*60))</f>
        <v>0.96299583333333338</v>
      </c>
      <c r="AV107" s="131">
        <f>IFERROR(AVERAGEIF(Prod[[#This Row],[S1%]:[S3%]], "&lt;&gt;0"),0)</f>
        <v>0.91188246527777772</v>
      </c>
      <c r="AW107" s="131">
        <v>0</v>
      </c>
      <c r="AX107" s="131">
        <v>0</v>
      </c>
      <c r="AY107" s="131">
        <v>0</v>
      </c>
      <c r="AZ107" s="166">
        <f>IF(Prod[[#This Row],[S1Cycle]]&lt;&gt;0,1,0)</f>
        <v>1</v>
      </c>
      <c r="BA107" s="166">
        <f>IF(Prod[[#This Row],[S2Cycle]]&lt;&gt;0,1,0)</f>
        <v>0</v>
      </c>
      <c r="BB107" s="166">
        <f>IF(Prod[[#This Row],[S3Cycle]]&lt;&gt;0,1,0)</f>
        <v>1</v>
      </c>
      <c r="BC107" s="166">
        <f>MAX(Prod[[#This Row],[S1Cavity]],Prod[[#This Row],[S2Cavity]],Prod[[#This Row],[S3Cavity]])</f>
        <v>16</v>
      </c>
      <c r="BD107" s="166" t="b">
        <f>RegExpMatch(Prod[[#This Row],[MoldNo]], "^DW-(B|C)")</f>
        <v>0</v>
      </c>
    </row>
    <row r="108" spans="1:56" x14ac:dyDescent="0.2">
      <c r="A108" s="117">
        <v>45422</v>
      </c>
      <c r="B108" s="119" t="s">
        <v>179</v>
      </c>
      <c r="C108" s="119" t="s">
        <v>180</v>
      </c>
      <c r="D108" s="119">
        <v>26363</v>
      </c>
      <c r="E108" s="130" t="s">
        <v>92</v>
      </c>
      <c r="F108" s="119">
        <v>814</v>
      </c>
      <c r="G108" s="119" t="str">
        <f>IF(OR(Prod[[#This Row],[S1Hrs]]&gt;0,Prod[[#This Row],[S2Hrs]]&gt;0,Prod[[#This Row],[S3Hrs]]&gt;0),"Running","Down")</f>
        <v>Running</v>
      </c>
      <c r="H108" s="140">
        <v>11.96</v>
      </c>
      <c r="I108" s="141">
        <v>7.5</v>
      </c>
      <c r="J108" s="120">
        <v>2149</v>
      </c>
      <c r="K108" s="129">
        <v>16</v>
      </c>
      <c r="L108" s="120">
        <f>Prod[[#This Row],[S1Shot]]*Prod[[#This Row],[S1Cavity]]-Prod[[#This Row],[S1Dft]]</f>
        <v>34384</v>
      </c>
      <c r="M108" s="133"/>
      <c r="N108" s="140">
        <v>11.98</v>
      </c>
      <c r="O108" s="141">
        <v>3</v>
      </c>
      <c r="P108" s="120">
        <v>815</v>
      </c>
      <c r="Q108" s="129">
        <v>16</v>
      </c>
      <c r="R108" s="120">
        <f>Prod[[#This Row],[S2Shot]]*Prod[[#This Row],[S2Cavity]]-Prod[[#This Row],[S2Dft]]</f>
        <v>13040</v>
      </c>
      <c r="S108" s="133"/>
      <c r="T108" s="140">
        <v>0</v>
      </c>
      <c r="U108" s="141">
        <v>0</v>
      </c>
      <c r="V108" s="120">
        <v>0</v>
      </c>
      <c r="W108" s="129">
        <v>0</v>
      </c>
      <c r="X108" s="120">
        <f>Prod[[#This Row],[S3Shot]]*Prod[[#This Row],[S3Cavity]]-Prod[[#This Row],[S3Dft]]</f>
        <v>0</v>
      </c>
      <c r="Y108" s="133"/>
      <c r="Z108" s="120">
        <f>SUM(Prod[[#This Row],[S1Qty]],Prod[[#This Row],[S2Qty]],Prod[[#This Row],[S3Qty]])</f>
        <v>47424</v>
      </c>
      <c r="AA108" s="133"/>
      <c r="AB108" s="134"/>
      <c r="AC108" s="130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1">
        <f>IF(Prod[[#This Row],[S1Hrs]]=0,0,Prod[[#This Row],[S1Shot]]*Prod[[#This Row],[S1Cycle]]/(Prod[[#This Row],[S1Hrs]]*60*60))</f>
        <v>0.95192740740740744</v>
      </c>
      <c r="AT108" s="131">
        <f>IF(Prod[[#This Row],[S2Hrs]]=0,0,Prod[[#This Row],[S2Shot]]*Prod[[#This Row],[S2Cycle]]/(Prod[[#This Row],[S2Hrs]]*60*60))</f>
        <v>0.9040462962962964</v>
      </c>
      <c r="AU108" s="131">
        <f>IF(Prod[[#This Row],[S3Hrs]]=0,0,Prod[[#This Row],[S3Shot]]*Prod[[#This Row],[S3Cycle]]/(Prod[[#This Row],[S3Hrs]]*60*60))</f>
        <v>0</v>
      </c>
      <c r="AV108" s="131">
        <f>IFERROR(AVERAGEIF(Prod[[#This Row],[S1%]:[S3%]], "&lt;&gt;0"),0)</f>
        <v>0.92798685185185192</v>
      </c>
      <c r="AW108" s="131">
        <v>0</v>
      </c>
      <c r="AX108" s="131">
        <v>0</v>
      </c>
      <c r="AY108" s="131">
        <v>0</v>
      </c>
      <c r="AZ108" s="166">
        <f>IF(Prod[[#This Row],[S1Cycle]]&lt;&gt;0,1,0)</f>
        <v>1</v>
      </c>
      <c r="BA108" s="166">
        <f>IF(Prod[[#This Row],[S2Cycle]]&lt;&gt;0,1,0)</f>
        <v>1</v>
      </c>
      <c r="BB108" s="166">
        <f>IF(Prod[[#This Row],[S3Cycle]]&lt;&gt;0,1,0)</f>
        <v>0</v>
      </c>
      <c r="BC108" s="166">
        <f>MAX(Prod[[#This Row],[S1Cavity]],Prod[[#This Row],[S2Cavity]],Prod[[#This Row],[S3Cavity]])</f>
        <v>16</v>
      </c>
      <c r="BD108" s="166" t="b">
        <f>RegExpMatch(Prod[[#This Row],[MoldNo]], "^DW-(B|C)")</f>
        <v>0</v>
      </c>
    </row>
    <row r="109" spans="1:56" x14ac:dyDescent="0.2">
      <c r="A109" s="117">
        <v>45422</v>
      </c>
      <c r="B109" s="119" t="s">
        <v>216</v>
      </c>
      <c r="C109" s="119" t="s">
        <v>217</v>
      </c>
      <c r="D109" s="119">
        <v>27209</v>
      </c>
      <c r="E109" s="130" t="s">
        <v>191</v>
      </c>
      <c r="F109" s="119">
        <v>814</v>
      </c>
      <c r="G109" s="119" t="str">
        <f>IF(OR(Prod[[#This Row],[S1Hrs]]&gt;0,Prod[[#This Row],[S2Hrs]]&gt;0,Prod[[#This Row],[S3Hrs]]&gt;0),"Running","Down")</f>
        <v>Running</v>
      </c>
      <c r="H109" s="140">
        <v>19.61</v>
      </c>
      <c r="I109" s="141">
        <v>6</v>
      </c>
      <c r="J109" s="120">
        <v>1083</v>
      </c>
      <c r="K109" s="129">
        <v>8</v>
      </c>
      <c r="L109" s="120">
        <f>Prod[[#This Row],[S1Shot]]*Prod[[#This Row],[S1Cavity]]-Prod[[#This Row],[S1Dft]]</f>
        <v>8509</v>
      </c>
      <c r="M109" s="135">
        <f>SUM(Prod[[#This Row],[S1Mold]],Prod[[#This Row],[S1Print]],Prod[[#This Row],[S1Ovlp]],Prod[[#This Row],[S1Seam]],Prod[[#This Row],[S1Dmg]])</f>
        <v>155</v>
      </c>
      <c r="N109" s="140">
        <v>19.61</v>
      </c>
      <c r="O109" s="141">
        <v>4</v>
      </c>
      <c r="P109" s="120">
        <v>752</v>
      </c>
      <c r="Q109" s="129">
        <v>8</v>
      </c>
      <c r="R109" s="120">
        <f>Prod[[#This Row],[S2Shot]]*Prod[[#This Row],[S2Cavity]]-Prod[[#This Row],[S2Dft]]</f>
        <v>5961</v>
      </c>
      <c r="S109" s="135">
        <f>SUM(Prod[[#This Row],[S2Mold]],Prod[[#This Row],[S2Print]],Prod[[#This Row],[S2Ovlp]],Prod[[#This Row],[S2Seam]],Prod[[#This Row],[S2Dmg]])</f>
        <v>55</v>
      </c>
      <c r="T109" s="140">
        <v>0</v>
      </c>
      <c r="U109" s="141">
        <v>0</v>
      </c>
      <c r="V109" s="120">
        <v>0</v>
      </c>
      <c r="W109" s="129">
        <v>0</v>
      </c>
      <c r="X109" s="120">
        <f>Prod[[#This Row],[S3Shot]]*Prod[[#This Row],[S3Cavity]]-Prod[[#This Row],[S3Dft]]</f>
        <v>0</v>
      </c>
      <c r="Y109" s="120">
        <f>SUM(Prod[[#This Row],[S3Mold]],Prod[[#This Row],[S3Print]],Prod[[#This Row],[S3Ovlp]],Prod[[#This Row],[S3Seam]],Prod[[#This Row],[S3Dmg]])</f>
        <v>0</v>
      </c>
      <c r="Z109" s="120">
        <f>SUM(Prod[[#This Row],[S1Qty]],Prod[[#This Row],[S2Qty]],Prod[[#This Row],[S3Qty]])</f>
        <v>14470</v>
      </c>
      <c r="AA109" s="120">
        <f>SUM(Prod[[#This Row],[S1Dft]],Prod[[#This Row],[S2Dft]],Prod[[#This Row],[S3Dft]])</f>
        <v>210</v>
      </c>
      <c r="AB109" s="121">
        <f>IF(Prod[[#This Row],[Total]]=0,0,Prod[[#This Row],[TotalDft]]/Prod[[#This Row],[Total]])</f>
        <v>1.4512785072563926E-2</v>
      </c>
      <c r="AC109" s="130"/>
      <c r="AD109" s="120">
        <v>25</v>
      </c>
      <c r="AE109" s="120">
        <v>10</v>
      </c>
      <c r="AF109" s="120">
        <v>0</v>
      </c>
      <c r="AG109" s="120">
        <v>130</v>
      </c>
      <c r="AH109" s="120">
        <v>45</v>
      </c>
      <c r="AI109" s="120">
        <v>0</v>
      </c>
      <c r="AJ109" s="120">
        <v>0</v>
      </c>
      <c r="AK109" s="120">
        <v>0</v>
      </c>
      <c r="AL109" s="120">
        <v>0</v>
      </c>
      <c r="AM109" s="120">
        <v>0</v>
      </c>
      <c r="AN109" s="120">
        <v>0</v>
      </c>
      <c r="AO109" s="120">
        <v>0</v>
      </c>
      <c r="AP109" s="120">
        <v>0</v>
      </c>
      <c r="AQ109" s="120">
        <v>0</v>
      </c>
      <c r="AR109" s="120">
        <v>0</v>
      </c>
      <c r="AS109" s="131">
        <f>IF(Prod[[#This Row],[S1Hrs]]=0,0,Prod[[#This Row],[S1Shot]]*Prod[[#This Row],[S1Cycle]]/(Prod[[#This Row],[S1Hrs]]*60*60))</f>
        <v>0.98322361111111112</v>
      </c>
      <c r="AT109" s="131">
        <f>IF(Prod[[#This Row],[S2Hrs]]=0,0,Prod[[#This Row],[S2Shot]]*Prod[[#This Row],[S2Cycle]]/(Prod[[#This Row],[S2Hrs]]*60*60))</f>
        <v>1.0240777777777776</v>
      </c>
      <c r="AU109" s="131">
        <f>IF(Prod[[#This Row],[S3Hrs]]=0,0,Prod[[#This Row],[S3Shot]]*Prod[[#This Row],[S3Cycle]]/(Prod[[#This Row],[S3Hrs]]*60*60))</f>
        <v>0</v>
      </c>
      <c r="AV109" s="131">
        <f>IFERROR(AVERAGEIF(Prod[[#This Row],[S1%]:[S3%]], "&lt;&gt;0"),0)</f>
        <v>1.0036506944444443</v>
      </c>
      <c r="AW109" s="131">
        <v>0</v>
      </c>
      <c r="AX109" s="131">
        <v>0</v>
      </c>
      <c r="AY109" s="131">
        <v>0</v>
      </c>
      <c r="AZ109" s="166">
        <f>IF(Prod[[#This Row],[S1Cycle]]&lt;&gt;0,1,0)</f>
        <v>1</v>
      </c>
      <c r="BA109" s="166">
        <f>IF(Prod[[#This Row],[S2Cycle]]&lt;&gt;0,1,0)</f>
        <v>1</v>
      </c>
      <c r="BB109" s="166">
        <f>IF(Prod[[#This Row],[S3Cycle]]&lt;&gt;0,1,0)</f>
        <v>0</v>
      </c>
      <c r="BC109" s="166">
        <f>MAX(Prod[[#This Row],[S1Cavity]],Prod[[#This Row],[S2Cavity]],Prod[[#This Row],[S3Cavity]])</f>
        <v>8</v>
      </c>
      <c r="BD109" s="166" t="b">
        <f>RegExpMatch(Prod[[#This Row],[MoldNo]], "^DW-(B|C)")</f>
        <v>1</v>
      </c>
    </row>
    <row r="110" spans="1:56" x14ac:dyDescent="0.2">
      <c r="A110" s="117">
        <v>45422</v>
      </c>
      <c r="B110" s="119" t="s">
        <v>216</v>
      </c>
      <c r="C110" s="119" t="s">
        <v>217</v>
      </c>
      <c r="D110" s="119">
        <v>27269</v>
      </c>
      <c r="E110" s="130" t="s">
        <v>191</v>
      </c>
      <c r="F110" s="119">
        <v>814</v>
      </c>
      <c r="G110" s="119" t="str">
        <f>IF(OR(Prod[[#This Row],[S1Hrs]]&gt;0,Prod[[#This Row],[S2Hrs]]&gt;0,Prod[[#This Row],[S3Hrs]]&gt;0),"Running","Down")</f>
        <v>Running</v>
      </c>
      <c r="H110" s="140">
        <v>0</v>
      </c>
      <c r="I110" s="141">
        <v>0</v>
      </c>
      <c r="J110" s="120">
        <v>0</v>
      </c>
      <c r="K110" s="129">
        <v>0</v>
      </c>
      <c r="L110" s="120">
        <f>Prod[[#This Row],[S1Shot]]*Prod[[#This Row],[S1Cavity]]-Prod[[#This Row],[S1Dft]]</f>
        <v>0</v>
      </c>
      <c r="M110" s="135">
        <f>SUM(Prod[[#This Row],[S1Mold]],Prod[[#This Row],[S1Print]],Prod[[#This Row],[S1Ovlp]],Prod[[#This Row],[S1Seam]],Prod[[#This Row],[S1Dmg]])</f>
        <v>0</v>
      </c>
      <c r="N110" s="140">
        <v>19.61</v>
      </c>
      <c r="O110" s="141">
        <v>4</v>
      </c>
      <c r="P110" s="120">
        <v>753</v>
      </c>
      <c r="Q110" s="129">
        <v>8</v>
      </c>
      <c r="R110" s="120">
        <f>Prod[[#This Row],[S2Shot]]*Prod[[#This Row],[S2Cavity]]-Prod[[#This Row],[S2Dft]]</f>
        <v>5944</v>
      </c>
      <c r="S110" s="135">
        <f>SUM(Prod[[#This Row],[S2Mold]],Prod[[#This Row],[S2Print]],Prod[[#This Row],[S2Ovlp]],Prod[[#This Row],[S2Seam]],Prod[[#This Row],[S2Dmg]])</f>
        <v>80</v>
      </c>
      <c r="T110" s="140">
        <v>19.600000000000001</v>
      </c>
      <c r="U110" s="141">
        <v>8</v>
      </c>
      <c r="V110" s="120">
        <v>1419</v>
      </c>
      <c r="W110" s="129">
        <v>8</v>
      </c>
      <c r="X110" s="120">
        <f>Prod[[#This Row],[S3Shot]]*Prod[[#This Row],[S3Cavity]]-Prod[[#This Row],[S3Dft]]</f>
        <v>11192</v>
      </c>
      <c r="Y110" s="120">
        <f>SUM(Prod[[#This Row],[S3Mold]],Prod[[#This Row],[S3Print]],Prod[[#This Row],[S3Ovlp]],Prod[[#This Row],[S3Seam]],Prod[[#This Row],[S3Dmg]])</f>
        <v>160</v>
      </c>
      <c r="Z110" s="120">
        <f>SUM(Prod[[#This Row],[S1Qty]],Prod[[#This Row],[S2Qty]],Prod[[#This Row],[S3Qty]])</f>
        <v>17136</v>
      </c>
      <c r="AA110" s="120">
        <f>SUM(Prod[[#This Row],[S1Dft]],Prod[[#This Row],[S2Dft]],Prod[[#This Row],[S3Dft]])</f>
        <v>240</v>
      </c>
      <c r="AB110" s="121">
        <f>IF(Prod[[#This Row],[Total]]=0,0,Prod[[#This Row],[TotalDft]]/Prod[[#This Row],[Total]])</f>
        <v>1.4005602240896359E-2</v>
      </c>
      <c r="AC110" s="130"/>
      <c r="AD110" s="120">
        <v>0</v>
      </c>
      <c r="AE110" s="120">
        <v>15</v>
      </c>
      <c r="AF110" s="120">
        <v>25</v>
      </c>
      <c r="AG110" s="120">
        <v>0</v>
      </c>
      <c r="AH110" s="120">
        <v>65</v>
      </c>
      <c r="AI110" s="120">
        <v>135</v>
      </c>
      <c r="AJ110" s="120">
        <v>0</v>
      </c>
      <c r="AK110" s="120">
        <v>0</v>
      </c>
      <c r="AL110" s="120">
        <v>0</v>
      </c>
      <c r="AM110" s="120">
        <v>0</v>
      </c>
      <c r="AN110" s="120">
        <v>0</v>
      </c>
      <c r="AO110" s="120">
        <v>0</v>
      </c>
      <c r="AP110" s="120">
        <v>0</v>
      </c>
      <c r="AQ110" s="120">
        <v>0</v>
      </c>
      <c r="AR110" s="120">
        <v>0</v>
      </c>
      <c r="AS110" s="131">
        <f>IF(Prod[[#This Row],[S1Hrs]]=0,0,Prod[[#This Row],[S1Shot]]*Prod[[#This Row],[S1Cycle]]/(Prod[[#This Row],[S1Hrs]]*60*60))</f>
        <v>0</v>
      </c>
      <c r="AT110" s="131">
        <f>IF(Prod[[#This Row],[S2Hrs]]=0,0,Prod[[#This Row],[S2Shot]]*Prod[[#This Row],[S2Cycle]]/(Prod[[#This Row],[S2Hrs]]*60*60))</f>
        <v>1.0254395833333334</v>
      </c>
      <c r="AU110" s="131">
        <f>IF(Prod[[#This Row],[S3Hrs]]=0,0,Prod[[#This Row],[S3Shot]]*Prod[[#This Row],[S3Cycle]]/(Prod[[#This Row],[S3Hrs]]*60*60))</f>
        <v>0.96570833333333339</v>
      </c>
      <c r="AV110" s="131">
        <f>IFERROR(AVERAGEIF(Prod[[#This Row],[S1%]:[S3%]], "&lt;&gt;0"),0)</f>
        <v>0.9955739583333334</v>
      </c>
      <c r="AW110" s="131">
        <v>0</v>
      </c>
      <c r="AX110" s="131">
        <v>0</v>
      </c>
      <c r="AY110" s="131">
        <v>0</v>
      </c>
      <c r="AZ110" s="166">
        <f>IF(Prod[[#This Row],[S1Cycle]]&lt;&gt;0,1,0)</f>
        <v>0</v>
      </c>
      <c r="BA110" s="166">
        <f>IF(Prod[[#This Row],[S2Cycle]]&lt;&gt;0,1,0)</f>
        <v>1</v>
      </c>
      <c r="BB110" s="166">
        <f>IF(Prod[[#This Row],[S3Cycle]]&lt;&gt;0,1,0)</f>
        <v>1</v>
      </c>
      <c r="BC110" s="166">
        <f>MAX(Prod[[#This Row],[S1Cavity]],Prod[[#This Row],[S2Cavity]],Prod[[#This Row],[S3Cavity]])</f>
        <v>8</v>
      </c>
      <c r="BD110" s="166" t="b">
        <f>RegExpMatch(Prod[[#This Row],[MoldNo]], "^DW-(B|C)")</f>
        <v>1</v>
      </c>
    </row>
    <row r="111" spans="1:56" x14ac:dyDescent="0.2">
      <c r="A111" s="117">
        <v>45422</v>
      </c>
      <c r="B111" s="129" t="s">
        <v>192</v>
      </c>
      <c r="C111" s="130" t="s">
        <v>174</v>
      </c>
      <c r="D111" s="119"/>
      <c r="E111" s="130"/>
      <c r="F111" s="119"/>
      <c r="G111" s="119" t="str">
        <f>IF(OR(Prod[[#This Row],[S1Hrs]]&gt;0,Prod[[#This Row],[S2Hrs]]&gt;0,Prod[[#This Row],[S3Hrs]]&gt;0),"Running","Down")</f>
        <v>Down</v>
      </c>
      <c r="H111" s="140">
        <v>0</v>
      </c>
      <c r="I111" s="141">
        <v>0</v>
      </c>
      <c r="J111" s="120">
        <v>0</v>
      </c>
      <c r="K111" s="129">
        <v>0</v>
      </c>
      <c r="L111" s="120">
        <f>Prod[[#This Row],[S1Shot]]*Prod[[#This Row],[S1Cavity]]-Prod[[#This Row],[S1Dft]]</f>
        <v>0</v>
      </c>
      <c r="M111" s="133"/>
      <c r="N111" s="140">
        <v>0</v>
      </c>
      <c r="O111" s="141">
        <v>0</v>
      </c>
      <c r="P111" s="120">
        <v>0</v>
      </c>
      <c r="Q111" s="129">
        <v>0</v>
      </c>
      <c r="R111" s="120">
        <f>Prod[[#This Row],[S2Shot]]*Prod[[#This Row],[S2Cavity]]-Prod[[#This Row],[S2Dft]]</f>
        <v>0</v>
      </c>
      <c r="S111" s="133"/>
      <c r="T111" s="140">
        <v>0</v>
      </c>
      <c r="U111" s="141">
        <v>0</v>
      </c>
      <c r="V111" s="120">
        <v>0</v>
      </c>
      <c r="W111" s="129">
        <v>0</v>
      </c>
      <c r="X111" s="120">
        <f>Prod[[#This Row],[S3Shot]]*Prod[[#This Row],[S3Cavity]]-Prod[[#This Row],[S3Dft]]</f>
        <v>0</v>
      </c>
      <c r="Y111" s="133"/>
      <c r="Z111" s="120">
        <f>SUM(Prod[[#This Row],[S1Qty]],Prod[[#This Row],[S2Qty]],Prod[[#This Row],[S3Qty]])</f>
        <v>0</v>
      </c>
      <c r="AA111" s="133"/>
      <c r="AB111" s="134"/>
      <c r="AC111" s="130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1">
        <f>IF(Prod[[#This Row],[S1Hrs]]=0,0,Prod[[#This Row],[S1Shot]]*Prod[[#This Row],[S1Cycle]]/(Prod[[#This Row],[S1Hrs]]*60*60))</f>
        <v>0</v>
      </c>
      <c r="AT111" s="131">
        <f>IF(Prod[[#This Row],[S2Hrs]]=0,0,Prod[[#This Row],[S2Shot]]*Prod[[#This Row],[S2Cycle]]/(Prod[[#This Row],[S2Hrs]]*60*60))</f>
        <v>0</v>
      </c>
      <c r="AU111" s="131">
        <f>IF(Prod[[#This Row],[S3Hrs]]=0,0,Prod[[#This Row],[S3Shot]]*Prod[[#This Row],[S3Cycle]]/(Prod[[#This Row],[S3Hrs]]*60*60))</f>
        <v>0</v>
      </c>
      <c r="AV111" s="131">
        <f>IFERROR(AVERAGEIF(Prod[[#This Row],[S1%]:[S3%]], "&lt;&gt;0"),0)</f>
        <v>0</v>
      </c>
      <c r="AW111" s="131">
        <v>0</v>
      </c>
      <c r="AX111" s="131">
        <v>0</v>
      </c>
      <c r="AY111" s="131">
        <v>0</v>
      </c>
      <c r="AZ111" s="166">
        <f>IF(Prod[[#This Row],[S1Cycle]]&lt;&gt;0,1,0)</f>
        <v>0</v>
      </c>
      <c r="BA111" s="166">
        <f>IF(Prod[[#This Row],[S2Cycle]]&lt;&gt;0,1,0)</f>
        <v>0</v>
      </c>
      <c r="BB111" s="166">
        <f>IF(Prod[[#This Row],[S3Cycle]]&lt;&gt;0,1,0)</f>
        <v>0</v>
      </c>
      <c r="BC111" s="166">
        <f>MAX(Prod[[#This Row],[S1Cavity]],Prod[[#This Row],[S2Cavity]],Prod[[#This Row],[S3Cavity]])</f>
        <v>0</v>
      </c>
      <c r="BD111" s="166" t="b">
        <f>RegExpMatch(Prod[[#This Row],[MoldNo]], "^DW-(B|C)")</f>
        <v>0</v>
      </c>
    </row>
    <row r="112" spans="1:56" x14ac:dyDescent="0.2">
      <c r="A112" s="117">
        <v>45422</v>
      </c>
      <c r="B112" s="120" t="s">
        <v>175</v>
      </c>
      <c r="C112" s="119" t="s">
        <v>178</v>
      </c>
      <c r="D112" s="130">
        <v>26367</v>
      </c>
      <c r="E112" s="130" t="s">
        <v>191</v>
      </c>
      <c r="F112" s="119">
        <v>814</v>
      </c>
      <c r="G112" s="119" t="str">
        <f>IF(OR(Prod[[#This Row],[S1Hrs]]&gt;0,Prod[[#This Row],[S2Hrs]]&gt;0,Prod[[#This Row],[S3Hrs]]&gt;0),"Running","Down")</f>
        <v>Running</v>
      </c>
      <c r="H112" s="140">
        <v>19.29</v>
      </c>
      <c r="I112" s="141">
        <v>8</v>
      </c>
      <c r="J112" s="120">
        <v>1579</v>
      </c>
      <c r="K112" s="129">
        <v>8</v>
      </c>
      <c r="L112" s="120">
        <f>Prod[[#This Row],[S1Shot]]*Prod[[#This Row],[S1Cavity]]-Prod[[#This Row],[S1Dft]]</f>
        <v>12452</v>
      </c>
      <c r="M112" s="135">
        <f>SUM(Prod[[#This Row],[S1Mold]],Prod[[#This Row],[S1Print]],Prod[[#This Row],[S1Ovlp]],Prod[[#This Row],[S1Seam]],Prod[[#This Row],[S1Dmg]])</f>
        <v>180</v>
      </c>
      <c r="N112" s="140">
        <v>19.29</v>
      </c>
      <c r="O112" s="141">
        <v>4.25</v>
      </c>
      <c r="P112" s="120">
        <v>788</v>
      </c>
      <c r="Q112" s="129">
        <v>8</v>
      </c>
      <c r="R112" s="120">
        <f>Prod[[#This Row],[S2Shot]]*Prod[[#This Row],[S2Cavity]]-Prod[[#This Row],[S2Dft]]</f>
        <v>6214</v>
      </c>
      <c r="S112" s="135">
        <f>SUM(Prod[[#This Row],[S2Mold]],Prod[[#This Row],[S2Print]],Prod[[#This Row],[S2Ovlp]],Prod[[#This Row],[S2Seam]],Prod[[#This Row],[S2Dmg]])</f>
        <v>90</v>
      </c>
      <c r="T112" s="140">
        <v>0</v>
      </c>
      <c r="U112" s="141">
        <v>0</v>
      </c>
      <c r="V112" s="120">
        <v>0</v>
      </c>
      <c r="W112" s="129">
        <v>0</v>
      </c>
      <c r="X112" s="120">
        <f>Prod[[#This Row],[S3Shot]]*Prod[[#This Row],[S3Cavity]]-Prod[[#This Row],[S3Dft]]</f>
        <v>0</v>
      </c>
      <c r="Y112" s="120">
        <f>SUM(Prod[[#This Row],[S3Mold]],Prod[[#This Row],[S3Print]],Prod[[#This Row],[S3Ovlp]],Prod[[#This Row],[S3Seam]],Prod[[#This Row],[S3Dmg]])</f>
        <v>0</v>
      </c>
      <c r="Z112" s="120">
        <f>SUM(Prod[[#This Row],[S1Qty]],Prod[[#This Row],[S2Qty]],Prod[[#This Row],[S3Qty]])</f>
        <v>18666</v>
      </c>
      <c r="AA112" s="120">
        <f>SUM(Prod[[#This Row],[S1Dft]],Prod[[#This Row],[S2Dft]],Prod[[#This Row],[S3Dft]])</f>
        <v>270</v>
      </c>
      <c r="AB112" s="121">
        <f>IF(Prod[[#This Row],[Total]]=0,0,Prod[[#This Row],[TotalDft]]/Prod[[#This Row],[Total]])</f>
        <v>1.446480231436837E-2</v>
      </c>
      <c r="AC112" s="130"/>
      <c r="AD112" s="120">
        <v>35</v>
      </c>
      <c r="AE112" s="120">
        <v>15</v>
      </c>
      <c r="AF112" s="120">
        <v>0</v>
      </c>
      <c r="AG112" s="120">
        <v>145</v>
      </c>
      <c r="AH112" s="120">
        <v>75</v>
      </c>
      <c r="AI112" s="120">
        <v>0</v>
      </c>
      <c r="AJ112" s="120">
        <v>0</v>
      </c>
      <c r="AK112" s="120">
        <v>0</v>
      </c>
      <c r="AL112" s="120">
        <v>0</v>
      </c>
      <c r="AM112" s="120">
        <v>0</v>
      </c>
      <c r="AN112" s="120">
        <v>0</v>
      </c>
      <c r="AO112" s="120">
        <v>0</v>
      </c>
      <c r="AP112" s="120">
        <v>0</v>
      </c>
      <c r="AQ112" s="120">
        <v>0</v>
      </c>
      <c r="AR112" s="120">
        <v>0</v>
      </c>
      <c r="AS112" s="131">
        <f>IF(Prod[[#This Row],[S1Hrs]]=0,0,Prod[[#This Row],[S1Shot]]*Prod[[#This Row],[S1Cycle]]/(Prod[[#This Row],[S1Hrs]]*60*60))</f>
        <v>1.0576010416666666</v>
      </c>
      <c r="AT112" s="131">
        <f>IF(Prod[[#This Row],[S2Hrs]]=0,0,Prod[[#This Row],[S2Shot]]*Prod[[#This Row],[S2Cycle]]/(Prod[[#This Row],[S2Hrs]]*60*60))</f>
        <v>0.99349803921568614</v>
      </c>
      <c r="AU112" s="131">
        <f>IF(Prod[[#This Row],[S3Hrs]]=0,0,Prod[[#This Row],[S3Shot]]*Prod[[#This Row],[S3Cycle]]/(Prod[[#This Row],[S3Hrs]]*60*60))</f>
        <v>0</v>
      </c>
      <c r="AV112" s="131">
        <f>IFERROR(AVERAGEIF(Prod[[#This Row],[S1%]:[S3%]], "&lt;&gt;0"),0)</f>
        <v>1.0255495404411763</v>
      </c>
      <c r="AW112" s="131">
        <v>0</v>
      </c>
      <c r="AX112" s="131">
        <v>0</v>
      </c>
      <c r="AY112" s="131">
        <v>0</v>
      </c>
      <c r="AZ112" s="166">
        <f>IF(Prod[[#This Row],[S1Cycle]]&lt;&gt;0,1,0)</f>
        <v>1</v>
      </c>
      <c r="BA112" s="166">
        <f>IF(Prod[[#This Row],[S2Cycle]]&lt;&gt;0,1,0)</f>
        <v>1</v>
      </c>
      <c r="BB112" s="166">
        <f>IF(Prod[[#This Row],[S3Cycle]]&lt;&gt;0,1,0)</f>
        <v>0</v>
      </c>
      <c r="BC112" s="166">
        <f>MAX(Prod[[#This Row],[S1Cavity]],Prod[[#This Row],[S2Cavity]],Prod[[#This Row],[S3Cavity]])</f>
        <v>8</v>
      </c>
      <c r="BD112" s="166" t="b">
        <f>RegExpMatch(Prod[[#This Row],[MoldNo]], "^DW-(B|C)")</f>
        <v>1</v>
      </c>
    </row>
    <row r="113" spans="1:56" x14ac:dyDescent="0.2">
      <c r="A113" s="117">
        <v>45422</v>
      </c>
      <c r="B113" s="120" t="s">
        <v>175</v>
      </c>
      <c r="C113" s="119" t="s">
        <v>178</v>
      </c>
      <c r="D113" s="130">
        <v>25151</v>
      </c>
      <c r="E113" s="130" t="s">
        <v>191</v>
      </c>
      <c r="F113" s="119">
        <v>814</v>
      </c>
      <c r="G113" s="119" t="str">
        <f>IF(OR(Prod[[#This Row],[S1Hrs]]&gt;0,Prod[[#This Row],[S2Hrs]]&gt;0,Prod[[#This Row],[S3Hrs]]&gt;0),"Running","Down")</f>
        <v>Running</v>
      </c>
      <c r="H113" s="140">
        <v>0</v>
      </c>
      <c r="I113" s="141">
        <v>0</v>
      </c>
      <c r="J113" s="120">
        <v>0</v>
      </c>
      <c r="K113" s="129">
        <v>0</v>
      </c>
      <c r="L113" s="120">
        <f>Prod[[#This Row],[S1Shot]]*Prod[[#This Row],[S1Cavity]]-Prod[[#This Row],[S1Dft]]</f>
        <v>0</v>
      </c>
      <c r="M113" s="135">
        <f>SUM(Prod[[#This Row],[S1Mold]],Prod[[#This Row],[S1Print]],Prod[[#This Row],[S1Ovlp]],Prod[[#This Row],[S1Seam]],Prod[[#This Row],[S1Dmg]])</f>
        <v>0</v>
      </c>
      <c r="N113" s="140">
        <v>19.29</v>
      </c>
      <c r="O113" s="141">
        <v>3.75</v>
      </c>
      <c r="P113" s="120">
        <v>688</v>
      </c>
      <c r="Q113" s="129">
        <v>8</v>
      </c>
      <c r="R113" s="120">
        <f>Prod[[#This Row],[S2Shot]]*Prod[[#This Row],[S2Cavity]]-Prod[[#This Row],[S2Dft]]</f>
        <v>5409</v>
      </c>
      <c r="S113" s="135">
        <f>SUM(Prod[[#This Row],[S2Mold]],Prod[[#This Row],[S2Print]],Prod[[#This Row],[S2Ovlp]],Prod[[#This Row],[S2Seam]],Prod[[#This Row],[S2Dmg]])</f>
        <v>95</v>
      </c>
      <c r="T113" s="140">
        <v>16.989999999999998</v>
      </c>
      <c r="U113" s="141">
        <v>8</v>
      </c>
      <c r="V113" s="120">
        <v>1761</v>
      </c>
      <c r="W113" s="129">
        <v>8</v>
      </c>
      <c r="X113" s="120">
        <f>Prod[[#This Row],[S3Shot]]*Prod[[#This Row],[S3Cavity]]-Prod[[#This Row],[S3Dft]]</f>
        <v>13923</v>
      </c>
      <c r="Y113" s="120">
        <f>SUM(Prod[[#This Row],[S3Mold]],Prod[[#This Row],[S3Print]],Prod[[#This Row],[S3Ovlp]],Prod[[#This Row],[S3Seam]],Prod[[#This Row],[S3Dmg]])</f>
        <v>165</v>
      </c>
      <c r="Z113" s="120">
        <f>SUM(Prod[[#This Row],[S1Qty]],Prod[[#This Row],[S2Qty]],Prod[[#This Row],[S3Qty]])</f>
        <v>19332</v>
      </c>
      <c r="AA113" s="120">
        <f>SUM(Prod[[#This Row],[S1Dft]],Prod[[#This Row],[S2Dft]],Prod[[#This Row],[S3Dft]])</f>
        <v>260</v>
      </c>
      <c r="AB113" s="121">
        <f>IF(Prod[[#This Row],[Total]]=0,0,Prod[[#This Row],[TotalDft]]/Prod[[#This Row],[Total]])</f>
        <v>1.3449203393337472E-2</v>
      </c>
      <c r="AC113" s="130"/>
      <c r="AD113" s="120">
        <v>0</v>
      </c>
      <c r="AE113" s="120">
        <v>20</v>
      </c>
      <c r="AF113" s="120">
        <v>30</v>
      </c>
      <c r="AG113" s="120">
        <v>0</v>
      </c>
      <c r="AH113" s="120">
        <v>75</v>
      </c>
      <c r="AI113" s="120">
        <v>135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1">
        <f>IF(Prod[[#This Row],[S1Hrs]]=0,0,Prod[[#This Row],[S1Shot]]*Prod[[#This Row],[S1Cycle]]/(Prod[[#This Row],[S1Hrs]]*60*60))</f>
        <v>0</v>
      </c>
      <c r="AT113" s="131">
        <f>IF(Prod[[#This Row],[S2Hrs]]=0,0,Prod[[#This Row],[S2Shot]]*Prod[[#This Row],[S2Cycle]]/(Prod[[#This Row],[S2Hrs]]*60*60))</f>
        <v>0.98307555555555548</v>
      </c>
      <c r="AU113" s="131">
        <f>IF(Prod[[#This Row],[S3Hrs]]=0,0,Prod[[#This Row],[S3Shot]]*Prod[[#This Row],[S3Cycle]]/(Prod[[#This Row],[S3Hrs]]*60*60))</f>
        <v>1.0388677083333331</v>
      </c>
      <c r="AV113" s="131">
        <f>IFERROR(AVERAGEIF(Prod[[#This Row],[S1%]:[S3%]], "&lt;&gt;0"),0)</f>
        <v>1.0109716319444444</v>
      </c>
      <c r="AW113" s="131">
        <v>0</v>
      </c>
      <c r="AX113" s="131">
        <v>0</v>
      </c>
      <c r="AY113" s="131">
        <v>0</v>
      </c>
      <c r="AZ113" s="166">
        <f>IF(Prod[[#This Row],[S1Cycle]]&lt;&gt;0,1,0)</f>
        <v>0</v>
      </c>
      <c r="BA113" s="166">
        <f>IF(Prod[[#This Row],[S2Cycle]]&lt;&gt;0,1,0)</f>
        <v>1</v>
      </c>
      <c r="BB113" s="166">
        <f>IF(Prod[[#This Row],[S3Cycle]]&lt;&gt;0,1,0)</f>
        <v>1</v>
      </c>
      <c r="BC113" s="166">
        <f>MAX(Prod[[#This Row],[S1Cavity]],Prod[[#This Row],[S2Cavity]],Prod[[#This Row],[S3Cavity]])</f>
        <v>8</v>
      </c>
      <c r="BD113" s="166" t="b">
        <f>RegExpMatch(Prod[[#This Row],[MoldNo]], "^DW-(B|C)")</f>
        <v>1</v>
      </c>
    </row>
    <row r="114" spans="1:56" x14ac:dyDescent="0.2">
      <c r="A114" s="117">
        <v>45422</v>
      </c>
      <c r="B114" s="120" t="s">
        <v>177</v>
      </c>
      <c r="C114" s="119" t="s">
        <v>176</v>
      </c>
      <c r="D114" s="130">
        <v>26367</v>
      </c>
      <c r="E114" s="130" t="s">
        <v>191</v>
      </c>
      <c r="F114" s="119">
        <v>814</v>
      </c>
      <c r="G114" s="119" t="str">
        <f>IF(OR(Prod[[#This Row],[S1Hrs]]&gt;0,Prod[[#This Row],[S2Hrs]]&gt;0,Prod[[#This Row],[S3Hrs]]&gt;0),"Running","Down")</f>
        <v>Running</v>
      </c>
      <c r="H114" s="140">
        <v>25.89</v>
      </c>
      <c r="I114" s="141">
        <v>8</v>
      </c>
      <c r="J114" s="120">
        <v>1095</v>
      </c>
      <c r="K114" s="129">
        <v>8</v>
      </c>
      <c r="L114" s="120">
        <f>Prod[[#This Row],[S1Shot]]*Prod[[#This Row],[S1Cavity]]-Prod[[#This Row],[S1Dft]]</f>
        <v>8635</v>
      </c>
      <c r="M114" s="135">
        <f>SUM(Prod[[#This Row],[S1Mold]],Prod[[#This Row],[S1Print]],Prod[[#This Row],[S1Ovlp]],Prod[[#This Row],[S1Seam]],Prod[[#This Row],[S1Dmg]])</f>
        <v>125</v>
      </c>
      <c r="N114" s="140">
        <v>25.89</v>
      </c>
      <c r="O114" s="141">
        <v>8</v>
      </c>
      <c r="P114" s="120">
        <v>1205</v>
      </c>
      <c r="Q114" s="129">
        <v>8</v>
      </c>
      <c r="R114" s="120">
        <f>Prod[[#This Row],[S2Shot]]*Prod[[#This Row],[S2Cavity]]-Prod[[#This Row],[S2Dft]]</f>
        <v>9525</v>
      </c>
      <c r="S114" s="135">
        <f>SUM(Prod[[#This Row],[S2Mold]],Prod[[#This Row],[S2Print]],Prod[[#This Row],[S2Ovlp]],Prod[[#This Row],[S2Seam]],Prod[[#This Row],[S2Dmg]])</f>
        <v>115</v>
      </c>
      <c r="T114" s="140">
        <v>25.88</v>
      </c>
      <c r="U114" s="141">
        <v>8</v>
      </c>
      <c r="V114" s="120">
        <v>1007</v>
      </c>
      <c r="W114" s="129">
        <v>8</v>
      </c>
      <c r="X114" s="120">
        <f>Prod[[#This Row],[S3Shot]]*Prod[[#This Row],[S3Cavity]]-Prod[[#This Row],[S3Dft]]</f>
        <v>7926</v>
      </c>
      <c r="Y114" s="120">
        <f>SUM(Prod[[#This Row],[S3Mold]],Prod[[#This Row],[S3Print]],Prod[[#This Row],[S3Ovlp]],Prod[[#This Row],[S3Seam]],Prod[[#This Row],[S3Dmg]])</f>
        <v>130</v>
      </c>
      <c r="Z114" s="120">
        <f>SUM(Prod[[#This Row],[S1Qty]],Prod[[#This Row],[S2Qty]],Prod[[#This Row],[S3Qty]])</f>
        <v>26086</v>
      </c>
      <c r="AA114" s="120">
        <f>SUM(Prod[[#This Row],[S1Dft]],Prod[[#This Row],[S2Dft]],Prod[[#This Row],[S3Dft]])</f>
        <v>370</v>
      </c>
      <c r="AB114" s="121">
        <f>IF(Prod[[#This Row],[Total]]=0,0,Prod[[#This Row],[TotalDft]]/Prod[[#This Row],[Total]])</f>
        <v>1.4183853407958292E-2</v>
      </c>
      <c r="AC114" s="118"/>
      <c r="AD114" s="120">
        <v>20</v>
      </c>
      <c r="AE114" s="120">
        <v>15</v>
      </c>
      <c r="AF114" s="120">
        <v>20</v>
      </c>
      <c r="AG114" s="120">
        <v>105</v>
      </c>
      <c r="AH114" s="120">
        <v>100</v>
      </c>
      <c r="AI114" s="120">
        <v>110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31">
        <f>IF(Prod[[#This Row],[S1Hrs]]=0,0,Prod[[#This Row],[S1Shot]]*Prod[[#This Row],[S1Cycle]]/(Prod[[#This Row],[S1Hrs]]*60*60))</f>
        <v>0.98435937499999993</v>
      </c>
      <c r="AT114" s="131">
        <f>IF(Prod[[#This Row],[S2Hrs]]=0,0,Prod[[#This Row],[S2Shot]]*Prod[[#This Row],[S2Cycle]]/(Prod[[#This Row],[S2Hrs]]*60*60))</f>
        <v>1.0832447916666668</v>
      </c>
      <c r="AU114" s="131">
        <f>IF(Prod[[#This Row],[S3Hrs]]=0,0,Prod[[#This Row],[S3Shot]]*Prod[[#This Row],[S3Cycle]]/(Prod[[#This Row],[S3Hrs]]*60*60))</f>
        <v>0.90490138888888894</v>
      </c>
      <c r="AV114" s="131">
        <f>IFERROR(AVERAGEIF(Prod[[#This Row],[S1%]:[S3%]], "&lt;&gt;0"),0)</f>
        <v>0.9908351851851851</v>
      </c>
      <c r="AW114" s="131">
        <v>0</v>
      </c>
      <c r="AX114" s="131">
        <v>0</v>
      </c>
      <c r="AY114" s="131">
        <v>0</v>
      </c>
      <c r="AZ114" s="166">
        <f>IF(Prod[[#This Row],[S1Cycle]]&lt;&gt;0,1,0)</f>
        <v>1</v>
      </c>
      <c r="BA114" s="166">
        <f>IF(Prod[[#This Row],[S2Cycle]]&lt;&gt;0,1,0)</f>
        <v>1</v>
      </c>
      <c r="BB114" s="166">
        <f>IF(Prod[[#This Row],[S3Cycle]]&lt;&gt;0,1,0)</f>
        <v>1</v>
      </c>
      <c r="BC114" s="166">
        <f>MAX(Prod[[#This Row],[S1Cavity]],Prod[[#This Row],[S2Cavity]],Prod[[#This Row],[S3Cavity]])</f>
        <v>8</v>
      </c>
      <c r="BD114" s="166" t="b">
        <f>RegExpMatch(Prod[[#This Row],[MoldNo]], "^DW-(B|C)")</f>
        <v>1</v>
      </c>
    </row>
    <row r="115" spans="1:56" x14ac:dyDescent="0.2">
      <c r="A115" s="117">
        <v>45422</v>
      </c>
      <c r="B115" s="129" t="s">
        <v>186</v>
      </c>
      <c r="C115" s="130" t="s">
        <v>188</v>
      </c>
      <c r="D115" s="130">
        <v>27128</v>
      </c>
      <c r="E115" s="130" t="s">
        <v>191</v>
      </c>
      <c r="F115" s="119">
        <v>814</v>
      </c>
      <c r="G115" s="119" t="str">
        <f>IF(OR(Prod[[#This Row],[S1Hrs]]&gt;0,Prod[[#This Row],[S2Hrs]]&gt;0,Prod[[#This Row],[S3Hrs]]&gt;0),"Running","Down")</f>
        <v>Running</v>
      </c>
      <c r="H115" s="140">
        <v>22.69</v>
      </c>
      <c r="I115" s="141">
        <v>8</v>
      </c>
      <c r="J115" s="120">
        <v>1209</v>
      </c>
      <c r="K115" s="129">
        <v>8</v>
      </c>
      <c r="L115" s="120">
        <f>Prod[[#This Row],[S1Shot]]*Prod[[#This Row],[S1Cavity]]-Prod[[#This Row],[S1Dft]]</f>
        <v>9532</v>
      </c>
      <c r="M115" s="135">
        <f>SUM(Prod[[#This Row],[S1Mold]],Prod[[#This Row],[S1Print]],Prod[[#This Row],[S1Ovlp]],Prod[[#This Row],[S1Seam]],Prod[[#This Row],[S1Dmg]])</f>
        <v>140</v>
      </c>
      <c r="N115" s="140">
        <v>22.78</v>
      </c>
      <c r="O115" s="141">
        <v>8</v>
      </c>
      <c r="P115" s="120">
        <v>1368</v>
      </c>
      <c r="Q115" s="129">
        <v>8</v>
      </c>
      <c r="R115" s="120">
        <f>Prod[[#This Row],[S2Shot]]*Prod[[#This Row],[S2Cavity]]-Prod[[#This Row],[S2Dft]]</f>
        <v>10814</v>
      </c>
      <c r="S115" s="135">
        <f>SUM(Prod[[#This Row],[S2Mold]],Prod[[#This Row],[S2Print]],Prod[[#This Row],[S2Ovlp]],Prod[[#This Row],[S2Seam]],Prod[[#This Row],[S2Dmg]])</f>
        <v>130</v>
      </c>
      <c r="T115" s="140">
        <v>228</v>
      </c>
      <c r="U115" s="141">
        <v>8</v>
      </c>
      <c r="V115" s="120">
        <v>1093</v>
      </c>
      <c r="W115" s="129">
        <v>8</v>
      </c>
      <c r="X115" s="120">
        <f>Prod[[#This Row],[S3Shot]]*Prod[[#This Row],[S3Cavity]]-Prod[[#This Row],[S3Dft]]</f>
        <v>8604</v>
      </c>
      <c r="Y115" s="120">
        <f>SUM(Prod[[#This Row],[S3Mold]],Prod[[#This Row],[S3Print]],Prod[[#This Row],[S3Ovlp]],Prod[[#This Row],[S3Seam]],Prod[[#This Row],[S3Dmg]])</f>
        <v>140</v>
      </c>
      <c r="Z115" s="120">
        <f>SUM(Prod[[#This Row],[S1Qty]],Prod[[#This Row],[S2Qty]],Prod[[#This Row],[S3Qty]])</f>
        <v>28950</v>
      </c>
      <c r="AA115" s="120">
        <f>SUM(Prod[[#This Row],[S1Dft]],Prod[[#This Row],[S2Dft]],Prod[[#This Row],[S3Dft]])</f>
        <v>410</v>
      </c>
      <c r="AB115" s="121">
        <f>IF(Prod[[#This Row],[Total]]=0,0,Prod[[#This Row],[TotalDft]]/Prod[[#This Row],[Total]])</f>
        <v>1.4162348877374784E-2</v>
      </c>
      <c r="AC115" s="130"/>
      <c r="AD115" s="120">
        <v>25</v>
      </c>
      <c r="AE115" s="120">
        <v>20</v>
      </c>
      <c r="AF115" s="120">
        <v>25</v>
      </c>
      <c r="AG115" s="120">
        <v>115</v>
      </c>
      <c r="AH115" s="120">
        <v>110</v>
      </c>
      <c r="AI115" s="120">
        <v>115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31">
        <f>IF(Prod[[#This Row],[S1Hrs]]=0,0,Prod[[#This Row],[S1Shot]]*Prod[[#This Row],[S1Cycle]]/(Prod[[#This Row],[S1Hrs]]*60*60))</f>
        <v>0.95250729166666681</v>
      </c>
      <c r="AT115" s="131">
        <f>IF(Prod[[#This Row],[S2Hrs]]=0,0,Prod[[#This Row],[S2Shot]]*Prod[[#This Row],[S2Cycle]]/(Prod[[#This Row],[S2Hrs]]*60*60))</f>
        <v>1.08205</v>
      </c>
      <c r="AU115" s="131">
        <f>IF(Prod[[#This Row],[S3Hrs]]=0,0,Prod[[#This Row],[S3Shot]]*Prod[[#This Row],[S3Cycle]]/(Prod[[#This Row],[S3Hrs]]*60*60))</f>
        <v>8.6529166666666661</v>
      </c>
      <c r="AV115" s="131">
        <f>IFERROR(AVERAGEIF(Prod[[#This Row],[S1%]:[S3%]], "&lt;&gt;0"),0)</f>
        <v>3.5624913194444443</v>
      </c>
      <c r="AW115" s="131">
        <v>0</v>
      </c>
      <c r="AX115" s="131">
        <v>0</v>
      </c>
      <c r="AY115" s="131">
        <v>0</v>
      </c>
      <c r="AZ115" s="166">
        <f>IF(Prod[[#This Row],[S1Cycle]]&lt;&gt;0,1,0)</f>
        <v>1</v>
      </c>
      <c r="BA115" s="166">
        <f>IF(Prod[[#This Row],[S2Cycle]]&lt;&gt;0,1,0)</f>
        <v>1</v>
      </c>
      <c r="BB115" s="166">
        <f>IF(Prod[[#This Row],[S3Cycle]]&lt;&gt;0,1,0)</f>
        <v>1</v>
      </c>
      <c r="BC115" s="166">
        <f>MAX(Prod[[#This Row],[S1Cavity]],Prod[[#This Row],[S2Cavity]],Prod[[#This Row],[S3Cavity]])</f>
        <v>8</v>
      </c>
      <c r="BD115" s="166" t="b">
        <f>RegExpMatch(Prod[[#This Row],[MoldNo]], "^DW-(B|C)")</f>
        <v>1</v>
      </c>
    </row>
    <row r="116" spans="1:56" x14ac:dyDescent="0.2">
      <c r="A116" s="117">
        <v>45422</v>
      </c>
      <c r="B116" s="129" t="s">
        <v>187</v>
      </c>
      <c r="C116" s="130" t="s">
        <v>189</v>
      </c>
      <c r="D116" s="130">
        <v>27128</v>
      </c>
      <c r="E116" s="130" t="s">
        <v>191</v>
      </c>
      <c r="F116" s="119">
        <v>814</v>
      </c>
      <c r="G116" s="119" t="str">
        <f>IF(OR(Prod[[#This Row],[S1Hrs]]&gt;0,Prod[[#This Row],[S2Hrs]]&gt;0,Prod[[#This Row],[S3Hrs]]&gt;0),"Running","Down")</f>
        <v>Running</v>
      </c>
      <c r="H116" s="140">
        <v>21.99</v>
      </c>
      <c r="I116" s="141">
        <v>6</v>
      </c>
      <c r="J116" s="120">
        <v>1136</v>
      </c>
      <c r="K116" s="129">
        <v>8</v>
      </c>
      <c r="L116" s="120">
        <f>Prod[[#This Row],[S1Shot]]*Prod[[#This Row],[S1Cavity]]-Prod[[#This Row],[S1Dft]]</f>
        <v>9088</v>
      </c>
      <c r="M116" s="135">
        <f>SUM(Prod[[#This Row],[S1Mold]],Prod[[#This Row],[S1Print]],Prod[[#This Row],[S1Ovlp]],Prod[[#This Row],[S1Seam]],Prod[[#This Row],[S1Dmg]])</f>
        <v>0</v>
      </c>
      <c r="N116" s="140">
        <v>21.99</v>
      </c>
      <c r="O116" s="141">
        <v>6</v>
      </c>
      <c r="P116" s="120">
        <v>1264</v>
      </c>
      <c r="Q116" s="129">
        <v>8</v>
      </c>
      <c r="R116" s="120">
        <f>Prod[[#This Row],[S2Shot]]*Prod[[#This Row],[S2Cavity]]-Prod[[#This Row],[S2Dft]]</f>
        <v>10112</v>
      </c>
      <c r="S116" s="135">
        <f>SUM(Prod[[#This Row],[S2Mold]],Prod[[#This Row],[S2Print]],Prod[[#This Row],[S2Ovlp]],Prod[[#This Row],[S2Seam]],Prod[[#This Row],[S2Dmg]])</f>
        <v>0</v>
      </c>
      <c r="T116" s="140">
        <v>18.66</v>
      </c>
      <c r="U116" s="141">
        <v>8</v>
      </c>
      <c r="V116" s="120">
        <v>1615</v>
      </c>
      <c r="W116" s="129">
        <v>8</v>
      </c>
      <c r="X116" s="120">
        <f>Prod[[#This Row],[S3Shot]]*Prod[[#This Row],[S3Cavity]]-Prod[[#This Row],[S3Dft]]</f>
        <v>12920</v>
      </c>
      <c r="Y116" s="120">
        <f>SUM(Prod[[#This Row],[S3Mold]],Prod[[#This Row],[S3Print]],Prod[[#This Row],[S3Ovlp]],Prod[[#This Row],[S3Seam]],Prod[[#This Row],[S3Dmg]])</f>
        <v>0</v>
      </c>
      <c r="Z116" s="120">
        <f>SUM(Prod[[#This Row],[S1Qty]],Prod[[#This Row],[S2Qty]],Prod[[#This Row],[S3Qty]])</f>
        <v>32120</v>
      </c>
      <c r="AA116" s="120">
        <f>SUM(Prod[[#This Row],[S1Dft]],Prod[[#This Row],[S2Dft]],Prod[[#This Row],[S3Dft]])</f>
        <v>0</v>
      </c>
      <c r="AB116" s="121">
        <f>IF(Prod[[#This Row],[Total]]=0,0,Prod[[#This Row],[TotalDft]]/Prod[[#This Row],[Total]])</f>
        <v>0</v>
      </c>
      <c r="AC116" s="118"/>
      <c r="AD116" s="120">
        <v>0</v>
      </c>
      <c r="AE116" s="120">
        <v>0</v>
      </c>
      <c r="AF116" s="120">
        <v>0</v>
      </c>
      <c r="AG116" s="120">
        <v>0</v>
      </c>
      <c r="AH116" s="120">
        <v>0</v>
      </c>
      <c r="AI116" s="120">
        <v>0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31">
        <f>IF(Prod[[#This Row],[S1Hrs]]=0,0,Prod[[#This Row],[S1Shot]]*Prod[[#This Row],[S1Cycle]]/(Prod[[#This Row],[S1Hrs]]*60*60))</f>
        <v>1.156511111111111</v>
      </c>
      <c r="AT116" s="131">
        <f>IF(Prod[[#This Row],[S2Hrs]]=0,0,Prod[[#This Row],[S2Shot]]*Prod[[#This Row],[S2Cycle]]/(Prod[[#This Row],[S2Hrs]]*60*60))</f>
        <v>1.2868222222222221</v>
      </c>
      <c r="AU116" s="131">
        <f>IF(Prod[[#This Row],[S3Hrs]]=0,0,Prod[[#This Row],[S3Shot]]*Prod[[#This Row],[S3Cycle]]/(Prod[[#This Row],[S3Hrs]]*60*60))</f>
        <v>1.0463854166666666</v>
      </c>
      <c r="AV116" s="131">
        <f>IFERROR(AVERAGEIF(Prod[[#This Row],[S1%]:[S3%]], "&lt;&gt;0"),0)</f>
        <v>1.1632395833333333</v>
      </c>
      <c r="AW116" s="131">
        <v>0</v>
      </c>
      <c r="AX116" s="131">
        <v>0</v>
      </c>
      <c r="AY116" s="131">
        <v>0</v>
      </c>
      <c r="AZ116" s="166">
        <f>IF(Prod[[#This Row],[S1Cycle]]&lt;&gt;0,1,0)</f>
        <v>1</v>
      </c>
      <c r="BA116" s="166">
        <f>IF(Prod[[#This Row],[S2Cycle]]&lt;&gt;0,1,0)</f>
        <v>1</v>
      </c>
      <c r="BB116" s="166">
        <f>IF(Prod[[#This Row],[S3Cycle]]&lt;&gt;0,1,0)</f>
        <v>1</v>
      </c>
      <c r="BC116" s="166">
        <f>MAX(Prod[[#This Row],[S1Cavity]],Prod[[#This Row],[S2Cavity]],Prod[[#This Row],[S3Cavity]])</f>
        <v>8</v>
      </c>
      <c r="BD116" s="166" t="b">
        <f>RegExpMatch(Prod[[#This Row],[MoldNo]], "^DW-(B|C)")</f>
        <v>1</v>
      </c>
    </row>
    <row r="117" spans="1:56" x14ac:dyDescent="0.2">
      <c r="A117" s="117">
        <v>45422</v>
      </c>
      <c r="B117" s="129" t="s">
        <v>181</v>
      </c>
      <c r="C117" s="130" t="s">
        <v>182</v>
      </c>
      <c r="D117" s="119" t="s">
        <v>263</v>
      </c>
      <c r="E117" s="130" t="s">
        <v>191</v>
      </c>
      <c r="F117" s="119">
        <v>814</v>
      </c>
      <c r="G117" s="119" t="str">
        <f>IF(OR(Prod[[#This Row],[S1Hrs]]&gt;0,Prod[[#This Row],[S2Hrs]]&gt;0,Prod[[#This Row],[S3Hrs]]&gt;0),"Running","Down")</f>
        <v>Running</v>
      </c>
      <c r="H117" s="140">
        <v>21.62</v>
      </c>
      <c r="I117" s="141">
        <v>1.75</v>
      </c>
      <c r="J117" s="120">
        <v>277</v>
      </c>
      <c r="K117" s="129">
        <v>16</v>
      </c>
      <c r="L117" s="120">
        <f>Prod[[#This Row],[S1Shot]]*Prod[[#This Row],[S1Cavity]]-Prod[[#This Row],[S1Dft]]</f>
        <v>4432</v>
      </c>
      <c r="M117" s="133"/>
      <c r="N117" s="140">
        <v>21.61</v>
      </c>
      <c r="O117" s="141">
        <v>8</v>
      </c>
      <c r="P117" s="120">
        <v>1378</v>
      </c>
      <c r="Q117" s="129">
        <v>16</v>
      </c>
      <c r="R117" s="120">
        <f>Prod[[#This Row],[S2Shot]]*Prod[[#This Row],[S2Cavity]]-Prod[[#This Row],[S2Dft]]</f>
        <v>22048</v>
      </c>
      <c r="S117" s="133"/>
      <c r="T117" s="140">
        <v>21.6</v>
      </c>
      <c r="U117" s="141">
        <v>8</v>
      </c>
      <c r="V117" s="120">
        <v>1328</v>
      </c>
      <c r="W117" s="129">
        <v>16</v>
      </c>
      <c r="X117" s="120">
        <f>Prod[[#This Row],[S3Shot]]*Prod[[#This Row],[S3Cavity]]-Prod[[#This Row],[S3Dft]]</f>
        <v>21248</v>
      </c>
      <c r="Y117" s="133"/>
      <c r="Z117" s="120">
        <f>SUM(Prod[[#This Row],[S1Qty]],Prod[[#This Row],[S2Qty]],Prod[[#This Row],[S3Qty]])</f>
        <v>47728</v>
      </c>
      <c r="AA117" s="133"/>
      <c r="AB117" s="134"/>
      <c r="AC117" s="118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1">
        <f>IF(Prod[[#This Row],[S1Hrs]]=0,0,Prod[[#This Row],[S1Shot]]*Prod[[#This Row],[S1Cycle]]/(Prod[[#This Row],[S1Hrs]]*60*60))</f>
        <v>0.95059365079365088</v>
      </c>
      <c r="AT117" s="131">
        <f>IF(Prod[[#This Row],[S2Hrs]]=0,0,Prod[[#This Row],[S2Shot]]*Prod[[#This Row],[S2Cycle]]/(Prod[[#This Row],[S2Hrs]]*60*60))</f>
        <v>1.0339784722222221</v>
      </c>
      <c r="AU117" s="131">
        <f>IF(Prod[[#This Row],[S3Hrs]]=0,0,Prod[[#This Row],[S3Shot]]*Prod[[#This Row],[S3Cycle]]/(Prod[[#This Row],[S3Hrs]]*60*60))</f>
        <v>0.99600000000000011</v>
      </c>
      <c r="AV117" s="131">
        <f>IFERROR(AVERAGEIF(Prod[[#This Row],[S1%]:[S3%]], "&lt;&gt;0"),0)</f>
        <v>0.99352404100529101</v>
      </c>
      <c r="AW117" s="131">
        <v>0</v>
      </c>
      <c r="AX117" s="131">
        <v>0</v>
      </c>
      <c r="AY117" s="131">
        <v>0</v>
      </c>
      <c r="AZ117" s="166">
        <f>IF(Prod[[#This Row],[S1Cycle]]&lt;&gt;0,1,0)</f>
        <v>1</v>
      </c>
      <c r="BA117" s="166">
        <f>IF(Prod[[#This Row],[S2Cycle]]&lt;&gt;0,1,0)</f>
        <v>1</v>
      </c>
      <c r="BB117" s="166">
        <f>IF(Prod[[#This Row],[S3Cycle]]&lt;&gt;0,1,0)</f>
        <v>1</v>
      </c>
      <c r="BC117" s="166">
        <f>MAX(Prod[[#This Row],[S1Cavity]],Prod[[#This Row],[S2Cavity]],Prod[[#This Row],[S3Cavity]])</f>
        <v>16</v>
      </c>
      <c r="BD117" s="166" t="b">
        <f>RegExpMatch(Prod[[#This Row],[MoldNo]], "^DW-(B|C)")</f>
        <v>0</v>
      </c>
    </row>
    <row r="118" spans="1:56" x14ac:dyDescent="0.2">
      <c r="A118" s="117">
        <v>45422</v>
      </c>
      <c r="B118" s="120" t="s">
        <v>225</v>
      </c>
      <c r="C118" s="119" t="s">
        <v>226</v>
      </c>
      <c r="D118" s="130" t="s">
        <v>249</v>
      </c>
      <c r="E118" s="130" t="s">
        <v>191</v>
      </c>
      <c r="F118" s="119">
        <v>814</v>
      </c>
      <c r="G118" s="119" t="str">
        <f>IF(OR(Prod[[#This Row],[S1Hrs]]&gt;0,Prod[[#This Row],[S2Hrs]]&gt;0,Prod[[#This Row],[S3Hrs]]&gt;0),"Running","Down")</f>
        <v>Running</v>
      </c>
      <c r="H118" s="140">
        <v>17.05</v>
      </c>
      <c r="I118" s="141">
        <v>5.5</v>
      </c>
      <c r="J118" s="120">
        <v>1123</v>
      </c>
      <c r="K118" s="129">
        <v>8</v>
      </c>
      <c r="L118" s="120">
        <f>Prod[[#This Row],[S1Shot]]*Prod[[#This Row],[S1Cavity]]-Prod[[#This Row],[S1Dft]]</f>
        <v>8884</v>
      </c>
      <c r="M118" s="135">
        <f>SUM(Prod[[#This Row],[S1Mold]],Prod[[#This Row],[S1Print]],Prod[[#This Row],[S1Ovlp]],Prod[[#This Row],[S1Seam]],Prod[[#This Row],[S1Dmg]])</f>
        <v>100</v>
      </c>
      <c r="N118" s="140">
        <v>0</v>
      </c>
      <c r="O118" s="141">
        <v>0</v>
      </c>
      <c r="P118" s="120">
        <v>0</v>
      </c>
      <c r="Q118" s="129">
        <v>0</v>
      </c>
      <c r="R118" s="120">
        <f>Prod[[#This Row],[S2Shot]]*Prod[[#This Row],[S2Cavity]]-Prod[[#This Row],[S2Dft]]</f>
        <v>0</v>
      </c>
      <c r="S118" s="135">
        <f>SUM(Prod[[#This Row],[S2Mold]],Prod[[#This Row],[S2Print]],Prod[[#This Row],[S2Ovlp]],Prod[[#This Row],[S2Seam]],Prod[[#This Row],[S2Dmg]])</f>
        <v>0</v>
      </c>
      <c r="T118" s="140">
        <v>16.690000000000001</v>
      </c>
      <c r="U118" s="141">
        <v>8</v>
      </c>
      <c r="V118" s="120">
        <v>1345</v>
      </c>
      <c r="W118" s="129">
        <v>8</v>
      </c>
      <c r="X118" s="120">
        <f>Prod[[#This Row],[S3Shot]]*Prod[[#This Row],[S3Cavity]]-Prod[[#This Row],[S3Dft]]</f>
        <v>10580</v>
      </c>
      <c r="Y118" s="120">
        <f>SUM(Prod[[#This Row],[S3Mold]],Prod[[#This Row],[S3Print]],Prod[[#This Row],[S3Ovlp]],Prod[[#This Row],[S3Seam]],Prod[[#This Row],[S3Dmg]])</f>
        <v>180</v>
      </c>
      <c r="Z118" s="120">
        <f>SUM(Prod[[#This Row],[S1Qty]],Prod[[#This Row],[S2Qty]],Prod[[#This Row],[S3Qty]])</f>
        <v>19464</v>
      </c>
      <c r="AA118" s="120">
        <f>SUM(Prod[[#This Row],[S1Dft]],Prod[[#This Row],[S2Dft]],Prod[[#This Row],[S3Dft]])</f>
        <v>280</v>
      </c>
      <c r="AB118" s="121">
        <f>IF(Prod[[#This Row],[Total]]=0,0,Prod[[#This Row],[TotalDft]]/Prod[[#This Row],[Total]])</f>
        <v>1.4385532264693794E-2</v>
      </c>
      <c r="AC118" s="130"/>
      <c r="AD118" s="120">
        <v>25</v>
      </c>
      <c r="AE118" s="120">
        <v>0</v>
      </c>
      <c r="AF118" s="120">
        <v>35</v>
      </c>
      <c r="AG118" s="120">
        <v>75</v>
      </c>
      <c r="AH118" s="120">
        <v>0</v>
      </c>
      <c r="AI118" s="120">
        <v>145</v>
      </c>
      <c r="AJ118" s="120">
        <v>0</v>
      </c>
      <c r="AK118" s="120">
        <v>0</v>
      </c>
      <c r="AL118" s="120">
        <v>0</v>
      </c>
      <c r="AM118" s="120">
        <v>0</v>
      </c>
      <c r="AN118" s="120">
        <v>0</v>
      </c>
      <c r="AO118" s="120">
        <v>0</v>
      </c>
      <c r="AP118" s="120">
        <v>0</v>
      </c>
      <c r="AQ118" s="120">
        <v>0</v>
      </c>
      <c r="AR118" s="120">
        <v>0</v>
      </c>
      <c r="AS118" s="131">
        <f>IF(Prod[[#This Row],[S1Hrs]]=0,0,Prod[[#This Row],[S1Shot]]*Prod[[#This Row],[S1Cycle]]/(Prod[[#This Row],[S1Hrs]]*60*60))</f>
        <v>0.96702777777777782</v>
      </c>
      <c r="AT118" s="131">
        <f>IF(Prod[[#This Row],[S2Hrs]]=0,0,Prod[[#This Row],[S2Shot]]*Prod[[#This Row],[S2Cycle]]/(Prod[[#This Row],[S2Hrs]]*60*60))</f>
        <v>0</v>
      </c>
      <c r="AU118" s="131">
        <f>IF(Prod[[#This Row],[S3Hrs]]=0,0,Prod[[#This Row],[S3Shot]]*Prod[[#This Row],[S3Cycle]]/(Prod[[#This Row],[S3Hrs]]*60*60))</f>
        <v>0.7794461805555557</v>
      </c>
      <c r="AV118" s="131">
        <f>IFERROR(AVERAGEIF(Prod[[#This Row],[S1%]:[S3%]], "&lt;&gt;0"),0)</f>
        <v>0.87323697916666676</v>
      </c>
      <c r="AW118" s="131">
        <v>0</v>
      </c>
      <c r="AX118" s="131">
        <v>0</v>
      </c>
      <c r="AY118" s="131">
        <v>0</v>
      </c>
      <c r="AZ118" s="166">
        <f>IF(Prod[[#This Row],[S1Cycle]]&lt;&gt;0,1,0)</f>
        <v>1</v>
      </c>
      <c r="BA118" s="166">
        <f>IF(Prod[[#This Row],[S2Cycle]]&lt;&gt;0,1,0)</f>
        <v>0</v>
      </c>
      <c r="BB118" s="166">
        <f>IF(Prod[[#This Row],[S3Cycle]]&lt;&gt;0,1,0)</f>
        <v>1</v>
      </c>
      <c r="BC118" s="166">
        <f>MAX(Prod[[#This Row],[S1Cavity]],Prod[[#This Row],[S2Cavity]],Prod[[#This Row],[S3Cavity]])</f>
        <v>8</v>
      </c>
      <c r="BD118" s="166" t="b">
        <f>RegExpMatch(Prod[[#This Row],[MoldNo]], "^DW-(B|C)")</f>
        <v>1</v>
      </c>
    </row>
    <row r="119" spans="1:56" x14ac:dyDescent="0.2">
      <c r="A119" s="117">
        <v>45422</v>
      </c>
      <c r="B119" s="120" t="s">
        <v>225</v>
      </c>
      <c r="C119" s="119" t="s">
        <v>226</v>
      </c>
      <c r="D119" s="130">
        <v>27209</v>
      </c>
      <c r="E119" s="130" t="s">
        <v>191</v>
      </c>
      <c r="F119" s="119">
        <v>814</v>
      </c>
      <c r="G119" s="119" t="str">
        <f>IF(OR(Prod[[#This Row],[S1Hrs]]&gt;0,Prod[[#This Row],[S2Hrs]]&gt;0,Prod[[#This Row],[S3Hrs]]&gt;0),"Running","Down")</f>
        <v>Running</v>
      </c>
      <c r="H119" s="140">
        <v>17.05</v>
      </c>
      <c r="I119" s="141">
        <v>2.5</v>
      </c>
      <c r="J119" s="120">
        <v>507</v>
      </c>
      <c r="K119" s="129">
        <v>8</v>
      </c>
      <c r="L119" s="120">
        <f>Prod[[#This Row],[S1Shot]]*Prod[[#This Row],[S1Cavity]]-Prod[[#This Row],[S1Dft]]</f>
        <v>3991</v>
      </c>
      <c r="M119" s="135">
        <f>SUM(Prod[[#This Row],[S1Mold]],Prod[[#This Row],[S1Print]],Prod[[#This Row],[S1Ovlp]],Prod[[#This Row],[S1Seam]],Prod[[#This Row],[S1Dmg]])</f>
        <v>65</v>
      </c>
      <c r="N119" s="140">
        <v>16.7</v>
      </c>
      <c r="O119" s="141">
        <v>8</v>
      </c>
      <c r="P119" s="120">
        <v>1761</v>
      </c>
      <c r="Q119" s="129">
        <v>8</v>
      </c>
      <c r="R119" s="120">
        <f>Prod[[#This Row],[S2Shot]]*Prod[[#This Row],[S2Cavity]]-Prod[[#This Row],[S2Dft]]</f>
        <v>13898</v>
      </c>
      <c r="S119" s="135">
        <f>SUM(Prod[[#This Row],[S2Mold]],Prod[[#This Row],[S2Print]],Prod[[#This Row],[S2Ovlp]],Prod[[#This Row],[S2Seam]],Prod[[#This Row],[S2Dmg]])</f>
        <v>190</v>
      </c>
      <c r="T119" s="140">
        <v>0</v>
      </c>
      <c r="U119" s="141">
        <v>0</v>
      </c>
      <c r="V119" s="120">
        <v>0</v>
      </c>
      <c r="W119" s="129">
        <v>0</v>
      </c>
      <c r="X119" s="120">
        <f>Prod[[#This Row],[S3Shot]]*Prod[[#This Row],[S3Cavity]]-Prod[[#This Row],[S3Dft]]</f>
        <v>0</v>
      </c>
      <c r="Y119" s="120">
        <f>SUM(Prod[[#This Row],[S3Mold]],Prod[[#This Row],[S3Print]],Prod[[#This Row],[S3Ovlp]],Prod[[#This Row],[S3Seam]],Prod[[#This Row],[S3Dmg]])</f>
        <v>0</v>
      </c>
      <c r="Z119" s="120">
        <f>SUM(Prod[[#This Row],[S1Qty]],Prod[[#This Row],[S2Qty]],Prod[[#This Row],[S3Qty]])</f>
        <v>17889</v>
      </c>
      <c r="AA119" s="120">
        <f>SUM(Prod[[#This Row],[S1Dft]],Prod[[#This Row],[S2Dft]],Prod[[#This Row],[S3Dft]])</f>
        <v>255</v>
      </c>
      <c r="AB119" s="121">
        <f>IF(Prod[[#This Row],[Total]]=0,0,Prod[[#This Row],[TotalDft]]/Prod[[#This Row],[Total]])</f>
        <v>1.4254569847392252E-2</v>
      </c>
      <c r="AC119" s="130"/>
      <c r="AD119" s="120">
        <v>20</v>
      </c>
      <c r="AE119" s="120">
        <v>40</v>
      </c>
      <c r="AF119" s="120">
        <v>0</v>
      </c>
      <c r="AG119" s="120">
        <v>45</v>
      </c>
      <c r="AH119" s="120">
        <v>150</v>
      </c>
      <c r="AI119" s="120">
        <v>0</v>
      </c>
      <c r="AJ119" s="120">
        <v>0</v>
      </c>
      <c r="AK119" s="120">
        <v>0</v>
      </c>
      <c r="AL119" s="120">
        <v>0</v>
      </c>
      <c r="AM119" s="120">
        <v>0</v>
      </c>
      <c r="AN119" s="120">
        <v>0</v>
      </c>
      <c r="AO119" s="120">
        <v>0</v>
      </c>
      <c r="AP119" s="120">
        <v>0</v>
      </c>
      <c r="AQ119" s="120">
        <v>0</v>
      </c>
      <c r="AR119" s="120">
        <v>0</v>
      </c>
      <c r="AS119" s="131">
        <f>IF(Prod[[#This Row],[S1Hrs]]=0,0,Prod[[#This Row],[S1Shot]]*Prod[[#This Row],[S1Cycle]]/(Prod[[#This Row],[S1Hrs]]*60*60))</f>
        <v>0.96048333333333336</v>
      </c>
      <c r="AT119" s="131">
        <f>IF(Prod[[#This Row],[S2Hrs]]=0,0,Prod[[#This Row],[S2Shot]]*Prod[[#This Row],[S2Cycle]]/(Prod[[#This Row],[S2Hrs]]*60*60))</f>
        <v>1.0211354166666666</v>
      </c>
      <c r="AU119" s="131">
        <f>IF(Prod[[#This Row],[S3Hrs]]=0,0,Prod[[#This Row],[S3Shot]]*Prod[[#This Row],[S3Cycle]]/(Prod[[#This Row],[S3Hrs]]*60*60))</f>
        <v>0</v>
      </c>
      <c r="AV119" s="131">
        <f>IFERROR(AVERAGEIF(Prod[[#This Row],[S1%]:[S3%]], "&lt;&gt;0"),0)</f>
        <v>0.99080937499999999</v>
      </c>
      <c r="AW119" s="131">
        <v>0</v>
      </c>
      <c r="AX119" s="131">
        <v>0</v>
      </c>
      <c r="AY119" s="131">
        <v>0</v>
      </c>
      <c r="AZ119" s="166">
        <f>IF(Prod[[#This Row],[S1Cycle]]&lt;&gt;0,1,0)</f>
        <v>1</v>
      </c>
      <c r="BA119" s="166">
        <f>IF(Prod[[#This Row],[S2Cycle]]&lt;&gt;0,1,0)</f>
        <v>1</v>
      </c>
      <c r="BB119" s="166">
        <f>IF(Prod[[#This Row],[S3Cycle]]&lt;&gt;0,1,0)</f>
        <v>0</v>
      </c>
      <c r="BC119" s="166">
        <f>MAX(Prod[[#This Row],[S1Cavity]],Prod[[#This Row],[S2Cavity]],Prod[[#This Row],[S3Cavity]])</f>
        <v>8</v>
      </c>
      <c r="BD119" s="166" t="b">
        <f>RegExpMatch(Prod[[#This Row],[MoldNo]], "^DW-(B|C)")</f>
        <v>1</v>
      </c>
    </row>
    <row r="120" spans="1:56" hidden="1" x14ac:dyDescent="0.2">
      <c r="A120" s="117">
        <v>45423</v>
      </c>
      <c r="B120" s="120" t="s">
        <v>172</v>
      </c>
      <c r="C120" s="119" t="s">
        <v>173</v>
      </c>
      <c r="D120" s="119"/>
      <c r="E120" s="130"/>
      <c r="F120" s="119"/>
      <c r="G120" s="294" t="str">
        <f>IF(OR(Prod[[#This Row],[S1Hrs]]&gt;0,Prod[[#This Row],[S2Hrs]]&gt;0,Prod[[#This Row],[S3Hrs]]&gt;0),"Running","Down")</f>
        <v>Down</v>
      </c>
      <c r="H120" s="295">
        <v>0</v>
      </c>
      <c r="I120" s="141">
        <v>0</v>
      </c>
      <c r="J120" s="120">
        <v>0</v>
      </c>
      <c r="K120" s="129">
        <v>0</v>
      </c>
      <c r="L120" s="120">
        <f>Prod[[#This Row],[S1Shot]]*Prod[[#This Row],[S1Cavity]]-Prod[[#This Row],[S1Dft]]</f>
        <v>0</v>
      </c>
      <c r="M120" s="133"/>
      <c r="N120" s="295">
        <v>0</v>
      </c>
      <c r="O120" s="141">
        <v>0</v>
      </c>
      <c r="P120" s="120">
        <v>0</v>
      </c>
      <c r="Q120" s="129">
        <v>0</v>
      </c>
      <c r="R120" s="120">
        <f>Prod[[#This Row],[S2Shot]]*Prod[[#This Row],[S2Cavity]]-Prod[[#This Row],[S2Dft]]</f>
        <v>0</v>
      </c>
      <c r="S120" s="133"/>
      <c r="T120" s="295">
        <v>0</v>
      </c>
      <c r="U120" s="141">
        <v>0</v>
      </c>
      <c r="V120" s="120">
        <v>0</v>
      </c>
      <c r="W120" s="129">
        <v>0</v>
      </c>
      <c r="X120" s="120">
        <f>Prod[[#This Row],[S3Shot]]*Prod[[#This Row],[S3Cavity]]-Prod[[#This Row],[S3Dft]]</f>
        <v>0</v>
      </c>
      <c r="Y120" s="133"/>
      <c r="Z120" s="120">
        <f>SUM(Prod[[#This Row],[S1Qty]],Prod[[#This Row],[S2Qty]],Prod[[#This Row],[S3Qty]])</f>
        <v>0</v>
      </c>
      <c r="AA120" s="133"/>
      <c r="AB120" s="134"/>
      <c r="AC120" s="118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1">
        <f>IF(Prod[[#This Row],[S1Hrs]]=0,0,Prod[[#This Row],[S1Shot]]*Prod[[#This Row],[S1Cycle]]/(Prod[[#This Row],[S1Hrs]]*60*60))</f>
        <v>0</v>
      </c>
      <c r="AT120" s="131">
        <f>IF(Prod[[#This Row],[S2Hrs]]=0,0,Prod[[#This Row],[S2Shot]]*Prod[[#This Row],[S2Cycle]]/(Prod[[#This Row],[S2Hrs]]*60*60))</f>
        <v>0</v>
      </c>
      <c r="AU120" s="131">
        <f>IF(Prod[[#This Row],[S3Hrs]]=0,0,Prod[[#This Row],[S3Shot]]*Prod[[#This Row],[S3Cycle]]/(Prod[[#This Row],[S3Hrs]]*60*60))</f>
        <v>0</v>
      </c>
      <c r="AV120" s="131">
        <f>IFERROR(AVERAGEIF(Prod[[#This Row],[S1%]:[S3%]], "&lt;&gt;0"),0)</f>
        <v>0</v>
      </c>
      <c r="AW120" s="131">
        <v>0</v>
      </c>
      <c r="AX120" s="131">
        <v>0</v>
      </c>
      <c r="AY120" s="131">
        <v>0</v>
      </c>
      <c r="AZ120" s="166">
        <f>IF(Prod[[#This Row],[S1Cycle]]&lt;&gt;0,1,0)</f>
        <v>0</v>
      </c>
      <c r="BA120" s="166">
        <f>IF(Prod[[#This Row],[S2Cycle]]&lt;&gt;0,1,0)</f>
        <v>0</v>
      </c>
      <c r="BB120" s="166">
        <f>IF(Prod[[#This Row],[S3Cycle]]&lt;&gt;0,1,0)</f>
        <v>0</v>
      </c>
      <c r="BC120" s="166">
        <f>MAX(Prod[[#This Row],[S1Cavity]],Prod[[#This Row],[S2Cavity]],Prod[[#This Row],[S3Cavity]])</f>
        <v>0</v>
      </c>
      <c r="BD120" s="166" t="b">
        <f>RegExpMatch(Prod[[#This Row],[MoldNo]], "^DW-(B|C)")</f>
        <v>0</v>
      </c>
    </row>
    <row r="121" spans="1:56" hidden="1" x14ac:dyDescent="0.2">
      <c r="A121" s="117">
        <v>45423</v>
      </c>
      <c r="B121" s="119" t="s">
        <v>179</v>
      </c>
      <c r="C121" s="119" t="s">
        <v>180</v>
      </c>
      <c r="D121" s="119"/>
      <c r="E121" s="130"/>
      <c r="F121" s="119"/>
      <c r="G121" s="294" t="str">
        <f>IF(OR(Prod[[#This Row],[S1Hrs]]&gt;0,Prod[[#This Row],[S2Hrs]]&gt;0,Prod[[#This Row],[S3Hrs]]&gt;0),"Running","Down")</f>
        <v>Down</v>
      </c>
      <c r="H121" s="295">
        <v>0</v>
      </c>
      <c r="I121" s="141">
        <v>0</v>
      </c>
      <c r="J121" s="120">
        <v>0</v>
      </c>
      <c r="K121" s="129">
        <v>0</v>
      </c>
      <c r="L121" s="120">
        <f>Prod[[#This Row],[S1Shot]]*Prod[[#This Row],[S1Cavity]]-Prod[[#This Row],[S1Dft]]</f>
        <v>0</v>
      </c>
      <c r="M121" s="133"/>
      <c r="N121" s="295">
        <v>0</v>
      </c>
      <c r="O121" s="141">
        <v>0</v>
      </c>
      <c r="P121" s="120">
        <v>0</v>
      </c>
      <c r="Q121" s="129">
        <v>0</v>
      </c>
      <c r="R121" s="120">
        <f>Prod[[#This Row],[S2Shot]]*Prod[[#This Row],[S2Cavity]]-Prod[[#This Row],[S2Dft]]</f>
        <v>0</v>
      </c>
      <c r="S121" s="133"/>
      <c r="T121" s="295">
        <v>0</v>
      </c>
      <c r="U121" s="141">
        <v>0</v>
      </c>
      <c r="V121" s="120">
        <v>0</v>
      </c>
      <c r="W121" s="129">
        <v>0</v>
      </c>
      <c r="X121" s="120">
        <f>Prod[[#This Row],[S3Shot]]*Prod[[#This Row],[S3Cavity]]-Prod[[#This Row],[S3Dft]]</f>
        <v>0</v>
      </c>
      <c r="Y121" s="133"/>
      <c r="Z121" s="120">
        <f>SUM(Prod[[#This Row],[S1Qty]],Prod[[#This Row],[S2Qty]],Prod[[#This Row],[S3Qty]])</f>
        <v>0</v>
      </c>
      <c r="AA121" s="133"/>
      <c r="AB121" s="134"/>
      <c r="AC121" s="130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1">
        <f>IF(Prod[[#This Row],[S1Hrs]]=0,0,Prod[[#This Row],[S1Shot]]*Prod[[#This Row],[S1Cycle]]/(Prod[[#This Row],[S1Hrs]]*60*60))</f>
        <v>0</v>
      </c>
      <c r="AT121" s="131">
        <f>IF(Prod[[#This Row],[S2Hrs]]=0,0,Prod[[#This Row],[S2Shot]]*Prod[[#This Row],[S2Cycle]]/(Prod[[#This Row],[S2Hrs]]*60*60))</f>
        <v>0</v>
      </c>
      <c r="AU121" s="131">
        <f>IF(Prod[[#This Row],[S3Hrs]]=0,0,Prod[[#This Row],[S3Shot]]*Prod[[#This Row],[S3Cycle]]/(Prod[[#This Row],[S3Hrs]]*60*60))</f>
        <v>0</v>
      </c>
      <c r="AV121" s="131">
        <f>IFERROR(AVERAGEIF(Prod[[#This Row],[S1%]:[S3%]], "&lt;&gt;0"),0)</f>
        <v>0</v>
      </c>
      <c r="AW121" s="131">
        <v>0</v>
      </c>
      <c r="AX121" s="131">
        <v>0</v>
      </c>
      <c r="AY121" s="131">
        <v>0</v>
      </c>
      <c r="AZ121" s="166">
        <f>IF(Prod[[#This Row],[S1Cycle]]&lt;&gt;0,1,0)</f>
        <v>0</v>
      </c>
      <c r="BA121" s="166">
        <f>IF(Prod[[#This Row],[S2Cycle]]&lt;&gt;0,1,0)</f>
        <v>0</v>
      </c>
      <c r="BB121" s="166">
        <f>IF(Prod[[#This Row],[S3Cycle]]&lt;&gt;0,1,0)</f>
        <v>0</v>
      </c>
      <c r="BC121" s="166">
        <f>MAX(Prod[[#This Row],[S1Cavity]],Prod[[#This Row],[S2Cavity]],Prod[[#This Row],[S3Cavity]])</f>
        <v>0</v>
      </c>
      <c r="BD121" s="166" t="b">
        <f>RegExpMatch(Prod[[#This Row],[MoldNo]], "^DW-(B|C)")</f>
        <v>0</v>
      </c>
    </row>
    <row r="122" spans="1:56" hidden="1" x14ac:dyDescent="0.2">
      <c r="A122" s="117">
        <v>45423</v>
      </c>
      <c r="B122" s="119" t="s">
        <v>216</v>
      </c>
      <c r="C122" s="119" t="s">
        <v>217</v>
      </c>
      <c r="D122" s="119"/>
      <c r="E122" s="130"/>
      <c r="F122" s="119"/>
      <c r="G122" s="294" t="str">
        <f>IF(OR(Prod[[#This Row],[S1Hrs]]&gt;0,Prod[[#This Row],[S2Hrs]]&gt;0,Prod[[#This Row],[S3Hrs]]&gt;0),"Running","Down")</f>
        <v>Down</v>
      </c>
      <c r="H122" s="295">
        <v>0</v>
      </c>
      <c r="I122" s="141">
        <v>0</v>
      </c>
      <c r="J122" s="120">
        <v>0</v>
      </c>
      <c r="K122" s="129">
        <v>0</v>
      </c>
      <c r="L122" s="120">
        <f>Prod[[#This Row],[S1Shot]]*Prod[[#This Row],[S1Cavity]]-Prod[[#This Row],[S1Dft]]</f>
        <v>0</v>
      </c>
      <c r="M122" s="135">
        <f>SUM(Prod[[#This Row],[S1Mold]],Prod[[#This Row],[S1Print]],Prod[[#This Row],[S1Ovlp]],Prod[[#This Row],[S1Seam]],Prod[[#This Row],[S1Dmg]])</f>
        <v>0</v>
      </c>
      <c r="N122" s="295">
        <v>0</v>
      </c>
      <c r="O122" s="141">
        <v>0</v>
      </c>
      <c r="P122" s="120">
        <v>0</v>
      </c>
      <c r="Q122" s="129">
        <v>0</v>
      </c>
      <c r="R122" s="120">
        <f>Prod[[#This Row],[S2Shot]]*Prod[[#This Row],[S2Cavity]]-Prod[[#This Row],[S2Dft]]</f>
        <v>0</v>
      </c>
      <c r="S122" s="135">
        <f>SUM(Prod[[#This Row],[S2Mold]],Prod[[#This Row],[S2Print]],Prod[[#This Row],[S2Ovlp]],Prod[[#This Row],[S2Seam]],Prod[[#This Row],[S2Dmg]])</f>
        <v>0</v>
      </c>
      <c r="T122" s="295">
        <v>0</v>
      </c>
      <c r="U122" s="141">
        <v>0</v>
      </c>
      <c r="V122" s="120">
        <v>0</v>
      </c>
      <c r="W122" s="129">
        <v>0</v>
      </c>
      <c r="X122" s="120">
        <f>Prod[[#This Row],[S3Shot]]*Prod[[#This Row],[S3Cavity]]-Prod[[#This Row],[S3Dft]]</f>
        <v>0</v>
      </c>
      <c r="Y122" s="120">
        <f>SUM(Prod[[#This Row],[S3Mold]],Prod[[#This Row],[S3Print]],Prod[[#This Row],[S3Ovlp]],Prod[[#This Row],[S3Seam]],Prod[[#This Row],[S3Dmg]])</f>
        <v>0</v>
      </c>
      <c r="Z122" s="120">
        <f>SUM(Prod[[#This Row],[S1Qty]],Prod[[#This Row],[S2Qty]],Prod[[#This Row],[S3Qty]])</f>
        <v>0</v>
      </c>
      <c r="AA122" s="120">
        <f>SUM(Prod[[#This Row],[S1Dft]],Prod[[#This Row],[S2Dft]],Prod[[#This Row],[S3Dft]])</f>
        <v>0</v>
      </c>
      <c r="AB122" s="121">
        <f>IF(Prod[[#This Row],[Total]]=0,0,Prod[[#This Row],[TotalDft]]/Prod[[#This Row],[Total]])</f>
        <v>0</v>
      </c>
      <c r="AC122" s="130"/>
      <c r="AD122" s="120">
        <v>0</v>
      </c>
      <c r="AE122" s="120">
        <v>0</v>
      </c>
      <c r="AF122" s="120">
        <v>0</v>
      </c>
      <c r="AG122" s="120">
        <v>0</v>
      </c>
      <c r="AH122" s="120">
        <v>0</v>
      </c>
      <c r="AI122" s="120">
        <v>0</v>
      </c>
      <c r="AJ122" s="120">
        <v>0</v>
      </c>
      <c r="AK122" s="120">
        <v>0</v>
      </c>
      <c r="AL122" s="120">
        <v>0</v>
      </c>
      <c r="AM122" s="120">
        <v>0</v>
      </c>
      <c r="AN122" s="120">
        <v>0</v>
      </c>
      <c r="AO122" s="120">
        <v>0</v>
      </c>
      <c r="AP122" s="120">
        <v>0</v>
      </c>
      <c r="AQ122" s="120">
        <v>0</v>
      </c>
      <c r="AR122" s="120">
        <v>0</v>
      </c>
      <c r="AS122" s="131">
        <f>IF(Prod[[#This Row],[S1Hrs]]=0,0,Prod[[#This Row],[S1Shot]]*Prod[[#This Row],[S1Cycle]]/(Prod[[#This Row],[S1Hrs]]*60*60))</f>
        <v>0</v>
      </c>
      <c r="AT122" s="131">
        <f>IF(Prod[[#This Row],[S2Hrs]]=0,0,Prod[[#This Row],[S2Shot]]*Prod[[#This Row],[S2Cycle]]/(Prod[[#This Row],[S2Hrs]]*60*60))</f>
        <v>0</v>
      </c>
      <c r="AU122" s="131">
        <f>IF(Prod[[#This Row],[S3Hrs]]=0,0,Prod[[#This Row],[S3Shot]]*Prod[[#This Row],[S3Cycle]]/(Prod[[#This Row],[S3Hrs]]*60*60))</f>
        <v>0</v>
      </c>
      <c r="AV122" s="131">
        <f>IFERROR(AVERAGEIF(Prod[[#This Row],[S1%]:[S3%]], "&lt;&gt;0"),0)</f>
        <v>0</v>
      </c>
      <c r="AW122" s="131">
        <v>0</v>
      </c>
      <c r="AX122" s="131">
        <v>0</v>
      </c>
      <c r="AY122" s="131">
        <v>0</v>
      </c>
      <c r="AZ122" s="166">
        <f>IF(Prod[[#This Row],[S1Cycle]]&lt;&gt;0,1,0)</f>
        <v>0</v>
      </c>
      <c r="BA122" s="166">
        <f>IF(Prod[[#This Row],[S2Cycle]]&lt;&gt;0,1,0)</f>
        <v>0</v>
      </c>
      <c r="BB122" s="166">
        <f>IF(Prod[[#This Row],[S3Cycle]]&lt;&gt;0,1,0)</f>
        <v>0</v>
      </c>
      <c r="BC122" s="166">
        <f>MAX(Prod[[#This Row],[S1Cavity]],Prod[[#This Row],[S2Cavity]],Prod[[#This Row],[S3Cavity]])</f>
        <v>0</v>
      </c>
      <c r="BD122" s="166" t="b">
        <f>RegExpMatch(Prod[[#This Row],[MoldNo]], "^DW-(B|C)")</f>
        <v>1</v>
      </c>
    </row>
    <row r="123" spans="1:56" hidden="1" x14ac:dyDescent="0.2">
      <c r="A123" s="117">
        <v>45423</v>
      </c>
      <c r="B123" s="129" t="s">
        <v>192</v>
      </c>
      <c r="C123" s="130" t="s">
        <v>174</v>
      </c>
      <c r="D123" s="119"/>
      <c r="E123" s="130"/>
      <c r="F123" s="119"/>
      <c r="G123" s="294" t="str">
        <f>IF(OR(Prod[[#This Row],[S1Hrs]]&gt;0,Prod[[#This Row],[S2Hrs]]&gt;0,Prod[[#This Row],[S3Hrs]]&gt;0),"Running","Down")</f>
        <v>Down</v>
      </c>
      <c r="H123" s="295">
        <v>0</v>
      </c>
      <c r="I123" s="141">
        <v>0</v>
      </c>
      <c r="J123" s="120">
        <v>0</v>
      </c>
      <c r="K123" s="129">
        <v>0</v>
      </c>
      <c r="L123" s="120">
        <f>Prod[[#This Row],[S1Shot]]*Prod[[#This Row],[S1Cavity]]-Prod[[#This Row],[S1Dft]]</f>
        <v>0</v>
      </c>
      <c r="M123" s="133"/>
      <c r="N123" s="295">
        <v>0</v>
      </c>
      <c r="O123" s="141">
        <v>0</v>
      </c>
      <c r="P123" s="120">
        <v>0</v>
      </c>
      <c r="Q123" s="129">
        <v>0</v>
      </c>
      <c r="R123" s="120">
        <f>Prod[[#This Row],[S2Shot]]*Prod[[#This Row],[S2Cavity]]-Prod[[#This Row],[S2Dft]]</f>
        <v>0</v>
      </c>
      <c r="S123" s="133"/>
      <c r="T123" s="295">
        <v>0</v>
      </c>
      <c r="U123" s="141">
        <v>0</v>
      </c>
      <c r="V123" s="120">
        <v>0</v>
      </c>
      <c r="W123" s="129">
        <v>0</v>
      </c>
      <c r="X123" s="120">
        <f>Prod[[#This Row],[S3Shot]]*Prod[[#This Row],[S3Cavity]]-Prod[[#This Row],[S3Dft]]</f>
        <v>0</v>
      </c>
      <c r="Y123" s="133"/>
      <c r="Z123" s="120">
        <f>SUM(Prod[[#This Row],[S1Qty]],Prod[[#This Row],[S2Qty]],Prod[[#This Row],[S3Qty]])</f>
        <v>0</v>
      </c>
      <c r="AA123" s="133"/>
      <c r="AB123" s="134"/>
      <c r="AC123" s="130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1">
        <f>IF(Prod[[#This Row],[S1Hrs]]=0,0,Prod[[#This Row],[S1Shot]]*Prod[[#This Row],[S1Cycle]]/(Prod[[#This Row],[S1Hrs]]*60*60))</f>
        <v>0</v>
      </c>
      <c r="AT123" s="131">
        <f>IF(Prod[[#This Row],[S2Hrs]]=0,0,Prod[[#This Row],[S2Shot]]*Prod[[#This Row],[S2Cycle]]/(Prod[[#This Row],[S2Hrs]]*60*60))</f>
        <v>0</v>
      </c>
      <c r="AU123" s="131">
        <f>IF(Prod[[#This Row],[S3Hrs]]=0,0,Prod[[#This Row],[S3Shot]]*Prod[[#This Row],[S3Cycle]]/(Prod[[#This Row],[S3Hrs]]*60*60))</f>
        <v>0</v>
      </c>
      <c r="AV123" s="131">
        <f>IFERROR(AVERAGEIF(Prod[[#This Row],[S1%]:[S3%]], "&lt;&gt;0"),0)</f>
        <v>0</v>
      </c>
      <c r="AW123" s="131">
        <v>0</v>
      </c>
      <c r="AX123" s="131">
        <v>0</v>
      </c>
      <c r="AY123" s="131">
        <v>0</v>
      </c>
      <c r="AZ123" s="166">
        <f>IF(Prod[[#This Row],[S1Cycle]]&lt;&gt;0,1,0)</f>
        <v>0</v>
      </c>
      <c r="BA123" s="166">
        <f>IF(Prod[[#This Row],[S2Cycle]]&lt;&gt;0,1,0)</f>
        <v>0</v>
      </c>
      <c r="BB123" s="166">
        <f>IF(Prod[[#This Row],[S3Cycle]]&lt;&gt;0,1,0)</f>
        <v>0</v>
      </c>
      <c r="BC123" s="166">
        <f>MAX(Prod[[#This Row],[S1Cavity]],Prod[[#This Row],[S2Cavity]],Prod[[#This Row],[S3Cavity]])</f>
        <v>0</v>
      </c>
      <c r="BD123" s="166" t="b">
        <f>RegExpMatch(Prod[[#This Row],[MoldNo]], "^DW-(B|C)")</f>
        <v>0</v>
      </c>
    </row>
    <row r="124" spans="1:56" hidden="1" x14ac:dyDescent="0.2">
      <c r="A124" s="117">
        <v>45423</v>
      </c>
      <c r="B124" s="120" t="s">
        <v>175</v>
      </c>
      <c r="C124" s="119" t="s">
        <v>178</v>
      </c>
      <c r="D124" s="130"/>
      <c r="E124" s="130"/>
      <c r="F124" s="119"/>
      <c r="G124" s="294" t="str">
        <f>IF(OR(Prod[[#This Row],[S1Hrs]]&gt;0,Prod[[#This Row],[S2Hrs]]&gt;0,Prod[[#This Row],[S3Hrs]]&gt;0),"Running","Down")</f>
        <v>Down</v>
      </c>
      <c r="H124" s="295">
        <v>0</v>
      </c>
      <c r="I124" s="141">
        <v>0</v>
      </c>
      <c r="J124" s="120">
        <v>0</v>
      </c>
      <c r="K124" s="129">
        <v>0</v>
      </c>
      <c r="L124" s="120">
        <f>Prod[[#This Row],[S1Shot]]*Prod[[#This Row],[S1Cavity]]-Prod[[#This Row],[S1Dft]]</f>
        <v>0</v>
      </c>
      <c r="M124" s="135">
        <f>SUM(Prod[[#This Row],[S1Mold]],Prod[[#This Row],[S1Print]],Prod[[#This Row],[S1Ovlp]],Prod[[#This Row],[S1Seam]],Prod[[#This Row],[S1Dmg]])</f>
        <v>0</v>
      </c>
      <c r="N124" s="295">
        <v>0</v>
      </c>
      <c r="O124" s="141">
        <v>0</v>
      </c>
      <c r="P124" s="120">
        <v>0</v>
      </c>
      <c r="Q124" s="129">
        <v>0</v>
      </c>
      <c r="R124" s="120">
        <f>Prod[[#This Row],[S2Shot]]*Prod[[#This Row],[S2Cavity]]-Prod[[#This Row],[S2Dft]]</f>
        <v>0</v>
      </c>
      <c r="S124" s="135">
        <f>SUM(Prod[[#This Row],[S2Mold]],Prod[[#This Row],[S2Print]],Prod[[#This Row],[S2Ovlp]],Prod[[#This Row],[S2Seam]],Prod[[#This Row],[S2Dmg]])</f>
        <v>0</v>
      </c>
      <c r="T124" s="295">
        <v>0</v>
      </c>
      <c r="U124" s="141">
        <v>0</v>
      </c>
      <c r="V124" s="120">
        <v>0</v>
      </c>
      <c r="W124" s="129">
        <v>0</v>
      </c>
      <c r="X124" s="120">
        <f>Prod[[#This Row],[S3Shot]]*Prod[[#This Row],[S3Cavity]]-Prod[[#This Row],[S3Dft]]</f>
        <v>0</v>
      </c>
      <c r="Y124" s="120">
        <f>SUM(Prod[[#This Row],[S3Mold]],Prod[[#This Row],[S3Print]],Prod[[#This Row],[S3Ovlp]],Prod[[#This Row],[S3Seam]],Prod[[#This Row],[S3Dmg]])</f>
        <v>0</v>
      </c>
      <c r="Z124" s="120">
        <f>SUM(Prod[[#This Row],[S1Qty]],Prod[[#This Row],[S2Qty]],Prod[[#This Row],[S3Qty]])</f>
        <v>0</v>
      </c>
      <c r="AA124" s="120">
        <f>SUM(Prod[[#This Row],[S1Dft]],Prod[[#This Row],[S2Dft]],Prod[[#This Row],[S3Dft]])</f>
        <v>0</v>
      </c>
      <c r="AB124" s="121">
        <f>IF(Prod[[#This Row],[Total]]=0,0,Prod[[#This Row],[TotalDft]]/Prod[[#This Row],[Total]])</f>
        <v>0</v>
      </c>
      <c r="AC124" s="130"/>
      <c r="AD124" s="120">
        <v>0</v>
      </c>
      <c r="AE124" s="120">
        <v>0</v>
      </c>
      <c r="AF124" s="120">
        <v>0</v>
      </c>
      <c r="AG124" s="120">
        <v>0</v>
      </c>
      <c r="AH124" s="120">
        <v>0</v>
      </c>
      <c r="AI124" s="120">
        <v>0</v>
      </c>
      <c r="AJ124" s="120">
        <v>0</v>
      </c>
      <c r="AK124" s="120">
        <v>0</v>
      </c>
      <c r="AL124" s="120">
        <v>0</v>
      </c>
      <c r="AM124" s="120">
        <v>0</v>
      </c>
      <c r="AN124" s="120">
        <v>0</v>
      </c>
      <c r="AO124" s="120">
        <v>0</v>
      </c>
      <c r="AP124" s="120">
        <v>0</v>
      </c>
      <c r="AQ124" s="120">
        <v>0</v>
      </c>
      <c r="AR124" s="120">
        <v>0</v>
      </c>
      <c r="AS124" s="131">
        <f>IF(Prod[[#This Row],[S1Hrs]]=0,0,Prod[[#This Row],[S1Shot]]*Prod[[#This Row],[S1Cycle]]/(Prod[[#This Row],[S1Hrs]]*60*60))</f>
        <v>0</v>
      </c>
      <c r="AT124" s="131">
        <f>IF(Prod[[#This Row],[S2Hrs]]=0,0,Prod[[#This Row],[S2Shot]]*Prod[[#This Row],[S2Cycle]]/(Prod[[#This Row],[S2Hrs]]*60*60))</f>
        <v>0</v>
      </c>
      <c r="AU124" s="131">
        <f>IF(Prod[[#This Row],[S3Hrs]]=0,0,Prod[[#This Row],[S3Shot]]*Prod[[#This Row],[S3Cycle]]/(Prod[[#This Row],[S3Hrs]]*60*60))</f>
        <v>0</v>
      </c>
      <c r="AV124" s="131">
        <f>IFERROR(AVERAGEIF(Prod[[#This Row],[S1%]:[S3%]], "&lt;&gt;0"),0)</f>
        <v>0</v>
      </c>
      <c r="AW124" s="131">
        <v>0</v>
      </c>
      <c r="AX124" s="131">
        <v>0</v>
      </c>
      <c r="AY124" s="131">
        <v>0</v>
      </c>
      <c r="AZ124" s="166">
        <f>IF(Prod[[#This Row],[S1Cycle]]&lt;&gt;0,1,0)</f>
        <v>0</v>
      </c>
      <c r="BA124" s="166">
        <f>IF(Prod[[#This Row],[S2Cycle]]&lt;&gt;0,1,0)</f>
        <v>0</v>
      </c>
      <c r="BB124" s="166">
        <f>IF(Prod[[#This Row],[S3Cycle]]&lt;&gt;0,1,0)</f>
        <v>0</v>
      </c>
      <c r="BC124" s="166">
        <f>MAX(Prod[[#This Row],[S1Cavity]],Prod[[#This Row],[S2Cavity]],Prod[[#This Row],[S3Cavity]])</f>
        <v>0</v>
      </c>
      <c r="BD124" s="166" t="b">
        <f>RegExpMatch(Prod[[#This Row],[MoldNo]], "^DW-(B|C)")</f>
        <v>1</v>
      </c>
    </row>
    <row r="125" spans="1:56" hidden="1" x14ac:dyDescent="0.2">
      <c r="A125" s="117">
        <v>45423</v>
      </c>
      <c r="B125" s="120" t="s">
        <v>177</v>
      </c>
      <c r="C125" s="119" t="s">
        <v>176</v>
      </c>
      <c r="D125" s="130"/>
      <c r="E125" s="130"/>
      <c r="F125" s="119"/>
      <c r="G125" s="294" t="str">
        <f>IF(OR(Prod[[#This Row],[S1Hrs]]&gt;0,Prod[[#This Row],[S2Hrs]]&gt;0,Prod[[#This Row],[S3Hrs]]&gt;0),"Running","Down")</f>
        <v>Down</v>
      </c>
      <c r="H125" s="295">
        <v>0</v>
      </c>
      <c r="I125" s="141">
        <v>0</v>
      </c>
      <c r="J125" s="120">
        <v>0</v>
      </c>
      <c r="K125" s="129">
        <v>0</v>
      </c>
      <c r="L125" s="120">
        <f>Prod[[#This Row],[S1Shot]]*Prod[[#This Row],[S1Cavity]]-Prod[[#This Row],[S1Dft]]</f>
        <v>0</v>
      </c>
      <c r="M125" s="135">
        <f>SUM(Prod[[#This Row],[S1Mold]],Prod[[#This Row],[S1Print]],Prod[[#This Row],[S1Ovlp]],Prod[[#This Row],[S1Seam]],Prod[[#This Row],[S1Dmg]])</f>
        <v>0</v>
      </c>
      <c r="N125" s="295">
        <v>0</v>
      </c>
      <c r="O125" s="141">
        <v>0</v>
      </c>
      <c r="P125" s="120">
        <v>0</v>
      </c>
      <c r="Q125" s="129">
        <v>0</v>
      </c>
      <c r="R125" s="120">
        <f>Prod[[#This Row],[S2Shot]]*Prod[[#This Row],[S2Cavity]]-Prod[[#This Row],[S2Dft]]</f>
        <v>0</v>
      </c>
      <c r="S125" s="135">
        <f>SUM(Prod[[#This Row],[S2Mold]],Prod[[#This Row],[S2Print]],Prod[[#This Row],[S2Ovlp]],Prod[[#This Row],[S2Seam]],Prod[[#This Row],[S2Dmg]])</f>
        <v>0</v>
      </c>
      <c r="T125" s="295">
        <v>0</v>
      </c>
      <c r="U125" s="141">
        <v>0</v>
      </c>
      <c r="V125" s="120">
        <v>0</v>
      </c>
      <c r="W125" s="129">
        <v>0</v>
      </c>
      <c r="X125" s="120">
        <f>Prod[[#This Row],[S3Shot]]*Prod[[#This Row],[S3Cavity]]-Prod[[#This Row],[S3Dft]]</f>
        <v>0</v>
      </c>
      <c r="Y125" s="120">
        <f>SUM(Prod[[#This Row],[S3Mold]],Prod[[#This Row],[S3Print]],Prod[[#This Row],[S3Ovlp]],Prod[[#This Row],[S3Seam]],Prod[[#This Row],[S3Dmg]])</f>
        <v>0</v>
      </c>
      <c r="Z125" s="120">
        <f>SUM(Prod[[#This Row],[S1Qty]],Prod[[#This Row],[S2Qty]],Prod[[#This Row],[S3Qty]])</f>
        <v>0</v>
      </c>
      <c r="AA125" s="120">
        <f>SUM(Prod[[#This Row],[S1Dft]],Prod[[#This Row],[S2Dft]],Prod[[#This Row],[S3Dft]])</f>
        <v>0</v>
      </c>
      <c r="AB125" s="121">
        <f>IF(Prod[[#This Row],[Total]]=0,0,Prod[[#This Row],[TotalDft]]/Prod[[#This Row],[Total]])</f>
        <v>0</v>
      </c>
      <c r="AC125" s="118"/>
      <c r="AD125" s="120">
        <v>0</v>
      </c>
      <c r="AE125" s="120">
        <v>0</v>
      </c>
      <c r="AF125" s="120">
        <v>0</v>
      </c>
      <c r="AG125" s="120">
        <v>0</v>
      </c>
      <c r="AH125" s="120">
        <v>0</v>
      </c>
      <c r="AI125" s="120">
        <v>0</v>
      </c>
      <c r="AJ125" s="120">
        <v>0</v>
      </c>
      <c r="AK125" s="120">
        <v>0</v>
      </c>
      <c r="AL125" s="120">
        <v>0</v>
      </c>
      <c r="AM125" s="120">
        <v>0</v>
      </c>
      <c r="AN125" s="120">
        <v>0</v>
      </c>
      <c r="AO125" s="120">
        <v>0</v>
      </c>
      <c r="AP125" s="120">
        <v>0</v>
      </c>
      <c r="AQ125" s="120">
        <v>0</v>
      </c>
      <c r="AR125" s="120">
        <v>0</v>
      </c>
      <c r="AS125" s="131">
        <f>IF(Prod[[#This Row],[S1Hrs]]=0,0,Prod[[#This Row],[S1Shot]]*Prod[[#This Row],[S1Cycle]]/(Prod[[#This Row],[S1Hrs]]*60*60))</f>
        <v>0</v>
      </c>
      <c r="AT125" s="131">
        <f>IF(Prod[[#This Row],[S2Hrs]]=0,0,Prod[[#This Row],[S2Shot]]*Prod[[#This Row],[S2Cycle]]/(Prod[[#This Row],[S2Hrs]]*60*60))</f>
        <v>0</v>
      </c>
      <c r="AU125" s="131">
        <f>IF(Prod[[#This Row],[S3Hrs]]=0,0,Prod[[#This Row],[S3Shot]]*Prod[[#This Row],[S3Cycle]]/(Prod[[#This Row],[S3Hrs]]*60*60))</f>
        <v>0</v>
      </c>
      <c r="AV125" s="131">
        <f>IFERROR(AVERAGEIF(Prod[[#This Row],[S1%]:[S3%]], "&lt;&gt;0"),0)</f>
        <v>0</v>
      </c>
      <c r="AW125" s="131">
        <v>0</v>
      </c>
      <c r="AX125" s="131">
        <v>0</v>
      </c>
      <c r="AY125" s="131">
        <v>0</v>
      </c>
      <c r="AZ125" s="166">
        <f>IF(Prod[[#This Row],[S1Cycle]]&lt;&gt;0,1,0)</f>
        <v>0</v>
      </c>
      <c r="BA125" s="166">
        <f>IF(Prod[[#This Row],[S2Cycle]]&lt;&gt;0,1,0)</f>
        <v>0</v>
      </c>
      <c r="BB125" s="166">
        <f>IF(Prod[[#This Row],[S3Cycle]]&lt;&gt;0,1,0)</f>
        <v>0</v>
      </c>
      <c r="BC125" s="166">
        <f>MAX(Prod[[#This Row],[S1Cavity]],Prod[[#This Row],[S2Cavity]],Prod[[#This Row],[S3Cavity]])</f>
        <v>0</v>
      </c>
      <c r="BD125" s="166" t="b">
        <f>RegExpMatch(Prod[[#This Row],[MoldNo]], "^DW-(B|C)")</f>
        <v>1</v>
      </c>
    </row>
    <row r="126" spans="1:56" hidden="1" x14ac:dyDescent="0.2">
      <c r="A126" s="117">
        <v>45423</v>
      </c>
      <c r="B126" s="129" t="s">
        <v>186</v>
      </c>
      <c r="C126" s="130" t="s">
        <v>188</v>
      </c>
      <c r="D126" s="130"/>
      <c r="E126" s="130"/>
      <c r="F126" s="119"/>
      <c r="G126" s="294" t="str">
        <f>IF(OR(Prod[[#This Row],[S1Hrs]]&gt;0,Prod[[#This Row],[S2Hrs]]&gt;0,Prod[[#This Row],[S3Hrs]]&gt;0),"Running","Down")</f>
        <v>Down</v>
      </c>
      <c r="H126" s="295">
        <v>0</v>
      </c>
      <c r="I126" s="141">
        <v>0</v>
      </c>
      <c r="J126" s="120">
        <v>0</v>
      </c>
      <c r="K126" s="129">
        <v>0</v>
      </c>
      <c r="L126" s="120">
        <f>Prod[[#This Row],[S1Shot]]*Prod[[#This Row],[S1Cavity]]-Prod[[#This Row],[S1Dft]]</f>
        <v>0</v>
      </c>
      <c r="M126" s="135">
        <f>SUM(Prod[[#This Row],[S1Mold]],Prod[[#This Row],[S1Print]],Prod[[#This Row],[S1Ovlp]],Prod[[#This Row],[S1Seam]],Prod[[#This Row],[S1Dmg]])</f>
        <v>0</v>
      </c>
      <c r="N126" s="295">
        <v>0</v>
      </c>
      <c r="O126" s="141">
        <v>0</v>
      </c>
      <c r="P126" s="120">
        <v>0</v>
      </c>
      <c r="Q126" s="129">
        <v>0</v>
      </c>
      <c r="R126" s="120">
        <f>Prod[[#This Row],[S2Shot]]*Prod[[#This Row],[S2Cavity]]-Prod[[#This Row],[S2Dft]]</f>
        <v>0</v>
      </c>
      <c r="S126" s="135">
        <f>SUM(Prod[[#This Row],[S2Mold]],Prod[[#This Row],[S2Print]],Prod[[#This Row],[S2Ovlp]],Prod[[#This Row],[S2Seam]],Prod[[#This Row],[S2Dmg]])</f>
        <v>0</v>
      </c>
      <c r="T126" s="295">
        <v>0</v>
      </c>
      <c r="U126" s="141">
        <v>0</v>
      </c>
      <c r="V126" s="120">
        <v>0</v>
      </c>
      <c r="W126" s="129">
        <v>0</v>
      </c>
      <c r="X126" s="120">
        <f>Prod[[#This Row],[S3Shot]]*Prod[[#This Row],[S3Cavity]]-Prod[[#This Row],[S3Dft]]</f>
        <v>0</v>
      </c>
      <c r="Y126" s="120">
        <f>SUM(Prod[[#This Row],[S3Mold]],Prod[[#This Row],[S3Print]],Prod[[#This Row],[S3Ovlp]],Prod[[#This Row],[S3Seam]],Prod[[#This Row],[S3Dmg]])</f>
        <v>0</v>
      </c>
      <c r="Z126" s="120">
        <f>SUM(Prod[[#This Row],[S1Qty]],Prod[[#This Row],[S2Qty]],Prod[[#This Row],[S3Qty]])</f>
        <v>0</v>
      </c>
      <c r="AA126" s="120">
        <f>SUM(Prod[[#This Row],[S1Dft]],Prod[[#This Row],[S2Dft]],Prod[[#This Row],[S3Dft]])</f>
        <v>0</v>
      </c>
      <c r="AB126" s="121">
        <f>IF(Prod[[#This Row],[Total]]=0,0,Prod[[#This Row],[TotalDft]]/Prod[[#This Row],[Total]])</f>
        <v>0</v>
      </c>
      <c r="AC126" s="130"/>
      <c r="AD126" s="120">
        <v>0</v>
      </c>
      <c r="AE126" s="120">
        <v>0</v>
      </c>
      <c r="AF126" s="120">
        <v>0</v>
      </c>
      <c r="AG126" s="120">
        <v>0</v>
      </c>
      <c r="AH126" s="120">
        <v>0</v>
      </c>
      <c r="AI126" s="120">
        <v>0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0</v>
      </c>
      <c r="AQ126" s="120">
        <v>0</v>
      </c>
      <c r="AR126" s="120">
        <v>0</v>
      </c>
      <c r="AS126" s="131">
        <f>IF(Prod[[#This Row],[S1Hrs]]=0,0,Prod[[#This Row],[S1Shot]]*Prod[[#This Row],[S1Cycle]]/(Prod[[#This Row],[S1Hrs]]*60*60))</f>
        <v>0</v>
      </c>
      <c r="AT126" s="131">
        <f>IF(Prod[[#This Row],[S2Hrs]]=0,0,Prod[[#This Row],[S2Shot]]*Prod[[#This Row],[S2Cycle]]/(Prod[[#This Row],[S2Hrs]]*60*60))</f>
        <v>0</v>
      </c>
      <c r="AU126" s="131">
        <f>IF(Prod[[#This Row],[S3Hrs]]=0,0,Prod[[#This Row],[S3Shot]]*Prod[[#This Row],[S3Cycle]]/(Prod[[#This Row],[S3Hrs]]*60*60))</f>
        <v>0</v>
      </c>
      <c r="AV126" s="131">
        <f>IFERROR(AVERAGEIF(Prod[[#This Row],[S1%]:[S3%]], "&lt;&gt;0"),0)</f>
        <v>0</v>
      </c>
      <c r="AW126" s="131">
        <v>0</v>
      </c>
      <c r="AX126" s="131">
        <v>0</v>
      </c>
      <c r="AY126" s="131">
        <v>0</v>
      </c>
      <c r="AZ126" s="166">
        <f>IF(Prod[[#This Row],[S1Cycle]]&lt;&gt;0,1,0)</f>
        <v>0</v>
      </c>
      <c r="BA126" s="166">
        <f>IF(Prod[[#This Row],[S2Cycle]]&lt;&gt;0,1,0)</f>
        <v>0</v>
      </c>
      <c r="BB126" s="166">
        <f>IF(Prod[[#This Row],[S3Cycle]]&lt;&gt;0,1,0)</f>
        <v>0</v>
      </c>
      <c r="BC126" s="166">
        <f>MAX(Prod[[#This Row],[S1Cavity]],Prod[[#This Row],[S2Cavity]],Prod[[#This Row],[S3Cavity]])</f>
        <v>0</v>
      </c>
      <c r="BD126" s="166" t="b">
        <f>RegExpMatch(Prod[[#This Row],[MoldNo]], "^DW-(B|C)")</f>
        <v>1</v>
      </c>
    </row>
    <row r="127" spans="1:56" hidden="1" x14ac:dyDescent="0.2">
      <c r="A127" s="117">
        <v>45423</v>
      </c>
      <c r="B127" s="129" t="s">
        <v>187</v>
      </c>
      <c r="C127" s="130" t="s">
        <v>189</v>
      </c>
      <c r="D127" s="130"/>
      <c r="E127" s="130"/>
      <c r="F127" s="119"/>
      <c r="G127" s="294" t="str">
        <f>IF(OR(Prod[[#This Row],[S1Hrs]]&gt;0,Prod[[#This Row],[S2Hrs]]&gt;0,Prod[[#This Row],[S3Hrs]]&gt;0),"Running","Down")</f>
        <v>Down</v>
      </c>
      <c r="H127" s="295">
        <v>0</v>
      </c>
      <c r="I127" s="141">
        <v>0</v>
      </c>
      <c r="J127" s="120">
        <v>0</v>
      </c>
      <c r="K127" s="129">
        <v>0</v>
      </c>
      <c r="L127" s="120">
        <f>Prod[[#This Row],[S1Shot]]*Prod[[#This Row],[S1Cavity]]-Prod[[#This Row],[S1Dft]]</f>
        <v>0</v>
      </c>
      <c r="M127" s="135">
        <f>SUM(Prod[[#This Row],[S1Mold]],Prod[[#This Row],[S1Print]],Prod[[#This Row],[S1Ovlp]],Prod[[#This Row],[S1Seam]],Prod[[#This Row],[S1Dmg]])</f>
        <v>0</v>
      </c>
      <c r="N127" s="295">
        <v>0</v>
      </c>
      <c r="O127" s="141">
        <v>0</v>
      </c>
      <c r="P127" s="120">
        <v>0</v>
      </c>
      <c r="Q127" s="129">
        <v>0</v>
      </c>
      <c r="R127" s="120">
        <f>Prod[[#This Row],[S2Shot]]*Prod[[#This Row],[S2Cavity]]-Prod[[#This Row],[S2Dft]]</f>
        <v>0</v>
      </c>
      <c r="S127" s="135">
        <f>SUM(Prod[[#This Row],[S2Mold]],Prod[[#This Row],[S2Print]],Prod[[#This Row],[S2Ovlp]],Prod[[#This Row],[S2Seam]],Prod[[#This Row],[S2Dmg]])</f>
        <v>0</v>
      </c>
      <c r="T127" s="295">
        <v>0</v>
      </c>
      <c r="U127" s="141">
        <v>0</v>
      </c>
      <c r="V127" s="120">
        <v>0</v>
      </c>
      <c r="W127" s="129">
        <v>0</v>
      </c>
      <c r="X127" s="120">
        <f>Prod[[#This Row],[S3Shot]]*Prod[[#This Row],[S3Cavity]]-Prod[[#This Row],[S3Dft]]</f>
        <v>0</v>
      </c>
      <c r="Y127" s="120">
        <f>SUM(Prod[[#This Row],[S3Mold]],Prod[[#This Row],[S3Print]],Prod[[#This Row],[S3Ovlp]],Prod[[#This Row],[S3Seam]],Prod[[#This Row],[S3Dmg]])</f>
        <v>0</v>
      </c>
      <c r="Z127" s="120">
        <f>SUM(Prod[[#This Row],[S1Qty]],Prod[[#This Row],[S2Qty]],Prod[[#This Row],[S3Qty]])</f>
        <v>0</v>
      </c>
      <c r="AA127" s="120">
        <f>SUM(Prod[[#This Row],[S1Dft]],Prod[[#This Row],[S2Dft]],Prod[[#This Row],[S3Dft]])</f>
        <v>0</v>
      </c>
      <c r="AB127" s="121">
        <f>IF(Prod[[#This Row],[Total]]=0,0,Prod[[#This Row],[TotalDft]]/Prod[[#This Row],[Total]])</f>
        <v>0</v>
      </c>
      <c r="AC127" s="118"/>
      <c r="AD127" s="120">
        <v>0</v>
      </c>
      <c r="AE127" s="120">
        <v>0</v>
      </c>
      <c r="AF127" s="120">
        <v>0</v>
      </c>
      <c r="AG127" s="120">
        <v>0</v>
      </c>
      <c r="AH127" s="120">
        <v>0</v>
      </c>
      <c r="AI127" s="120">
        <v>0</v>
      </c>
      <c r="AJ127" s="120">
        <v>0</v>
      </c>
      <c r="AK127" s="120">
        <v>0</v>
      </c>
      <c r="AL127" s="120">
        <v>0</v>
      </c>
      <c r="AM127" s="120">
        <v>0</v>
      </c>
      <c r="AN127" s="120">
        <v>0</v>
      </c>
      <c r="AO127" s="120">
        <v>0</v>
      </c>
      <c r="AP127" s="120">
        <v>0</v>
      </c>
      <c r="AQ127" s="120">
        <v>0</v>
      </c>
      <c r="AR127" s="120">
        <v>0</v>
      </c>
      <c r="AS127" s="131">
        <f>IF(Prod[[#This Row],[S1Hrs]]=0,0,Prod[[#This Row],[S1Shot]]*Prod[[#This Row],[S1Cycle]]/(Prod[[#This Row],[S1Hrs]]*60*60))</f>
        <v>0</v>
      </c>
      <c r="AT127" s="131">
        <f>IF(Prod[[#This Row],[S2Hrs]]=0,0,Prod[[#This Row],[S2Shot]]*Prod[[#This Row],[S2Cycle]]/(Prod[[#This Row],[S2Hrs]]*60*60))</f>
        <v>0</v>
      </c>
      <c r="AU127" s="131">
        <f>IF(Prod[[#This Row],[S3Hrs]]=0,0,Prod[[#This Row],[S3Shot]]*Prod[[#This Row],[S3Cycle]]/(Prod[[#This Row],[S3Hrs]]*60*60))</f>
        <v>0</v>
      </c>
      <c r="AV127" s="131">
        <f>IFERROR(AVERAGEIF(Prod[[#This Row],[S1%]:[S3%]], "&lt;&gt;0"),0)</f>
        <v>0</v>
      </c>
      <c r="AW127" s="131">
        <v>0</v>
      </c>
      <c r="AX127" s="131">
        <v>0</v>
      </c>
      <c r="AY127" s="131">
        <v>0</v>
      </c>
      <c r="AZ127" s="166">
        <f>IF(Prod[[#This Row],[S1Cycle]]&lt;&gt;0,1,0)</f>
        <v>0</v>
      </c>
      <c r="BA127" s="166">
        <f>IF(Prod[[#This Row],[S2Cycle]]&lt;&gt;0,1,0)</f>
        <v>0</v>
      </c>
      <c r="BB127" s="166">
        <f>IF(Prod[[#This Row],[S3Cycle]]&lt;&gt;0,1,0)</f>
        <v>0</v>
      </c>
      <c r="BC127" s="166">
        <f>MAX(Prod[[#This Row],[S1Cavity]],Prod[[#This Row],[S2Cavity]],Prod[[#This Row],[S3Cavity]])</f>
        <v>0</v>
      </c>
      <c r="BD127" s="166" t="b">
        <f>RegExpMatch(Prod[[#This Row],[MoldNo]], "^DW-(B|C)")</f>
        <v>1</v>
      </c>
    </row>
    <row r="128" spans="1:56" hidden="1" x14ac:dyDescent="0.2">
      <c r="A128" s="117">
        <v>45423</v>
      </c>
      <c r="B128" s="129" t="s">
        <v>181</v>
      </c>
      <c r="C128" s="130" t="s">
        <v>182</v>
      </c>
      <c r="D128" s="119"/>
      <c r="E128" s="130"/>
      <c r="F128" s="119"/>
      <c r="G128" s="294" t="str">
        <f>IF(OR(Prod[[#This Row],[S1Hrs]]&gt;0,Prod[[#This Row],[S2Hrs]]&gt;0,Prod[[#This Row],[S3Hrs]]&gt;0),"Running","Down")</f>
        <v>Down</v>
      </c>
      <c r="H128" s="295">
        <v>0</v>
      </c>
      <c r="I128" s="141">
        <v>0</v>
      </c>
      <c r="J128" s="120">
        <v>0</v>
      </c>
      <c r="K128" s="129">
        <v>0</v>
      </c>
      <c r="L128" s="120">
        <f>Prod[[#This Row],[S1Shot]]*Prod[[#This Row],[S1Cavity]]-Prod[[#This Row],[S1Dft]]</f>
        <v>0</v>
      </c>
      <c r="M128" s="133"/>
      <c r="N128" s="295">
        <v>0</v>
      </c>
      <c r="O128" s="141">
        <v>0</v>
      </c>
      <c r="P128" s="120">
        <v>0</v>
      </c>
      <c r="Q128" s="129">
        <v>0</v>
      </c>
      <c r="R128" s="120">
        <f>Prod[[#This Row],[S2Shot]]*Prod[[#This Row],[S2Cavity]]-Prod[[#This Row],[S2Dft]]</f>
        <v>0</v>
      </c>
      <c r="S128" s="133"/>
      <c r="T128" s="295">
        <v>0</v>
      </c>
      <c r="U128" s="141">
        <v>0</v>
      </c>
      <c r="V128" s="120">
        <v>0</v>
      </c>
      <c r="W128" s="129">
        <v>0</v>
      </c>
      <c r="X128" s="120">
        <f>Prod[[#This Row],[S3Shot]]*Prod[[#This Row],[S3Cavity]]-Prod[[#This Row],[S3Dft]]</f>
        <v>0</v>
      </c>
      <c r="Y128" s="133"/>
      <c r="Z128" s="120">
        <f>SUM(Prod[[#This Row],[S1Qty]],Prod[[#This Row],[S2Qty]],Prod[[#This Row],[S3Qty]])</f>
        <v>0</v>
      </c>
      <c r="AA128" s="133"/>
      <c r="AB128" s="134"/>
      <c r="AC128" s="118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1">
        <f>IF(Prod[[#This Row],[S1Hrs]]=0,0,Prod[[#This Row],[S1Shot]]*Prod[[#This Row],[S1Cycle]]/(Prod[[#This Row],[S1Hrs]]*60*60))</f>
        <v>0</v>
      </c>
      <c r="AT128" s="131">
        <f>IF(Prod[[#This Row],[S2Hrs]]=0,0,Prod[[#This Row],[S2Shot]]*Prod[[#This Row],[S2Cycle]]/(Prod[[#This Row],[S2Hrs]]*60*60))</f>
        <v>0</v>
      </c>
      <c r="AU128" s="131">
        <f>IF(Prod[[#This Row],[S3Hrs]]=0,0,Prod[[#This Row],[S3Shot]]*Prod[[#This Row],[S3Cycle]]/(Prod[[#This Row],[S3Hrs]]*60*60))</f>
        <v>0</v>
      </c>
      <c r="AV128" s="131">
        <f>IFERROR(AVERAGEIF(Prod[[#This Row],[S1%]:[S3%]], "&lt;&gt;0"),0)</f>
        <v>0</v>
      </c>
      <c r="AW128" s="131">
        <v>0</v>
      </c>
      <c r="AX128" s="131">
        <v>0</v>
      </c>
      <c r="AY128" s="131">
        <v>0</v>
      </c>
      <c r="AZ128" s="166">
        <f>IF(Prod[[#This Row],[S1Cycle]]&lt;&gt;0,1,0)</f>
        <v>0</v>
      </c>
      <c r="BA128" s="166">
        <f>IF(Prod[[#This Row],[S2Cycle]]&lt;&gt;0,1,0)</f>
        <v>0</v>
      </c>
      <c r="BB128" s="166">
        <f>IF(Prod[[#This Row],[S3Cycle]]&lt;&gt;0,1,0)</f>
        <v>0</v>
      </c>
      <c r="BC128" s="166">
        <f>MAX(Prod[[#This Row],[S1Cavity]],Prod[[#This Row],[S2Cavity]],Prod[[#This Row],[S3Cavity]])</f>
        <v>0</v>
      </c>
      <c r="BD128" s="166" t="b">
        <f>RegExpMatch(Prod[[#This Row],[MoldNo]], "^DW-(B|C)")</f>
        <v>0</v>
      </c>
    </row>
    <row r="129" spans="1:56" hidden="1" x14ac:dyDescent="0.2">
      <c r="A129" s="117">
        <v>45423</v>
      </c>
      <c r="B129" s="120" t="s">
        <v>225</v>
      </c>
      <c r="C129" s="119" t="s">
        <v>226</v>
      </c>
      <c r="D129" s="130"/>
      <c r="E129" s="130"/>
      <c r="F129" s="119"/>
      <c r="G129" s="294" t="str">
        <f>IF(OR(Prod[[#This Row],[S1Hrs]]&gt;0,Prod[[#This Row],[S2Hrs]]&gt;0,Prod[[#This Row],[S3Hrs]]&gt;0),"Running","Down")</f>
        <v>Down</v>
      </c>
      <c r="H129" s="295">
        <v>0</v>
      </c>
      <c r="I129" s="141">
        <v>0</v>
      </c>
      <c r="J129" s="120">
        <v>0</v>
      </c>
      <c r="K129" s="129">
        <v>0</v>
      </c>
      <c r="L129" s="120">
        <f>Prod[[#This Row],[S1Shot]]*Prod[[#This Row],[S1Cavity]]-Prod[[#This Row],[S1Dft]]</f>
        <v>0</v>
      </c>
      <c r="M129" s="135">
        <f>SUM(Prod[[#This Row],[S1Mold]],Prod[[#This Row],[S1Print]],Prod[[#This Row],[S1Ovlp]],Prod[[#This Row],[S1Seam]],Prod[[#This Row],[S1Dmg]])</f>
        <v>0</v>
      </c>
      <c r="N129" s="295">
        <v>0</v>
      </c>
      <c r="O129" s="141">
        <v>0</v>
      </c>
      <c r="P129" s="120">
        <v>0</v>
      </c>
      <c r="Q129" s="129">
        <v>0</v>
      </c>
      <c r="R129" s="120">
        <f>Prod[[#This Row],[S2Shot]]*Prod[[#This Row],[S2Cavity]]-Prod[[#This Row],[S2Dft]]</f>
        <v>0</v>
      </c>
      <c r="S129" s="135">
        <f>SUM(Prod[[#This Row],[S2Mold]],Prod[[#This Row],[S2Print]],Prod[[#This Row],[S2Ovlp]],Prod[[#This Row],[S2Seam]],Prod[[#This Row],[S2Dmg]])</f>
        <v>0</v>
      </c>
      <c r="T129" s="295">
        <v>0</v>
      </c>
      <c r="U129" s="141">
        <v>0</v>
      </c>
      <c r="V129" s="120">
        <v>0</v>
      </c>
      <c r="W129" s="129">
        <v>0</v>
      </c>
      <c r="X129" s="120">
        <f>Prod[[#This Row],[S3Shot]]*Prod[[#This Row],[S3Cavity]]-Prod[[#This Row],[S3Dft]]</f>
        <v>0</v>
      </c>
      <c r="Y129" s="120">
        <f>SUM(Prod[[#This Row],[S3Mold]],Prod[[#This Row],[S3Print]],Prod[[#This Row],[S3Ovlp]],Prod[[#This Row],[S3Seam]],Prod[[#This Row],[S3Dmg]])</f>
        <v>0</v>
      </c>
      <c r="Z129" s="120">
        <f>SUM(Prod[[#This Row],[S1Qty]],Prod[[#This Row],[S2Qty]],Prod[[#This Row],[S3Qty]])</f>
        <v>0</v>
      </c>
      <c r="AA129" s="120">
        <f>SUM(Prod[[#This Row],[S1Dft]],Prod[[#This Row],[S2Dft]],Prod[[#This Row],[S3Dft]])</f>
        <v>0</v>
      </c>
      <c r="AB129" s="121">
        <f>IF(Prod[[#This Row],[Total]]=0,0,Prod[[#This Row],[TotalDft]]/Prod[[#This Row],[Total]])</f>
        <v>0</v>
      </c>
      <c r="AC129" s="130"/>
      <c r="AD129" s="120">
        <v>0</v>
      </c>
      <c r="AE129" s="120">
        <v>0</v>
      </c>
      <c r="AF129" s="120">
        <v>0</v>
      </c>
      <c r="AG129" s="120">
        <v>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1">
        <f>IF(Prod[[#This Row],[S1Hrs]]=0,0,Prod[[#This Row],[S1Shot]]*Prod[[#This Row],[S1Cycle]]/(Prod[[#This Row],[S1Hrs]]*60*60))</f>
        <v>0</v>
      </c>
      <c r="AT129" s="131">
        <f>IF(Prod[[#This Row],[S2Hrs]]=0,0,Prod[[#This Row],[S2Shot]]*Prod[[#This Row],[S2Cycle]]/(Prod[[#This Row],[S2Hrs]]*60*60))</f>
        <v>0</v>
      </c>
      <c r="AU129" s="131">
        <f>IF(Prod[[#This Row],[S3Hrs]]=0,0,Prod[[#This Row],[S3Shot]]*Prod[[#This Row],[S3Cycle]]/(Prod[[#This Row],[S3Hrs]]*60*60))</f>
        <v>0</v>
      </c>
      <c r="AV129" s="131">
        <f>IFERROR(AVERAGEIF(Prod[[#This Row],[S1%]:[S3%]], "&lt;&gt;0"),0)</f>
        <v>0</v>
      </c>
      <c r="AW129" s="131">
        <v>0</v>
      </c>
      <c r="AX129" s="131">
        <v>0</v>
      </c>
      <c r="AY129" s="131">
        <v>0</v>
      </c>
      <c r="AZ129" s="166">
        <f>IF(Prod[[#This Row],[S1Cycle]]&lt;&gt;0,1,0)</f>
        <v>0</v>
      </c>
      <c r="BA129" s="166">
        <f>IF(Prod[[#This Row],[S2Cycle]]&lt;&gt;0,1,0)</f>
        <v>0</v>
      </c>
      <c r="BB129" s="166">
        <f>IF(Prod[[#This Row],[S3Cycle]]&lt;&gt;0,1,0)</f>
        <v>0</v>
      </c>
      <c r="BC129" s="166">
        <f>MAX(Prod[[#This Row],[S1Cavity]],Prod[[#This Row],[S2Cavity]],Prod[[#This Row],[S3Cavity]])</f>
        <v>0</v>
      </c>
      <c r="BD129" s="166" t="b">
        <f>RegExpMatch(Prod[[#This Row],[MoldNo]], "^DW-(B|C)")</f>
        <v>1</v>
      </c>
    </row>
  </sheetData>
  <mergeCells count="2">
    <mergeCell ref="M2:R2"/>
    <mergeCell ref="A2:H2"/>
  </mergeCells>
  <conditionalFormatting sqref="A5:BD129">
    <cfRule type="expression" dxfId="3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204"/>
  <sheetViews>
    <sheetView workbookViewId="0">
      <pane ySplit="5" topLeftCell="A51" activePane="bottomLeft" state="frozen"/>
      <selection pane="bottomLeft" activeCell="J66" sqref="J66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8" width="8" bestFit="1" customWidth="1"/>
    <col min="9" max="9" width="10.7109375" bestFit="1" customWidth="1"/>
    <col min="10" max="10" width="44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84">
        <f>$A$6</f>
        <v>45413</v>
      </c>
      <c r="K2" s="284"/>
      <c r="L2" s="284"/>
      <c r="M2" s="284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4" customFormat="1" ht="12.75" customHeight="1" x14ac:dyDescent="0.2">
      <c r="A5" s="124" t="s">
        <v>107</v>
      </c>
      <c r="B5" s="125" t="s">
        <v>108</v>
      </c>
      <c r="C5" s="124" t="s">
        <v>25</v>
      </c>
      <c r="D5" s="124" t="s">
        <v>28</v>
      </c>
      <c r="E5" s="126" t="s">
        <v>12</v>
      </c>
      <c r="F5" s="122" t="s">
        <v>113</v>
      </c>
      <c r="G5" s="122" t="s">
        <v>119</v>
      </c>
      <c r="H5" s="122" t="s">
        <v>125</v>
      </c>
      <c r="I5" s="127" t="s">
        <v>59</v>
      </c>
      <c r="J5" s="127" t="s">
        <v>144</v>
      </c>
    </row>
    <row r="6" spans="1:27" x14ac:dyDescent="0.2">
      <c r="A6" s="128">
        <v>45413</v>
      </c>
      <c r="B6" s="178" t="s">
        <v>17</v>
      </c>
      <c r="C6" s="179"/>
      <c r="D6" s="179"/>
      <c r="E6" s="180" t="str">
        <f>IF(Assem[[#This Row],[Total]]&gt;0,"Running","Down")</f>
        <v>Down</v>
      </c>
      <c r="F6" s="181">
        <v>0</v>
      </c>
      <c r="G6" s="181">
        <v>0</v>
      </c>
      <c r="H6" s="181">
        <v>0</v>
      </c>
      <c r="I6" s="181">
        <f>SUM(Assem[[#This Row],[S1Qty]],Assem[[#This Row],[S2Qty]],Assem[[#This Row],[S3Qty]])</f>
        <v>0</v>
      </c>
      <c r="J6" s="142" t="s">
        <v>200</v>
      </c>
    </row>
    <row r="7" spans="1:27" x14ac:dyDescent="0.2">
      <c r="A7" s="128">
        <v>45413</v>
      </c>
      <c r="B7" s="178" t="s">
        <v>18</v>
      </c>
      <c r="C7" s="179"/>
      <c r="D7" s="179"/>
      <c r="E7" s="180" t="str">
        <f>IF(Assem[[#This Row],[Total]]&gt;0,"Running","Down")</f>
        <v>Down</v>
      </c>
      <c r="F7" s="181">
        <v>0</v>
      </c>
      <c r="G7" s="181">
        <v>0</v>
      </c>
      <c r="H7" s="181">
        <v>0</v>
      </c>
      <c r="I7" s="181">
        <f>SUM(Assem[[#This Row],[S1Qty]],Assem[[#This Row],[S2Qty]],Assem[[#This Row],[S3Qty]])</f>
        <v>0</v>
      </c>
      <c r="J7" s="142" t="s">
        <v>195</v>
      </c>
    </row>
    <row r="8" spans="1:27" x14ac:dyDescent="0.2">
      <c r="A8" s="128">
        <v>45413</v>
      </c>
      <c r="B8" s="178" t="s">
        <v>19</v>
      </c>
      <c r="C8" s="179"/>
      <c r="D8" s="179"/>
      <c r="E8" s="180" t="str">
        <f>IF(Assem[[#This Row],[Total]]&gt;0,"Running","Down")</f>
        <v>Down</v>
      </c>
      <c r="F8" s="181">
        <v>0</v>
      </c>
      <c r="G8" s="181">
        <v>0</v>
      </c>
      <c r="H8" s="181">
        <v>0</v>
      </c>
      <c r="I8" s="181">
        <f>SUM(Assem[[#This Row],[S1Qty]],Assem[[#This Row],[S2Qty]],Assem[[#This Row],[S3Qty]])</f>
        <v>0</v>
      </c>
      <c r="J8" s="182"/>
    </row>
    <row r="9" spans="1:27" x14ac:dyDescent="0.2">
      <c r="A9" s="128">
        <v>45413</v>
      </c>
      <c r="B9" s="178" t="s">
        <v>20</v>
      </c>
      <c r="C9" s="123" t="s">
        <v>196</v>
      </c>
      <c r="D9" s="123" t="s">
        <v>184</v>
      </c>
      <c r="E9" s="180" t="str">
        <f>IF(Assem[[#This Row],[Total]]&gt;0,"Running","Down")</f>
        <v>Running</v>
      </c>
      <c r="F9" s="181">
        <v>3507</v>
      </c>
      <c r="G9" s="181">
        <v>3397</v>
      </c>
      <c r="H9" s="181">
        <v>1670</v>
      </c>
      <c r="I9" s="181">
        <f>SUM(Assem[[#This Row],[S1Qty]],Assem[[#This Row],[S2Qty]],Assem[[#This Row],[S3Qty]])</f>
        <v>8574</v>
      </c>
      <c r="J9" s="142" t="s">
        <v>199</v>
      </c>
    </row>
    <row r="10" spans="1:27" x14ac:dyDescent="0.2">
      <c r="A10" s="128">
        <v>45413</v>
      </c>
      <c r="B10" s="178" t="s">
        <v>21</v>
      </c>
      <c r="C10" s="123" t="s">
        <v>196</v>
      </c>
      <c r="D10" s="123" t="s">
        <v>184</v>
      </c>
      <c r="E10" s="180" t="str">
        <f>IF(Assem[[#This Row],[Total]]&gt;0,"Running","Down")</f>
        <v>Running</v>
      </c>
      <c r="F10" s="181">
        <v>3067</v>
      </c>
      <c r="G10" s="181">
        <v>3400</v>
      </c>
      <c r="H10" s="181">
        <v>3301</v>
      </c>
      <c r="I10" s="181">
        <f>SUM(Assem[[#This Row],[S1Qty]],Assem[[#This Row],[S2Qty]],Assem[[#This Row],[S3Qty]])</f>
        <v>9768</v>
      </c>
      <c r="J10" s="182"/>
    </row>
    <row r="11" spans="1:27" x14ac:dyDescent="0.2">
      <c r="A11" s="128">
        <v>45413</v>
      </c>
      <c r="B11" s="178" t="s">
        <v>22</v>
      </c>
      <c r="C11" s="123" t="s">
        <v>196</v>
      </c>
      <c r="D11" s="123" t="s">
        <v>184</v>
      </c>
      <c r="E11" s="180" t="str">
        <f>IF(Assem[[#This Row],[Total]]&gt;0,"Running","Down")</f>
        <v>Running</v>
      </c>
      <c r="F11" s="181">
        <v>2886</v>
      </c>
      <c r="G11" s="181">
        <v>3178</v>
      </c>
      <c r="H11" s="181">
        <v>3227</v>
      </c>
      <c r="I11" s="181">
        <f>SUM(Assem[[#This Row],[S1Qty]],Assem[[#This Row],[S2Qty]],Assem[[#This Row],[S3Qty]])</f>
        <v>9291</v>
      </c>
      <c r="J11" s="142" t="s">
        <v>198</v>
      </c>
    </row>
    <row r="12" spans="1:27" x14ac:dyDescent="0.2">
      <c r="A12" s="128">
        <v>45414</v>
      </c>
      <c r="B12" s="187" t="s">
        <v>17</v>
      </c>
      <c r="C12" s="188"/>
      <c r="D12" s="188"/>
      <c r="E12" s="189" t="str">
        <f>IF(Assem[[#This Row],[Total]]&gt;0,"Running","Down")</f>
        <v>Down</v>
      </c>
      <c r="F12" s="190">
        <v>0</v>
      </c>
      <c r="G12" s="190">
        <v>0</v>
      </c>
      <c r="H12" s="190">
        <v>0</v>
      </c>
      <c r="I12" s="190">
        <f>SUM(Assem[[#This Row],[S1Qty]],Assem[[#This Row],[S2Qty]],Assem[[#This Row],[S3Qty]])</f>
        <v>0</v>
      </c>
      <c r="J12" s="142" t="s">
        <v>208</v>
      </c>
    </row>
    <row r="13" spans="1:27" x14ac:dyDescent="0.2">
      <c r="A13" s="128">
        <v>45414</v>
      </c>
      <c r="B13" s="187" t="s">
        <v>18</v>
      </c>
      <c r="C13" s="188"/>
      <c r="D13" s="188"/>
      <c r="E13" s="189" t="str">
        <f>IF(Assem[[#This Row],[Total]]&gt;0,"Running","Down")</f>
        <v>Down</v>
      </c>
      <c r="F13" s="190">
        <v>0</v>
      </c>
      <c r="G13" s="190">
        <v>0</v>
      </c>
      <c r="H13" s="190">
        <v>0</v>
      </c>
      <c r="I13" s="190">
        <f>SUM(Assem[[#This Row],[S1Qty]],Assem[[#This Row],[S2Qty]],Assem[[#This Row],[S3Qty]])</f>
        <v>0</v>
      </c>
      <c r="J13" s="142" t="s">
        <v>195</v>
      </c>
    </row>
    <row r="14" spans="1:27" x14ac:dyDescent="0.2">
      <c r="A14" s="128">
        <v>45414</v>
      </c>
      <c r="B14" s="187" t="s">
        <v>19</v>
      </c>
      <c r="C14" s="188"/>
      <c r="D14" s="188"/>
      <c r="E14" s="189" t="str">
        <f>IF(Assem[[#This Row],[Total]]&gt;0,"Running","Down")</f>
        <v>Down</v>
      </c>
      <c r="F14" s="190">
        <v>0</v>
      </c>
      <c r="G14" s="190">
        <v>0</v>
      </c>
      <c r="H14" s="190">
        <v>0</v>
      </c>
      <c r="I14" s="190">
        <f>SUM(Assem[[#This Row],[S1Qty]],Assem[[#This Row],[S2Qty]],Assem[[#This Row],[S3Qty]])</f>
        <v>0</v>
      </c>
      <c r="J14" s="142" t="s">
        <v>207</v>
      </c>
    </row>
    <row r="15" spans="1:27" x14ac:dyDescent="0.2">
      <c r="A15" s="128">
        <v>45414</v>
      </c>
      <c r="B15" s="187" t="s">
        <v>20</v>
      </c>
      <c r="C15" s="123" t="s">
        <v>196</v>
      </c>
      <c r="D15" s="123" t="s">
        <v>184</v>
      </c>
      <c r="E15" s="189" t="str">
        <f>IF(Assem[[#This Row],[Total]]&gt;0,"Running","Down")</f>
        <v>Running</v>
      </c>
      <c r="F15" s="190">
        <v>3535</v>
      </c>
      <c r="G15" s="190">
        <v>3368</v>
      </c>
      <c r="H15" s="190">
        <v>1026</v>
      </c>
      <c r="I15" s="190">
        <f>SUM(Assem[[#This Row],[S1Qty]],Assem[[#This Row],[S2Qty]],Assem[[#This Row],[S3Qty]])</f>
        <v>7929</v>
      </c>
      <c r="J15" s="142" t="s">
        <v>206</v>
      </c>
    </row>
    <row r="16" spans="1:27" x14ac:dyDescent="0.2">
      <c r="A16" s="128">
        <v>45414</v>
      </c>
      <c r="B16" s="187" t="s">
        <v>21</v>
      </c>
      <c r="C16" s="123" t="s">
        <v>196</v>
      </c>
      <c r="D16" s="123" t="s">
        <v>184</v>
      </c>
      <c r="E16" s="189" t="str">
        <f>IF(Assem[[#This Row],[Total]]&gt;0,"Running","Down")</f>
        <v>Running</v>
      </c>
      <c r="F16" s="190">
        <v>3250</v>
      </c>
      <c r="G16" s="190">
        <v>1897</v>
      </c>
      <c r="H16" s="190">
        <v>3024</v>
      </c>
      <c r="I16" s="190">
        <f>SUM(Assem[[#This Row],[S1Qty]],Assem[[#This Row],[S2Qty]],Assem[[#This Row],[S3Qty]])</f>
        <v>8171</v>
      </c>
      <c r="J16" s="191"/>
    </row>
    <row r="17" spans="1:10" x14ac:dyDescent="0.2">
      <c r="A17" s="128">
        <v>45414</v>
      </c>
      <c r="B17" s="187" t="s">
        <v>22</v>
      </c>
      <c r="C17" s="123" t="s">
        <v>196</v>
      </c>
      <c r="D17" s="123" t="s">
        <v>184</v>
      </c>
      <c r="E17" s="189" t="str">
        <f>IF(Assem[[#This Row],[Total]]&gt;0,"Running","Down")</f>
        <v>Running</v>
      </c>
      <c r="F17" s="190">
        <v>3045</v>
      </c>
      <c r="G17" s="190">
        <v>2656</v>
      </c>
      <c r="H17" s="190">
        <v>3157</v>
      </c>
      <c r="I17" s="190">
        <f>SUM(Assem[[#This Row],[S1Qty]],Assem[[#This Row],[S2Qty]],Assem[[#This Row],[S3Qty]])</f>
        <v>8858</v>
      </c>
      <c r="J17" s="191"/>
    </row>
    <row r="18" spans="1:10" x14ac:dyDescent="0.2">
      <c r="A18" s="128">
        <v>45415</v>
      </c>
      <c r="B18" s="192" t="s">
        <v>17</v>
      </c>
      <c r="C18" s="193"/>
      <c r="D18" s="193"/>
      <c r="E18" s="194" t="str">
        <f>IF(Assem[[#This Row],[Total]]&gt;0,"Running","Down")</f>
        <v>Down</v>
      </c>
      <c r="F18" s="195">
        <v>0</v>
      </c>
      <c r="G18" s="195">
        <v>0</v>
      </c>
      <c r="H18" s="195">
        <v>0</v>
      </c>
      <c r="I18" s="195">
        <f>SUM(Assem[[#This Row],[S1Qty]],Assem[[#This Row],[S2Qty]],Assem[[#This Row],[S3Qty]])</f>
        <v>0</v>
      </c>
      <c r="J18" s="142" t="s">
        <v>220</v>
      </c>
    </row>
    <row r="19" spans="1:10" x14ac:dyDescent="0.2">
      <c r="A19" s="128">
        <v>45415</v>
      </c>
      <c r="B19" s="192" t="s">
        <v>18</v>
      </c>
      <c r="C19" s="193"/>
      <c r="D19" s="193"/>
      <c r="E19" s="194" t="str">
        <f>IF(Assem[[#This Row],[Total]]&gt;0,"Running","Down")</f>
        <v>Down</v>
      </c>
      <c r="F19" s="195">
        <v>0</v>
      </c>
      <c r="G19" s="195">
        <v>0</v>
      </c>
      <c r="H19" s="195">
        <v>0</v>
      </c>
      <c r="I19" s="195">
        <f>SUM(Assem[[#This Row],[S1Qty]],Assem[[#This Row],[S2Qty]],Assem[[#This Row],[S3Qty]])</f>
        <v>0</v>
      </c>
      <c r="J19" s="196"/>
    </row>
    <row r="20" spans="1:10" x14ac:dyDescent="0.2">
      <c r="A20" s="128">
        <v>45415</v>
      </c>
      <c r="B20" s="192" t="s">
        <v>19</v>
      </c>
      <c r="C20" s="193"/>
      <c r="D20" s="193"/>
      <c r="E20" s="194" t="str">
        <f>IF(Assem[[#This Row],[Total]]&gt;0,"Running","Down")</f>
        <v>Down</v>
      </c>
      <c r="F20" s="195">
        <v>0</v>
      </c>
      <c r="G20" s="195">
        <v>0</v>
      </c>
      <c r="H20" s="195">
        <v>0</v>
      </c>
      <c r="I20" s="195">
        <f>SUM(Assem[[#This Row],[S1Qty]],Assem[[#This Row],[S2Qty]],Assem[[#This Row],[S3Qty]])</f>
        <v>0</v>
      </c>
      <c r="J20" s="196"/>
    </row>
    <row r="21" spans="1:10" x14ac:dyDescent="0.2">
      <c r="A21" s="128">
        <v>45415</v>
      </c>
      <c r="B21" s="192" t="s">
        <v>20</v>
      </c>
      <c r="C21" s="123" t="s">
        <v>209</v>
      </c>
      <c r="D21" s="123" t="s">
        <v>184</v>
      </c>
      <c r="E21" s="194" t="str">
        <f>IF(Assem[[#This Row],[Total]]&gt;0,"Running","Down")</f>
        <v>Running</v>
      </c>
      <c r="F21" s="195">
        <v>3367</v>
      </c>
      <c r="G21" s="195">
        <v>3200</v>
      </c>
      <c r="H21" s="195">
        <v>3235</v>
      </c>
      <c r="I21" s="195">
        <f>SUM(Assem[[#This Row],[S1Qty]],Assem[[#This Row],[S2Qty]],Assem[[#This Row],[S3Qty]])</f>
        <v>9802</v>
      </c>
      <c r="J21" s="142"/>
    </row>
    <row r="22" spans="1:10" x14ac:dyDescent="0.2">
      <c r="A22" s="128">
        <v>45415</v>
      </c>
      <c r="B22" s="192" t="s">
        <v>21</v>
      </c>
      <c r="C22" s="123" t="s">
        <v>209</v>
      </c>
      <c r="D22" s="123" t="s">
        <v>184</v>
      </c>
      <c r="E22" s="194" t="str">
        <f>IF(Assem[[#This Row],[Total]]&gt;0,"Running","Down")</f>
        <v>Running</v>
      </c>
      <c r="F22" s="195">
        <v>3388</v>
      </c>
      <c r="G22" s="195">
        <v>1546</v>
      </c>
      <c r="H22" s="195">
        <v>3287</v>
      </c>
      <c r="I22" s="195">
        <f>SUM(Assem[[#This Row],[S1Qty]],Assem[[#This Row],[S2Qty]],Assem[[#This Row],[S3Qty]])</f>
        <v>8221</v>
      </c>
      <c r="J22" s="142" t="s">
        <v>221</v>
      </c>
    </row>
    <row r="23" spans="1:10" x14ac:dyDescent="0.2">
      <c r="A23" s="128">
        <v>45415</v>
      </c>
      <c r="B23" s="192" t="s">
        <v>22</v>
      </c>
      <c r="C23" s="123" t="s">
        <v>209</v>
      </c>
      <c r="D23" s="123" t="s">
        <v>184</v>
      </c>
      <c r="E23" s="194" t="str">
        <f>IF(Assem[[#This Row],[Total]]&gt;0,"Running","Down")</f>
        <v>Running</v>
      </c>
      <c r="F23" s="195">
        <v>3348</v>
      </c>
      <c r="G23" s="195">
        <v>3392</v>
      </c>
      <c r="H23" s="195">
        <v>2542</v>
      </c>
      <c r="I23" s="195">
        <f>SUM(Assem[[#This Row],[S1Qty]],Assem[[#This Row],[S2Qty]],Assem[[#This Row],[S3Qty]])</f>
        <v>9282</v>
      </c>
      <c r="J23" s="142" t="s">
        <v>222</v>
      </c>
    </row>
    <row r="24" spans="1:10" x14ac:dyDescent="0.2">
      <c r="A24" s="128">
        <v>45416</v>
      </c>
      <c r="B24" s="199" t="s">
        <v>17</v>
      </c>
      <c r="C24" s="123">
        <v>26363</v>
      </c>
      <c r="D24" s="123" t="s">
        <v>184</v>
      </c>
      <c r="E24" s="200" t="str">
        <f>IF(Assem[[#This Row],[Total]]&gt;0,"Running","Down")</f>
        <v>Running</v>
      </c>
      <c r="F24" s="201">
        <v>1505</v>
      </c>
      <c r="G24" s="201">
        <v>3397</v>
      </c>
      <c r="H24" s="201">
        <v>3258</v>
      </c>
      <c r="I24" s="201">
        <f>SUM(Assem[[#This Row],[S1Qty]],Assem[[#This Row],[S2Qty]],Assem[[#This Row],[S3Qty]])</f>
        <v>8160</v>
      </c>
      <c r="J24" s="142" t="s">
        <v>234</v>
      </c>
    </row>
    <row r="25" spans="1:10" x14ac:dyDescent="0.2">
      <c r="A25" s="128">
        <v>45416</v>
      </c>
      <c r="B25" s="199" t="s">
        <v>18</v>
      </c>
      <c r="C25" s="123">
        <v>26363</v>
      </c>
      <c r="D25" s="123" t="s">
        <v>184</v>
      </c>
      <c r="E25" s="200" t="str">
        <f>IF(Assem[[#This Row],[Total]]&gt;0,"Running","Down")</f>
        <v>Running</v>
      </c>
      <c r="F25" s="201">
        <v>0</v>
      </c>
      <c r="G25" s="201">
        <v>2253</v>
      </c>
      <c r="H25" s="201">
        <v>910</v>
      </c>
      <c r="I25" s="201">
        <f>SUM(Assem[[#This Row],[S1Qty]],Assem[[#This Row],[S2Qty]],Assem[[#This Row],[S3Qty]])</f>
        <v>3163</v>
      </c>
      <c r="J25" s="142"/>
    </row>
    <row r="26" spans="1:10" x14ac:dyDescent="0.2">
      <c r="A26" s="128">
        <v>45416</v>
      </c>
      <c r="B26" s="199" t="s">
        <v>19</v>
      </c>
      <c r="C26" s="123">
        <v>26363</v>
      </c>
      <c r="D26" s="123" t="s">
        <v>184</v>
      </c>
      <c r="E26" s="200" t="str">
        <f>IF(Assem[[#This Row],[Total]]&gt;0,"Running","Down")</f>
        <v>Running</v>
      </c>
      <c r="F26" s="201">
        <v>0</v>
      </c>
      <c r="G26" s="201">
        <v>3613</v>
      </c>
      <c r="H26" s="201">
        <v>0</v>
      </c>
      <c r="I26" s="201">
        <f>SUM(Assem[[#This Row],[S1Qty]],Assem[[#This Row],[S2Qty]],Assem[[#This Row],[S3Qty]])</f>
        <v>3613</v>
      </c>
      <c r="J26" s="142"/>
    </row>
    <row r="27" spans="1:10" x14ac:dyDescent="0.2">
      <c r="A27" s="128">
        <v>45416</v>
      </c>
      <c r="B27" s="199" t="s">
        <v>20</v>
      </c>
      <c r="C27" s="123" t="s">
        <v>209</v>
      </c>
      <c r="D27" s="123" t="s">
        <v>184</v>
      </c>
      <c r="E27" s="200" t="str">
        <f>IF(Assem[[#This Row],[Total]]&gt;0,"Running","Down")</f>
        <v>Running</v>
      </c>
      <c r="F27" s="201">
        <v>3251</v>
      </c>
      <c r="G27" s="201">
        <v>3210</v>
      </c>
      <c r="H27" s="201">
        <v>3305</v>
      </c>
      <c r="I27" s="201">
        <f>SUM(Assem[[#This Row],[S1Qty]],Assem[[#This Row],[S2Qty]],Assem[[#This Row],[S3Qty]])</f>
        <v>9766</v>
      </c>
      <c r="J27" s="142" t="s">
        <v>221</v>
      </c>
    </row>
    <row r="28" spans="1:10" x14ac:dyDescent="0.2">
      <c r="A28" s="128">
        <v>45416</v>
      </c>
      <c r="B28" s="199" t="s">
        <v>21</v>
      </c>
      <c r="C28" s="123" t="s">
        <v>209</v>
      </c>
      <c r="D28" s="123" t="s">
        <v>184</v>
      </c>
      <c r="E28" s="200" t="str">
        <f>IF(Assem[[#This Row],[Total]]&gt;0,"Running","Down")</f>
        <v>Running</v>
      </c>
      <c r="F28" s="201">
        <v>3202</v>
      </c>
      <c r="G28" s="201">
        <v>3205</v>
      </c>
      <c r="H28" s="201">
        <v>2409</v>
      </c>
      <c r="I28" s="201">
        <f>SUM(Assem[[#This Row],[S1Qty]],Assem[[#This Row],[S2Qty]],Assem[[#This Row],[S3Qty]])</f>
        <v>8816</v>
      </c>
      <c r="J28" s="142"/>
    </row>
    <row r="29" spans="1:10" x14ac:dyDescent="0.2">
      <c r="A29" s="128">
        <v>45416</v>
      </c>
      <c r="B29" s="199" t="s">
        <v>22</v>
      </c>
      <c r="C29" s="123" t="s">
        <v>209</v>
      </c>
      <c r="D29" s="123" t="s">
        <v>184</v>
      </c>
      <c r="E29" s="200" t="str">
        <f>IF(Assem[[#This Row],[Total]]&gt;0,"Running","Down")</f>
        <v>Running</v>
      </c>
      <c r="F29" s="201">
        <v>3213</v>
      </c>
      <c r="G29" s="201">
        <v>3220</v>
      </c>
      <c r="H29" s="201">
        <v>3407</v>
      </c>
      <c r="I29" s="201">
        <f>SUM(Assem[[#This Row],[S1Qty]],Assem[[#This Row],[S2Qty]],Assem[[#This Row],[S3Qty]])</f>
        <v>9840</v>
      </c>
      <c r="J29" s="142"/>
    </row>
    <row r="30" spans="1:10" x14ac:dyDescent="0.2">
      <c r="A30" s="128">
        <v>45417</v>
      </c>
      <c r="B30" s="199" t="s">
        <v>17</v>
      </c>
      <c r="C30" s="123">
        <v>26363</v>
      </c>
      <c r="D30" s="123" t="s">
        <v>184</v>
      </c>
      <c r="E30" s="200" t="str">
        <f>IF(Assem[[#This Row],[Total]]&gt;0,"Running","Down")</f>
        <v>Running</v>
      </c>
      <c r="F30" s="201">
        <v>3559</v>
      </c>
      <c r="G30" s="201">
        <v>3456</v>
      </c>
      <c r="H30" s="201">
        <v>3281</v>
      </c>
      <c r="I30" s="201">
        <f>SUM(Assem[[#This Row],[S1Qty]],Assem[[#This Row],[S2Qty]],Assem[[#This Row],[S3Qty]])</f>
        <v>10296</v>
      </c>
      <c r="J30" s="142" t="s">
        <v>233</v>
      </c>
    </row>
    <row r="31" spans="1:10" x14ac:dyDescent="0.2">
      <c r="A31" s="128">
        <v>45417</v>
      </c>
      <c r="B31" s="199" t="s">
        <v>18</v>
      </c>
      <c r="C31" s="123">
        <v>26363</v>
      </c>
      <c r="D31" s="123" t="s">
        <v>184</v>
      </c>
      <c r="E31" s="200" t="str">
        <f>IF(Assem[[#This Row],[Total]]&gt;0,"Running","Down")</f>
        <v>Running</v>
      </c>
      <c r="F31" s="201">
        <v>0</v>
      </c>
      <c r="G31" s="201">
        <v>2522</v>
      </c>
      <c r="H31" s="201">
        <v>2322</v>
      </c>
      <c r="I31" s="201">
        <f>SUM(Assem[[#This Row],[S1Qty]],Assem[[#This Row],[S2Qty]],Assem[[#This Row],[S3Qty]])</f>
        <v>4844</v>
      </c>
      <c r="J31" s="142"/>
    </row>
    <row r="32" spans="1:10" x14ac:dyDescent="0.2">
      <c r="A32" s="128">
        <v>45417</v>
      </c>
      <c r="B32" s="199" t="s">
        <v>19</v>
      </c>
      <c r="C32" s="123">
        <v>26363</v>
      </c>
      <c r="D32" s="123" t="s">
        <v>184</v>
      </c>
      <c r="E32" s="200" t="str">
        <f>IF(Assem[[#This Row],[Total]]&gt;0,"Running","Down")</f>
        <v>Running</v>
      </c>
      <c r="F32" s="201">
        <v>3216</v>
      </c>
      <c r="G32" s="201">
        <v>3674</v>
      </c>
      <c r="H32" s="201">
        <v>0</v>
      </c>
      <c r="I32" s="201">
        <f>SUM(Assem[[#This Row],[S1Qty]],Assem[[#This Row],[S2Qty]],Assem[[#This Row],[S3Qty]])</f>
        <v>6890</v>
      </c>
      <c r="J32" s="142"/>
    </row>
    <row r="33" spans="1:10" x14ac:dyDescent="0.2">
      <c r="A33" s="128">
        <v>45417</v>
      </c>
      <c r="B33" s="199" t="s">
        <v>20</v>
      </c>
      <c r="C33" s="123" t="s">
        <v>209</v>
      </c>
      <c r="D33" s="123" t="s">
        <v>184</v>
      </c>
      <c r="E33" s="200" t="str">
        <f>IF(Assem[[#This Row],[Total]]&gt;0,"Running","Down")</f>
        <v>Running</v>
      </c>
      <c r="F33" s="201">
        <v>0</v>
      </c>
      <c r="G33" s="201">
        <v>3457</v>
      </c>
      <c r="H33" s="201">
        <v>3352</v>
      </c>
      <c r="I33" s="201">
        <f>SUM(Assem[[#This Row],[S1Qty]],Assem[[#This Row],[S2Qty]],Assem[[#This Row],[S3Qty]])</f>
        <v>6809</v>
      </c>
      <c r="J33" s="142" t="s">
        <v>221</v>
      </c>
    </row>
    <row r="34" spans="1:10" x14ac:dyDescent="0.2">
      <c r="A34" s="128">
        <v>45417</v>
      </c>
      <c r="B34" s="199" t="s">
        <v>21</v>
      </c>
      <c r="C34" s="123" t="s">
        <v>209</v>
      </c>
      <c r="D34" s="123" t="s">
        <v>184</v>
      </c>
      <c r="E34" s="200" t="str">
        <f>IF(Assem[[#This Row],[Total]]&gt;0,"Running","Down")</f>
        <v>Running</v>
      </c>
      <c r="F34" s="201">
        <v>3250</v>
      </c>
      <c r="G34" s="201">
        <v>2816</v>
      </c>
      <c r="H34" s="201">
        <v>0</v>
      </c>
      <c r="I34" s="201">
        <f>SUM(Assem[[#This Row],[S1Qty]],Assem[[#This Row],[S2Qty]],Assem[[#This Row],[S3Qty]])</f>
        <v>6066</v>
      </c>
      <c r="J34" s="142"/>
    </row>
    <row r="35" spans="1:10" x14ac:dyDescent="0.2">
      <c r="A35" s="128">
        <v>45417</v>
      </c>
      <c r="B35" s="199" t="s">
        <v>22</v>
      </c>
      <c r="C35" s="123" t="s">
        <v>209</v>
      </c>
      <c r="D35" s="123" t="s">
        <v>184</v>
      </c>
      <c r="E35" s="200" t="str">
        <f>IF(Assem[[#This Row],[Total]]&gt;0,"Running","Down")</f>
        <v>Running</v>
      </c>
      <c r="F35" s="201">
        <v>3220</v>
      </c>
      <c r="G35" s="201">
        <v>3455</v>
      </c>
      <c r="H35" s="201">
        <v>3327</v>
      </c>
      <c r="I35" s="201">
        <f>SUM(Assem[[#This Row],[S1Qty]],Assem[[#This Row],[S2Qty]],Assem[[#This Row],[S3Qty]])</f>
        <v>10002</v>
      </c>
      <c r="J35" s="142"/>
    </row>
    <row r="36" spans="1:10" x14ac:dyDescent="0.2">
      <c r="A36" s="128">
        <v>45418</v>
      </c>
      <c r="B36" s="199" t="s">
        <v>17</v>
      </c>
      <c r="C36" s="123">
        <v>27203</v>
      </c>
      <c r="D36" s="123" t="s">
        <v>184</v>
      </c>
      <c r="E36" s="200" t="str">
        <f>IF(Assem[[#This Row],[Total]]&gt;0,"Running","Down")</f>
        <v>Running</v>
      </c>
      <c r="F36" s="201">
        <v>3572</v>
      </c>
      <c r="G36" s="201">
        <v>3447</v>
      </c>
      <c r="H36" s="201">
        <v>3133</v>
      </c>
      <c r="I36" s="201">
        <f>SUM(Assem[[#This Row],[S1Qty]],Assem[[#This Row],[S2Qty]],Assem[[#This Row],[S3Qty]])</f>
        <v>10152</v>
      </c>
      <c r="J36" s="142" t="s">
        <v>240</v>
      </c>
    </row>
    <row r="37" spans="1:10" x14ac:dyDescent="0.2">
      <c r="A37" s="128">
        <v>45418</v>
      </c>
      <c r="B37" s="199" t="s">
        <v>18</v>
      </c>
      <c r="C37" s="123">
        <v>27203</v>
      </c>
      <c r="D37" s="123" t="s">
        <v>184</v>
      </c>
      <c r="E37" s="200" t="str">
        <f>IF(Assem[[#This Row],[Total]]&gt;0,"Running","Down")</f>
        <v>Running</v>
      </c>
      <c r="F37" s="201">
        <v>3385</v>
      </c>
      <c r="G37" s="201">
        <v>3469</v>
      </c>
      <c r="H37" s="201">
        <v>3294</v>
      </c>
      <c r="I37" s="201">
        <f>SUM(Assem[[#This Row],[S1Qty]],Assem[[#This Row],[S2Qty]],Assem[[#This Row],[S3Qty]])</f>
        <v>10148</v>
      </c>
      <c r="J37" s="142"/>
    </row>
    <row r="38" spans="1:10" x14ac:dyDescent="0.2">
      <c r="A38" s="128">
        <v>45418</v>
      </c>
      <c r="B38" s="199" t="s">
        <v>19</v>
      </c>
      <c r="C38" s="123">
        <v>27203</v>
      </c>
      <c r="D38" s="123" t="s">
        <v>184</v>
      </c>
      <c r="E38" s="200" t="str">
        <f>IF(Assem[[#This Row],[Total]]&gt;0,"Running","Down")</f>
        <v>Running</v>
      </c>
      <c r="F38" s="201">
        <v>3220</v>
      </c>
      <c r="G38" s="201">
        <v>3623</v>
      </c>
      <c r="H38" s="201">
        <v>3300</v>
      </c>
      <c r="I38" s="201">
        <f>SUM(Assem[[#This Row],[S1Qty]],Assem[[#This Row],[S2Qty]],Assem[[#This Row],[S3Qty]])</f>
        <v>10143</v>
      </c>
      <c r="J38" s="142"/>
    </row>
    <row r="39" spans="1:10" x14ac:dyDescent="0.2">
      <c r="A39" s="128">
        <v>45418</v>
      </c>
      <c r="B39" s="199" t="s">
        <v>20</v>
      </c>
      <c r="C39" s="123" t="s">
        <v>229</v>
      </c>
      <c r="D39" s="123" t="s">
        <v>184</v>
      </c>
      <c r="E39" s="200" t="str">
        <f>IF(Assem[[#This Row],[Total]]&gt;0,"Running","Down")</f>
        <v>Running</v>
      </c>
      <c r="F39" s="201">
        <v>0</v>
      </c>
      <c r="G39" s="201">
        <v>3031</v>
      </c>
      <c r="H39" s="201">
        <v>3341</v>
      </c>
      <c r="I39" s="201">
        <f>SUM(Assem[[#This Row],[S1Qty]],Assem[[#This Row],[S2Qty]],Assem[[#This Row],[S3Qty]])</f>
        <v>6372</v>
      </c>
      <c r="J39" s="142"/>
    </row>
    <row r="40" spans="1:10" x14ac:dyDescent="0.2">
      <c r="A40" s="128">
        <v>45418</v>
      </c>
      <c r="B40" s="199" t="s">
        <v>21</v>
      </c>
      <c r="C40" s="123" t="s">
        <v>229</v>
      </c>
      <c r="D40" s="123" t="s">
        <v>184</v>
      </c>
      <c r="E40" s="200" t="str">
        <f>IF(Assem[[#This Row],[Total]]&gt;0,"Running","Down")</f>
        <v>Running</v>
      </c>
      <c r="F40" s="201">
        <v>0</v>
      </c>
      <c r="G40" s="201">
        <v>3039</v>
      </c>
      <c r="H40" s="201">
        <v>3323</v>
      </c>
      <c r="I40" s="201">
        <f>SUM(Assem[[#This Row],[S1Qty]],Assem[[#This Row],[S2Qty]],Assem[[#This Row],[S3Qty]])</f>
        <v>6362</v>
      </c>
      <c r="J40" s="142"/>
    </row>
    <row r="41" spans="1:10" x14ac:dyDescent="0.2">
      <c r="A41" s="128">
        <v>45418</v>
      </c>
      <c r="B41" s="199" t="s">
        <v>22</v>
      </c>
      <c r="C41" s="123" t="s">
        <v>229</v>
      </c>
      <c r="D41" s="123" t="s">
        <v>184</v>
      </c>
      <c r="E41" s="200" t="str">
        <f>IF(Assem[[#This Row],[Total]]&gt;0,"Running","Down")</f>
        <v>Running</v>
      </c>
      <c r="F41" s="201">
        <v>1268</v>
      </c>
      <c r="G41" s="201">
        <v>3036</v>
      </c>
      <c r="H41" s="201">
        <v>0</v>
      </c>
      <c r="I41" s="201">
        <f>SUM(Assem[[#This Row],[S1Qty]],Assem[[#This Row],[S2Qty]],Assem[[#This Row],[S3Qty]])</f>
        <v>4304</v>
      </c>
      <c r="J41" s="142" t="s">
        <v>241</v>
      </c>
    </row>
    <row r="42" spans="1:10" x14ac:dyDescent="0.2">
      <c r="A42" s="128">
        <v>45419</v>
      </c>
      <c r="B42" s="199" t="s">
        <v>17</v>
      </c>
      <c r="C42" s="123">
        <v>27203</v>
      </c>
      <c r="D42" s="123" t="s">
        <v>184</v>
      </c>
      <c r="E42" s="200" t="str">
        <f>IF(Assem[[#This Row],[Total]]&gt;0,"Running","Down")</f>
        <v>Running</v>
      </c>
      <c r="F42" s="201">
        <v>2690</v>
      </c>
      <c r="G42" s="201">
        <v>3710</v>
      </c>
      <c r="H42" s="201">
        <v>3412</v>
      </c>
      <c r="I42" s="201">
        <f>SUM(Assem[[#This Row],[S1Qty]],Assem[[#This Row],[S2Qty]],Assem[[#This Row],[S3Qty]])</f>
        <v>9812</v>
      </c>
      <c r="J42" s="142"/>
    </row>
    <row r="43" spans="1:10" x14ac:dyDescent="0.2">
      <c r="A43" s="128">
        <v>45419</v>
      </c>
      <c r="B43" s="199" t="s">
        <v>18</v>
      </c>
      <c r="C43" s="123">
        <v>27203</v>
      </c>
      <c r="D43" s="123" t="s">
        <v>184</v>
      </c>
      <c r="E43" s="200" t="str">
        <f>IF(Assem[[#This Row],[Total]]&gt;0,"Running","Down")</f>
        <v>Running</v>
      </c>
      <c r="F43" s="201">
        <v>2665</v>
      </c>
      <c r="G43" s="201">
        <v>3653</v>
      </c>
      <c r="H43" s="201">
        <v>2289</v>
      </c>
      <c r="I43" s="201">
        <f>SUM(Assem[[#This Row],[S1Qty]],Assem[[#This Row],[S2Qty]],Assem[[#This Row],[S3Qty]])</f>
        <v>8607</v>
      </c>
      <c r="J43" s="142" t="s">
        <v>247</v>
      </c>
    </row>
    <row r="44" spans="1:10" x14ac:dyDescent="0.2">
      <c r="A44" s="128">
        <v>45419</v>
      </c>
      <c r="B44" s="199" t="s">
        <v>19</v>
      </c>
      <c r="C44" s="123">
        <v>27203</v>
      </c>
      <c r="D44" s="123" t="s">
        <v>184</v>
      </c>
      <c r="E44" s="200" t="str">
        <f>IF(Assem[[#This Row],[Total]]&gt;0,"Running","Down")</f>
        <v>Running</v>
      </c>
      <c r="F44" s="201">
        <v>3212</v>
      </c>
      <c r="G44" s="201">
        <v>4073</v>
      </c>
      <c r="H44" s="201">
        <v>3467</v>
      </c>
      <c r="I44" s="201">
        <f>SUM(Assem[[#This Row],[S1Qty]],Assem[[#This Row],[S2Qty]],Assem[[#This Row],[S3Qty]])</f>
        <v>10752</v>
      </c>
      <c r="J44" s="142"/>
    </row>
    <row r="45" spans="1:10" x14ac:dyDescent="0.2">
      <c r="A45" s="128">
        <v>45419</v>
      </c>
      <c r="B45" s="199" t="s">
        <v>20</v>
      </c>
      <c r="C45" s="123" t="s">
        <v>229</v>
      </c>
      <c r="D45" s="123" t="s">
        <v>184</v>
      </c>
      <c r="E45" s="200" t="str">
        <f>IF(Assem[[#This Row],[Total]]&gt;0,"Running","Down")</f>
        <v>Running</v>
      </c>
      <c r="F45" s="201">
        <v>2640</v>
      </c>
      <c r="G45" s="201">
        <v>3260</v>
      </c>
      <c r="H45" s="201">
        <v>3229</v>
      </c>
      <c r="I45" s="201">
        <f>SUM(Assem[[#This Row],[S1Qty]],Assem[[#This Row],[S2Qty]],Assem[[#This Row],[S3Qty]])</f>
        <v>9129</v>
      </c>
      <c r="J45" s="142" t="s">
        <v>246</v>
      </c>
    </row>
    <row r="46" spans="1:10" x14ac:dyDescent="0.2">
      <c r="A46" s="128">
        <v>45419</v>
      </c>
      <c r="B46" s="199" t="s">
        <v>21</v>
      </c>
      <c r="C46" s="123" t="s">
        <v>229</v>
      </c>
      <c r="D46" s="123" t="s">
        <v>184</v>
      </c>
      <c r="E46" s="200" t="str">
        <f>IF(Assem[[#This Row],[Total]]&gt;0,"Running","Down")</f>
        <v>Running</v>
      </c>
      <c r="F46" s="201">
        <v>3230</v>
      </c>
      <c r="G46" s="201">
        <v>3348</v>
      </c>
      <c r="H46" s="201">
        <v>3209</v>
      </c>
      <c r="I46" s="201">
        <f>SUM(Assem[[#This Row],[S1Qty]],Assem[[#This Row],[S2Qty]],Assem[[#This Row],[S3Qty]])</f>
        <v>9787</v>
      </c>
      <c r="J46" s="142"/>
    </row>
    <row r="47" spans="1:10" x14ac:dyDescent="0.2">
      <c r="A47" s="128">
        <v>45419</v>
      </c>
      <c r="B47" s="199" t="s">
        <v>22</v>
      </c>
      <c r="C47" s="123" t="s">
        <v>229</v>
      </c>
      <c r="D47" s="123" t="s">
        <v>184</v>
      </c>
      <c r="E47" s="200" t="str">
        <f>IF(Assem[[#This Row],[Total]]&gt;0,"Running","Down")</f>
        <v>Running</v>
      </c>
      <c r="F47" s="201">
        <v>3108</v>
      </c>
      <c r="G47" s="201">
        <v>3370</v>
      </c>
      <c r="H47" s="201">
        <v>2306</v>
      </c>
      <c r="I47" s="201">
        <f>SUM(Assem[[#This Row],[S1Qty]],Assem[[#This Row],[S2Qty]],Assem[[#This Row],[S3Qty]])</f>
        <v>8784</v>
      </c>
      <c r="J47" s="142" t="s">
        <v>248</v>
      </c>
    </row>
    <row r="48" spans="1:10" x14ac:dyDescent="0.2">
      <c r="A48" s="128">
        <v>45420</v>
      </c>
      <c r="B48" s="199" t="s">
        <v>17</v>
      </c>
      <c r="C48" s="123" t="s">
        <v>237</v>
      </c>
      <c r="D48" s="123" t="s">
        <v>184</v>
      </c>
      <c r="E48" s="200" t="str">
        <f>IF(Assem[[#This Row],[Total]]&gt;0,"Running","Down")</f>
        <v>Running</v>
      </c>
      <c r="F48" s="201">
        <v>3350</v>
      </c>
      <c r="G48" s="201">
        <v>4047</v>
      </c>
      <c r="H48" s="201">
        <v>4069</v>
      </c>
      <c r="I48" s="201">
        <f>SUM(Assem[[#This Row],[S1Qty]],Assem[[#This Row],[S2Qty]],Assem[[#This Row],[S3Qty]])</f>
        <v>11466</v>
      </c>
      <c r="J48" s="142" t="s">
        <v>253</v>
      </c>
    </row>
    <row r="49" spans="1:10" x14ac:dyDescent="0.2">
      <c r="A49" s="128">
        <v>45420</v>
      </c>
      <c r="B49" s="199" t="s">
        <v>18</v>
      </c>
      <c r="C49" s="123" t="s">
        <v>237</v>
      </c>
      <c r="D49" s="123" t="s">
        <v>184</v>
      </c>
      <c r="E49" s="200" t="str">
        <f>IF(Assem[[#This Row],[Total]]&gt;0,"Running","Down")</f>
        <v>Running</v>
      </c>
      <c r="F49" s="201">
        <v>3365</v>
      </c>
      <c r="G49" s="201">
        <v>3840</v>
      </c>
      <c r="H49" s="201">
        <v>4064</v>
      </c>
      <c r="I49" s="201">
        <f>SUM(Assem[[#This Row],[S1Qty]],Assem[[#This Row],[S2Qty]],Assem[[#This Row],[S3Qty]])</f>
        <v>11269</v>
      </c>
      <c r="J49" s="142"/>
    </row>
    <row r="50" spans="1:10" x14ac:dyDescent="0.2">
      <c r="A50" s="128">
        <v>45420</v>
      </c>
      <c r="B50" s="199" t="s">
        <v>19</v>
      </c>
      <c r="C50" s="123" t="s">
        <v>237</v>
      </c>
      <c r="D50" s="123" t="s">
        <v>184</v>
      </c>
      <c r="E50" s="200" t="str">
        <f>IF(Assem[[#This Row],[Total]]&gt;0,"Running","Down")</f>
        <v>Running</v>
      </c>
      <c r="F50" s="201">
        <v>3226</v>
      </c>
      <c r="G50" s="201">
        <v>3801</v>
      </c>
      <c r="H50" s="201">
        <v>4094</v>
      </c>
      <c r="I50" s="201">
        <f>SUM(Assem[[#This Row],[S1Qty]],Assem[[#This Row],[S2Qty]],Assem[[#This Row],[S3Qty]])</f>
        <v>11121</v>
      </c>
      <c r="J50" s="142"/>
    </row>
    <row r="51" spans="1:10" x14ac:dyDescent="0.2">
      <c r="A51" s="128">
        <v>45420</v>
      </c>
      <c r="B51" s="199" t="s">
        <v>20</v>
      </c>
      <c r="C51" s="123" t="s">
        <v>229</v>
      </c>
      <c r="D51" s="123" t="s">
        <v>184</v>
      </c>
      <c r="E51" s="200" t="str">
        <f>IF(Assem[[#This Row],[Total]]&gt;0,"Running","Down")</f>
        <v>Running</v>
      </c>
      <c r="F51" s="201">
        <v>1922</v>
      </c>
      <c r="G51" s="201">
        <v>3205</v>
      </c>
      <c r="H51" s="201">
        <v>3420</v>
      </c>
      <c r="I51" s="201">
        <f>SUM(Assem[[#This Row],[S1Qty]],Assem[[#This Row],[S2Qty]],Assem[[#This Row],[S3Qty]])</f>
        <v>8547</v>
      </c>
      <c r="J51" s="142" t="s">
        <v>255</v>
      </c>
    </row>
    <row r="52" spans="1:10" x14ac:dyDescent="0.2">
      <c r="A52" s="128">
        <v>45420</v>
      </c>
      <c r="B52" s="199" t="s">
        <v>21</v>
      </c>
      <c r="C52" s="123" t="s">
        <v>229</v>
      </c>
      <c r="D52" s="123" t="s">
        <v>184</v>
      </c>
      <c r="E52" s="200" t="str">
        <f>IF(Assem[[#This Row],[Total]]&gt;0,"Running","Down")</f>
        <v>Running</v>
      </c>
      <c r="F52" s="201">
        <v>3100</v>
      </c>
      <c r="G52" s="201">
        <v>3259</v>
      </c>
      <c r="H52" s="201">
        <v>3423</v>
      </c>
      <c r="I52" s="201">
        <f>SUM(Assem[[#This Row],[S1Qty]],Assem[[#This Row],[S2Qty]],Assem[[#This Row],[S3Qty]])</f>
        <v>9782</v>
      </c>
      <c r="J52" s="142" t="s">
        <v>254</v>
      </c>
    </row>
    <row r="53" spans="1:10" x14ac:dyDescent="0.2">
      <c r="A53" s="128">
        <v>45420</v>
      </c>
      <c r="B53" s="199" t="s">
        <v>22</v>
      </c>
      <c r="C53" s="123" t="s">
        <v>229</v>
      </c>
      <c r="D53" s="123" t="s">
        <v>184</v>
      </c>
      <c r="E53" s="200" t="str">
        <f>IF(Assem[[#This Row],[Total]]&gt;0,"Running","Down")</f>
        <v>Running</v>
      </c>
      <c r="F53" s="201">
        <v>3070</v>
      </c>
      <c r="G53" s="201">
        <v>3103</v>
      </c>
      <c r="H53" s="201">
        <v>2125</v>
      </c>
      <c r="I53" s="201">
        <f>SUM(Assem[[#This Row],[S1Qty]],Assem[[#This Row],[S2Qty]],Assem[[#This Row],[S3Qty]])</f>
        <v>8298</v>
      </c>
      <c r="J53" s="142" t="s">
        <v>256</v>
      </c>
    </row>
    <row r="54" spans="1:10" x14ac:dyDescent="0.2">
      <c r="A54" s="128">
        <v>45421</v>
      </c>
      <c r="B54" s="199" t="s">
        <v>17</v>
      </c>
      <c r="C54" s="123">
        <v>26365</v>
      </c>
      <c r="D54" s="123" t="s">
        <v>184</v>
      </c>
      <c r="E54" s="200" t="str">
        <f>IF(Assem[[#This Row],[Total]]&gt;0,"Running","Down")</f>
        <v>Running</v>
      </c>
      <c r="F54" s="201">
        <v>3585</v>
      </c>
      <c r="G54" s="201">
        <v>3778</v>
      </c>
      <c r="H54" s="201">
        <v>3554</v>
      </c>
      <c r="I54" s="201">
        <f>SUM(Assem[[#This Row],[S1Qty]],Assem[[#This Row],[S2Qty]],Assem[[#This Row],[S3Qty]])</f>
        <v>10917</v>
      </c>
      <c r="J54" s="142" t="s">
        <v>257</v>
      </c>
    </row>
    <row r="55" spans="1:10" x14ac:dyDescent="0.2">
      <c r="A55" s="128">
        <v>45421</v>
      </c>
      <c r="B55" s="199" t="s">
        <v>18</v>
      </c>
      <c r="C55" s="123">
        <v>26365</v>
      </c>
      <c r="D55" s="123" t="s">
        <v>184</v>
      </c>
      <c r="E55" s="200" t="str">
        <f>IF(Assem[[#This Row],[Total]]&gt;0,"Running","Down")</f>
        <v>Running</v>
      </c>
      <c r="F55" s="201">
        <v>3015</v>
      </c>
      <c r="G55" s="201">
        <v>3832</v>
      </c>
      <c r="H55" s="201">
        <v>3564</v>
      </c>
      <c r="I55" s="201">
        <f>SUM(Assem[[#This Row],[S1Qty]],Assem[[#This Row],[S2Qty]],Assem[[#This Row],[S3Qty]])</f>
        <v>10411</v>
      </c>
      <c r="J55" s="142" t="s">
        <v>258</v>
      </c>
    </row>
    <row r="56" spans="1:10" x14ac:dyDescent="0.2">
      <c r="A56" s="128">
        <v>45421</v>
      </c>
      <c r="B56" s="199" t="s">
        <v>19</v>
      </c>
      <c r="C56" s="123">
        <v>26365</v>
      </c>
      <c r="D56" s="123" t="s">
        <v>184</v>
      </c>
      <c r="E56" s="200" t="str">
        <f>IF(Assem[[#This Row],[Total]]&gt;0,"Running","Down")</f>
        <v>Running</v>
      </c>
      <c r="F56" s="201">
        <v>3275</v>
      </c>
      <c r="G56" s="201">
        <v>4039</v>
      </c>
      <c r="H56" s="201">
        <v>3044</v>
      </c>
      <c r="I56" s="201">
        <f>SUM(Assem[[#This Row],[S1Qty]],Assem[[#This Row],[S2Qty]],Assem[[#This Row],[S3Qty]])</f>
        <v>10358</v>
      </c>
      <c r="J56" s="142" t="s">
        <v>260</v>
      </c>
    </row>
    <row r="57" spans="1:10" x14ac:dyDescent="0.2">
      <c r="A57" s="128">
        <v>45421</v>
      </c>
      <c r="B57" s="199" t="s">
        <v>20</v>
      </c>
      <c r="C57" s="123">
        <v>26365</v>
      </c>
      <c r="D57" s="123" t="s">
        <v>184</v>
      </c>
      <c r="E57" s="200" t="str">
        <f>IF(Assem[[#This Row],[Total]]&gt;0,"Running","Down")</f>
        <v>Running</v>
      </c>
      <c r="F57" s="201">
        <v>0</v>
      </c>
      <c r="G57" s="201">
        <v>4040</v>
      </c>
      <c r="H57" s="201">
        <v>2869</v>
      </c>
      <c r="I57" s="201">
        <f>SUM(Assem[[#This Row],[S1Qty]],Assem[[#This Row],[S2Qty]],Assem[[#This Row],[S3Qty]])</f>
        <v>6909</v>
      </c>
      <c r="J57" s="142"/>
    </row>
    <row r="58" spans="1:10" x14ac:dyDescent="0.2">
      <c r="A58" s="128">
        <v>45421</v>
      </c>
      <c r="B58" s="199" t="s">
        <v>20</v>
      </c>
      <c r="C58" s="123" t="s">
        <v>259</v>
      </c>
      <c r="D58" s="123" t="s">
        <v>184</v>
      </c>
      <c r="E58" s="200" t="str">
        <f>IF(Assem[[#This Row],[Total]]&gt;0,"Running","Down")</f>
        <v>Running</v>
      </c>
      <c r="F58" s="201">
        <v>3159</v>
      </c>
      <c r="G58" s="201">
        <v>0</v>
      </c>
      <c r="H58" s="201">
        <v>0</v>
      </c>
      <c r="I58" s="201">
        <f>SUM(Assem[[#This Row],[S1Qty]],Assem[[#This Row],[S2Qty]],Assem[[#This Row],[S3Qty]])</f>
        <v>3159</v>
      </c>
      <c r="J58" s="142" t="s">
        <v>261</v>
      </c>
    </row>
    <row r="59" spans="1:10" x14ac:dyDescent="0.2">
      <c r="A59" s="128">
        <v>45421</v>
      </c>
      <c r="B59" s="199" t="s">
        <v>21</v>
      </c>
      <c r="C59" s="123" t="s">
        <v>259</v>
      </c>
      <c r="D59" s="123" t="s">
        <v>184</v>
      </c>
      <c r="E59" s="200" t="str">
        <f>IF(Assem[[#This Row],[Total]]&gt;0,"Running","Down")</f>
        <v>Running</v>
      </c>
      <c r="F59" s="201">
        <v>3216</v>
      </c>
      <c r="G59" s="201">
        <v>3554</v>
      </c>
      <c r="H59" s="201">
        <v>3411</v>
      </c>
      <c r="I59" s="201">
        <f>SUM(Assem[[#This Row],[S1Qty]],Assem[[#This Row],[S2Qty]],Assem[[#This Row],[S3Qty]])</f>
        <v>10181</v>
      </c>
      <c r="J59" s="142"/>
    </row>
    <row r="60" spans="1:10" x14ac:dyDescent="0.2">
      <c r="A60" s="128">
        <v>45421</v>
      </c>
      <c r="B60" s="199" t="s">
        <v>22</v>
      </c>
      <c r="C60" s="123" t="s">
        <v>259</v>
      </c>
      <c r="D60" s="123" t="s">
        <v>184</v>
      </c>
      <c r="E60" s="200" t="str">
        <f>IF(Assem[[#This Row],[Total]]&gt;0,"Running","Down")</f>
        <v>Running</v>
      </c>
      <c r="F60" s="201">
        <v>3036</v>
      </c>
      <c r="G60" s="201">
        <v>3503</v>
      </c>
      <c r="H60" s="201">
        <v>3450</v>
      </c>
      <c r="I60" s="201">
        <f>SUM(Assem[[#This Row],[S1Qty]],Assem[[#This Row],[S2Qty]],Assem[[#This Row],[S3Qty]])</f>
        <v>9989</v>
      </c>
      <c r="J60" s="142"/>
    </row>
    <row r="61" spans="1:10" x14ac:dyDescent="0.2">
      <c r="A61" s="128">
        <v>45422</v>
      </c>
      <c r="B61" s="203" t="s">
        <v>17</v>
      </c>
      <c r="C61" s="204">
        <v>27128</v>
      </c>
      <c r="D61" s="123" t="s">
        <v>184</v>
      </c>
      <c r="E61" s="205" t="str">
        <f>IF(Assem[[#This Row],[Total]]&gt;0,"Running","Down")</f>
        <v>Running</v>
      </c>
      <c r="F61" s="206">
        <v>0</v>
      </c>
      <c r="G61" s="206">
        <v>3973</v>
      </c>
      <c r="H61" s="206">
        <v>3292</v>
      </c>
      <c r="I61" s="206">
        <f>SUM(Assem[[#This Row],[S1Qty]],Assem[[#This Row],[S2Qty]],Assem[[#This Row],[S3Qty]])</f>
        <v>7265</v>
      </c>
      <c r="J61" s="142" t="s">
        <v>264</v>
      </c>
    </row>
    <row r="62" spans="1:10" x14ac:dyDescent="0.2">
      <c r="A62" s="128">
        <v>45422</v>
      </c>
      <c r="B62" s="203" t="s">
        <v>18</v>
      </c>
      <c r="C62" s="204">
        <v>27128</v>
      </c>
      <c r="D62" s="123" t="s">
        <v>184</v>
      </c>
      <c r="E62" s="205" t="str">
        <f>IF(Assem[[#This Row],[Total]]&gt;0,"Running","Down")</f>
        <v>Running</v>
      </c>
      <c r="F62" s="206">
        <v>0</v>
      </c>
      <c r="G62" s="206">
        <v>3969</v>
      </c>
      <c r="H62" s="206">
        <v>2308</v>
      </c>
      <c r="I62" s="206">
        <f>SUM(Assem[[#This Row],[S1Qty]],Assem[[#This Row],[S2Qty]],Assem[[#This Row],[S3Qty]])</f>
        <v>6277</v>
      </c>
      <c r="J62" s="142" t="s">
        <v>265</v>
      </c>
    </row>
    <row r="63" spans="1:10" x14ac:dyDescent="0.2">
      <c r="A63" s="128">
        <v>45422</v>
      </c>
      <c r="B63" s="203" t="s">
        <v>19</v>
      </c>
      <c r="C63" s="204">
        <v>27128</v>
      </c>
      <c r="D63" s="123" t="s">
        <v>184</v>
      </c>
      <c r="E63" s="205" t="str">
        <f>IF(Assem[[#This Row],[Total]]&gt;0,"Running","Down")</f>
        <v>Running</v>
      </c>
      <c r="F63" s="206">
        <v>0</v>
      </c>
      <c r="G63" s="206">
        <v>3970</v>
      </c>
      <c r="H63" s="206">
        <v>2284</v>
      </c>
      <c r="I63" s="206">
        <f>SUM(Assem[[#This Row],[S1Qty]],Assem[[#This Row],[S2Qty]],Assem[[#This Row],[S3Qty]])</f>
        <v>6254</v>
      </c>
      <c r="J63" s="142" t="s">
        <v>266</v>
      </c>
    </row>
    <row r="64" spans="1:10" x14ac:dyDescent="0.2">
      <c r="A64" s="128">
        <v>45422</v>
      </c>
      <c r="B64" s="203" t="s">
        <v>20</v>
      </c>
      <c r="C64" s="123" t="s">
        <v>267</v>
      </c>
      <c r="D64" s="123" t="s">
        <v>184</v>
      </c>
      <c r="E64" s="205" t="str">
        <f>IF(Assem[[#This Row],[Total]]&gt;0,"Running","Down")</f>
        <v>Running</v>
      </c>
      <c r="F64" s="206">
        <v>3345</v>
      </c>
      <c r="G64" s="206">
        <v>3535</v>
      </c>
      <c r="H64" s="206">
        <v>3394</v>
      </c>
      <c r="I64" s="206">
        <f>SUM(Assem[[#This Row],[S1Qty]],Assem[[#This Row],[S2Qty]],Assem[[#This Row],[S3Qty]])</f>
        <v>10274</v>
      </c>
      <c r="J64" s="142" t="s">
        <v>268</v>
      </c>
    </row>
    <row r="65" spans="1:10" x14ac:dyDescent="0.2">
      <c r="A65" s="128">
        <v>45422</v>
      </c>
      <c r="B65" s="203" t="s">
        <v>21</v>
      </c>
      <c r="C65" s="123" t="s">
        <v>267</v>
      </c>
      <c r="D65" s="123" t="s">
        <v>184</v>
      </c>
      <c r="E65" s="205" t="str">
        <f>IF(Assem[[#This Row],[Total]]&gt;0,"Running","Down")</f>
        <v>Running</v>
      </c>
      <c r="F65" s="206">
        <v>3200</v>
      </c>
      <c r="G65" s="206">
        <v>3528</v>
      </c>
      <c r="H65" s="206">
        <v>3385</v>
      </c>
      <c r="I65" s="206">
        <f>SUM(Assem[[#This Row],[S1Qty]],Assem[[#This Row],[S2Qty]],Assem[[#This Row],[S3Qty]])</f>
        <v>10113</v>
      </c>
      <c r="J65" s="207"/>
    </row>
    <row r="66" spans="1:10" x14ac:dyDescent="0.2">
      <c r="A66" s="128">
        <v>45422</v>
      </c>
      <c r="B66" s="203" t="s">
        <v>22</v>
      </c>
      <c r="C66" s="123" t="s">
        <v>267</v>
      </c>
      <c r="D66" s="123" t="s">
        <v>184</v>
      </c>
      <c r="E66" s="205" t="str">
        <f>IF(Assem[[#This Row],[Total]]&gt;0,"Running","Down")</f>
        <v>Running</v>
      </c>
      <c r="F66" s="206">
        <v>3220</v>
      </c>
      <c r="G66" s="206">
        <v>3530</v>
      </c>
      <c r="H66" s="206">
        <v>3375</v>
      </c>
      <c r="I66" s="206">
        <f>SUM(Assem[[#This Row],[S1Qty]],Assem[[#This Row],[S2Qty]],Assem[[#This Row],[S3Qty]])</f>
        <v>10125</v>
      </c>
      <c r="J66" s="207"/>
    </row>
    <row r="67" spans="1:10" hidden="1" x14ac:dyDescent="0.2">
      <c r="A67" s="128">
        <v>45423</v>
      </c>
      <c r="B67" s="296" t="s">
        <v>17</v>
      </c>
      <c r="C67" s="297"/>
      <c r="D67" s="297"/>
      <c r="E67" s="298" t="str">
        <f>IF(Assem[[#This Row],[Total]]&gt;0,"Running","Down")</f>
        <v>Down</v>
      </c>
      <c r="F67" s="299">
        <v>0</v>
      </c>
      <c r="G67" s="299">
        <v>0</v>
      </c>
      <c r="H67" s="299">
        <v>0</v>
      </c>
      <c r="I67" s="299">
        <f>SUM(Assem[[#This Row],[S1Qty]],Assem[[#This Row],[S2Qty]],Assem[[#This Row],[S3Qty]])</f>
        <v>0</v>
      </c>
      <c r="J67" s="300"/>
    </row>
    <row r="68" spans="1:10" hidden="1" x14ac:dyDescent="0.2">
      <c r="A68" s="128">
        <v>45423</v>
      </c>
      <c r="B68" s="296" t="s">
        <v>18</v>
      </c>
      <c r="C68" s="297"/>
      <c r="D68" s="297"/>
      <c r="E68" s="298" t="str">
        <f>IF(Assem[[#This Row],[Total]]&gt;0,"Running","Down")</f>
        <v>Down</v>
      </c>
      <c r="F68" s="299">
        <v>0</v>
      </c>
      <c r="G68" s="299">
        <v>0</v>
      </c>
      <c r="H68" s="299">
        <v>0</v>
      </c>
      <c r="I68" s="299">
        <f>SUM(Assem[[#This Row],[S1Qty]],Assem[[#This Row],[S2Qty]],Assem[[#This Row],[S3Qty]])</f>
        <v>0</v>
      </c>
      <c r="J68" s="300"/>
    </row>
    <row r="69" spans="1:10" hidden="1" x14ac:dyDescent="0.2">
      <c r="A69" s="128">
        <v>45423</v>
      </c>
      <c r="B69" s="296" t="s">
        <v>19</v>
      </c>
      <c r="C69" s="297"/>
      <c r="D69" s="297"/>
      <c r="E69" s="298" t="str">
        <f>IF(Assem[[#This Row],[Total]]&gt;0,"Running","Down")</f>
        <v>Down</v>
      </c>
      <c r="F69" s="299">
        <v>0</v>
      </c>
      <c r="G69" s="299">
        <v>0</v>
      </c>
      <c r="H69" s="299">
        <v>0</v>
      </c>
      <c r="I69" s="299">
        <f>SUM(Assem[[#This Row],[S1Qty]],Assem[[#This Row],[S2Qty]],Assem[[#This Row],[S3Qty]])</f>
        <v>0</v>
      </c>
      <c r="J69" s="300"/>
    </row>
    <row r="70" spans="1:10" hidden="1" x14ac:dyDescent="0.2">
      <c r="A70" s="128">
        <v>45423</v>
      </c>
      <c r="B70" s="296" t="s">
        <v>20</v>
      </c>
      <c r="C70" s="297"/>
      <c r="D70" s="297"/>
      <c r="E70" s="298" t="str">
        <f>IF(Assem[[#This Row],[Total]]&gt;0,"Running","Down")</f>
        <v>Down</v>
      </c>
      <c r="F70" s="299">
        <v>0</v>
      </c>
      <c r="G70" s="299">
        <v>0</v>
      </c>
      <c r="H70" s="299">
        <v>0</v>
      </c>
      <c r="I70" s="299">
        <f>SUM(Assem[[#This Row],[S1Qty]],Assem[[#This Row],[S2Qty]],Assem[[#This Row],[S3Qty]])</f>
        <v>0</v>
      </c>
      <c r="J70" s="300"/>
    </row>
    <row r="71" spans="1:10" hidden="1" x14ac:dyDescent="0.2">
      <c r="A71" s="128">
        <v>45423</v>
      </c>
      <c r="B71" s="296" t="s">
        <v>21</v>
      </c>
      <c r="C71" s="297"/>
      <c r="D71" s="297"/>
      <c r="E71" s="298" t="str">
        <f>IF(Assem[[#This Row],[Total]]&gt;0,"Running","Down")</f>
        <v>Down</v>
      </c>
      <c r="F71" s="299">
        <v>0</v>
      </c>
      <c r="G71" s="299">
        <v>0</v>
      </c>
      <c r="H71" s="299">
        <v>0</v>
      </c>
      <c r="I71" s="299">
        <f>SUM(Assem[[#This Row],[S1Qty]],Assem[[#This Row],[S2Qty]],Assem[[#This Row],[S3Qty]])</f>
        <v>0</v>
      </c>
      <c r="J71" s="300"/>
    </row>
    <row r="72" spans="1:10" hidden="1" x14ac:dyDescent="0.2">
      <c r="A72" s="128">
        <v>45423</v>
      </c>
      <c r="B72" s="296" t="s">
        <v>22</v>
      </c>
      <c r="C72" s="297"/>
      <c r="D72" s="297"/>
      <c r="E72" s="298" t="str">
        <f>IF(Assem[[#This Row],[Total]]&gt;0,"Running","Down")</f>
        <v>Down</v>
      </c>
      <c r="F72" s="299">
        <v>0</v>
      </c>
      <c r="G72" s="299">
        <v>0</v>
      </c>
      <c r="H72" s="299">
        <v>0</v>
      </c>
      <c r="I72" s="299">
        <f>SUM(Assem[[#This Row],[S1Qty]],Assem[[#This Row],[S2Qty]],Assem[[#This Row],[S3Qty]])</f>
        <v>0</v>
      </c>
      <c r="J72" s="300"/>
    </row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</sheetData>
  <mergeCells count="1">
    <mergeCell ref="J2:M2"/>
  </mergeCells>
  <conditionalFormatting sqref="A5:J72">
    <cfRule type="expression" dxfId="2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AK103"/>
  <sheetViews>
    <sheetView workbookViewId="0">
      <pane ySplit="5" topLeftCell="A36" activePane="bottomLeft" state="frozen"/>
      <selection pane="bottomLeft" activeCell="H68" sqref="H68"/>
    </sheetView>
  </sheetViews>
  <sheetFormatPr defaultRowHeight="12.75" x14ac:dyDescent="0.2"/>
  <cols>
    <col min="1" max="1" width="8.140625" style="154" customWidth="1"/>
    <col min="2" max="2" width="10.85546875" style="154" customWidth="1"/>
    <col min="3" max="3" width="9.140625" style="154" bestFit="1" customWidth="1"/>
    <col min="4" max="4" width="15.42578125" style="154" customWidth="1"/>
    <col min="5" max="5" width="10.140625" style="154" customWidth="1"/>
    <col min="6" max="6" width="10.42578125" style="154" customWidth="1"/>
    <col min="7" max="7" width="11.7109375" style="154" customWidth="1"/>
    <col min="8" max="8" width="11.42578125" style="154" customWidth="1"/>
    <col min="9" max="9" width="11.28515625" style="154" customWidth="1"/>
    <col min="10" max="10" width="9.140625" style="154" bestFit="1" customWidth="1"/>
    <col min="11" max="11" width="20" style="154" customWidth="1"/>
    <col min="12" max="12" width="11.85546875" style="154" bestFit="1" customWidth="1"/>
    <col min="13" max="13" width="9" style="154" bestFit="1" customWidth="1"/>
    <col min="14" max="23" width="9" style="154" customWidth="1"/>
    <col min="24" max="24" width="11.7109375" style="154" customWidth="1"/>
    <col min="25" max="25" width="24.5703125" style="154" customWidth="1"/>
    <col min="26" max="26" width="8.5703125" style="154" customWidth="1"/>
    <col min="27" max="27" width="11.28515625" style="154" bestFit="1" customWidth="1"/>
    <col min="28" max="28" width="8.7109375" style="154" bestFit="1" customWidth="1"/>
    <col min="29" max="29" width="9.85546875" style="154" bestFit="1" customWidth="1"/>
    <col min="30" max="30" width="10.140625" style="154" bestFit="1" customWidth="1"/>
    <col min="31" max="31" width="8.5703125" style="154" bestFit="1" customWidth="1"/>
    <col min="32" max="32" width="9.42578125" style="154" bestFit="1" customWidth="1"/>
    <col min="33" max="33" width="9" style="154" bestFit="1" customWidth="1"/>
    <col min="34" max="34" width="8.140625" style="154" bestFit="1" customWidth="1"/>
    <col min="35" max="35" width="9.42578125" style="154" bestFit="1" customWidth="1"/>
    <col min="36" max="36" width="8" style="154" bestFit="1" customWidth="1"/>
    <col min="37" max="37" width="8.85546875" style="154" bestFit="1" customWidth="1"/>
    <col min="38" max="38" width="8.42578125" style="154" bestFit="1" customWidth="1"/>
    <col min="39" max="39" width="9.28515625" style="154" bestFit="1" customWidth="1"/>
    <col min="40" max="40" width="9.42578125" style="154" bestFit="1" customWidth="1"/>
    <col min="41" max="41" width="9" style="154" bestFit="1" customWidth="1"/>
    <col min="42" max="42" width="10.28515625" style="154" bestFit="1" customWidth="1"/>
    <col min="43" max="43" width="8.7109375" style="154" bestFit="1" customWidth="1"/>
    <col min="44" max="44" width="9.85546875" style="154" bestFit="1" customWidth="1"/>
    <col min="45" max="45" width="11.28515625" style="154" bestFit="1" customWidth="1"/>
    <col min="46" max="46" width="8.7109375" style="154" bestFit="1" customWidth="1"/>
    <col min="47" max="47" width="9.85546875" style="154" bestFit="1" customWidth="1"/>
    <col min="48" max="48" width="9.28515625" style="154" bestFit="1" customWidth="1"/>
    <col min="49" max="49" width="8.5703125" style="154" bestFit="1" customWidth="1"/>
    <col min="50" max="50" width="9.42578125" style="154" bestFit="1" customWidth="1"/>
    <col min="51" max="51" width="9" style="154" bestFit="1" customWidth="1"/>
    <col min="52" max="52" width="8.140625" style="154" bestFit="1" customWidth="1"/>
    <col min="53" max="53" width="9.42578125" style="154" bestFit="1" customWidth="1"/>
    <col min="54" max="54" width="8" style="154" bestFit="1" customWidth="1"/>
    <col min="55" max="55" width="8.85546875" style="154" bestFit="1" customWidth="1"/>
    <col min="56" max="56" width="8.42578125" style="154" bestFit="1" customWidth="1"/>
    <col min="57" max="57" width="8.85546875" style="154" bestFit="1" customWidth="1"/>
    <col min="58" max="58" width="8.42578125" style="154" bestFit="1" customWidth="1"/>
    <col min="59" max="59" width="7.85546875" style="154" bestFit="1" customWidth="1"/>
    <col min="60" max="16384" width="9.140625" style="154"/>
  </cols>
  <sheetData>
    <row r="2" spans="1:37" ht="27" thickBot="1" x14ac:dyDescent="0.45">
      <c r="A2" s="143" t="s">
        <v>23</v>
      </c>
      <c r="B2" s="144"/>
      <c r="C2" s="145"/>
      <c r="D2" s="146"/>
      <c r="E2" s="147"/>
      <c r="F2" s="148"/>
      <c r="G2" s="149"/>
      <c r="H2" s="149"/>
      <c r="I2" s="150" t="s">
        <v>40</v>
      </c>
      <c r="J2" s="285">
        <f>$A$6</f>
        <v>45413</v>
      </c>
      <c r="K2" s="285"/>
      <c r="L2" s="151"/>
      <c r="M2" s="151"/>
      <c r="N2" s="151"/>
      <c r="O2" s="151"/>
      <c r="P2" s="151"/>
      <c r="Q2" s="151"/>
      <c r="R2" s="151"/>
      <c r="S2" s="151"/>
      <c r="T2" s="151"/>
      <c r="U2" s="152"/>
      <c r="V2" s="152"/>
      <c r="W2" s="152"/>
      <c r="X2" s="149"/>
      <c r="Y2" s="151"/>
      <c r="Z2" s="153"/>
      <c r="AA2" s="153"/>
      <c r="AB2" s="152"/>
      <c r="AC2" s="152"/>
    </row>
    <row r="3" spans="1:37" ht="18.75" thickTop="1" x14ac:dyDescent="0.25">
      <c r="B3" s="155"/>
      <c r="C3" s="156"/>
      <c r="D3" s="157"/>
      <c r="E3" s="158"/>
      <c r="F3" s="149"/>
      <c r="G3" s="149"/>
      <c r="H3" s="149"/>
      <c r="I3" s="159"/>
      <c r="J3" s="159"/>
      <c r="K3" s="159"/>
      <c r="L3" s="15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59"/>
      <c r="Y3" s="159"/>
      <c r="Z3" s="159"/>
      <c r="AA3" s="159"/>
      <c r="AB3" s="149"/>
      <c r="AC3" s="159"/>
      <c r="AD3" s="159"/>
      <c r="AE3" s="159"/>
      <c r="AF3" s="159"/>
      <c r="AG3" s="159"/>
      <c r="AH3" s="159"/>
      <c r="AI3" s="159"/>
      <c r="AJ3" s="159"/>
      <c r="AK3" s="159"/>
    </row>
    <row r="4" spans="1:37" ht="12.75" customHeight="1" x14ac:dyDescent="0.25">
      <c r="B4" s="155"/>
      <c r="E4" s="158"/>
      <c r="F4" s="149"/>
      <c r="G4" s="149"/>
      <c r="H4" s="149"/>
      <c r="I4" s="159"/>
      <c r="J4" s="159"/>
      <c r="K4" s="159"/>
      <c r="L4" s="15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59"/>
      <c r="Y4" s="159"/>
      <c r="Z4" s="159"/>
      <c r="AA4" s="159"/>
      <c r="AB4" s="149"/>
      <c r="AC4" s="159"/>
      <c r="AD4" s="159"/>
      <c r="AE4" s="159"/>
      <c r="AF4" s="159"/>
      <c r="AG4" s="159"/>
      <c r="AH4" s="159"/>
      <c r="AI4" s="159"/>
      <c r="AJ4" s="159"/>
      <c r="AK4" s="159"/>
    </row>
    <row r="5" spans="1:37" s="160" customFormat="1" ht="12.75" customHeight="1" x14ac:dyDescent="0.2">
      <c r="A5" s="160" t="s">
        <v>107</v>
      </c>
      <c r="B5" s="160" t="s">
        <v>35</v>
      </c>
      <c r="C5" s="160" t="s">
        <v>25</v>
      </c>
      <c r="D5" s="160" t="s">
        <v>28</v>
      </c>
      <c r="E5" s="160" t="s">
        <v>12</v>
      </c>
      <c r="F5" s="160" t="s">
        <v>113</v>
      </c>
      <c r="G5" s="160" t="s">
        <v>119</v>
      </c>
      <c r="H5" s="160" t="s">
        <v>125</v>
      </c>
      <c r="I5" s="160" t="s">
        <v>59</v>
      </c>
      <c r="J5" s="160" t="s">
        <v>152</v>
      </c>
      <c r="K5" s="160" t="s">
        <v>144</v>
      </c>
      <c r="L5" s="160" t="s">
        <v>158</v>
      </c>
      <c r="Z5"/>
      <c r="AA5"/>
      <c r="AB5"/>
    </row>
    <row r="6" spans="1:37" x14ac:dyDescent="0.2">
      <c r="A6" s="183">
        <v>45413</v>
      </c>
      <c r="B6" s="184" t="s">
        <v>36</v>
      </c>
      <c r="C6" s="161" t="s">
        <v>196</v>
      </c>
      <c r="D6" s="161" t="s">
        <v>184</v>
      </c>
      <c r="E6" s="184" t="str">
        <f>IF(FnlAssem[[#This Row],[Total]]&gt;0,"Running","Down")</f>
        <v>Running</v>
      </c>
      <c r="F6" s="185">
        <v>41</v>
      </c>
      <c r="G6" s="185">
        <v>23</v>
      </c>
      <c r="H6" s="185">
        <v>0</v>
      </c>
      <c r="I6" s="185">
        <f>SUM(FnlAssem[[#This Row],[S1Qty]],FnlAssem[[#This Row],[S2Qty]],FnlAssem[[#This Row],[S3Qty]])*FnlAssem[[#This Row],[Pcs/Carton]]-FnlAssem[[#This Row],[Defects]]</f>
        <v>15597</v>
      </c>
      <c r="J6" s="186">
        <v>19</v>
      </c>
      <c r="K6" s="186"/>
      <c r="L6" s="161">
        <v>244</v>
      </c>
      <c r="Z6"/>
      <c r="AA6"/>
      <c r="AB6"/>
    </row>
    <row r="7" spans="1:37" x14ac:dyDescent="0.2">
      <c r="A7" s="183">
        <v>45413</v>
      </c>
      <c r="B7" s="184" t="s">
        <v>36</v>
      </c>
      <c r="C7" s="161" t="s">
        <v>193</v>
      </c>
      <c r="D7" s="161" t="s">
        <v>184</v>
      </c>
      <c r="E7" s="184" t="str">
        <f>IF(FnlAssem[[#This Row],[Total]]&gt;0,"Running","Down")</f>
        <v>Running</v>
      </c>
      <c r="F7" s="185">
        <v>21</v>
      </c>
      <c r="G7" s="185">
        <v>17</v>
      </c>
      <c r="H7" s="185">
        <v>0</v>
      </c>
      <c r="I7" s="185">
        <f>SUM(FnlAssem[[#This Row],[S1Qty]],FnlAssem[[#This Row],[S2Qty]],FnlAssem[[#This Row],[S3Qty]])*FnlAssem[[#This Row],[Pcs/Carton]]-FnlAssem[[#This Row],[Defects]]</f>
        <v>9261</v>
      </c>
      <c r="J7" s="186">
        <v>11</v>
      </c>
      <c r="K7" s="186"/>
      <c r="L7" s="161">
        <v>244</v>
      </c>
      <c r="Z7"/>
      <c r="AA7"/>
      <c r="AB7"/>
    </row>
    <row r="8" spans="1:37" x14ac:dyDescent="0.2">
      <c r="A8" s="183">
        <v>45413</v>
      </c>
      <c r="B8" s="184" t="s">
        <v>36</v>
      </c>
      <c r="C8" s="161" t="s">
        <v>197</v>
      </c>
      <c r="D8" s="161" t="s">
        <v>184</v>
      </c>
      <c r="E8" s="184" t="str">
        <f>IF(FnlAssem[[#This Row],[Total]]&gt;0,"Running","Down")</f>
        <v>Running</v>
      </c>
      <c r="F8" s="185">
        <v>32</v>
      </c>
      <c r="G8" s="185">
        <v>0</v>
      </c>
      <c r="H8" s="185">
        <v>0</v>
      </c>
      <c r="I8" s="185">
        <f>SUM(FnlAssem[[#This Row],[S1Qty]],FnlAssem[[#This Row],[S2Qty]],FnlAssem[[#This Row],[S3Qty]])*FnlAssem[[#This Row],[Pcs/Carton]]-FnlAssem[[#This Row],[Defects]]</f>
        <v>7799</v>
      </c>
      <c r="J8" s="186">
        <v>9</v>
      </c>
      <c r="K8" s="186"/>
      <c r="L8" s="161">
        <v>244</v>
      </c>
      <c r="Z8"/>
      <c r="AA8"/>
      <c r="AB8"/>
    </row>
    <row r="9" spans="1:37" x14ac:dyDescent="0.2">
      <c r="A9" s="183">
        <v>45413</v>
      </c>
      <c r="B9" s="184" t="s">
        <v>36</v>
      </c>
      <c r="C9" s="161" t="s">
        <v>194</v>
      </c>
      <c r="D9" s="161" t="s">
        <v>184</v>
      </c>
      <c r="E9" s="184" t="str">
        <f>IF(FnlAssem[[#This Row],[Total]]&gt;0,"Running","Down")</f>
        <v>Running</v>
      </c>
      <c r="F9" s="185">
        <v>6</v>
      </c>
      <c r="G9" s="185">
        <v>39</v>
      </c>
      <c r="H9" s="185">
        <v>34</v>
      </c>
      <c r="I9" s="185">
        <f>SUM(FnlAssem[[#This Row],[S1Qty]],FnlAssem[[#This Row],[S2Qty]],FnlAssem[[#This Row],[S3Qty]])*FnlAssem[[#This Row],[Pcs/Carton]]-FnlAssem[[#This Row],[Defects]]</f>
        <v>19254</v>
      </c>
      <c r="J9" s="186">
        <v>22</v>
      </c>
      <c r="K9" s="186"/>
      <c r="L9" s="161">
        <v>244</v>
      </c>
      <c r="Z9"/>
      <c r="AA9"/>
      <c r="AB9"/>
    </row>
    <row r="10" spans="1:37" x14ac:dyDescent="0.2">
      <c r="A10" s="183">
        <v>45414</v>
      </c>
      <c r="B10" s="184" t="s">
        <v>36</v>
      </c>
      <c r="C10" s="161" t="s">
        <v>196</v>
      </c>
      <c r="D10" s="161" t="s">
        <v>184</v>
      </c>
      <c r="E10" s="184" t="str">
        <f>IF(FnlAssem[[#This Row],[Total]]&gt;0,"Running","Down")</f>
        <v>Running</v>
      </c>
      <c r="F10" s="185">
        <v>41</v>
      </c>
      <c r="G10" s="185">
        <v>16</v>
      </c>
      <c r="H10" s="185">
        <v>0</v>
      </c>
      <c r="I10" s="185">
        <f>SUM(FnlAssem[[#This Row],[S1Qty]],FnlAssem[[#This Row],[S2Qty]],FnlAssem[[#This Row],[S3Qty]])*FnlAssem[[#This Row],[Pcs/Carton]]-FnlAssem[[#This Row],[Defects]]</f>
        <v>13897</v>
      </c>
      <c r="J10" s="186">
        <v>11</v>
      </c>
      <c r="K10" s="186"/>
      <c r="L10" s="161">
        <v>244</v>
      </c>
      <c r="Z10"/>
      <c r="AA10"/>
      <c r="AB10"/>
    </row>
    <row r="11" spans="1:37" x14ac:dyDescent="0.2">
      <c r="A11" s="183">
        <v>45414</v>
      </c>
      <c r="B11" s="184" t="s">
        <v>36</v>
      </c>
      <c r="C11" s="161" t="s">
        <v>193</v>
      </c>
      <c r="D11" s="161" t="s">
        <v>184</v>
      </c>
      <c r="E11" s="184" t="str">
        <f>IF(FnlAssem[[#This Row],[Total]]&gt;0,"Running","Down")</f>
        <v>Running</v>
      </c>
      <c r="F11" s="185">
        <v>23</v>
      </c>
      <c r="G11" s="185">
        <v>15</v>
      </c>
      <c r="H11" s="185">
        <v>0</v>
      </c>
      <c r="I11" s="185">
        <f>SUM(FnlAssem[[#This Row],[S1Qty]],FnlAssem[[#This Row],[S2Qty]],FnlAssem[[#This Row],[S3Qty]])*FnlAssem[[#This Row],[Pcs/Carton]]-FnlAssem[[#This Row],[Defects]]</f>
        <v>9265</v>
      </c>
      <c r="J11" s="186">
        <v>7</v>
      </c>
      <c r="K11" s="186"/>
      <c r="L11" s="161">
        <v>244</v>
      </c>
      <c r="Z11"/>
      <c r="AA11"/>
      <c r="AB11"/>
    </row>
    <row r="12" spans="1:37" x14ac:dyDescent="0.2">
      <c r="A12" s="183">
        <v>45414</v>
      </c>
      <c r="B12" s="184" t="s">
        <v>36</v>
      </c>
      <c r="C12" s="161" t="s">
        <v>209</v>
      </c>
      <c r="D12" s="161" t="s">
        <v>184</v>
      </c>
      <c r="E12" s="184" t="str">
        <f>IF(FnlAssem[[#This Row],[Total]]&gt;0,"Running","Down")</f>
        <v>Running</v>
      </c>
      <c r="F12" s="185">
        <v>0</v>
      </c>
      <c r="G12" s="185">
        <v>5</v>
      </c>
      <c r="H12" s="185">
        <v>0</v>
      </c>
      <c r="I12" s="185">
        <f>SUM(FnlAssem[[#This Row],[S1Qty]],FnlAssem[[#This Row],[S2Qty]],FnlAssem[[#This Row],[S3Qty]])*FnlAssem[[#This Row],[Pcs/Carton]]-FnlAssem[[#This Row],[Defects]]</f>
        <v>1219</v>
      </c>
      <c r="J12" s="186">
        <v>1</v>
      </c>
      <c r="K12" s="186"/>
      <c r="L12" s="161">
        <v>244</v>
      </c>
      <c r="Z12"/>
      <c r="AA12"/>
      <c r="AB12"/>
    </row>
    <row r="13" spans="1:37" x14ac:dyDescent="0.2">
      <c r="A13" s="183">
        <v>45414</v>
      </c>
      <c r="B13" s="184" t="s">
        <v>36</v>
      </c>
      <c r="C13" s="161" t="s">
        <v>194</v>
      </c>
      <c r="D13" s="161" t="s">
        <v>184</v>
      </c>
      <c r="E13" s="184" t="str">
        <f>IF(FnlAssem[[#This Row],[Total]]&gt;0,"Running","Down")</f>
        <v>Running</v>
      </c>
      <c r="F13" s="185">
        <v>41</v>
      </c>
      <c r="G13" s="185">
        <v>27</v>
      </c>
      <c r="H13" s="185">
        <v>11</v>
      </c>
      <c r="I13" s="185">
        <f>SUM(FnlAssem[[#This Row],[S1Qty]],FnlAssem[[#This Row],[S2Qty]],FnlAssem[[#This Row],[S3Qty]])*FnlAssem[[#This Row],[Pcs/Carton]]-FnlAssem[[#This Row],[Defects]]</f>
        <v>19260</v>
      </c>
      <c r="J13" s="186">
        <v>16</v>
      </c>
      <c r="K13" s="186" t="s">
        <v>210</v>
      </c>
      <c r="L13" s="161">
        <v>244</v>
      </c>
      <c r="Z13"/>
      <c r="AA13"/>
      <c r="AB13"/>
    </row>
    <row r="14" spans="1:37" x14ac:dyDescent="0.2">
      <c r="A14" s="183">
        <v>45415</v>
      </c>
      <c r="B14" s="184" t="s">
        <v>36</v>
      </c>
      <c r="C14" s="161" t="s">
        <v>209</v>
      </c>
      <c r="D14" s="161" t="s">
        <v>184</v>
      </c>
      <c r="E14" s="184" t="str">
        <f>IF(FnlAssem[[#This Row],[Total]]&gt;0,"Running","Down")</f>
        <v>Running</v>
      </c>
      <c r="F14" s="185">
        <v>31</v>
      </c>
      <c r="G14" s="185">
        <v>30</v>
      </c>
      <c r="H14" s="185">
        <v>0</v>
      </c>
      <c r="I14" s="185">
        <f>SUM(FnlAssem[[#This Row],[S1Qty]],FnlAssem[[#This Row],[S2Qty]],FnlAssem[[#This Row],[S3Qty]])*FnlAssem[[#This Row],[Pcs/Carton]]-FnlAssem[[#This Row],[Defects]]</f>
        <v>14869</v>
      </c>
      <c r="J14" s="186">
        <v>15</v>
      </c>
      <c r="K14" s="186"/>
      <c r="L14" s="161">
        <v>244</v>
      </c>
      <c r="Z14"/>
      <c r="AA14"/>
      <c r="AB14"/>
    </row>
    <row r="15" spans="1:37" x14ac:dyDescent="0.2">
      <c r="A15" s="183">
        <v>45415</v>
      </c>
      <c r="B15" s="184" t="s">
        <v>36</v>
      </c>
      <c r="C15" s="161" t="s">
        <v>193</v>
      </c>
      <c r="D15" s="161" t="s">
        <v>184</v>
      </c>
      <c r="E15" s="184" t="str">
        <f>IF(FnlAssem[[#This Row],[Total]]&gt;0,"Running","Down")</f>
        <v>Running</v>
      </c>
      <c r="F15" s="185">
        <v>23</v>
      </c>
      <c r="G15" s="185">
        <v>13</v>
      </c>
      <c r="H15" s="185">
        <v>0</v>
      </c>
      <c r="I15" s="185">
        <f>SUM(FnlAssem[[#This Row],[S1Qty]],FnlAssem[[#This Row],[S2Qty]],FnlAssem[[#This Row],[S3Qty]])*FnlAssem[[#This Row],[Pcs/Carton]]-FnlAssem[[#This Row],[Defects]]</f>
        <v>8779</v>
      </c>
      <c r="J15" s="186">
        <v>5</v>
      </c>
      <c r="K15" s="186"/>
      <c r="L15" s="161">
        <v>244</v>
      </c>
      <c r="Z15"/>
      <c r="AA15"/>
      <c r="AB15"/>
    </row>
    <row r="16" spans="1:37" x14ac:dyDescent="0.2">
      <c r="A16" s="183">
        <v>45415</v>
      </c>
      <c r="B16" s="184" t="s">
        <v>36</v>
      </c>
      <c r="C16" s="161" t="s">
        <v>194</v>
      </c>
      <c r="D16" s="161" t="s">
        <v>184</v>
      </c>
      <c r="E16" s="184" t="str">
        <f>IF(FnlAssem[[#This Row],[Total]]&gt;0,"Running","Down")</f>
        <v>Running</v>
      </c>
      <c r="F16" s="185">
        <v>19</v>
      </c>
      <c r="G16" s="185">
        <v>1</v>
      </c>
      <c r="H16" s="185">
        <v>0</v>
      </c>
      <c r="I16" s="185">
        <f>SUM(FnlAssem[[#This Row],[S1Qty]],FnlAssem[[#This Row],[S2Qty]],FnlAssem[[#This Row],[S3Qty]])*FnlAssem[[#This Row],[Pcs/Carton]]-FnlAssem[[#This Row],[Defects]]</f>
        <v>4878</v>
      </c>
      <c r="J16" s="186">
        <v>2</v>
      </c>
      <c r="K16" s="186"/>
      <c r="L16" s="161">
        <v>244</v>
      </c>
      <c r="Z16"/>
      <c r="AA16"/>
      <c r="AB16"/>
    </row>
    <row r="17" spans="1:28" x14ac:dyDescent="0.2">
      <c r="A17" s="183">
        <v>45415</v>
      </c>
      <c r="B17" s="184" t="s">
        <v>36</v>
      </c>
      <c r="C17" s="161" t="s">
        <v>214</v>
      </c>
      <c r="D17" s="161" t="s">
        <v>184</v>
      </c>
      <c r="E17" s="184" t="str">
        <f>IF(FnlAssem[[#This Row],[Total]]&gt;0,"Running","Down")</f>
        <v>Running</v>
      </c>
      <c r="F17" s="185">
        <v>0</v>
      </c>
      <c r="G17" s="185">
        <v>30</v>
      </c>
      <c r="H17" s="185">
        <v>18</v>
      </c>
      <c r="I17" s="185">
        <f>SUM(FnlAssem[[#This Row],[S1Qty]],FnlAssem[[#This Row],[S2Qty]],FnlAssem[[#This Row],[S3Qty]])*FnlAssem[[#This Row],[Pcs/Carton]]-FnlAssem[[#This Row],[Defects]]</f>
        <v>11700</v>
      </c>
      <c r="J17" s="186">
        <v>12</v>
      </c>
      <c r="K17" s="186"/>
      <c r="L17" s="161">
        <v>244</v>
      </c>
      <c r="Z17"/>
      <c r="AA17"/>
      <c r="AB17"/>
    </row>
    <row r="18" spans="1:28" x14ac:dyDescent="0.2">
      <c r="A18" s="183">
        <v>45416</v>
      </c>
      <c r="B18" s="184" t="s">
        <v>36</v>
      </c>
      <c r="C18" s="161" t="s">
        <v>209</v>
      </c>
      <c r="D18" s="161" t="s">
        <v>184</v>
      </c>
      <c r="E18" s="184" t="str">
        <f>IF(FnlAssem[[#This Row],[Total]]&gt;0,"Running","Down")</f>
        <v>Running</v>
      </c>
      <c r="F18" s="185">
        <v>30</v>
      </c>
      <c r="G18" s="185">
        <v>32</v>
      </c>
      <c r="H18" s="185">
        <v>0</v>
      </c>
      <c r="I18" s="185">
        <f>SUM(FnlAssem[[#This Row],[S1Qty]],FnlAssem[[#This Row],[S2Qty]],FnlAssem[[#This Row],[S3Qty]])*FnlAssem[[#This Row],[Pcs/Carton]]-FnlAssem[[#This Row],[Defects]]</f>
        <v>15118</v>
      </c>
      <c r="J18" s="186">
        <v>10</v>
      </c>
      <c r="K18" s="186"/>
      <c r="L18" s="161">
        <v>244</v>
      </c>
      <c r="Z18"/>
      <c r="AA18"/>
      <c r="AB18"/>
    </row>
    <row r="19" spans="1:28" x14ac:dyDescent="0.2">
      <c r="A19" s="183">
        <v>45416</v>
      </c>
      <c r="B19" s="184" t="s">
        <v>36</v>
      </c>
      <c r="C19" s="161" t="s">
        <v>193</v>
      </c>
      <c r="D19" s="161" t="s">
        <v>184</v>
      </c>
      <c r="E19" s="184" t="str">
        <f>IF(FnlAssem[[#This Row],[Total]]&gt;0,"Running","Down")</f>
        <v>Running</v>
      </c>
      <c r="F19" s="185">
        <v>22</v>
      </c>
      <c r="G19" s="185">
        <v>15</v>
      </c>
      <c r="H19" s="185">
        <v>0</v>
      </c>
      <c r="I19" s="185">
        <f>SUM(FnlAssem[[#This Row],[S1Qty]],FnlAssem[[#This Row],[S2Qty]],FnlAssem[[#This Row],[S3Qty]])*FnlAssem[[#This Row],[Pcs/Carton]]-FnlAssem[[#This Row],[Defects]]</f>
        <v>9020</v>
      </c>
      <c r="J19" s="186">
        <v>8</v>
      </c>
      <c r="K19" s="186"/>
      <c r="L19" s="161">
        <v>244</v>
      </c>
      <c r="Z19"/>
      <c r="AA19"/>
      <c r="AB19"/>
    </row>
    <row r="20" spans="1:28" x14ac:dyDescent="0.2">
      <c r="A20" s="183">
        <v>45416</v>
      </c>
      <c r="B20" s="184" t="s">
        <v>36</v>
      </c>
      <c r="C20" s="161" t="s">
        <v>194</v>
      </c>
      <c r="D20" s="161" t="s">
        <v>184</v>
      </c>
      <c r="E20" s="184" t="str">
        <f>IF(FnlAssem[[#This Row],[Total]]&gt;0,"Running","Down")</f>
        <v>Running</v>
      </c>
      <c r="F20" s="185">
        <v>32</v>
      </c>
      <c r="G20" s="185">
        <v>0</v>
      </c>
      <c r="H20" s="185">
        <v>0</v>
      </c>
      <c r="I20" s="185">
        <f>SUM(FnlAssem[[#This Row],[S1Qty]],FnlAssem[[#This Row],[S2Qty]],FnlAssem[[#This Row],[S3Qty]])*FnlAssem[[#This Row],[Pcs/Carton]]-FnlAssem[[#This Row],[Defects]]</f>
        <v>7802</v>
      </c>
      <c r="J20" s="186">
        <v>6</v>
      </c>
      <c r="K20" s="186"/>
      <c r="L20" s="161">
        <v>244</v>
      </c>
      <c r="Z20"/>
      <c r="AA20"/>
      <c r="AB20"/>
    </row>
    <row r="21" spans="1:28" x14ac:dyDescent="0.2">
      <c r="A21" s="183">
        <v>45416</v>
      </c>
      <c r="B21" s="184" t="s">
        <v>36</v>
      </c>
      <c r="C21" s="161" t="s">
        <v>224</v>
      </c>
      <c r="D21" s="161" t="s">
        <v>184</v>
      </c>
      <c r="E21" s="184" t="str">
        <f>IF(FnlAssem[[#This Row],[Total]]&gt;0,"Running","Down")</f>
        <v>Running</v>
      </c>
      <c r="F21" s="185">
        <v>16</v>
      </c>
      <c r="G21" s="185">
        <v>16</v>
      </c>
      <c r="H21" s="185">
        <v>0</v>
      </c>
      <c r="I21" s="185">
        <f>SUM(FnlAssem[[#This Row],[S1Qty]],FnlAssem[[#This Row],[S2Qty]],FnlAssem[[#This Row],[S3Qty]])*FnlAssem[[#This Row],[Pcs/Carton]]-FnlAssem[[#This Row],[Defects]]</f>
        <v>7802</v>
      </c>
      <c r="J21" s="186">
        <v>6</v>
      </c>
      <c r="K21" s="186"/>
      <c r="L21" s="161">
        <v>244</v>
      </c>
      <c r="Z21"/>
      <c r="AA21"/>
      <c r="AB21"/>
    </row>
    <row r="22" spans="1:28" x14ac:dyDescent="0.2">
      <c r="A22" s="183">
        <v>45416</v>
      </c>
      <c r="B22" s="184" t="s">
        <v>36</v>
      </c>
      <c r="C22" s="161" t="s">
        <v>205</v>
      </c>
      <c r="D22" s="161" t="s">
        <v>184</v>
      </c>
      <c r="E22" s="184" t="str">
        <f>IF(FnlAssem[[#This Row],[Total]]&gt;0,"Running","Down")</f>
        <v>Running</v>
      </c>
      <c r="F22" s="185">
        <v>0</v>
      </c>
      <c r="G22" s="185">
        <v>25</v>
      </c>
      <c r="H22" s="185">
        <v>23</v>
      </c>
      <c r="I22" s="185">
        <f>SUM(FnlAssem[[#This Row],[S1Qty]],FnlAssem[[#This Row],[S2Qty]],FnlAssem[[#This Row],[S3Qty]])*FnlAssem[[#This Row],[Pcs/Carton]]-FnlAssem[[#This Row],[Defects]]</f>
        <v>11702</v>
      </c>
      <c r="J22" s="186">
        <v>10</v>
      </c>
      <c r="K22" s="186"/>
      <c r="L22" s="161">
        <v>244</v>
      </c>
      <c r="Z22"/>
      <c r="AA22"/>
      <c r="AB22"/>
    </row>
    <row r="23" spans="1:28" x14ac:dyDescent="0.2">
      <c r="A23" s="183">
        <v>45416</v>
      </c>
      <c r="B23" s="184" t="s">
        <v>36</v>
      </c>
      <c r="C23" s="161">
        <v>26365</v>
      </c>
      <c r="D23" s="161" t="s">
        <v>184</v>
      </c>
      <c r="E23" s="184" t="str">
        <f>IF(FnlAssem[[#This Row],[Total]]&gt;0,"Running","Down")</f>
        <v>Running</v>
      </c>
      <c r="F23" s="185">
        <v>0</v>
      </c>
      <c r="G23" s="185">
        <v>29</v>
      </c>
      <c r="H23" s="185">
        <v>0</v>
      </c>
      <c r="I23" s="185">
        <f>SUM(FnlAssem[[#This Row],[S1Qty]],FnlAssem[[#This Row],[S2Qty]],FnlAssem[[#This Row],[S3Qty]])*FnlAssem[[#This Row],[Pcs/Carton]]-FnlAssem[[#This Row],[Defects]]</f>
        <v>7070</v>
      </c>
      <c r="J23" s="186">
        <v>6</v>
      </c>
      <c r="K23" s="186"/>
      <c r="L23" s="161">
        <v>244</v>
      </c>
      <c r="Z23"/>
      <c r="AA23"/>
      <c r="AB23"/>
    </row>
    <row r="24" spans="1:28" x14ac:dyDescent="0.2">
      <c r="A24" s="183">
        <v>45417</v>
      </c>
      <c r="B24" s="184" t="s">
        <v>36</v>
      </c>
      <c r="C24" s="161" t="s">
        <v>209</v>
      </c>
      <c r="D24" s="161" t="s">
        <v>184</v>
      </c>
      <c r="E24" s="184" t="str">
        <f>IF(FnlAssem[[#This Row],[Total]]&gt;0,"Running","Down")</f>
        <v>Running</v>
      </c>
      <c r="F24" s="185">
        <v>15</v>
      </c>
      <c r="G24" s="185">
        <v>24</v>
      </c>
      <c r="H24" s="185">
        <v>0</v>
      </c>
      <c r="I24" s="185">
        <f>SUM(FnlAssem[[#This Row],[S1Qty]],FnlAssem[[#This Row],[S2Qty]],FnlAssem[[#This Row],[S3Qty]])*FnlAssem[[#This Row],[Pcs/Carton]]-FnlAssem[[#This Row],[Defects]]</f>
        <v>9511</v>
      </c>
      <c r="J24" s="186">
        <v>5</v>
      </c>
      <c r="K24" s="186"/>
      <c r="L24" s="161">
        <v>244</v>
      </c>
      <c r="Z24"/>
      <c r="AA24"/>
      <c r="AB24"/>
    </row>
    <row r="25" spans="1:28" x14ac:dyDescent="0.2">
      <c r="A25" s="183">
        <v>45417</v>
      </c>
      <c r="B25" s="184" t="s">
        <v>36</v>
      </c>
      <c r="C25" s="161" t="s">
        <v>193</v>
      </c>
      <c r="D25" s="161" t="s">
        <v>184</v>
      </c>
      <c r="E25" s="184" t="str">
        <f>IF(FnlAssem[[#This Row],[Total]]&gt;0,"Running","Down")</f>
        <v>Running</v>
      </c>
      <c r="F25" s="185">
        <v>32</v>
      </c>
      <c r="G25" s="185">
        <v>15</v>
      </c>
      <c r="H25" s="185">
        <v>0</v>
      </c>
      <c r="I25" s="185">
        <f>SUM(FnlAssem[[#This Row],[S1Qty]],FnlAssem[[#This Row],[S2Qty]],FnlAssem[[#This Row],[S3Qty]])*FnlAssem[[#This Row],[Pcs/Carton]]-FnlAssem[[#This Row],[Defects]]</f>
        <v>11460</v>
      </c>
      <c r="J25" s="186">
        <v>8</v>
      </c>
      <c r="K25" s="186"/>
      <c r="L25" s="161">
        <v>244</v>
      </c>
      <c r="Z25"/>
      <c r="AA25"/>
      <c r="AB25"/>
    </row>
    <row r="26" spans="1:28" x14ac:dyDescent="0.2">
      <c r="A26" s="183">
        <v>45417</v>
      </c>
      <c r="B26" s="184" t="s">
        <v>36</v>
      </c>
      <c r="C26" s="161" t="s">
        <v>205</v>
      </c>
      <c r="D26" s="161" t="s">
        <v>184</v>
      </c>
      <c r="E26" s="184" t="str">
        <f>IF(FnlAssem[[#This Row],[Total]]&gt;0,"Running","Down")</f>
        <v>Running</v>
      </c>
      <c r="F26" s="185">
        <v>39</v>
      </c>
      <c r="G26" s="185">
        <v>23</v>
      </c>
      <c r="H26" s="185">
        <v>1</v>
      </c>
      <c r="I26" s="185">
        <f>SUM(FnlAssem[[#This Row],[S1Qty]],FnlAssem[[#This Row],[S2Qty]],FnlAssem[[#This Row],[S3Qty]])*FnlAssem[[#This Row],[Pcs/Carton]]-FnlAssem[[#This Row],[Defects]]</f>
        <v>15362</v>
      </c>
      <c r="J26" s="186">
        <v>10</v>
      </c>
      <c r="K26" s="186"/>
      <c r="L26" s="161">
        <v>244</v>
      </c>
      <c r="Z26"/>
      <c r="AA26"/>
      <c r="AB26"/>
    </row>
    <row r="27" spans="1:28" x14ac:dyDescent="0.2">
      <c r="A27" s="183">
        <v>45417</v>
      </c>
      <c r="B27" s="184" t="s">
        <v>36</v>
      </c>
      <c r="C27" s="161">
        <v>26365</v>
      </c>
      <c r="D27" s="161" t="s">
        <v>184</v>
      </c>
      <c r="E27" s="184" t="str">
        <f>IF(FnlAssem[[#This Row],[Total]]&gt;0,"Running","Down")</f>
        <v>Running</v>
      </c>
      <c r="F27" s="185">
        <v>32</v>
      </c>
      <c r="G27" s="185">
        <v>67</v>
      </c>
      <c r="H27" s="185">
        <v>0</v>
      </c>
      <c r="I27" s="185">
        <f>SUM(FnlAssem[[#This Row],[S1Qty]],FnlAssem[[#This Row],[S2Qty]],FnlAssem[[#This Row],[S3Qty]])*FnlAssem[[#This Row],[Pcs/Carton]]-FnlAssem[[#This Row],[Defects]]</f>
        <v>24141</v>
      </c>
      <c r="J27" s="186">
        <v>15</v>
      </c>
      <c r="K27" s="186"/>
      <c r="L27" s="161">
        <v>244</v>
      </c>
      <c r="Z27"/>
      <c r="AA27"/>
      <c r="AB27"/>
    </row>
    <row r="28" spans="1:28" x14ac:dyDescent="0.2">
      <c r="A28" s="183">
        <v>45417</v>
      </c>
      <c r="B28" s="184" t="s">
        <v>36</v>
      </c>
      <c r="C28" s="161" t="s">
        <v>197</v>
      </c>
      <c r="D28" s="161" t="s">
        <v>184</v>
      </c>
      <c r="E28" s="184" t="str">
        <f>IF(FnlAssem[[#This Row],[Total]]&gt;0,"Running","Down")</f>
        <v>Running</v>
      </c>
      <c r="F28" s="185">
        <v>0</v>
      </c>
      <c r="G28" s="185">
        <v>0</v>
      </c>
      <c r="H28" s="185">
        <v>31</v>
      </c>
      <c r="I28" s="185">
        <f>SUM(FnlAssem[[#This Row],[S1Qty]],FnlAssem[[#This Row],[S2Qty]],FnlAssem[[#This Row],[S3Qty]])*FnlAssem[[#This Row],[Pcs/Carton]]-FnlAssem[[#This Row],[Defects]]</f>
        <v>7558</v>
      </c>
      <c r="J28" s="186">
        <v>6</v>
      </c>
      <c r="K28" s="186"/>
      <c r="L28" s="161">
        <v>244</v>
      </c>
      <c r="Z28"/>
      <c r="AA28"/>
      <c r="AB28"/>
    </row>
    <row r="29" spans="1:28" x14ac:dyDescent="0.2">
      <c r="A29" s="183">
        <v>45418</v>
      </c>
      <c r="B29" s="184" t="s">
        <v>36</v>
      </c>
      <c r="C29" s="161" t="s">
        <v>209</v>
      </c>
      <c r="D29" s="161" t="s">
        <v>184</v>
      </c>
      <c r="E29" s="184" t="str">
        <f>IF(FnlAssem[[#This Row],[Total]]&gt;0,"Running","Down")</f>
        <v>Running</v>
      </c>
      <c r="F29" s="185">
        <v>22</v>
      </c>
      <c r="G29" s="185">
        <v>2</v>
      </c>
      <c r="H29" s="185">
        <v>0</v>
      </c>
      <c r="I29" s="185">
        <f>SUM(FnlAssem[[#This Row],[S1Qty]],FnlAssem[[#This Row],[S2Qty]],FnlAssem[[#This Row],[S3Qty]])*FnlAssem[[#This Row],[Pcs/Carton]]-FnlAssem[[#This Row],[Defects]]</f>
        <v>5855</v>
      </c>
      <c r="J29" s="186">
        <v>1</v>
      </c>
      <c r="K29" s="186"/>
      <c r="L29" s="161">
        <v>244</v>
      </c>
      <c r="Z29"/>
      <c r="AA29"/>
      <c r="AB29"/>
    </row>
    <row r="30" spans="1:28" x14ac:dyDescent="0.2">
      <c r="A30" s="183">
        <v>45418</v>
      </c>
      <c r="B30" s="184" t="s">
        <v>36</v>
      </c>
      <c r="C30" s="161" t="s">
        <v>193</v>
      </c>
      <c r="D30" s="161" t="s">
        <v>184</v>
      </c>
      <c r="E30" s="184" t="str">
        <f>IF(FnlAssem[[#This Row],[Total]]&gt;0,"Running","Down")</f>
        <v>Running</v>
      </c>
      <c r="F30" s="185">
        <v>23</v>
      </c>
      <c r="G30" s="185">
        <v>9</v>
      </c>
      <c r="H30" s="185">
        <v>0</v>
      </c>
      <c r="I30" s="185">
        <f>SUM(FnlAssem[[#This Row],[S1Qty]],FnlAssem[[#This Row],[S2Qty]],FnlAssem[[#This Row],[S3Qty]])*FnlAssem[[#This Row],[Pcs/Carton]]-FnlAssem[[#This Row],[Defects]]</f>
        <v>7806</v>
      </c>
      <c r="J30" s="186">
        <v>2</v>
      </c>
      <c r="K30" s="186"/>
      <c r="L30" s="161">
        <v>244</v>
      </c>
      <c r="Z30"/>
      <c r="AA30"/>
      <c r="AB30"/>
    </row>
    <row r="31" spans="1:28" x14ac:dyDescent="0.2">
      <c r="A31" s="183">
        <v>45418</v>
      </c>
      <c r="B31" s="184" t="s">
        <v>36</v>
      </c>
      <c r="C31" s="161" t="s">
        <v>229</v>
      </c>
      <c r="D31" s="161" t="s">
        <v>184</v>
      </c>
      <c r="E31" s="184" t="str">
        <f>IF(FnlAssem[[#This Row],[Total]]&gt;0,"Running","Down")</f>
        <v>Running</v>
      </c>
      <c r="F31" s="185">
        <v>0</v>
      </c>
      <c r="G31" s="185">
        <v>20</v>
      </c>
      <c r="H31" s="185">
        <v>0</v>
      </c>
      <c r="I31" s="185">
        <f>SUM(FnlAssem[[#This Row],[S1Qty]],FnlAssem[[#This Row],[S2Qty]],FnlAssem[[#This Row],[S3Qty]])*FnlAssem[[#This Row],[Pcs/Carton]]-FnlAssem[[#This Row],[Defects]]</f>
        <v>4879</v>
      </c>
      <c r="J31" s="186">
        <v>1</v>
      </c>
      <c r="K31" s="186"/>
      <c r="L31" s="161">
        <v>244</v>
      </c>
      <c r="Z31"/>
      <c r="AA31"/>
      <c r="AB31"/>
    </row>
    <row r="32" spans="1:28" x14ac:dyDescent="0.2">
      <c r="A32" s="183">
        <v>45418</v>
      </c>
      <c r="B32" s="184" t="s">
        <v>36</v>
      </c>
      <c r="C32" s="161" t="s">
        <v>228</v>
      </c>
      <c r="D32" s="161" t="s">
        <v>184</v>
      </c>
      <c r="E32" s="184" t="str">
        <f>IF(FnlAssem[[#This Row],[Total]]&gt;0,"Running","Down")</f>
        <v>Running</v>
      </c>
      <c r="F32" s="185">
        <v>0</v>
      </c>
      <c r="G32" s="185">
        <v>4</v>
      </c>
      <c r="H32" s="185">
        <v>0</v>
      </c>
      <c r="I32" s="185">
        <f>SUM(FnlAssem[[#This Row],[S1Qty]],FnlAssem[[#This Row],[S2Qty]],FnlAssem[[#This Row],[S3Qty]])*FnlAssem[[#This Row],[Pcs/Carton]]-FnlAssem[[#This Row],[Defects]]</f>
        <v>975</v>
      </c>
      <c r="J32" s="186">
        <v>1</v>
      </c>
      <c r="K32" s="186"/>
      <c r="L32" s="161">
        <v>244</v>
      </c>
      <c r="Z32"/>
      <c r="AA32"/>
      <c r="AB32"/>
    </row>
    <row r="33" spans="1:28" x14ac:dyDescent="0.2">
      <c r="A33" s="183">
        <v>45418</v>
      </c>
      <c r="B33" s="184" t="s">
        <v>36</v>
      </c>
      <c r="C33" s="161">
        <v>27203</v>
      </c>
      <c r="D33" s="161" t="s">
        <v>184</v>
      </c>
      <c r="E33" s="184" t="str">
        <f>IF(FnlAssem[[#This Row],[Total]]&gt;0,"Running","Down")</f>
        <v>Running</v>
      </c>
      <c r="F33" s="185">
        <v>57</v>
      </c>
      <c r="G33" s="185">
        <v>43</v>
      </c>
      <c r="H33" s="185">
        <v>12</v>
      </c>
      <c r="I33" s="185">
        <f>SUM(FnlAssem[[#This Row],[S1Qty]],FnlAssem[[#This Row],[S2Qty]],FnlAssem[[#This Row],[S3Qty]])*FnlAssem[[#This Row],[Pcs/Carton]]-FnlAssem[[#This Row],[Defects]]</f>
        <v>27320</v>
      </c>
      <c r="J33" s="186">
        <v>8</v>
      </c>
      <c r="K33" s="186"/>
      <c r="L33" s="161">
        <v>244</v>
      </c>
      <c r="Z33"/>
      <c r="AA33"/>
      <c r="AB33"/>
    </row>
    <row r="34" spans="1:28" x14ac:dyDescent="0.2">
      <c r="A34" s="183">
        <v>45418</v>
      </c>
      <c r="B34" s="184" t="s">
        <v>36</v>
      </c>
      <c r="C34" s="161" t="s">
        <v>197</v>
      </c>
      <c r="D34" s="161" t="s">
        <v>184</v>
      </c>
      <c r="E34" s="184" t="str">
        <f>IF(FnlAssem[[#This Row],[Total]]&gt;0,"Running","Down")</f>
        <v>Running</v>
      </c>
      <c r="F34" s="185">
        <v>17</v>
      </c>
      <c r="G34" s="185">
        <v>56</v>
      </c>
      <c r="H34" s="185">
        <v>22</v>
      </c>
      <c r="I34" s="185">
        <f>SUM(FnlAssem[[#This Row],[S1Qty]],FnlAssem[[#This Row],[S2Qty]],FnlAssem[[#This Row],[S3Qty]])*FnlAssem[[#This Row],[Pcs/Carton]]-FnlAssem[[#This Row],[Defects]]</f>
        <v>23175</v>
      </c>
      <c r="J34" s="186">
        <v>5</v>
      </c>
      <c r="K34" s="186"/>
      <c r="L34" s="161">
        <v>244</v>
      </c>
      <c r="Z34"/>
      <c r="AA34"/>
      <c r="AB34"/>
    </row>
    <row r="35" spans="1:28" x14ac:dyDescent="0.2">
      <c r="A35" s="183">
        <v>45418</v>
      </c>
      <c r="B35" s="184" t="s">
        <v>36</v>
      </c>
      <c r="C35" s="161" t="s">
        <v>205</v>
      </c>
      <c r="D35" s="161" t="s">
        <v>184</v>
      </c>
      <c r="E35" s="184" t="str">
        <f>IF(FnlAssem[[#This Row],[Total]]&gt;0,"Running","Down")</f>
        <v>Running</v>
      </c>
      <c r="F35" s="185">
        <v>15</v>
      </c>
      <c r="G35" s="185">
        <v>0</v>
      </c>
      <c r="H35" s="185">
        <v>0</v>
      </c>
      <c r="I35" s="185">
        <f>SUM(FnlAssem[[#This Row],[S1Qty]],FnlAssem[[#This Row],[S2Qty]],FnlAssem[[#This Row],[S3Qty]])*FnlAssem[[#This Row],[Pcs/Carton]]-FnlAssem[[#This Row],[Defects]]</f>
        <v>3659</v>
      </c>
      <c r="J35" s="186">
        <v>1</v>
      </c>
      <c r="K35" s="186"/>
      <c r="L35" s="161">
        <v>244</v>
      </c>
      <c r="Z35"/>
      <c r="AA35"/>
      <c r="AB35"/>
    </row>
    <row r="36" spans="1:28" x14ac:dyDescent="0.2">
      <c r="A36" s="183">
        <v>45419</v>
      </c>
      <c r="B36" s="184" t="s">
        <v>36</v>
      </c>
      <c r="C36" s="161" t="s">
        <v>229</v>
      </c>
      <c r="D36" s="161" t="s">
        <v>184</v>
      </c>
      <c r="E36" s="184" t="str">
        <f>IF(FnlAssem[[#This Row],[Total]]&gt;0,"Running","Down")</f>
        <v>Running</v>
      </c>
      <c r="F36" s="185">
        <v>31</v>
      </c>
      <c r="G36" s="185">
        <v>27</v>
      </c>
      <c r="H36" s="185">
        <v>0</v>
      </c>
      <c r="I36" s="185">
        <f>SUM(FnlAssem[[#This Row],[S1Qty]],FnlAssem[[#This Row],[S2Qty]],FnlAssem[[#This Row],[S3Qty]])*FnlAssem[[#This Row],[Pcs/Carton]]-FnlAssem[[#This Row],[Defects]]</f>
        <v>14144</v>
      </c>
      <c r="J36" s="186">
        <v>8</v>
      </c>
      <c r="K36" s="186"/>
      <c r="L36" s="161">
        <v>244</v>
      </c>
      <c r="Z36"/>
      <c r="AA36"/>
      <c r="AB36"/>
    </row>
    <row r="37" spans="1:28" x14ac:dyDescent="0.2">
      <c r="A37" s="183">
        <v>45419</v>
      </c>
      <c r="B37" s="184" t="s">
        <v>36</v>
      </c>
      <c r="C37" s="161" t="s">
        <v>228</v>
      </c>
      <c r="D37" s="161" t="s">
        <v>184</v>
      </c>
      <c r="E37" s="184" t="str">
        <f>IF(FnlAssem[[#This Row],[Total]]&gt;0,"Running","Down")</f>
        <v>Running</v>
      </c>
      <c r="F37" s="185">
        <v>23</v>
      </c>
      <c r="G37" s="185">
        <v>8</v>
      </c>
      <c r="H37" s="185">
        <v>0</v>
      </c>
      <c r="I37" s="185">
        <f>SUM(FnlAssem[[#This Row],[S1Qty]],FnlAssem[[#This Row],[S2Qty]],FnlAssem[[#This Row],[S3Qty]])*FnlAssem[[#This Row],[Pcs/Carton]]-FnlAssem[[#This Row],[Defects]]</f>
        <v>7562</v>
      </c>
      <c r="J37" s="186">
        <v>2</v>
      </c>
      <c r="K37" s="186"/>
      <c r="L37" s="161">
        <v>244</v>
      </c>
      <c r="Z37"/>
      <c r="AA37"/>
      <c r="AB37"/>
    </row>
    <row r="38" spans="1:28" x14ac:dyDescent="0.2">
      <c r="A38" s="183">
        <v>45419</v>
      </c>
      <c r="B38" s="184" t="s">
        <v>36</v>
      </c>
      <c r="C38" s="161">
        <v>27203</v>
      </c>
      <c r="D38" s="161" t="s">
        <v>184</v>
      </c>
      <c r="E38" s="184" t="str">
        <f>IF(FnlAssem[[#This Row],[Total]]&gt;0,"Running","Down")</f>
        <v>Running</v>
      </c>
      <c r="F38" s="185">
        <v>32</v>
      </c>
      <c r="G38" s="185">
        <v>51</v>
      </c>
      <c r="H38" s="185">
        <v>0</v>
      </c>
      <c r="I38" s="185">
        <f>SUM(FnlAssem[[#This Row],[S1Qty]],FnlAssem[[#This Row],[S2Qty]],FnlAssem[[#This Row],[S3Qty]])*FnlAssem[[#This Row],[Pcs/Carton]]-FnlAssem[[#This Row],[Defects]]</f>
        <v>20242</v>
      </c>
      <c r="J38" s="186">
        <v>10</v>
      </c>
      <c r="K38" s="186"/>
      <c r="L38" s="161">
        <v>244</v>
      </c>
      <c r="Z38"/>
      <c r="AA38"/>
      <c r="AB38"/>
    </row>
    <row r="39" spans="1:28" x14ac:dyDescent="0.2">
      <c r="A39" s="183">
        <v>45419</v>
      </c>
      <c r="B39" s="184" t="s">
        <v>36</v>
      </c>
      <c r="C39" s="161" t="s">
        <v>197</v>
      </c>
      <c r="D39" s="161" t="s">
        <v>184</v>
      </c>
      <c r="E39" s="184" t="str">
        <f>IF(FnlAssem[[#This Row],[Total]]&gt;0,"Running","Down")</f>
        <v>Running</v>
      </c>
      <c r="F39" s="185">
        <v>18</v>
      </c>
      <c r="G39" s="185">
        <v>0</v>
      </c>
      <c r="H39" s="185">
        <v>0</v>
      </c>
      <c r="I39" s="185">
        <f>SUM(FnlAssem[[#This Row],[S1Qty]],FnlAssem[[#This Row],[S2Qty]],FnlAssem[[#This Row],[S3Qty]])*FnlAssem[[#This Row],[Pcs/Carton]]-FnlAssem[[#This Row],[Defects]]</f>
        <v>4390</v>
      </c>
      <c r="J39" s="186">
        <v>2</v>
      </c>
      <c r="K39" s="186"/>
      <c r="L39" s="161">
        <v>244</v>
      </c>
      <c r="Z39"/>
      <c r="AA39"/>
      <c r="AB39"/>
    </row>
    <row r="40" spans="1:28" x14ac:dyDescent="0.2">
      <c r="A40" s="183">
        <v>45419</v>
      </c>
      <c r="B40" s="184" t="s">
        <v>36</v>
      </c>
      <c r="C40" s="161" t="s">
        <v>243</v>
      </c>
      <c r="D40" s="161" t="s">
        <v>184</v>
      </c>
      <c r="E40" s="184" t="str">
        <f>IF(FnlAssem[[#This Row],[Total]]&gt;0,"Running","Down")</f>
        <v>Running</v>
      </c>
      <c r="F40" s="185">
        <v>25</v>
      </c>
      <c r="G40" s="185">
        <v>48</v>
      </c>
      <c r="H40" s="185">
        <v>39</v>
      </c>
      <c r="I40" s="185">
        <f>SUM(FnlAssem[[#This Row],[S1Qty]],FnlAssem[[#This Row],[S2Qty]],FnlAssem[[#This Row],[S3Qty]])*FnlAssem[[#This Row],[Pcs/Carton]]-FnlAssem[[#This Row],[Defects]]</f>
        <v>27316</v>
      </c>
      <c r="J40" s="186">
        <v>12</v>
      </c>
      <c r="K40" s="186"/>
      <c r="L40" s="161">
        <v>244</v>
      </c>
      <c r="Z40"/>
      <c r="AA40"/>
      <c r="AB40"/>
    </row>
    <row r="41" spans="1:28" x14ac:dyDescent="0.2">
      <c r="A41" s="183">
        <v>45420</v>
      </c>
      <c r="B41" s="184" t="s">
        <v>36</v>
      </c>
      <c r="C41" s="161" t="s">
        <v>229</v>
      </c>
      <c r="D41" s="161" t="s">
        <v>184</v>
      </c>
      <c r="E41" s="184" t="str">
        <f>IF(FnlAssem[[#This Row],[Total]]&gt;0,"Running","Down")</f>
        <v>Running</v>
      </c>
      <c r="F41" s="185">
        <v>18</v>
      </c>
      <c r="G41" s="185">
        <v>49</v>
      </c>
      <c r="H41" s="185">
        <v>0</v>
      </c>
      <c r="I41" s="185">
        <f>SUM(FnlAssem[[#This Row],[S1Qty]],FnlAssem[[#This Row],[S2Qty]],FnlAssem[[#This Row],[S3Qty]])*FnlAssem[[#This Row],[Pcs/Carton]]-FnlAssem[[#This Row],[Defects]]</f>
        <v>16343</v>
      </c>
      <c r="J41" s="186">
        <v>5</v>
      </c>
      <c r="K41" s="186"/>
      <c r="L41" s="161">
        <v>244</v>
      </c>
      <c r="Z41"/>
      <c r="AA41"/>
      <c r="AB41"/>
    </row>
    <row r="42" spans="1:28" x14ac:dyDescent="0.2">
      <c r="A42" s="183">
        <v>45420</v>
      </c>
      <c r="B42" s="184" t="s">
        <v>36</v>
      </c>
      <c r="C42" s="161" t="s">
        <v>228</v>
      </c>
      <c r="D42" s="161" t="s">
        <v>184</v>
      </c>
      <c r="E42" s="184" t="str">
        <f>IF(FnlAssem[[#This Row],[Total]]&gt;0,"Running","Down")</f>
        <v>Running</v>
      </c>
      <c r="F42" s="185">
        <v>29</v>
      </c>
      <c r="G42" s="185">
        <v>12</v>
      </c>
      <c r="H42" s="185">
        <v>0</v>
      </c>
      <c r="I42" s="185">
        <f>SUM(FnlAssem[[#This Row],[S1Qty]],FnlAssem[[#This Row],[S2Qty]],FnlAssem[[#This Row],[S3Qty]])*FnlAssem[[#This Row],[Pcs/Carton]]-FnlAssem[[#This Row],[Defects]]</f>
        <v>10001</v>
      </c>
      <c r="J42" s="186">
        <v>3</v>
      </c>
      <c r="K42" s="186"/>
      <c r="L42" s="161">
        <v>244</v>
      </c>
      <c r="Z42"/>
      <c r="AA42"/>
      <c r="AB42"/>
    </row>
    <row r="43" spans="1:28" x14ac:dyDescent="0.2">
      <c r="A43" s="183">
        <v>45420</v>
      </c>
      <c r="B43" s="184" t="s">
        <v>36</v>
      </c>
      <c r="C43" s="184">
        <v>27203</v>
      </c>
      <c r="D43" s="161" t="s">
        <v>184</v>
      </c>
      <c r="E43" s="184" t="str">
        <f>IF(FnlAssem[[#This Row],[Total]]&gt;0,"Running","Down")</f>
        <v>Running</v>
      </c>
      <c r="F43" s="185">
        <v>13</v>
      </c>
      <c r="G43" s="185">
        <v>0</v>
      </c>
      <c r="H43" s="185">
        <v>0</v>
      </c>
      <c r="I43" s="185">
        <f>SUM(FnlAssem[[#This Row],[S1Qty]],FnlAssem[[#This Row],[S2Qty]],FnlAssem[[#This Row],[S3Qty]])*FnlAssem[[#This Row],[Pcs/Carton]]-FnlAssem[[#This Row],[Defects]]</f>
        <v>3171</v>
      </c>
      <c r="J43" s="186">
        <v>1</v>
      </c>
      <c r="K43" s="186"/>
      <c r="L43" s="161">
        <v>244</v>
      </c>
      <c r="Z43"/>
      <c r="AA43"/>
      <c r="AB43"/>
    </row>
    <row r="44" spans="1:28" x14ac:dyDescent="0.2">
      <c r="A44" s="183">
        <v>45420</v>
      </c>
      <c r="B44" s="184" t="s">
        <v>36</v>
      </c>
      <c r="C44" s="161" t="s">
        <v>237</v>
      </c>
      <c r="D44" s="161" t="s">
        <v>184</v>
      </c>
      <c r="E44" s="184" t="str">
        <f>IF(FnlAssem[[#This Row],[Total]]&gt;0,"Running","Down")</f>
        <v>Running</v>
      </c>
      <c r="F44" s="185">
        <v>36</v>
      </c>
      <c r="G44" s="185">
        <v>109</v>
      </c>
      <c r="H44" s="185">
        <v>0</v>
      </c>
      <c r="I44" s="185">
        <f>SUM(FnlAssem[[#This Row],[S1Qty]],FnlAssem[[#This Row],[S2Qty]],FnlAssem[[#This Row],[S3Qty]])*FnlAssem[[#This Row],[Pcs/Carton]]-FnlAssem[[#This Row],[Defects]]</f>
        <v>35369</v>
      </c>
      <c r="J44" s="186">
        <v>11</v>
      </c>
      <c r="K44" s="186"/>
      <c r="L44" s="161">
        <v>244</v>
      </c>
      <c r="Z44"/>
      <c r="AA44"/>
      <c r="AB44"/>
    </row>
    <row r="45" spans="1:28" x14ac:dyDescent="0.2">
      <c r="A45" s="183">
        <v>45420</v>
      </c>
      <c r="B45" s="184" t="s">
        <v>36</v>
      </c>
      <c r="C45" s="161" t="s">
        <v>243</v>
      </c>
      <c r="D45" s="161" t="s">
        <v>184</v>
      </c>
      <c r="E45" s="184" t="str">
        <f>IF(FnlAssem[[#This Row],[Total]]&gt;0,"Running","Down")</f>
        <v>Running</v>
      </c>
      <c r="F45" s="185">
        <v>22</v>
      </c>
      <c r="G45" s="185">
        <v>19</v>
      </c>
      <c r="H45" s="185">
        <v>39</v>
      </c>
      <c r="I45" s="185">
        <f>SUM(FnlAssem[[#This Row],[S1Qty]],FnlAssem[[#This Row],[S2Qty]],FnlAssem[[#This Row],[S3Qty]])*FnlAssem[[#This Row],[Pcs/Carton]]-FnlAssem[[#This Row],[Defects]]</f>
        <v>19514</v>
      </c>
      <c r="J45" s="186">
        <v>6</v>
      </c>
      <c r="K45" s="186"/>
      <c r="L45" s="161">
        <v>244</v>
      </c>
      <c r="Z45"/>
      <c r="AA45"/>
      <c r="AB45"/>
    </row>
    <row r="46" spans="1:28" x14ac:dyDescent="0.2">
      <c r="A46" s="183">
        <v>45421</v>
      </c>
      <c r="B46" s="184" t="s">
        <v>36</v>
      </c>
      <c r="C46" s="161" t="s">
        <v>237</v>
      </c>
      <c r="D46" s="161" t="s">
        <v>184</v>
      </c>
      <c r="E46" s="184" t="str">
        <f>IF(FnlAssem[[#This Row],[Total]]&gt;0,"Running","Down")</f>
        <v>Running</v>
      </c>
      <c r="F46" s="185">
        <v>33</v>
      </c>
      <c r="G46" s="185">
        <v>34</v>
      </c>
      <c r="H46" s="185">
        <v>0</v>
      </c>
      <c r="I46" s="185">
        <f>SUM(FnlAssem[[#This Row],[S1Qty]],FnlAssem[[#This Row],[S2Qty]],FnlAssem[[#This Row],[S3Qty]])*FnlAssem[[#This Row],[Pcs/Carton]]-FnlAssem[[#This Row],[Defects]]</f>
        <v>16337</v>
      </c>
      <c r="J46" s="186">
        <v>11</v>
      </c>
      <c r="K46" s="186"/>
      <c r="L46" s="161">
        <v>244</v>
      </c>
      <c r="P46" s="208"/>
      <c r="Z46"/>
      <c r="AA46"/>
      <c r="AB46"/>
    </row>
    <row r="47" spans="1:28" x14ac:dyDescent="0.2">
      <c r="A47" s="183">
        <v>45421</v>
      </c>
      <c r="B47" s="184" t="s">
        <v>36</v>
      </c>
      <c r="C47" s="161" t="s">
        <v>249</v>
      </c>
      <c r="D47" s="161" t="s">
        <v>184</v>
      </c>
      <c r="E47" s="184" t="str">
        <f>IF(FnlAssem[[#This Row],[Total]]&gt;0,"Running","Down")</f>
        <v>Running</v>
      </c>
      <c r="F47" s="185">
        <v>8</v>
      </c>
      <c r="G47" s="185">
        <v>56</v>
      </c>
      <c r="H47" s="185">
        <v>0</v>
      </c>
      <c r="I47" s="185">
        <f>SUM(FnlAssem[[#This Row],[S1Qty]],FnlAssem[[#This Row],[S2Qty]],FnlAssem[[#This Row],[S3Qty]])*FnlAssem[[#This Row],[Pcs/Carton]]-FnlAssem[[#This Row],[Defects]]</f>
        <v>15606</v>
      </c>
      <c r="J47" s="186">
        <v>10</v>
      </c>
      <c r="K47" s="186"/>
      <c r="L47" s="161">
        <v>244</v>
      </c>
      <c r="Z47"/>
      <c r="AA47"/>
      <c r="AB47"/>
    </row>
    <row r="48" spans="1:28" x14ac:dyDescent="0.2">
      <c r="A48" s="183">
        <v>45421</v>
      </c>
      <c r="B48" s="184" t="s">
        <v>36</v>
      </c>
      <c r="C48" s="184">
        <v>26365</v>
      </c>
      <c r="D48" s="161" t="s">
        <v>184</v>
      </c>
      <c r="E48" s="184" t="str">
        <f>IF(FnlAssem[[#This Row],[Total]]&gt;0,"Running","Down")</f>
        <v>Running</v>
      </c>
      <c r="F48" s="185">
        <v>5</v>
      </c>
      <c r="G48" s="185">
        <v>59</v>
      </c>
      <c r="H48" s="185">
        <v>43</v>
      </c>
      <c r="I48" s="185">
        <f>SUM(FnlAssem[[#This Row],[S1Qty]],FnlAssem[[#This Row],[S2Qty]],FnlAssem[[#This Row],[S3Qty]])*FnlAssem[[#This Row],[Pcs/Carton]]-FnlAssem[[#This Row],[Defects]]</f>
        <v>26090</v>
      </c>
      <c r="J48" s="186">
        <v>18</v>
      </c>
      <c r="K48" s="186"/>
      <c r="L48" s="161">
        <v>244</v>
      </c>
      <c r="Z48"/>
      <c r="AA48"/>
      <c r="AB48"/>
    </row>
    <row r="49" spans="1:28" x14ac:dyDescent="0.2">
      <c r="A49" s="183">
        <v>45421</v>
      </c>
      <c r="B49" s="184" t="s">
        <v>36</v>
      </c>
      <c r="C49" s="161" t="s">
        <v>259</v>
      </c>
      <c r="D49" s="161" t="s">
        <v>184</v>
      </c>
      <c r="E49" s="184" t="str">
        <f>IF(FnlAssem[[#This Row],[Total]]&gt;0,"Running","Down")</f>
        <v>Running</v>
      </c>
      <c r="F49" s="185">
        <v>31</v>
      </c>
      <c r="G49" s="185">
        <v>32</v>
      </c>
      <c r="H49" s="185">
        <v>0</v>
      </c>
      <c r="I49" s="185">
        <f>SUM(FnlAssem[[#This Row],[S1Qty]],FnlAssem[[#This Row],[S2Qty]],FnlAssem[[#This Row],[S3Qty]])*FnlAssem[[#This Row],[Pcs/Carton]]-FnlAssem[[#This Row],[Defects]]</f>
        <v>15343</v>
      </c>
      <c r="J49" s="186">
        <v>29</v>
      </c>
      <c r="K49" s="186"/>
      <c r="L49" s="161">
        <v>244</v>
      </c>
      <c r="Z49"/>
      <c r="AA49"/>
      <c r="AB49"/>
    </row>
    <row r="50" spans="1:28" x14ac:dyDescent="0.2">
      <c r="A50" s="183">
        <v>45421</v>
      </c>
      <c r="B50" s="184" t="s">
        <v>36</v>
      </c>
      <c r="C50" s="184">
        <v>25152</v>
      </c>
      <c r="D50" s="161" t="s">
        <v>184</v>
      </c>
      <c r="E50" s="184" t="str">
        <f>IF(FnlAssem[[#This Row],[Total]]&gt;0,"Running","Down")</f>
        <v>Running</v>
      </c>
      <c r="F50" s="185">
        <v>20</v>
      </c>
      <c r="G50" s="185">
        <v>5</v>
      </c>
      <c r="H50" s="185">
        <v>0</v>
      </c>
      <c r="I50" s="185">
        <f>SUM(FnlAssem[[#This Row],[S1Qty]],FnlAssem[[#This Row],[S2Qty]],FnlAssem[[#This Row],[S3Qty]])*FnlAssem[[#This Row],[Pcs/Carton]]-FnlAssem[[#This Row],[Defects]]</f>
        <v>6089</v>
      </c>
      <c r="J50" s="186">
        <v>11</v>
      </c>
      <c r="K50" s="186"/>
      <c r="L50" s="161">
        <v>244</v>
      </c>
      <c r="Z50"/>
      <c r="AA50"/>
      <c r="AB50"/>
    </row>
    <row r="51" spans="1:28" x14ac:dyDescent="0.2">
      <c r="A51" s="183">
        <v>45422</v>
      </c>
      <c r="B51" s="184" t="s">
        <v>36</v>
      </c>
      <c r="C51" s="184">
        <v>26365</v>
      </c>
      <c r="D51" s="161" t="s">
        <v>184</v>
      </c>
      <c r="E51" s="184" t="str">
        <f>IF(FnlAssem[[#This Row],[Total]]&gt;0,"Running","Down")</f>
        <v>Running</v>
      </c>
      <c r="F51" s="185">
        <v>5</v>
      </c>
      <c r="G51" s="185">
        <v>21</v>
      </c>
      <c r="H51" s="185">
        <v>0</v>
      </c>
      <c r="I51" s="185">
        <f>SUM(FnlAssem[[#This Row],[S1Qty]],FnlAssem[[#This Row],[S2Qty]],FnlAssem[[#This Row],[S3Qty]])*FnlAssem[[#This Row],[Pcs/Carton]]-FnlAssem[[#This Row],[Defects]]</f>
        <v>6340</v>
      </c>
      <c r="J51" s="186">
        <v>4</v>
      </c>
      <c r="K51" s="186"/>
      <c r="L51" s="161">
        <v>244</v>
      </c>
      <c r="Z51"/>
      <c r="AA51"/>
      <c r="AB51"/>
    </row>
    <row r="52" spans="1:28" x14ac:dyDescent="0.2">
      <c r="A52" s="183">
        <v>45422</v>
      </c>
      <c r="B52" s="184" t="s">
        <v>36</v>
      </c>
      <c r="C52" s="161" t="s">
        <v>249</v>
      </c>
      <c r="D52" s="161" t="s">
        <v>184</v>
      </c>
      <c r="E52" s="184" t="str">
        <f>IF(FnlAssem[[#This Row],[Total]]&gt;0,"Running","Down")</f>
        <v>Running</v>
      </c>
      <c r="F52" s="185">
        <v>46</v>
      </c>
      <c r="G52" s="185">
        <v>61</v>
      </c>
      <c r="H52" s="185">
        <v>0</v>
      </c>
      <c r="I52" s="185">
        <f>SUM(FnlAssem[[#This Row],[S1Qty]],FnlAssem[[#This Row],[S2Qty]],FnlAssem[[#This Row],[S3Qty]])*FnlAssem[[#This Row],[Pcs/Carton]]-FnlAssem[[#This Row],[Defects]]</f>
        <v>26091</v>
      </c>
      <c r="J52" s="186">
        <v>17</v>
      </c>
      <c r="K52" s="186"/>
      <c r="L52" s="161">
        <v>244</v>
      </c>
      <c r="Z52"/>
      <c r="AA52"/>
      <c r="AB52"/>
    </row>
    <row r="53" spans="1:28" x14ac:dyDescent="0.2">
      <c r="A53" s="183">
        <v>45422</v>
      </c>
      <c r="B53" s="184" t="s">
        <v>36</v>
      </c>
      <c r="C53" s="184">
        <v>27128</v>
      </c>
      <c r="D53" s="161" t="s">
        <v>184</v>
      </c>
      <c r="E53" s="184" t="str">
        <f>IF(FnlAssem[[#This Row],[Total]]&gt;0,"Running","Down")</f>
        <v>Running</v>
      </c>
      <c r="F53" s="185">
        <v>0</v>
      </c>
      <c r="G53" s="185">
        <v>28</v>
      </c>
      <c r="H53" s="185">
        <v>31</v>
      </c>
      <c r="I53" s="185">
        <f>SUM(FnlAssem[[#This Row],[S1Qty]],FnlAssem[[#This Row],[S2Qty]],FnlAssem[[#This Row],[S3Qty]])*FnlAssem[[#This Row],[Pcs/Carton]]-FnlAssem[[#This Row],[Defects]]</f>
        <v>14386</v>
      </c>
      <c r="J53" s="186">
        <v>10</v>
      </c>
      <c r="K53" s="186"/>
      <c r="L53" s="161">
        <v>244</v>
      </c>
      <c r="Z53"/>
      <c r="AA53"/>
      <c r="AB53"/>
    </row>
    <row r="54" spans="1:28" x14ac:dyDescent="0.2">
      <c r="A54" s="183">
        <v>45422</v>
      </c>
      <c r="B54" s="184" t="s">
        <v>36</v>
      </c>
      <c r="C54" s="161" t="s">
        <v>228</v>
      </c>
      <c r="D54" s="161" t="s">
        <v>184</v>
      </c>
      <c r="E54" s="184" t="str">
        <f>IF(FnlAssem[[#This Row],[Total]]&gt;0,"Running","Down")</f>
        <v>Running</v>
      </c>
      <c r="F54" s="185">
        <v>32</v>
      </c>
      <c r="G54" s="185">
        <v>22</v>
      </c>
      <c r="H54" s="185">
        <v>0</v>
      </c>
      <c r="I54" s="185">
        <f>SUM(FnlAssem[[#This Row],[S1Qty]],FnlAssem[[#This Row],[S2Qty]],FnlAssem[[#This Row],[S3Qty]])*FnlAssem[[#This Row],[Pcs/Carton]]-FnlAssem[[#This Row],[Defects]]</f>
        <v>13163</v>
      </c>
      <c r="J54" s="186">
        <v>13</v>
      </c>
      <c r="K54" s="186"/>
      <c r="L54" s="161">
        <v>244</v>
      </c>
      <c r="Z54"/>
      <c r="AA54"/>
      <c r="AB54"/>
    </row>
    <row r="55" spans="1:28" x14ac:dyDescent="0.2">
      <c r="A55" s="183">
        <v>45422</v>
      </c>
      <c r="B55" s="184" t="s">
        <v>36</v>
      </c>
      <c r="C55" s="161" t="s">
        <v>267</v>
      </c>
      <c r="D55" s="161" t="s">
        <v>184</v>
      </c>
      <c r="E55" s="184" t="str">
        <f>IF(FnlAssem[[#This Row],[Total]]&gt;0,"Running","Down")</f>
        <v>Running</v>
      </c>
      <c r="F55" s="185">
        <v>32</v>
      </c>
      <c r="G55" s="185">
        <v>34</v>
      </c>
      <c r="H55" s="185">
        <v>0</v>
      </c>
      <c r="I55" s="185">
        <f>SUM(FnlAssem[[#This Row],[S1Qty]],FnlAssem[[#This Row],[S2Qty]],FnlAssem[[#This Row],[S3Qty]])*FnlAssem[[#This Row],[Pcs/Carton]]-FnlAssem[[#This Row],[Defects]]</f>
        <v>16088</v>
      </c>
      <c r="J55" s="186">
        <v>16</v>
      </c>
      <c r="K55" s="186"/>
      <c r="L55" s="161">
        <v>244</v>
      </c>
      <c r="Z55"/>
      <c r="AA55"/>
      <c r="AB55"/>
    </row>
    <row r="56" spans="1:28" x14ac:dyDescent="0.2">
      <c r="A56" s="183">
        <v>45423</v>
      </c>
      <c r="B56" s="184" t="s">
        <v>36</v>
      </c>
      <c r="C56" s="184"/>
      <c r="D56" s="184"/>
      <c r="E56" s="184" t="str">
        <f>IF(FnlAssem[[#This Row],[Total]]&gt;0,"Running","Down")</f>
        <v>Down</v>
      </c>
      <c r="F56" s="185">
        <v>0</v>
      </c>
      <c r="G56" s="185">
        <v>0</v>
      </c>
      <c r="H56" s="185">
        <v>0</v>
      </c>
      <c r="I56" s="185">
        <f>SUM(FnlAssem[[#This Row],[S1Qty]],FnlAssem[[#This Row],[S2Qty]],FnlAssem[[#This Row],[S3Qty]])*FnlAssem[[#This Row],[Pcs/Carton]]-FnlAssem[[#This Row],[Defects]]</f>
        <v>0</v>
      </c>
      <c r="J56" s="186">
        <v>0</v>
      </c>
      <c r="K56" s="186"/>
      <c r="L56" s="161">
        <v>244</v>
      </c>
      <c r="Z56"/>
      <c r="AA56"/>
      <c r="AB56"/>
    </row>
    <row r="57" spans="1:28" x14ac:dyDescent="0.2">
      <c r="A57" s="183">
        <v>45424</v>
      </c>
      <c r="B57" s="184" t="s">
        <v>36</v>
      </c>
      <c r="C57" s="184"/>
      <c r="D57" s="184"/>
      <c r="E57" s="184" t="str">
        <f>IF(FnlAssem[[#This Row],[Total]]&gt;0,"Running","Down")</f>
        <v>Down</v>
      </c>
      <c r="F57" s="185">
        <v>0</v>
      </c>
      <c r="G57" s="185">
        <v>0</v>
      </c>
      <c r="H57" s="185">
        <v>0</v>
      </c>
      <c r="I57" s="185">
        <f>SUM(FnlAssem[[#This Row],[S1Qty]],FnlAssem[[#This Row],[S2Qty]],FnlAssem[[#This Row],[S3Qty]])*FnlAssem[[#This Row],[Pcs/Carton]]-FnlAssem[[#This Row],[Defects]]</f>
        <v>0</v>
      </c>
      <c r="J57" s="186">
        <v>0</v>
      </c>
      <c r="K57" s="186"/>
      <c r="L57" s="161">
        <v>244</v>
      </c>
      <c r="Z57"/>
      <c r="AA57"/>
      <c r="AB57"/>
    </row>
    <row r="58" spans="1:28" x14ac:dyDescent="0.2">
      <c r="A58" s="183">
        <v>45425</v>
      </c>
      <c r="B58" s="184" t="s">
        <v>36</v>
      </c>
      <c r="C58" s="184"/>
      <c r="D58" s="184"/>
      <c r="E58" s="184" t="str">
        <f>IF(FnlAssem[[#This Row],[Total]]&gt;0,"Running","Down")</f>
        <v>Down</v>
      </c>
      <c r="F58" s="185">
        <v>0</v>
      </c>
      <c r="G58" s="185">
        <v>0</v>
      </c>
      <c r="H58" s="185">
        <v>0</v>
      </c>
      <c r="I58" s="185">
        <f>SUM(FnlAssem[[#This Row],[S1Qty]],FnlAssem[[#This Row],[S2Qty]],FnlAssem[[#This Row],[S3Qty]])*FnlAssem[[#This Row],[Pcs/Carton]]-FnlAssem[[#This Row],[Defects]]</f>
        <v>0</v>
      </c>
      <c r="J58" s="186">
        <v>0</v>
      </c>
      <c r="K58" s="186"/>
      <c r="L58" s="161">
        <v>244</v>
      </c>
      <c r="Z58"/>
      <c r="AA58"/>
      <c r="AB58"/>
    </row>
    <row r="59" spans="1:28" x14ac:dyDescent="0.2">
      <c r="A59" s="183">
        <v>45426</v>
      </c>
      <c r="B59" s="184" t="s">
        <v>36</v>
      </c>
      <c r="C59" s="184"/>
      <c r="D59" s="184"/>
      <c r="E59" s="184" t="str">
        <f>IF(FnlAssem[[#This Row],[Total]]&gt;0,"Running","Down")</f>
        <v>Down</v>
      </c>
      <c r="F59" s="185">
        <v>0</v>
      </c>
      <c r="G59" s="185">
        <v>0</v>
      </c>
      <c r="H59" s="185">
        <v>0</v>
      </c>
      <c r="I59" s="185">
        <f>SUM(FnlAssem[[#This Row],[S1Qty]],FnlAssem[[#This Row],[S2Qty]],FnlAssem[[#This Row],[S3Qty]])*FnlAssem[[#This Row],[Pcs/Carton]]-FnlAssem[[#This Row],[Defects]]</f>
        <v>0</v>
      </c>
      <c r="J59" s="186">
        <v>0</v>
      </c>
      <c r="K59" s="186"/>
      <c r="L59" s="161">
        <v>244</v>
      </c>
      <c r="Z59"/>
      <c r="AA59"/>
      <c r="AB59"/>
    </row>
    <row r="60" spans="1:28" x14ac:dyDescent="0.2">
      <c r="A60" s="183">
        <v>45427</v>
      </c>
      <c r="B60" s="184" t="s">
        <v>36</v>
      </c>
      <c r="C60" s="184"/>
      <c r="D60" s="184"/>
      <c r="E60" s="184" t="str">
        <f>IF(FnlAssem[[#This Row],[Total]]&gt;0,"Running","Down")</f>
        <v>Down</v>
      </c>
      <c r="F60" s="185">
        <v>0</v>
      </c>
      <c r="G60" s="185">
        <v>0</v>
      </c>
      <c r="H60" s="185">
        <v>0</v>
      </c>
      <c r="I60" s="185">
        <f>SUM(FnlAssem[[#This Row],[S1Qty]],FnlAssem[[#This Row],[S2Qty]],FnlAssem[[#This Row],[S3Qty]])*FnlAssem[[#This Row],[Pcs/Carton]]-FnlAssem[[#This Row],[Defects]]</f>
        <v>0</v>
      </c>
      <c r="J60" s="186">
        <v>0</v>
      </c>
      <c r="K60" s="186"/>
      <c r="L60" s="161">
        <v>244</v>
      </c>
      <c r="Z60"/>
      <c r="AA60"/>
      <c r="AB60"/>
    </row>
    <row r="61" spans="1:28" x14ac:dyDescent="0.2">
      <c r="A61" s="183">
        <v>45428</v>
      </c>
      <c r="B61" s="184" t="s">
        <v>36</v>
      </c>
      <c r="C61" s="184"/>
      <c r="D61" s="184"/>
      <c r="E61" s="184" t="str">
        <f>IF(FnlAssem[[#This Row],[Total]]&gt;0,"Running","Down")</f>
        <v>Down</v>
      </c>
      <c r="F61" s="185">
        <v>0</v>
      </c>
      <c r="G61" s="185">
        <v>0</v>
      </c>
      <c r="H61" s="185">
        <v>0</v>
      </c>
      <c r="I61" s="185">
        <f>SUM(FnlAssem[[#This Row],[S1Qty]],FnlAssem[[#This Row],[S2Qty]],FnlAssem[[#This Row],[S3Qty]])*FnlAssem[[#This Row],[Pcs/Carton]]-FnlAssem[[#This Row],[Defects]]</f>
        <v>0</v>
      </c>
      <c r="J61" s="186">
        <v>0</v>
      </c>
      <c r="K61" s="186"/>
      <c r="L61" s="161">
        <v>244</v>
      </c>
      <c r="Z61"/>
      <c r="AA61"/>
      <c r="AB61"/>
    </row>
    <row r="62" spans="1:28" x14ac:dyDescent="0.2">
      <c r="A62" s="183">
        <v>45429</v>
      </c>
      <c r="B62" s="184" t="s">
        <v>36</v>
      </c>
      <c r="C62" s="184"/>
      <c r="D62" s="184"/>
      <c r="E62" s="184" t="str">
        <f>IF(FnlAssem[[#This Row],[Total]]&gt;0,"Running","Down")</f>
        <v>Down</v>
      </c>
      <c r="F62" s="185">
        <v>0</v>
      </c>
      <c r="G62" s="185">
        <v>0</v>
      </c>
      <c r="H62" s="185">
        <v>0</v>
      </c>
      <c r="I62" s="185">
        <f>SUM(FnlAssem[[#This Row],[S1Qty]],FnlAssem[[#This Row],[S2Qty]],FnlAssem[[#This Row],[S3Qty]])*FnlAssem[[#This Row],[Pcs/Carton]]-FnlAssem[[#This Row],[Defects]]</f>
        <v>0</v>
      </c>
      <c r="J62" s="186">
        <v>0</v>
      </c>
      <c r="K62" s="186"/>
      <c r="L62" s="161">
        <v>244</v>
      </c>
      <c r="Z62"/>
      <c r="AA62"/>
      <c r="AB62"/>
    </row>
    <row r="63" spans="1:28" x14ac:dyDescent="0.2">
      <c r="A63" s="183">
        <v>45430</v>
      </c>
      <c r="B63" s="184" t="s">
        <v>36</v>
      </c>
      <c r="C63" s="184"/>
      <c r="D63" s="184"/>
      <c r="E63" s="184" t="str">
        <f>IF(FnlAssem[[#This Row],[Total]]&gt;0,"Running","Down")</f>
        <v>Down</v>
      </c>
      <c r="F63" s="185">
        <v>0</v>
      </c>
      <c r="G63" s="185">
        <v>0</v>
      </c>
      <c r="H63" s="185">
        <v>0</v>
      </c>
      <c r="I63" s="185">
        <f>SUM(FnlAssem[[#This Row],[S1Qty]],FnlAssem[[#This Row],[S2Qty]],FnlAssem[[#This Row],[S3Qty]])*FnlAssem[[#This Row],[Pcs/Carton]]-FnlAssem[[#This Row],[Defects]]</f>
        <v>0</v>
      </c>
      <c r="J63" s="186">
        <v>0</v>
      </c>
      <c r="K63" s="186"/>
      <c r="L63" s="161">
        <v>244</v>
      </c>
      <c r="Z63"/>
      <c r="AA63"/>
      <c r="AB63"/>
    </row>
    <row r="64" spans="1:28" x14ac:dyDescent="0.2">
      <c r="A64" s="183">
        <v>45431</v>
      </c>
      <c r="B64" s="184" t="s">
        <v>36</v>
      </c>
      <c r="C64" s="184"/>
      <c r="D64" s="184"/>
      <c r="E64" s="184" t="str">
        <f>IF(FnlAssem[[#This Row],[Total]]&gt;0,"Running","Down")</f>
        <v>Down</v>
      </c>
      <c r="F64" s="185">
        <v>0</v>
      </c>
      <c r="G64" s="185">
        <v>0</v>
      </c>
      <c r="H64" s="185">
        <v>0</v>
      </c>
      <c r="I64" s="185">
        <f>SUM(FnlAssem[[#This Row],[S1Qty]],FnlAssem[[#This Row],[S2Qty]],FnlAssem[[#This Row],[S3Qty]])*FnlAssem[[#This Row],[Pcs/Carton]]-FnlAssem[[#This Row],[Defects]]</f>
        <v>0</v>
      </c>
      <c r="J64" s="186">
        <v>0</v>
      </c>
      <c r="K64" s="186"/>
      <c r="L64" s="161">
        <v>244</v>
      </c>
      <c r="Z64"/>
      <c r="AA64"/>
      <c r="AB64"/>
    </row>
    <row r="65" spans="1:28" x14ac:dyDescent="0.2">
      <c r="A65" s="183">
        <v>45432</v>
      </c>
      <c r="B65" s="184" t="s">
        <v>36</v>
      </c>
      <c r="C65" s="184"/>
      <c r="D65" s="184"/>
      <c r="E65" s="184" t="str">
        <f>IF(FnlAssem[[#This Row],[Total]]&gt;0,"Running","Down")</f>
        <v>Down</v>
      </c>
      <c r="F65" s="185">
        <v>0</v>
      </c>
      <c r="G65" s="185">
        <v>0</v>
      </c>
      <c r="H65" s="185">
        <v>0</v>
      </c>
      <c r="I65" s="185">
        <f>SUM(FnlAssem[[#This Row],[S1Qty]],FnlAssem[[#This Row],[S2Qty]],FnlAssem[[#This Row],[S3Qty]])*FnlAssem[[#This Row],[Pcs/Carton]]-FnlAssem[[#This Row],[Defects]]</f>
        <v>0</v>
      </c>
      <c r="J65" s="186">
        <v>0</v>
      </c>
      <c r="K65" s="186"/>
      <c r="L65" s="161">
        <v>244</v>
      </c>
      <c r="Z65"/>
      <c r="AA65"/>
      <c r="AB65"/>
    </row>
    <row r="66" spans="1:28" x14ac:dyDescent="0.2">
      <c r="A66" s="183">
        <v>45433</v>
      </c>
      <c r="B66" s="184" t="s">
        <v>36</v>
      </c>
      <c r="C66" s="184"/>
      <c r="D66" s="184"/>
      <c r="E66" s="184" t="str">
        <f>IF(FnlAssem[[#This Row],[Total]]&gt;0,"Running","Down")</f>
        <v>Down</v>
      </c>
      <c r="F66" s="185">
        <v>0</v>
      </c>
      <c r="G66" s="185">
        <v>0</v>
      </c>
      <c r="H66" s="185">
        <v>0</v>
      </c>
      <c r="I66" s="185">
        <f>SUM(FnlAssem[[#This Row],[S1Qty]],FnlAssem[[#This Row],[S2Qty]],FnlAssem[[#This Row],[S3Qty]])*FnlAssem[[#This Row],[Pcs/Carton]]-FnlAssem[[#This Row],[Defects]]</f>
        <v>0</v>
      </c>
      <c r="J66" s="186">
        <v>0</v>
      </c>
      <c r="K66" s="186"/>
      <c r="L66" s="161">
        <v>244</v>
      </c>
      <c r="Z66"/>
      <c r="AA66"/>
      <c r="AB66"/>
    </row>
    <row r="67" spans="1:28" x14ac:dyDescent="0.2">
      <c r="A67" s="183">
        <v>45434</v>
      </c>
      <c r="B67" s="184" t="s">
        <v>36</v>
      </c>
      <c r="C67" s="184"/>
      <c r="D67" s="184"/>
      <c r="E67" s="184" t="str">
        <f>IF(FnlAssem[[#This Row],[Total]]&gt;0,"Running","Down")</f>
        <v>Down</v>
      </c>
      <c r="F67" s="185">
        <v>0</v>
      </c>
      <c r="G67" s="185">
        <v>0</v>
      </c>
      <c r="H67" s="185">
        <v>0</v>
      </c>
      <c r="I67" s="185">
        <f>SUM(FnlAssem[[#This Row],[S1Qty]],FnlAssem[[#This Row],[S2Qty]],FnlAssem[[#This Row],[S3Qty]])*FnlAssem[[#This Row],[Pcs/Carton]]-FnlAssem[[#This Row],[Defects]]</f>
        <v>0</v>
      </c>
      <c r="J67" s="186">
        <v>0</v>
      </c>
      <c r="K67" s="186"/>
      <c r="L67" s="161">
        <v>244</v>
      </c>
      <c r="Z67"/>
      <c r="AA67"/>
      <c r="AB67"/>
    </row>
    <row r="68" spans="1:28" x14ac:dyDescent="0.2">
      <c r="A68" s="183">
        <v>45435</v>
      </c>
      <c r="B68" s="184" t="s">
        <v>36</v>
      </c>
      <c r="C68" s="184"/>
      <c r="D68" s="184"/>
      <c r="E68" s="184" t="str">
        <f>IF(FnlAssem[[#This Row],[Total]]&gt;0,"Running","Down")</f>
        <v>Down</v>
      </c>
      <c r="F68" s="185">
        <v>0</v>
      </c>
      <c r="G68" s="185">
        <v>0</v>
      </c>
      <c r="H68" s="185">
        <v>0</v>
      </c>
      <c r="I68" s="185">
        <f>SUM(FnlAssem[[#This Row],[S1Qty]],FnlAssem[[#This Row],[S2Qty]],FnlAssem[[#This Row],[S3Qty]])*FnlAssem[[#This Row],[Pcs/Carton]]-FnlAssem[[#This Row],[Defects]]</f>
        <v>0</v>
      </c>
      <c r="J68" s="186">
        <v>0</v>
      </c>
      <c r="K68" s="186"/>
      <c r="L68" s="161">
        <v>244</v>
      </c>
      <c r="Z68"/>
      <c r="AA68"/>
      <c r="AB68"/>
    </row>
    <row r="69" spans="1:28" x14ac:dyDescent="0.2">
      <c r="A69" s="183">
        <v>45436</v>
      </c>
      <c r="B69" s="184" t="s">
        <v>36</v>
      </c>
      <c r="C69" s="184"/>
      <c r="D69" s="184"/>
      <c r="E69" s="184" t="str">
        <f>IF(FnlAssem[[#This Row],[Total]]&gt;0,"Running","Down")</f>
        <v>Down</v>
      </c>
      <c r="F69" s="185">
        <v>0</v>
      </c>
      <c r="G69" s="185">
        <v>0</v>
      </c>
      <c r="H69" s="185">
        <v>0</v>
      </c>
      <c r="I69" s="185">
        <f>SUM(FnlAssem[[#This Row],[S1Qty]],FnlAssem[[#This Row],[S2Qty]],FnlAssem[[#This Row],[S3Qty]])*FnlAssem[[#This Row],[Pcs/Carton]]-FnlAssem[[#This Row],[Defects]]</f>
        <v>0</v>
      </c>
      <c r="J69" s="186">
        <v>0</v>
      </c>
      <c r="K69" s="186"/>
      <c r="L69" s="161">
        <v>244</v>
      </c>
      <c r="Z69"/>
      <c r="AA69"/>
      <c r="AB69"/>
    </row>
    <row r="70" spans="1:28" x14ac:dyDescent="0.2">
      <c r="A70" s="183">
        <v>45437</v>
      </c>
      <c r="B70" s="184" t="s">
        <v>36</v>
      </c>
      <c r="C70" s="184"/>
      <c r="D70" s="184"/>
      <c r="E70" s="184" t="str">
        <f>IF(FnlAssem[[#This Row],[Total]]&gt;0,"Running","Down")</f>
        <v>Down</v>
      </c>
      <c r="F70" s="185">
        <v>0</v>
      </c>
      <c r="G70" s="185">
        <v>0</v>
      </c>
      <c r="H70" s="185">
        <v>0</v>
      </c>
      <c r="I70" s="185">
        <f>SUM(FnlAssem[[#This Row],[S1Qty]],FnlAssem[[#This Row],[S2Qty]],FnlAssem[[#This Row],[S3Qty]])*FnlAssem[[#This Row],[Pcs/Carton]]-FnlAssem[[#This Row],[Defects]]</f>
        <v>0</v>
      </c>
      <c r="J70" s="186">
        <v>0</v>
      </c>
      <c r="K70" s="186"/>
      <c r="L70" s="161">
        <v>244</v>
      </c>
      <c r="Z70"/>
      <c r="AA70"/>
      <c r="AB70"/>
    </row>
    <row r="71" spans="1:28" x14ac:dyDescent="0.2">
      <c r="A71" s="183">
        <v>45438</v>
      </c>
      <c r="B71" s="184" t="s">
        <v>36</v>
      </c>
      <c r="C71" s="184"/>
      <c r="D71" s="184"/>
      <c r="E71" s="184" t="str">
        <f>IF(FnlAssem[[#This Row],[Total]]&gt;0,"Running","Down")</f>
        <v>Down</v>
      </c>
      <c r="F71" s="185">
        <v>0</v>
      </c>
      <c r="G71" s="185">
        <v>0</v>
      </c>
      <c r="H71" s="185">
        <v>0</v>
      </c>
      <c r="I71" s="185">
        <f>SUM(FnlAssem[[#This Row],[S1Qty]],FnlAssem[[#This Row],[S2Qty]],FnlAssem[[#This Row],[S3Qty]])*FnlAssem[[#This Row],[Pcs/Carton]]-FnlAssem[[#This Row],[Defects]]</f>
        <v>0</v>
      </c>
      <c r="J71" s="186">
        <v>0</v>
      </c>
      <c r="K71" s="186"/>
      <c r="L71" s="161">
        <v>244</v>
      </c>
      <c r="Z71"/>
      <c r="AA71"/>
      <c r="AB71"/>
    </row>
    <row r="72" spans="1:28" x14ac:dyDescent="0.2">
      <c r="A72" s="183">
        <v>45439</v>
      </c>
      <c r="B72" s="184" t="s">
        <v>36</v>
      </c>
      <c r="C72" s="184"/>
      <c r="D72" s="184"/>
      <c r="E72" s="184" t="str">
        <f>IF(FnlAssem[[#This Row],[Total]]&gt;0,"Running","Down")</f>
        <v>Down</v>
      </c>
      <c r="F72" s="185">
        <v>0</v>
      </c>
      <c r="G72" s="185">
        <v>0</v>
      </c>
      <c r="H72" s="185">
        <v>0</v>
      </c>
      <c r="I72" s="185">
        <f>SUM(FnlAssem[[#This Row],[S1Qty]],FnlAssem[[#This Row],[S2Qty]],FnlAssem[[#This Row],[S3Qty]])*FnlAssem[[#This Row],[Pcs/Carton]]-FnlAssem[[#This Row],[Defects]]</f>
        <v>0</v>
      </c>
      <c r="J72" s="186">
        <v>0</v>
      </c>
      <c r="K72" s="186"/>
      <c r="L72" s="161">
        <v>244</v>
      </c>
      <c r="Z72"/>
      <c r="AA72"/>
      <c r="AB72"/>
    </row>
    <row r="73" spans="1:28" x14ac:dyDescent="0.2">
      <c r="A73" s="183">
        <v>45440</v>
      </c>
      <c r="B73" s="184" t="s">
        <v>36</v>
      </c>
      <c r="C73" s="184"/>
      <c r="D73" s="184"/>
      <c r="E73" s="184" t="str">
        <f>IF(FnlAssem[[#This Row],[Total]]&gt;0,"Running","Down")</f>
        <v>Down</v>
      </c>
      <c r="F73" s="185">
        <v>0</v>
      </c>
      <c r="G73" s="185">
        <v>0</v>
      </c>
      <c r="H73" s="185">
        <v>0</v>
      </c>
      <c r="I73" s="185">
        <f>SUM(FnlAssem[[#This Row],[S1Qty]],FnlAssem[[#This Row],[S2Qty]],FnlAssem[[#This Row],[S3Qty]])*FnlAssem[[#This Row],[Pcs/Carton]]-FnlAssem[[#This Row],[Defects]]</f>
        <v>0</v>
      </c>
      <c r="J73" s="186">
        <v>0</v>
      </c>
      <c r="K73" s="186"/>
      <c r="L73" s="161">
        <v>244</v>
      </c>
      <c r="Z73"/>
      <c r="AA73"/>
      <c r="AB73"/>
    </row>
    <row r="74" spans="1:28" x14ac:dyDescent="0.2">
      <c r="A74" s="183">
        <v>45441</v>
      </c>
      <c r="B74" s="184" t="s">
        <v>36</v>
      </c>
      <c r="C74" s="184"/>
      <c r="D74" s="184"/>
      <c r="E74" s="184" t="str">
        <f>IF(FnlAssem[[#This Row],[Total]]&gt;0,"Running","Down")</f>
        <v>Down</v>
      </c>
      <c r="F74" s="185">
        <v>0</v>
      </c>
      <c r="G74" s="185">
        <v>0</v>
      </c>
      <c r="H74" s="185">
        <v>0</v>
      </c>
      <c r="I74" s="185">
        <f>SUM(FnlAssem[[#This Row],[S1Qty]],FnlAssem[[#This Row],[S2Qty]],FnlAssem[[#This Row],[S3Qty]])*FnlAssem[[#This Row],[Pcs/Carton]]-FnlAssem[[#This Row],[Defects]]</f>
        <v>0</v>
      </c>
      <c r="J74" s="186">
        <v>0</v>
      </c>
      <c r="K74" s="186"/>
      <c r="L74" s="161">
        <v>244</v>
      </c>
      <c r="Z74"/>
      <c r="AA74"/>
      <c r="AB74"/>
    </row>
    <row r="75" spans="1:28" x14ac:dyDescent="0.2">
      <c r="A75" s="183">
        <v>45442</v>
      </c>
      <c r="B75" s="184" t="s">
        <v>36</v>
      </c>
      <c r="C75" s="184"/>
      <c r="D75" s="184"/>
      <c r="E75" s="184" t="str">
        <f>IF(FnlAssem[[#This Row],[Total]]&gt;0,"Running","Down")</f>
        <v>Down</v>
      </c>
      <c r="F75" s="185">
        <v>0</v>
      </c>
      <c r="G75" s="185">
        <v>0</v>
      </c>
      <c r="H75" s="185">
        <v>0</v>
      </c>
      <c r="I75" s="185">
        <f>SUM(FnlAssem[[#This Row],[S1Qty]],FnlAssem[[#This Row],[S2Qty]],FnlAssem[[#This Row],[S3Qty]])*FnlAssem[[#This Row],[Pcs/Carton]]-FnlAssem[[#This Row],[Defects]]</f>
        <v>0</v>
      </c>
      <c r="J75" s="186">
        <v>0</v>
      </c>
      <c r="K75" s="186"/>
      <c r="L75" s="161">
        <v>244</v>
      </c>
      <c r="Z75"/>
      <c r="AA75"/>
      <c r="AB75"/>
    </row>
    <row r="76" spans="1:28" x14ac:dyDescent="0.2">
      <c r="A76" s="183">
        <v>45443</v>
      </c>
      <c r="B76" s="184" t="s">
        <v>36</v>
      </c>
      <c r="C76" s="184"/>
      <c r="D76" s="184"/>
      <c r="E76" s="184" t="str">
        <f>IF(FnlAssem[[#This Row],[Total]]&gt;0,"Running","Down")</f>
        <v>Down</v>
      </c>
      <c r="F76" s="185">
        <v>0</v>
      </c>
      <c r="G76" s="185">
        <v>0</v>
      </c>
      <c r="H76" s="185">
        <v>0</v>
      </c>
      <c r="I76" s="185">
        <f>SUM(FnlAssem[[#This Row],[S1Qty]],FnlAssem[[#This Row],[S2Qty]],FnlAssem[[#This Row],[S3Qty]])*FnlAssem[[#This Row],[Pcs/Carton]]-FnlAssem[[#This Row],[Defects]]</f>
        <v>0</v>
      </c>
      <c r="J76" s="186">
        <v>0</v>
      </c>
      <c r="K76" s="186"/>
      <c r="L76" s="161">
        <v>244</v>
      </c>
      <c r="Z76"/>
      <c r="AA76"/>
      <c r="AB76"/>
    </row>
    <row r="77" spans="1:28" x14ac:dyDescent="0.2">
      <c r="Z77"/>
      <c r="AA77"/>
      <c r="AB77"/>
    </row>
    <row r="78" spans="1:28" x14ac:dyDescent="0.2">
      <c r="Z78"/>
      <c r="AA78"/>
      <c r="AB78"/>
    </row>
    <row r="79" spans="1:28" x14ac:dyDescent="0.2">
      <c r="Z79"/>
      <c r="AA79"/>
      <c r="AB79"/>
    </row>
    <row r="80" spans="1:28" x14ac:dyDescent="0.2">
      <c r="Z80"/>
      <c r="AA80"/>
      <c r="AB80"/>
    </row>
    <row r="81" spans="26:28" x14ac:dyDescent="0.2">
      <c r="Z81"/>
      <c r="AA81"/>
      <c r="AB81"/>
    </row>
    <row r="82" spans="26:28" x14ac:dyDescent="0.2">
      <c r="Z82"/>
      <c r="AA82"/>
      <c r="AB82"/>
    </row>
    <row r="83" spans="26:28" x14ac:dyDescent="0.2">
      <c r="Z83"/>
      <c r="AA83"/>
      <c r="AB83"/>
    </row>
    <row r="84" spans="26:28" x14ac:dyDescent="0.2">
      <c r="Z84"/>
      <c r="AA84"/>
      <c r="AB84"/>
    </row>
    <row r="85" spans="26:28" x14ac:dyDescent="0.2">
      <c r="Z85"/>
      <c r="AA85"/>
      <c r="AB85"/>
    </row>
    <row r="86" spans="26:28" x14ac:dyDescent="0.2">
      <c r="Z86"/>
      <c r="AA86"/>
      <c r="AB86"/>
    </row>
    <row r="87" spans="26:28" x14ac:dyDescent="0.2">
      <c r="Z87"/>
      <c r="AA87"/>
      <c r="AB87"/>
    </row>
    <row r="88" spans="26:28" x14ac:dyDescent="0.2">
      <c r="Z88"/>
      <c r="AA88"/>
      <c r="AB88"/>
    </row>
    <row r="89" spans="26:28" x14ac:dyDescent="0.2">
      <c r="Z89"/>
      <c r="AA89"/>
      <c r="AB89"/>
    </row>
    <row r="90" spans="26:28" x14ac:dyDescent="0.2">
      <c r="Z90"/>
      <c r="AA90"/>
      <c r="AB90"/>
    </row>
    <row r="91" spans="26:28" x14ac:dyDescent="0.2">
      <c r="Z91"/>
      <c r="AA91"/>
      <c r="AB91"/>
    </row>
    <row r="92" spans="26:28" x14ac:dyDescent="0.2">
      <c r="Z92"/>
      <c r="AA92"/>
      <c r="AB92"/>
    </row>
    <row r="93" spans="26:28" x14ac:dyDescent="0.2">
      <c r="Z93"/>
      <c r="AA93"/>
      <c r="AB93"/>
    </row>
    <row r="94" spans="26:28" x14ac:dyDescent="0.2">
      <c r="Z94"/>
      <c r="AA94"/>
      <c r="AB94"/>
    </row>
    <row r="95" spans="26:28" x14ac:dyDescent="0.2">
      <c r="Z95"/>
      <c r="AA95"/>
      <c r="AB95"/>
    </row>
    <row r="96" spans="26:28" x14ac:dyDescent="0.2">
      <c r="Z96"/>
      <c r="AA96"/>
      <c r="AB96"/>
    </row>
    <row r="97" spans="26:28" x14ac:dyDescent="0.2">
      <c r="Z97"/>
      <c r="AA97"/>
      <c r="AB97"/>
    </row>
    <row r="98" spans="26:28" x14ac:dyDescent="0.2">
      <c r="Z98"/>
      <c r="AA98"/>
      <c r="AB98"/>
    </row>
    <row r="99" spans="26:28" x14ac:dyDescent="0.2">
      <c r="Z99"/>
      <c r="AA99"/>
      <c r="AB99"/>
    </row>
    <row r="100" spans="26:28" x14ac:dyDescent="0.2">
      <c r="Z100"/>
      <c r="AA100"/>
      <c r="AB100"/>
    </row>
    <row r="101" spans="26:28" x14ac:dyDescent="0.2">
      <c r="Z101"/>
      <c r="AA101"/>
      <c r="AB101"/>
    </row>
    <row r="102" spans="26:28" x14ac:dyDescent="0.2">
      <c r="Z102"/>
      <c r="AA102"/>
      <c r="AB102"/>
    </row>
    <row r="103" spans="26:28" x14ac:dyDescent="0.2">
      <c r="Z103"/>
      <c r="AA103"/>
      <c r="AB103"/>
    </row>
  </sheetData>
  <mergeCells count="1">
    <mergeCell ref="J2:K2"/>
  </mergeCells>
  <conditionalFormatting sqref="A6:L76">
    <cfRule type="expression" dxfId="1" priority="10640">
      <formula>INDIRECT("FnlAssem[@Date]")=TODAY()-1</formula>
    </cfRule>
    <cfRule type="expression" dxfId="0" priority="10641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7"/>
  <sheetViews>
    <sheetView zoomScaleNormal="100" workbookViewId="0">
      <selection activeCell="J45" sqref="J45"/>
    </sheetView>
  </sheetViews>
  <sheetFormatPr defaultRowHeight="12.75" x14ac:dyDescent="0.2"/>
  <cols>
    <col min="1" max="1" width="11.7109375" bestFit="1" customWidth="1"/>
    <col min="2" max="2" width="12.140625" customWidth="1"/>
    <col min="3" max="3" width="12" hidden="1" customWidth="1"/>
    <col min="4" max="4" width="10.85546875" customWidth="1"/>
    <col min="5" max="5" width="25.28515625" customWidth="1"/>
  </cols>
  <sheetData>
    <row r="1" spans="1:2" x14ac:dyDescent="0.2">
      <c r="A1" s="162" t="s">
        <v>107</v>
      </c>
      <c r="B1" t="s">
        <v>183</v>
      </c>
    </row>
    <row r="2" spans="1:2" x14ac:dyDescent="0.2">
      <c r="A2" s="163">
        <v>45413</v>
      </c>
      <c r="B2" s="164">
        <v>51911</v>
      </c>
    </row>
    <row r="3" spans="1:2" x14ac:dyDescent="0.2">
      <c r="A3" s="163">
        <v>45414</v>
      </c>
      <c r="B3" s="164">
        <v>43641</v>
      </c>
    </row>
    <row r="4" spans="1:2" x14ac:dyDescent="0.2">
      <c r="A4" s="163">
        <v>45415</v>
      </c>
      <c r="B4" s="164">
        <v>40226</v>
      </c>
    </row>
    <row r="5" spans="1:2" x14ac:dyDescent="0.2">
      <c r="A5" s="163">
        <v>45416</v>
      </c>
      <c r="B5" s="164">
        <v>58514</v>
      </c>
    </row>
    <row r="6" spans="1:2" x14ac:dyDescent="0.2">
      <c r="A6" s="163">
        <v>45417</v>
      </c>
      <c r="B6" s="164">
        <v>68032</v>
      </c>
    </row>
    <row r="7" spans="1:2" x14ac:dyDescent="0.2">
      <c r="A7" s="163">
        <v>45418</v>
      </c>
      <c r="B7" s="164">
        <v>73669</v>
      </c>
    </row>
    <row r="8" spans="1:2" x14ac:dyDescent="0.2">
      <c r="A8" s="163">
        <v>45419</v>
      </c>
      <c r="B8" s="164">
        <v>73654</v>
      </c>
    </row>
    <row r="9" spans="1:2" x14ac:dyDescent="0.2">
      <c r="A9" s="163">
        <v>45420</v>
      </c>
      <c r="B9" s="164">
        <v>84398</v>
      </c>
    </row>
    <row r="10" spans="1:2" x14ac:dyDescent="0.2">
      <c r="A10" s="163">
        <v>45421</v>
      </c>
      <c r="B10" s="164">
        <v>79465</v>
      </c>
    </row>
    <row r="11" spans="1:2" x14ac:dyDescent="0.2">
      <c r="A11" s="163">
        <v>45422</v>
      </c>
      <c r="B11" s="164">
        <v>76068</v>
      </c>
    </row>
    <row r="12" spans="1:2" x14ac:dyDescent="0.2">
      <c r="A12" s="163" t="s">
        <v>157</v>
      </c>
      <c r="B12" s="164">
        <v>649578</v>
      </c>
    </row>
    <row r="36" spans="1:5" x14ac:dyDescent="0.2">
      <c r="A36" s="287" t="s">
        <v>107</v>
      </c>
      <c r="B36" s="286" t="s">
        <v>183</v>
      </c>
      <c r="C36" s="286"/>
      <c r="D36" s="286"/>
      <c r="E36" s="289" t="s">
        <v>144</v>
      </c>
    </row>
    <row r="37" spans="1:5" x14ac:dyDescent="0.2">
      <c r="A37" s="288"/>
      <c r="B37" s="172" t="s">
        <v>190</v>
      </c>
      <c r="C37" s="173"/>
      <c r="D37" s="202" t="s">
        <v>235</v>
      </c>
      <c r="E37" s="290"/>
    </row>
    <row r="38" spans="1:5" x14ac:dyDescent="0.2">
      <c r="A38" s="174">
        <v>45413</v>
      </c>
      <c r="B38" s="175">
        <v>24858</v>
      </c>
      <c r="C38" s="176"/>
      <c r="D38" s="175">
        <v>27053</v>
      </c>
      <c r="E38" s="177"/>
    </row>
    <row r="39" spans="1:5" x14ac:dyDescent="0.2">
      <c r="A39" s="174">
        <v>45414</v>
      </c>
      <c r="B39" s="175">
        <v>24381</v>
      </c>
      <c r="C39" s="176"/>
      <c r="D39" s="175">
        <v>19260</v>
      </c>
      <c r="E39" s="177" t="s">
        <v>212</v>
      </c>
    </row>
    <row r="40" spans="1:5" x14ac:dyDescent="0.2">
      <c r="A40" s="174">
        <v>45415</v>
      </c>
      <c r="B40" s="175">
        <v>23648</v>
      </c>
      <c r="C40" s="176"/>
      <c r="D40" s="175">
        <v>16578</v>
      </c>
      <c r="E40" s="177" t="s">
        <v>223</v>
      </c>
    </row>
    <row r="41" spans="1:5" x14ac:dyDescent="0.2">
      <c r="A41" s="174">
        <v>45416</v>
      </c>
      <c r="B41" s="175">
        <v>24138</v>
      </c>
      <c r="C41" s="176"/>
      <c r="D41" s="175">
        <v>34376</v>
      </c>
      <c r="E41" s="177"/>
    </row>
    <row r="42" spans="1:5" x14ac:dyDescent="0.2">
      <c r="A42" s="174">
        <v>45417</v>
      </c>
      <c r="B42" s="175">
        <v>20971</v>
      </c>
      <c r="C42" s="176"/>
      <c r="D42" s="175">
        <v>47061</v>
      </c>
      <c r="E42" s="177"/>
    </row>
    <row r="43" spans="1:5" x14ac:dyDescent="0.2">
      <c r="A43" s="174">
        <v>45418</v>
      </c>
      <c r="B43" s="175">
        <v>19515</v>
      </c>
      <c r="C43" s="176"/>
      <c r="D43" s="175">
        <v>54154</v>
      </c>
      <c r="E43" s="177"/>
    </row>
    <row r="44" spans="1:5" x14ac:dyDescent="0.2">
      <c r="A44" s="174">
        <v>45419</v>
      </c>
      <c r="B44" s="175">
        <v>21706</v>
      </c>
      <c r="C44" s="176"/>
      <c r="D44" s="175">
        <v>51948</v>
      </c>
      <c r="E44" s="177"/>
    </row>
    <row r="45" spans="1:5" x14ac:dyDescent="0.2">
      <c r="A45" s="174">
        <v>45420</v>
      </c>
      <c r="B45" s="175">
        <v>26344</v>
      </c>
      <c r="C45" s="176"/>
      <c r="D45" s="175">
        <v>58054</v>
      </c>
      <c r="E45" s="177"/>
    </row>
    <row r="46" spans="1:5" x14ac:dyDescent="0.2">
      <c r="A46" s="174">
        <v>45421</v>
      </c>
      <c r="B46" s="175">
        <v>21432</v>
      </c>
      <c r="C46" s="176"/>
      <c r="D46" s="175">
        <v>58033</v>
      </c>
      <c r="E46" s="177"/>
    </row>
    <row r="47" spans="1:5" x14ac:dyDescent="0.2">
      <c r="A47" s="174">
        <v>45422</v>
      </c>
      <c r="B47" s="175">
        <v>29251</v>
      </c>
      <c r="C47" s="176"/>
      <c r="D47" s="175">
        <v>46817</v>
      </c>
      <c r="E47" s="177"/>
    </row>
  </sheetData>
  <mergeCells count="3">
    <mergeCell ref="B36:D36"/>
    <mergeCell ref="A36:A37"/>
    <mergeCell ref="E36:E37"/>
  </mergeCells>
  <pageMargins left="0.7" right="0.7" top="0.75" bottom="0.75" header="0.3" footer="0.3"/>
  <pageSetup paperSize="260" orientation="landscape" horizontalDpi="203" verticalDpi="20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60" zoomScaleNormal="160" workbookViewId="0">
      <selection activeCell="B6" sqref="B6"/>
    </sheetView>
  </sheetViews>
  <sheetFormatPr defaultRowHeight="12.75" x14ac:dyDescent="0.2"/>
  <cols>
    <col min="2" max="2" width="11.140625" customWidth="1"/>
    <col min="3" max="3" width="7.7109375" customWidth="1"/>
  </cols>
  <sheetData>
    <row r="1" spans="1:12" ht="27.75" thickBot="1" x14ac:dyDescent="0.4">
      <c r="A1" s="293" t="s">
        <v>150</v>
      </c>
      <c r="B1" s="293"/>
      <c r="C1" s="293"/>
      <c r="D1" s="293"/>
      <c r="E1" s="293"/>
      <c r="F1" s="293"/>
      <c r="G1" s="293"/>
      <c r="H1" s="293"/>
      <c r="I1" s="293"/>
      <c r="K1" s="282">
        <f>Production!$A$6</f>
        <v>45413</v>
      </c>
      <c r="L1" s="282"/>
    </row>
    <row r="2" spans="1:12" ht="13.5" thickTop="1" x14ac:dyDescent="0.2"/>
    <row r="3" spans="1:12" ht="13.5" thickBot="1" x14ac:dyDescent="0.25"/>
    <row r="4" spans="1:12" ht="13.5" thickBot="1" x14ac:dyDescent="0.25">
      <c r="B4" s="291" t="s">
        <v>151</v>
      </c>
      <c r="C4" s="292"/>
    </row>
    <row r="5" spans="1:12" x14ac:dyDescent="0.2">
      <c r="B5" s="136" t="s">
        <v>156</v>
      </c>
      <c r="C5" s="137" t="s">
        <v>152</v>
      </c>
    </row>
    <row r="6" spans="1:12" ht="13.5" thickBot="1" x14ac:dyDescent="0.25">
      <c r="B6" s="138">
        <v>3519985</v>
      </c>
      <c r="C6" s="139">
        <v>19495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(DW)</vt:lpstr>
      <vt:lpstr>Final Assem (DW)</vt:lpstr>
      <vt:lpstr>Graph Summary</vt:lpstr>
      <vt:lpstr>Defects</vt:lpstr>
      <vt:lpstr>'ASS old'!Print_Area</vt:lpstr>
      <vt:lpstr>'Assembly (DW)'!Print_Area</vt:lpstr>
      <vt:lpstr>'Final Assem (DW)'!Print_Area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2024-05-11T14:32:37Z</dcterms:modified>
</cp:coreProperties>
</file>