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S:\Productions\wendy\Finch JAR Report\"/>
    </mc:Choice>
  </mc:AlternateContent>
  <xr:revisionPtr revIDLastSave="0" documentId="13_ncr:1_{3B7A74DA-3968-411E-9E23-03F01AB646CB}" xr6:coauthVersionLast="47" xr6:coauthVersionMax="47" xr10:uidLastSave="{00000000-0000-0000-0000-000000000000}"/>
  <bookViews>
    <workbookView xWindow="-120" yWindow="-120" windowWidth="29040" windowHeight="15840" firstSheet="3" activeTab="6" xr2:uid="{00000000-000D-0000-FFFF-FFFF00000000}"/>
  </bookViews>
  <sheets>
    <sheet name="prod old" sheetId="2" state="hidden" r:id="rId1"/>
    <sheet name="Label&amp;Packaging Old" sheetId="3" state="hidden" r:id="rId2"/>
    <sheet name="Productivity" sheetId="11" state="hidden" r:id="rId3"/>
    <sheet name="Production" sheetId="4" r:id="rId4"/>
    <sheet name="HTL" sheetId="5" r:id="rId5"/>
    <sheet name="Production Summary" sheetId="6" r:id="rId6"/>
    <sheet name="HTL Summary" sheetId="8" r:id="rId7"/>
    <sheet name="Graph Summary" sheetId="10" r:id="rId8"/>
    <sheet name="Defects" sheetId="9" r:id="rId9"/>
  </sheets>
  <functionGroups builtInGroupCount="19"/>
  <definedNames>
    <definedName name="_xlnm.Print_Area" localSheetId="7">'Graph Summary'!$A$41:$G$42</definedName>
    <definedName name="_xlnm.Print_Area" localSheetId="4">HTL!$A:$AB</definedName>
    <definedName name="_xlnm.Print_Area" localSheetId="1">'Label&amp;Packaging Old'!$A:$AB</definedName>
    <definedName name="_xlnm.Print_Area" localSheetId="0">'prod old'!$A:$AC</definedName>
    <definedName name="_xlnm.Print_Area" localSheetId="3">Production!$A:$AC</definedName>
  </definedNames>
  <calcPr calcId="191029"/>
  <pivotCaches>
    <pivotCache cacheId="25" r:id="rId10"/>
    <pivotCache cacheId="43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5" i="5" l="1"/>
  <c r="J65" i="5"/>
  <c r="H65" i="5"/>
  <c r="L64" i="5"/>
  <c r="J64" i="5"/>
  <c r="H64" i="5"/>
  <c r="N64" i="5" s="1"/>
  <c r="M64" i="5" s="1"/>
  <c r="L63" i="5"/>
  <c r="J63" i="5"/>
  <c r="H63" i="5"/>
  <c r="N63" i="5" s="1"/>
  <c r="M63" i="5" s="1"/>
  <c r="O63" i="5" s="1"/>
  <c r="L62" i="5"/>
  <c r="J62" i="5"/>
  <c r="H62" i="5"/>
  <c r="L61" i="5"/>
  <c r="J61" i="5"/>
  <c r="H61" i="5"/>
  <c r="L60" i="5"/>
  <c r="J60" i="5"/>
  <c r="H60" i="5"/>
  <c r="AW78" i="4"/>
  <c r="AV78" i="4"/>
  <c r="AU78" i="4"/>
  <c r="AT78" i="4"/>
  <c r="AP78" i="4"/>
  <c r="AO78" i="4"/>
  <c r="AN78" i="4"/>
  <c r="AM78" i="4"/>
  <c r="Y78" i="4"/>
  <c r="X78" i="4" s="1"/>
  <c r="S78" i="4"/>
  <c r="R78" i="4" s="1"/>
  <c r="M78" i="4"/>
  <c r="L78" i="4" s="1"/>
  <c r="G78" i="4"/>
  <c r="AW77" i="4"/>
  <c r="AV77" i="4"/>
  <c r="AU77" i="4"/>
  <c r="AT77" i="4"/>
  <c r="AO77" i="4"/>
  <c r="AN77" i="4"/>
  <c r="AM77" i="4"/>
  <c r="Y77" i="4"/>
  <c r="S77" i="4"/>
  <c r="R77" i="4"/>
  <c r="M77" i="4"/>
  <c r="L77" i="4" s="1"/>
  <c r="G77" i="4"/>
  <c r="AW76" i="4"/>
  <c r="AV76" i="4"/>
  <c r="AU76" i="4"/>
  <c r="AT76" i="4"/>
  <c r="AO76" i="4"/>
  <c r="AN76" i="4"/>
  <c r="AM76" i="4"/>
  <c r="Y76" i="4"/>
  <c r="X76" i="4" s="1"/>
  <c r="S76" i="4"/>
  <c r="R76" i="4"/>
  <c r="M76" i="4"/>
  <c r="L76" i="4" s="1"/>
  <c r="G76" i="4"/>
  <c r="AW75" i="4"/>
  <c r="AV75" i="4"/>
  <c r="AU75" i="4"/>
  <c r="AT75" i="4"/>
  <c r="AO75" i="4"/>
  <c r="AN75" i="4"/>
  <c r="AM75" i="4"/>
  <c r="Y75" i="4"/>
  <c r="AA75" i="4" s="1"/>
  <c r="S75" i="4"/>
  <c r="R75" i="4"/>
  <c r="M75" i="4"/>
  <c r="L75" i="4" s="1"/>
  <c r="G75" i="4"/>
  <c r="AW74" i="4"/>
  <c r="AV74" i="4"/>
  <c r="AU74" i="4"/>
  <c r="AT74" i="4"/>
  <c r="AO74" i="4"/>
  <c r="AN74" i="4"/>
  <c r="AP74" i="4" s="1"/>
  <c r="AM74" i="4"/>
  <c r="Y74" i="4"/>
  <c r="X74" i="4" s="1"/>
  <c r="S74" i="4"/>
  <c r="R74" i="4"/>
  <c r="M74" i="4"/>
  <c r="L74" i="4" s="1"/>
  <c r="Z74" i="4" s="1"/>
  <c r="AB74" i="4" s="1"/>
  <c r="G74" i="4"/>
  <c r="AW73" i="4"/>
  <c r="AV73" i="4"/>
  <c r="AU73" i="4"/>
  <c r="AT73" i="4"/>
  <c r="AO73" i="4"/>
  <c r="AN73" i="4"/>
  <c r="AM73" i="4"/>
  <c r="Y73" i="4"/>
  <c r="AA73" i="4" s="1"/>
  <c r="S73" i="4"/>
  <c r="R73" i="4"/>
  <c r="M73" i="4"/>
  <c r="L73" i="4" s="1"/>
  <c r="G73" i="4"/>
  <c r="AW72" i="4"/>
  <c r="AV72" i="4"/>
  <c r="AU72" i="4"/>
  <c r="AT72" i="4"/>
  <c r="AO72" i="4"/>
  <c r="AN72" i="4"/>
  <c r="AP72" i="4" s="1"/>
  <c r="AM72" i="4"/>
  <c r="Y72" i="4"/>
  <c r="X72" i="4" s="1"/>
  <c r="S72" i="4"/>
  <c r="R72" i="4" s="1"/>
  <c r="M72" i="4"/>
  <c r="L72" i="4" s="1"/>
  <c r="G72" i="4"/>
  <c r="L59" i="5"/>
  <c r="J59" i="5"/>
  <c r="H59" i="5"/>
  <c r="L58" i="5"/>
  <c r="J58" i="5"/>
  <c r="H58" i="5"/>
  <c r="L57" i="5"/>
  <c r="J57" i="5"/>
  <c r="H57" i="5"/>
  <c r="L56" i="5"/>
  <c r="J56" i="5"/>
  <c r="H56" i="5"/>
  <c r="L55" i="5"/>
  <c r="J55" i="5"/>
  <c r="H55" i="5"/>
  <c r="L54" i="5"/>
  <c r="J54" i="5"/>
  <c r="H54" i="5"/>
  <c r="N61" i="5" l="1"/>
  <c r="M61" i="5" s="1"/>
  <c r="O61" i="5" s="1"/>
  <c r="N65" i="5"/>
  <c r="M65" i="5" s="1"/>
  <c r="N62" i="5"/>
  <c r="M62" i="5" s="1"/>
  <c r="N56" i="5"/>
  <c r="M56" i="5" s="1"/>
  <c r="O56" i="5" s="1"/>
  <c r="N60" i="5"/>
  <c r="M60" i="5" s="1"/>
  <c r="F60" i="5" s="1"/>
  <c r="F62" i="5"/>
  <c r="O62" i="5"/>
  <c r="F64" i="5"/>
  <c r="O64" i="5"/>
  <c r="O65" i="5"/>
  <c r="F65" i="5"/>
  <c r="F61" i="5"/>
  <c r="N54" i="5"/>
  <c r="M54" i="5" s="1"/>
  <c r="F54" i="5" s="1"/>
  <c r="F63" i="5"/>
  <c r="N55" i="5"/>
  <c r="M55" i="5" s="1"/>
  <c r="O55" i="5" s="1"/>
  <c r="Z78" i="4"/>
  <c r="AB78" i="4" s="1"/>
  <c r="AA77" i="4"/>
  <c r="AP73" i="4"/>
  <c r="AP75" i="4"/>
  <c r="AP77" i="4"/>
  <c r="Z72" i="4"/>
  <c r="AB72" i="4" s="1"/>
  <c r="AP76" i="4"/>
  <c r="Z76" i="4"/>
  <c r="AB76" i="4" s="1"/>
  <c r="AA78" i="4"/>
  <c r="AA76" i="4"/>
  <c r="AA72" i="4"/>
  <c r="AA74" i="4"/>
  <c r="X73" i="4"/>
  <c r="Z73" i="4" s="1"/>
  <c r="AB73" i="4" s="1"/>
  <c r="X75" i="4"/>
  <c r="Z75" i="4" s="1"/>
  <c r="AB75" i="4" s="1"/>
  <c r="X77" i="4"/>
  <c r="Z77" i="4" s="1"/>
  <c r="AB77" i="4" s="1"/>
  <c r="N57" i="5"/>
  <c r="M57" i="5" s="1"/>
  <c r="O57" i="5" s="1"/>
  <c r="N58" i="5"/>
  <c r="M58" i="5" s="1"/>
  <c r="O58" i="5" s="1"/>
  <c r="N59" i="5"/>
  <c r="M59" i="5" s="1"/>
  <c r="O59" i="5" s="1"/>
  <c r="O60" i="5" l="1"/>
  <c r="F58" i="5"/>
  <c r="F57" i="5"/>
  <c r="F56" i="5"/>
  <c r="F59" i="5"/>
  <c r="F55" i="5"/>
  <c r="O54" i="5"/>
  <c r="AW71" i="4"/>
  <c r="AV71" i="4"/>
  <c r="AU71" i="4"/>
  <c r="AT71" i="4"/>
  <c r="AO71" i="4"/>
  <c r="AN71" i="4"/>
  <c r="AM71" i="4"/>
  <c r="AP71" i="4" s="1"/>
  <c r="Y71" i="4"/>
  <c r="X71" i="4" s="1"/>
  <c r="S71" i="4"/>
  <c r="R71" i="4" s="1"/>
  <c r="M71" i="4"/>
  <c r="G71" i="4"/>
  <c r="AW70" i="4"/>
  <c r="AV70" i="4"/>
  <c r="AU70" i="4"/>
  <c r="AT70" i="4"/>
  <c r="AO70" i="4"/>
  <c r="AN70" i="4"/>
  <c r="AM70" i="4"/>
  <c r="Y70" i="4"/>
  <c r="X70" i="4" s="1"/>
  <c r="S70" i="4"/>
  <c r="R70" i="4" s="1"/>
  <c r="M70" i="4"/>
  <c r="AA70" i="4" s="1"/>
  <c r="G70" i="4"/>
  <c r="AW69" i="4"/>
  <c r="AV69" i="4"/>
  <c r="AU69" i="4"/>
  <c r="AT69" i="4"/>
  <c r="AO69" i="4"/>
  <c r="AN69" i="4"/>
  <c r="AM69" i="4"/>
  <c r="AP69" i="4" s="1"/>
  <c r="Y69" i="4"/>
  <c r="X69" i="4" s="1"/>
  <c r="S69" i="4"/>
  <c r="R69" i="4" s="1"/>
  <c r="M69" i="4"/>
  <c r="G69" i="4"/>
  <c r="AW68" i="4"/>
  <c r="AV68" i="4"/>
  <c r="AU68" i="4"/>
  <c r="AT68" i="4"/>
  <c r="AO68" i="4"/>
  <c r="AN68" i="4"/>
  <c r="AM68" i="4"/>
  <c r="Y68" i="4"/>
  <c r="X68" i="4" s="1"/>
  <c r="S68" i="4"/>
  <c r="R68" i="4" s="1"/>
  <c r="M68" i="4"/>
  <c r="G68" i="4"/>
  <c r="AW67" i="4"/>
  <c r="AV67" i="4"/>
  <c r="AU67" i="4"/>
  <c r="AT67" i="4"/>
  <c r="AO67" i="4"/>
  <c r="AN67" i="4"/>
  <c r="AM67" i="4"/>
  <c r="AP67" i="4" s="1"/>
  <c r="Y67" i="4"/>
  <c r="X67" i="4" s="1"/>
  <c r="S67" i="4"/>
  <c r="R67" i="4" s="1"/>
  <c r="M67" i="4"/>
  <c r="L67" i="4" s="1"/>
  <c r="G67" i="4"/>
  <c r="AW66" i="4"/>
  <c r="AV66" i="4"/>
  <c r="AU66" i="4"/>
  <c r="AT66" i="4"/>
  <c r="AO66" i="4"/>
  <c r="AN66" i="4"/>
  <c r="AM66" i="4"/>
  <c r="Y66" i="4"/>
  <c r="X66" i="4" s="1"/>
  <c r="S66" i="4"/>
  <c r="R66" i="4" s="1"/>
  <c r="M66" i="4"/>
  <c r="L66" i="4" s="1"/>
  <c r="G66" i="4"/>
  <c r="AW65" i="4"/>
  <c r="AV65" i="4"/>
  <c r="AU65" i="4"/>
  <c r="AT65" i="4"/>
  <c r="AO65" i="4"/>
  <c r="AN65" i="4"/>
  <c r="AM65" i="4"/>
  <c r="Y65" i="4"/>
  <c r="X65" i="4"/>
  <c r="S65" i="4"/>
  <c r="R65" i="4" s="1"/>
  <c r="M65" i="4"/>
  <c r="L65" i="4" s="1"/>
  <c r="G65" i="4"/>
  <c r="L53" i="5"/>
  <c r="J53" i="5"/>
  <c r="H53" i="5"/>
  <c r="L52" i="5"/>
  <c r="J52" i="5"/>
  <c r="H52" i="5"/>
  <c r="L51" i="5"/>
  <c r="J51" i="5"/>
  <c r="H51" i="5"/>
  <c r="L50" i="5"/>
  <c r="J50" i="5"/>
  <c r="H50" i="5"/>
  <c r="L49" i="5"/>
  <c r="J49" i="5"/>
  <c r="H49" i="5"/>
  <c r="L48" i="5"/>
  <c r="J48" i="5"/>
  <c r="H48" i="5"/>
  <c r="AW53" i="4"/>
  <c r="AV53" i="4"/>
  <c r="AU53" i="4"/>
  <c r="AT53" i="4"/>
  <c r="AO53" i="4"/>
  <c r="AN53" i="4"/>
  <c r="AM53" i="4"/>
  <c r="Y53" i="4"/>
  <c r="X53" i="4"/>
  <c r="S53" i="4"/>
  <c r="R53" i="4"/>
  <c r="M53" i="4"/>
  <c r="L53" i="4" s="1"/>
  <c r="G53" i="4"/>
  <c r="AW64" i="4"/>
  <c r="AV64" i="4"/>
  <c r="AU64" i="4"/>
  <c r="AT64" i="4"/>
  <c r="AO64" i="4"/>
  <c r="AN64" i="4"/>
  <c r="AM64" i="4"/>
  <c r="Y64" i="4"/>
  <c r="X64" i="4" s="1"/>
  <c r="S64" i="4"/>
  <c r="R64" i="4" s="1"/>
  <c r="M64" i="4"/>
  <c r="L64" i="4" s="1"/>
  <c r="G64" i="4"/>
  <c r="AW63" i="4"/>
  <c r="AV63" i="4"/>
  <c r="AU63" i="4"/>
  <c r="AT63" i="4"/>
  <c r="AO63" i="4"/>
  <c r="AN63" i="4"/>
  <c r="AP63" i="4" s="1"/>
  <c r="AM63" i="4"/>
  <c r="Y63" i="4"/>
  <c r="X63" i="4" s="1"/>
  <c r="S63" i="4"/>
  <c r="R63" i="4" s="1"/>
  <c r="M63" i="4"/>
  <c r="G63" i="4"/>
  <c r="AW62" i="4"/>
  <c r="AV62" i="4"/>
  <c r="AU62" i="4"/>
  <c r="AT62" i="4"/>
  <c r="AO62" i="4"/>
  <c r="AN62" i="4"/>
  <c r="AM62" i="4"/>
  <c r="Y62" i="4"/>
  <c r="X62" i="4"/>
  <c r="S62" i="4"/>
  <c r="R62" i="4" s="1"/>
  <c r="M62" i="4"/>
  <c r="G62" i="4"/>
  <c r="AW61" i="4"/>
  <c r="AV61" i="4"/>
  <c r="AU61" i="4"/>
  <c r="AT61" i="4"/>
  <c r="AO61" i="4"/>
  <c r="AN61" i="4"/>
  <c r="AM61" i="4"/>
  <c r="AP61" i="4" s="1"/>
  <c r="Y61" i="4"/>
  <c r="X61" i="4" s="1"/>
  <c r="S61" i="4"/>
  <c r="R61" i="4" s="1"/>
  <c r="M61" i="4"/>
  <c r="L61" i="4" s="1"/>
  <c r="G61" i="4"/>
  <c r="AW60" i="4"/>
  <c r="AV60" i="4"/>
  <c r="AU60" i="4"/>
  <c r="AT60" i="4"/>
  <c r="AO60" i="4"/>
  <c r="AN60" i="4"/>
  <c r="AM60" i="4"/>
  <c r="Y60" i="4"/>
  <c r="X60" i="4" s="1"/>
  <c r="S60" i="4"/>
  <c r="R60" i="4" s="1"/>
  <c r="M60" i="4"/>
  <c r="L60" i="4" s="1"/>
  <c r="G60" i="4"/>
  <c r="AW59" i="4"/>
  <c r="AV59" i="4"/>
  <c r="AU59" i="4"/>
  <c r="AT59" i="4"/>
  <c r="AO59" i="4"/>
  <c r="AN59" i="4"/>
  <c r="AM59" i="4"/>
  <c r="AP59" i="4" s="1"/>
  <c r="Y59" i="4"/>
  <c r="X59" i="4" s="1"/>
  <c r="S59" i="4"/>
  <c r="R59" i="4" s="1"/>
  <c r="M59" i="4"/>
  <c r="L59" i="4" s="1"/>
  <c r="G59" i="4"/>
  <c r="AW58" i="4"/>
  <c r="AV58" i="4"/>
  <c r="AU58" i="4"/>
  <c r="AT58" i="4"/>
  <c r="AO58" i="4"/>
  <c r="AN58" i="4"/>
  <c r="AM58" i="4"/>
  <c r="Y58" i="4"/>
  <c r="X58" i="4" s="1"/>
  <c r="S58" i="4"/>
  <c r="R58" i="4" s="1"/>
  <c r="M58" i="4"/>
  <c r="G58" i="4"/>
  <c r="L47" i="5"/>
  <c r="J47" i="5"/>
  <c r="H47" i="5"/>
  <c r="L46" i="5"/>
  <c r="J46" i="5"/>
  <c r="H46" i="5"/>
  <c r="L45" i="5"/>
  <c r="J45" i="5"/>
  <c r="H45" i="5"/>
  <c r="L44" i="5"/>
  <c r="J44" i="5"/>
  <c r="H44" i="5"/>
  <c r="L43" i="5"/>
  <c r="J43" i="5"/>
  <c r="H43" i="5"/>
  <c r="L42" i="5"/>
  <c r="J42" i="5"/>
  <c r="H42" i="5"/>
  <c r="AW57" i="4"/>
  <c r="AV57" i="4"/>
  <c r="AU57" i="4"/>
  <c r="AT57" i="4"/>
  <c r="AO57" i="4"/>
  <c r="AN57" i="4"/>
  <c r="AM57" i="4"/>
  <c r="Y57" i="4"/>
  <c r="X57" i="4" s="1"/>
  <c r="S57" i="4"/>
  <c r="R57" i="4" s="1"/>
  <c r="M57" i="4"/>
  <c r="L57" i="4" s="1"/>
  <c r="G57" i="4"/>
  <c r="AW56" i="4"/>
  <c r="AV56" i="4"/>
  <c r="AU56" i="4"/>
  <c r="AT56" i="4"/>
  <c r="AO56" i="4"/>
  <c r="AN56" i="4"/>
  <c r="AM56" i="4"/>
  <c r="Y56" i="4"/>
  <c r="X56" i="4" s="1"/>
  <c r="S56" i="4"/>
  <c r="R56" i="4" s="1"/>
  <c r="M56" i="4"/>
  <c r="G56" i="4"/>
  <c r="AW55" i="4"/>
  <c r="AV55" i="4"/>
  <c r="AU55" i="4"/>
  <c r="AT55" i="4"/>
  <c r="AO55" i="4"/>
  <c r="AN55" i="4"/>
  <c r="AM55" i="4"/>
  <c r="Y55" i="4"/>
  <c r="X55" i="4" s="1"/>
  <c r="S55" i="4"/>
  <c r="R55" i="4" s="1"/>
  <c r="M55" i="4"/>
  <c r="L55" i="4" s="1"/>
  <c r="G55" i="4"/>
  <c r="AW54" i="4"/>
  <c r="AV54" i="4"/>
  <c r="AU54" i="4"/>
  <c r="AT54" i="4"/>
  <c r="AO54" i="4"/>
  <c r="AN54" i="4"/>
  <c r="AM54" i="4"/>
  <c r="Y54" i="4"/>
  <c r="X54" i="4" s="1"/>
  <c r="S54" i="4"/>
  <c r="R54" i="4" s="1"/>
  <c r="M54" i="4"/>
  <c r="G54" i="4"/>
  <c r="AW52" i="4"/>
  <c r="AV52" i="4"/>
  <c r="AU52" i="4"/>
  <c r="AT52" i="4"/>
  <c r="AO52" i="4"/>
  <c r="AN52" i="4"/>
  <c r="AM52" i="4"/>
  <c r="Y52" i="4"/>
  <c r="X52" i="4" s="1"/>
  <c r="S52" i="4"/>
  <c r="R52" i="4" s="1"/>
  <c r="M52" i="4"/>
  <c r="L52" i="4" s="1"/>
  <c r="G52" i="4"/>
  <c r="AW51" i="4"/>
  <c r="AV51" i="4"/>
  <c r="AU51" i="4"/>
  <c r="AT51" i="4"/>
  <c r="AO51" i="4"/>
  <c r="AN51" i="4"/>
  <c r="AM51" i="4"/>
  <c r="Y51" i="4"/>
  <c r="X51" i="4" s="1"/>
  <c r="S51" i="4"/>
  <c r="R51" i="4" s="1"/>
  <c r="M51" i="4"/>
  <c r="G51" i="4"/>
  <c r="AW50" i="4"/>
  <c r="AV50" i="4"/>
  <c r="AU50" i="4"/>
  <c r="AT50" i="4"/>
  <c r="AO50" i="4"/>
  <c r="AN50" i="4"/>
  <c r="AM50" i="4"/>
  <c r="Y50" i="4"/>
  <c r="X50" i="4" s="1"/>
  <c r="S50" i="4"/>
  <c r="R50" i="4" s="1"/>
  <c r="M50" i="4"/>
  <c r="L50" i="4" s="1"/>
  <c r="G50" i="4"/>
  <c r="L41" i="5"/>
  <c r="J41" i="5"/>
  <c r="H41" i="5"/>
  <c r="L40" i="5"/>
  <c r="J40" i="5"/>
  <c r="H40" i="5"/>
  <c r="L39" i="5"/>
  <c r="J39" i="5"/>
  <c r="H39" i="5"/>
  <c r="L38" i="5"/>
  <c r="J38" i="5"/>
  <c r="H38" i="5"/>
  <c r="L37" i="5"/>
  <c r="J37" i="5"/>
  <c r="H37" i="5"/>
  <c r="L36" i="5"/>
  <c r="J36" i="5"/>
  <c r="H36" i="5"/>
  <c r="AW49" i="4"/>
  <c r="AV49" i="4"/>
  <c r="AU49" i="4"/>
  <c r="AT49" i="4"/>
  <c r="AO49" i="4"/>
  <c r="AN49" i="4"/>
  <c r="AM49" i="4"/>
  <c r="Y49" i="4"/>
  <c r="X49" i="4" s="1"/>
  <c r="S49" i="4"/>
  <c r="R49" i="4" s="1"/>
  <c r="M49" i="4"/>
  <c r="G49" i="4"/>
  <c r="AW48" i="4"/>
  <c r="AV48" i="4"/>
  <c r="AU48" i="4"/>
  <c r="AT48" i="4"/>
  <c r="AO48" i="4"/>
  <c r="AN48" i="4"/>
  <c r="AM48" i="4"/>
  <c r="Y48" i="4"/>
  <c r="X48" i="4" s="1"/>
  <c r="S48" i="4"/>
  <c r="R48" i="4" s="1"/>
  <c r="M48" i="4"/>
  <c r="G48" i="4"/>
  <c r="AW47" i="4"/>
  <c r="AV47" i="4"/>
  <c r="AU47" i="4"/>
  <c r="AT47" i="4"/>
  <c r="AO47" i="4"/>
  <c r="AN47" i="4"/>
  <c r="AM47" i="4"/>
  <c r="Y47" i="4"/>
  <c r="X47" i="4" s="1"/>
  <c r="S47" i="4"/>
  <c r="R47" i="4" s="1"/>
  <c r="M47" i="4"/>
  <c r="L47" i="4" s="1"/>
  <c r="G47" i="4"/>
  <c r="AW46" i="4"/>
  <c r="AV46" i="4"/>
  <c r="AU46" i="4"/>
  <c r="AT46" i="4"/>
  <c r="AO46" i="4"/>
  <c r="AN46" i="4"/>
  <c r="AM46" i="4"/>
  <c r="Y46" i="4"/>
  <c r="X46" i="4" s="1"/>
  <c r="S46" i="4"/>
  <c r="R46" i="4" s="1"/>
  <c r="M46" i="4"/>
  <c r="L46" i="4" s="1"/>
  <c r="G46" i="4"/>
  <c r="AW45" i="4"/>
  <c r="AV45" i="4"/>
  <c r="AU45" i="4"/>
  <c r="AT45" i="4"/>
  <c r="AO45" i="4"/>
  <c r="AN45" i="4"/>
  <c r="AM45" i="4"/>
  <c r="AP45" i="4" s="1"/>
  <c r="Y45" i="4"/>
  <c r="X45" i="4" s="1"/>
  <c r="S45" i="4"/>
  <c r="R45" i="4" s="1"/>
  <c r="M45" i="4"/>
  <c r="L45" i="4" s="1"/>
  <c r="G45" i="4"/>
  <c r="AW44" i="4"/>
  <c r="AV44" i="4"/>
  <c r="AU44" i="4"/>
  <c r="AT44" i="4"/>
  <c r="AO44" i="4"/>
  <c r="AN44" i="4"/>
  <c r="AM44" i="4"/>
  <c r="Y44" i="4"/>
  <c r="X44" i="4" s="1"/>
  <c r="S44" i="4"/>
  <c r="R44" i="4" s="1"/>
  <c r="M44" i="4"/>
  <c r="G44" i="4"/>
  <c r="AW43" i="4"/>
  <c r="AV43" i="4"/>
  <c r="AU43" i="4"/>
  <c r="AT43" i="4"/>
  <c r="AO43" i="4"/>
  <c r="AN43" i="4"/>
  <c r="AM43" i="4"/>
  <c r="Y43" i="4"/>
  <c r="X43" i="4" s="1"/>
  <c r="S43" i="4"/>
  <c r="R43" i="4" s="1"/>
  <c r="M43" i="4"/>
  <c r="L43" i="4" s="1"/>
  <c r="G43" i="4"/>
  <c r="L35" i="5"/>
  <c r="J35" i="5"/>
  <c r="H35" i="5"/>
  <c r="L34" i="5"/>
  <c r="J34" i="5"/>
  <c r="H34" i="5"/>
  <c r="L33" i="5"/>
  <c r="J33" i="5"/>
  <c r="H33" i="5"/>
  <c r="L32" i="5"/>
  <c r="J32" i="5"/>
  <c r="H32" i="5"/>
  <c r="L31" i="5"/>
  <c r="J31" i="5"/>
  <c r="H31" i="5"/>
  <c r="L30" i="5"/>
  <c r="J30" i="5"/>
  <c r="H30" i="5"/>
  <c r="AW42" i="4"/>
  <c r="AV42" i="4"/>
  <c r="AU42" i="4"/>
  <c r="AT42" i="4"/>
  <c r="AO42" i="4"/>
  <c r="AN42" i="4"/>
  <c r="AM42" i="4"/>
  <c r="Y42" i="4"/>
  <c r="X42" i="4" s="1"/>
  <c r="S42" i="4"/>
  <c r="R42" i="4" s="1"/>
  <c r="M42" i="4"/>
  <c r="G42" i="4"/>
  <c r="AW41" i="4"/>
  <c r="AV41" i="4"/>
  <c r="AU41" i="4"/>
  <c r="AT41" i="4"/>
  <c r="AO41" i="4"/>
  <c r="AN41" i="4"/>
  <c r="AM41" i="4"/>
  <c r="Y41" i="4"/>
  <c r="X41" i="4" s="1"/>
  <c r="S41" i="4"/>
  <c r="R41" i="4" s="1"/>
  <c r="M41" i="4"/>
  <c r="L41" i="4" s="1"/>
  <c r="G41" i="4"/>
  <c r="AW40" i="4"/>
  <c r="AV40" i="4"/>
  <c r="AU40" i="4"/>
  <c r="AT40" i="4"/>
  <c r="AO40" i="4"/>
  <c r="AN40" i="4"/>
  <c r="AM40" i="4"/>
  <c r="Y40" i="4"/>
  <c r="X40" i="4" s="1"/>
  <c r="S40" i="4"/>
  <c r="R40" i="4" s="1"/>
  <c r="M40" i="4"/>
  <c r="L40" i="4" s="1"/>
  <c r="G40" i="4"/>
  <c r="AW39" i="4"/>
  <c r="AV39" i="4"/>
  <c r="AU39" i="4"/>
  <c r="AT39" i="4"/>
  <c r="AO39" i="4"/>
  <c r="AN39" i="4"/>
  <c r="AM39" i="4"/>
  <c r="Y39" i="4"/>
  <c r="X39" i="4" s="1"/>
  <c r="S39" i="4"/>
  <c r="R39" i="4" s="1"/>
  <c r="M39" i="4"/>
  <c r="L39" i="4" s="1"/>
  <c r="G39" i="4"/>
  <c r="AW38" i="4"/>
  <c r="AV38" i="4"/>
  <c r="AU38" i="4"/>
  <c r="AT38" i="4"/>
  <c r="AO38" i="4"/>
  <c r="AN38" i="4"/>
  <c r="AM38" i="4"/>
  <c r="Y38" i="4"/>
  <c r="X38" i="4" s="1"/>
  <c r="S38" i="4"/>
  <c r="R38" i="4" s="1"/>
  <c r="M38" i="4"/>
  <c r="L38" i="4" s="1"/>
  <c r="G38" i="4"/>
  <c r="AW37" i="4"/>
  <c r="AV37" i="4"/>
  <c r="AU37" i="4"/>
  <c r="AT37" i="4"/>
  <c r="AO37" i="4"/>
  <c r="AN37" i="4"/>
  <c r="AM37" i="4"/>
  <c r="Y37" i="4"/>
  <c r="X37" i="4" s="1"/>
  <c r="S37" i="4"/>
  <c r="R37" i="4" s="1"/>
  <c r="M37" i="4"/>
  <c r="G37" i="4"/>
  <c r="AW36" i="4"/>
  <c r="AV36" i="4"/>
  <c r="AU36" i="4"/>
  <c r="AT36" i="4"/>
  <c r="AO36" i="4"/>
  <c r="AN36" i="4"/>
  <c r="AM36" i="4"/>
  <c r="Y36" i="4"/>
  <c r="X36" i="4" s="1"/>
  <c r="S36" i="4"/>
  <c r="R36" i="4" s="1"/>
  <c r="M36" i="4"/>
  <c r="L36" i="4" s="1"/>
  <c r="G36" i="4"/>
  <c r="L29" i="5"/>
  <c r="J29" i="5"/>
  <c r="H29" i="5"/>
  <c r="L28" i="5"/>
  <c r="J28" i="5"/>
  <c r="H28" i="5"/>
  <c r="L27" i="5"/>
  <c r="J27" i="5"/>
  <c r="H27" i="5"/>
  <c r="L26" i="5"/>
  <c r="J26" i="5"/>
  <c r="H26" i="5"/>
  <c r="L25" i="5"/>
  <c r="J25" i="5"/>
  <c r="H25" i="5"/>
  <c r="L24" i="5"/>
  <c r="J24" i="5"/>
  <c r="H24" i="5"/>
  <c r="AW25" i="4"/>
  <c r="AV25" i="4"/>
  <c r="AU25" i="4"/>
  <c r="AT25" i="4"/>
  <c r="AO25" i="4"/>
  <c r="AN25" i="4"/>
  <c r="AM25" i="4"/>
  <c r="Y25" i="4"/>
  <c r="X25" i="4" s="1"/>
  <c r="S25" i="4"/>
  <c r="R25" i="4" s="1"/>
  <c r="M25" i="4"/>
  <c r="G25" i="4"/>
  <c r="AW35" i="4"/>
  <c r="AV35" i="4"/>
  <c r="AU35" i="4"/>
  <c r="AT35" i="4"/>
  <c r="AO35" i="4"/>
  <c r="AN35" i="4"/>
  <c r="AM35" i="4"/>
  <c r="Y35" i="4"/>
  <c r="X35" i="4" s="1"/>
  <c r="S35" i="4"/>
  <c r="R35" i="4" s="1"/>
  <c r="M35" i="4"/>
  <c r="G35" i="4"/>
  <c r="AW34" i="4"/>
  <c r="AV34" i="4"/>
  <c r="AU34" i="4"/>
  <c r="AT34" i="4"/>
  <c r="AO34" i="4"/>
  <c r="AN34" i="4"/>
  <c r="AM34" i="4"/>
  <c r="Y34" i="4"/>
  <c r="X34" i="4" s="1"/>
  <c r="S34" i="4"/>
  <c r="R34" i="4" s="1"/>
  <c r="M34" i="4"/>
  <c r="G34" i="4"/>
  <c r="AW33" i="4"/>
  <c r="AV33" i="4"/>
  <c r="AU33" i="4"/>
  <c r="AT33" i="4"/>
  <c r="AO33" i="4"/>
  <c r="AN33" i="4"/>
  <c r="AM33" i="4"/>
  <c r="Y33" i="4"/>
  <c r="X33" i="4" s="1"/>
  <c r="S33" i="4"/>
  <c r="R33" i="4" s="1"/>
  <c r="M33" i="4"/>
  <c r="L33" i="4" s="1"/>
  <c r="G33" i="4"/>
  <c r="AW32" i="4"/>
  <c r="AV32" i="4"/>
  <c r="AU32" i="4"/>
  <c r="AT32" i="4"/>
  <c r="AO32" i="4"/>
  <c r="AN32" i="4"/>
  <c r="AM32" i="4"/>
  <c r="Y32" i="4"/>
  <c r="X32" i="4" s="1"/>
  <c r="S32" i="4"/>
  <c r="R32" i="4" s="1"/>
  <c r="M32" i="4"/>
  <c r="L32" i="4" s="1"/>
  <c r="G32" i="4"/>
  <c r="AW31" i="4"/>
  <c r="AV31" i="4"/>
  <c r="AU31" i="4"/>
  <c r="AT31" i="4"/>
  <c r="AO31" i="4"/>
  <c r="AN31" i="4"/>
  <c r="AM31" i="4"/>
  <c r="Y31" i="4"/>
  <c r="X31" i="4" s="1"/>
  <c r="S31" i="4"/>
  <c r="R31" i="4" s="1"/>
  <c r="M31" i="4"/>
  <c r="L31" i="4" s="1"/>
  <c r="G31" i="4"/>
  <c r="AW30" i="4"/>
  <c r="AV30" i="4"/>
  <c r="AU30" i="4"/>
  <c r="AT30" i="4"/>
  <c r="AO30" i="4"/>
  <c r="AN30" i="4"/>
  <c r="AM30" i="4"/>
  <c r="Y30" i="4"/>
  <c r="S30" i="4"/>
  <c r="R30" i="4" s="1"/>
  <c r="M30" i="4"/>
  <c r="L30" i="4" s="1"/>
  <c r="G30" i="4"/>
  <c r="AW29" i="4"/>
  <c r="AV29" i="4"/>
  <c r="AU29" i="4"/>
  <c r="AT29" i="4"/>
  <c r="AO29" i="4"/>
  <c r="AN29" i="4"/>
  <c r="AM29" i="4"/>
  <c r="Y29" i="4"/>
  <c r="X29" i="4" s="1"/>
  <c r="S29" i="4"/>
  <c r="R29" i="4" s="1"/>
  <c r="M29" i="4"/>
  <c r="L29" i="4" s="1"/>
  <c r="G29" i="4"/>
  <c r="AW28" i="4"/>
  <c r="AV28" i="4"/>
  <c r="AU28" i="4"/>
  <c r="AT28" i="4"/>
  <c r="AO28" i="4"/>
  <c r="AN28" i="4"/>
  <c r="AM28" i="4"/>
  <c r="Y28" i="4"/>
  <c r="X28" i="4" s="1"/>
  <c r="S28" i="4"/>
  <c r="R28" i="4" s="1"/>
  <c r="M28" i="4"/>
  <c r="G28" i="4"/>
  <c r="AW27" i="4"/>
  <c r="AV27" i="4"/>
  <c r="AU27" i="4"/>
  <c r="AT27" i="4"/>
  <c r="AO27" i="4"/>
  <c r="AN27" i="4"/>
  <c r="AM27" i="4"/>
  <c r="Y27" i="4"/>
  <c r="X27" i="4" s="1"/>
  <c r="S27" i="4"/>
  <c r="R27" i="4" s="1"/>
  <c r="M27" i="4"/>
  <c r="G27" i="4"/>
  <c r="AW26" i="4"/>
  <c r="AV26" i="4"/>
  <c r="AU26" i="4"/>
  <c r="AT26" i="4"/>
  <c r="AO26" i="4"/>
  <c r="AN26" i="4"/>
  <c r="AM26" i="4"/>
  <c r="Y26" i="4"/>
  <c r="S26" i="4"/>
  <c r="R26" i="4" s="1"/>
  <c r="M26" i="4"/>
  <c r="L26" i="4" s="1"/>
  <c r="G26" i="4"/>
  <c r="AW24" i="4"/>
  <c r="AV24" i="4"/>
  <c r="AU24" i="4"/>
  <c r="AT24" i="4"/>
  <c r="AO24" i="4"/>
  <c r="AN24" i="4"/>
  <c r="AM24" i="4"/>
  <c r="Y24" i="4"/>
  <c r="X24" i="4" s="1"/>
  <c r="S24" i="4"/>
  <c r="R24" i="4" s="1"/>
  <c r="M24" i="4"/>
  <c r="G24" i="4"/>
  <c r="AW23" i="4"/>
  <c r="AV23" i="4"/>
  <c r="AU23" i="4"/>
  <c r="AT23" i="4"/>
  <c r="AO23" i="4"/>
  <c r="AN23" i="4"/>
  <c r="AM23" i="4"/>
  <c r="Y23" i="4"/>
  <c r="X23" i="4" s="1"/>
  <c r="S23" i="4"/>
  <c r="R23" i="4" s="1"/>
  <c r="M23" i="4"/>
  <c r="G23" i="4"/>
  <c r="AW22" i="4"/>
  <c r="AV22" i="4"/>
  <c r="AU22" i="4"/>
  <c r="AT22" i="4"/>
  <c r="AO22" i="4"/>
  <c r="AN22" i="4"/>
  <c r="AM22" i="4"/>
  <c r="Y22" i="4"/>
  <c r="X22" i="4" s="1"/>
  <c r="S22" i="4"/>
  <c r="R22" i="4" s="1"/>
  <c r="M22" i="4"/>
  <c r="L22" i="4" s="1"/>
  <c r="G22" i="4"/>
  <c r="AW21" i="4"/>
  <c r="AV21" i="4"/>
  <c r="AU21" i="4"/>
  <c r="AT21" i="4"/>
  <c r="AO21" i="4"/>
  <c r="AN21" i="4"/>
  <c r="AM21" i="4"/>
  <c r="Y21" i="4"/>
  <c r="X21" i="4" s="1"/>
  <c r="S21" i="4"/>
  <c r="R21" i="4" s="1"/>
  <c r="M21" i="4"/>
  <c r="L21" i="4" s="1"/>
  <c r="G21" i="4"/>
  <c r="AW12" i="4"/>
  <c r="AV12" i="4"/>
  <c r="AU12" i="4"/>
  <c r="AT12" i="4"/>
  <c r="AO12" i="4"/>
  <c r="AN12" i="4"/>
  <c r="AM12" i="4"/>
  <c r="Y12" i="4"/>
  <c r="X12" i="4" s="1"/>
  <c r="S12" i="4"/>
  <c r="R12" i="4" s="1"/>
  <c r="M12" i="4"/>
  <c r="G12" i="4"/>
  <c r="L23" i="5"/>
  <c r="J23" i="5"/>
  <c r="H23" i="5"/>
  <c r="L22" i="5"/>
  <c r="J22" i="5"/>
  <c r="H22" i="5"/>
  <c r="L21" i="5"/>
  <c r="J21" i="5"/>
  <c r="H21" i="5"/>
  <c r="L20" i="5"/>
  <c r="J20" i="5"/>
  <c r="H20" i="5"/>
  <c r="L19" i="5"/>
  <c r="J19" i="5"/>
  <c r="H19" i="5"/>
  <c r="L18" i="5"/>
  <c r="J18" i="5"/>
  <c r="H18" i="5"/>
  <c r="L17" i="5"/>
  <c r="J17" i="5"/>
  <c r="H17" i="5"/>
  <c r="L16" i="5"/>
  <c r="J16" i="5"/>
  <c r="H16" i="5"/>
  <c r="L15" i="5"/>
  <c r="J15" i="5"/>
  <c r="H15" i="5"/>
  <c r="L14" i="5"/>
  <c r="J14" i="5"/>
  <c r="H14" i="5"/>
  <c r="L13" i="5"/>
  <c r="J13" i="5"/>
  <c r="H13" i="5"/>
  <c r="L12" i="5"/>
  <c r="J12" i="5"/>
  <c r="H12" i="5"/>
  <c r="L11" i="5"/>
  <c r="J11" i="5"/>
  <c r="H11" i="5"/>
  <c r="AW20" i="4"/>
  <c r="AV20" i="4"/>
  <c r="AU20" i="4"/>
  <c r="AT20" i="4"/>
  <c r="AO20" i="4"/>
  <c r="AN20" i="4"/>
  <c r="AM20" i="4"/>
  <c r="Y20" i="4"/>
  <c r="X20" i="4" s="1"/>
  <c r="S20" i="4"/>
  <c r="R20" i="4" s="1"/>
  <c r="M20" i="4"/>
  <c r="L20" i="4" s="1"/>
  <c r="G20" i="4"/>
  <c r="AW19" i="4"/>
  <c r="AV19" i="4"/>
  <c r="AU19" i="4"/>
  <c r="AT19" i="4"/>
  <c r="AO19" i="4"/>
  <c r="AN19" i="4"/>
  <c r="AM19" i="4"/>
  <c r="Y19" i="4"/>
  <c r="X19" i="4" s="1"/>
  <c r="S19" i="4"/>
  <c r="R19" i="4" s="1"/>
  <c r="M19" i="4"/>
  <c r="L19" i="4" s="1"/>
  <c r="G19" i="4"/>
  <c r="AW18" i="4"/>
  <c r="AV18" i="4"/>
  <c r="AU18" i="4"/>
  <c r="AT18" i="4"/>
  <c r="AO18" i="4"/>
  <c r="AN18" i="4"/>
  <c r="AM18" i="4"/>
  <c r="Y18" i="4"/>
  <c r="X18" i="4" s="1"/>
  <c r="S18" i="4"/>
  <c r="R18" i="4" s="1"/>
  <c r="M18" i="4"/>
  <c r="L18" i="4" s="1"/>
  <c r="G18" i="4"/>
  <c r="AW17" i="4"/>
  <c r="AV17" i="4"/>
  <c r="AU17" i="4"/>
  <c r="AT17" i="4"/>
  <c r="AO17" i="4"/>
  <c r="AN17" i="4"/>
  <c r="AM17" i="4"/>
  <c r="Y17" i="4"/>
  <c r="X17" i="4" s="1"/>
  <c r="S17" i="4"/>
  <c r="R17" i="4" s="1"/>
  <c r="M17" i="4"/>
  <c r="L17" i="4" s="1"/>
  <c r="G17" i="4"/>
  <c r="AW16" i="4"/>
  <c r="AV16" i="4"/>
  <c r="AU16" i="4"/>
  <c r="AT16" i="4"/>
  <c r="AO16" i="4"/>
  <c r="AN16" i="4"/>
  <c r="AM16" i="4"/>
  <c r="Y16" i="4"/>
  <c r="X16" i="4" s="1"/>
  <c r="S16" i="4"/>
  <c r="R16" i="4" s="1"/>
  <c r="M16" i="4"/>
  <c r="L16" i="4" s="1"/>
  <c r="G16" i="4"/>
  <c r="AW15" i="4"/>
  <c r="AV15" i="4"/>
  <c r="AU15" i="4"/>
  <c r="AT15" i="4"/>
  <c r="AO15" i="4"/>
  <c r="AN15" i="4"/>
  <c r="AM15" i="4"/>
  <c r="Y15" i="4"/>
  <c r="X15" i="4" s="1"/>
  <c r="S15" i="4"/>
  <c r="R15" i="4" s="1"/>
  <c r="M15" i="4"/>
  <c r="G15" i="4"/>
  <c r="AW14" i="4"/>
  <c r="AV14" i="4"/>
  <c r="AU14" i="4"/>
  <c r="AT14" i="4"/>
  <c r="AO14" i="4"/>
  <c r="AN14" i="4"/>
  <c r="AM14" i="4"/>
  <c r="Y14" i="4"/>
  <c r="X14" i="4" s="1"/>
  <c r="S14" i="4"/>
  <c r="R14" i="4" s="1"/>
  <c r="M14" i="4"/>
  <c r="L14" i="4" s="1"/>
  <c r="G14" i="4"/>
  <c r="AP66" i="4" l="1"/>
  <c r="AP68" i="4"/>
  <c r="AP65" i="4"/>
  <c r="AA71" i="4"/>
  <c r="AA69" i="4"/>
  <c r="Z65" i="4"/>
  <c r="Z67" i="4"/>
  <c r="AB67" i="4" s="1"/>
  <c r="AP70" i="4"/>
  <c r="Z66" i="4"/>
  <c r="N51" i="5"/>
  <c r="M51" i="5" s="1"/>
  <c r="O51" i="5" s="1"/>
  <c r="AA68" i="4"/>
  <c r="AA67" i="4"/>
  <c r="L69" i="4"/>
  <c r="Z69" i="4" s="1"/>
  <c r="AA66" i="4"/>
  <c r="AA65" i="4"/>
  <c r="L70" i="4"/>
  <c r="Z70" i="4" s="1"/>
  <c r="AB70" i="4" s="1"/>
  <c r="L68" i="4"/>
  <c r="Z68" i="4" s="1"/>
  <c r="L71" i="4"/>
  <c r="Z71" i="4" s="1"/>
  <c r="AB71" i="4" s="1"/>
  <c r="AA63" i="4"/>
  <c r="AA53" i="4"/>
  <c r="AA62" i="4"/>
  <c r="AA58" i="4"/>
  <c r="Z60" i="4"/>
  <c r="N53" i="5"/>
  <c r="M53" i="5" s="1"/>
  <c r="O53" i="5" s="1"/>
  <c r="N50" i="5"/>
  <c r="M50" i="5" s="1"/>
  <c r="F50" i="5" s="1"/>
  <c r="N48" i="5"/>
  <c r="M48" i="5" s="1"/>
  <c r="F48" i="5" s="1"/>
  <c r="N52" i="5"/>
  <c r="M52" i="5" s="1"/>
  <c r="O52" i="5" s="1"/>
  <c r="N49" i="5"/>
  <c r="M49" i="5" s="1"/>
  <c r="O49" i="5" s="1"/>
  <c r="N45" i="5"/>
  <c r="M45" i="5" s="1"/>
  <c r="O45" i="5" s="1"/>
  <c r="AP57" i="4"/>
  <c r="AP53" i="4"/>
  <c r="Z53" i="4"/>
  <c r="AB53" i="4" s="1"/>
  <c r="AP50" i="4"/>
  <c r="AP64" i="4"/>
  <c r="AP25" i="4"/>
  <c r="AP58" i="4"/>
  <c r="AP62" i="4"/>
  <c r="AA61" i="4"/>
  <c r="AA64" i="4"/>
  <c r="Z59" i="4"/>
  <c r="L58" i="4"/>
  <c r="Z58" i="4" s="1"/>
  <c r="AA60" i="4"/>
  <c r="L62" i="4"/>
  <c r="Z62" i="4" s="1"/>
  <c r="AB62" i="4" s="1"/>
  <c r="Z61" i="4"/>
  <c r="AP60" i="4"/>
  <c r="L63" i="4"/>
  <c r="Z63" i="4" s="1"/>
  <c r="AA59" i="4"/>
  <c r="Z64" i="4"/>
  <c r="AA49" i="4"/>
  <c r="AP55" i="4"/>
  <c r="AP52" i="4"/>
  <c r="N46" i="5"/>
  <c r="M46" i="5" s="1"/>
  <c r="F46" i="5" s="1"/>
  <c r="N43" i="5"/>
  <c r="M43" i="5" s="1"/>
  <c r="O43" i="5" s="1"/>
  <c r="N44" i="5"/>
  <c r="M44" i="5" s="1"/>
  <c r="F44" i="5" s="1"/>
  <c r="N42" i="5"/>
  <c r="M42" i="5" s="1"/>
  <c r="O42" i="5" s="1"/>
  <c r="N47" i="5"/>
  <c r="M47" i="5" s="1"/>
  <c r="O47" i="5" s="1"/>
  <c r="N38" i="5"/>
  <c r="M38" i="5" s="1"/>
  <c r="O38" i="5" s="1"/>
  <c r="AA51" i="4"/>
  <c r="AA54" i="4"/>
  <c r="AA56" i="4"/>
  <c r="AP51" i="4"/>
  <c r="AP54" i="4"/>
  <c r="AP56" i="4"/>
  <c r="Z50" i="4"/>
  <c r="Z52" i="4"/>
  <c r="Z55" i="4"/>
  <c r="AB55" i="4" s="1"/>
  <c r="Z57" i="4"/>
  <c r="AB57" i="4" s="1"/>
  <c r="L51" i="4"/>
  <c r="Z51" i="4" s="1"/>
  <c r="L54" i="4"/>
  <c r="Z54" i="4" s="1"/>
  <c r="AB54" i="4" s="1"/>
  <c r="L56" i="4"/>
  <c r="Z56" i="4" s="1"/>
  <c r="AA50" i="4"/>
  <c r="AA52" i="4"/>
  <c r="AA55" i="4"/>
  <c r="AA57" i="4"/>
  <c r="AA48" i="4"/>
  <c r="AP22" i="4"/>
  <c r="AP41" i="4"/>
  <c r="AP47" i="4"/>
  <c r="AP49" i="4"/>
  <c r="AP48" i="4"/>
  <c r="AP43" i="4"/>
  <c r="AP36" i="4"/>
  <c r="L49" i="4"/>
  <c r="Z49" i="4" s="1"/>
  <c r="AB49" i="4" s="1"/>
  <c r="AA44" i="4"/>
  <c r="N39" i="5"/>
  <c r="M39" i="5" s="1"/>
  <c r="O39" i="5" s="1"/>
  <c r="N41" i="5"/>
  <c r="M41" i="5" s="1"/>
  <c r="O41" i="5" s="1"/>
  <c r="N36" i="5"/>
  <c r="M36" i="5" s="1"/>
  <c r="F36" i="5" s="1"/>
  <c r="N40" i="5"/>
  <c r="M40" i="5" s="1"/>
  <c r="O40" i="5" s="1"/>
  <c r="N37" i="5"/>
  <c r="M37" i="5" s="1"/>
  <c r="O37" i="5" s="1"/>
  <c r="N29" i="5"/>
  <c r="M29" i="5" s="1"/>
  <c r="O29" i="5" s="1"/>
  <c r="AP38" i="4"/>
  <c r="AP44" i="4"/>
  <c r="Z47" i="4"/>
  <c r="AP46" i="4"/>
  <c r="AA43" i="4"/>
  <c r="L44" i="4"/>
  <c r="Z44" i="4" s="1"/>
  <c r="AB44" i="4" s="1"/>
  <c r="Z43" i="4"/>
  <c r="AB43" i="4" s="1"/>
  <c r="AA46" i="4"/>
  <c r="Z45" i="4"/>
  <c r="L48" i="4"/>
  <c r="Z48" i="4" s="1"/>
  <c r="Z46" i="4"/>
  <c r="AA45" i="4"/>
  <c r="AA47" i="4"/>
  <c r="AA39" i="4"/>
  <c r="AP37" i="4"/>
  <c r="AP39" i="4"/>
  <c r="AA25" i="4"/>
  <c r="AP42" i="4"/>
  <c r="AP40" i="4"/>
  <c r="AA37" i="4"/>
  <c r="N31" i="5"/>
  <c r="M31" i="5" s="1"/>
  <c r="O31" i="5" s="1"/>
  <c r="N35" i="5"/>
  <c r="M35" i="5" s="1"/>
  <c r="O35" i="5" s="1"/>
  <c r="N33" i="5"/>
  <c r="M33" i="5" s="1"/>
  <c r="O33" i="5" s="1"/>
  <c r="N34" i="5"/>
  <c r="M34" i="5" s="1"/>
  <c r="F34" i="5" s="1"/>
  <c r="N32" i="5"/>
  <c r="M32" i="5" s="1"/>
  <c r="F32" i="5" s="1"/>
  <c r="N30" i="5"/>
  <c r="M30" i="5" s="1"/>
  <c r="O30" i="5" s="1"/>
  <c r="N27" i="5"/>
  <c r="M27" i="5" s="1"/>
  <c r="O27" i="5" s="1"/>
  <c r="N25" i="5"/>
  <c r="M25" i="5" s="1"/>
  <c r="O25" i="5" s="1"/>
  <c r="N26" i="5"/>
  <c r="M26" i="5" s="1"/>
  <c r="O26" i="5" s="1"/>
  <c r="N28" i="5"/>
  <c r="M28" i="5" s="1"/>
  <c r="O28" i="5" s="1"/>
  <c r="N24" i="5"/>
  <c r="M24" i="5" s="1"/>
  <c r="F24" i="5" s="1"/>
  <c r="AP34" i="4"/>
  <c r="Z41" i="4"/>
  <c r="AA42" i="4"/>
  <c r="L37" i="4"/>
  <c r="Z37" i="4" s="1"/>
  <c r="AA41" i="4"/>
  <c r="L42" i="4"/>
  <c r="Z42" i="4" s="1"/>
  <c r="Z36" i="4"/>
  <c r="Z38" i="4"/>
  <c r="Z40" i="4"/>
  <c r="Z39" i="4"/>
  <c r="AA36" i="4"/>
  <c r="AA38" i="4"/>
  <c r="AA40" i="4"/>
  <c r="AP12" i="4"/>
  <c r="AP32" i="4"/>
  <c r="L25" i="4"/>
  <c r="Z25" i="4" s="1"/>
  <c r="N20" i="5"/>
  <c r="M20" i="5" s="1"/>
  <c r="F20" i="5" s="1"/>
  <c r="N21" i="5"/>
  <c r="M21" i="5" s="1"/>
  <c r="O21" i="5" s="1"/>
  <c r="N18" i="5"/>
  <c r="M18" i="5" s="1"/>
  <c r="O18" i="5" s="1"/>
  <c r="AP21" i="4"/>
  <c r="AP30" i="4"/>
  <c r="AA34" i="4"/>
  <c r="AA30" i="4"/>
  <c r="AP29" i="4"/>
  <c r="AP31" i="4"/>
  <c r="AA35" i="4"/>
  <c r="Z33" i="4"/>
  <c r="AP33" i="4"/>
  <c r="Z29" i="4"/>
  <c r="AA24" i="4"/>
  <c r="AA29" i="4"/>
  <c r="AP35" i="4"/>
  <c r="AP26" i="4"/>
  <c r="Z31" i="4"/>
  <c r="AB31" i="4" s="1"/>
  <c r="AA32" i="4"/>
  <c r="AA31" i="4"/>
  <c r="AA33" i="4"/>
  <c r="X30" i="4"/>
  <c r="Z30" i="4" s="1"/>
  <c r="L34" i="4"/>
  <c r="Z34" i="4" s="1"/>
  <c r="L35" i="4"/>
  <c r="Z35" i="4" s="1"/>
  <c r="Z32" i="4"/>
  <c r="AA23" i="4"/>
  <c r="L24" i="4"/>
  <c r="Z24" i="4" s="1"/>
  <c r="Z22" i="4"/>
  <c r="AP23" i="4"/>
  <c r="AA26" i="4"/>
  <c r="AP24" i="4"/>
  <c r="AP27" i="4"/>
  <c r="AA21" i="4"/>
  <c r="AP28" i="4"/>
  <c r="AA27" i="4"/>
  <c r="N14" i="5"/>
  <c r="M14" i="5" s="1"/>
  <c r="O14" i="5" s="1"/>
  <c r="Z21" i="4"/>
  <c r="AA28" i="4"/>
  <c r="AA22" i="4"/>
  <c r="L23" i="4"/>
  <c r="Z23" i="4" s="1"/>
  <c r="X26" i="4"/>
  <c r="Z26" i="4" s="1"/>
  <c r="L27" i="4"/>
  <c r="Z27" i="4" s="1"/>
  <c r="L28" i="4"/>
  <c r="Z28" i="4" s="1"/>
  <c r="AA12" i="4"/>
  <c r="AP20" i="4"/>
  <c r="AP18" i="4"/>
  <c r="AP19" i="4"/>
  <c r="N19" i="5"/>
  <c r="M19" i="5" s="1"/>
  <c r="O19" i="5" s="1"/>
  <c r="N23" i="5"/>
  <c r="M23" i="5" s="1"/>
  <c r="O23" i="5" s="1"/>
  <c r="L12" i="4"/>
  <c r="Z12" i="4" s="1"/>
  <c r="AP16" i="4"/>
  <c r="AP14" i="4"/>
  <c r="Z20" i="4"/>
  <c r="N22" i="5"/>
  <c r="M22" i="5" s="1"/>
  <c r="O22" i="5" s="1"/>
  <c r="N15" i="5"/>
  <c r="M15" i="5" s="1"/>
  <c r="O15" i="5" s="1"/>
  <c r="N17" i="5"/>
  <c r="M17" i="5" s="1"/>
  <c r="O17" i="5" s="1"/>
  <c r="N13" i="5"/>
  <c r="M13" i="5" s="1"/>
  <c r="F13" i="5" s="1"/>
  <c r="N16" i="5"/>
  <c r="M16" i="5" s="1"/>
  <c r="O16" i="5" s="1"/>
  <c r="N12" i="5"/>
  <c r="M12" i="5" s="1"/>
  <c r="F12" i="5" s="1"/>
  <c r="N11" i="5"/>
  <c r="M11" i="5" s="1"/>
  <c r="O11" i="5" s="1"/>
  <c r="AA15" i="4"/>
  <c r="AP15" i="4"/>
  <c r="AA20" i="4"/>
  <c r="AP17" i="4"/>
  <c r="L15" i="4"/>
  <c r="Z15" i="4" s="1"/>
  <c r="Z14" i="4"/>
  <c r="AA17" i="4"/>
  <c r="AA19" i="4"/>
  <c r="Z17" i="4"/>
  <c r="Z16" i="4"/>
  <c r="Z19" i="4"/>
  <c r="Z18" i="4"/>
  <c r="AA14" i="4"/>
  <c r="AA16" i="4"/>
  <c r="AA18" i="4"/>
  <c r="F53" i="5" l="1"/>
  <c r="F51" i="5"/>
  <c r="AB69" i="4"/>
  <c r="AB68" i="4"/>
  <c r="AB66" i="4"/>
  <c r="AB65" i="4"/>
  <c r="AB60" i="4"/>
  <c r="AB64" i="4"/>
  <c r="O50" i="5"/>
  <c r="F49" i="5"/>
  <c r="F52" i="5"/>
  <c r="AB63" i="4"/>
  <c r="AB61" i="4"/>
  <c r="AB59" i="4"/>
  <c r="AB58" i="4"/>
  <c r="O48" i="5"/>
  <c r="F45" i="5"/>
  <c r="F43" i="5"/>
  <c r="O46" i="5"/>
  <c r="AB56" i="4"/>
  <c r="AB52" i="4"/>
  <c r="AB51" i="4"/>
  <c r="AB50" i="4"/>
  <c r="AB19" i="4"/>
  <c r="AB47" i="4"/>
  <c r="AB25" i="4"/>
  <c r="O44" i="5"/>
  <c r="F42" i="5"/>
  <c r="F38" i="5"/>
  <c r="F47" i="5"/>
  <c r="F29" i="5"/>
  <c r="O36" i="5"/>
  <c r="F40" i="5"/>
  <c r="F41" i="5"/>
  <c r="AB48" i="4"/>
  <c r="AB46" i="4"/>
  <c r="AB45" i="4"/>
  <c r="AB40" i="4"/>
  <c r="AB42" i="4"/>
  <c r="AB35" i="4"/>
  <c r="F39" i="5"/>
  <c r="F37" i="5"/>
  <c r="F33" i="5"/>
  <c r="F31" i="5"/>
  <c r="F26" i="5"/>
  <c r="AB41" i="4"/>
  <c r="AB39" i="4"/>
  <c r="AB38" i="4"/>
  <c r="AB37" i="4"/>
  <c r="AB36" i="4"/>
  <c r="AB33" i="4"/>
  <c r="AB28" i="4"/>
  <c r="AB23" i="4"/>
  <c r="O34" i="5"/>
  <c r="F35" i="5"/>
  <c r="F30" i="5"/>
  <c r="F28" i="5"/>
  <c r="O32" i="5"/>
  <c r="F27" i="5"/>
  <c r="F25" i="5"/>
  <c r="O24" i="5"/>
  <c r="AB34" i="4"/>
  <c r="AB32" i="4"/>
  <c r="AB30" i="4"/>
  <c r="AB29" i="4"/>
  <c r="AB27" i="4"/>
  <c r="AB21" i="4"/>
  <c r="F21" i="5"/>
  <c r="F18" i="5"/>
  <c r="O20" i="5"/>
  <c r="AB26" i="4"/>
  <c r="AB24" i="4"/>
  <c r="AB22" i="4"/>
  <c r="AB20" i="4"/>
  <c r="AB12" i="4"/>
  <c r="AB18" i="4"/>
  <c r="AB16" i="4"/>
  <c r="F23" i="5"/>
  <c r="F17" i="5"/>
  <c r="F14" i="5"/>
  <c r="AB17" i="4"/>
  <c r="AB15" i="4"/>
  <c r="AB14" i="4"/>
  <c r="F19" i="5"/>
  <c r="F22" i="5"/>
  <c r="F15" i="5"/>
  <c r="O13" i="5"/>
  <c r="O12" i="5"/>
  <c r="F16" i="5"/>
  <c r="F11" i="5"/>
  <c r="AW11" i="4" l="1"/>
  <c r="AV11" i="4"/>
  <c r="AU11" i="4"/>
  <c r="AT11" i="4"/>
  <c r="AO11" i="4"/>
  <c r="AN11" i="4"/>
  <c r="AM11" i="4"/>
  <c r="Y11" i="4"/>
  <c r="X11" i="4" s="1"/>
  <c r="S11" i="4"/>
  <c r="M11" i="4"/>
  <c r="L11" i="4" s="1"/>
  <c r="G11" i="4"/>
  <c r="L9" i="5"/>
  <c r="J9" i="5"/>
  <c r="H9" i="5"/>
  <c r="L8" i="5"/>
  <c r="J8" i="5"/>
  <c r="H8" i="5"/>
  <c r="L7" i="5"/>
  <c r="J7" i="5"/>
  <c r="H7" i="5"/>
  <c r="AP11" i="4" l="1"/>
  <c r="AA11" i="4"/>
  <c r="R11" i="4"/>
  <c r="Z11" i="4" s="1"/>
  <c r="AB11" i="4" l="1"/>
  <c r="L10" i="5"/>
  <c r="J10" i="5"/>
  <c r="H10" i="5"/>
  <c r="S13" i="4"/>
  <c r="J5" i="11"/>
  <c r="K5" i="11" s="1"/>
  <c r="J6" i="11"/>
  <c r="K6" i="11" s="1"/>
  <c r="J7" i="11"/>
  <c r="K7" i="11" s="1"/>
  <c r="J8" i="11"/>
  <c r="K8" i="11" s="1"/>
  <c r="J9" i="11"/>
  <c r="K9" i="11" s="1"/>
  <c r="J4" i="11"/>
  <c r="K4" i="11" s="1"/>
  <c r="N9" i="5" l="1"/>
  <c r="AP3" i="4"/>
  <c r="AW6" i="4" l="1"/>
  <c r="AW7" i="4"/>
  <c r="AW8" i="4"/>
  <c r="AW9" i="4"/>
  <c r="AW10" i="4"/>
  <c r="AW13" i="4"/>
  <c r="AV6" i="4"/>
  <c r="AV7" i="4"/>
  <c r="AV8" i="4"/>
  <c r="AV9" i="4"/>
  <c r="AV10" i="4"/>
  <c r="AV13" i="4"/>
  <c r="AU6" i="4"/>
  <c r="AU7" i="4"/>
  <c r="AU8" i="4"/>
  <c r="AU9" i="4"/>
  <c r="AU10" i="4"/>
  <c r="AU13" i="4"/>
  <c r="AT6" i="4"/>
  <c r="AT7" i="4"/>
  <c r="AT8" i="4"/>
  <c r="AT9" i="4"/>
  <c r="AT10" i="4"/>
  <c r="AT13" i="4"/>
  <c r="AO13" i="4" l="1"/>
  <c r="AN13" i="4"/>
  <c r="AM13" i="4"/>
  <c r="Y13" i="4"/>
  <c r="X13" i="4" s="1"/>
  <c r="R13" i="4"/>
  <c r="M13" i="4"/>
  <c r="L13" i="4" s="1"/>
  <c r="G13" i="4"/>
  <c r="AO10" i="4"/>
  <c r="AN10" i="4"/>
  <c r="AM10" i="4"/>
  <c r="Y10" i="4"/>
  <c r="X10" i="4" s="1"/>
  <c r="S10" i="4"/>
  <c r="R10" i="4" s="1"/>
  <c r="M10" i="4"/>
  <c r="L10" i="4" s="1"/>
  <c r="G10" i="4"/>
  <c r="AO9" i="4"/>
  <c r="AN9" i="4"/>
  <c r="AM9" i="4"/>
  <c r="Y9" i="4"/>
  <c r="X9" i="4" s="1"/>
  <c r="S9" i="4"/>
  <c r="R9" i="4" s="1"/>
  <c r="M9" i="4"/>
  <c r="L9" i="4" s="1"/>
  <c r="G9" i="4"/>
  <c r="AO8" i="4"/>
  <c r="AN8" i="4"/>
  <c r="AM8" i="4"/>
  <c r="Y8" i="4"/>
  <c r="X8" i="4" s="1"/>
  <c r="S8" i="4"/>
  <c r="R8" i="4" s="1"/>
  <c r="M8" i="4"/>
  <c r="L8" i="4" s="1"/>
  <c r="G8" i="4"/>
  <c r="AO7" i="4"/>
  <c r="AN7" i="4"/>
  <c r="AM7" i="4"/>
  <c r="Y7" i="4"/>
  <c r="X7" i="4" s="1"/>
  <c r="S7" i="4"/>
  <c r="R7" i="4" s="1"/>
  <c r="M7" i="4"/>
  <c r="L7" i="4" s="1"/>
  <c r="G7" i="4"/>
  <c r="AO6" i="4"/>
  <c r="AN6" i="4"/>
  <c r="AM6" i="4"/>
  <c r="Y6" i="4"/>
  <c r="X6" i="4" s="1"/>
  <c r="S6" i="4"/>
  <c r="R6" i="4" s="1"/>
  <c r="M6" i="4"/>
  <c r="L6" i="4" s="1"/>
  <c r="G6" i="4"/>
  <c r="AP6" i="4" l="1"/>
  <c r="AP8" i="4"/>
  <c r="AP10" i="4"/>
  <c r="Z9" i="4"/>
  <c r="AP9" i="4"/>
  <c r="AP13" i="4"/>
  <c r="AP7" i="4"/>
  <c r="AA9" i="4"/>
  <c r="Z13" i="4"/>
  <c r="AA8" i="4"/>
  <c r="Z6" i="4"/>
  <c r="AB6" i="4" s="1"/>
  <c r="Z7" i="4"/>
  <c r="Z10" i="4"/>
  <c r="Z8" i="4"/>
  <c r="AA13" i="4"/>
  <c r="AA7" i="4"/>
  <c r="AA6" i="4"/>
  <c r="AA10" i="4"/>
  <c r="AB8" i="4" l="1"/>
  <c r="AB10" i="4"/>
  <c r="AB13" i="4"/>
  <c r="AB9" i="4"/>
  <c r="AB7" i="4"/>
  <c r="M2" i="4"/>
  <c r="L6" i="5" l="1"/>
  <c r="J6" i="5"/>
  <c r="H6" i="5"/>
  <c r="N7" i="5" l="1"/>
  <c r="M7" i="5" s="1"/>
  <c r="F7" i="5" s="1"/>
  <c r="N8" i="5"/>
  <c r="M8" i="5" s="1"/>
  <c r="F8" i="5" s="1"/>
  <c r="N6" i="5"/>
  <c r="M6" i="5" s="1"/>
  <c r="F6" i="5" s="1"/>
  <c r="M9" i="5"/>
  <c r="F9" i="5" s="1"/>
  <c r="N10" i="5"/>
  <c r="M10" i="5" s="1"/>
  <c r="F10" i="5" s="1"/>
  <c r="O8" i="5" l="1"/>
  <c r="O7" i="5"/>
  <c r="O9" i="5"/>
  <c r="O6" i="5"/>
  <c r="O10" i="5"/>
  <c r="L2" i="5"/>
  <c r="K2" i="6"/>
  <c r="I1" i="9"/>
  <c r="J2" i="8"/>
  <c r="D377" i="3" l="1"/>
  <c r="C377" i="3"/>
  <c r="B377" i="3"/>
  <c r="D376" i="3"/>
  <c r="C376" i="3"/>
  <c r="B376" i="3"/>
  <c r="D375" i="3"/>
  <c r="C375" i="3"/>
  <c r="B375" i="3"/>
  <c r="D374" i="3"/>
  <c r="C374" i="3"/>
  <c r="B374" i="3"/>
  <c r="Q369" i="3"/>
  <c r="L369" i="3"/>
  <c r="G369" i="3"/>
  <c r="Z368" i="3"/>
  <c r="X368" i="3"/>
  <c r="V368" i="3"/>
  <c r="U368" i="3"/>
  <c r="AA368" i="3" s="1"/>
  <c r="Q368" i="3"/>
  <c r="L368" i="3"/>
  <c r="G368" i="3"/>
  <c r="Q367" i="3"/>
  <c r="L367" i="3"/>
  <c r="G367" i="3"/>
  <c r="Z366" i="3"/>
  <c r="X366" i="3"/>
  <c r="V366" i="3"/>
  <c r="U366" i="3"/>
  <c r="AA366" i="3" s="1"/>
  <c r="Q366" i="3"/>
  <c r="L366" i="3"/>
  <c r="G366" i="3"/>
  <c r="Q365" i="3"/>
  <c r="L365" i="3"/>
  <c r="G365" i="3"/>
  <c r="Z364" i="3"/>
  <c r="X364" i="3"/>
  <c r="V364" i="3"/>
  <c r="U364" i="3"/>
  <c r="AA364" i="3" s="1"/>
  <c r="Q364" i="3"/>
  <c r="L364" i="3"/>
  <c r="G364" i="3"/>
  <c r="Q363" i="3"/>
  <c r="L363" i="3"/>
  <c r="G363" i="3"/>
  <c r="Z362" i="3"/>
  <c r="X362" i="3"/>
  <c r="V362" i="3"/>
  <c r="V370" i="3" s="1"/>
  <c r="U362" i="3"/>
  <c r="Q362" i="3"/>
  <c r="L362" i="3"/>
  <c r="G362" i="3"/>
  <c r="F405" i="2"/>
  <c r="E405" i="2"/>
  <c r="D405" i="2"/>
  <c r="C405" i="2"/>
  <c r="B405" i="2"/>
  <c r="F404" i="2"/>
  <c r="E404" i="2"/>
  <c r="D404" i="2"/>
  <c r="C404" i="2"/>
  <c r="B404" i="2"/>
  <c r="F403" i="2"/>
  <c r="E403" i="2"/>
  <c r="D403" i="2"/>
  <c r="C403" i="2"/>
  <c r="B403" i="2"/>
  <c r="F402" i="2"/>
  <c r="E402" i="2"/>
  <c r="D402" i="2"/>
  <c r="C402" i="2"/>
  <c r="B402" i="2"/>
  <c r="F401" i="2"/>
  <c r="E401" i="2"/>
  <c r="D401" i="2"/>
  <c r="C401" i="2"/>
  <c r="B401" i="2"/>
  <c r="F400" i="2"/>
  <c r="E400" i="2"/>
  <c r="C400" i="2"/>
  <c r="B400" i="2"/>
  <c r="Y396" i="2"/>
  <c r="X396" i="2"/>
  <c r="S396" i="2"/>
  <c r="R396" i="2"/>
  <c r="M396" i="2"/>
  <c r="L396" i="2"/>
  <c r="Y395" i="2"/>
  <c r="X395" i="2"/>
  <c r="S395" i="2"/>
  <c r="R395" i="2"/>
  <c r="M395" i="2"/>
  <c r="L395" i="2"/>
  <c r="Y394" i="2"/>
  <c r="X394" i="2"/>
  <c r="S394" i="2"/>
  <c r="R394" i="2"/>
  <c r="M394" i="2"/>
  <c r="L394" i="2"/>
  <c r="Y393" i="2"/>
  <c r="X393" i="2"/>
  <c r="S393" i="2"/>
  <c r="R393" i="2"/>
  <c r="M393" i="2"/>
  <c r="L393" i="2"/>
  <c r="Y392" i="2"/>
  <c r="X392" i="2"/>
  <c r="S392" i="2"/>
  <c r="R392" i="2"/>
  <c r="M392" i="2"/>
  <c r="L392" i="2"/>
  <c r="Y391" i="2"/>
  <c r="X391" i="2"/>
  <c r="S391" i="2"/>
  <c r="R391" i="2"/>
  <c r="M391" i="2"/>
  <c r="L391" i="2"/>
  <c r="D357" i="3"/>
  <c r="C357" i="3"/>
  <c r="B357" i="3"/>
  <c r="D356" i="3"/>
  <c r="C356" i="3"/>
  <c r="B356" i="3"/>
  <c r="D355" i="3"/>
  <c r="C355" i="3"/>
  <c r="B355" i="3"/>
  <c r="D354" i="3"/>
  <c r="C354" i="3"/>
  <c r="B354" i="3"/>
  <c r="Q349" i="3"/>
  <c r="L349" i="3"/>
  <c r="G349" i="3"/>
  <c r="Z348" i="3"/>
  <c r="X348" i="3"/>
  <c r="V348" i="3"/>
  <c r="U348" i="3"/>
  <c r="Q348" i="3"/>
  <c r="L348" i="3"/>
  <c r="G348" i="3"/>
  <c r="Q347" i="3"/>
  <c r="L347" i="3"/>
  <c r="G347" i="3"/>
  <c r="Z346" i="3"/>
  <c r="X346" i="3"/>
  <c r="V346" i="3"/>
  <c r="U346" i="3"/>
  <c r="AA346" i="3" s="1"/>
  <c r="Q346" i="3"/>
  <c r="L346" i="3"/>
  <c r="G346" i="3"/>
  <c r="Q345" i="3"/>
  <c r="L345" i="3"/>
  <c r="G345" i="3"/>
  <c r="Z344" i="3"/>
  <c r="X344" i="3"/>
  <c r="V344" i="3"/>
  <c r="U344" i="3"/>
  <c r="AA344" i="3" s="1"/>
  <c r="Q344" i="3"/>
  <c r="L344" i="3"/>
  <c r="G344" i="3"/>
  <c r="Q343" i="3"/>
  <c r="L343" i="3"/>
  <c r="G343" i="3"/>
  <c r="Z342" i="3"/>
  <c r="X342" i="3"/>
  <c r="V342" i="3"/>
  <c r="U342" i="3"/>
  <c r="W342" i="3" s="1"/>
  <c r="Q342" i="3"/>
  <c r="L342" i="3"/>
  <c r="G342" i="3"/>
  <c r="D337" i="3"/>
  <c r="C337" i="3"/>
  <c r="B337" i="3"/>
  <c r="D336" i="3"/>
  <c r="C336" i="3"/>
  <c r="B336" i="3"/>
  <c r="D335" i="3"/>
  <c r="C335" i="3"/>
  <c r="B335" i="3"/>
  <c r="D334" i="3"/>
  <c r="C334" i="3"/>
  <c r="B334" i="3"/>
  <c r="Q329" i="3"/>
  <c r="L329" i="3"/>
  <c r="G329" i="3"/>
  <c r="Z328" i="3"/>
  <c r="X328" i="3"/>
  <c r="V328" i="3"/>
  <c r="U328" i="3"/>
  <c r="Q328" i="3"/>
  <c r="L328" i="3"/>
  <c r="G328" i="3"/>
  <c r="Q327" i="3"/>
  <c r="L327" i="3"/>
  <c r="G327" i="3"/>
  <c r="Z326" i="3"/>
  <c r="X326" i="3"/>
  <c r="V326" i="3"/>
  <c r="U326" i="3"/>
  <c r="AA326" i="3" s="1"/>
  <c r="Q326" i="3"/>
  <c r="L326" i="3"/>
  <c r="G326" i="3"/>
  <c r="Q325" i="3"/>
  <c r="L325" i="3"/>
  <c r="G325" i="3"/>
  <c r="Z324" i="3"/>
  <c r="X324" i="3"/>
  <c r="V324" i="3"/>
  <c r="U324" i="3"/>
  <c r="AA324" i="3" s="1"/>
  <c r="Q324" i="3"/>
  <c r="L324" i="3"/>
  <c r="G324" i="3"/>
  <c r="Q323" i="3"/>
  <c r="L323" i="3"/>
  <c r="G323" i="3"/>
  <c r="Z322" i="3"/>
  <c r="X322" i="3"/>
  <c r="Y322" i="3" s="1"/>
  <c r="V322" i="3"/>
  <c r="U322" i="3"/>
  <c r="Q322" i="3"/>
  <c r="L322" i="3"/>
  <c r="G322" i="3"/>
  <c r="D317" i="3"/>
  <c r="C317" i="3"/>
  <c r="B317" i="3"/>
  <c r="D316" i="3"/>
  <c r="C316" i="3"/>
  <c r="B316" i="3"/>
  <c r="D315" i="3"/>
  <c r="C315" i="3"/>
  <c r="B315" i="3"/>
  <c r="D314" i="3"/>
  <c r="C314" i="3"/>
  <c r="B314" i="3"/>
  <c r="Q309" i="3"/>
  <c r="L309" i="3"/>
  <c r="G309" i="3"/>
  <c r="Z308" i="3"/>
  <c r="X308" i="3"/>
  <c r="V308" i="3"/>
  <c r="U308" i="3"/>
  <c r="Q308" i="3"/>
  <c r="L308" i="3"/>
  <c r="G308" i="3"/>
  <c r="Q307" i="3"/>
  <c r="L307" i="3"/>
  <c r="G307" i="3"/>
  <c r="Z306" i="3"/>
  <c r="X306" i="3"/>
  <c r="V306" i="3"/>
  <c r="U306" i="3"/>
  <c r="AA306" i="3" s="1"/>
  <c r="Q306" i="3"/>
  <c r="L306" i="3"/>
  <c r="G306" i="3"/>
  <c r="Q305" i="3"/>
  <c r="L305" i="3"/>
  <c r="G305" i="3"/>
  <c r="Z304" i="3"/>
  <c r="X304" i="3"/>
  <c r="V304" i="3"/>
  <c r="U304" i="3"/>
  <c r="AA304" i="3" s="1"/>
  <c r="Q304" i="3"/>
  <c r="L304" i="3"/>
  <c r="G304" i="3"/>
  <c r="Q303" i="3"/>
  <c r="L303" i="3"/>
  <c r="G303" i="3"/>
  <c r="Z302" i="3"/>
  <c r="X302" i="3"/>
  <c r="V302" i="3"/>
  <c r="U302" i="3"/>
  <c r="Q302" i="3"/>
  <c r="L302" i="3"/>
  <c r="G302" i="3"/>
  <c r="D297" i="3"/>
  <c r="C297" i="3"/>
  <c r="B297" i="3"/>
  <c r="Q289" i="3"/>
  <c r="Q288" i="3"/>
  <c r="Q287" i="3"/>
  <c r="Q286" i="3"/>
  <c r="Q285" i="3"/>
  <c r="Q284" i="3"/>
  <c r="Q283" i="3"/>
  <c r="Q282" i="3"/>
  <c r="L289" i="3"/>
  <c r="L288" i="3"/>
  <c r="L287" i="3"/>
  <c r="L286" i="3"/>
  <c r="L285" i="3"/>
  <c r="L284" i="3"/>
  <c r="L283" i="3"/>
  <c r="L282" i="3"/>
  <c r="G289" i="3"/>
  <c r="G288" i="3"/>
  <c r="G287" i="3"/>
  <c r="G286" i="3"/>
  <c r="G285" i="3"/>
  <c r="G284" i="3"/>
  <c r="G283" i="3"/>
  <c r="G282" i="3"/>
  <c r="Z288" i="3"/>
  <c r="X288" i="3"/>
  <c r="V288" i="3"/>
  <c r="U288" i="3"/>
  <c r="F386" i="2"/>
  <c r="E386" i="2"/>
  <c r="D386" i="2"/>
  <c r="C386" i="2"/>
  <c r="B386" i="2"/>
  <c r="F385" i="2"/>
  <c r="E385" i="2"/>
  <c r="D385" i="2"/>
  <c r="C385" i="2"/>
  <c r="B385" i="2"/>
  <c r="F384" i="2"/>
  <c r="E384" i="2"/>
  <c r="D384" i="2"/>
  <c r="C384" i="2"/>
  <c r="B384" i="2"/>
  <c r="F383" i="2"/>
  <c r="E383" i="2"/>
  <c r="D383" i="2"/>
  <c r="C383" i="2"/>
  <c r="B383" i="2"/>
  <c r="F382" i="2"/>
  <c r="E382" i="2"/>
  <c r="D382" i="2"/>
  <c r="C382" i="2"/>
  <c r="B382" i="2"/>
  <c r="F381" i="2"/>
  <c r="E381" i="2"/>
  <c r="C381" i="2"/>
  <c r="B381" i="2"/>
  <c r="Y377" i="2"/>
  <c r="X377" i="2"/>
  <c r="S377" i="2"/>
  <c r="R377" i="2"/>
  <c r="M377" i="2"/>
  <c r="L377" i="2"/>
  <c r="Y376" i="2"/>
  <c r="X376" i="2"/>
  <c r="S376" i="2"/>
  <c r="R376" i="2"/>
  <c r="M376" i="2"/>
  <c r="L376" i="2"/>
  <c r="Y375" i="2"/>
  <c r="X375" i="2"/>
  <c r="S375" i="2"/>
  <c r="R375" i="2"/>
  <c r="M375" i="2"/>
  <c r="L375" i="2"/>
  <c r="Y374" i="2"/>
  <c r="X374" i="2"/>
  <c r="S374" i="2"/>
  <c r="R374" i="2"/>
  <c r="M374" i="2"/>
  <c r="L374" i="2"/>
  <c r="Y373" i="2"/>
  <c r="X373" i="2"/>
  <c r="S373" i="2"/>
  <c r="R373" i="2"/>
  <c r="M373" i="2"/>
  <c r="L373" i="2"/>
  <c r="Y372" i="2"/>
  <c r="X372" i="2"/>
  <c r="S372" i="2"/>
  <c r="R372" i="2"/>
  <c r="M372" i="2"/>
  <c r="L372" i="2"/>
  <c r="F367" i="2"/>
  <c r="E367" i="2"/>
  <c r="D367" i="2"/>
  <c r="C367" i="2"/>
  <c r="B367" i="2"/>
  <c r="F366" i="2"/>
  <c r="E366" i="2"/>
  <c r="D366" i="2"/>
  <c r="C366" i="2"/>
  <c r="B366" i="2"/>
  <c r="F365" i="2"/>
  <c r="E365" i="2"/>
  <c r="D365" i="2"/>
  <c r="C365" i="2"/>
  <c r="B365" i="2"/>
  <c r="F364" i="2"/>
  <c r="E364" i="2"/>
  <c r="D364" i="2"/>
  <c r="C364" i="2"/>
  <c r="B364" i="2"/>
  <c r="F363" i="2"/>
  <c r="E363" i="2"/>
  <c r="D363" i="2"/>
  <c r="C363" i="2"/>
  <c r="B363" i="2"/>
  <c r="F362" i="2"/>
  <c r="E362" i="2"/>
  <c r="C362" i="2"/>
  <c r="B362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Y356" i="2"/>
  <c r="X356" i="2"/>
  <c r="S356" i="2"/>
  <c r="R356" i="2"/>
  <c r="M356" i="2"/>
  <c r="L356" i="2"/>
  <c r="Y355" i="2"/>
  <c r="X355" i="2"/>
  <c r="S355" i="2"/>
  <c r="R355" i="2"/>
  <c r="M355" i="2"/>
  <c r="L355" i="2"/>
  <c r="Y354" i="2"/>
  <c r="X354" i="2"/>
  <c r="S354" i="2"/>
  <c r="R354" i="2"/>
  <c r="M354" i="2"/>
  <c r="L354" i="2"/>
  <c r="Y353" i="2"/>
  <c r="X353" i="2"/>
  <c r="S353" i="2"/>
  <c r="R353" i="2"/>
  <c r="M353" i="2"/>
  <c r="L353" i="2"/>
  <c r="F348" i="2"/>
  <c r="E348" i="2"/>
  <c r="D348" i="2"/>
  <c r="C348" i="2"/>
  <c r="B348" i="2"/>
  <c r="F347" i="2"/>
  <c r="E347" i="2"/>
  <c r="D347" i="2"/>
  <c r="C347" i="2"/>
  <c r="B347" i="2"/>
  <c r="F346" i="2"/>
  <c r="E346" i="2"/>
  <c r="D346" i="2"/>
  <c r="C346" i="2"/>
  <c r="B346" i="2"/>
  <c r="F345" i="2"/>
  <c r="E345" i="2"/>
  <c r="D345" i="2"/>
  <c r="C345" i="2"/>
  <c r="B345" i="2"/>
  <c r="F344" i="2"/>
  <c r="E344" i="2"/>
  <c r="D344" i="2"/>
  <c r="C344" i="2"/>
  <c r="B344" i="2"/>
  <c r="F343" i="2"/>
  <c r="E343" i="2"/>
  <c r="C343" i="2"/>
  <c r="B343" i="2"/>
  <c r="Y339" i="2"/>
  <c r="X339" i="2"/>
  <c r="S339" i="2"/>
  <c r="R339" i="2"/>
  <c r="M339" i="2"/>
  <c r="L339" i="2"/>
  <c r="Y338" i="2"/>
  <c r="X338" i="2"/>
  <c r="S338" i="2"/>
  <c r="R338" i="2"/>
  <c r="M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F329" i="2"/>
  <c r="E329" i="2"/>
  <c r="D329" i="2"/>
  <c r="C329" i="2"/>
  <c r="B329" i="2"/>
  <c r="F328" i="2"/>
  <c r="E328" i="2"/>
  <c r="D328" i="2"/>
  <c r="C328" i="2"/>
  <c r="B328" i="2"/>
  <c r="F327" i="2"/>
  <c r="E327" i="2"/>
  <c r="D327" i="2"/>
  <c r="C327" i="2"/>
  <c r="B327" i="2"/>
  <c r="F326" i="2"/>
  <c r="E326" i="2"/>
  <c r="D326" i="2"/>
  <c r="C326" i="2"/>
  <c r="B326" i="2"/>
  <c r="F325" i="2"/>
  <c r="E325" i="2"/>
  <c r="D325" i="2"/>
  <c r="C325" i="2"/>
  <c r="B325" i="2"/>
  <c r="F324" i="2"/>
  <c r="E324" i="2"/>
  <c r="C324" i="2"/>
  <c r="B324" i="2"/>
  <c r="Y320" i="2"/>
  <c r="X320" i="2"/>
  <c r="S320" i="2"/>
  <c r="R320" i="2"/>
  <c r="M320" i="2"/>
  <c r="L320" i="2"/>
  <c r="Y319" i="2"/>
  <c r="X319" i="2"/>
  <c r="S319" i="2"/>
  <c r="R319" i="2"/>
  <c r="M319" i="2"/>
  <c r="L319" i="2"/>
  <c r="Y318" i="2"/>
  <c r="X318" i="2"/>
  <c r="S318" i="2"/>
  <c r="R318" i="2"/>
  <c r="M318" i="2"/>
  <c r="L318" i="2"/>
  <c r="Y317" i="2"/>
  <c r="X317" i="2"/>
  <c r="S317" i="2"/>
  <c r="R317" i="2"/>
  <c r="M317" i="2"/>
  <c r="L317" i="2"/>
  <c r="Y316" i="2"/>
  <c r="X316" i="2"/>
  <c r="S316" i="2"/>
  <c r="R316" i="2"/>
  <c r="M316" i="2"/>
  <c r="L316" i="2"/>
  <c r="Y315" i="2"/>
  <c r="X315" i="2"/>
  <c r="S315" i="2"/>
  <c r="R315" i="2"/>
  <c r="M315" i="2"/>
  <c r="L315" i="2"/>
  <c r="D296" i="3"/>
  <c r="C296" i="3"/>
  <c r="B296" i="3"/>
  <c r="D295" i="3"/>
  <c r="C295" i="3"/>
  <c r="B295" i="3"/>
  <c r="D294" i="3"/>
  <c r="C294" i="3"/>
  <c r="B294" i="3"/>
  <c r="Z286" i="3"/>
  <c r="Z290" i="3" s="1"/>
  <c r="X286" i="3"/>
  <c r="V286" i="3"/>
  <c r="U286" i="3"/>
  <c r="AA286" i="3" s="1"/>
  <c r="Z284" i="3"/>
  <c r="X284" i="3"/>
  <c r="V284" i="3"/>
  <c r="U284" i="3"/>
  <c r="AA284" i="3" s="1"/>
  <c r="Z282" i="3"/>
  <c r="X282" i="3"/>
  <c r="V282" i="3"/>
  <c r="U282" i="3"/>
  <c r="D277" i="3"/>
  <c r="C277" i="3"/>
  <c r="B277" i="3"/>
  <c r="D276" i="3"/>
  <c r="C276" i="3"/>
  <c r="B276" i="3"/>
  <c r="D275" i="3"/>
  <c r="C275" i="3"/>
  <c r="B275" i="3"/>
  <c r="Q270" i="3"/>
  <c r="L270" i="3"/>
  <c r="G270" i="3"/>
  <c r="Z269" i="3"/>
  <c r="X269" i="3"/>
  <c r="V269" i="3"/>
  <c r="U269" i="3"/>
  <c r="AA269" i="3" s="1"/>
  <c r="Q269" i="3"/>
  <c r="L269" i="3"/>
  <c r="G269" i="3"/>
  <c r="Q268" i="3"/>
  <c r="L268" i="3"/>
  <c r="G268" i="3"/>
  <c r="Z267" i="3"/>
  <c r="X267" i="3"/>
  <c r="V267" i="3"/>
  <c r="U267" i="3"/>
  <c r="AA267" i="3" s="1"/>
  <c r="Q267" i="3"/>
  <c r="L267" i="3"/>
  <c r="G267" i="3"/>
  <c r="Q266" i="3"/>
  <c r="L266" i="3"/>
  <c r="G266" i="3"/>
  <c r="Z265" i="3"/>
  <c r="X265" i="3"/>
  <c r="V265" i="3"/>
  <c r="U265" i="3"/>
  <c r="Q265" i="3"/>
  <c r="L265" i="3"/>
  <c r="G265" i="3"/>
  <c r="F310" i="2"/>
  <c r="E310" i="2"/>
  <c r="D310" i="2"/>
  <c r="C310" i="2"/>
  <c r="B310" i="2"/>
  <c r="F309" i="2"/>
  <c r="E309" i="2"/>
  <c r="D309" i="2"/>
  <c r="C309" i="2"/>
  <c r="B309" i="2"/>
  <c r="F308" i="2"/>
  <c r="E308" i="2"/>
  <c r="D308" i="2"/>
  <c r="C308" i="2"/>
  <c r="B308" i="2"/>
  <c r="F307" i="2"/>
  <c r="E307" i="2"/>
  <c r="D307" i="2"/>
  <c r="C307" i="2"/>
  <c r="B307" i="2"/>
  <c r="F306" i="2"/>
  <c r="E306" i="2"/>
  <c r="D306" i="2"/>
  <c r="C306" i="2"/>
  <c r="B306" i="2"/>
  <c r="F305" i="2"/>
  <c r="E305" i="2"/>
  <c r="C305" i="2"/>
  <c r="B305" i="2"/>
  <c r="Y301" i="2"/>
  <c r="X301" i="2"/>
  <c r="S301" i="2"/>
  <c r="R301" i="2"/>
  <c r="M301" i="2"/>
  <c r="L301" i="2"/>
  <c r="Y300" i="2"/>
  <c r="X300" i="2"/>
  <c r="S300" i="2"/>
  <c r="R300" i="2"/>
  <c r="M300" i="2"/>
  <c r="L300" i="2"/>
  <c r="Y299" i="2"/>
  <c r="X299" i="2"/>
  <c r="S299" i="2"/>
  <c r="R299" i="2"/>
  <c r="M299" i="2"/>
  <c r="L299" i="2"/>
  <c r="Y298" i="2"/>
  <c r="X298" i="2"/>
  <c r="S298" i="2"/>
  <c r="R298" i="2"/>
  <c r="M298" i="2"/>
  <c r="L298" i="2"/>
  <c r="Y297" i="2"/>
  <c r="X297" i="2"/>
  <c r="S297" i="2"/>
  <c r="R297" i="2"/>
  <c r="M297" i="2"/>
  <c r="L297" i="2"/>
  <c r="Y296" i="2"/>
  <c r="X296" i="2"/>
  <c r="S296" i="2"/>
  <c r="R296" i="2"/>
  <c r="M296" i="2"/>
  <c r="L296" i="2"/>
  <c r="D260" i="3"/>
  <c r="C260" i="3"/>
  <c r="B260" i="3"/>
  <c r="D259" i="3"/>
  <c r="C259" i="3"/>
  <c r="B259" i="3"/>
  <c r="D258" i="3"/>
  <c r="C258" i="3"/>
  <c r="B258" i="3"/>
  <c r="Q253" i="3"/>
  <c r="L253" i="3"/>
  <c r="G253" i="3"/>
  <c r="Z252" i="3"/>
  <c r="X252" i="3"/>
  <c r="V252" i="3"/>
  <c r="U252" i="3"/>
  <c r="AA252" i="3" s="1"/>
  <c r="Q252" i="3"/>
  <c r="L252" i="3"/>
  <c r="G252" i="3"/>
  <c r="Q251" i="3"/>
  <c r="L251" i="3"/>
  <c r="G251" i="3"/>
  <c r="Z250" i="3"/>
  <c r="X250" i="3"/>
  <c r="V250" i="3"/>
  <c r="U250" i="3"/>
  <c r="AA250" i="3" s="1"/>
  <c r="Q250" i="3"/>
  <c r="L250" i="3"/>
  <c r="G250" i="3"/>
  <c r="Q249" i="3"/>
  <c r="L249" i="3"/>
  <c r="G249" i="3"/>
  <c r="Z248" i="3"/>
  <c r="X248" i="3"/>
  <c r="V248" i="3"/>
  <c r="U248" i="3"/>
  <c r="Q248" i="3"/>
  <c r="L248" i="3"/>
  <c r="G248" i="3"/>
  <c r="F291" i="2"/>
  <c r="E291" i="2"/>
  <c r="D291" i="2"/>
  <c r="C291" i="2"/>
  <c r="B291" i="2"/>
  <c r="F290" i="2"/>
  <c r="E290" i="2"/>
  <c r="D290" i="2"/>
  <c r="C290" i="2"/>
  <c r="B290" i="2"/>
  <c r="F289" i="2"/>
  <c r="E289" i="2"/>
  <c r="D289" i="2"/>
  <c r="C289" i="2"/>
  <c r="B289" i="2"/>
  <c r="F288" i="2"/>
  <c r="E288" i="2"/>
  <c r="D288" i="2"/>
  <c r="C288" i="2"/>
  <c r="B288" i="2"/>
  <c r="F287" i="2"/>
  <c r="E287" i="2"/>
  <c r="D287" i="2"/>
  <c r="C287" i="2"/>
  <c r="B287" i="2"/>
  <c r="F286" i="2"/>
  <c r="E286" i="2"/>
  <c r="C286" i="2"/>
  <c r="B286" i="2"/>
  <c r="Y282" i="2"/>
  <c r="X282" i="2"/>
  <c r="S282" i="2"/>
  <c r="R282" i="2"/>
  <c r="M282" i="2"/>
  <c r="L282" i="2"/>
  <c r="Y281" i="2"/>
  <c r="X281" i="2"/>
  <c r="S281" i="2"/>
  <c r="R281" i="2"/>
  <c r="M281" i="2"/>
  <c r="L281" i="2"/>
  <c r="Y280" i="2"/>
  <c r="X280" i="2"/>
  <c r="S280" i="2"/>
  <c r="R280" i="2"/>
  <c r="M280" i="2"/>
  <c r="L280" i="2"/>
  <c r="Y279" i="2"/>
  <c r="X279" i="2"/>
  <c r="S279" i="2"/>
  <c r="R279" i="2"/>
  <c r="M279" i="2"/>
  <c r="L279" i="2"/>
  <c r="Y278" i="2"/>
  <c r="X278" i="2"/>
  <c r="S278" i="2"/>
  <c r="R278" i="2"/>
  <c r="M278" i="2"/>
  <c r="L278" i="2"/>
  <c r="Y277" i="2"/>
  <c r="X277" i="2"/>
  <c r="S277" i="2"/>
  <c r="R277" i="2"/>
  <c r="M277" i="2"/>
  <c r="L277" i="2"/>
  <c r="D243" i="3"/>
  <c r="C243" i="3"/>
  <c r="B243" i="3"/>
  <c r="D242" i="3"/>
  <c r="C242" i="3"/>
  <c r="B242" i="3"/>
  <c r="D241" i="3"/>
  <c r="C241" i="3"/>
  <c r="B241" i="3"/>
  <c r="Q236" i="3"/>
  <c r="L236" i="3"/>
  <c r="G236" i="3"/>
  <c r="Z235" i="3"/>
  <c r="X235" i="3"/>
  <c r="V235" i="3"/>
  <c r="U235" i="3"/>
  <c r="W235" i="3" s="1"/>
  <c r="Q235" i="3"/>
  <c r="L235" i="3"/>
  <c r="G235" i="3"/>
  <c r="Q234" i="3"/>
  <c r="L234" i="3"/>
  <c r="G234" i="3"/>
  <c r="Z233" i="3"/>
  <c r="X233" i="3"/>
  <c r="V233" i="3"/>
  <c r="U233" i="3"/>
  <c r="Q233" i="3"/>
  <c r="L233" i="3"/>
  <c r="G233" i="3"/>
  <c r="Q232" i="3"/>
  <c r="L232" i="3"/>
  <c r="G232" i="3"/>
  <c r="Z231" i="3"/>
  <c r="X231" i="3"/>
  <c r="V231" i="3"/>
  <c r="U231" i="3"/>
  <c r="Y231" i="3" s="1"/>
  <c r="Q231" i="3"/>
  <c r="L231" i="3"/>
  <c r="G231" i="3"/>
  <c r="F272" i="2"/>
  <c r="E272" i="2"/>
  <c r="D272" i="2"/>
  <c r="C272" i="2"/>
  <c r="B272" i="2"/>
  <c r="F271" i="2"/>
  <c r="E271" i="2"/>
  <c r="D271" i="2"/>
  <c r="C271" i="2"/>
  <c r="B271" i="2"/>
  <c r="F270" i="2"/>
  <c r="E270" i="2"/>
  <c r="D270" i="2"/>
  <c r="C270" i="2"/>
  <c r="B270" i="2"/>
  <c r="F269" i="2"/>
  <c r="E269" i="2"/>
  <c r="D269" i="2"/>
  <c r="C269" i="2"/>
  <c r="B269" i="2"/>
  <c r="F268" i="2"/>
  <c r="E268" i="2"/>
  <c r="D268" i="2"/>
  <c r="C268" i="2"/>
  <c r="B268" i="2"/>
  <c r="F267" i="2"/>
  <c r="E267" i="2"/>
  <c r="C267" i="2"/>
  <c r="B267" i="2"/>
  <c r="Y263" i="2"/>
  <c r="X263" i="2"/>
  <c r="S263" i="2"/>
  <c r="R263" i="2"/>
  <c r="M263" i="2"/>
  <c r="L263" i="2"/>
  <c r="Y262" i="2"/>
  <c r="X262" i="2"/>
  <c r="S262" i="2"/>
  <c r="R262" i="2"/>
  <c r="M262" i="2"/>
  <c r="L262" i="2"/>
  <c r="Y261" i="2"/>
  <c r="X261" i="2"/>
  <c r="S261" i="2"/>
  <c r="R261" i="2"/>
  <c r="M261" i="2"/>
  <c r="L261" i="2"/>
  <c r="Y260" i="2"/>
  <c r="X260" i="2"/>
  <c r="S260" i="2"/>
  <c r="R260" i="2"/>
  <c r="M260" i="2"/>
  <c r="L260" i="2"/>
  <c r="Y259" i="2"/>
  <c r="X259" i="2"/>
  <c r="S259" i="2"/>
  <c r="R259" i="2"/>
  <c r="M259" i="2"/>
  <c r="L259" i="2"/>
  <c r="Y258" i="2"/>
  <c r="X258" i="2"/>
  <c r="S258" i="2"/>
  <c r="R258" i="2"/>
  <c r="M258" i="2"/>
  <c r="L258" i="2"/>
  <c r="D226" i="3"/>
  <c r="C226" i="3"/>
  <c r="B226" i="3"/>
  <c r="D225" i="3"/>
  <c r="C225" i="3"/>
  <c r="B225" i="3"/>
  <c r="D224" i="3"/>
  <c r="C224" i="3"/>
  <c r="B224" i="3"/>
  <c r="Q219" i="3"/>
  <c r="L219" i="3"/>
  <c r="G219" i="3"/>
  <c r="Z218" i="3"/>
  <c r="X218" i="3"/>
  <c r="V218" i="3"/>
  <c r="U218" i="3"/>
  <c r="Y218" i="3" s="1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Y214" i="3" s="1"/>
  <c r="Q214" i="3"/>
  <c r="L214" i="3"/>
  <c r="G214" i="3"/>
  <c r="D209" i="3"/>
  <c r="C209" i="3"/>
  <c r="B209" i="3"/>
  <c r="D208" i="3"/>
  <c r="C208" i="3"/>
  <c r="B208" i="3"/>
  <c r="D207" i="3"/>
  <c r="C207" i="3"/>
  <c r="B207" i="3"/>
  <c r="Q202" i="3"/>
  <c r="L202" i="3"/>
  <c r="G202" i="3"/>
  <c r="Z201" i="3"/>
  <c r="X201" i="3"/>
  <c r="V201" i="3"/>
  <c r="U201" i="3"/>
  <c r="Y201" i="3" s="1"/>
  <c r="Q201" i="3"/>
  <c r="L201" i="3"/>
  <c r="G201" i="3"/>
  <c r="Q200" i="3"/>
  <c r="L200" i="3"/>
  <c r="G200" i="3"/>
  <c r="Z199" i="3"/>
  <c r="X199" i="3"/>
  <c r="Y199" i="3" s="1"/>
  <c r="V199" i="3"/>
  <c r="U199" i="3"/>
  <c r="Q199" i="3"/>
  <c r="L199" i="3"/>
  <c r="G199" i="3"/>
  <c r="Q198" i="3"/>
  <c r="L198" i="3"/>
  <c r="G198" i="3"/>
  <c r="Z197" i="3"/>
  <c r="X197" i="3"/>
  <c r="V197" i="3"/>
  <c r="U197" i="3"/>
  <c r="Q197" i="3"/>
  <c r="L197" i="3"/>
  <c r="G197" i="3"/>
  <c r="D192" i="3"/>
  <c r="C192" i="3"/>
  <c r="B192" i="3"/>
  <c r="D191" i="3"/>
  <c r="C191" i="3"/>
  <c r="B191" i="3"/>
  <c r="D190" i="3"/>
  <c r="C190" i="3"/>
  <c r="B190" i="3"/>
  <c r="Q185" i="3"/>
  <c r="L185" i="3"/>
  <c r="G185" i="3"/>
  <c r="Z184" i="3"/>
  <c r="X184" i="3"/>
  <c r="V184" i="3"/>
  <c r="U184" i="3"/>
  <c r="Y184" i="3" s="1"/>
  <c r="Q184" i="3"/>
  <c r="L184" i="3"/>
  <c r="G184" i="3"/>
  <c r="Q183" i="3"/>
  <c r="L183" i="3"/>
  <c r="G183" i="3"/>
  <c r="Z182" i="3"/>
  <c r="X182" i="3"/>
  <c r="V182" i="3"/>
  <c r="U182" i="3"/>
  <c r="Q182" i="3"/>
  <c r="L182" i="3"/>
  <c r="G182" i="3"/>
  <c r="Q181" i="3"/>
  <c r="L181" i="3"/>
  <c r="G181" i="3"/>
  <c r="Z180" i="3"/>
  <c r="X180" i="3"/>
  <c r="V180" i="3"/>
  <c r="U180" i="3"/>
  <c r="Q180" i="3"/>
  <c r="L180" i="3"/>
  <c r="G180" i="3"/>
  <c r="F253" i="2"/>
  <c r="E253" i="2"/>
  <c r="D253" i="2"/>
  <c r="C253" i="2"/>
  <c r="B253" i="2"/>
  <c r="F252" i="2"/>
  <c r="E252" i="2"/>
  <c r="D252" i="2"/>
  <c r="C252" i="2"/>
  <c r="B252" i="2"/>
  <c r="F251" i="2"/>
  <c r="E251" i="2"/>
  <c r="D251" i="2"/>
  <c r="C251" i="2"/>
  <c r="B251" i="2"/>
  <c r="F250" i="2"/>
  <c r="E250" i="2"/>
  <c r="D250" i="2"/>
  <c r="C250" i="2"/>
  <c r="B250" i="2"/>
  <c r="F249" i="2"/>
  <c r="E249" i="2"/>
  <c r="D249" i="2"/>
  <c r="C249" i="2"/>
  <c r="B249" i="2"/>
  <c r="F248" i="2"/>
  <c r="E248" i="2"/>
  <c r="C248" i="2"/>
  <c r="B248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Y241" i="2"/>
  <c r="X241" i="2"/>
  <c r="S241" i="2"/>
  <c r="R241" i="2"/>
  <c r="M241" i="2"/>
  <c r="L241" i="2"/>
  <c r="Y240" i="2"/>
  <c r="X240" i="2"/>
  <c r="S240" i="2"/>
  <c r="R240" i="2"/>
  <c r="M240" i="2"/>
  <c r="L240" i="2"/>
  <c r="Y239" i="2"/>
  <c r="X239" i="2"/>
  <c r="S239" i="2"/>
  <c r="R239" i="2"/>
  <c r="M239" i="2"/>
  <c r="L239" i="2"/>
  <c r="F234" i="2"/>
  <c r="E234" i="2"/>
  <c r="D234" i="2"/>
  <c r="C234" i="2"/>
  <c r="B234" i="2"/>
  <c r="F233" i="2"/>
  <c r="E233" i="2"/>
  <c r="D233" i="2"/>
  <c r="C233" i="2"/>
  <c r="B233" i="2"/>
  <c r="F232" i="2"/>
  <c r="E232" i="2"/>
  <c r="D232" i="2"/>
  <c r="C232" i="2"/>
  <c r="B232" i="2"/>
  <c r="F231" i="2"/>
  <c r="E231" i="2"/>
  <c r="D231" i="2"/>
  <c r="C231" i="2"/>
  <c r="B231" i="2"/>
  <c r="F230" i="2"/>
  <c r="E230" i="2"/>
  <c r="D230" i="2"/>
  <c r="C230" i="2"/>
  <c r="B230" i="2"/>
  <c r="F229" i="2"/>
  <c r="E229" i="2"/>
  <c r="C229" i="2"/>
  <c r="B229" i="2"/>
  <c r="Y225" i="2"/>
  <c r="X225" i="2"/>
  <c r="S225" i="2"/>
  <c r="R225" i="2"/>
  <c r="M225" i="2"/>
  <c r="L225" i="2"/>
  <c r="Y224" i="2"/>
  <c r="X224" i="2"/>
  <c r="S224" i="2"/>
  <c r="R224" i="2"/>
  <c r="M224" i="2"/>
  <c r="L224" i="2"/>
  <c r="Y223" i="2"/>
  <c r="X223" i="2"/>
  <c r="S223" i="2"/>
  <c r="R223" i="2"/>
  <c r="M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F215" i="2"/>
  <c r="E215" i="2"/>
  <c r="D215" i="2"/>
  <c r="C215" i="2"/>
  <c r="B215" i="2"/>
  <c r="F214" i="2"/>
  <c r="E214" i="2"/>
  <c r="D214" i="2"/>
  <c r="C214" i="2"/>
  <c r="B214" i="2"/>
  <c r="F213" i="2"/>
  <c r="E213" i="2"/>
  <c r="D213" i="2"/>
  <c r="C213" i="2"/>
  <c r="B213" i="2"/>
  <c r="F212" i="2"/>
  <c r="E212" i="2"/>
  <c r="D212" i="2"/>
  <c r="C212" i="2"/>
  <c r="B212" i="2"/>
  <c r="F211" i="2"/>
  <c r="E211" i="2"/>
  <c r="D211" i="2"/>
  <c r="C211" i="2"/>
  <c r="B211" i="2"/>
  <c r="F210" i="2"/>
  <c r="E210" i="2"/>
  <c r="C210" i="2"/>
  <c r="B210" i="2"/>
  <c r="Y206" i="2"/>
  <c r="X206" i="2"/>
  <c r="S206" i="2"/>
  <c r="R206" i="2"/>
  <c r="M206" i="2"/>
  <c r="L206" i="2"/>
  <c r="Y205" i="2"/>
  <c r="X205" i="2"/>
  <c r="S205" i="2"/>
  <c r="R205" i="2"/>
  <c r="M205" i="2"/>
  <c r="L205" i="2"/>
  <c r="Y204" i="2"/>
  <c r="X204" i="2"/>
  <c r="S204" i="2"/>
  <c r="R204" i="2"/>
  <c r="M204" i="2"/>
  <c r="L204" i="2"/>
  <c r="Y203" i="2"/>
  <c r="X203" i="2"/>
  <c r="S203" i="2"/>
  <c r="R203" i="2"/>
  <c r="M203" i="2"/>
  <c r="L203" i="2"/>
  <c r="Y202" i="2"/>
  <c r="X202" i="2"/>
  <c r="S202" i="2"/>
  <c r="R202" i="2"/>
  <c r="M202" i="2"/>
  <c r="L202" i="2"/>
  <c r="Y201" i="2"/>
  <c r="X201" i="2"/>
  <c r="S201" i="2"/>
  <c r="R201" i="2"/>
  <c r="M201" i="2"/>
  <c r="L201" i="2"/>
  <c r="F196" i="2"/>
  <c r="E196" i="2"/>
  <c r="D196" i="2"/>
  <c r="C196" i="2"/>
  <c r="B196" i="2"/>
  <c r="F195" i="2"/>
  <c r="E195" i="2"/>
  <c r="D195" i="2"/>
  <c r="C195" i="2"/>
  <c r="B195" i="2"/>
  <c r="F194" i="2"/>
  <c r="E194" i="2"/>
  <c r="D194" i="2"/>
  <c r="C194" i="2"/>
  <c r="B194" i="2"/>
  <c r="F193" i="2"/>
  <c r="E193" i="2"/>
  <c r="D193" i="2"/>
  <c r="C193" i="2"/>
  <c r="B193" i="2"/>
  <c r="F192" i="2"/>
  <c r="E192" i="2"/>
  <c r="D192" i="2"/>
  <c r="C192" i="2"/>
  <c r="B192" i="2"/>
  <c r="F191" i="2"/>
  <c r="E191" i="2"/>
  <c r="C191" i="2"/>
  <c r="B191" i="2"/>
  <c r="Y187" i="2"/>
  <c r="X187" i="2"/>
  <c r="S187" i="2"/>
  <c r="R187" i="2"/>
  <c r="M187" i="2"/>
  <c r="L187" i="2"/>
  <c r="Y186" i="2"/>
  <c r="X186" i="2"/>
  <c r="S186" i="2"/>
  <c r="R186" i="2"/>
  <c r="M186" i="2"/>
  <c r="L186" i="2"/>
  <c r="Y185" i="2"/>
  <c r="X185" i="2"/>
  <c r="S185" i="2"/>
  <c r="R185" i="2"/>
  <c r="M185" i="2"/>
  <c r="L185" i="2"/>
  <c r="Y184" i="2"/>
  <c r="X184" i="2"/>
  <c r="S184" i="2"/>
  <c r="R184" i="2"/>
  <c r="M184" i="2"/>
  <c r="L184" i="2"/>
  <c r="Y183" i="2"/>
  <c r="X183" i="2"/>
  <c r="S183" i="2"/>
  <c r="R183" i="2"/>
  <c r="M183" i="2"/>
  <c r="L183" i="2"/>
  <c r="Y182" i="2"/>
  <c r="X182" i="2"/>
  <c r="S182" i="2"/>
  <c r="R182" i="2"/>
  <c r="M182" i="2"/>
  <c r="L182" i="2"/>
  <c r="F177" i="2"/>
  <c r="E177" i="2"/>
  <c r="D177" i="2"/>
  <c r="C177" i="2"/>
  <c r="B177" i="2"/>
  <c r="F176" i="2"/>
  <c r="E176" i="2"/>
  <c r="D176" i="2"/>
  <c r="C176" i="2"/>
  <c r="B176" i="2"/>
  <c r="F175" i="2"/>
  <c r="E175" i="2"/>
  <c r="D175" i="2"/>
  <c r="C175" i="2"/>
  <c r="B175" i="2"/>
  <c r="F174" i="2"/>
  <c r="E174" i="2"/>
  <c r="D174" i="2"/>
  <c r="C174" i="2"/>
  <c r="B174" i="2"/>
  <c r="F173" i="2"/>
  <c r="E173" i="2"/>
  <c r="D173" i="2"/>
  <c r="C173" i="2"/>
  <c r="B173" i="2"/>
  <c r="F172" i="2"/>
  <c r="E172" i="2"/>
  <c r="C172" i="2"/>
  <c r="B172" i="2"/>
  <c r="Y168" i="2"/>
  <c r="X168" i="2"/>
  <c r="S168" i="2"/>
  <c r="R168" i="2"/>
  <c r="M168" i="2"/>
  <c r="L168" i="2"/>
  <c r="Y167" i="2"/>
  <c r="X167" i="2"/>
  <c r="S167" i="2"/>
  <c r="R167" i="2"/>
  <c r="M167" i="2"/>
  <c r="L167" i="2"/>
  <c r="Y166" i="2"/>
  <c r="X166" i="2"/>
  <c r="S166" i="2"/>
  <c r="R166" i="2"/>
  <c r="M166" i="2"/>
  <c r="L166" i="2"/>
  <c r="Y165" i="2"/>
  <c r="X165" i="2"/>
  <c r="S165" i="2"/>
  <c r="R165" i="2"/>
  <c r="M165" i="2"/>
  <c r="L165" i="2"/>
  <c r="Y164" i="2"/>
  <c r="X164" i="2"/>
  <c r="S164" i="2"/>
  <c r="R164" i="2"/>
  <c r="M164" i="2"/>
  <c r="L164" i="2"/>
  <c r="Y163" i="2"/>
  <c r="X163" i="2"/>
  <c r="S163" i="2"/>
  <c r="R163" i="2"/>
  <c r="M163" i="2"/>
  <c r="L163" i="2"/>
  <c r="D175" i="3"/>
  <c r="C175" i="3"/>
  <c r="B175" i="3"/>
  <c r="D174" i="3"/>
  <c r="C174" i="3"/>
  <c r="B174" i="3"/>
  <c r="D173" i="3"/>
  <c r="C173" i="3"/>
  <c r="B173" i="3"/>
  <c r="Q168" i="3"/>
  <c r="L168" i="3"/>
  <c r="G168" i="3"/>
  <c r="Z167" i="3"/>
  <c r="X167" i="3"/>
  <c r="V167" i="3"/>
  <c r="U167" i="3"/>
  <c r="Q167" i="3"/>
  <c r="L167" i="3"/>
  <c r="G167" i="3"/>
  <c r="Q166" i="3"/>
  <c r="L166" i="3"/>
  <c r="G166" i="3"/>
  <c r="Z165" i="3"/>
  <c r="X165" i="3"/>
  <c r="V165" i="3"/>
  <c r="U165" i="3"/>
  <c r="Q165" i="3"/>
  <c r="L165" i="3"/>
  <c r="G165" i="3"/>
  <c r="Q164" i="3"/>
  <c r="L164" i="3"/>
  <c r="G164" i="3"/>
  <c r="Z163" i="3"/>
  <c r="X163" i="3"/>
  <c r="V163" i="3"/>
  <c r="U163" i="3"/>
  <c r="Q163" i="3"/>
  <c r="L163" i="3"/>
  <c r="G163" i="3"/>
  <c r="D158" i="3"/>
  <c r="C158" i="3"/>
  <c r="B158" i="3"/>
  <c r="D157" i="3"/>
  <c r="C157" i="3"/>
  <c r="B157" i="3"/>
  <c r="D156" i="3"/>
  <c r="C156" i="3"/>
  <c r="B156" i="3"/>
  <c r="Q151" i="3"/>
  <c r="L151" i="3"/>
  <c r="G151" i="3"/>
  <c r="Z150" i="3"/>
  <c r="X150" i="3"/>
  <c r="V150" i="3"/>
  <c r="U150" i="3"/>
  <c r="Q150" i="3"/>
  <c r="L150" i="3"/>
  <c r="G150" i="3"/>
  <c r="Q149" i="3"/>
  <c r="L149" i="3"/>
  <c r="G149" i="3"/>
  <c r="Z148" i="3"/>
  <c r="X148" i="3"/>
  <c r="V148" i="3"/>
  <c r="U148" i="3"/>
  <c r="Q148" i="3"/>
  <c r="L148" i="3"/>
  <c r="G148" i="3"/>
  <c r="Q147" i="3"/>
  <c r="L147" i="3"/>
  <c r="G147" i="3"/>
  <c r="Z146" i="3"/>
  <c r="X146" i="3"/>
  <c r="V146" i="3"/>
  <c r="V152" i="3" s="1"/>
  <c r="U146" i="3"/>
  <c r="Y146" i="3" s="1"/>
  <c r="Q146" i="3"/>
  <c r="L146" i="3"/>
  <c r="G146" i="3"/>
  <c r="D141" i="3"/>
  <c r="C141" i="3"/>
  <c r="B141" i="3"/>
  <c r="D140" i="3"/>
  <c r="C140" i="3"/>
  <c r="B140" i="3"/>
  <c r="D139" i="3"/>
  <c r="C139" i="3"/>
  <c r="B139" i="3"/>
  <c r="Q134" i="3"/>
  <c r="L134" i="3"/>
  <c r="G134" i="3"/>
  <c r="Z133" i="3"/>
  <c r="X133" i="3"/>
  <c r="V133" i="3"/>
  <c r="U133" i="3"/>
  <c r="Q133" i="3"/>
  <c r="L133" i="3"/>
  <c r="G133" i="3"/>
  <c r="Q132" i="3"/>
  <c r="L132" i="3"/>
  <c r="G132" i="3"/>
  <c r="Z131" i="3"/>
  <c r="AA131" i="3" s="1"/>
  <c r="X131" i="3"/>
  <c r="V131" i="3"/>
  <c r="U131" i="3"/>
  <c r="Q131" i="3"/>
  <c r="L131" i="3"/>
  <c r="G131" i="3"/>
  <c r="Q130" i="3"/>
  <c r="L130" i="3"/>
  <c r="G130" i="3"/>
  <c r="Z129" i="3"/>
  <c r="X129" i="3"/>
  <c r="V129" i="3"/>
  <c r="U129" i="3"/>
  <c r="Q129" i="3"/>
  <c r="L129" i="3"/>
  <c r="G129" i="3"/>
  <c r="D124" i="3"/>
  <c r="B124" i="3"/>
  <c r="D123" i="3"/>
  <c r="B123" i="3"/>
  <c r="D122" i="3"/>
  <c r="B122" i="3"/>
  <c r="Q117" i="3"/>
  <c r="L117" i="3"/>
  <c r="G117" i="3"/>
  <c r="Z116" i="3"/>
  <c r="X116" i="3"/>
  <c r="V116" i="3"/>
  <c r="W116" i="3" s="1"/>
  <c r="U116" i="3"/>
  <c r="Q116" i="3"/>
  <c r="L116" i="3"/>
  <c r="G116" i="3"/>
  <c r="Q115" i="3"/>
  <c r="L115" i="3"/>
  <c r="G115" i="3"/>
  <c r="Z114" i="3"/>
  <c r="X114" i="3"/>
  <c r="V114" i="3"/>
  <c r="U114" i="3"/>
  <c r="Q114" i="3"/>
  <c r="L114" i="3"/>
  <c r="G114" i="3"/>
  <c r="Q113" i="3"/>
  <c r="L113" i="3"/>
  <c r="G113" i="3"/>
  <c r="Z112" i="3"/>
  <c r="X112" i="3"/>
  <c r="V112" i="3"/>
  <c r="U112" i="3"/>
  <c r="Q112" i="3"/>
  <c r="L112" i="3"/>
  <c r="G112" i="3"/>
  <c r="F158" i="2"/>
  <c r="E158" i="2"/>
  <c r="D158" i="2"/>
  <c r="C158" i="2"/>
  <c r="B158" i="2"/>
  <c r="F157" i="2"/>
  <c r="E157" i="2"/>
  <c r="D157" i="2"/>
  <c r="C157" i="2"/>
  <c r="B157" i="2"/>
  <c r="F156" i="2"/>
  <c r="E156" i="2"/>
  <c r="D156" i="2"/>
  <c r="C156" i="2"/>
  <c r="B156" i="2"/>
  <c r="F155" i="2"/>
  <c r="E155" i="2"/>
  <c r="D155" i="2"/>
  <c r="C155" i="2"/>
  <c r="B155" i="2"/>
  <c r="F154" i="2"/>
  <c r="E154" i="2"/>
  <c r="D154" i="2"/>
  <c r="C154" i="2"/>
  <c r="B154" i="2"/>
  <c r="F153" i="2"/>
  <c r="E153" i="2"/>
  <c r="C153" i="2"/>
  <c r="B153" i="2"/>
  <c r="Y149" i="2"/>
  <c r="X149" i="2"/>
  <c r="S149" i="2"/>
  <c r="R149" i="2"/>
  <c r="M149" i="2"/>
  <c r="L149" i="2"/>
  <c r="Y148" i="2"/>
  <c r="X148" i="2"/>
  <c r="S148" i="2"/>
  <c r="R148" i="2"/>
  <c r="M148" i="2"/>
  <c r="L148" i="2"/>
  <c r="Y147" i="2"/>
  <c r="X147" i="2"/>
  <c r="S147" i="2"/>
  <c r="R147" i="2"/>
  <c r="M147" i="2"/>
  <c r="L147" i="2"/>
  <c r="Y146" i="2"/>
  <c r="X146" i="2"/>
  <c r="S146" i="2"/>
  <c r="R146" i="2"/>
  <c r="M146" i="2"/>
  <c r="L146" i="2"/>
  <c r="Y145" i="2"/>
  <c r="X145" i="2"/>
  <c r="S145" i="2"/>
  <c r="R145" i="2"/>
  <c r="M145" i="2"/>
  <c r="L145" i="2"/>
  <c r="Y144" i="2"/>
  <c r="X144" i="2"/>
  <c r="S144" i="2"/>
  <c r="R144" i="2"/>
  <c r="M144" i="2"/>
  <c r="L144" i="2"/>
  <c r="F139" i="2"/>
  <c r="E139" i="2"/>
  <c r="D139" i="2"/>
  <c r="C139" i="2"/>
  <c r="B139" i="2"/>
  <c r="F138" i="2"/>
  <c r="E138" i="2"/>
  <c r="D138" i="2"/>
  <c r="C138" i="2"/>
  <c r="B138" i="2"/>
  <c r="F137" i="2"/>
  <c r="E137" i="2"/>
  <c r="D137" i="2"/>
  <c r="C137" i="2"/>
  <c r="B137" i="2"/>
  <c r="F136" i="2"/>
  <c r="E136" i="2"/>
  <c r="D136" i="2"/>
  <c r="C136" i="2"/>
  <c r="B136" i="2"/>
  <c r="F135" i="2"/>
  <c r="E135" i="2"/>
  <c r="D135" i="2"/>
  <c r="C135" i="2"/>
  <c r="B135" i="2"/>
  <c r="F134" i="2"/>
  <c r="E134" i="2"/>
  <c r="C134" i="2"/>
  <c r="B134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Y126" i="2"/>
  <c r="X126" i="2"/>
  <c r="S126" i="2"/>
  <c r="R126" i="2"/>
  <c r="M126" i="2"/>
  <c r="L126" i="2"/>
  <c r="Y125" i="2"/>
  <c r="X125" i="2"/>
  <c r="S125" i="2"/>
  <c r="R125" i="2"/>
  <c r="M125" i="2"/>
  <c r="L125" i="2"/>
  <c r="F63" i="2"/>
  <c r="E63" i="2"/>
  <c r="D63" i="2"/>
  <c r="C63" i="2"/>
  <c r="B63" i="2"/>
  <c r="F62" i="2"/>
  <c r="E62" i="2"/>
  <c r="D62" i="2"/>
  <c r="C62" i="2"/>
  <c r="B62" i="2"/>
  <c r="F61" i="2"/>
  <c r="E61" i="2"/>
  <c r="D61" i="2"/>
  <c r="C61" i="2"/>
  <c r="B61" i="2"/>
  <c r="F60" i="2"/>
  <c r="E60" i="2"/>
  <c r="D60" i="2"/>
  <c r="C60" i="2"/>
  <c r="B60" i="2"/>
  <c r="F59" i="2"/>
  <c r="E59" i="2"/>
  <c r="D59" i="2"/>
  <c r="C59" i="2"/>
  <c r="B59" i="2"/>
  <c r="F58" i="2"/>
  <c r="E58" i="2"/>
  <c r="C58" i="2"/>
  <c r="B58" i="2"/>
  <c r="Y54" i="2"/>
  <c r="X54" i="2"/>
  <c r="S54" i="2"/>
  <c r="R54" i="2"/>
  <c r="M54" i="2"/>
  <c r="L54" i="2"/>
  <c r="Y53" i="2"/>
  <c r="X53" i="2"/>
  <c r="S53" i="2"/>
  <c r="R53" i="2"/>
  <c r="M53" i="2"/>
  <c r="L53" i="2"/>
  <c r="Y52" i="2"/>
  <c r="X52" i="2"/>
  <c r="S52" i="2"/>
  <c r="R52" i="2"/>
  <c r="M52" i="2"/>
  <c r="L52" i="2"/>
  <c r="Y51" i="2"/>
  <c r="X51" i="2"/>
  <c r="S51" i="2"/>
  <c r="R51" i="2"/>
  <c r="M51" i="2"/>
  <c r="L51" i="2"/>
  <c r="Y50" i="2"/>
  <c r="X50" i="2"/>
  <c r="S50" i="2"/>
  <c r="R50" i="2"/>
  <c r="M50" i="2"/>
  <c r="L50" i="2"/>
  <c r="Y49" i="2"/>
  <c r="X49" i="2"/>
  <c r="S49" i="2"/>
  <c r="R49" i="2"/>
  <c r="M49" i="2"/>
  <c r="L49" i="2"/>
  <c r="F120" i="2"/>
  <c r="E120" i="2"/>
  <c r="D120" i="2"/>
  <c r="C120" i="2"/>
  <c r="B120" i="2"/>
  <c r="F119" i="2"/>
  <c r="E119" i="2"/>
  <c r="D119" i="2"/>
  <c r="C119" i="2"/>
  <c r="B119" i="2"/>
  <c r="F118" i="2"/>
  <c r="E118" i="2"/>
  <c r="D118" i="2"/>
  <c r="C118" i="2"/>
  <c r="B118" i="2"/>
  <c r="F117" i="2"/>
  <c r="E117" i="2"/>
  <c r="D117" i="2"/>
  <c r="C117" i="2"/>
  <c r="B117" i="2"/>
  <c r="F116" i="2"/>
  <c r="E116" i="2"/>
  <c r="D116" i="2"/>
  <c r="C116" i="2"/>
  <c r="B116" i="2"/>
  <c r="F115" i="2"/>
  <c r="E115" i="2"/>
  <c r="C115" i="2"/>
  <c r="B115" i="2"/>
  <c r="Y111" i="2"/>
  <c r="X111" i="2"/>
  <c r="S111" i="2"/>
  <c r="R111" i="2"/>
  <c r="M111" i="2"/>
  <c r="L111" i="2"/>
  <c r="Y110" i="2"/>
  <c r="X110" i="2"/>
  <c r="S110" i="2"/>
  <c r="R110" i="2"/>
  <c r="M110" i="2"/>
  <c r="L110" i="2"/>
  <c r="Y109" i="2"/>
  <c r="X109" i="2"/>
  <c r="S109" i="2"/>
  <c r="R109" i="2"/>
  <c r="M109" i="2"/>
  <c r="L109" i="2"/>
  <c r="Y108" i="2"/>
  <c r="X108" i="2"/>
  <c r="S108" i="2"/>
  <c r="R108" i="2"/>
  <c r="M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F101" i="2"/>
  <c r="E101" i="2"/>
  <c r="D101" i="2"/>
  <c r="C101" i="2"/>
  <c r="B101" i="2"/>
  <c r="F100" i="2"/>
  <c r="E100" i="2"/>
  <c r="D100" i="2"/>
  <c r="C100" i="2"/>
  <c r="B100" i="2"/>
  <c r="F99" i="2"/>
  <c r="E99" i="2"/>
  <c r="D99" i="2"/>
  <c r="C99" i="2"/>
  <c r="B99" i="2"/>
  <c r="F98" i="2"/>
  <c r="E98" i="2"/>
  <c r="D98" i="2"/>
  <c r="C98" i="2"/>
  <c r="B98" i="2"/>
  <c r="F97" i="2"/>
  <c r="E97" i="2"/>
  <c r="D97" i="2"/>
  <c r="C97" i="2"/>
  <c r="B97" i="2"/>
  <c r="F96" i="2"/>
  <c r="E96" i="2"/>
  <c r="C96" i="2"/>
  <c r="B96" i="2"/>
  <c r="Y92" i="2"/>
  <c r="X92" i="2"/>
  <c r="S92" i="2"/>
  <c r="R92" i="2"/>
  <c r="M92" i="2"/>
  <c r="L92" i="2"/>
  <c r="Y91" i="2"/>
  <c r="X91" i="2"/>
  <c r="S91" i="2"/>
  <c r="R91" i="2"/>
  <c r="M91" i="2"/>
  <c r="L91" i="2"/>
  <c r="Y90" i="2"/>
  <c r="X90" i="2"/>
  <c r="S90" i="2"/>
  <c r="R90" i="2"/>
  <c r="M90" i="2"/>
  <c r="L90" i="2"/>
  <c r="Y89" i="2"/>
  <c r="X89" i="2"/>
  <c r="S89" i="2"/>
  <c r="R89" i="2"/>
  <c r="M89" i="2"/>
  <c r="L89" i="2"/>
  <c r="Y88" i="2"/>
  <c r="X88" i="2"/>
  <c r="S88" i="2"/>
  <c r="R88" i="2"/>
  <c r="M88" i="2"/>
  <c r="L88" i="2"/>
  <c r="Y87" i="2"/>
  <c r="X87" i="2"/>
  <c r="S87" i="2"/>
  <c r="R87" i="2"/>
  <c r="M87" i="2"/>
  <c r="L87" i="2"/>
  <c r="F82" i="2"/>
  <c r="E82" i="2"/>
  <c r="D82" i="2"/>
  <c r="C82" i="2"/>
  <c r="B82" i="2"/>
  <c r="F81" i="2"/>
  <c r="E81" i="2"/>
  <c r="D81" i="2"/>
  <c r="C81" i="2"/>
  <c r="B81" i="2"/>
  <c r="F80" i="2"/>
  <c r="E80" i="2"/>
  <c r="D80" i="2"/>
  <c r="C80" i="2"/>
  <c r="B80" i="2"/>
  <c r="F79" i="2"/>
  <c r="E79" i="2"/>
  <c r="D79" i="2"/>
  <c r="C79" i="2"/>
  <c r="B79" i="2"/>
  <c r="F78" i="2"/>
  <c r="E78" i="2"/>
  <c r="D78" i="2"/>
  <c r="C78" i="2"/>
  <c r="B78" i="2"/>
  <c r="F77" i="2"/>
  <c r="E77" i="2"/>
  <c r="C77" i="2"/>
  <c r="B77" i="2"/>
  <c r="Y73" i="2"/>
  <c r="X73" i="2"/>
  <c r="S73" i="2"/>
  <c r="R73" i="2"/>
  <c r="M73" i="2"/>
  <c r="L73" i="2"/>
  <c r="Y72" i="2"/>
  <c r="X72" i="2"/>
  <c r="S72" i="2"/>
  <c r="R72" i="2"/>
  <c r="M72" i="2"/>
  <c r="L72" i="2"/>
  <c r="Y71" i="2"/>
  <c r="X71" i="2"/>
  <c r="S71" i="2"/>
  <c r="R71" i="2"/>
  <c r="M71" i="2"/>
  <c r="L71" i="2"/>
  <c r="Y70" i="2"/>
  <c r="X70" i="2"/>
  <c r="S70" i="2"/>
  <c r="R70" i="2"/>
  <c r="M70" i="2"/>
  <c r="L70" i="2"/>
  <c r="Y69" i="2"/>
  <c r="X69" i="2"/>
  <c r="S69" i="2"/>
  <c r="R69" i="2"/>
  <c r="M69" i="2"/>
  <c r="L69" i="2"/>
  <c r="Y68" i="2"/>
  <c r="X68" i="2"/>
  <c r="S68" i="2"/>
  <c r="R68" i="2"/>
  <c r="M68" i="2"/>
  <c r="L68" i="2"/>
  <c r="L44" i="3"/>
  <c r="D107" i="3"/>
  <c r="B107" i="3"/>
  <c r="D106" i="3"/>
  <c r="B106" i="3"/>
  <c r="D105" i="3"/>
  <c r="B105" i="3"/>
  <c r="Q100" i="3"/>
  <c r="L100" i="3"/>
  <c r="G100" i="3"/>
  <c r="Z99" i="3"/>
  <c r="X99" i="3"/>
  <c r="V99" i="3"/>
  <c r="U99" i="3"/>
  <c r="Q99" i="3"/>
  <c r="L99" i="3"/>
  <c r="G99" i="3"/>
  <c r="Q98" i="3"/>
  <c r="L98" i="3"/>
  <c r="G98" i="3"/>
  <c r="Z97" i="3"/>
  <c r="X97" i="3"/>
  <c r="V97" i="3"/>
  <c r="U97" i="3"/>
  <c r="W97" i="3" s="1"/>
  <c r="Q97" i="3"/>
  <c r="L97" i="3"/>
  <c r="G97" i="3"/>
  <c r="Q96" i="3"/>
  <c r="L96" i="3"/>
  <c r="G96" i="3"/>
  <c r="Z95" i="3"/>
  <c r="X95" i="3"/>
  <c r="V95" i="3"/>
  <c r="U95" i="3"/>
  <c r="Q95" i="3"/>
  <c r="L95" i="3"/>
  <c r="G95" i="3"/>
  <c r="D90" i="3"/>
  <c r="C90" i="3"/>
  <c r="B90" i="3"/>
  <c r="D89" i="3"/>
  <c r="C89" i="3"/>
  <c r="B89" i="3"/>
  <c r="D88" i="3"/>
  <c r="C88" i="3"/>
  <c r="B88" i="3"/>
  <c r="Q83" i="3"/>
  <c r="L83" i="3"/>
  <c r="G83" i="3"/>
  <c r="Z82" i="3"/>
  <c r="X82" i="3"/>
  <c r="V82" i="3"/>
  <c r="U82" i="3"/>
  <c r="W82" i="3" s="1"/>
  <c r="Q82" i="3"/>
  <c r="L82" i="3"/>
  <c r="G82" i="3"/>
  <c r="Q81" i="3"/>
  <c r="L81" i="3"/>
  <c r="G81" i="3"/>
  <c r="Z80" i="3"/>
  <c r="X80" i="3"/>
  <c r="V80" i="3"/>
  <c r="W80" i="3" s="1"/>
  <c r="U80" i="3"/>
  <c r="Q80" i="3"/>
  <c r="L80" i="3"/>
  <c r="G80" i="3"/>
  <c r="Q79" i="3"/>
  <c r="L79" i="3"/>
  <c r="G79" i="3"/>
  <c r="Z78" i="3"/>
  <c r="X78" i="3"/>
  <c r="V78" i="3"/>
  <c r="U78" i="3"/>
  <c r="Q78" i="3"/>
  <c r="L78" i="3"/>
  <c r="G78" i="3"/>
  <c r="D73" i="3"/>
  <c r="C73" i="3"/>
  <c r="B73" i="3"/>
  <c r="D72" i="3"/>
  <c r="C72" i="3"/>
  <c r="B72" i="3"/>
  <c r="D71" i="3"/>
  <c r="C71" i="3"/>
  <c r="B71" i="3"/>
  <c r="Q66" i="3"/>
  <c r="L66" i="3"/>
  <c r="G66" i="3"/>
  <c r="Z65" i="3"/>
  <c r="X65" i="3"/>
  <c r="V65" i="3"/>
  <c r="U65" i="3"/>
  <c r="Q65" i="3"/>
  <c r="L65" i="3"/>
  <c r="G65" i="3"/>
  <c r="Q64" i="3"/>
  <c r="L64" i="3"/>
  <c r="G64" i="3"/>
  <c r="Z63" i="3"/>
  <c r="X63" i="3"/>
  <c r="V63" i="3"/>
  <c r="U63" i="3"/>
  <c r="W63" i="3" s="1"/>
  <c r="Q63" i="3"/>
  <c r="L63" i="3"/>
  <c r="G63" i="3"/>
  <c r="Q62" i="3"/>
  <c r="L62" i="3"/>
  <c r="G62" i="3"/>
  <c r="Z61" i="3"/>
  <c r="X61" i="3"/>
  <c r="V61" i="3"/>
  <c r="W61" i="3" s="1"/>
  <c r="U61" i="3"/>
  <c r="Q61" i="3"/>
  <c r="L61" i="3"/>
  <c r="G61" i="3"/>
  <c r="D56" i="3"/>
  <c r="C56" i="3"/>
  <c r="B56" i="3"/>
  <c r="D55" i="3"/>
  <c r="C55" i="3"/>
  <c r="B55" i="3"/>
  <c r="D54" i="3"/>
  <c r="C54" i="3"/>
  <c r="B54" i="3"/>
  <c r="Q49" i="3"/>
  <c r="L49" i="3"/>
  <c r="G49" i="3"/>
  <c r="Z48" i="3"/>
  <c r="X48" i="3"/>
  <c r="V48" i="3"/>
  <c r="U48" i="3"/>
  <c r="Q48" i="3"/>
  <c r="L48" i="3"/>
  <c r="G48" i="3"/>
  <c r="Q47" i="3"/>
  <c r="L47" i="3"/>
  <c r="G47" i="3"/>
  <c r="Z46" i="3"/>
  <c r="X46" i="3"/>
  <c r="V46" i="3"/>
  <c r="U46" i="3"/>
  <c r="Y46" i="3" s="1"/>
  <c r="Q46" i="3"/>
  <c r="L46" i="3"/>
  <c r="G46" i="3"/>
  <c r="Q45" i="3"/>
  <c r="L45" i="3"/>
  <c r="G45" i="3"/>
  <c r="Z44" i="3"/>
  <c r="X44" i="3"/>
  <c r="V44" i="3"/>
  <c r="W44" i="3" s="1"/>
  <c r="U44" i="3"/>
  <c r="Q44" i="3"/>
  <c r="G44" i="3"/>
  <c r="D39" i="3"/>
  <c r="C39" i="3"/>
  <c r="B39" i="3"/>
  <c r="D38" i="3"/>
  <c r="C38" i="3"/>
  <c r="B38" i="3"/>
  <c r="D37" i="3"/>
  <c r="C37" i="3"/>
  <c r="B37" i="3"/>
  <c r="Q32" i="3"/>
  <c r="L32" i="3"/>
  <c r="G32" i="3"/>
  <c r="Z31" i="3"/>
  <c r="X31" i="3"/>
  <c r="V31" i="3"/>
  <c r="V33" i="3" s="1"/>
  <c r="U31" i="3"/>
  <c r="Q31" i="3"/>
  <c r="L31" i="3"/>
  <c r="G31" i="3"/>
  <c r="Q30" i="3"/>
  <c r="L30" i="3"/>
  <c r="G30" i="3"/>
  <c r="Z29" i="3"/>
  <c r="X29" i="3"/>
  <c r="V29" i="3"/>
  <c r="U29" i="3"/>
  <c r="Y29" i="3" s="1"/>
  <c r="Q29" i="3"/>
  <c r="L29" i="3"/>
  <c r="G29" i="3"/>
  <c r="Q28" i="3"/>
  <c r="L28" i="3"/>
  <c r="G28" i="3"/>
  <c r="Z27" i="3"/>
  <c r="X27" i="3"/>
  <c r="V27" i="3"/>
  <c r="U27" i="3"/>
  <c r="Y27" i="3" s="1"/>
  <c r="Q27" i="3"/>
  <c r="L27" i="3"/>
  <c r="G27" i="3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C39" i="2"/>
  <c r="B39" i="2"/>
  <c r="Y35" i="2"/>
  <c r="X35" i="2"/>
  <c r="S35" i="2"/>
  <c r="R35" i="2"/>
  <c r="M35" i="2"/>
  <c r="L35" i="2"/>
  <c r="Y34" i="2"/>
  <c r="X34" i="2"/>
  <c r="S34" i="2"/>
  <c r="R34" i="2"/>
  <c r="M34" i="2"/>
  <c r="L34" i="2"/>
  <c r="Y33" i="2"/>
  <c r="X33" i="2"/>
  <c r="S33" i="2"/>
  <c r="R33" i="2"/>
  <c r="M33" i="2"/>
  <c r="L33" i="2"/>
  <c r="Y32" i="2"/>
  <c r="X32" i="2"/>
  <c r="S32" i="2"/>
  <c r="R32" i="2"/>
  <c r="M32" i="2"/>
  <c r="L32" i="2"/>
  <c r="Y31" i="2"/>
  <c r="X31" i="2"/>
  <c r="S31" i="2"/>
  <c r="R31" i="2"/>
  <c r="M31" i="2"/>
  <c r="L31" i="2"/>
  <c r="Y30" i="2"/>
  <c r="X30" i="2"/>
  <c r="S30" i="2"/>
  <c r="R30" i="2"/>
  <c r="M30" i="2"/>
  <c r="L30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C20" i="2"/>
  <c r="B20" i="2"/>
  <c r="Y16" i="2"/>
  <c r="X16" i="2"/>
  <c r="S16" i="2"/>
  <c r="R16" i="2"/>
  <c r="M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Y11" i="2"/>
  <c r="X11" i="2"/>
  <c r="S11" i="2"/>
  <c r="R11" i="2"/>
  <c r="M11" i="2"/>
  <c r="L11" i="2"/>
  <c r="D22" i="3"/>
  <c r="C22" i="3"/>
  <c r="B22" i="3"/>
  <c r="D21" i="3"/>
  <c r="C21" i="3"/>
  <c r="B21" i="3"/>
  <c r="D20" i="3"/>
  <c r="C20" i="3"/>
  <c r="B20" i="3"/>
  <c r="Q15" i="3"/>
  <c r="L15" i="3"/>
  <c r="G15" i="3"/>
  <c r="Z14" i="3"/>
  <c r="X14" i="3"/>
  <c r="V14" i="3"/>
  <c r="U14" i="3"/>
  <c r="Q14" i="3"/>
  <c r="L14" i="3"/>
  <c r="G14" i="3"/>
  <c r="Q13" i="3"/>
  <c r="L13" i="3"/>
  <c r="G13" i="3"/>
  <c r="Z12" i="3"/>
  <c r="X12" i="3"/>
  <c r="V12" i="3"/>
  <c r="U12" i="3"/>
  <c r="AA12" i="3" s="1"/>
  <c r="Q12" i="3"/>
  <c r="L12" i="3"/>
  <c r="G12" i="3"/>
  <c r="Q11" i="3"/>
  <c r="L11" i="3"/>
  <c r="G11" i="3"/>
  <c r="Z10" i="3"/>
  <c r="X10" i="3"/>
  <c r="V10" i="3"/>
  <c r="U10" i="3"/>
  <c r="Q10" i="3"/>
  <c r="L10" i="3"/>
  <c r="G10" i="3"/>
  <c r="Y131" i="3"/>
  <c r="W250" i="3"/>
  <c r="W269" i="3"/>
  <c r="W346" i="3"/>
  <c r="Y346" i="3"/>
  <c r="W322" i="3"/>
  <c r="W326" i="3"/>
  <c r="Y326" i="3"/>
  <c r="W324" i="3"/>
  <c r="Y324" i="3"/>
  <c r="W328" i="3"/>
  <c r="Y328" i="3"/>
  <c r="W302" i="3"/>
  <c r="Y302" i="3"/>
  <c r="AA302" i="3"/>
  <c r="W304" i="3"/>
  <c r="Y304" i="3"/>
  <c r="AA282" i="3"/>
  <c r="AA288" i="3"/>
  <c r="W288" i="3"/>
  <c r="Y288" i="3"/>
  <c r="AA27" i="3"/>
  <c r="AA233" i="3"/>
  <c r="Y250" i="3"/>
  <c r="AA46" i="3"/>
  <c r="W199" i="3"/>
  <c r="X50" i="3"/>
  <c r="Y163" i="3"/>
  <c r="AA10" i="3"/>
  <c r="AA65" i="3"/>
  <c r="W95" i="3"/>
  <c r="W286" i="3"/>
  <c r="Y269" i="3"/>
  <c r="W214" i="3"/>
  <c r="Y180" i="3"/>
  <c r="Y65" i="3"/>
  <c r="AA95" i="3"/>
  <c r="W46" i="3"/>
  <c r="W65" i="3"/>
  <c r="AA116" i="3"/>
  <c r="U67" i="3"/>
  <c r="Y63" i="3"/>
  <c r="Y44" i="3"/>
  <c r="AA44" i="3"/>
  <c r="AA82" i="3"/>
  <c r="Y82" i="3"/>
  <c r="AA184" i="3"/>
  <c r="W184" i="3"/>
  <c r="AA218" i="3"/>
  <c r="W218" i="3"/>
  <c r="W348" i="3"/>
  <c r="Y348" i="3"/>
  <c r="AA342" i="3"/>
  <c r="W362" i="3"/>
  <c r="Y362" i="3"/>
  <c r="AA362" i="3"/>
  <c r="W366" i="3"/>
  <c r="Y366" i="3"/>
  <c r="W364" i="3"/>
  <c r="Y364" i="3"/>
  <c r="W368" i="3"/>
  <c r="Y368" i="3"/>
  <c r="U101" i="3" l="1"/>
  <c r="V16" i="3"/>
  <c r="AA31" i="3"/>
  <c r="AA61" i="3"/>
  <c r="W148" i="3"/>
  <c r="Y167" i="3"/>
  <c r="W197" i="3"/>
  <c r="AA199" i="3"/>
  <c r="W216" i="3"/>
  <c r="X220" i="3"/>
  <c r="X290" i="3"/>
  <c r="AA355" i="2"/>
  <c r="AB355" i="2" s="1"/>
  <c r="AA322" i="3"/>
  <c r="X203" i="3"/>
  <c r="U50" i="3"/>
  <c r="Y50" i="3" s="1"/>
  <c r="Z152" i="3"/>
  <c r="Y165" i="3"/>
  <c r="X169" i="3"/>
  <c r="Y95" i="3"/>
  <c r="AA97" i="3"/>
  <c r="Z16" i="3"/>
  <c r="AA163" i="3"/>
  <c r="AA348" i="3"/>
  <c r="Y99" i="3"/>
  <c r="Y148" i="3"/>
  <c r="W180" i="3"/>
  <c r="Y233" i="3"/>
  <c r="W150" i="3"/>
  <c r="Z67" i="3"/>
  <c r="Z203" i="3"/>
  <c r="W284" i="3"/>
  <c r="V220" i="3"/>
  <c r="Z220" i="3"/>
  <c r="AA300" i="2"/>
  <c r="V271" i="3"/>
  <c r="Z271" i="3"/>
  <c r="W282" i="3"/>
  <c r="AA353" i="2"/>
  <c r="U271" i="3"/>
  <c r="U350" i="3"/>
  <c r="Y344" i="3"/>
  <c r="Z296" i="2"/>
  <c r="X271" i="3"/>
  <c r="X152" i="3"/>
  <c r="W165" i="3"/>
  <c r="U152" i="3"/>
  <c r="W152" i="3" s="1"/>
  <c r="AA197" i="3"/>
  <c r="W344" i="3"/>
  <c r="X16" i="3"/>
  <c r="V169" i="3"/>
  <c r="AA336" i="2"/>
  <c r="Y308" i="3"/>
  <c r="W29" i="3"/>
  <c r="AA148" i="3"/>
  <c r="AA224" i="2"/>
  <c r="Z243" i="2"/>
  <c r="W182" i="3"/>
  <c r="Z262" i="2"/>
  <c r="AB262" i="2" s="1"/>
  <c r="Z277" i="2"/>
  <c r="U254" i="3"/>
  <c r="Y254" i="3" s="1"/>
  <c r="Z300" i="2"/>
  <c r="X101" i="3"/>
  <c r="W252" i="3"/>
  <c r="AA114" i="3"/>
  <c r="W131" i="3"/>
  <c r="X237" i="3"/>
  <c r="U169" i="3"/>
  <c r="W167" i="3"/>
  <c r="W146" i="3"/>
  <c r="Y284" i="3"/>
  <c r="AA53" i="2"/>
  <c r="AA144" i="2"/>
  <c r="V135" i="3"/>
  <c r="Z186" i="2"/>
  <c r="AA146" i="3"/>
  <c r="Z224" i="2"/>
  <c r="AA167" i="3"/>
  <c r="Y252" i="3"/>
  <c r="Z30" i="2"/>
  <c r="AA63" i="3"/>
  <c r="Y80" i="3"/>
  <c r="Z89" i="2"/>
  <c r="AA110" i="2"/>
  <c r="AA112" i="3"/>
  <c r="Z355" i="2"/>
  <c r="W308" i="3"/>
  <c r="W267" i="3"/>
  <c r="Y267" i="3"/>
  <c r="Y14" i="3"/>
  <c r="X67" i="3"/>
  <c r="Y67" i="3" s="1"/>
  <c r="W99" i="3"/>
  <c r="Z106" i="2"/>
  <c r="AA99" i="3"/>
  <c r="Z127" i="2"/>
  <c r="AB127" i="2" s="1"/>
  <c r="U135" i="3"/>
  <c r="X254" i="3"/>
  <c r="Z336" i="2"/>
  <c r="U203" i="3"/>
  <c r="AA203" i="3" s="1"/>
  <c r="V290" i="3"/>
  <c r="W31" i="3"/>
  <c r="W78" i="3"/>
  <c r="AA80" i="3"/>
  <c r="Y97" i="3"/>
  <c r="Z70" i="2"/>
  <c r="AA87" i="2"/>
  <c r="AA127" i="2"/>
  <c r="V118" i="3"/>
  <c r="Z118" i="3"/>
  <c r="AA186" i="2"/>
  <c r="Z203" i="2"/>
  <c r="W233" i="3"/>
  <c r="AA334" i="2"/>
  <c r="Z338" i="2"/>
  <c r="AA372" i="2"/>
  <c r="X350" i="3"/>
  <c r="Z393" i="2"/>
  <c r="AB393" i="2" s="1"/>
  <c r="V67" i="3"/>
  <c r="W67" i="3" s="1"/>
  <c r="Z182" i="2"/>
  <c r="V350" i="3"/>
  <c r="W201" i="3"/>
  <c r="Y31" i="3"/>
  <c r="AA48" i="3"/>
  <c r="X84" i="3"/>
  <c r="AA70" i="2"/>
  <c r="AA72" i="2"/>
  <c r="X186" i="3"/>
  <c r="Z350" i="3"/>
  <c r="AA391" i="2"/>
  <c r="AA393" i="2"/>
  <c r="AA395" i="2"/>
  <c r="U186" i="3"/>
  <c r="AA186" i="3" s="1"/>
  <c r="AA201" i="3"/>
  <c r="Y10" i="3"/>
  <c r="Z11" i="2"/>
  <c r="Z15" i="2"/>
  <c r="AB15" i="2" s="1"/>
  <c r="AA32" i="2"/>
  <c r="AA125" i="2"/>
  <c r="Z144" i="2"/>
  <c r="X135" i="3"/>
  <c r="Z201" i="2"/>
  <c r="Z186" i="3"/>
  <c r="Y197" i="3"/>
  <c r="V237" i="3"/>
  <c r="AA279" i="2"/>
  <c r="AA296" i="2"/>
  <c r="AB296" i="2" s="1"/>
  <c r="AA374" i="2"/>
  <c r="Y235" i="3"/>
  <c r="Y342" i="3"/>
  <c r="Z374" i="2"/>
  <c r="Z370" i="3"/>
  <c r="Y112" i="3"/>
  <c r="AA11" i="2"/>
  <c r="AA15" i="2"/>
  <c r="V101" i="3"/>
  <c r="W101" i="3" s="1"/>
  <c r="Z146" i="2"/>
  <c r="Z135" i="3"/>
  <c r="Z241" i="2"/>
  <c r="V203" i="3"/>
  <c r="Y216" i="3"/>
  <c r="Z298" i="2"/>
  <c r="AA67" i="3"/>
  <c r="AA182" i="3"/>
  <c r="AA180" i="3"/>
  <c r="Y248" i="3"/>
  <c r="Z33" i="3"/>
  <c r="Z53" i="2"/>
  <c r="AB53" i="2" s="1"/>
  <c r="AA148" i="2"/>
  <c r="AA182" i="2"/>
  <c r="AA239" i="2"/>
  <c r="X310" i="3"/>
  <c r="AA235" i="3"/>
  <c r="W114" i="3"/>
  <c r="Z334" i="2"/>
  <c r="Z372" i="2"/>
  <c r="W248" i="3"/>
  <c r="Z101" i="3"/>
  <c r="AA101" i="3" s="1"/>
  <c r="Z87" i="2"/>
  <c r="AB87" i="2" s="1"/>
  <c r="AA203" i="2"/>
  <c r="Z258" i="2"/>
  <c r="AB258" i="2" s="1"/>
  <c r="Z279" i="2"/>
  <c r="Z353" i="2"/>
  <c r="Y182" i="3"/>
  <c r="Y101" i="3"/>
  <c r="U16" i="3"/>
  <c r="AA16" i="3" s="1"/>
  <c r="AA150" i="3"/>
  <c r="Y114" i="3"/>
  <c r="AA14" i="3"/>
  <c r="AA248" i="3"/>
  <c r="Y306" i="3"/>
  <c r="V50" i="3"/>
  <c r="W50" i="3" s="1"/>
  <c r="AA89" i="2"/>
  <c r="Z163" i="2"/>
  <c r="Z167" i="2"/>
  <c r="AB167" i="2" s="1"/>
  <c r="AA262" i="2"/>
  <c r="Z357" i="2"/>
  <c r="Y150" i="3"/>
  <c r="U118" i="3"/>
  <c r="W306" i="3"/>
  <c r="Z32" i="2"/>
  <c r="Z34" i="2"/>
  <c r="AB34" i="2" s="1"/>
  <c r="Z125" i="2"/>
  <c r="Z148" i="2"/>
  <c r="AB148" i="2" s="1"/>
  <c r="Y116" i="3"/>
  <c r="AA165" i="3"/>
  <c r="AA163" i="2"/>
  <c r="AA165" i="2"/>
  <c r="AA167" i="2"/>
  <c r="Z239" i="2"/>
  <c r="AA315" i="2"/>
  <c r="Z110" i="2"/>
  <c r="AB110" i="2" s="1"/>
  <c r="AA106" i="2"/>
  <c r="AB106" i="2" s="1"/>
  <c r="AA30" i="2"/>
  <c r="AB30" i="2" s="1"/>
  <c r="Z50" i="3"/>
  <c r="AA50" i="3" s="1"/>
  <c r="Y61" i="3"/>
  <c r="Y133" i="3"/>
  <c r="AA258" i="2"/>
  <c r="AA298" i="2"/>
  <c r="Y282" i="3"/>
  <c r="Z315" i="2"/>
  <c r="AA308" i="3"/>
  <c r="Y265" i="3"/>
  <c r="AA216" i="3"/>
  <c r="W231" i="3"/>
  <c r="Z260" i="2"/>
  <c r="AA338" i="2"/>
  <c r="W112" i="3"/>
  <c r="U33" i="3"/>
  <c r="W33" i="3" s="1"/>
  <c r="AA29" i="3"/>
  <c r="AA146" i="2"/>
  <c r="Z169" i="3"/>
  <c r="AA169" i="3" s="1"/>
  <c r="AA260" i="2"/>
  <c r="AA277" i="2"/>
  <c r="AB277" i="2" s="1"/>
  <c r="Z395" i="2"/>
  <c r="AB395" i="2" s="1"/>
  <c r="Y12" i="3"/>
  <c r="X33" i="3"/>
  <c r="Z91" i="2"/>
  <c r="AB91" i="2" s="1"/>
  <c r="AA201" i="2"/>
  <c r="Z281" i="2"/>
  <c r="Z317" i="2"/>
  <c r="AB317" i="2" s="1"/>
  <c r="Z319" i="2"/>
  <c r="V330" i="3"/>
  <c r="W163" i="3"/>
  <c r="U290" i="3"/>
  <c r="Z68" i="2"/>
  <c r="AA91" i="2"/>
  <c r="V186" i="3"/>
  <c r="W186" i="3" s="1"/>
  <c r="Z237" i="3"/>
  <c r="AA281" i="2"/>
  <c r="AA317" i="2"/>
  <c r="AA319" i="2"/>
  <c r="W133" i="3"/>
  <c r="AA68" i="2"/>
  <c r="Z49" i="2"/>
  <c r="Z51" i="2"/>
  <c r="Z129" i="2"/>
  <c r="AB129" i="2" s="1"/>
  <c r="Z205" i="2"/>
  <c r="Z330" i="3"/>
  <c r="AA133" i="3"/>
  <c r="AA265" i="3"/>
  <c r="AA34" i="2"/>
  <c r="Z72" i="2"/>
  <c r="AB72" i="2" s="1"/>
  <c r="AA49" i="2"/>
  <c r="AA51" i="2"/>
  <c r="AA129" i="2"/>
  <c r="AA205" i="2"/>
  <c r="Z376" i="2"/>
  <c r="W129" i="3"/>
  <c r="W265" i="3"/>
  <c r="Z13" i="2"/>
  <c r="AA376" i="2"/>
  <c r="AA129" i="3"/>
  <c r="AA13" i="2"/>
  <c r="Z184" i="2"/>
  <c r="AA241" i="2"/>
  <c r="AA243" i="2"/>
  <c r="AB243" i="2" s="1"/>
  <c r="U237" i="3"/>
  <c r="Y129" i="3"/>
  <c r="X118" i="3"/>
  <c r="Y118" i="3" s="1"/>
  <c r="AA184" i="2"/>
  <c r="AA328" i="3"/>
  <c r="Y169" i="3"/>
  <c r="AA231" i="3"/>
  <c r="Z108" i="2"/>
  <c r="Z220" i="2"/>
  <c r="Z222" i="2"/>
  <c r="AA357" i="2"/>
  <c r="Y286" i="3"/>
  <c r="U84" i="3"/>
  <c r="AA108" i="2"/>
  <c r="Z165" i="2"/>
  <c r="AB165" i="2" s="1"/>
  <c r="AA220" i="2"/>
  <c r="AA222" i="2"/>
  <c r="Z391" i="2"/>
  <c r="AB391" i="2" s="1"/>
  <c r="U220" i="3"/>
  <c r="AA214" i="3"/>
  <c r="W14" i="3"/>
  <c r="W48" i="3"/>
  <c r="W12" i="3"/>
  <c r="Y48" i="3"/>
  <c r="AA78" i="3"/>
  <c r="W10" i="3"/>
  <c r="W27" i="3"/>
  <c r="Y78" i="3"/>
  <c r="AB201" i="2"/>
  <c r="V84" i="3"/>
  <c r="Z84" i="3"/>
  <c r="V254" i="3"/>
  <c r="Z254" i="3"/>
  <c r="U310" i="3"/>
  <c r="V310" i="3"/>
  <c r="Z310" i="3"/>
  <c r="U330" i="3"/>
  <c r="X330" i="3"/>
  <c r="U370" i="3"/>
  <c r="X370" i="3"/>
  <c r="AA135" i="3" l="1"/>
  <c r="AA254" i="3"/>
  <c r="AB51" i="2"/>
  <c r="AB239" i="2"/>
  <c r="W254" i="3"/>
  <c r="W16" i="3"/>
  <c r="AB224" i="2"/>
  <c r="AA350" i="3"/>
  <c r="AA152" i="3"/>
  <c r="AB357" i="2"/>
  <c r="Y16" i="3"/>
  <c r="AB89" i="2"/>
  <c r="W169" i="3"/>
  <c r="AA84" i="3"/>
  <c r="AB220" i="2"/>
  <c r="AB13" i="2"/>
  <c r="W84" i="3"/>
  <c r="AB108" i="2"/>
  <c r="AB186" i="2"/>
  <c r="AB300" i="2"/>
  <c r="AB336" i="2"/>
  <c r="Y350" i="3"/>
  <c r="Y33" i="3"/>
  <c r="W350" i="3"/>
  <c r="AA271" i="3"/>
  <c r="W271" i="3"/>
  <c r="Y84" i="3"/>
  <c r="Y135" i="3"/>
  <c r="Y152" i="3"/>
  <c r="AB144" i="2"/>
  <c r="AB315" i="2"/>
  <c r="AB125" i="2"/>
  <c r="Y186" i="3"/>
  <c r="AA33" i="3"/>
  <c r="AB241" i="2"/>
  <c r="Y271" i="3"/>
  <c r="W135" i="3"/>
  <c r="AB353" i="2"/>
  <c r="AB32" i="2"/>
  <c r="AB222" i="2"/>
  <c r="AB184" i="2"/>
  <c r="AB279" i="2"/>
  <c r="AB146" i="2"/>
  <c r="AB11" i="2"/>
  <c r="AB203" i="2"/>
  <c r="W203" i="3"/>
  <c r="Y203" i="3"/>
  <c r="AA118" i="3"/>
  <c r="AB372" i="2"/>
  <c r="W118" i="3"/>
  <c r="AB334" i="2"/>
  <c r="AB182" i="2"/>
  <c r="AB338" i="2"/>
  <c r="AB376" i="2"/>
  <c r="AB260" i="2"/>
  <c r="AB70" i="2"/>
  <c r="AB49" i="2"/>
  <c r="AB163" i="2"/>
  <c r="AB298" i="2"/>
  <c r="AB374" i="2"/>
  <c r="AB68" i="2"/>
  <c r="W290" i="3"/>
  <c r="AA290" i="3"/>
  <c r="Y290" i="3"/>
  <c r="Y237" i="3"/>
  <c r="W237" i="3"/>
  <c r="AB319" i="2"/>
  <c r="AB281" i="2"/>
  <c r="AA237" i="3"/>
  <c r="AB205" i="2"/>
  <c r="Y220" i="3"/>
  <c r="W220" i="3"/>
  <c r="AA220" i="3"/>
  <c r="AA310" i="3"/>
  <c r="W310" i="3"/>
  <c r="Y310" i="3"/>
  <c r="AA370" i="3"/>
  <c r="Y370" i="3"/>
  <c r="W370" i="3"/>
  <c r="AA330" i="3"/>
  <c r="W330" i="3"/>
  <c r="Y3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Nudam</author>
    <author>User</author>
  </authors>
  <commentList>
    <comment ref="R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6)</t>
        </r>
      </text>
    </comment>
    <comment ref="Z5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Nudam</author>
  </authors>
  <commentList>
    <comment ref="L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Data Entry Instructions:
</t>
        </r>
        <r>
          <rPr>
            <sz val="9"/>
            <color indexed="81"/>
            <rFont val="Tahoma"/>
            <family val="2"/>
          </rPr>
          <t>Data should only be entered within or above the highlighted range.
Use Keyboard shortcut `Ctrl-Shift-C` before entering data below the highlighted range.
Need to modify the code when more machines were added. (Current: 5)</t>
        </r>
      </text>
    </comment>
  </commentList>
</comments>
</file>

<file path=xl/sharedStrings.xml><?xml version="1.0" encoding="utf-8"?>
<sst xmlns="http://schemas.openxmlformats.org/spreadsheetml/2006/main" count="4251" uniqueCount="321">
  <si>
    <t>MoldNo</t>
  </si>
  <si>
    <t>Running</t>
  </si>
  <si>
    <t>Qty</t>
  </si>
  <si>
    <t>Line NO</t>
  </si>
  <si>
    <t>Color</t>
  </si>
  <si>
    <t>Status</t>
  </si>
  <si>
    <t>Shift 1</t>
  </si>
  <si>
    <t>Shift 2</t>
  </si>
  <si>
    <t>Shift 3</t>
  </si>
  <si>
    <t>Resin</t>
  </si>
  <si>
    <t>Index</t>
  </si>
  <si>
    <t>Notes</t>
  </si>
  <si>
    <t>Customer</t>
  </si>
  <si>
    <t>Quantity
(tray)</t>
  </si>
  <si>
    <t>Defective</t>
  </si>
  <si>
    <t>Total Quantity (pcs)</t>
  </si>
  <si>
    <t>Total 
Qty</t>
  </si>
  <si>
    <t>Note</t>
  </si>
  <si>
    <t>Month:</t>
  </si>
  <si>
    <t xml:space="preserve">Down: </t>
  </si>
  <si>
    <t>Running:</t>
  </si>
  <si>
    <t>Down:</t>
  </si>
  <si>
    <t>Cavity</t>
  </si>
  <si>
    <t>Quantity
(pcs)</t>
  </si>
  <si>
    <t>Cycle Time (s)</t>
  </si>
  <si>
    <t>Hours (hr)</t>
  </si>
  <si>
    <t>Total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</si>
  <si>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</si>
  <si>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</si>
  <si>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</si>
  <si>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</si>
  <si>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</si>
  <si>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</si>
  <si>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</si>
  <si>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</si>
  <si>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</si>
  <si>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</si>
  <si>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</si>
  <si>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</si>
  <si>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</si>
  <si>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</si>
  <si>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</si>
  <si>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2A</t>
  </si>
  <si>
    <t>3A</t>
  </si>
  <si>
    <t>4A</t>
  </si>
  <si>
    <t>JAR-007B</t>
  </si>
  <si>
    <t>White</t>
  </si>
  <si>
    <t>Quantity
(Pallet)</t>
  </si>
  <si>
    <t>pcs/pallet</t>
  </si>
  <si>
    <t>Defective - Label (pcs)</t>
  </si>
  <si>
    <t>Defective - Bottle (pcs)</t>
  </si>
  <si>
    <t>Defective - Packing (pcs)</t>
  </si>
  <si>
    <t>Total Defective - Bottle (pcs)</t>
  </si>
  <si>
    <t xml:space="preserve"> Defective Rate - Bottle</t>
  </si>
  <si>
    <t>Total Defective - Label (pcs)</t>
  </si>
  <si>
    <t xml:space="preserve"> Defective Rate - Label</t>
  </si>
  <si>
    <t>Total Defective - Packing (pcs)</t>
  </si>
  <si>
    <t xml:space="preserve"> Defective Rate - Packing</t>
  </si>
  <si>
    <t>Finch JAR Production Line Status Report</t>
  </si>
  <si>
    <t>Finch JAR Label Machine Line Status Report</t>
  </si>
  <si>
    <t>label position</t>
  </si>
  <si>
    <t>short shot</t>
  </si>
  <si>
    <t>flash</t>
  </si>
  <si>
    <t>scratch</t>
  </si>
  <si>
    <t>HTL-01</t>
  </si>
  <si>
    <t>JAR-014</t>
  </si>
  <si>
    <t>Total Defective</t>
  </si>
  <si>
    <t>JAR-007A</t>
  </si>
  <si>
    <t>HTL-03</t>
  </si>
  <si>
    <t>HTL-02</t>
  </si>
  <si>
    <t>7ml   L’Oreal</t>
  </si>
  <si>
    <t>14ml    L’Oreal</t>
  </si>
  <si>
    <t>June, 2022</t>
  </si>
  <si>
    <t>Shift-1 測試新label</t>
  </si>
  <si>
    <t>Shift-1 報修</t>
  </si>
  <si>
    <t>做sample</t>
  </si>
  <si>
    <t>Shift-3 主射不出膠</t>
  </si>
  <si>
    <t>Shift-1 換膠輪，測試新label</t>
  </si>
  <si>
    <t>Shift-1 換水管加側射炮筒螺母</t>
  </si>
  <si>
    <t>Shift-1 换色油</t>
  </si>
  <si>
    <t>S3     label problem</t>
  </si>
  <si>
    <t>S1.2.3     label problem</t>
  </si>
  <si>
    <t>Shift-3       label problem</t>
  </si>
  <si>
    <t>Shif-1 換水管</t>
  </si>
  <si>
    <t>Shift-1 停機加收卷機，調整機器；Shift-3 清潔機械手吸嘴</t>
  </si>
  <si>
    <t>Shift-1 維修</t>
  </si>
  <si>
    <t>Shift-3 label problem</t>
  </si>
  <si>
    <t>Shift-1 報修，維修上料氣缸</t>
  </si>
  <si>
    <t>Shift-3 機械手不吸料</t>
  </si>
  <si>
    <t>Shift-3 cutter is not sharp</t>
  </si>
  <si>
    <t>Change cutter</t>
  </si>
  <si>
    <t>Shift-3 換色油</t>
  </si>
  <si>
    <t>label problem</t>
  </si>
  <si>
    <t>Shift-1 報修，Shift-3 調感應器</t>
  </si>
  <si>
    <t>Shift-3 條形碼對不齊</t>
  </si>
  <si>
    <t>Shift-3 label不居中</t>
  </si>
  <si>
    <t>Shift-1 換剪刀，斷電</t>
  </si>
  <si>
    <t>Shift-2 掉瓶；Shift-3 掉瓶，進料處卡頓，斷label</t>
  </si>
  <si>
    <t>Shift-3 停機處理剪刀故障</t>
  </si>
  <si>
    <t>Shift-3 機械手故障不放貨</t>
  </si>
  <si>
    <t>Shift-3 機械手不吸貨</t>
  </si>
  <si>
    <t>Shift-3 主射不出膠，擦模具</t>
  </si>
  <si>
    <t>Shift-1早班开机   擦模走色，主射側射不出膠；Shift-3 擦模換色油</t>
  </si>
  <si>
    <t>4A   清料做 BLUE SAMPLES</t>
  </si>
  <si>
    <t>换剪刀</t>
  </si>
  <si>
    <t>换色油</t>
  </si>
  <si>
    <t>no label   label problem</t>
  </si>
  <si>
    <t>換剪刀</t>
  </si>
  <si>
    <t>Shift-1 做sample</t>
  </si>
  <si>
    <t>Shift-1 做sample；Shift-3 主射側射不出膠，間中出藍色</t>
  </si>
  <si>
    <t>Shift-1 做sample；Shift-3 擦模具</t>
  </si>
  <si>
    <t>Shift-3 側射不出膠</t>
  </si>
  <si>
    <t>Shift-3 手臂不放貨，走顏色</t>
  </si>
  <si>
    <t>Shift-1 水口機維修</t>
  </si>
  <si>
    <t>Shift-1 換自動色油機</t>
  </si>
  <si>
    <t>HTL-04</t>
  </si>
  <si>
    <t>14ml   L’Oreal</t>
  </si>
  <si>
    <t>Shift-1 09:25 開機</t>
  </si>
  <si>
    <t>Shift-1 12:30 開機</t>
  </si>
  <si>
    <t>維修</t>
  </si>
  <si>
    <t>Shift-1 擰模具螺絲</t>
  </si>
  <si>
    <t>Shift-1 剪刀吸塵口堵塞，擰模具螺絲；Shift-3 機械手X軸測速異常</t>
  </si>
  <si>
    <t>Shift-3 螺紋瑕疵</t>
  </si>
  <si>
    <t>Shift-3 Plasma不噴火</t>
  </si>
  <si>
    <t>no label and label problem</t>
  </si>
  <si>
    <t>no label  and label problem</t>
  </si>
  <si>
    <t>Shift-1 停機調炮筒；Shift-2,3 機械手故障</t>
  </si>
  <si>
    <t>Shift-1 停機擦模</t>
  </si>
  <si>
    <t>no label label problem</t>
  </si>
  <si>
    <t>Shift-1,2 調電腦停機；Shift-2 label紅線高低問題</t>
  </si>
  <si>
    <t>RPET</t>
  </si>
  <si>
    <t>LineNo</t>
  </si>
  <si>
    <t>S1Cycle</t>
  </si>
  <si>
    <t>S1Hrs</t>
  </si>
  <si>
    <t>S1Shot</t>
  </si>
  <si>
    <t>S1Cavity</t>
  </si>
  <si>
    <t>S1Qty</t>
  </si>
  <si>
    <t>S2Cycle</t>
  </si>
  <si>
    <t>S2Hrs</t>
  </si>
  <si>
    <t>S2Shot</t>
  </si>
  <si>
    <t>S2Cavity</t>
  </si>
  <si>
    <t>S2Qty</t>
  </si>
  <si>
    <t>S3Cycle</t>
  </si>
  <si>
    <t>S3Hrs</t>
  </si>
  <si>
    <t>S3Shot</t>
  </si>
  <si>
    <t>S3Cavity</t>
  </si>
  <si>
    <t>S3Qty</t>
  </si>
  <si>
    <t>Date</t>
  </si>
  <si>
    <t>02A</t>
  </si>
  <si>
    <t>03A</t>
  </si>
  <si>
    <t>04A</t>
  </si>
  <si>
    <t>Grand Total</t>
  </si>
  <si>
    <t>Sum of Total</t>
  </si>
  <si>
    <t>S1Dmg</t>
  </si>
  <si>
    <t>S2Dmg</t>
  </si>
  <si>
    <t>S3Dmg</t>
  </si>
  <si>
    <t>S1Dft</t>
  </si>
  <si>
    <t>S2Dft</t>
  </si>
  <si>
    <t>S3Dft</t>
  </si>
  <si>
    <t>TotalDft</t>
  </si>
  <si>
    <t>DftRte</t>
  </si>
  <si>
    <t>S1Disclr</t>
  </si>
  <si>
    <t>S1Shrink</t>
  </si>
  <si>
    <t>S1Flow</t>
  </si>
  <si>
    <t>S1Short</t>
  </si>
  <si>
    <t>S1Flash</t>
  </si>
  <si>
    <t>S1Spot</t>
  </si>
  <si>
    <t>S1Crack</t>
  </si>
  <si>
    <t>S1Btm</t>
  </si>
  <si>
    <t>S1Contam</t>
  </si>
  <si>
    <t>S1Wrinkle</t>
  </si>
  <si>
    <t>S1Skew</t>
  </si>
  <si>
    <t>S1Print</t>
  </si>
  <si>
    <t>S2Disclr</t>
  </si>
  <si>
    <t>S2Shrink</t>
  </si>
  <si>
    <t>S2Flow</t>
  </si>
  <si>
    <t>S2Short</t>
  </si>
  <si>
    <t>S2Flash</t>
  </si>
  <si>
    <t>S2Spot</t>
  </si>
  <si>
    <t>S2Crack</t>
  </si>
  <si>
    <t>S2Btm</t>
  </si>
  <si>
    <t>S2Contam</t>
  </si>
  <si>
    <t>S2Wrinkle</t>
  </si>
  <si>
    <t>S2Skew</t>
  </si>
  <si>
    <t>S2Print</t>
  </si>
  <si>
    <t>S3Disclr</t>
  </si>
  <si>
    <t>S3Shrink</t>
  </si>
  <si>
    <t>S3Flow</t>
  </si>
  <si>
    <t>S3Short</t>
  </si>
  <si>
    <t>S3Flash</t>
  </si>
  <si>
    <t>S3Spot</t>
  </si>
  <si>
    <t>S3Crack</t>
  </si>
  <si>
    <t>S3Btm</t>
  </si>
  <si>
    <t>S3Contam</t>
  </si>
  <si>
    <t>S3Wrinkle</t>
  </si>
  <si>
    <t>S3Skew</t>
  </si>
  <si>
    <t>S3Print</t>
  </si>
  <si>
    <t>14mL L'Oreal</t>
  </si>
  <si>
    <t>7mL L'Oreal</t>
  </si>
  <si>
    <t>DftRt</t>
  </si>
  <si>
    <t>S1DisclrSpt</t>
  </si>
  <si>
    <t>S2DisclrSpt</t>
  </si>
  <si>
    <t>S3DisclrSpt</t>
  </si>
  <si>
    <t>S1Pos</t>
  </si>
  <si>
    <t>S2Pos</t>
  </si>
  <si>
    <t>S3Pos</t>
  </si>
  <si>
    <t>Monthly</t>
  </si>
  <si>
    <t>Yesterday</t>
  </si>
  <si>
    <t>Finch JAR HTL Decoration Status Report</t>
  </si>
  <si>
    <t>S1Mold</t>
  </si>
  <si>
    <t>S2Mold</t>
  </si>
  <si>
    <t>S3Mold</t>
  </si>
  <si>
    <t>S1Scrtch</t>
  </si>
  <si>
    <t>S2Scrtch</t>
  </si>
  <si>
    <t>S3Scrtch</t>
  </si>
  <si>
    <t>Daily%</t>
  </si>
  <si>
    <t>S1%</t>
  </si>
  <si>
    <t>S2%</t>
  </si>
  <si>
    <t>S3%</t>
  </si>
  <si>
    <t>Machine Days</t>
  </si>
  <si>
    <t>05A</t>
  </si>
  <si>
    <t>06A</t>
  </si>
  <si>
    <t>07A</t>
  </si>
  <si>
    <t>JAB-050A</t>
  </si>
  <si>
    <t>JAB-014B</t>
  </si>
  <si>
    <t>Total Number of</t>
  </si>
  <si>
    <t>Defects</t>
  </si>
  <si>
    <t>Finch JAR Production Defect Count</t>
  </si>
  <si>
    <t>Finch JAR HTL Defect Count</t>
  </si>
  <si>
    <t>HrMaint</t>
  </si>
  <si>
    <t>HrSample</t>
  </si>
  <si>
    <t>HrStrtCls</t>
  </si>
  <si>
    <t>HTL-05</t>
  </si>
  <si>
    <t>JAB-007B</t>
  </si>
  <si>
    <t>JAB-014C</t>
  </si>
  <si>
    <t>Good Jars</t>
  </si>
  <si>
    <t>Daily Output</t>
  </si>
  <si>
    <t>50 mL Qty</t>
  </si>
  <si>
    <t>7 mL Qty</t>
  </si>
  <si>
    <t>14 mL Qty</t>
  </si>
  <si>
    <t>Column Labels</t>
  </si>
  <si>
    <t>Row Labels</t>
  </si>
  <si>
    <t>Mold</t>
  </si>
  <si>
    <t>Remarks</t>
  </si>
  <si>
    <t>S1CycleNotZero</t>
  </si>
  <si>
    <t>S2CycleNotZero</t>
  </si>
  <si>
    <t>S3CycleNotZero</t>
  </si>
  <si>
    <t>Sum of HrProd</t>
  </si>
  <si>
    <t>Sum of CycleTime</t>
  </si>
  <si>
    <t>Sum of CycleNotZero</t>
  </si>
  <si>
    <t>Sum of HrStrtCls</t>
  </si>
  <si>
    <t>Sum of HrSample</t>
  </si>
  <si>
    <t>Sum of HrMaint</t>
  </si>
  <si>
    <t>Max of Cavity</t>
  </si>
  <si>
    <t>AverageCycle</t>
  </si>
  <si>
    <t>StdOutputPerHr</t>
  </si>
  <si>
    <t>50mL L'Oreal</t>
  </si>
  <si>
    <t>JAR-030A</t>
  </si>
  <si>
    <t>Size</t>
  </si>
  <si>
    <t>Remark</t>
  </si>
  <si>
    <t>30ml</t>
  </si>
  <si>
    <t>50ml</t>
  </si>
  <si>
    <t>14ml</t>
  </si>
  <si>
    <t>7ml</t>
  </si>
  <si>
    <t>Qty/Min</t>
  </si>
  <si>
    <t>Total Qty</t>
  </si>
  <si>
    <t>JAB-030A</t>
  </si>
  <si>
    <t>30mL L'Oreal</t>
  </si>
  <si>
    <t>Purple</t>
  </si>
  <si>
    <t>34A</t>
  </si>
  <si>
    <t>JAB-02</t>
  </si>
  <si>
    <t>HTL-06</t>
  </si>
  <si>
    <t>75mL L'Oreal</t>
  </si>
  <si>
    <t>75ml</t>
  </si>
  <si>
    <t>Black</t>
  </si>
  <si>
    <t>Shift-1 换剪刀</t>
  </si>
  <si>
    <t>Orders completed</t>
  </si>
  <si>
    <t>Shift-1 10:37AM打磨输送带</t>
  </si>
  <si>
    <t>Shift-1 转单26976，走色</t>
  </si>
  <si>
    <t>Shift-2 Machine started</t>
  </si>
  <si>
    <t>Lavender</t>
  </si>
  <si>
    <t>Shift-1 10:00AM够数停机</t>
  </si>
  <si>
    <t>Shift-1 15:30收货</t>
  </si>
  <si>
    <t>Shift-1 12:00PM收货</t>
  </si>
  <si>
    <t>Shift-1 9:00AM开机，12:30-12:50PM停机</t>
  </si>
  <si>
    <t>Shift-2 Machine stopped from 11:25-11:54PM jar stuck</t>
  </si>
  <si>
    <t>Shift-2 Machine stopped from 7:33-7:55PM, and stopped from 9:48-10:11PM</t>
  </si>
  <si>
    <t>Shift-1 order completed</t>
  </si>
  <si>
    <t>Shift-1 12:20PM缺料停机</t>
  </si>
  <si>
    <t>Shift-1 12:20-14:45PM缺料停机</t>
  </si>
  <si>
    <t>Shift-1 8:45-9:25AM, 12:20-14:45PM缺料停机</t>
  </si>
  <si>
    <t>Shift-3 转单27298</t>
  </si>
  <si>
    <t>Shift-1 9:45-10:00AM停机调修</t>
  </si>
  <si>
    <t>Shift-1 9:15-9:30停机调修</t>
  </si>
  <si>
    <t>Shift-2 no labels left</t>
  </si>
  <si>
    <t>Shift-2 Machine stopped waiting for labels</t>
  </si>
  <si>
    <t>Shift-1 9:00-9:30AM换剪刀</t>
  </si>
  <si>
    <t>No more labels</t>
  </si>
  <si>
    <t>漏气，数次缺料</t>
  </si>
  <si>
    <t>Teal</t>
  </si>
  <si>
    <t>Shift-3 机械手故障2次</t>
  </si>
  <si>
    <t>Shift-1 label issue停机</t>
  </si>
  <si>
    <t>Shift-1 9:30-10:00AM停机换胶轮，10:53-12:00PM停机调修2次</t>
  </si>
  <si>
    <t>Clear</t>
  </si>
  <si>
    <t>Shift-1 9:00-9:30AM维修剪刀</t>
  </si>
  <si>
    <t>Shift-3 转单27221</t>
  </si>
  <si>
    <t>Shift-1 维修侧射炮筒</t>
  </si>
  <si>
    <t>Shift-1 Fixing belt problem</t>
  </si>
  <si>
    <t>Shift-2 Order completed</t>
  </si>
  <si>
    <t xml:space="preserve"> Using Viva labels</t>
  </si>
  <si>
    <t>Using Viva labels</t>
  </si>
  <si>
    <t>Shift-1 12:00PM停机试料</t>
  </si>
  <si>
    <t>Shift-1 13:30-14:00缺料</t>
  </si>
  <si>
    <t>Shift-1 14:56缺料</t>
  </si>
  <si>
    <t>China label</t>
  </si>
  <si>
    <t>Swithched to China labels</t>
  </si>
  <si>
    <t>Shift-1 试料</t>
  </si>
  <si>
    <t>Shift-1 10:30-11:50AM停机换label,#26598 Rework</t>
  </si>
  <si>
    <t>Shift-1 1:40PM停机做sample；Shift-3 传送带感应器故障无法开机，停机3小时</t>
  </si>
  <si>
    <t>Orange</t>
  </si>
  <si>
    <t>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</si>
</sst>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b/>
      <u/>
      <sz val="22"/>
      <name val="Arial"/>
      <family val="2"/>
    </font>
    <font>
      <b/>
      <sz val="14"/>
      <name val="Arial"/>
      <family val="2"/>
    </font>
    <font>
      <sz val="2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4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3">
    <xf numFmtId="0" fontId="0" fillId="0" borderId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0" fontId="1" fillId="0" borderId="0"/>
    <xf numFmtId="9" fontId="1" fillId="0" borderId="0" applyFont="0" applyFill="0" applyBorder="0" applyAlignment="0" applyProtection="0"/>
  </cellStyleXfs>
  <cellXfs count="233">
    <xf numFmtId="0" fontId="0" fillId="0" borderId="0" xfId="0"/>
    <xf numFmtId="0" fontId="7" fillId="0" borderId="0" xfId="4" applyFont="1" applyAlignment="1">
      <alignment horizontal="left"/>
    </xf>
    <xf numFmtId="0" fontId="7" fillId="0" borderId="0" xfId="4" applyFont="1"/>
    <xf numFmtId="0" fontId="7" fillId="0" borderId="0" xfId="4" applyFont="1" applyAlignment="1">
      <alignment horizontal="center"/>
    </xf>
    <xf numFmtId="22" fontId="7" fillId="0" borderId="0" xfId="4" applyNumberFormat="1" applyFont="1" applyAlignment="1">
      <alignment horizontal="center"/>
    </xf>
    <xf numFmtId="38" fontId="8" fillId="0" borderId="0" xfId="4" applyNumberFormat="1" applyFont="1"/>
    <xf numFmtId="38" fontId="8" fillId="0" borderId="0" xfId="4" applyNumberFormat="1" applyFont="1" applyAlignment="1">
      <alignment horizontal="right"/>
    </xf>
    <xf numFmtId="38" fontId="6" fillId="0" borderId="0" xfId="4" applyNumberFormat="1" applyProtection="1">
      <protection locked="0"/>
    </xf>
    <xf numFmtId="10" fontId="8" fillId="0" borderId="0" xfId="4" applyNumberFormat="1" applyFont="1" applyAlignment="1">
      <alignment horizontal="right"/>
    </xf>
    <xf numFmtId="0" fontId="6" fillId="2" borderId="1" xfId="4" applyFill="1" applyBorder="1" applyAlignment="1">
      <alignment horizontal="center" vertical="center"/>
    </xf>
    <xf numFmtId="0" fontId="6" fillId="3" borderId="1" xfId="4" applyFill="1" applyBorder="1" applyAlignment="1">
      <alignment horizontal="center" vertical="center"/>
    </xf>
    <xf numFmtId="0" fontId="6" fillId="0" borderId="1" xfId="4" applyBorder="1" applyAlignment="1">
      <alignment horizontal="center" vertical="center"/>
    </xf>
    <xf numFmtId="166" fontId="6" fillId="0" borderId="1" xfId="1" applyNumberFormat="1" applyFont="1" applyBorder="1" applyAlignment="1">
      <alignment horizontal="right" vertical="center"/>
    </xf>
    <xf numFmtId="166" fontId="6" fillId="3" borderId="1" xfId="1" applyNumberFormat="1" applyFont="1" applyFill="1" applyBorder="1" applyAlignment="1">
      <alignment horizontal="right" vertical="center"/>
    </xf>
    <xf numFmtId="166" fontId="6" fillId="2" borderId="1" xfId="1" applyNumberFormat="1" applyFont="1" applyFill="1" applyBorder="1" applyAlignment="1">
      <alignment horizontal="right" vertical="center"/>
    </xf>
    <xf numFmtId="38" fontId="9" fillId="4" borderId="1" xfId="4" applyNumberFormat="1" applyFont="1" applyFill="1" applyBorder="1" applyAlignment="1">
      <alignment horizontal="center" vertical="center" wrapText="1"/>
    </xf>
    <xf numFmtId="38" fontId="9" fillId="0" borderId="2" xfId="4" applyNumberFormat="1" applyFont="1" applyBorder="1" applyAlignment="1">
      <alignment horizontal="right" vertical="center"/>
    </xf>
    <xf numFmtId="38" fontId="6" fillId="0" borderId="2" xfId="4" applyNumberFormat="1" applyBorder="1" applyAlignment="1">
      <alignment horizontal="left" vertical="center"/>
    </xf>
    <xf numFmtId="10" fontId="9" fillId="0" borderId="2" xfId="4" applyNumberFormat="1" applyFont="1" applyBorder="1" applyAlignment="1">
      <alignment horizontal="right" vertical="center"/>
    </xf>
    <xf numFmtId="14" fontId="9" fillId="0" borderId="0" xfId="4" applyNumberFormat="1" applyFont="1" applyAlignment="1" applyProtection="1">
      <alignment horizontal="right"/>
      <protection locked="0"/>
    </xf>
    <xf numFmtId="165" fontId="6" fillId="0" borderId="1" xfId="1" applyNumberFormat="1" applyFont="1" applyBorder="1" applyAlignment="1">
      <alignment horizontal="right" vertical="center"/>
    </xf>
    <xf numFmtId="165" fontId="6" fillId="3" borderId="1" xfId="1" applyNumberFormat="1" applyFont="1" applyFill="1" applyBorder="1" applyAlignment="1">
      <alignment horizontal="right" vertical="center"/>
    </xf>
    <xf numFmtId="165" fontId="6" fillId="2" borderId="1" xfId="1" applyNumberFormat="1" applyFont="1" applyFill="1" applyBorder="1" applyAlignment="1">
      <alignment horizontal="right" vertical="center"/>
    </xf>
    <xf numFmtId="166" fontId="6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9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12" fillId="4" borderId="1" xfId="4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vertical="center"/>
    </xf>
    <xf numFmtId="166" fontId="6" fillId="2" borderId="1" xfId="1" applyNumberFormat="1" applyFont="1" applyFill="1" applyBorder="1" applyAlignment="1">
      <alignment vertical="center"/>
    </xf>
    <xf numFmtId="166" fontId="6" fillId="2" borderId="1" xfId="1" applyNumberFormat="1" applyFont="1" applyFill="1" applyBorder="1" applyAlignment="1">
      <alignment horizontal="center" vertical="center"/>
    </xf>
    <xf numFmtId="38" fontId="13" fillId="0" borderId="2" xfId="4" applyNumberFormat="1" applyFont="1" applyBorder="1" applyAlignment="1">
      <alignment vertical="center"/>
    </xf>
    <xf numFmtId="10" fontId="13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164" fontId="6" fillId="0" borderId="1" xfId="1" applyFont="1" applyBorder="1" applyAlignment="1">
      <alignment vertical="center"/>
    </xf>
    <xf numFmtId="164" fontId="6" fillId="3" borderId="1" xfId="1" applyFont="1" applyFill="1" applyBorder="1" applyAlignment="1">
      <alignment vertical="center"/>
    </xf>
    <xf numFmtId="164" fontId="6" fillId="2" borderId="1" xfId="1" applyFont="1" applyFill="1" applyBorder="1" applyAlignment="1">
      <alignment vertical="center"/>
    </xf>
    <xf numFmtId="164" fontId="8" fillId="0" borderId="0" xfId="1" applyFont="1" applyBorder="1" applyAlignment="1"/>
    <xf numFmtId="164" fontId="9" fillId="0" borderId="2" xfId="1" applyFont="1" applyBorder="1" applyAlignment="1">
      <alignment vertical="center"/>
    </xf>
    <xf numFmtId="164" fontId="12" fillId="4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8" fillId="0" borderId="0" xfId="1" applyFont="1" applyBorder="1" applyAlignment="1">
      <alignment horizontal="right"/>
    </xf>
    <xf numFmtId="0" fontId="6" fillId="0" borderId="0" xfId="4" applyAlignment="1">
      <alignment horizontal="center" vertical="center"/>
    </xf>
    <xf numFmtId="166" fontId="6" fillId="0" borderId="0" xfId="1" applyNumberFormat="1" applyFont="1" applyFill="1" applyBorder="1" applyAlignment="1">
      <alignment horizontal="right" vertical="center"/>
    </xf>
    <xf numFmtId="165" fontId="6" fillId="0" borderId="0" xfId="1" applyNumberFormat="1" applyFont="1" applyFill="1" applyBorder="1" applyAlignment="1">
      <alignment horizontal="right" vertical="center"/>
    </xf>
    <xf numFmtId="0" fontId="6" fillId="0" borderId="5" xfId="1" applyNumberFormat="1" applyFont="1" applyFill="1" applyBorder="1" applyAlignment="1">
      <alignment horizontal="center" vertical="center"/>
    </xf>
    <xf numFmtId="166" fontId="9" fillId="5" borderId="6" xfId="1" applyNumberFormat="1" applyFont="1" applyFill="1" applyBorder="1" applyAlignment="1">
      <alignment horizontal="right" vertical="center"/>
    </xf>
    <xf numFmtId="166" fontId="9" fillId="5" borderId="6" xfId="1" applyNumberFormat="1" applyFont="1" applyFill="1" applyBorder="1" applyAlignment="1">
      <alignment horizontal="center" vertical="center"/>
    </xf>
    <xf numFmtId="10" fontId="9" fillId="5" borderId="6" xfId="5" applyNumberFormat="1" applyFont="1" applyFill="1" applyBorder="1" applyAlignment="1">
      <alignment horizontal="center" vertical="center"/>
    </xf>
    <xf numFmtId="165" fontId="6" fillId="0" borderId="1" xfId="1" applyNumberFormat="1" applyFont="1" applyBorder="1" applyAlignment="1">
      <alignment vertical="center"/>
    </xf>
    <xf numFmtId="165" fontId="8" fillId="0" borderId="0" xfId="1" applyNumberFormat="1" applyFont="1" applyBorder="1" applyAlignment="1"/>
    <xf numFmtId="165" fontId="9" fillId="0" borderId="2" xfId="1" applyNumberFormat="1" applyFont="1" applyBorder="1" applyAlignment="1">
      <alignment vertical="center"/>
    </xf>
    <xf numFmtId="165" fontId="6" fillId="3" borderId="1" xfId="1" applyNumberFormat="1" applyFont="1" applyFill="1" applyBorder="1" applyAlignment="1">
      <alignment vertical="center"/>
    </xf>
    <xf numFmtId="165" fontId="6" fillId="2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8" fillId="0" borderId="0" xfId="1" applyNumberFormat="1" applyFont="1" applyBorder="1" applyAlignment="1">
      <alignment horizontal="right"/>
    </xf>
    <xf numFmtId="166" fontId="8" fillId="0" borderId="0" xfId="1" applyNumberFormat="1" applyFont="1" applyBorder="1" applyAlignment="1"/>
    <xf numFmtId="166" fontId="9" fillId="0" borderId="2" xfId="1" applyNumberFormat="1" applyFont="1" applyBorder="1" applyAlignment="1">
      <alignment vertical="center"/>
    </xf>
    <xf numFmtId="166" fontId="0" fillId="0" borderId="0" xfId="1" applyNumberFormat="1" applyFont="1"/>
    <xf numFmtId="164" fontId="6" fillId="0" borderId="0" xfId="1" applyFont="1" applyFill="1" applyBorder="1" applyAlignment="1">
      <alignment vertical="center"/>
    </xf>
    <xf numFmtId="165" fontId="6" fillId="0" borderId="0" xfId="1" applyNumberFormat="1" applyFont="1" applyFill="1" applyBorder="1" applyAlignment="1">
      <alignment vertical="center"/>
    </xf>
    <xf numFmtId="166" fontId="6" fillId="0" borderId="0" xfId="1" applyNumberFormat="1" applyFont="1" applyFill="1" applyBorder="1" applyAlignment="1">
      <alignment vertical="center"/>
    </xf>
    <xf numFmtId="166" fontId="6" fillId="0" borderId="0" xfId="1" applyNumberFormat="1" applyFont="1" applyFill="1" applyBorder="1" applyAlignment="1">
      <alignment horizontal="center" vertical="center"/>
    </xf>
    <xf numFmtId="10" fontId="6" fillId="0" borderId="0" xfId="5" applyNumberFormat="1" applyFont="1" applyFill="1" applyBorder="1" applyAlignment="1">
      <alignment horizontal="center" vertical="center"/>
    </xf>
    <xf numFmtId="166" fontId="6" fillId="6" borderId="1" xfId="1" applyNumberFormat="1" applyFont="1" applyFill="1" applyBorder="1" applyAlignment="1">
      <alignment vertical="center"/>
    </xf>
    <xf numFmtId="166" fontId="6" fillId="6" borderId="1" xfId="1" applyNumberFormat="1" applyFont="1" applyFill="1" applyBorder="1" applyAlignment="1">
      <alignment horizontal="center" vertical="center"/>
    </xf>
    <xf numFmtId="164" fontId="6" fillId="6" borderId="1" xfId="1" applyFont="1" applyFill="1" applyBorder="1" applyAlignment="1">
      <alignment vertical="center"/>
    </xf>
    <xf numFmtId="165" fontId="6" fillId="6" borderId="1" xfId="1" applyNumberFormat="1" applyFont="1" applyFill="1" applyBorder="1" applyAlignment="1">
      <alignment vertical="center"/>
    </xf>
    <xf numFmtId="166" fontId="6" fillId="0" borderId="0" xfId="1" applyNumberFormat="1" applyFont="1" applyBorder="1" applyAlignment="1">
      <alignment horizontal="right" vertical="center"/>
    </xf>
    <xf numFmtId="166" fontId="6" fillId="0" borderId="0" xfId="1" applyNumberFormat="1" applyFont="1" applyBorder="1" applyAlignment="1">
      <alignment horizontal="center" vertical="center"/>
    </xf>
    <xf numFmtId="10" fontId="6" fillId="0" borderId="0" xfId="5" applyNumberFormat="1" applyFont="1" applyBorder="1" applyAlignment="1">
      <alignment horizontal="center" vertical="center"/>
    </xf>
    <xf numFmtId="0" fontId="6" fillId="0" borderId="0" xfId="1" applyNumberFormat="1" applyFont="1" applyBorder="1" applyAlignment="1">
      <alignment horizontal="center" vertical="center"/>
    </xf>
    <xf numFmtId="0" fontId="6" fillId="0" borderId="5" xfId="1" applyNumberFormat="1" applyFont="1" applyBorder="1" applyAlignment="1">
      <alignment horizontal="center" vertical="center"/>
    </xf>
    <xf numFmtId="0" fontId="11" fillId="2" borderId="1" xfId="4" applyFont="1" applyFill="1" applyBorder="1" applyAlignment="1">
      <alignment horizontal="center" vertical="center"/>
    </xf>
    <xf numFmtId="166" fontId="11" fillId="2" borderId="1" xfId="1" applyNumberFormat="1" applyFont="1" applyFill="1" applyBorder="1" applyAlignment="1">
      <alignment horizontal="center" vertical="center"/>
    </xf>
    <xf numFmtId="166" fontId="11" fillId="2" borderId="1" xfId="1" applyNumberFormat="1" applyFont="1" applyFill="1" applyBorder="1" applyAlignment="1">
      <alignment vertical="center"/>
    </xf>
    <xf numFmtId="166" fontId="11" fillId="2" borderId="1" xfId="5" applyNumberFormat="1" applyFont="1" applyFill="1" applyBorder="1" applyAlignment="1">
      <alignment horizontal="center" vertical="center"/>
    </xf>
    <xf numFmtId="0" fontId="11" fillId="4" borderId="1" xfId="4" applyFont="1" applyFill="1" applyBorder="1" applyAlignment="1">
      <alignment horizontal="center" vertical="center"/>
    </xf>
    <xf numFmtId="164" fontId="10" fillId="4" borderId="1" xfId="1" applyFont="1" applyFill="1" applyBorder="1" applyAlignment="1">
      <alignment horizontal="center" vertical="center"/>
    </xf>
    <xf numFmtId="166" fontId="10" fillId="4" borderId="1" xfId="1" applyNumberFormat="1" applyFont="1" applyFill="1" applyBorder="1" applyAlignment="1">
      <alignment horizontal="center" vertical="center"/>
    </xf>
    <xf numFmtId="0" fontId="11" fillId="2" borderId="7" xfId="4" applyFont="1" applyFill="1" applyBorder="1" applyAlignment="1">
      <alignment horizontal="center" vertical="center"/>
    </xf>
    <xf numFmtId="166" fontId="11" fillId="2" borderId="8" xfId="1" applyNumberFormat="1" applyFont="1" applyFill="1" applyBorder="1" applyAlignment="1">
      <alignment horizontal="center" vertical="center"/>
    </xf>
    <xf numFmtId="0" fontId="11" fillId="4" borderId="9" xfId="4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22" fontId="15" fillId="0" borderId="0" xfId="4" applyNumberFormat="1" applyFont="1" applyAlignment="1">
      <alignment horizontal="center"/>
    </xf>
    <xf numFmtId="38" fontId="16" fillId="0" borderId="0" xfId="4" applyNumberFormat="1" applyFont="1"/>
    <xf numFmtId="14" fontId="17" fillId="0" borderId="0" xfId="4" applyNumberFormat="1" applyFont="1" applyAlignment="1" applyProtection="1">
      <alignment horizontal="right"/>
      <protection locked="0"/>
    </xf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66" fontId="11" fillId="9" borderId="1" xfId="1" applyNumberFormat="1" applyFont="1" applyFill="1" applyBorder="1" applyAlignment="1">
      <alignment horizontal="center" vertical="center"/>
    </xf>
    <xf numFmtId="166" fontId="11" fillId="9" borderId="1" xfId="1" applyNumberFormat="1" applyFont="1" applyFill="1" applyBorder="1" applyAlignment="1">
      <alignment vertical="center"/>
    </xf>
    <xf numFmtId="166" fontId="11" fillId="9" borderId="1" xfId="5" applyNumberFormat="1" applyFont="1" applyFill="1" applyBorder="1" applyAlignment="1">
      <alignment horizontal="center" vertical="center"/>
    </xf>
    <xf numFmtId="166" fontId="6" fillId="2" borderId="1" xfId="5" applyNumberFormat="1" applyFont="1" applyFill="1" applyBorder="1" applyAlignment="1">
      <alignment horizontal="center" vertical="center"/>
    </xf>
    <xf numFmtId="165" fontId="12" fillId="4" borderId="1" xfId="1" applyNumberFormat="1" applyFont="1" applyFill="1" applyBorder="1" applyAlignment="1">
      <alignment horizontal="center" vertical="center" wrapText="1"/>
    </xf>
    <xf numFmtId="166" fontId="12" fillId="4" borderId="1" xfId="1" applyNumberFormat="1" applyFont="1" applyFill="1" applyBorder="1" applyAlignment="1">
      <alignment horizontal="center" vertical="center" wrapText="1"/>
    </xf>
    <xf numFmtId="3" fontId="12" fillId="4" borderId="1" xfId="4" applyNumberFormat="1" applyFont="1" applyFill="1" applyBorder="1" applyAlignment="1">
      <alignment horizontal="center" vertical="center" wrapText="1"/>
    </xf>
    <xf numFmtId="38" fontId="12" fillId="4" borderId="1" xfId="4" applyNumberFormat="1" applyFont="1" applyFill="1" applyBorder="1" applyAlignment="1">
      <alignment horizontal="center" vertical="center" wrapText="1"/>
    </xf>
    <xf numFmtId="0" fontId="11" fillId="9" borderId="1" xfId="4" applyFont="1" applyFill="1" applyBorder="1" applyAlignment="1">
      <alignment horizontal="center" vertical="center"/>
    </xf>
    <xf numFmtId="0" fontId="6" fillId="0" borderId="0" xfId="0" applyFont="1"/>
    <xf numFmtId="167" fontId="0" fillId="0" borderId="0" xfId="0" applyNumberFormat="1"/>
    <xf numFmtId="10" fontId="0" fillId="0" borderId="0" xfId="5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4" fontId="0" fillId="0" borderId="0" xfId="0" applyNumberFormat="1"/>
    <xf numFmtId="0" fontId="0" fillId="0" borderId="0" xfId="0" pivotButton="1"/>
    <xf numFmtId="3" fontId="0" fillId="0" borderId="0" xfId="0" applyNumberFormat="1"/>
    <xf numFmtId="0" fontId="19" fillId="11" borderId="21" xfId="0" applyFont="1" applyFill="1" applyBorder="1"/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11" borderId="0" xfId="0" applyFont="1" applyFill="1"/>
    <xf numFmtId="0" fontId="9" fillId="0" borderId="0" xfId="0" applyFont="1"/>
    <xf numFmtId="3" fontId="9" fillId="0" borderId="0" xfId="0" applyNumberFormat="1" applyFont="1"/>
    <xf numFmtId="167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/>
    <xf numFmtId="165" fontId="0" fillId="0" borderId="0" xfId="1" applyNumberFormat="1" applyFont="1" applyAlignment="1"/>
    <xf numFmtId="166" fontId="0" fillId="0" borderId="0" xfId="1" applyNumberFormat="1" applyFont="1" applyAlignmen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5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1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164" fontId="0" fillId="0" borderId="0" xfId="1" applyFont="1" applyAlignment="1">
      <alignment horizontal="center"/>
    </xf>
    <xf numFmtId="3" fontId="0" fillId="0" borderId="0" xfId="0" applyNumberFormat="1" applyAlignment="1">
      <alignment horizontal="center"/>
    </xf>
    <xf numFmtId="164" fontId="5" fillId="0" borderId="0" xfId="1" applyFont="1" applyAlignment="1">
      <alignment horizontal="center"/>
    </xf>
    <xf numFmtId="165" fontId="5" fillId="0" borderId="0" xfId="1" applyNumberFormat="1" applyFont="1" applyAlignment="1">
      <alignment horizontal="center"/>
    </xf>
    <xf numFmtId="0" fontId="3" fillId="0" borderId="0" xfId="15"/>
    <xf numFmtId="167" fontId="0" fillId="0" borderId="0" xfId="0" applyNumberFormat="1" applyAlignment="1">
      <alignment horizontal="left"/>
    </xf>
    <xf numFmtId="4" fontId="0" fillId="0" borderId="0" xfId="0" applyNumberFormat="1"/>
    <xf numFmtId="1" fontId="0" fillId="0" borderId="0" xfId="0" applyNumberFormat="1"/>
    <xf numFmtId="171" fontId="0" fillId="0" borderId="0" xfId="0" applyNumberFormat="1"/>
    <xf numFmtId="171" fontId="9" fillId="13" borderId="0" xfId="0" applyNumberFormat="1" applyFont="1" applyFill="1"/>
    <xf numFmtId="0" fontId="19" fillId="11" borderId="28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0" fillId="0" borderId="2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3" fontId="0" fillId="0" borderId="20" xfId="0" applyNumberFormat="1" applyBorder="1" applyAlignment="1">
      <alignment horizontal="center"/>
    </xf>
    <xf numFmtId="0" fontId="5" fillId="0" borderId="20" xfId="0" applyFont="1" applyBorder="1" applyAlignment="1">
      <alignment horizontal="left"/>
    </xf>
    <xf numFmtId="167" fontId="25" fillId="0" borderId="0" xfId="0" applyNumberFormat="1" applyFont="1" applyAlignment="1">
      <alignment horizontal="center"/>
    </xf>
    <xf numFmtId="167" fontId="25" fillId="0" borderId="20" xfId="0" applyNumberFormat="1" applyFont="1" applyBorder="1" applyAlignment="1">
      <alignment horizontal="center"/>
    </xf>
    <xf numFmtId="0" fontId="6" fillId="2" borderId="9" xfId="4" applyFill="1" applyBorder="1" applyAlignment="1">
      <alignment horizontal="center" vertical="center"/>
    </xf>
    <xf numFmtId="0" fontId="6" fillId="2" borderId="16" xfId="4" applyFill="1" applyBorder="1" applyAlignment="1">
      <alignment horizontal="center" vertical="center"/>
    </xf>
    <xf numFmtId="166" fontId="6" fillId="0" borderId="9" xfId="1" applyNumberFormat="1" applyFont="1" applyBorder="1" applyAlignment="1">
      <alignment horizontal="center" vertical="center"/>
    </xf>
    <xf numFmtId="166" fontId="6" fillId="0" borderId="16" xfId="1" applyNumberFormat="1" applyFont="1" applyBorder="1" applyAlignment="1">
      <alignment horizontal="center" vertical="center"/>
    </xf>
    <xf numFmtId="10" fontId="6" fillId="0" borderId="13" xfId="5" applyNumberFormat="1" applyFont="1" applyBorder="1" applyAlignment="1">
      <alignment horizontal="center" vertical="center"/>
    </xf>
    <xf numFmtId="10" fontId="6" fillId="0" borderId="14" xfId="5" applyNumberFormat="1" applyFont="1" applyBorder="1" applyAlignment="1">
      <alignment horizontal="center" vertical="center"/>
    </xf>
    <xf numFmtId="0" fontId="6" fillId="0" borderId="15" xfId="1" applyNumberFormat="1" applyFont="1" applyBorder="1" applyAlignment="1">
      <alignment horizontal="center" vertical="center"/>
    </xf>
    <xf numFmtId="0" fontId="6" fillId="0" borderId="16" xfId="1" applyNumberFormat="1" applyFont="1" applyBorder="1" applyAlignment="1">
      <alignment horizontal="center" vertical="center"/>
    </xf>
    <xf numFmtId="0" fontId="9" fillId="4" borderId="8" xfId="4" applyFont="1" applyFill="1" applyBorder="1" applyAlignment="1">
      <alignment horizontal="center" vertical="center"/>
    </xf>
    <xf numFmtId="0" fontId="9" fillId="4" borderId="1" xfId="4" applyFont="1" applyFill="1" applyBorder="1" applyAlignment="1">
      <alignment horizontal="center" vertical="center"/>
    </xf>
    <xf numFmtId="164" fontId="11" fillId="4" borderId="1" xfId="1" applyFont="1" applyFill="1" applyBorder="1" applyAlignment="1">
      <alignment horizontal="center" vertical="center"/>
    </xf>
    <xf numFmtId="164" fontId="6" fillId="4" borderId="1" xfId="1" applyFont="1" applyFill="1" applyBorder="1" applyAlignment="1">
      <alignment horizontal="center" vertical="center"/>
    </xf>
    <xf numFmtId="0" fontId="6" fillId="2" borderId="3" xfId="4" applyFill="1" applyBorder="1" applyAlignment="1">
      <alignment horizontal="center" vertical="center"/>
    </xf>
    <xf numFmtId="0" fontId="6" fillId="2" borderId="17" xfId="4" applyFill="1" applyBorder="1" applyAlignment="1">
      <alignment horizontal="center" vertical="center"/>
    </xf>
    <xf numFmtId="38" fontId="12" fillId="4" borderId="9" xfId="4" applyNumberFormat="1" applyFont="1" applyFill="1" applyBorder="1" applyAlignment="1">
      <alignment horizontal="center" vertical="center" wrapText="1"/>
    </xf>
    <xf numFmtId="38" fontId="12" fillId="4" borderId="16" xfId="4" applyNumberFormat="1" applyFont="1" applyFill="1" applyBorder="1" applyAlignment="1">
      <alignment horizontal="center" vertical="center"/>
    </xf>
    <xf numFmtId="38" fontId="12" fillId="4" borderId="16" xfId="4" applyNumberFormat="1" applyFont="1" applyFill="1" applyBorder="1" applyAlignment="1">
      <alignment horizontal="center" vertical="center" wrapText="1"/>
    </xf>
    <xf numFmtId="0" fontId="6" fillId="2" borderId="1" xfId="1" applyNumberFormat="1" applyFont="1" applyFill="1" applyBorder="1" applyAlignment="1">
      <alignment horizontal="center" vertical="center"/>
    </xf>
    <xf numFmtId="0" fontId="11" fillId="2" borderId="1" xfId="1" applyNumberFormat="1" applyFont="1" applyFill="1" applyBorder="1" applyAlignment="1">
      <alignment horizontal="center" vertical="center"/>
    </xf>
    <xf numFmtId="0" fontId="11" fillId="2" borderId="8" xfId="4" applyFont="1" applyFill="1" applyBorder="1" applyAlignment="1">
      <alignment horizontal="center" vertical="center"/>
    </xf>
    <xf numFmtId="0" fontId="11" fillId="10" borderId="1" xfId="4" applyFont="1" applyFill="1" applyBorder="1" applyAlignment="1">
      <alignment horizontal="center" vertical="center"/>
    </xf>
    <xf numFmtId="0" fontId="11" fillId="2" borderId="10" xfId="4" applyFont="1" applyFill="1" applyBorder="1" applyAlignment="1">
      <alignment horizontal="center" vertical="center"/>
    </xf>
    <xf numFmtId="0" fontId="11" fillId="2" borderId="11" xfId="4" applyFont="1" applyFill="1" applyBorder="1" applyAlignment="1">
      <alignment horizontal="center" vertical="center"/>
    </xf>
    <xf numFmtId="0" fontId="11" fillId="2" borderId="12" xfId="4" applyFont="1" applyFill="1" applyBorder="1" applyAlignment="1">
      <alignment horizontal="center" vertical="center"/>
    </xf>
    <xf numFmtId="0" fontId="11" fillId="9" borderId="8" xfId="4" applyFont="1" applyFill="1" applyBorder="1" applyAlignment="1">
      <alignment horizontal="center" vertical="center"/>
    </xf>
    <xf numFmtId="0" fontId="11" fillId="9" borderId="1" xfId="4" applyFont="1" applyFill="1" applyBorder="1" applyAlignment="1">
      <alignment horizontal="center" vertical="center"/>
    </xf>
    <xf numFmtId="0" fontId="6" fillId="3" borderId="3" xfId="4" applyFill="1" applyBorder="1" applyAlignment="1">
      <alignment horizontal="center" vertical="center"/>
    </xf>
    <xf numFmtId="0" fontId="6" fillId="3" borderId="17" xfId="4" applyFill="1" applyBorder="1" applyAlignment="1">
      <alignment horizontal="center" vertical="center"/>
    </xf>
    <xf numFmtId="0" fontId="6" fillId="3" borderId="9" xfId="4" applyFill="1" applyBorder="1" applyAlignment="1">
      <alignment horizontal="center" vertical="center"/>
    </xf>
    <xf numFmtId="0" fontId="6" fillId="3" borderId="16" xfId="4" applyFill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3" fontId="9" fillId="4" borderId="1" xfId="4" applyNumberFormat="1" applyFont="1" applyFill="1" applyBorder="1" applyAlignment="1">
      <alignment horizontal="center" vertical="center"/>
    </xf>
    <xf numFmtId="10" fontId="9" fillId="4" borderId="1" xfId="4" applyNumberFormat="1" applyFont="1" applyFill="1" applyBorder="1" applyAlignment="1">
      <alignment horizontal="center" vertical="center"/>
    </xf>
    <xf numFmtId="10" fontId="9" fillId="4" borderId="9" xfId="4" applyNumberFormat="1" applyFont="1" applyFill="1" applyBorder="1" applyAlignment="1">
      <alignment horizontal="center" vertical="center"/>
    </xf>
    <xf numFmtId="166" fontId="6" fillId="6" borderId="9" xfId="1" applyNumberFormat="1" applyFont="1" applyFill="1" applyBorder="1" applyAlignment="1">
      <alignment horizontal="center" vertical="center"/>
    </xf>
    <xf numFmtId="166" fontId="6" fillId="6" borderId="16" xfId="1" applyNumberFormat="1" applyFont="1" applyFill="1" applyBorder="1" applyAlignment="1">
      <alignment horizontal="center" vertical="center"/>
    </xf>
    <xf numFmtId="166" fontId="6" fillId="3" borderId="9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38" fontId="12" fillId="4" borderId="7" xfId="4" applyNumberFormat="1" applyFont="1" applyFill="1" applyBorder="1" applyAlignment="1">
      <alignment horizontal="center" vertical="center"/>
    </xf>
    <xf numFmtId="38" fontId="12" fillId="4" borderId="4" xfId="4" applyNumberFormat="1" applyFont="1" applyFill="1" applyBorder="1" applyAlignment="1">
      <alignment horizontal="center" vertical="center"/>
    </xf>
    <xf numFmtId="38" fontId="12" fillId="4" borderId="8" xfId="4" applyNumberFormat="1" applyFont="1" applyFill="1" applyBorder="1" applyAlignment="1">
      <alignment horizontal="center" vertical="center"/>
    </xf>
    <xf numFmtId="10" fontId="6" fillId="3" borderId="13" xfId="5" applyNumberFormat="1" applyFont="1" applyFill="1" applyBorder="1" applyAlignment="1">
      <alignment horizontal="center" vertical="center"/>
    </xf>
    <xf numFmtId="10" fontId="6" fillId="3" borderId="14" xfId="5" applyNumberFormat="1" applyFont="1" applyFill="1" applyBorder="1" applyAlignment="1">
      <alignment horizontal="center" vertical="center"/>
    </xf>
    <xf numFmtId="0" fontId="6" fillId="3" borderId="15" xfId="1" applyNumberFormat="1" applyFont="1" applyFill="1" applyBorder="1" applyAlignment="1">
      <alignment horizontal="center" vertical="center"/>
    </xf>
    <xf numFmtId="167" fontId="14" fillId="7" borderId="1" xfId="0" applyNumberFormat="1" applyFont="1" applyFill="1" applyBorder="1" applyAlignment="1">
      <alignment horizontal="center" vertical="center"/>
    </xf>
    <xf numFmtId="0" fontId="6" fillId="0" borderId="3" xfId="4" applyBorder="1" applyAlignment="1">
      <alignment horizontal="center" vertical="center"/>
    </xf>
    <xf numFmtId="0" fontId="6" fillId="0" borderId="5" xfId="4" applyBorder="1" applyAlignment="1">
      <alignment horizontal="center" vertical="center"/>
    </xf>
    <xf numFmtId="0" fontId="6" fillId="0" borderId="9" xfId="4" applyBorder="1" applyAlignment="1">
      <alignment horizontal="center" vertical="center"/>
    </xf>
    <xf numFmtId="0" fontId="6" fillId="0" borderId="15" xfId="4" applyBorder="1" applyAlignment="1">
      <alignment horizontal="center" vertical="center"/>
    </xf>
    <xf numFmtId="0" fontId="6" fillId="0" borderId="16" xfId="4" applyBorder="1" applyAlignment="1">
      <alignment horizontal="center" vertical="center"/>
    </xf>
    <xf numFmtId="14" fontId="17" fillId="8" borderId="18" xfId="4" applyNumberFormat="1" applyFont="1" applyFill="1" applyBorder="1" applyAlignment="1" applyProtection="1">
      <alignment horizontal="center"/>
      <protection locked="0"/>
    </xf>
    <xf numFmtId="10" fontId="6" fillId="3" borderId="9" xfId="5" applyNumberFormat="1" applyFont="1" applyFill="1" applyBorder="1" applyAlignment="1">
      <alignment horizontal="center" vertical="center"/>
    </xf>
    <xf numFmtId="10" fontId="6" fillId="3" borderId="16" xfId="5" applyNumberFormat="1" applyFont="1" applyFill="1" applyBorder="1" applyAlignment="1">
      <alignment horizontal="center" vertical="center"/>
    </xf>
    <xf numFmtId="0" fontId="6" fillId="3" borderId="9" xfId="1" applyNumberFormat="1" applyFont="1" applyFill="1" applyBorder="1" applyAlignment="1">
      <alignment horizontal="center" vertical="center"/>
    </xf>
    <xf numFmtId="0" fontId="6" fillId="3" borderId="16" xfId="1" applyNumberFormat="1" applyFont="1" applyFill="1" applyBorder="1" applyAlignment="1">
      <alignment horizontal="center" vertical="center"/>
    </xf>
    <xf numFmtId="0" fontId="6" fillId="0" borderId="17" xfId="4" applyBorder="1" applyAlignment="1">
      <alignment horizontal="center" vertical="center"/>
    </xf>
    <xf numFmtId="10" fontId="6" fillId="0" borderId="9" xfId="5" applyNumberFormat="1" applyFont="1" applyBorder="1" applyAlignment="1">
      <alignment horizontal="center" vertical="center"/>
    </xf>
    <xf numFmtId="10" fontId="6" fillId="0" borderId="16" xfId="5" applyNumberFormat="1" applyFont="1" applyBorder="1" applyAlignment="1">
      <alignment horizontal="center" vertical="center"/>
    </xf>
    <xf numFmtId="0" fontId="9" fillId="4" borderId="2" xfId="4" applyFont="1" applyFill="1" applyBorder="1" applyAlignment="1">
      <alignment horizontal="center" vertical="center"/>
    </xf>
    <xf numFmtId="0" fontId="9" fillId="4" borderId="3" xfId="4" applyFont="1" applyFill="1" applyBorder="1" applyAlignment="1">
      <alignment horizontal="center" vertical="center"/>
    </xf>
    <xf numFmtId="0" fontId="9" fillId="4" borderId="20" xfId="4" applyFont="1" applyFill="1" applyBorder="1" applyAlignment="1">
      <alignment horizontal="center" vertical="center"/>
    </xf>
    <xf numFmtId="0" fontId="9" fillId="4" borderId="17" xfId="4" applyFont="1" applyFill="1" applyBorder="1" applyAlignment="1">
      <alignment horizontal="center" vertical="center"/>
    </xf>
    <xf numFmtId="38" fontId="9" fillId="4" borderId="7" xfId="4" applyNumberFormat="1" applyFont="1" applyFill="1" applyBorder="1" applyAlignment="1">
      <alignment horizontal="center" vertical="center"/>
    </xf>
    <xf numFmtId="38" fontId="9" fillId="4" borderId="4" xfId="4" applyNumberFormat="1" applyFont="1" applyFill="1" applyBorder="1" applyAlignment="1">
      <alignment horizontal="center" vertical="center"/>
    </xf>
    <xf numFmtId="38" fontId="9" fillId="4" borderId="8" xfId="4" applyNumberFormat="1" applyFont="1" applyFill="1" applyBorder="1" applyAlignment="1">
      <alignment horizontal="center" vertical="center"/>
    </xf>
    <xf numFmtId="38" fontId="9" fillId="4" borderId="1" xfId="4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67" fontId="14" fillId="7" borderId="9" xfId="0" applyNumberFormat="1" applyFont="1" applyFill="1" applyBorder="1" applyAlignment="1">
      <alignment horizontal="center" vertical="center"/>
    </xf>
    <xf numFmtId="167" fontId="14" fillId="7" borderId="15" xfId="0" applyNumberFormat="1" applyFont="1" applyFill="1" applyBorder="1" applyAlignment="1">
      <alignment horizontal="center" vertical="center"/>
    </xf>
    <xf numFmtId="167" fontId="14" fillId="7" borderId="16" xfId="0" applyNumberFormat="1" applyFont="1" applyFill="1" applyBorder="1" applyAlignment="1">
      <alignment horizontal="center" vertical="center"/>
    </xf>
    <xf numFmtId="170" fontId="17" fillId="8" borderId="18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12" borderId="22" xfId="0" applyFont="1" applyFill="1" applyBorder="1" applyAlignment="1">
      <alignment horizontal="center"/>
    </xf>
    <xf numFmtId="0" fontId="23" fillId="12" borderId="23" xfId="0" applyFont="1" applyFill="1" applyBorder="1" applyAlignment="1">
      <alignment horizontal="center"/>
    </xf>
    <xf numFmtId="0" fontId="0" fillId="0" borderId="0" xfId="0" applyNumberFormat="1"/>
  </cellXfs>
  <cellStyles count="23">
    <cellStyle name="Comma" xfId="1" builtinId="3"/>
    <cellStyle name="Comma 2" xfId="2" xr:uid="{00000000-0005-0000-0000-000001000000}"/>
    <cellStyle name="Comma 2 2" xfId="13" xr:uid="{00000000-0005-0000-0000-000002000000}"/>
    <cellStyle name="Comma 2 3" xfId="9" xr:uid="{00000000-0005-0000-0000-000003000000}"/>
    <cellStyle name="Comma 3" xfId="8" xr:uid="{00000000-0005-0000-0000-000004000000}"/>
    <cellStyle name="Normal" xfId="0" builtinId="0"/>
    <cellStyle name="Normal 2" xfId="3" xr:uid="{00000000-0005-0000-0000-000006000000}"/>
    <cellStyle name="Normal 2 2" xfId="10" xr:uid="{00000000-0005-0000-0000-000007000000}"/>
    <cellStyle name="Normal 3" xfId="7" xr:uid="{00000000-0005-0000-0000-000008000000}"/>
    <cellStyle name="Normal 3 2" xfId="14" xr:uid="{00000000-0005-0000-0000-000009000000}"/>
    <cellStyle name="Normal 3 2 2" xfId="20" xr:uid="{00000000-0005-0000-0000-00000A000000}"/>
    <cellStyle name="Normal 4" xfId="6" xr:uid="{00000000-0005-0000-0000-00000B000000}"/>
    <cellStyle name="Normal 4 2" xfId="18" xr:uid="{00000000-0005-0000-0000-00000C000000}"/>
    <cellStyle name="Normal 5" xfId="15" xr:uid="{00000000-0005-0000-0000-00000D000000}"/>
    <cellStyle name="Normal 5 2" xfId="21" xr:uid="{00000000-0005-0000-0000-00000E000000}"/>
    <cellStyle name="Normal 6" xfId="17" xr:uid="{00000000-0005-0000-0000-00000F000000}"/>
    <cellStyle name="Normal_Sheet2" xfId="4" xr:uid="{00000000-0005-0000-0000-000010000000}"/>
    <cellStyle name="Percent" xfId="5" builtinId="5"/>
    <cellStyle name="Percent 2" xfId="11" xr:uid="{00000000-0005-0000-0000-000012000000}"/>
    <cellStyle name="Percent 3" xfId="12" xr:uid="{00000000-0005-0000-0000-000013000000}"/>
    <cellStyle name="Percent 3 2" xfId="19" xr:uid="{00000000-0005-0000-0000-000014000000}"/>
    <cellStyle name="Percent 4" xfId="16" xr:uid="{00000000-0005-0000-0000-000015000000}"/>
    <cellStyle name="Percent 4 2" xfId="22" xr:uid="{00000000-0005-0000-0000-000016000000}"/>
  </cellStyles>
  <dxfs count="16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  <alignment horizont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</dxf>
    <dxf>
      <alignment horizontal="center" readingOrder="0"/>
    </dxf>
    <dxf>
      <alignment horizontal="left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mmm\-dd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JAR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JAR HTL Output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Summary'!$A$2:$A$11</c:f>
              <c:strCache>
                <c:ptCount val="9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</c:strCache>
            </c:strRef>
          </c:cat>
          <c:val>
            <c:numRef>
              <c:f>'Graph Summary'!$B$2:$B$11</c:f>
              <c:numCache>
                <c:formatCode>#,##0</c:formatCode>
                <c:ptCount val="9"/>
                <c:pt idx="0">
                  <c:v>67205</c:v>
                </c:pt>
                <c:pt idx="1">
                  <c:v>86515</c:v>
                </c:pt>
                <c:pt idx="2">
                  <c:v>74307</c:v>
                </c:pt>
                <c:pt idx="3">
                  <c:v>71907</c:v>
                </c:pt>
                <c:pt idx="4">
                  <c:v>74671</c:v>
                </c:pt>
                <c:pt idx="5">
                  <c:v>89545</c:v>
                </c:pt>
                <c:pt idx="6">
                  <c:v>87670</c:v>
                </c:pt>
                <c:pt idx="7">
                  <c:v>84475</c:v>
                </c:pt>
                <c:pt idx="8">
                  <c:v>74132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5-4A94-A8B2-B77F04E8E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42048"/>
        <c:axId val="74052352"/>
      </c:lineChart>
      <c:catAx>
        <c:axId val="7344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4052352"/>
        <c:crosses val="autoZero"/>
        <c:auto val="1"/>
        <c:lblAlgn val="ctr"/>
        <c:lblOffset val="100"/>
        <c:noMultiLvlLbl val="0"/>
      </c:catAx>
      <c:valAx>
        <c:axId val="74052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34420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5122" name="ProdDay" descr="Dail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D6E1F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638175</xdr:colOff>
          <xdr:row>5</xdr:row>
          <xdr:rowOff>0</xdr:rowOff>
        </xdr:to>
        <xdr:sp macro="" textlink="">
          <xdr:nvSpPr>
            <xdr:cNvPr id="5123" name="ProdWk" descr="Dail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D6E1F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5127" name="ProdExpan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Expand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190500</xdr:colOff>
          <xdr:row>5</xdr:row>
          <xdr:rowOff>0</xdr:rowOff>
        </xdr:to>
        <xdr:sp macro="" textlink="">
          <xdr:nvSpPr>
            <xdr:cNvPr id="7169" name="HTLDay" descr="Dail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D6E1F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638175</xdr:colOff>
          <xdr:row>5</xdr:row>
          <xdr:rowOff>0</xdr:rowOff>
        </xdr:to>
        <xdr:sp macro="" textlink="">
          <xdr:nvSpPr>
            <xdr:cNvPr id="7170" name="HTLWk" descr="Daily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D6E1F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7171" name="HTLExpan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Expand Date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9524</xdr:rowOff>
    </xdr:from>
    <xdr:to>
      <xdr:col>18</xdr:col>
      <xdr:colOff>0</xdr:colOff>
      <xdr:row>22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yL" refreshedDate="45422.527166550928" createdVersion="4" refreshedVersion="8" minRefreshableVersion="3" recordCount="73" xr:uid="{00000000-000A-0000-FFFF-FFFF7B000000}">
  <cacheSource type="worksheet">
    <worksheetSource name="Prod"/>
  </cacheSource>
  <cacheFields count="52">
    <cacheField name="Date" numFmtId="167">
      <sharedItems containsSemiMixedTypes="0" containsNonDate="0" containsDate="1" containsString="0" minDate="2022-06-01T00:00:00" maxDate="2024-05-11T00:00:00" count="380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2-06-05T00:00:00" u="1"/>
        <d v="2022-09-27T00:00:00" u="1"/>
        <d v="2022-11-18T00:00:00" u="1"/>
        <d v="2023-01-18T00:00:00" u="1"/>
        <d v="2024-02-04T00:00:00" u="1"/>
        <d v="2022-07-10T00:00:00" u="1"/>
        <d v="2022-09-01T00:00:00" u="1"/>
        <d v="2022-12-23T00:00:00" u="1"/>
        <d v="2023-02-23T00:00:00" u="1"/>
        <d v="2024-03-09T00:00:00" u="1"/>
        <d v="2022-06-24T00:00:00" u="1"/>
        <d v="2022-08-15T00:00:00" u="1"/>
        <d v="2022-10-06T00:00:00" u="1"/>
        <d v="2024-02-23T00:00:00" u="1"/>
        <d v="2022-07-29T00:00:00" u="1"/>
        <d v="2022-09-20T00:00:00" u="1"/>
        <d v="2022-11-11T00:00:00" u="1"/>
        <d v="2023-01-11T00:00:00" u="1"/>
        <d v="2023-03-02T00:00:00" u="1"/>
        <d v="2024-03-28T00:00:00" u="1"/>
        <d v="2022-07-03T00:00:00" u="1"/>
        <d v="2022-10-25T00:00:00" u="1"/>
        <d v="2022-12-16T00:00:00" u="1"/>
        <d v="2023-02-16T00:00:00" u="1"/>
        <d v="2024-03-02T00:00:00" u="1"/>
        <d v="2022-06-17T00:00:00" u="1"/>
        <d v="2022-08-08T00:00:00" u="1"/>
        <d v="2022-11-30T00:00:00" u="1"/>
        <d v="2023-01-30T00:00:00" u="1"/>
        <d v="2024-02-16T00:00:00" u="1"/>
        <d v="2022-07-22T00:00:00" u="1"/>
        <d v="2022-09-13T00:00:00" u="1"/>
        <d v="2022-11-04T00:00:00" u="1"/>
        <d v="2023-01-04T00:00:00" u="1"/>
        <d v="2024-03-21T00:00:00" u="1"/>
        <d v="2022-08-27T00:00:00" u="1"/>
        <d v="2022-10-18T00:00:00" u="1"/>
        <d v="2022-12-09T00:00:00" u="1"/>
        <d v="2023-02-09T00:00:00" u="1"/>
        <d v="2022-06-10T00:00:00" u="1"/>
        <d v="2022-08-01T00:00:00" u="1"/>
        <d v="2022-11-23T00:00:00" u="1"/>
        <d v="2023-01-23T00:00:00" u="1"/>
        <d v="2024-02-09T00:00:00" u="1"/>
        <d v="2022-07-15T00:00:00" u="1"/>
        <d v="2022-09-06T00:00:00" u="1"/>
        <d v="2022-12-28T00:00:00" u="1"/>
        <d v="2023-02-28T00:00:00" u="1"/>
        <d v="2024-03-14T00:00:00" u="1"/>
        <d v="2022-06-29T00:00:00" u="1"/>
        <d v="2022-08-20T00:00:00" u="1"/>
        <d v="2022-10-11T00:00:00" u="1"/>
        <d v="2022-12-02T00:00:00" u="1"/>
        <d v="2023-02-02T00:00:00" u="1"/>
        <d v="2024-02-28T00:00:00" u="1"/>
        <d v="2022-06-03T00:00:00" u="1"/>
        <d v="2022-09-25T00:00:00" u="1"/>
        <d v="2022-11-16T00:00:00" u="1"/>
        <d v="2023-01-16T00:00:00" u="1"/>
        <d v="2024-02-02T00:00:00" u="1"/>
        <d v="2022-07-08T00:00:00" u="1"/>
        <d v="2022-10-30T00:00:00" u="1"/>
        <d v="2022-12-21T00:00:00" u="1"/>
        <d v="2023-02-21T00:00:00" u="1"/>
        <d v="2024-03-07T00:00:00" u="1"/>
        <d v="2022-06-22T00:00:00" u="1"/>
        <d v="2022-08-13T00:00:00" u="1"/>
        <d v="2022-10-04T00:00:00" u="1"/>
        <d v="2024-02-21T00:00:00" u="1"/>
        <d v="2022-07-27T00:00:00" u="1"/>
        <d v="2022-09-18T00:00:00" u="1"/>
        <d v="2022-11-09T00:00:00" u="1"/>
        <d v="2023-01-09T00:00:00" u="1"/>
        <d v="2024-03-26T00:00:00" u="1"/>
        <d v="2022-07-01T00:00:00" u="1"/>
        <d v="2022-10-23T00:00:00" u="1"/>
        <d v="2022-12-14T00:00:00" u="1"/>
        <d v="2023-02-14T00:00:00" u="1"/>
        <d v="2022-06-15T00:00:00" u="1"/>
        <d v="2022-08-06T00:00:00" u="1"/>
        <d v="2022-11-28T00:00:00" u="1"/>
        <d v="2023-01-28T00:00:00" u="1"/>
        <d v="2023-07-01T00:00:00" u="1"/>
        <d v="2024-02-14T00:00:00" u="1"/>
        <d v="2022-07-20T00:00:00" u="1"/>
        <d v="2022-09-11T00:00:00" u="1"/>
        <d v="2022-11-02T00:00:00" u="1"/>
        <d v="2023-01-02T00:00:00" u="1"/>
        <d v="2024-03-19T00:00:00" u="1"/>
        <d v="2022-08-25T00:00:00" u="1"/>
        <d v="2022-10-16T00:00:00" u="1"/>
        <d v="2022-12-07T00:00:00" u="1"/>
        <d v="2023-02-07T00:00:00" u="1"/>
        <d v="2022-06-08T00:00:00" u="1"/>
        <d v="2022-09-30T00:00:00" u="1"/>
        <d v="2022-11-21T00:00:00" u="1"/>
        <d v="2023-01-21T00:00:00" u="1"/>
        <d v="2024-02-07T00:00:00" u="1"/>
        <d v="2022-07-13T00:00:00" u="1"/>
        <d v="2022-09-04T00:00:00" u="1"/>
        <d v="2022-12-26T00:00:00" u="1"/>
        <d v="2023-02-26T00:00:00" u="1"/>
        <d v="2024-03-12T00:00:00" u="1"/>
        <d v="2022-06-27T00:00:00" u="1"/>
        <d v="2022-08-18T00:00:00" u="1"/>
        <d v="2022-10-09T00:00:00" u="1"/>
        <d v="2024-02-26T00:00:00" u="1"/>
        <d v="2022-06-01T00:00:00" u="1"/>
        <d v="2022-09-23T00:00:00" u="1"/>
        <d v="2022-11-14T00:00:00" u="1"/>
        <d v="2023-01-14T00:00:00" u="1"/>
        <d v="2024-03-31T00:00:00" u="1"/>
        <d v="2022-07-06T00:00:00" u="1"/>
        <d v="2022-10-28T00:00:00" u="1"/>
        <d v="2022-12-19T00:00:00" u="1"/>
        <d v="2023-02-19T00:00:00" u="1"/>
        <d v="2024-03-05T00:00:00" u="1"/>
        <d v="2022-06-20T00:00:00" u="1"/>
        <d v="2022-08-11T00:00:00" u="1"/>
        <d v="2022-10-02T00:00:00" u="1"/>
        <d v="2024-02-19T00:00:00" u="1"/>
        <d v="2022-07-25T00:00:00" u="1"/>
        <d v="2022-09-16T00:00:00" u="1"/>
        <d v="2022-11-07T00:00:00" u="1"/>
        <d v="2023-01-07T00:00:00" u="1"/>
        <d v="2024-03-24T00:00:00" u="1"/>
        <d v="2022-08-30T00:00:00" u="1"/>
        <d v="2022-10-21T00:00:00" u="1"/>
        <d v="2022-12-12T00:00:00" u="1"/>
        <d v="2023-02-12T00:00:00" u="1"/>
        <d v="2022-06-13T00:00:00" u="1"/>
        <d v="2022-08-04T00:00:00" u="1"/>
        <d v="2022-11-26T00:00:00" u="1"/>
        <d v="2023-01-26T00:00:00" u="1"/>
        <d v="2024-02-12T00:00:00" u="1"/>
        <d v="2022-07-18T00:00:00" u="1"/>
        <d v="2022-09-09T00:00:00" u="1"/>
        <d v="2024-03-17T00:00:00" u="1"/>
        <d v="2022-08-23T00:00:00" u="1"/>
        <d v="2022-10-14T00:00:00" u="1"/>
        <d v="2022-12-05T00:00:00" u="1"/>
        <d v="2023-02-05T00:00:00" u="1"/>
        <d v="2022-06-06T00:00:00" u="1"/>
        <d v="2022-09-28T00:00:00" u="1"/>
        <d v="2022-11-19T00:00:00" u="1"/>
        <d v="2023-01-19T00:00:00" u="1"/>
        <d v="2023-05-01T00:00:00" u="1"/>
        <d v="2024-02-05T00:00:00" u="1"/>
        <d v="2022-07-11T00:00:00" u="1"/>
        <d v="2022-09-02T00:00:00" u="1"/>
        <d v="2022-12-24T00:00:00" u="1"/>
        <d v="2023-02-24T00:00:00" u="1"/>
        <d v="2024-03-10T00:00:00" u="1"/>
        <d v="2022-06-25T00:00:00" u="1"/>
        <d v="2022-08-16T00:00:00" u="1"/>
        <d v="2022-10-07T00:00:00" u="1"/>
        <d v="2024-02-24T00:00:00" u="1"/>
        <d v="2022-07-30T00:00:00" u="1"/>
        <d v="2022-09-21T00:00:00" u="1"/>
        <d v="2022-11-12T00:00:00" u="1"/>
        <d v="2023-01-12T00:00:00" u="1"/>
        <d v="2024-03-29T00:00:00" u="1"/>
        <d v="2022-07-04T00:00:00" u="1"/>
        <d v="2022-10-26T00:00:00" u="1"/>
        <d v="2022-12-17T00:00:00" u="1"/>
        <d v="2023-02-17T00:00:00" u="1"/>
        <d v="2024-03-03T00:00:00" u="1"/>
        <d v="2022-06-18T00:00:00" u="1"/>
        <d v="2022-08-09T00:00:00" u="1"/>
        <d v="2023-01-31T00:00:00" u="1"/>
        <d v="2024-02-17T00:00:00" u="1"/>
        <d v="2022-07-23T00:00:00" u="1"/>
        <d v="2022-09-14T00:00:00" u="1"/>
        <d v="2022-11-05T00:00:00" u="1"/>
        <d v="2023-01-05T00:00:00" u="1"/>
        <d v="2024-03-22T00:00:00" u="1"/>
        <d v="2022-08-28T00:00:00" u="1"/>
        <d v="2022-10-19T00:00:00" u="1"/>
        <d v="2022-12-10T00:00:00" u="1"/>
        <d v="2023-02-10T00:00:00" u="1"/>
        <d v="2023-04-01T00:00:00" u="1"/>
        <d v="2022-06-11T00:00:00" u="1"/>
        <d v="2022-08-02T00:00:00" u="1"/>
        <d v="2022-11-24T00:00:00" u="1"/>
        <d v="2023-01-24T00:00:00" u="1"/>
        <d v="2024-02-10T00:00:00" u="1"/>
        <d v="2022-07-16T00:00:00" u="1"/>
        <d v="2022-09-07T00:00:00" u="1"/>
        <d v="2022-12-29T00:00:00" u="1"/>
        <d v="2024-03-15T00:00:00" u="1"/>
        <d v="2022-06-30T00:00:00" u="1"/>
        <d v="2022-08-21T00:00:00" u="1"/>
        <d v="2022-10-12T00:00:00" u="1"/>
        <d v="2022-12-03T00:00:00" u="1"/>
        <d v="2023-02-03T00:00:00" u="1"/>
        <d v="2024-02-29T00:00:00" u="1"/>
        <d v="2022-06-04T00:00:00" u="1"/>
        <d v="2022-09-26T00:00:00" u="1"/>
        <d v="2022-11-17T00:00:00" u="1"/>
        <d v="2023-01-17T00:00:00" u="1"/>
        <d v="2024-02-03T00:00:00" u="1"/>
        <d v="2022-07-09T00:00:00" u="1"/>
        <d v="2022-10-31T00:00:00" u="1"/>
        <d v="2022-12-22T00:00:00" u="1"/>
        <d v="2023-02-22T00:00:00" u="1"/>
        <d v="2024-03-08T00:00:00" u="1"/>
        <d v="2022-06-23T00:00:00" u="1"/>
        <d v="2022-08-14T00:00:00" u="1"/>
        <d v="2022-10-05T00:00:00" u="1"/>
        <d v="2024-02-22T00:00:00" u="1"/>
        <d v="2022-07-28T00:00:00" u="1"/>
        <d v="2022-09-19T00:00:00" u="1"/>
        <d v="2022-11-10T00:00:00" u="1"/>
        <d v="2023-01-10T00:00:00" u="1"/>
        <d v="2023-03-01T00:00:00" u="1"/>
        <d v="2024-03-27T00:00:00" u="1"/>
        <d v="2022-07-02T00:00:00" u="1"/>
        <d v="2022-10-24T00:00:00" u="1"/>
        <d v="2022-12-15T00:00:00" u="1"/>
        <d v="2023-02-15T00:00:00" u="1"/>
        <d v="2024-03-01T00:00:00" u="1"/>
        <d v="2022-06-16T00:00:00" u="1"/>
        <d v="2022-08-07T00:00:00" u="1"/>
        <d v="2022-11-29T00:00:00" u="1"/>
        <d v="2023-01-29T00:00:00" u="1"/>
        <d v="2023-07-02T00:00:00" u="1"/>
        <d v="2024-02-15T00:00:00" u="1"/>
        <d v="2022-07-21T00:00:00" u="1"/>
        <d v="2022-09-12T00:00:00" u="1"/>
        <d v="2022-11-03T00:00:00" u="1"/>
        <d v="2023-01-03T00:00:00" u="1"/>
        <d v="2024-03-20T00:00:00" u="1"/>
        <d v="2022-08-26T00:00:00" u="1"/>
        <d v="2022-10-17T00:00:00" u="1"/>
        <d v="2022-12-08T00:00:00" u="1"/>
        <d v="2023-02-08T00:00:00" u="1"/>
        <d v="2022-06-09T00:00:00" u="1"/>
        <d v="2022-11-22T00:00:00" u="1"/>
        <d v="2023-01-22T00:00:00" u="1"/>
        <d v="2024-02-08T00:00:00" u="1"/>
        <d v="2022-07-14T00:00:00" u="1"/>
        <d v="2022-09-05T00:00:00" u="1"/>
        <d v="2022-12-27T00:00:00" u="1"/>
        <d v="2023-02-27T00:00:00" u="1"/>
        <d v="2024-03-13T00:00:00" u="1"/>
        <d v="2022-06-28T00:00:00" u="1"/>
        <d v="2022-08-19T00:00:00" u="1"/>
        <d v="2022-10-10T00:00:00" u="1"/>
        <d v="2022-12-01T00:00:00" u="1"/>
        <d v="2023-02-01T00:00:00" u="1"/>
        <d v="2024-02-27T00:00:00" u="1"/>
        <d v="2022-06-02T00:00:00" u="1"/>
        <d v="2022-09-24T00:00:00" u="1"/>
        <d v="2022-11-15T00:00:00" u="1"/>
        <d v="2023-01-15T00:00:00" u="1"/>
        <d v="2024-02-01T00:00:00" u="1"/>
        <d v="2022-07-07T00:00:00" u="1"/>
        <d v="2022-10-29T00:00:00" u="1"/>
        <d v="2022-12-20T00:00:00" u="1"/>
        <d v="2023-02-20T00:00:00" u="1"/>
        <d v="2024-03-06T00:00:00" u="1"/>
        <d v="2022-06-21T00:00:00" u="1"/>
        <d v="2022-08-12T00:00:00" u="1"/>
        <d v="2022-10-03T00:00:00" u="1"/>
        <d v="2024-02-20T00:00:00" u="1"/>
        <d v="2022-07-26T00:00:00" u="1"/>
        <d v="2022-09-17T00:00:00" u="1"/>
        <d v="2022-11-08T00:00:00" u="1"/>
        <d v="2023-01-08T00:00:00" u="1"/>
        <d v="2024-03-25T00:00:00" u="1"/>
        <d v="2022-08-31T00:00:00" u="1"/>
        <d v="2022-10-22T00:00:00" u="1"/>
        <d v="2022-12-13T00:00:00" u="1"/>
        <d v="2023-02-13T00:00:00" u="1"/>
        <d v="2022-06-14T00:00:00" u="1"/>
        <d v="2022-08-05T00:00:00" u="1"/>
        <d v="2022-11-27T00:00:00" u="1"/>
        <d v="2023-01-27T00:00:00" u="1"/>
        <d v="2024-02-13T00:00:00" u="1"/>
        <d v="2022-07-19T00:00:00" u="1"/>
        <d v="2022-09-10T00:00:00" u="1"/>
        <d v="2022-11-01T00:00:00" u="1"/>
        <d v="2023-01-01T00:00:00" u="1"/>
        <d v="2024-03-18T00:00:00" u="1"/>
        <d v="2022-08-24T00:00:00" u="1"/>
        <d v="2022-10-15T00:00:00" u="1"/>
        <d v="2022-12-06T00:00:00" u="1"/>
        <d v="2023-02-06T00:00:00" u="1"/>
        <d v="2022-06-07T00:00:00" u="1"/>
        <d v="2022-09-29T00:00:00" u="1"/>
        <d v="2022-11-20T00:00:00" u="1"/>
        <d v="2023-01-20T00:00:00" u="1"/>
        <d v="2023-05-02T00:00:00" u="1"/>
        <d v="2024-02-06T00:00:00" u="1"/>
        <d v="2022-07-12T00:00:00" u="1"/>
        <d v="2022-09-03T00:00:00" u="1"/>
        <d v="2022-12-25T00:00:00" u="1"/>
        <d v="2023-02-25T00:00:00" u="1"/>
        <d v="2024-03-11T00:00:00" u="1"/>
        <d v="2022-06-26T00:00:00" u="1"/>
        <d v="2022-08-17T00:00:00" u="1"/>
        <d v="2022-10-08T00:00:00" u="1"/>
        <d v="2024-02-25T00:00:00" u="1"/>
        <d v="2022-07-31T00:00:00" u="1"/>
        <d v="2022-09-22T00:00:00" u="1"/>
        <d v="2022-11-13T00:00:00" u="1"/>
        <d v="2023-01-13T00:00:00" u="1"/>
        <d v="2024-03-30T00:00:00" u="1"/>
        <d v="2022-07-05T00:00:00" u="1"/>
        <d v="2022-10-27T00:00:00" u="1"/>
        <d v="2022-12-18T00:00:00" u="1"/>
        <d v="2023-02-18T00:00:00" u="1"/>
        <d v="2024-03-04T00:00:00" u="1"/>
        <d v="2022-06-19T00:00:00" u="1"/>
        <d v="2022-08-10T00:00:00" u="1"/>
        <d v="2022-10-01T00:00:00" u="1"/>
        <d v="2024-02-18T00:00:00" u="1"/>
        <d v="2022-07-24T00:00:00" u="1"/>
        <d v="2022-09-15T00:00:00" u="1"/>
        <d v="2022-11-06T00:00:00" u="1"/>
        <d v="2023-01-06T00:00:00" u="1"/>
        <d v="2024-03-23T00:00:00" u="1"/>
        <d v="2022-08-29T00:00:00" u="1"/>
        <d v="2022-10-20T00:00:00" u="1"/>
        <d v="2022-12-11T00:00:00" u="1"/>
        <d v="2023-02-11T00:00:00" u="1"/>
        <d v="2023-04-02T00:00:00" u="1"/>
        <d v="2022-06-12T00:00:00" u="1"/>
        <d v="2022-08-03T00:00:00" u="1"/>
        <d v="2022-11-25T00:00:00" u="1"/>
        <d v="2023-01-25T00:00:00" u="1"/>
        <d v="2024-02-11T00:00:00" u="1"/>
        <d v="2022-07-17T00:00:00" u="1"/>
        <d v="2022-09-08T00:00:00" u="1"/>
        <d v="2022-12-30T00:00:00" u="1"/>
        <d v="2024-03-16T00:00:00" u="1"/>
        <d v="2022-08-22T00:00:00" u="1"/>
        <d v="2022-10-13T00:00:00" u="1"/>
        <d v="2022-12-04T00:00:00" u="1"/>
        <d v="2023-02-04T00:00:00" u="1"/>
      </sharedItems>
    </cacheField>
    <cacheField name="LineNo" numFmtId="0">
      <sharedItems count="7">
        <s v="02A"/>
        <s v="03A"/>
        <s v="04A"/>
        <s v="05A"/>
        <s v="06A"/>
        <s v="07A"/>
        <s v="34A"/>
      </sharedItems>
    </cacheField>
    <cacheField name="MoldNo" numFmtId="0">
      <sharedItems containsBlank="1" count="9">
        <s v="JAR-007B"/>
        <s v="JAR-014"/>
        <s v="JAR-030A"/>
        <s v="JAB-014B"/>
        <s v="JAB-014C"/>
        <s v="JAB-050A"/>
        <s v="JAB-02"/>
        <s v="JAR-007A" u="1"/>
        <m u="1"/>
      </sharedItems>
    </cacheField>
    <cacheField name="Index" numFmtId="0">
      <sharedItems containsString="0" containsBlank="1" containsNumber="1" containsInteger="1" minValue="25508" maxValue="27423"/>
    </cacheField>
    <cacheField name="Color" numFmtId="0">
      <sharedItems containsBlank="1"/>
    </cacheField>
    <cacheField name="Resin" numFmtId="0">
      <sharedItems/>
    </cacheField>
    <cacheField name="Status" numFmtId="0">
      <sharedItems/>
    </cacheField>
    <cacheField name="S1Cycle" numFmtId="164">
      <sharedItems containsSemiMixedTypes="0" containsString="0" containsNumber="1" minValue="0" maxValue="57.3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745"/>
    </cacheField>
    <cacheField name="S1Cavity" numFmtId="166">
      <sharedItems containsSemiMixedTypes="0" containsString="0" containsNumber="1" containsInteger="1" minValue="0" maxValue="12"/>
    </cacheField>
    <cacheField name="S1Qty" numFmtId="166">
      <sharedItems containsSemiMixedTypes="0" containsString="0" containsNumber="1" containsInteger="1" minValue="0" maxValue="8932"/>
    </cacheField>
    <cacheField name="S1Dft" numFmtId="0">
      <sharedItems containsSemiMixedTypes="0" containsString="0" containsNumber="1" containsInteger="1" minValue="0" maxValue="200"/>
    </cacheField>
    <cacheField name="S2Cycle" numFmtId="164">
      <sharedItems containsSemiMixedTypes="0" containsString="0" containsNumber="1" minValue="0" maxValue="57.3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708"/>
    </cacheField>
    <cacheField name="S2Cavity" numFmtId="166">
      <sharedItems containsSemiMixedTypes="0" containsString="0" containsNumber="1" containsInteger="1" minValue="0" maxValue="12"/>
    </cacheField>
    <cacheField name="S2Qty" numFmtId="166">
      <sharedItems containsSemiMixedTypes="0" containsString="0" containsNumber="1" containsInteger="1" minValue="0" maxValue="8495"/>
    </cacheField>
    <cacheField name="S2Dft" numFmtId="0">
      <sharedItems containsSemiMixedTypes="0" containsString="0" containsNumber="1" containsInteger="1" minValue="0" maxValue="30"/>
    </cacheField>
    <cacheField name="S3Cycle" numFmtId="164">
      <sharedItems containsSemiMixedTypes="0" containsString="0" containsNumber="1" minValue="0" maxValue="57.6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747"/>
    </cacheField>
    <cacheField name="S3Cavity" numFmtId="166">
      <sharedItems containsSemiMixedTypes="0" containsString="0" containsNumber="1" containsInteger="1" minValue="0" maxValue="12"/>
    </cacheField>
    <cacheField name="S3Qty" numFmtId="166">
      <sharedItems containsSemiMixedTypes="0" containsString="0" containsNumber="1" containsInteger="1" minValue="0" maxValue="8963"/>
    </cacheField>
    <cacheField name="S3Dft" numFmtId="0">
      <sharedItems containsSemiMixedTypes="0" containsString="0" containsNumber="1" containsInteger="1" minValue="0" maxValue="50"/>
    </cacheField>
    <cacheField name="Total" numFmtId="166">
      <sharedItems containsSemiMixedTypes="0" containsString="0" containsNumber="1" containsInteger="1" minValue="0" maxValue="25100"/>
    </cacheField>
    <cacheField name="TotalDft" numFmtId="166">
      <sharedItems containsSemiMixedTypes="0" containsString="0" containsNumber="1" containsInteger="1" minValue="0" maxValue="203"/>
    </cacheField>
    <cacheField name="DftRt" numFmtId="10">
      <sharedItems containsSemiMixedTypes="0" containsString="0" containsNumber="1" minValue="0" maxValue="2.4205030849549121E-2"/>
    </cacheField>
    <cacheField name="Remarks" numFmtId="0">
      <sharedItems containsBlank="1"/>
    </cacheField>
    <cacheField name="S1Mold" numFmtId="166">
      <sharedItems containsSemiMixedTypes="0" containsString="0" containsNumber="1" containsInteger="1" minValue="0" maxValue="200"/>
    </cacheField>
    <cacheField name="S2Mold" numFmtId="166">
      <sharedItems containsSemiMixedTypes="0" containsString="0" containsNumber="1" containsInteger="1" minValue="0" maxValue="30"/>
    </cacheField>
    <cacheField name="S3Mold" numFmtId="166">
      <sharedItems containsSemiMixedTypes="0" containsString="0" containsNumber="1" containsInteger="1" minValue="0" maxValue="50"/>
    </cacheField>
    <cacheField name="S1Dmg" numFmtId="166">
      <sharedItems containsSemiMixedTypes="0" containsString="0" containsNumber="1" containsInteger="1" minValue="0" maxValue="0"/>
    </cacheField>
    <cacheField name="S2Dmg" numFmtId="166">
      <sharedItems containsSemiMixedTypes="0" containsString="0" containsNumber="1" containsInteger="1" minValue="0" maxValue="0"/>
    </cacheField>
    <cacheField name="S3Dmg" numFmtId="166">
      <sharedItems containsSemiMixedTypes="0" containsString="0" containsNumber="1" containsInteger="1" minValue="0" maxValue="0"/>
    </cacheField>
    <cacheField name="S1DisclrSpt" numFmtId="166">
      <sharedItems containsSemiMixedTypes="0" containsString="0" containsNumber="1" containsInteger="1" minValue="0" maxValue="0"/>
    </cacheField>
    <cacheField name="S2DisclrSpt" numFmtId="166">
      <sharedItems containsSemiMixedTypes="0" containsString="0" containsNumber="1" containsInteger="1" minValue="0" maxValue="0"/>
    </cacheField>
    <cacheField name="S3DisclrSpt" numFmtId="166">
      <sharedItems containsSemiMixedTypes="0" containsString="0" containsNumber="1" containsInteger="1" minValue="0" maxValue="0"/>
    </cacheField>
    <cacheField name="S1%" numFmtId="168">
      <sharedItems containsSemiMixedTypes="0" containsString="0" containsNumber="1" minValue="0" maxValue="1.0818020833333333"/>
    </cacheField>
    <cacheField name="S2%" numFmtId="168">
      <sharedItems containsSemiMixedTypes="0" containsString="0" containsNumber="1" minValue="0" maxValue="1.079725925925926"/>
    </cacheField>
    <cacheField name="S3%" numFmtId="168">
      <sharedItems containsSemiMixedTypes="0" containsString="0" containsNumber="1" minValue="0" maxValue="1.056"/>
    </cacheField>
    <cacheField name="Daily%" numFmtId="168">
      <sharedItems containsSemiMixedTypes="0" containsString="0" containsNumber="1" minValue="0" maxValue="1.0682977083333332"/>
    </cacheField>
    <cacheField name="HrStrtCls" numFmtId="164">
      <sharedItems containsSemiMixedTypes="0" containsString="0" containsNumber="1" minValue="0" maxValue="2"/>
    </cacheField>
    <cacheField name="HrMaint" numFmtId="164">
      <sharedItems containsString="0" containsBlank="1" containsNumber="1" minValue="0" maxValue="2"/>
    </cacheField>
    <cacheField name="HrSample" numFmtId="164">
      <sharedItems containsSemiMixedTypes="0" containsString="0" containsNumber="1" containsInteger="1" minValue="0" maxValue="0"/>
    </cacheField>
    <cacheField name="S1CycleNotZero" numFmtId="164">
      <sharedItems containsSemiMixedTypes="0" containsString="0" containsNumber="1" containsInteger="1" minValue="0" maxValue="1"/>
    </cacheField>
    <cacheField name="S2CycleNotZero" numFmtId="164">
      <sharedItems containsSemiMixedTypes="0" containsString="0" containsNumber="1" containsInteger="1" minValue="0" maxValue="1"/>
    </cacheField>
    <cacheField name="S3CycleNotZero" numFmtId="164">
      <sharedItems containsSemiMixedTypes="0" containsString="0" containsNumber="1" containsInteger="1" minValue="0" maxValue="1"/>
    </cacheField>
    <cacheField name="Cavity" numFmtId="164">
      <sharedItems containsSemiMixedTypes="0" containsString="0" containsNumber="1" containsInteger="1" minValue="0" maxValue="12"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yL" refreshedDate="45422.527167129629" createdVersion="4" refreshedVersion="8" minRefreshableVersion="3" recordCount="60" xr:uid="{00000000-000A-0000-FFFF-FFFF8A000000}">
  <cacheSource type="worksheet">
    <worksheetSource name="HTL"/>
  </cacheSource>
  <cacheFields count="61">
    <cacheField name="Date" numFmtId="167">
      <sharedItems containsSemiMixedTypes="0" containsNonDate="0" containsDate="1" containsString="0" minDate="2022-06-01T00:00:00" maxDate="2024-05-11T00:00:00" count="380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2-06-05T00:00:00" u="1"/>
        <d v="2022-09-27T00:00:00" u="1"/>
        <d v="2022-11-18T00:00:00" u="1"/>
        <d v="2023-01-18T00:00:00" u="1"/>
        <d v="2024-02-04T00:00:00" u="1"/>
        <d v="2022-07-10T00:00:00" u="1"/>
        <d v="2022-09-01T00:00:00" u="1"/>
        <d v="2022-12-23T00:00:00" u="1"/>
        <d v="2023-02-23T00:00:00" u="1"/>
        <d v="2024-03-09T00:00:00" u="1"/>
        <d v="2022-06-24T00:00:00" u="1"/>
        <d v="2022-08-15T00:00:00" u="1"/>
        <d v="2022-10-06T00:00:00" u="1"/>
        <d v="2024-02-23T00:00:00" u="1"/>
        <d v="2022-07-29T00:00:00" u="1"/>
        <d v="2022-09-20T00:00:00" u="1"/>
        <d v="2022-11-11T00:00:00" u="1"/>
        <d v="2023-01-11T00:00:00" u="1"/>
        <d v="2023-03-02T00:00:00" u="1"/>
        <d v="2024-03-28T00:00:00" u="1"/>
        <d v="2022-07-03T00:00:00" u="1"/>
        <d v="2022-10-25T00:00:00" u="1"/>
        <d v="2022-12-16T00:00:00" u="1"/>
        <d v="2023-02-16T00:00:00" u="1"/>
        <d v="2024-03-02T00:00:00" u="1"/>
        <d v="2022-06-17T00:00:00" u="1"/>
        <d v="2022-08-08T00:00:00" u="1"/>
        <d v="2022-11-30T00:00:00" u="1"/>
        <d v="2023-01-30T00:00:00" u="1"/>
        <d v="2024-02-16T00:00:00" u="1"/>
        <d v="2022-07-22T00:00:00" u="1"/>
        <d v="2022-09-13T00:00:00" u="1"/>
        <d v="2022-11-04T00:00:00" u="1"/>
        <d v="2023-01-04T00:00:00" u="1"/>
        <d v="2024-03-21T00:00:00" u="1"/>
        <d v="2022-08-27T00:00:00" u="1"/>
        <d v="2022-10-18T00:00:00" u="1"/>
        <d v="2022-12-09T00:00:00" u="1"/>
        <d v="2023-02-09T00:00:00" u="1"/>
        <d v="2022-06-10T00:00:00" u="1"/>
        <d v="2022-08-01T00:00:00" u="1"/>
        <d v="2022-11-23T00:00:00" u="1"/>
        <d v="2023-01-23T00:00:00" u="1"/>
        <d v="2024-02-09T00:00:00" u="1"/>
        <d v="2022-07-15T00:00:00" u="1"/>
        <d v="2022-09-06T00:00:00" u="1"/>
        <d v="2022-12-28T00:00:00" u="1"/>
        <d v="2023-02-28T00:00:00" u="1"/>
        <d v="2024-03-14T00:00:00" u="1"/>
        <d v="2022-06-29T00:00:00" u="1"/>
        <d v="2022-08-20T00:00:00" u="1"/>
        <d v="2022-10-11T00:00:00" u="1"/>
        <d v="2022-12-02T00:00:00" u="1"/>
        <d v="2023-02-02T00:00:00" u="1"/>
        <d v="2024-02-28T00:00:00" u="1"/>
        <d v="2022-06-03T00:00:00" u="1"/>
        <d v="2022-09-25T00:00:00" u="1"/>
        <d v="2022-11-16T00:00:00" u="1"/>
        <d v="2023-01-16T00:00:00" u="1"/>
        <d v="2024-02-02T00:00:00" u="1"/>
        <d v="2022-07-08T00:00:00" u="1"/>
        <d v="2022-10-30T00:00:00" u="1"/>
        <d v="2022-12-21T00:00:00" u="1"/>
        <d v="2023-02-21T00:00:00" u="1"/>
        <d v="2024-03-07T00:00:00" u="1"/>
        <d v="2022-06-22T00:00:00" u="1"/>
        <d v="2022-08-13T00:00:00" u="1"/>
        <d v="2022-10-04T00:00:00" u="1"/>
        <d v="2024-02-21T00:00:00" u="1"/>
        <d v="2022-07-27T00:00:00" u="1"/>
        <d v="2022-09-18T00:00:00" u="1"/>
        <d v="2022-11-09T00:00:00" u="1"/>
        <d v="2023-01-09T00:00:00" u="1"/>
        <d v="2024-03-26T00:00:00" u="1"/>
        <d v="2022-07-01T00:00:00" u="1"/>
        <d v="2022-10-23T00:00:00" u="1"/>
        <d v="2022-12-14T00:00:00" u="1"/>
        <d v="2023-02-14T00:00:00" u="1"/>
        <d v="2022-06-15T00:00:00" u="1"/>
        <d v="2022-08-06T00:00:00" u="1"/>
        <d v="2022-11-28T00:00:00" u="1"/>
        <d v="2023-01-28T00:00:00" u="1"/>
        <d v="2023-07-01T00:00:00" u="1"/>
        <d v="2024-02-14T00:00:00" u="1"/>
        <d v="2022-07-20T00:00:00" u="1"/>
        <d v="2022-09-11T00:00:00" u="1"/>
        <d v="2022-11-02T00:00:00" u="1"/>
        <d v="2023-01-02T00:00:00" u="1"/>
        <d v="2024-03-19T00:00:00" u="1"/>
        <d v="2022-08-25T00:00:00" u="1"/>
        <d v="2022-10-16T00:00:00" u="1"/>
        <d v="2022-12-07T00:00:00" u="1"/>
        <d v="2023-02-07T00:00:00" u="1"/>
        <d v="2022-06-08T00:00:00" u="1"/>
        <d v="2022-09-30T00:00:00" u="1"/>
        <d v="2022-11-21T00:00:00" u="1"/>
        <d v="2023-01-21T00:00:00" u="1"/>
        <d v="2024-02-07T00:00:00" u="1"/>
        <d v="2022-07-13T00:00:00" u="1"/>
        <d v="2022-09-04T00:00:00" u="1"/>
        <d v="2022-12-26T00:00:00" u="1"/>
        <d v="2023-02-26T00:00:00" u="1"/>
        <d v="2024-03-12T00:00:00" u="1"/>
        <d v="2022-06-27T00:00:00" u="1"/>
        <d v="2022-08-18T00:00:00" u="1"/>
        <d v="2022-10-09T00:00:00" u="1"/>
        <d v="2024-02-26T00:00:00" u="1"/>
        <d v="2022-06-01T00:00:00" u="1"/>
        <d v="2022-09-23T00:00:00" u="1"/>
        <d v="2022-11-14T00:00:00" u="1"/>
        <d v="2023-01-14T00:00:00" u="1"/>
        <d v="2024-03-31T00:00:00" u="1"/>
        <d v="2022-07-06T00:00:00" u="1"/>
        <d v="2022-10-28T00:00:00" u="1"/>
        <d v="2022-12-19T00:00:00" u="1"/>
        <d v="2023-02-19T00:00:00" u="1"/>
        <d v="2024-03-05T00:00:00" u="1"/>
        <d v="2022-06-20T00:00:00" u="1"/>
        <d v="2022-08-11T00:00:00" u="1"/>
        <d v="2022-10-02T00:00:00" u="1"/>
        <d v="2024-02-19T00:00:00" u="1"/>
        <d v="2022-07-25T00:00:00" u="1"/>
        <d v="2022-09-16T00:00:00" u="1"/>
        <d v="2022-11-07T00:00:00" u="1"/>
        <d v="2023-01-07T00:00:00" u="1"/>
        <d v="2024-03-24T00:00:00" u="1"/>
        <d v="2022-08-30T00:00:00" u="1"/>
        <d v="2022-10-21T00:00:00" u="1"/>
        <d v="2022-12-12T00:00:00" u="1"/>
        <d v="2023-02-12T00:00:00" u="1"/>
        <d v="2022-06-13T00:00:00" u="1"/>
        <d v="2022-08-04T00:00:00" u="1"/>
        <d v="2022-11-26T00:00:00" u="1"/>
        <d v="2023-01-26T00:00:00" u="1"/>
        <d v="2024-02-12T00:00:00" u="1"/>
        <d v="2022-07-18T00:00:00" u="1"/>
        <d v="2022-09-09T00:00:00" u="1"/>
        <d v="2024-03-17T00:00:00" u="1"/>
        <d v="2022-08-23T00:00:00" u="1"/>
        <d v="2022-10-14T00:00:00" u="1"/>
        <d v="2022-12-05T00:00:00" u="1"/>
        <d v="2023-02-05T00:00:00" u="1"/>
        <d v="2022-06-06T00:00:00" u="1"/>
        <d v="2022-09-28T00:00:00" u="1"/>
        <d v="2022-11-19T00:00:00" u="1"/>
        <d v="2023-01-19T00:00:00" u="1"/>
        <d v="2023-05-01T00:00:00" u="1"/>
        <d v="2024-02-05T00:00:00" u="1"/>
        <d v="2022-07-11T00:00:00" u="1"/>
        <d v="2022-09-02T00:00:00" u="1"/>
        <d v="2022-12-24T00:00:00" u="1"/>
        <d v="2023-02-24T00:00:00" u="1"/>
        <d v="2024-03-10T00:00:00" u="1"/>
        <d v="2022-06-25T00:00:00" u="1"/>
        <d v="2022-08-16T00:00:00" u="1"/>
        <d v="2022-10-07T00:00:00" u="1"/>
        <d v="2024-02-24T00:00:00" u="1"/>
        <d v="2022-07-30T00:00:00" u="1"/>
        <d v="2022-09-21T00:00:00" u="1"/>
        <d v="2022-11-12T00:00:00" u="1"/>
        <d v="2023-01-12T00:00:00" u="1"/>
        <d v="2024-03-29T00:00:00" u="1"/>
        <d v="2022-07-04T00:00:00" u="1"/>
        <d v="2022-10-26T00:00:00" u="1"/>
        <d v="2022-12-17T00:00:00" u="1"/>
        <d v="2023-02-17T00:00:00" u="1"/>
        <d v="2024-03-03T00:00:00" u="1"/>
        <d v="2022-06-18T00:00:00" u="1"/>
        <d v="2022-08-09T00:00:00" u="1"/>
        <d v="2023-01-31T00:00:00" u="1"/>
        <d v="2024-02-17T00:00:00" u="1"/>
        <d v="2022-07-23T00:00:00" u="1"/>
        <d v="2022-09-14T00:00:00" u="1"/>
        <d v="2022-11-05T00:00:00" u="1"/>
        <d v="2023-01-05T00:00:00" u="1"/>
        <d v="2024-03-22T00:00:00" u="1"/>
        <d v="2022-08-28T00:00:00" u="1"/>
        <d v="2022-10-19T00:00:00" u="1"/>
        <d v="2022-12-10T00:00:00" u="1"/>
        <d v="2023-02-10T00:00:00" u="1"/>
        <d v="2023-04-01T00:00:00" u="1"/>
        <d v="2022-06-11T00:00:00" u="1"/>
        <d v="2022-08-02T00:00:00" u="1"/>
        <d v="2022-11-24T00:00:00" u="1"/>
        <d v="2023-01-24T00:00:00" u="1"/>
        <d v="2024-02-10T00:00:00" u="1"/>
        <d v="2022-07-16T00:00:00" u="1"/>
        <d v="2022-09-07T00:00:00" u="1"/>
        <d v="2022-12-29T00:00:00" u="1"/>
        <d v="2024-03-15T00:00:00" u="1"/>
        <d v="2022-06-30T00:00:00" u="1"/>
        <d v="2022-08-21T00:00:00" u="1"/>
        <d v="2022-10-12T00:00:00" u="1"/>
        <d v="2022-12-03T00:00:00" u="1"/>
        <d v="2023-02-03T00:00:00" u="1"/>
        <d v="2024-02-29T00:00:00" u="1"/>
        <d v="2022-06-04T00:00:00" u="1"/>
        <d v="2022-09-26T00:00:00" u="1"/>
        <d v="2022-11-17T00:00:00" u="1"/>
        <d v="2023-01-17T00:00:00" u="1"/>
        <d v="2024-02-03T00:00:00" u="1"/>
        <d v="2022-07-09T00:00:00" u="1"/>
        <d v="2022-10-31T00:00:00" u="1"/>
        <d v="2022-12-22T00:00:00" u="1"/>
        <d v="2023-02-22T00:00:00" u="1"/>
        <d v="2024-03-08T00:00:00" u="1"/>
        <d v="2022-06-23T00:00:00" u="1"/>
        <d v="2022-08-14T00:00:00" u="1"/>
        <d v="2022-10-05T00:00:00" u="1"/>
        <d v="2024-02-22T00:00:00" u="1"/>
        <d v="2022-07-28T00:00:00" u="1"/>
        <d v="2022-09-19T00:00:00" u="1"/>
        <d v="2022-11-10T00:00:00" u="1"/>
        <d v="2023-01-10T00:00:00" u="1"/>
        <d v="2023-03-01T00:00:00" u="1"/>
        <d v="2024-03-27T00:00:00" u="1"/>
        <d v="2022-07-02T00:00:00" u="1"/>
        <d v="2022-10-24T00:00:00" u="1"/>
        <d v="2022-12-15T00:00:00" u="1"/>
        <d v="2023-02-15T00:00:00" u="1"/>
        <d v="2024-03-01T00:00:00" u="1"/>
        <d v="2022-06-16T00:00:00" u="1"/>
        <d v="2022-08-07T00:00:00" u="1"/>
        <d v="2022-11-29T00:00:00" u="1"/>
        <d v="2023-01-29T00:00:00" u="1"/>
        <d v="2023-07-02T00:00:00" u="1"/>
        <d v="2024-02-15T00:00:00" u="1"/>
        <d v="2022-07-21T00:00:00" u="1"/>
        <d v="2022-09-12T00:00:00" u="1"/>
        <d v="2022-11-03T00:00:00" u="1"/>
        <d v="2023-01-03T00:00:00" u="1"/>
        <d v="2024-03-20T00:00:00" u="1"/>
        <d v="2022-08-26T00:00:00" u="1"/>
        <d v="2022-10-17T00:00:00" u="1"/>
        <d v="2022-12-08T00:00:00" u="1"/>
        <d v="2023-02-08T00:00:00" u="1"/>
        <d v="2022-06-09T00:00:00" u="1"/>
        <d v="2022-11-22T00:00:00" u="1"/>
        <d v="2023-01-22T00:00:00" u="1"/>
        <d v="2024-02-08T00:00:00" u="1"/>
        <d v="2022-07-14T00:00:00" u="1"/>
        <d v="2022-09-05T00:00:00" u="1"/>
        <d v="2022-12-27T00:00:00" u="1"/>
        <d v="2023-02-27T00:00:00" u="1"/>
        <d v="2024-03-13T00:00:00" u="1"/>
        <d v="2022-06-28T00:00:00" u="1"/>
        <d v="2022-08-19T00:00:00" u="1"/>
        <d v="2022-10-10T00:00:00" u="1"/>
        <d v="2022-12-01T00:00:00" u="1"/>
        <d v="2023-02-01T00:00:00" u="1"/>
        <d v="2024-02-27T00:00:00" u="1"/>
        <d v="2022-06-02T00:00:00" u="1"/>
        <d v="2022-09-24T00:00:00" u="1"/>
        <d v="2022-11-15T00:00:00" u="1"/>
        <d v="2023-01-15T00:00:00" u="1"/>
        <d v="2024-02-01T00:00:00" u="1"/>
        <d v="2022-07-07T00:00:00" u="1"/>
        <d v="2022-10-29T00:00:00" u="1"/>
        <d v="2022-12-20T00:00:00" u="1"/>
        <d v="2023-02-20T00:00:00" u="1"/>
        <d v="2024-03-06T00:00:00" u="1"/>
        <d v="2022-06-21T00:00:00" u="1"/>
        <d v="2022-08-12T00:00:00" u="1"/>
        <d v="2022-10-03T00:00:00" u="1"/>
        <d v="2024-02-20T00:00:00" u="1"/>
        <d v="2022-07-26T00:00:00" u="1"/>
        <d v="2022-09-17T00:00:00" u="1"/>
        <d v="2022-11-08T00:00:00" u="1"/>
        <d v="2023-01-08T00:00:00" u="1"/>
        <d v="2024-03-25T00:00:00" u="1"/>
        <d v="2022-08-31T00:00:00" u="1"/>
        <d v="2022-10-22T00:00:00" u="1"/>
        <d v="2022-12-13T00:00:00" u="1"/>
        <d v="2023-02-13T00:00:00" u="1"/>
        <d v="2022-06-14T00:00:00" u="1"/>
        <d v="2022-08-05T00:00:00" u="1"/>
        <d v="2022-11-27T00:00:00" u="1"/>
        <d v="2023-01-27T00:00:00" u="1"/>
        <d v="2024-02-13T00:00:00" u="1"/>
        <d v="2022-07-19T00:00:00" u="1"/>
        <d v="2022-09-10T00:00:00" u="1"/>
        <d v="2022-11-01T00:00:00" u="1"/>
        <d v="2023-01-01T00:00:00" u="1"/>
        <d v="2024-03-18T00:00:00" u="1"/>
        <d v="2022-08-24T00:00:00" u="1"/>
        <d v="2022-10-15T00:00:00" u="1"/>
        <d v="2022-12-06T00:00:00" u="1"/>
        <d v="2023-02-06T00:00:00" u="1"/>
        <d v="2022-06-07T00:00:00" u="1"/>
        <d v="2022-09-29T00:00:00" u="1"/>
        <d v="2022-11-20T00:00:00" u="1"/>
        <d v="2023-01-20T00:00:00" u="1"/>
        <d v="2023-05-02T00:00:00" u="1"/>
        <d v="2024-02-06T00:00:00" u="1"/>
        <d v="2022-07-12T00:00:00" u="1"/>
        <d v="2022-09-03T00:00:00" u="1"/>
        <d v="2022-12-25T00:00:00" u="1"/>
        <d v="2023-02-25T00:00:00" u="1"/>
        <d v="2024-03-11T00:00:00" u="1"/>
        <d v="2022-06-26T00:00:00" u="1"/>
        <d v="2022-08-17T00:00:00" u="1"/>
        <d v="2022-10-08T00:00:00" u="1"/>
        <d v="2024-02-25T00:00:00" u="1"/>
        <d v="2022-07-31T00:00:00" u="1"/>
        <d v="2022-09-22T00:00:00" u="1"/>
        <d v="2022-11-13T00:00:00" u="1"/>
        <d v="2023-01-13T00:00:00" u="1"/>
        <d v="2024-03-30T00:00:00" u="1"/>
        <d v="2022-07-05T00:00:00" u="1"/>
        <d v="2022-10-27T00:00:00" u="1"/>
        <d v="2022-12-18T00:00:00" u="1"/>
        <d v="2023-02-18T00:00:00" u="1"/>
        <d v="2024-03-04T00:00:00" u="1"/>
        <d v="2022-06-19T00:00:00" u="1"/>
        <d v="2022-08-10T00:00:00" u="1"/>
        <d v="2022-10-01T00:00:00" u="1"/>
        <d v="2024-02-18T00:00:00" u="1"/>
        <d v="2022-07-24T00:00:00" u="1"/>
        <d v="2022-09-15T00:00:00" u="1"/>
        <d v="2022-11-06T00:00:00" u="1"/>
        <d v="2023-01-06T00:00:00" u="1"/>
        <d v="2024-03-23T00:00:00" u="1"/>
        <d v="2022-08-29T00:00:00" u="1"/>
        <d v="2022-10-20T00:00:00" u="1"/>
        <d v="2022-12-11T00:00:00" u="1"/>
        <d v="2023-02-11T00:00:00" u="1"/>
        <d v="2023-04-02T00:00:00" u="1"/>
        <d v="2022-06-12T00:00:00" u="1"/>
        <d v="2022-08-03T00:00:00" u="1"/>
        <d v="2022-11-25T00:00:00" u="1"/>
        <d v="2023-01-25T00:00:00" u="1"/>
        <d v="2024-02-11T00:00:00" u="1"/>
        <d v="2022-07-17T00:00:00" u="1"/>
        <d v="2022-09-08T00:00:00" u="1"/>
        <d v="2022-12-30T00:00:00" u="1"/>
        <d v="2024-03-16T00:00:00" u="1"/>
        <d v="2022-08-22T00:00:00" u="1"/>
        <d v="2022-10-13T00:00:00" u="1"/>
        <d v="2022-12-04T00:00:00" u="1"/>
        <d v="2023-02-04T00:00:00" u="1"/>
      </sharedItems>
    </cacheField>
    <cacheField name="LineNo" numFmtId="0">
      <sharedItems count="6">
        <s v="HTL-01"/>
        <s v="HTL-02"/>
        <s v="HTL-03"/>
        <s v="HTL-04"/>
        <s v="HTL-05"/>
        <s v="HTL-06"/>
      </sharedItems>
    </cacheField>
    <cacheField name="MoldNo" numFmtId="0">
      <sharedItems count="14">
        <s v="JAB-030A"/>
        <s v="JAB-050A"/>
        <s v="JAB-014C"/>
        <s v="JAB-007B"/>
        <s v="JAB-02"/>
        <s v="JAB-014A" u="1"/>
        <s v="JAR-007A" u="1"/>
        <s v="JAB-014" u="1"/>
        <s v="JAB-014B" u="1"/>
        <s v="JAR-014C" u="1"/>
        <s v="JAB-007A" u="1"/>
        <s v="JAR-014" u="1"/>
        <s v="JAR-014B" u="1"/>
        <s v="JAR-007B" u="1"/>
      </sharedItems>
    </cacheField>
    <cacheField name="Index" numFmtId="0">
      <sharedItems containsString="0" containsBlank="1" containsNumber="1" containsInteger="1" minValue="25508" maxValue="27679"/>
    </cacheField>
    <cacheField name="Customer" numFmtId="0">
      <sharedItems/>
    </cacheField>
    <cacheField name="Status" numFmtId="0">
      <sharedItems/>
    </cacheField>
    <cacheField name="S1Qty" numFmtId="166">
      <sharedItems containsSemiMixedTypes="0" containsString="0" containsNumber="1" containsInteger="1" minValue="0" maxValue="9015"/>
    </cacheField>
    <cacheField name="S1Dft" numFmtId="166">
      <sharedItems containsSemiMixedTypes="0" containsString="0" containsNumber="1" containsInteger="1" minValue="0" maxValue="20"/>
    </cacheField>
    <cacheField name="S2Qty" numFmtId="166">
      <sharedItems containsSemiMixedTypes="0" containsString="0" containsNumber="1" containsInteger="1" minValue="0" maxValue="8939"/>
    </cacheField>
    <cacheField name="S2Dft" numFmtId="166">
      <sharedItems containsSemiMixedTypes="0" containsString="0" containsNumber="1" containsInteger="1" minValue="0" maxValue="28"/>
    </cacheField>
    <cacheField name="S3Qty" numFmtId="166">
      <sharedItems containsSemiMixedTypes="0" containsString="0" containsNumber="1" containsInteger="1" minValue="0" maxValue="9029"/>
    </cacheField>
    <cacheField name="S3Dft" numFmtId="166">
      <sharedItems containsSemiMixedTypes="0" containsString="0" containsNumber="1" containsInteger="1" minValue="0" maxValue="31"/>
    </cacheField>
    <cacheField name="Total" numFmtId="166">
      <sharedItems containsSemiMixedTypes="0" containsString="0" containsNumber="1" containsInteger="1" minValue="0" maxValue="26614"/>
    </cacheField>
    <cacheField name="TotalDft" numFmtId="166">
      <sharedItems containsSemiMixedTypes="0" containsString="0" containsNumber="1" containsInteger="1" minValue="0" maxValue="63"/>
    </cacheField>
    <cacheField name="DftRte" numFmtId="10">
      <sharedItems containsSemiMixedTypes="0" containsString="0" containsNumber="1" minValue="0" maxValue="1.7894736842105262E-2"/>
    </cacheField>
    <cacheField name="Remarks" numFmtId="0">
      <sharedItems containsBlank="1"/>
    </cacheField>
    <cacheField name="S1Disclr" numFmtId="166">
      <sharedItems containsSemiMixedTypes="0" containsString="0" containsNumber="1" containsInteger="1" minValue="0" maxValue="0"/>
    </cacheField>
    <cacheField name="S1Shrink" numFmtId="166">
      <sharedItems containsSemiMixedTypes="0" containsString="0" containsNumber="1" containsInteger="1" minValue="0" maxValue="0"/>
    </cacheField>
    <cacheField name="S1Flow" numFmtId="166">
      <sharedItems containsSemiMixedTypes="0" containsString="0" containsNumber="1" containsInteger="1" minValue="0" maxValue="0"/>
    </cacheField>
    <cacheField name="S1Short" numFmtId="166">
      <sharedItems containsSemiMixedTypes="0" containsString="0" containsNumber="1" containsInteger="1" minValue="0" maxValue="0"/>
    </cacheField>
    <cacheField name="S1Flash" numFmtId="166">
      <sharedItems containsSemiMixedTypes="0" containsString="0" containsNumber="1" containsInteger="1" minValue="0" maxValue="0"/>
    </cacheField>
    <cacheField name="S1Scrtch" numFmtId="166">
      <sharedItems containsSemiMixedTypes="0" containsString="0" containsNumber="1" containsInteger="1" minValue="0" maxValue="0"/>
    </cacheField>
    <cacheField name="S1Spot" numFmtId="166">
      <sharedItems containsString="0" containsBlank="1" containsNumber="1" containsInteger="1" minValue="0" maxValue="0"/>
    </cacheField>
    <cacheField name="S1Dmg" numFmtId="166">
      <sharedItems containsSemiMixedTypes="0" containsString="0" containsNumber="1" containsInteger="1" minValue="0" maxValue="1"/>
    </cacheField>
    <cacheField name="S1Crack" numFmtId="166">
      <sharedItems containsSemiMixedTypes="0" containsString="0" containsNumber="1" containsInteger="1" minValue="0" maxValue="0"/>
    </cacheField>
    <cacheField name="S1Btm" numFmtId="166">
      <sharedItems containsSemiMixedTypes="0" containsString="0" containsNumber="1" containsInteger="1" minValue="0" maxValue="0"/>
    </cacheField>
    <cacheField name="S1Contam" numFmtId="166">
      <sharedItems containsSemiMixedTypes="0" containsString="0" containsNumber="1" containsInteger="1" minValue="0" maxValue="2"/>
    </cacheField>
    <cacheField name="S1Wrinkle" numFmtId="166">
      <sharedItems containsSemiMixedTypes="0" containsString="0" containsNumber="1" containsInteger="1" minValue="0" maxValue="0"/>
    </cacheField>
    <cacheField name="S1Skew" numFmtId="166">
      <sharedItems containsSemiMixedTypes="0" containsString="0" containsNumber="1" containsInteger="1" minValue="0" maxValue="1"/>
    </cacheField>
    <cacheField name="S1Pos" numFmtId="166">
      <sharedItems containsSemiMixedTypes="0" containsString="0" containsNumber="1" containsInteger="1" minValue="0" maxValue="5"/>
    </cacheField>
    <cacheField name="S1Print" numFmtId="166">
      <sharedItems containsSemiMixedTypes="0" containsString="0" containsNumber="1" containsInteger="1" minValue="0" maxValue="15"/>
    </cacheField>
    <cacheField name="S2Disclr" numFmtId="166">
      <sharedItems containsSemiMixedTypes="0" containsString="0" containsNumber="1" containsInteger="1" minValue="0" maxValue="0"/>
    </cacheField>
    <cacheField name="S2Shrink" numFmtId="166">
      <sharedItems containsSemiMixedTypes="0" containsString="0" containsNumber="1" containsInteger="1" minValue="0" maxValue="0"/>
    </cacheField>
    <cacheField name="S2Flow" numFmtId="166">
      <sharedItems containsSemiMixedTypes="0" containsString="0" containsNumber="1" containsInteger="1" minValue="0" maxValue="0"/>
    </cacheField>
    <cacheField name="S2Short" numFmtId="166">
      <sharedItems containsSemiMixedTypes="0" containsString="0" containsNumber="1" containsInteger="1" minValue="0" maxValue="0"/>
    </cacheField>
    <cacheField name="S2Flash" numFmtId="166">
      <sharedItems containsSemiMixedTypes="0" containsString="0" containsNumber="1" containsInteger="1" minValue="0" maxValue="0"/>
    </cacheField>
    <cacheField name="S2Scrtch" numFmtId="166">
      <sharedItems containsSemiMixedTypes="0" containsString="0" containsNumber="1" containsInteger="1" minValue="0" maxValue="0"/>
    </cacheField>
    <cacheField name="S2Spot" numFmtId="166">
      <sharedItems containsSemiMixedTypes="0" containsString="0" containsNumber="1" containsInteger="1" minValue="0" maxValue="0"/>
    </cacheField>
    <cacheField name="S2Dmg" numFmtId="166">
      <sharedItems containsSemiMixedTypes="0" containsString="0" containsNumber="1" containsInteger="1" minValue="0" maxValue="1"/>
    </cacheField>
    <cacheField name="S2Crack" numFmtId="166">
      <sharedItems containsSemiMixedTypes="0" containsString="0" containsNumber="1" containsInteger="1" minValue="0" maxValue="0"/>
    </cacheField>
    <cacheField name="S2Btm" numFmtId="166">
      <sharedItems containsSemiMixedTypes="0" containsString="0" containsNumber="1" containsInteger="1" minValue="0" maxValue="0"/>
    </cacheField>
    <cacheField name="S2Contam" numFmtId="166">
      <sharedItems containsSemiMixedTypes="0" containsString="0" containsNumber="1" containsInteger="1" minValue="0" maxValue="0"/>
    </cacheField>
    <cacheField name="S2Wrinkle" numFmtId="166">
      <sharedItems containsSemiMixedTypes="0" containsString="0" containsNumber="1" containsInteger="1" minValue="0" maxValue="0"/>
    </cacheField>
    <cacheField name="S2Skew" numFmtId="166">
      <sharedItems containsSemiMixedTypes="0" containsString="0" containsNumber="1" containsInteger="1" minValue="0" maxValue="0"/>
    </cacheField>
    <cacheField name="S2Pos" numFmtId="166">
      <sharedItems containsSemiMixedTypes="0" containsString="0" containsNumber="1" containsInteger="1" minValue="0" maxValue="14"/>
    </cacheField>
    <cacheField name="S2Print" numFmtId="166">
      <sharedItems containsSemiMixedTypes="0" containsString="0" containsNumber="1" containsInteger="1" minValue="0" maxValue="28"/>
    </cacheField>
    <cacheField name="S3Disclr" numFmtId="166">
      <sharedItems containsSemiMixedTypes="0" containsString="0" containsNumber="1" containsInteger="1" minValue="0" maxValue="0"/>
    </cacheField>
    <cacheField name="S3Shrink" numFmtId="166">
      <sharedItems containsSemiMixedTypes="0" containsString="0" containsNumber="1" containsInteger="1" minValue="0" maxValue="0"/>
    </cacheField>
    <cacheField name="S3Flow" numFmtId="166">
      <sharedItems containsSemiMixedTypes="0" containsString="0" containsNumber="1" containsInteger="1" minValue="0" maxValue="0"/>
    </cacheField>
    <cacheField name="S3Short" numFmtId="166">
      <sharedItems containsSemiMixedTypes="0" containsString="0" containsNumber="1" containsInteger="1" minValue="0" maxValue="1"/>
    </cacheField>
    <cacheField name="S3Flash" numFmtId="166">
      <sharedItems containsSemiMixedTypes="0" containsString="0" containsNumber="1" containsInteger="1" minValue="0" maxValue="0"/>
    </cacheField>
    <cacheField name="S3Scrtch" numFmtId="166">
      <sharedItems containsSemiMixedTypes="0" containsString="0" containsNumber="1" containsInteger="1" minValue="0" maxValue="4"/>
    </cacheField>
    <cacheField name="S3Spot" numFmtId="166">
      <sharedItems containsSemiMixedTypes="0" containsString="0" containsNumber="1" containsInteger="1" minValue="0" maxValue="3"/>
    </cacheField>
    <cacheField name="S3Dmg" numFmtId="166">
      <sharedItems containsSemiMixedTypes="0" containsString="0" containsNumber="1" containsInteger="1" minValue="0" maxValue="0"/>
    </cacheField>
    <cacheField name="S3Crack" numFmtId="166">
      <sharedItems containsSemiMixedTypes="0" containsString="0" containsNumber="1" containsInteger="1" minValue="0" maxValue="0"/>
    </cacheField>
    <cacheField name="S3Btm" numFmtId="166">
      <sharedItems containsSemiMixedTypes="0" containsString="0" containsNumber="1" containsInteger="1" minValue="0" maxValue="0"/>
    </cacheField>
    <cacheField name="S3Contam" numFmtId="166">
      <sharedItems containsSemiMixedTypes="0" containsString="0" containsNumber="1" containsInteger="1" minValue="0" maxValue="2"/>
    </cacheField>
    <cacheField name="S3Wrinkle" numFmtId="166">
      <sharedItems containsSemiMixedTypes="0" containsString="0" containsNumber="1" containsInteger="1" minValue="0" maxValue="0"/>
    </cacheField>
    <cacheField name="S3Skew" numFmtId="166">
      <sharedItems containsSemiMixedTypes="0" containsString="0" containsNumber="1" containsInteger="1" minValue="0" maxValue="4"/>
    </cacheField>
    <cacheField name="S3Pos" numFmtId="166">
      <sharedItems containsSemiMixedTypes="0" containsString="0" containsNumber="1" containsInteger="1" minValue="0" maxValue="14"/>
    </cacheField>
    <cacheField name="S3Print" numFmtId="166">
      <sharedItems containsSemiMixedTypes="0" containsString="0" containsNumber="1" containsInteger="1" minValue="0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n v="25508"/>
    <s v="White"/>
    <s v="RPET"/>
    <s v="Running"/>
    <n v="41.58"/>
    <n v="6"/>
    <n v="542"/>
    <n v="12"/>
    <n v="6499"/>
    <n v="5"/>
    <n v="41.56"/>
    <n v="8"/>
    <n v="700"/>
    <n v="12"/>
    <n v="8399"/>
    <n v="1"/>
    <n v="41.58"/>
    <n v="8"/>
    <n v="660"/>
    <n v="12"/>
    <n v="7919"/>
    <n v="1"/>
    <n v="22817"/>
    <n v="7"/>
    <n v="3.0678879782618224E-4"/>
    <s v="Shift-1 10:37AM打磨输送带"/>
    <n v="5"/>
    <n v="1"/>
    <n v="1"/>
    <n v="0"/>
    <n v="0"/>
    <n v="0"/>
    <n v="0"/>
    <n v="0"/>
    <n v="0"/>
    <n v="1.04335"/>
    <n v="1.0101388888888889"/>
    <n v="0.95287500000000003"/>
    <n v="1.0021212962962964"/>
    <n v="0"/>
    <n v="2"/>
    <n v="0"/>
    <n v="1"/>
    <n v="1"/>
    <n v="1"/>
    <n v="12"/>
  </r>
  <r>
    <x v="0"/>
    <x v="1"/>
    <x v="1"/>
    <n v="26455"/>
    <s v="White"/>
    <s v="RPET"/>
    <s v="Running"/>
    <n v="41.05"/>
    <n v="8"/>
    <n v="700"/>
    <n v="12"/>
    <n v="8399"/>
    <n v="1"/>
    <n v="41.25"/>
    <n v="8"/>
    <n v="696"/>
    <n v="12"/>
    <n v="8350"/>
    <n v="2"/>
    <n v="41.05"/>
    <n v="8"/>
    <n v="696"/>
    <n v="12"/>
    <n v="8351"/>
    <n v="1"/>
    <n v="25100"/>
    <n v="4"/>
    <n v="1.5936254980079682E-4"/>
    <m/>
    <n v="1"/>
    <n v="2"/>
    <n v="1"/>
    <n v="0"/>
    <n v="0"/>
    <n v="0"/>
    <n v="0"/>
    <n v="0"/>
    <n v="0"/>
    <n v="0.99774305555555542"/>
    <n v="0.99687499999999996"/>
    <n v="0.9920416666666666"/>
    <n v="0.9955532407407407"/>
    <n v="0"/>
    <n v="0"/>
    <n v="0"/>
    <n v="1"/>
    <n v="1"/>
    <n v="1"/>
    <n v="12"/>
  </r>
  <r>
    <x v="0"/>
    <x v="2"/>
    <x v="2"/>
    <n v="27328"/>
    <s v="White"/>
    <s v="RPET"/>
    <s v="Running"/>
    <n v="0"/>
    <n v="0"/>
    <n v="0"/>
    <n v="0"/>
    <n v="0"/>
    <n v="0"/>
    <n v="40.950000000000003"/>
    <n v="7"/>
    <n v="580"/>
    <n v="8"/>
    <n v="4610"/>
    <n v="30"/>
    <n v="40.950000000000003"/>
    <n v="8"/>
    <n v="700"/>
    <n v="8"/>
    <n v="5598"/>
    <n v="2"/>
    <n v="10208"/>
    <n v="32"/>
    <n v="3.134796238244514E-3"/>
    <m/>
    <n v="0"/>
    <n v="30"/>
    <n v="2"/>
    <n v="0"/>
    <n v="0"/>
    <n v="0"/>
    <n v="0"/>
    <n v="0"/>
    <n v="0"/>
    <n v="0"/>
    <n v="0.9425"/>
    <n v="0.99531250000000016"/>
    <n v="0.96890625000000008"/>
    <n v="0.5"/>
    <m/>
    <n v="0"/>
    <n v="0"/>
    <n v="1"/>
    <n v="1"/>
    <n v="8"/>
  </r>
  <r>
    <x v="0"/>
    <x v="3"/>
    <x v="3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4"/>
    <n v="26455"/>
    <s v="White"/>
    <s v="RPET"/>
    <s v="Running"/>
    <n v="41.31"/>
    <n v="7.8"/>
    <n v="660"/>
    <n v="12"/>
    <n v="7917"/>
    <n v="3"/>
    <n v="41.44"/>
    <n v="8"/>
    <n v="684"/>
    <n v="12"/>
    <n v="8207"/>
    <n v="1"/>
    <n v="41.31"/>
    <n v="8"/>
    <n v="696"/>
    <n v="12"/>
    <n v="8352"/>
    <n v="0"/>
    <n v="24476"/>
    <n v="4"/>
    <n v="1.6342539630658605E-4"/>
    <s v="Shift-1 换剪刀"/>
    <n v="3"/>
    <n v="1"/>
    <n v="0"/>
    <n v="0"/>
    <n v="0"/>
    <n v="0"/>
    <n v="0"/>
    <n v="0"/>
    <n v="0"/>
    <n v="0.97096153846153854"/>
    <n v="0.98419999999999996"/>
    <n v="0.99832500000000002"/>
    <n v="0.98449551282051273"/>
    <n v="0"/>
    <n v="0"/>
    <n v="0"/>
    <n v="1"/>
    <n v="1"/>
    <n v="1"/>
    <n v="12"/>
  </r>
  <r>
    <x v="0"/>
    <x v="5"/>
    <x v="5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6"/>
    <x v="6"/>
    <n v="26974"/>
    <s v="Purple"/>
    <s v="RPET"/>
    <s v="Running"/>
    <n v="57.2"/>
    <n v="6"/>
    <n v="357"/>
    <n v="2"/>
    <n v="713"/>
    <n v="1"/>
    <n v="0"/>
    <n v="0"/>
    <n v="0"/>
    <n v="0"/>
    <n v="0"/>
    <n v="0"/>
    <n v="0"/>
    <n v="0"/>
    <n v="0"/>
    <n v="0"/>
    <n v="0"/>
    <n v="0"/>
    <n v="713"/>
    <n v="1"/>
    <n v="1.4025245441795231E-3"/>
    <m/>
    <n v="1"/>
    <n v="0"/>
    <n v="0"/>
    <n v="0"/>
    <n v="0"/>
    <n v="0"/>
    <n v="0"/>
    <n v="0"/>
    <n v="0"/>
    <n v="0.94538888888888895"/>
    <n v="0"/>
    <n v="0"/>
    <n v="0.94538888888888895"/>
    <n v="0"/>
    <n v="0"/>
    <n v="0"/>
    <n v="1"/>
    <n v="0"/>
    <n v="0"/>
    <n v="2"/>
  </r>
  <r>
    <x v="0"/>
    <x v="6"/>
    <x v="6"/>
    <n v="26976"/>
    <s v="Black"/>
    <s v="RPET"/>
    <s v="Running"/>
    <n v="57.2"/>
    <n v="1"/>
    <n v="67"/>
    <n v="2"/>
    <n v="84"/>
    <n v="50"/>
    <n v="57.2"/>
    <n v="8"/>
    <n v="508"/>
    <n v="2"/>
    <n v="1015"/>
    <n v="1"/>
    <n v="57.2"/>
    <n v="8"/>
    <n v="504"/>
    <n v="2"/>
    <n v="1008"/>
    <n v="0"/>
    <n v="2107"/>
    <n v="51"/>
    <n v="2.4205030849549121E-2"/>
    <s v="Shift-1 转单26976，走色"/>
    <n v="50"/>
    <n v="1"/>
    <n v="0"/>
    <n v="0"/>
    <n v="0"/>
    <n v="0"/>
    <n v="0"/>
    <n v="0"/>
    <n v="0"/>
    <n v="1.0645555555555555"/>
    <n v="1.0089444444444444"/>
    <n v="1.0010000000000001"/>
    <n v="1.0248333333333335"/>
    <n v="0"/>
    <n v="0"/>
    <n v="0"/>
    <n v="1"/>
    <n v="1"/>
    <n v="1"/>
    <n v="2"/>
  </r>
  <r>
    <x v="1"/>
    <x v="0"/>
    <x v="0"/>
    <n v="25508"/>
    <s v="White"/>
    <s v="RPET"/>
    <s v="Running"/>
    <n v="41.57"/>
    <n v="8"/>
    <n v="680"/>
    <n v="12"/>
    <n v="8160"/>
    <n v="0"/>
    <n v="41.57"/>
    <n v="8"/>
    <n v="685"/>
    <n v="12"/>
    <n v="8218"/>
    <n v="2"/>
    <n v="41.57"/>
    <n v="8"/>
    <n v="681"/>
    <n v="12"/>
    <n v="8171"/>
    <n v="1"/>
    <n v="24549"/>
    <n v="3"/>
    <n v="1.2220457045093486E-4"/>
    <m/>
    <n v="0"/>
    <n v="2"/>
    <n v="1"/>
    <n v="0"/>
    <n v="0"/>
    <n v="0"/>
    <n v="0"/>
    <n v="0"/>
    <n v="0"/>
    <n v="0.9815138888888888"/>
    <n v="0.98873090277777775"/>
    <n v="0.98295729166666668"/>
    <n v="0.98440069444444445"/>
    <n v="0"/>
    <n v="0"/>
    <n v="0"/>
    <n v="1"/>
    <n v="1"/>
    <n v="1"/>
    <n v="12"/>
  </r>
  <r>
    <x v="1"/>
    <x v="1"/>
    <x v="1"/>
    <n v="26455"/>
    <s v="White"/>
    <s v="RPET"/>
    <s v="Running"/>
    <n v="41.05"/>
    <n v="8"/>
    <n v="696"/>
    <n v="12"/>
    <n v="8351"/>
    <n v="1"/>
    <n v="41.25"/>
    <n v="8"/>
    <n v="684"/>
    <n v="12"/>
    <n v="8207"/>
    <n v="1"/>
    <n v="41.05"/>
    <n v="8"/>
    <n v="709"/>
    <n v="12"/>
    <n v="8506"/>
    <n v="2"/>
    <n v="25064"/>
    <n v="4"/>
    <n v="1.5959144589849984E-4"/>
    <m/>
    <n v="1"/>
    <n v="1"/>
    <n v="2"/>
    <n v="0"/>
    <n v="0"/>
    <n v="0"/>
    <n v="0"/>
    <n v="0"/>
    <n v="0"/>
    <n v="0.9920416666666666"/>
    <n v="0.97968750000000004"/>
    <n v="1.0105711805555555"/>
    <n v="0.99410011574074064"/>
    <n v="0"/>
    <n v="0"/>
    <n v="0"/>
    <n v="1"/>
    <n v="1"/>
    <n v="1"/>
    <n v="12"/>
  </r>
  <r>
    <x v="1"/>
    <x v="2"/>
    <x v="2"/>
    <n v="27328"/>
    <s v="White"/>
    <s v="RPET"/>
    <s v="Running"/>
    <n v="40.94"/>
    <n v="2"/>
    <n v="161"/>
    <n v="8"/>
    <n v="1288"/>
    <n v="0"/>
    <n v="0"/>
    <n v="0"/>
    <n v="0"/>
    <n v="0"/>
    <n v="0"/>
    <n v="0"/>
    <n v="0"/>
    <n v="0"/>
    <n v="0"/>
    <n v="0"/>
    <n v="0"/>
    <n v="0"/>
    <n v="1288"/>
    <n v="0"/>
    <n v="0"/>
    <s v="Shift-1 10:00AM够数停机"/>
    <n v="0"/>
    <n v="0"/>
    <n v="0"/>
    <n v="0"/>
    <n v="0"/>
    <n v="0"/>
    <n v="0"/>
    <n v="0"/>
    <n v="0"/>
    <n v="0.91546388888888874"/>
    <n v="0"/>
    <n v="0"/>
    <n v="0.91546388888888874"/>
    <n v="0.5"/>
    <m/>
    <n v="0"/>
    <n v="1"/>
    <n v="0"/>
    <n v="0"/>
    <n v="8"/>
  </r>
  <r>
    <x v="1"/>
    <x v="3"/>
    <x v="3"/>
    <n v="27227"/>
    <s v="Lavender"/>
    <s v="RPET"/>
    <s v="Running"/>
    <n v="41.8"/>
    <n v="0.6"/>
    <n v="48"/>
    <n v="12"/>
    <n v="376"/>
    <n v="200"/>
    <n v="41.8"/>
    <n v="8"/>
    <n v="660"/>
    <n v="12"/>
    <n v="7918"/>
    <n v="2"/>
    <n v="41.89"/>
    <n v="8"/>
    <n v="696"/>
    <n v="12"/>
    <n v="8351"/>
    <n v="1"/>
    <n v="16645"/>
    <n v="203"/>
    <n v="1.2195854610994292E-2"/>
    <s v="Shift-1 15:30收货"/>
    <n v="200"/>
    <n v="2"/>
    <n v="1"/>
    <n v="0"/>
    <n v="0"/>
    <n v="0"/>
    <n v="0"/>
    <n v="0"/>
    <n v="0"/>
    <n v="0.92888888888888888"/>
    <n v="0.95791666666666653"/>
    <n v="1.0123416666666667"/>
    <n v="0.96638240740740733"/>
    <n v="0.5"/>
    <n v="0"/>
    <n v="0"/>
    <n v="1"/>
    <n v="1"/>
    <n v="1"/>
    <n v="12"/>
  </r>
  <r>
    <x v="1"/>
    <x v="4"/>
    <x v="4"/>
    <n v="26455"/>
    <s v="White"/>
    <s v="RPET"/>
    <s v="Running"/>
    <n v="41.25"/>
    <n v="8"/>
    <n v="681"/>
    <n v="12"/>
    <n v="8171"/>
    <n v="1"/>
    <n v="41.25"/>
    <n v="7.8"/>
    <n v="686"/>
    <n v="12"/>
    <n v="8231"/>
    <n v="1"/>
    <n v="41.3"/>
    <n v="8"/>
    <n v="696"/>
    <n v="12"/>
    <n v="8351"/>
    <n v="1"/>
    <n v="24753"/>
    <n v="3"/>
    <n v="1.2119743061447097E-4"/>
    <m/>
    <n v="1"/>
    <n v="1"/>
    <n v="1"/>
    <n v="0"/>
    <n v="0"/>
    <n v="0"/>
    <n v="0"/>
    <n v="0"/>
    <n v="0"/>
    <n v="0.97539062499999996"/>
    <n v="1.0077457264957266"/>
    <n v="0.99808333333333332"/>
    <n v="0.99373989494301995"/>
    <n v="0"/>
    <n v="0"/>
    <n v="0"/>
    <n v="1"/>
    <n v="1"/>
    <n v="1"/>
    <n v="12"/>
  </r>
  <r>
    <x v="1"/>
    <x v="5"/>
    <x v="5"/>
    <n v="27423"/>
    <s v="White"/>
    <s v="RPET"/>
    <s v="Running"/>
    <n v="41.05"/>
    <n v="4"/>
    <n v="296"/>
    <n v="8"/>
    <n v="2318"/>
    <n v="50"/>
    <n v="41.05"/>
    <n v="7.8"/>
    <n v="668"/>
    <n v="8"/>
    <n v="5343"/>
    <n v="1"/>
    <n v="41.05"/>
    <n v="8"/>
    <n v="701"/>
    <n v="8"/>
    <n v="5606"/>
    <n v="2"/>
    <n v="13267"/>
    <n v="53"/>
    <n v="3.9948745006406876E-3"/>
    <s v="Shift-1 12:00PM收货"/>
    <n v="50"/>
    <n v="1"/>
    <n v="2"/>
    <n v="0"/>
    <n v="0"/>
    <n v="0"/>
    <n v="0"/>
    <n v="0"/>
    <n v="0"/>
    <n v="0.84380555555555548"/>
    <n v="0.976545584045584"/>
    <n v="0.99916840277777774"/>
    <n v="0.93983984745963911"/>
    <n v="0"/>
    <n v="0"/>
    <n v="0"/>
    <n v="1"/>
    <n v="1"/>
    <n v="1"/>
    <n v="8"/>
  </r>
  <r>
    <x v="1"/>
    <x v="6"/>
    <x v="6"/>
    <n v="26976"/>
    <s v="Black"/>
    <s v="RPET"/>
    <s v="Running"/>
    <n v="57.3"/>
    <n v="8"/>
    <n v="483"/>
    <n v="2"/>
    <n v="965"/>
    <n v="1"/>
    <n v="57.3"/>
    <n v="8"/>
    <n v="508"/>
    <n v="2"/>
    <n v="1015"/>
    <n v="1"/>
    <n v="57.3"/>
    <n v="8"/>
    <n v="504"/>
    <n v="2"/>
    <n v="1006"/>
    <n v="2"/>
    <n v="2986"/>
    <n v="4"/>
    <n v="1.3395847287340924E-3"/>
    <m/>
    <n v="1"/>
    <n v="1"/>
    <n v="2"/>
    <n v="0"/>
    <n v="0"/>
    <n v="0"/>
    <n v="0"/>
    <n v="0"/>
    <n v="0"/>
    <n v="0.96096874999999993"/>
    <n v="1.0107083333333333"/>
    <n v="1.0027499999999998"/>
    <n v="0.99147569444444439"/>
    <n v="0"/>
    <n v="0"/>
    <n v="0"/>
    <n v="1"/>
    <n v="1"/>
    <n v="1"/>
    <n v="2"/>
  </r>
  <r>
    <x v="2"/>
    <x v="0"/>
    <x v="0"/>
    <n v="25508"/>
    <s v="White"/>
    <s v="RPET"/>
    <s v="Running"/>
    <n v="41.57"/>
    <n v="3.5"/>
    <n v="280"/>
    <n v="12"/>
    <n v="3340"/>
    <n v="20"/>
    <n v="41.57"/>
    <n v="7"/>
    <n v="606"/>
    <n v="12"/>
    <n v="7271"/>
    <n v="1"/>
    <n v="41.55"/>
    <n v="8"/>
    <n v="685"/>
    <n v="12"/>
    <n v="8219"/>
    <n v="1"/>
    <n v="18830"/>
    <n v="22"/>
    <n v="1.168348380244291E-3"/>
    <s v="Shift-1 8:45-9:25AM, 12:20-14:45PM缺料停机"/>
    <n v="20"/>
    <n v="1"/>
    <n v="1"/>
    <n v="0"/>
    <n v="0"/>
    <n v="0"/>
    <n v="0"/>
    <n v="0"/>
    <n v="0"/>
    <n v="0.92377777777777781"/>
    <n v="0.99965952380952383"/>
    <n v="0.98825520833333325"/>
    <n v="0.970564169973545"/>
    <n v="2"/>
    <n v="0"/>
    <n v="0"/>
    <n v="1"/>
    <n v="1"/>
    <n v="1"/>
    <n v="12"/>
  </r>
  <r>
    <x v="2"/>
    <x v="1"/>
    <x v="1"/>
    <n v="26455"/>
    <s v="White"/>
    <s v="RPET"/>
    <s v="Running"/>
    <n v="41.06"/>
    <n v="3.5"/>
    <n v="289"/>
    <n v="12"/>
    <n v="3453"/>
    <n v="15"/>
    <n v="41.06"/>
    <n v="8"/>
    <n v="708"/>
    <n v="12"/>
    <n v="8495"/>
    <n v="1"/>
    <n v="41.05"/>
    <n v="8"/>
    <n v="709"/>
    <n v="12"/>
    <n v="8507"/>
    <n v="1"/>
    <n v="20455"/>
    <n v="17"/>
    <n v="8.3109264238572476E-4"/>
    <s v="Shift-1 12:20-14:45PM缺料停机"/>
    <n v="15"/>
    <n v="1"/>
    <n v="1"/>
    <n v="0"/>
    <n v="0"/>
    <n v="0"/>
    <n v="0"/>
    <n v="0"/>
    <n v="0"/>
    <n v="0.94177301587301587"/>
    <n v="1.0093916666666667"/>
    <n v="1.0105711805555555"/>
    <n v="0.98724528769841269"/>
    <n v="1"/>
    <n v="0"/>
    <n v="0"/>
    <n v="1"/>
    <n v="1"/>
    <n v="1"/>
    <n v="12"/>
  </r>
  <r>
    <x v="2"/>
    <x v="2"/>
    <x v="2"/>
    <n v="27328"/>
    <s v="White"/>
    <s v="RPET"/>
    <s v="Running"/>
    <n v="41.36"/>
    <n v="2.5"/>
    <n v="204"/>
    <n v="8"/>
    <n v="1622"/>
    <n v="10"/>
    <n v="0"/>
    <n v="0"/>
    <n v="0"/>
    <n v="0"/>
    <n v="0"/>
    <n v="0"/>
    <n v="0"/>
    <n v="0"/>
    <n v="0"/>
    <n v="0"/>
    <n v="0"/>
    <n v="0"/>
    <n v="1622"/>
    <n v="10"/>
    <n v="6.1652281134401974E-3"/>
    <s v="Shift-1 12:20PM缺料停机"/>
    <n v="10"/>
    <n v="0"/>
    <n v="0"/>
    <n v="0"/>
    <n v="0"/>
    <n v="0"/>
    <n v="0"/>
    <n v="0"/>
    <n v="0"/>
    <n v="0.9374933333333334"/>
    <n v="0"/>
    <n v="0"/>
    <n v="0.9374933333333334"/>
    <n v="0.5"/>
    <m/>
    <n v="0"/>
    <n v="1"/>
    <n v="0"/>
    <n v="0"/>
    <n v="8"/>
  </r>
  <r>
    <x v="2"/>
    <x v="3"/>
    <x v="3"/>
    <n v="27227"/>
    <s v="Lavender"/>
    <s v="RPET"/>
    <s v="Running"/>
    <n v="41.94"/>
    <n v="8"/>
    <n v="687"/>
    <n v="12"/>
    <n v="8243"/>
    <n v="1"/>
    <n v="41.94"/>
    <n v="8"/>
    <n v="552"/>
    <n v="12"/>
    <n v="6622"/>
    <n v="2"/>
    <n v="41.85"/>
    <n v="5"/>
    <n v="420"/>
    <n v="12"/>
    <n v="5039"/>
    <n v="1"/>
    <n v="19904"/>
    <n v="4"/>
    <n v="2.0096463022508038E-4"/>
    <m/>
    <n v="1"/>
    <n v="2"/>
    <n v="1"/>
    <n v="0"/>
    <n v="0"/>
    <n v="0"/>
    <n v="0"/>
    <n v="0"/>
    <n v="0"/>
    <n v="1.0004437499999999"/>
    <n v="0.80384999999999995"/>
    <n v="0.97650000000000003"/>
    <n v="0.92693124999999998"/>
    <n v="0"/>
    <n v="0"/>
    <n v="0"/>
    <n v="1"/>
    <n v="1"/>
    <n v="1"/>
    <n v="12"/>
  </r>
  <r>
    <x v="2"/>
    <x v="3"/>
    <x v="3"/>
    <n v="27298"/>
    <s v="Lavender"/>
    <s v="RPET"/>
    <s v="Running"/>
    <n v="0"/>
    <n v="0"/>
    <n v="0"/>
    <n v="0"/>
    <n v="0"/>
    <n v="0"/>
    <n v="0"/>
    <n v="0"/>
    <n v="0"/>
    <n v="0"/>
    <n v="0"/>
    <n v="0"/>
    <n v="41.85"/>
    <n v="3"/>
    <n v="264"/>
    <n v="12"/>
    <n v="3167"/>
    <n v="1"/>
    <n v="3167"/>
    <n v="1"/>
    <n v="3.1575623618566466E-4"/>
    <s v="Shift-3 转单27298"/>
    <n v="0"/>
    <n v="0"/>
    <n v="1"/>
    <n v="0"/>
    <n v="0"/>
    <n v="0"/>
    <n v="0"/>
    <n v="0"/>
    <n v="0"/>
    <n v="0"/>
    <n v="0"/>
    <n v="1.0229999999999999"/>
    <n v="1.0229999999999999"/>
    <n v="0"/>
    <n v="0"/>
    <n v="0"/>
    <n v="0"/>
    <n v="0"/>
    <n v="1"/>
    <n v="12"/>
  </r>
  <r>
    <x v="2"/>
    <x v="4"/>
    <x v="4"/>
    <n v="26455"/>
    <s v="White"/>
    <s v="RPET"/>
    <s v="Running"/>
    <n v="41.36"/>
    <n v="4"/>
    <n v="376"/>
    <n v="12"/>
    <n v="4487"/>
    <n v="25"/>
    <n v="41.36"/>
    <n v="8"/>
    <n v="694"/>
    <n v="12"/>
    <n v="8326"/>
    <n v="2"/>
    <n v="41.29"/>
    <n v="8"/>
    <n v="680"/>
    <n v="12"/>
    <n v="8159"/>
    <n v="1"/>
    <n v="20972"/>
    <n v="28"/>
    <n v="1.3351134846461949E-3"/>
    <s v="Shift-1 8:45-9:25AM, 12:20-14:45PM缺料停机"/>
    <n v="25"/>
    <n v="2"/>
    <n v="1"/>
    <n v="0"/>
    <n v="0"/>
    <n v="0"/>
    <n v="0"/>
    <n v="0"/>
    <n v="0"/>
    <n v="1.0799555555555556"/>
    <n v="0.99666111111111111"/>
    <n v="0.97490277777777778"/>
    <n v="1.0171731481481483"/>
    <n v="2"/>
    <n v="0"/>
    <n v="0"/>
    <n v="1"/>
    <n v="1"/>
    <n v="1"/>
    <n v="12"/>
  </r>
  <r>
    <x v="2"/>
    <x v="5"/>
    <x v="5"/>
    <n v="27423"/>
    <s v="White"/>
    <s v="RPET"/>
    <s v="Running"/>
    <n v="41.05"/>
    <n v="4.25"/>
    <n v="350"/>
    <n v="8"/>
    <n v="2785"/>
    <n v="15"/>
    <n v="41.05"/>
    <n v="8"/>
    <n v="701"/>
    <n v="8"/>
    <n v="5607"/>
    <n v="1"/>
    <n v="41.05"/>
    <n v="8"/>
    <n v="700"/>
    <n v="8"/>
    <n v="5599"/>
    <n v="1"/>
    <n v="13991"/>
    <n v="17"/>
    <n v="1.215066828675577E-3"/>
    <s v="Shift-1 8:45-9:25AM, 12:20-14:45PM缺料停机"/>
    <n v="15"/>
    <n v="1"/>
    <n v="1"/>
    <n v="0"/>
    <n v="0"/>
    <n v="0"/>
    <n v="0"/>
    <n v="0"/>
    <n v="0"/>
    <n v="0.93905228758169923"/>
    <n v="0.99916840277777774"/>
    <n v="0.99774305555555542"/>
    <n v="0.97865458197167754"/>
    <n v="2"/>
    <n v="0"/>
    <n v="0"/>
    <n v="1"/>
    <n v="1"/>
    <n v="1"/>
    <n v="8"/>
  </r>
  <r>
    <x v="2"/>
    <x v="6"/>
    <x v="6"/>
    <n v="26976"/>
    <s v="Black"/>
    <s v="RPET"/>
    <s v="Running"/>
    <n v="57.3"/>
    <n v="8"/>
    <n v="496"/>
    <n v="2"/>
    <n v="991"/>
    <n v="1"/>
    <n v="57.3"/>
    <n v="8"/>
    <n v="507"/>
    <n v="2"/>
    <n v="1014"/>
    <n v="0"/>
    <n v="57.2"/>
    <n v="8"/>
    <n v="504"/>
    <n v="2"/>
    <n v="1008"/>
    <n v="0"/>
    <n v="3013"/>
    <n v="1"/>
    <n v="3.3189512114171923E-4"/>
    <m/>
    <n v="1"/>
    <n v="0"/>
    <n v="0"/>
    <n v="0"/>
    <n v="0"/>
    <n v="0"/>
    <n v="0"/>
    <n v="0"/>
    <n v="0"/>
    <n v="0.98683333333333334"/>
    <n v="1.0087187499999999"/>
    <n v="1.0010000000000001"/>
    <n v="0.99885069444444452"/>
    <n v="0"/>
    <n v="0"/>
    <n v="0"/>
    <n v="1"/>
    <n v="1"/>
    <n v="1"/>
    <n v="2"/>
  </r>
  <r>
    <x v="3"/>
    <x v="0"/>
    <x v="0"/>
    <n v="25508"/>
    <s v="White"/>
    <s v="RPET"/>
    <s v="Running"/>
    <n v="41.56"/>
    <n v="8"/>
    <n v="697"/>
    <n v="12"/>
    <n v="8363"/>
    <n v="1"/>
    <n v="41.56"/>
    <n v="8"/>
    <n v="665"/>
    <n v="12"/>
    <n v="7978"/>
    <n v="2"/>
    <n v="41.588000000000001"/>
    <n v="8"/>
    <n v="685"/>
    <n v="12"/>
    <n v="8219"/>
    <n v="1"/>
    <n v="24560"/>
    <n v="4"/>
    <n v="1.6286644951140066E-4"/>
    <m/>
    <n v="1"/>
    <n v="2"/>
    <n v="1"/>
    <n v="0"/>
    <n v="0"/>
    <n v="0"/>
    <n v="0"/>
    <n v="0"/>
    <n v="0"/>
    <n v="1.0058097222222224"/>
    <n v="0.95963194444444444"/>
    <n v="0.98915902777777787"/>
    <n v="0.98486689814814821"/>
    <n v="0"/>
    <n v="0"/>
    <n v="0"/>
    <n v="1"/>
    <n v="1"/>
    <n v="1"/>
    <n v="12"/>
  </r>
  <r>
    <x v="3"/>
    <x v="1"/>
    <x v="1"/>
    <n v="26455"/>
    <s v="White"/>
    <s v="RPET"/>
    <s v="Running"/>
    <n v="41.06"/>
    <n v="7.5"/>
    <n v="667"/>
    <n v="12"/>
    <n v="7999"/>
    <n v="5"/>
    <n v="41.06"/>
    <n v="8"/>
    <n v="696"/>
    <n v="12"/>
    <n v="8351"/>
    <n v="1"/>
    <n v="41.65"/>
    <n v="8"/>
    <n v="709"/>
    <n v="12"/>
    <n v="8506"/>
    <n v="2"/>
    <n v="24856"/>
    <n v="8"/>
    <n v="3.2185387833923401E-4"/>
    <s v="Shift-1 9:00-9:30AM换剪刀"/>
    <n v="5"/>
    <n v="1"/>
    <n v="2"/>
    <n v="0"/>
    <n v="0"/>
    <n v="0"/>
    <n v="0"/>
    <n v="0"/>
    <n v="0"/>
    <n v="1.0143340740740741"/>
    <n v="0.99228333333333341"/>
    <n v="1.0253420138888889"/>
    <n v="1.0106531404320989"/>
    <n v="0"/>
    <n v="0.5"/>
    <n v="0"/>
    <n v="1"/>
    <n v="1"/>
    <n v="1"/>
    <n v="12"/>
  </r>
  <r>
    <x v="3"/>
    <x v="2"/>
    <x v="2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</r>
  <r>
    <x v="3"/>
    <x v="3"/>
    <x v="3"/>
    <n v="27298"/>
    <s v="Lavender"/>
    <s v="RPET"/>
    <s v="Running"/>
    <n v="41.81"/>
    <n v="7.5"/>
    <n v="517"/>
    <n v="12"/>
    <n v="6201"/>
    <n v="3"/>
    <n v="41.85"/>
    <n v="8"/>
    <n v="672"/>
    <n v="12"/>
    <n v="8063"/>
    <n v="1"/>
    <n v="41.83"/>
    <n v="8"/>
    <n v="684"/>
    <n v="12"/>
    <n v="8207"/>
    <n v="1"/>
    <n v="22471"/>
    <n v="5"/>
    <n v="2.225090116149704E-4"/>
    <s v="Shift-1 换剪刀"/>
    <n v="3"/>
    <n v="1"/>
    <n v="1"/>
    <n v="0"/>
    <n v="0"/>
    <n v="0"/>
    <n v="0"/>
    <n v="0"/>
    <n v="0"/>
    <n v="0.80058407407407406"/>
    <n v="0.97650000000000003"/>
    <n v="0.99346249999999992"/>
    <n v="0.923515524691358"/>
    <n v="0"/>
    <n v="0.5"/>
    <n v="0"/>
    <n v="1"/>
    <n v="1"/>
    <n v="1"/>
    <n v="12"/>
  </r>
  <r>
    <x v="3"/>
    <x v="4"/>
    <x v="4"/>
    <n v="26455"/>
    <s v="White"/>
    <s v="RPET"/>
    <s v="Running"/>
    <n v="41.26"/>
    <n v="8"/>
    <n v="697"/>
    <n v="12"/>
    <n v="8363"/>
    <n v="1"/>
    <n v="41.25"/>
    <n v="8"/>
    <n v="686"/>
    <n v="12"/>
    <n v="8230"/>
    <n v="2"/>
    <n v="41.31"/>
    <n v="8"/>
    <n v="684"/>
    <n v="12"/>
    <n v="8208"/>
    <n v="0"/>
    <n v="24801"/>
    <n v="3"/>
    <n v="1.2096286440062901E-4"/>
    <m/>
    <n v="1"/>
    <n v="2"/>
    <n v="0"/>
    <n v="0"/>
    <n v="0"/>
    <n v="0"/>
    <n v="0"/>
    <n v="0"/>
    <n v="0"/>
    <n v="0.99854930555555543"/>
    <n v="0.98255208333333333"/>
    <n v="0.98111250000000005"/>
    <n v="0.9874046296296296"/>
    <n v="0"/>
    <n v="0"/>
    <n v="0"/>
    <n v="1"/>
    <n v="1"/>
    <n v="1"/>
    <n v="12"/>
  </r>
  <r>
    <x v="3"/>
    <x v="5"/>
    <x v="5"/>
    <n v="27423"/>
    <s v="White"/>
    <s v="RPET"/>
    <s v="Running"/>
    <n v="41.05"/>
    <n v="8"/>
    <n v="700"/>
    <n v="8"/>
    <n v="5599"/>
    <n v="1"/>
    <n v="41.06"/>
    <n v="8"/>
    <n v="701"/>
    <n v="8"/>
    <n v="5608"/>
    <n v="0"/>
    <n v="41.06"/>
    <n v="8"/>
    <n v="699"/>
    <n v="8"/>
    <n v="5591"/>
    <n v="1"/>
    <n v="16798"/>
    <n v="2"/>
    <n v="1.1906179307060365E-4"/>
    <m/>
    <n v="1"/>
    <n v="0"/>
    <n v="1"/>
    <n v="0"/>
    <n v="0"/>
    <n v="0"/>
    <n v="0"/>
    <n v="0"/>
    <n v="0"/>
    <n v="0.99774305555555542"/>
    <n v="0.99941180555555564"/>
    <n v="0.99656041666666673"/>
    <n v="0.99790509259259252"/>
    <n v="0"/>
    <n v="0"/>
    <n v="0"/>
    <n v="1"/>
    <n v="1"/>
    <n v="1"/>
    <n v="8"/>
  </r>
  <r>
    <x v="3"/>
    <x v="6"/>
    <x v="6"/>
    <n v="26976"/>
    <s v="Black"/>
    <s v="RPET"/>
    <s v="Running"/>
    <n v="57.3"/>
    <n v="8"/>
    <n v="495"/>
    <n v="2"/>
    <n v="989"/>
    <n v="1"/>
    <n v="57.2"/>
    <n v="8"/>
    <n v="513"/>
    <n v="2"/>
    <n v="1026"/>
    <n v="0"/>
    <n v="57.2"/>
    <n v="8"/>
    <n v="504"/>
    <n v="2"/>
    <n v="1008"/>
    <n v="0"/>
    <n v="3023"/>
    <n v="1"/>
    <n v="3.3079722130334107E-4"/>
    <m/>
    <n v="1"/>
    <n v="0"/>
    <n v="0"/>
    <n v="0"/>
    <n v="0"/>
    <n v="0"/>
    <n v="0"/>
    <n v="0"/>
    <n v="0"/>
    <n v="0.98484375000000002"/>
    <n v="1.018875"/>
    <n v="1.0010000000000001"/>
    <n v="1.0015729166666667"/>
    <n v="0"/>
    <n v="0"/>
    <n v="0"/>
    <n v="1"/>
    <n v="1"/>
    <n v="1"/>
    <n v="2"/>
  </r>
  <r>
    <x v="4"/>
    <x v="0"/>
    <x v="0"/>
    <n v="25508"/>
    <s v="White"/>
    <s v="RPET"/>
    <s v="Running"/>
    <n v="41.56"/>
    <n v="7.5"/>
    <n v="651"/>
    <n v="12"/>
    <n v="7807"/>
    <n v="5"/>
    <n v="41.56"/>
    <n v="6"/>
    <n v="520"/>
    <n v="12"/>
    <n v="6239"/>
    <n v="1"/>
    <n v="41.55"/>
    <n v="7"/>
    <n v="578"/>
    <n v="12"/>
    <n v="6935"/>
    <n v="1"/>
    <n v="20981"/>
    <n v="7"/>
    <n v="3.3363519374672324E-4"/>
    <s v="漏气，数次缺料"/>
    <n v="5"/>
    <n v="1"/>
    <n v="1"/>
    <n v="0"/>
    <n v="0"/>
    <n v="0"/>
    <n v="0"/>
    <n v="0"/>
    <n v="0"/>
    <n v="1.0020577777777779"/>
    <n v="1.0005185185185186"/>
    <n v="0.95301190476190467"/>
    <n v="0.98519606701940032"/>
    <n v="1.5"/>
    <n v="0"/>
    <n v="0"/>
    <n v="1"/>
    <n v="1"/>
    <n v="1"/>
    <n v="12"/>
  </r>
  <r>
    <x v="4"/>
    <x v="1"/>
    <x v="1"/>
    <n v="26455"/>
    <s v="White"/>
    <s v="RPET"/>
    <s v="Running"/>
    <n v="41.06"/>
    <n v="7.5"/>
    <n v="646"/>
    <n v="12"/>
    <n v="7744"/>
    <n v="8"/>
    <n v="41.06"/>
    <n v="6"/>
    <n v="568"/>
    <n v="12"/>
    <n v="6811"/>
    <n v="5"/>
    <n v="41.05"/>
    <n v="7.5"/>
    <n v="645"/>
    <n v="12"/>
    <n v="7736"/>
    <n v="4"/>
    <n v="22291"/>
    <n v="17"/>
    <n v="7.6263963034408505E-4"/>
    <s v="漏气，数次缺料"/>
    <n v="8"/>
    <n v="5"/>
    <n v="4"/>
    <n v="0"/>
    <n v="0"/>
    <n v="0"/>
    <n v="0"/>
    <n v="0"/>
    <n v="0"/>
    <n v="0.98239851851851856"/>
    <n v="1.079725925925926"/>
    <n v="0.98063888888888873"/>
    <n v="1.0142544444444443"/>
    <n v="2"/>
    <n v="0"/>
    <n v="0"/>
    <n v="1"/>
    <n v="1"/>
    <n v="1"/>
    <n v="12"/>
  </r>
  <r>
    <x v="4"/>
    <x v="2"/>
    <x v="2"/>
    <n v="27328"/>
    <s v="White"/>
    <s v="RPET"/>
    <s v="Running"/>
    <n v="41.06"/>
    <n v="5.5"/>
    <n v="456"/>
    <n v="8"/>
    <n v="3638"/>
    <n v="10"/>
    <n v="41.06"/>
    <n v="6"/>
    <n v="533"/>
    <n v="8"/>
    <n v="4256"/>
    <n v="8"/>
    <n v="42.66"/>
    <n v="7.5"/>
    <n v="560"/>
    <n v="8"/>
    <n v="4479"/>
    <n v="1"/>
    <n v="12373"/>
    <n v="19"/>
    <n v="1.5356017134082276E-3"/>
    <s v="漏气，数次缺料"/>
    <n v="10"/>
    <n v="8"/>
    <n v="1"/>
    <n v="0"/>
    <n v="0"/>
    <n v="0"/>
    <n v="0"/>
    <n v="0"/>
    <n v="0"/>
    <n v="0.94562424242424248"/>
    <n v="1.0131935185185186"/>
    <n v="0.88479999999999992"/>
    <n v="0.94787258698092025"/>
    <n v="2"/>
    <m/>
    <n v="0"/>
    <n v="1"/>
    <n v="1"/>
    <n v="1"/>
    <n v="8"/>
  </r>
  <r>
    <x v="4"/>
    <x v="3"/>
    <x v="3"/>
    <n v="27298"/>
    <s v="Lavender"/>
    <s v="RPET"/>
    <s v="Running"/>
    <n v="41.82"/>
    <n v="8"/>
    <n v="745"/>
    <n v="12"/>
    <n v="8932"/>
    <n v="8"/>
    <n v="41.82"/>
    <n v="2.5"/>
    <n v="227"/>
    <n v="12"/>
    <n v="2722"/>
    <n v="2"/>
    <n v="0"/>
    <n v="0"/>
    <n v="0"/>
    <n v="0"/>
    <n v="0"/>
    <n v="0"/>
    <n v="11654"/>
    <n v="10"/>
    <n v="8.5807448086493902E-4"/>
    <s v="漏气，数次缺料"/>
    <n v="8"/>
    <n v="2"/>
    <n v="0"/>
    <n v="0"/>
    <n v="0"/>
    <n v="0"/>
    <n v="0"/>
    <n v="0"/>
    <n v="0"/>
    <n v="1.0818020833333333"/>
    <n v="1.0547933333333332"/>
    <n v="0"/>
    <n v="1.0682977083333332"/>
    <n v="1"/>
    <n v="0"/>
    <n v="0"/>
    <n v="1"/>
    <n v="1"/>
    <n v="0"/>
    <n v="12"/>
  </r>
  <r>
    <x v="4"/>
    <x v="4"/>
    <x v="4"/>
    <n v="26455"/>
    <s v="White"/>
    <s v="RPET"/>
    <s v="Running"/>
    <n v="41.36"/>
    <n v="7.5"/>
    <n v="624"/>
    <n v="12"/>
    <n v="7480"/>
    <n v="8"/>
    <n v="41.35"/>
    <n v="6"/>
    <n v="489"/>
    <n v="12"/>
    <n v="5860"/>
    <n v="8"/>
    <n v="41.35"/>
    <n v="7.5"/>
    <n v="600"/>
    <n v="12"/>
    <n v="7198"/>
    <n v="2"/>
    <n v="20538"/>
    <n v="18"/>
    <n v="8.7642418930762491E-4"/>
    <s v="漏气，数次缺料"/>
    <n v="8"/>
    <n v="8"/>
    <n v="2"/>
    <n v="0"/>
    <n v="0"/>
    <n v="0"/>
    <n v="0"/>
    <n v="0"/>
    <n v="0"/>
    <n v="0.95587555555555559"/>
    <n v="0.93611805555555561"/>
    <n v="0.91888888888888887"/>
    <n v="0.93696083333333335"/>
    <n v="2"/>
    <n v="0"/>
    <n v="0"/>
    <n v="1"/>
    <n v="1"/>
    <n v="1"/>
    <n v="12"/>
  </r>
  <r>
    <x v="4"/>
    <x v="5"/>
    <x v="5"/>
    <n v="27423"/>
    <s v="White"/>
    <s v="RPET"/>
    <s v="Running"/>
    <n v="41.06"/>
    <n v="7.5"/>
    <n v="625"/>
    <n v="8"/>
    <n v="4991"/>
    <n v="9"/>
    <n v="41.05"/>
    <n v="6"/>
    <n v="475"/>
    <n v="8"/>
    <n v="3795"/>
    <n v="5"/>
    <n v="41.05"/>
    <n v="7.5"/>
    <n v="661"/>
    <n v="8"/>
    <n v="5286"/>
    <n v="2"/>
    <n v="14072"/>
    <n v="16"/>
    <n v="1.1370096645821489E-3"/>
    <s v="漏气，数次缺料"/>
    <n v="9"/>
    <n v="5"/>
    <n v="2"/>
    <n v="0"/>
    <n v="0"/>
    <n v="0"/>
    <n v="0"/>
    <n v="0"/>
    <n v="0"/>
    <n v="0.95046296296296295"/>
    <n v="0.90271990740740737"/>
    <n v="1.0049648148148147"/>
    <n v="0.95271589506172827"/>
    <n v="2"/>
    <n v="0"/>
    <n v="0"/>
    <n v="1"/>
    <n v="1"/>
    <n v="1"/>
    <n v="8"/>
  </r>
  <r>
    <x v="4"/>
    <x v="6"/>
    <x v="6"/>
    <n v="26976"/>
    <s v="Black"/>
    <s v="RPET"/>
    <s v="Running"/>
    <n v="57.3"/>
    <n v="8"/>
    <n v="485"/>
    <n v="2"/>
    <n v="970"/>
    <n v="0"/>
    <n v="57.3"/>
    <n v="8"/>
    <n v="527"/>
    <n v="2"/>
    <n v="1053"/>
    <n v="1"/>
    <n v="56.6"/>
    <n v="8"/>
    <n v="503"/>
    <n v="2"/>
    <n v="1005"/>
    <n v="1"/>
    <n v="3028"/>
    <n v="2"/>
    <n v="6.6050198150594452E-4"/>
    <m/>
    <n v="0"/>
    <n v="1"/>
    <n v="1"/>
    <n v="0"/>
    <n v="0"/>
    <n v="0"/>
    <n v="0"/>
    <n v="0"/>
    <n v="0"/>
    <n v="0.96494791666666668"/>
    <n v="1.0485104166666666"/>
    <n v="0.98853472222222216"/>
    <n v="1.0006643518518519"/>
    <n v="0"/>
    <n v="0"/>
    <n v="0"/>
    <n v="1"/>
    <n v="1"/>
    <n v="1"/>
    <n v="2"/>
  </r>
  <r>
    <x v="5"/>
    <x v="0"/>
    <x v="0"/>
    <n v="25508"/>
    <s v="White"/>
    <s v="RPET"/>
    <s v="Running"/>
    <n v="41.53"/>
    <n v="8"/>
    <n v="700"/>
    <n v="12"/>
    <n v="8398"/>
    <n v="2"/>
    <n v="41.52"/>
    <n v="8"/>
    <n v="683"/>
    <n v="12"/>
    <n v="8195"/>
    <n v="1"/>
    <n v="41.71"/>
    <n v="8"/>
    <n v="679"/>
    <n v="12"/>
    <n v="8147"/>
    <n v="1"/>
    <n v="24740"/>
    <n v="4"/>
    <n v="1.6168148746968473E-4"/>
    <m/>
    <n v="2"/>
    <n v="1"/>
    <n v="1"/>
    <n v="0"/>
    <n v="0"/>
    <n v="0"/>
    <n v="0"/>
    <n v="0"/>
    <n v="0"/>
    <n v="1.0094097222222222"/>
    <n v="0.98465833333333341"/>
    <n v="0.98337118055555561"/>
    <n v="0.99247974537037054"/>
    <n v="0"/>
    <n v="0"/>
    <n v="0"/>
    <n v="1"/>
    <n v="1"/>
    <n v="1"/>
    <n v="12"/>
  </r>
  <r>
    <x v="5"/>
    <x v="1"/>
    <x v="1"/>
    <n v="26455"/>
    <s v="White"/>
    <s v="RPET"/>
    <s v="Running"/>
    <n v="41.06"/>
    <n v="8"/>
    <n v="685"/>
    <n v="12"/>
    <n v="8219"/>
    <n v="1"/>
    <n v="41.04"/>
    <n v="8"/>
    <n v="697"/>
    <n v="12"/>
    <n v="8363"/>
    <n v="1"/>
    <n v="41.08"/>
    <n v="8"/>
    <n v="708"/>
    <n v="12"/>
    <n v="8496"/>
    <n v="0"/>
    <n v="25078"/>
    <n v="2"/>
    <n v="7.975117632985087E-5"/>
    <m/>
    <n v="1"/>
    <n v="1"/>
    <n v="0"/>
    <n v="0"/>
    <n v="0"/>
    <n v="0"/>
    <n v="0"/>
    <n v="0"/>
    <n v="0"/>
    <n v="0.97660069444444453"/>
    <n v="0.99322500000000002"/>
    <n v="1.0098833333333332"/>
    <n v="0.99323634259259264"/>
    <n v="0"/>
    <n v="0"/>
    <n v="0"/>
    <n v="1"/>
    <n v="1"/>
    <n v="1"/>
    <n v="12"/>
  </r>
  <r>
    <x v="5"/>
    <x v="2"/>
    <x v="2"/>
    <n v="27328"/>
    <s v="White"/>
    <s v="RPET"/>
    <s v="Running"/>
    <n v="42.17"/>
    <n v="8"/>
    <n v="683"/>
    <n v="8"/>
    <n v="5461"/>
    <n v="3"/>
    <n v="42.17"/>
    <n v="8"/>
    <n v="680"/>
    <n v="8"/>
    <n v="5439"/>
    <n v="1"/>
    <n v="41.71"/>
    <n v="8"/>
    <n v="692"/>
    <n v="8"/>
    <n v="5535"/>
    <n v="1"/>
    <n v="16435"/>
    <n v="5"/>
    <n v="3.0422878004259202E-4"/>
    <m/>
    <n v="3"/>
    <n v="1"/>
    <n v="1"/>
    <n v="0"/>
    <n v="0"/>
    <n v="0"/>
    <n v="0"/>
    <n v="0"/>
    <n v="0"/>
    <n v="1.000073263888889"/>
    <n v="0.99568055555555568"/>
    <n v="1.0021986111111112"/>
    <n v="0.9993174768518519"/>
    <n v="0"/>
    <m/>
    <n v="0"/>
    <n v="1"/>
    <n v="1"/>
    <n v="1"/>
    <n v="8"/>
  </r>
  <r>
    <x v="5"/>
    <x v="3"/>
    <x v="3"/>
    <n v="27228"/>
    <s v="Teal"/>
    <s v="RPET"/>
    <s v="Running"/>
    <n v="41.72"/>
    <n v="3"/>
    <n v="277"/>
    <n v="12"/>
    <n v="3124"/>
    <n v="200"/>
    <n v="41.72"/>
    <n v="8"/>
    <n v="684"/>
    <n v="12"/>
    <n v="8206"/>
    <n v="2"/>
    <n v="41.67"/>
    <n v="8"/>
    <n v="636"/>
    <n v="12"/>
    <n v="7631"/>
    <n v="1"/>
    <n v="18961"/>
    <n v="203"/>
    <n v="1.070618638257476E-2"/>
    <s v="Shift-3 机械手故障2次"/>
    <n v="200"/>
    <n v="2"/>
    <n v="1"/>
    <n v="0"/>
    <n v="0"/>
    <n v="0"/>
    <n v="0"/>
    <n v="0"/>
    <n v="0"/>
    <n v="1.0700407407407408"/>
    <n v="0.99085000000000001"/>
    <n v="0.9202125000000001"/>
    <n v="0.99370108024691373"/>
    <n v="0.5"/>
    <n v="0"/>
    <n v="0"/>
    <n v="1"/>
    <n v="1"/>
    <n v="1"/>
    <n v="12"/>
  </r>
  <r>
    <x v="5"/>
    <x v="4"/>
    <x v="4"/>
    <n v="26455"/>
    <s v="White"/>
    <s v="RPET"/>
    <s v="Running"/>
    <n v="41.25"/>
    <n v="8"/>
    <n v="683"/>
    <n v="12"/>
    <n v="8195"/>
    <n v="1"/>
    <n v="41.26"/>
    <n v="8"/>
    <n v="696"/>
    <n v="12"/>
    <n v="8351"/>
    <n v="1"/>
    <n v="41.3"/>
    <n v="8"/>
    <n v="696"/>
    <n v="12"/>
    <n v="8352"/>
    <n v="0"/>
    <n v="24898"/>
    <n v="2"/>
    <n v="8.032773716764399E-5"/>
    <m/>
    <n v="1"/>
    <n v="1"/>
    <n v="0"/>
    <n v="0"/>
    <n v="0"/>
    <n v="0"/>
    <n v="0"/>
    <n v="0"/>
    <n v="0"/>
    <n v="0.97825520833333335"/>
    <n v="0.99711666666666665"/>
    <n v="0.99808333333333332"/>
    <n v="0.99115173611111107"/>
    <n v="0"/>
    <n v="0"/>
    <n v="0"/>
    <n v="1"/>
    <n v="1"/>
    <n v="1"/>
    <n v="12"/>
  </r>
  <r>
    <x v="5"/>
    <x v="5"/>
    <x v="5"/>
    <n v="27423"/>
    <s v="White"/>
    <s v="RPET"/>
    <s v="Running"/>
    <n v="41.05"/>
    <n v="8"/>
    <n v="702"/>
    <n v="8"/>
    <n v="5616"/>
    <n v="0"/>
    <n v="41.25"/>
    <n v="8"/>
    <n v="701"/>
    <n v="8"/>
    <n v="5607"/>
    <n v="1"/>
    <n v="41.25"/>
    <n v="8"/>
    <n v="700"/>
    <n v="8"/>
    <n v="5599"/>
    <n v="1"/>
    <n v="16822"/>
    <n v="2"/>
    <n v="1.1889192723814053E-4"/>
    <m/>
    <n v="0"/>
    <n v="1"/>
    <n v="1"/>
    <n v="0"/>
    <n v="0"/>
    <n v="0"/>
    <n v="0"/>
    <n v="0"/>
    <n v="0"/>
    <n v="1.0005937499999999"/>
    <n v="1.0040364583333334"/>
    <n v="1.0026041666666667"/>
    <n v="1.0024114583333334"/>
    <n v="0"/>
    <n v="0"/>
    <n v="0"/>
    <n v="1"/>
    <n v="1"/>
    <n v="1"/>
    <n v="8"/>
  </r>
  <r>
    <x v="5"/>
    <x v="6"/>
    <x v="6"/>
    <n v="26976"/>
    <s v="Black"/>
    <s v="RPET"/>
    <s v="Running"/>
    <n v="56.6"/>
    <n v="8"/>
    <n v="485"/>
    <n v="2"/>
    <n v="969"/>
    <n v="1"/>
    <n v="56.6"/>
    <n v="8"/>
    <n v="517"/>
    <n v="2"/>
    <n v="1034"/>
    <n v="0"/>
    <n v="57.6"/>
    <n v="8"/>
    <n v="528"/>
    <n v="2"/>
    <n v="1056"/>
    <n v="0"/>
    <n v="3059"/>
    <n v="1"/>
    <n v="3.2690421706440013E-4"/>
    <m/>
    <n v="1"/>
    <n v="0"/>
    <n v="0"/>
    <n v="0"/>
    <n v="0"/>
    <n v="0"/>
    <n v="0"/>
    <n v="0"/>
    <n v="0"/>
    <n v="0.95315972222222223"/>
    <n v="1.0160486111111111"/>
    <n v="1.056"/>
    <n v="1.0084027777777778"/>
    <n v="0"/>
    <n v="0"/>
    <n v="0"/>
    <n v="1"/>
    <n v="1"/>
    <n v="1"/>
    <n v="2"/>
  </r>
  <r>
    <x v="6"/>
    <x v="0"/>
    <x v="0"/>
    <n v="25508"/>
    <s v="White"/>
    <s v="RPET"/>
    <s v="Running"/>
    <n v="41.55"/>
    <n v="7.5"/>
    <n v="665"/>
    <n v="12"/>
    <n v="7970"/>
    <n v="10"/>
    <n v="41.55"/>
    <n v="8"/>
    <n v="667"/>
    <n v="12"/>
    <n v="8002"/>
    <n v="2"/>
    <n v="41.55"/>
    <n v="8"/>
    <n v="685"/>
    <n v="12"/>
    <n v="8219"/>
    <n v="1"/>
    <n v="24191"/>
    <n v="13"/>
    <n v="5.3738993840684549E-4"/>
    <s v="Shift-1 9:00-9:30AM维修剪刀"/>
    <n v="10"/>
    <n v="2"/>
    <n v="1"/>
    <n v="0"/>
    <n v="0"/>
    <n v="0"/>
    <n v="0"/>
    <n v="0"/>
    <n v="0"/>
    <n v="1.0233611111111109"/>
    <n v="0.96228645833333326"/>
    <n v="0.98825520833333325"/>
    <n v="0.99130092592592589"/>
    <n v="0"/>
    <n v="0"/>
    <n v="0"/>
    <n v="1"/>
    <n v="1"/>
    <n v="1"/>
    <n v="12"/>
  </r>
  <r>
    <x v="6"/>
    <x v="1"/>
    <x v="1"/>
    <n v="26455"/>
    <s v="White"/>
    <s v="RPET"/>
    <s v="Running"/>
    <n v="41.06"/>
    <n v="8"/>
    <n v="685"/>
    <n v="12"/>
    <n v="8219"/>
    <n v="1"/>
    <n v="41.25"/>
    <n v="8"/>
    <n v="696"/>
    <n v="12"/>
    <n v="8352"/>
    <n v="0"/>
    <n v="41.06"/>
    <n v="8"/>
    <n v="708"/>
    <n v="12"/>
    <n v="8495"/>
    <n v="1"/>
    <n v="25066"/>
    <n v="2"/>
    <n v="7.9789356099896279E-5"/>
    <m/>
    <n v="1"/>
    <n v="0"/>
    <n v="1"/>
    <n v="0"/>
    <n v="0"/>
    <n v="0"/>
    <n v="0"/>
    <n v="0"/>
    <n v="0"/>
    <n v="0.97660069444444453"/>
    <n v="0.99687499999999996"/>
    <n v="1.0093916666666667"/>
    <n v="0.99428912037037043"/>
    <n v="0"/>
    <n v="0"/>
    <n v="0"/>
    <n v="1"/>
    <n v="1"/>
    <n v="1"/>
    <n v="12"/>
  </r>
  <r>
    <x v="6"/>
    <x v="2"/>
    <x v="2"/>
    <n v="27328"/>
    <s v="White"/>
    <s v="RPET"/>
    <s v="Running"/>
    <n v="41.75"/>
    <n v="8"/>
    <n v="692"/>
    <n v="12"/>
    <n v="8303"/>
    <n v="1"/>
    <n v="41.75"/>
    <n v="8"/>
    <n v="656"/>
    <n v="8"/>
    <n v="5246"/>
    <n v="2"/>
    <n v="41.6"/>
    <n v="8"/>
    <n v="683"/>
    <n v="8"/>
    <n v="5463"/>
    <n v="1"/>
    <n v="19012"/>
    <n v="4"/>
    <n v="2.1039343572480537E-4"/>
    <m/>
    <n v="1"/>
    <n v="2"/>
    <n v="1"/>
    <n v="0"/>
    <n v="0"/>
    <n v="0"/>
    <n v="0"/>
    <n v="0"/>
    <n v="0"/>
    <n v="1.0031597222222222"/>
    <n v="0.95097222222222222"/>
    <n v="0.98655555555555552"/>
    <n v="0.9802291666666666"/>
    <n v="0"/>
    <m/>
    <n v="0"/>
    <n v="1"/>
    <n v="1"/>
    <n v="1"/>
    <n v="12"/>
  </r>
  <r>
    <x v="6"/>
    <x v="3"/>
    <x v="3"/>
    <n v="27228"/>
    <s v="Teal"/>
    <s v="RPET"/>
    <s v="Running"/>
    <n v="41.66"/>
    <n v="8"/>
    <n v="684"/>
    <n v="12"/>
    <n v="8207"/>
    <n v="1"/>
    <n v="41.66"/>
    <n v="8"/>
    <n v="684"/>
    <n v="12"/>
    <n v="8208"/>
    <n v="0"/>
    <n v="41.65"/>
    <n v="2"/>
    <n v="156"/>
    <n v="12"/>
    <n v="1872"/>
    <n v="0"/>
    <n v="18287"/>
    <n v="1"/>
    <n v="5.4683655055503911E-5"/>
    <m/>
    <n v="1"/>
    <n v="0"/>
    <n v="0"/>
    <n v="0"/>
    <n v="0"/>
    <n v="0"/>
    <n v="0"/>
    <n v="0"/>
    <n v="0"/>
    <n v="0.989425"/>
    <n v="0.989425"/>
    <n v="0.90241666666666664"/>
    <n v="0.96042222222222229"/>
    <n v="0"/>
    <n v="0"/>
    <n v="0"/>
    <n v="1"/>
    <n v="1"/>
    <n v="1"/>
    <n v="12"/>
  </r>
  <r>
    <x v="6"/>
    <x v="3"/>
    <x v="3"/>
    <n v="27221"/>
    <s v="Clear"/>
    <s v="RPET"/>
    <s v="Running"/>
    <n v="0"/>
    <n v="0"/>
    <n v="0"/>
    <n v="0"/>
    <n v="0"/>
    <n v="0"/>
    <n v="0"/>
    <n v="0"/>
    <n v="0"/>
    <n v="0"/>
    <n v="0"/>
    <n v="0"/>
    <n v="41.65"/>
    <n v="5.5"/>
    <n v="384"/>
    <n v="12"/>
    <n v="4558"/>
    <n v="50"/>
    <n v="4558"/>
    <n v="50"/>
    <n v="1.0969723562966213E-2"/>
    <s v="Shift-3 转单27221"/>
    <n v="0"/>
    <n v="0"/>
    <n v="50"/>
    <n v="0"/>
    <n v="0"/>
    <n v="0"/>
    <n v="0"/>
    <n v="0"/>
    <n v="0"/>
    <n v="0"/>
    <n v="0"/>
    <n v="0.80775757575757567"/>
    <n v="0.80775757575757567"/>
    <n v="0"/>
    <n v="0"/>
    <n v="0"/>
    <n v="0"/>
    <n v="0"/>
    <n v="1"/>
    <n v="12"/>
  </r>
  <r>
    <x v="6"/>
    <x v="4"/>
    <x v="4"/>
    <n v="26455"/>
    <s v="White"/>
    <s v="RPET"/>
    <s v="Running"/>
    <n v="41.35"/>
    <n v="7"/>
    <n v="607"/>
    <n v="12"/>
    <n v="7249"/>
    <n v="35"/>
    <n v="41.24"/>
    <n v="8"/>
    <n v="697"/>
    <n v="12"/>
    <n v="8364"/>
    <n v="0"/>
    <n v="41.3"/>
    <n v="8"/>
    <n v="696"/>
    <n v="12"/>
    <n v="8351"/>
    <n v="1"/>
    <n v="23964"/>
    <n v="36"/>
    <n v="1.5022533800701052E-3"/>
    <s v="Shift-1 维修侧射炮筒"/>
    <n v="35"/>
    <n v="0"/>
    <n v="1"/>
    <n v="0"/>
    <n v="0"/>
    <n v="0"/>
    <n v="0"/>
    <n v="0"/>
    <n v="0"/>
    <n v="0.99600992063492066"/>
    <n v="0.99806527777777787"/>
    <n v="0.99808333333333332"/>
    <n v="0.99738617724867729"/>
    <n v="0"/>
    <n v="0"/>
    <n v="0"/>
    <n v="1"/>
    <n v="1"/>
    <n v="1"/>
    <n v="12"/>
  </r>
  <r>
    <x v="6"/>
    <x v="5"/>
    <x v="5"/>
    <n v="27423"/>
    <s v="White"/>
    <s v="RPET"/>
    <s v="Running"/>
    <n v="41.04"/>
    <n v="8"/>
    <n v="702"/>
    <n v="8"/>
    <n v="5615"/>
    <n v="1"/>
    <n v="41.06"/>
    <n v="8"/>
    <n v="676"/>
    <n v="8"/>
    <n v="5407"/>
    <n v="1"/>
    <n v="41.06"/>
    <n v="8"/>
    <n v="701"/>
    <n v="8"/>
    <n v="5608"/>
    <n v="0"/>
    <n v="16630"/>
    <n v="2"/>
    <n v="1.2026458208057727E-4"/>
    <m/>
    <n v="1"/>
    <n v="1"/>
    <n v="0"/>
    <n v="0"/>
    <n v="0"/>
    <n v="0"/>
    <n v="0"/>
    <n v="0"/>
    <n v="0"/>
    <n v="1.0003499999999999"/>
    <n v="0.96376944444444446"/>
    <n v="0.99941180555555564"/>
    <n v="0.98784375000000002"/>
    <n v="0"/>
    <n v="0"/>
    <n v="0"/>
    <n v="1"/>
    <n v="1"/>
    <n v="1"/>
    <n v="8"/>
  </r>
  <r>
    <x v="6"/>
    <x v="6"/>
    <x v="6"/>
    <n v="26976"/>
    <s v="Black"/>
    <s v="RPET"/>
    <s v="Running"/>
    <n v="56.7"/>
    <n v="4"/>
    <n v="160"/>
    <n v="2"/>
    <n v="320"/>
    <n v="0"/>
    <n v="56.7"/>
    <n v="8"/>
    <n v="500"/>
    <n v="2"/>
    <n v="999"/>
    <n v="1"/>
    <n v="56.7"/>
    <n v="8"/>
    <n v="509"/>
    <n v="2"/>
    <n v="1018"/>
    <n v="0"/>
    <n v="2337"/>
    <n v="1"/>
    <n v="4.2789901583226359E-4"/>
    <m/>
    <n v="0"/>
    <n v="1"/>
    <n v="0"/>
    <n v="0"/>
    <n v="0"/>
    <n v="0"/>
    <n v="0"/>
    <n v="0"/>
    <n v="0"/>
    <n v="0.63"/>
    <n v="0.984375"/>
    <n v="1.00209375"/>
    <n v="0.87215625000000008"/>
    <n v="0"/>
    <n v="0"/>
    <n v="0"/>
    <n v="1"/>
    <n v="1"/>
    <n v="1"/>
    <n v="2"/>
  </r>
  <r>
    <x v="7"/>
    <x v="0"/>
    <x v="0"/>
    <n v="26944"/>
    <s v="White"/>
    <s v="RPET"/>
    <s v="Running"/>
    <n v="41.53"/>
    <n v="4"/>
    <n v="348"/>
    <n v="12"/>
    <n v="4176"/>
    <n v="0"/>
    <n v="0"/>
    <n v="0"/>
    <n v="0"/>
    <n v="0"/>
    <n v="0"/>
    <n v="0"/>
    <n v="0"/>
    <n v="0"/>
    <n v="0"/>
    <n v="0"/>
    <n v="0"/>
    <n v="0"/>
    <n v="4176"/>
    <n v="0"/>
    <n v="0"/>
    <s v="Shift-1 12:00PM停机试料"/>
    <n v="0"/>
    <n v="0"/>
    <n v="0"/>
    <n v="0"/>
    <n v="0"/>
    <n v="0"/>
    <n v="0"/>
    <n v="0"/>
    <n v="0"/>
    <n v="1.0036416666666668"/>
    <n v="0"/>
    <n v="0"/>
    <n v="1.0036416666666668"/>
    <n v="0"/>
    <n v="0"/>
    <n v="0"/>
    <n v="1"/>
    <n v="0"/>
    <n v="0"/>
    <n v="12"/>
  </r>
  <r>
    <x v="7"/>
    <x v="1"/>
    <x v="1"/>
    <n v="26455"/>
    <s v="White"/>
    <s v="RPET"/>
    <s v="Running"/>
    <n v="41.06"/>
    <n v="7.5"/>
    <n v="638"/>
    <n v="12"/>
    <n v="7646"/>
    <n v="10"/>
    <n v="41.06"/>
    <n v="8"/>
    <n v="696"/>
    <n v="12"/>
    <n v="8350"/>
    <n v="2"/>
    <n v="41.05"/>
    <n v="8"/>
    <n v="700"/>
    <n v="12"/>
    <n v="8398"/>
    <n v="2"/>
    <n v="24394"/>
    <n v="14"/>
    <n v="5.7391161761088797E-4"/>
    <s v="Shift-1 13:30-14:00缺料"/>
    <n v="10"/>
    <n v="2"/>
    <n v="2"/>
    <n v="0"/>
    <n v="0"/>
    <n v="0"/>
    <n v="0"/>
    <n v="0"/>
    <n v="0"/>
    <n v="0.97023259259259265"/>
    <n v="0.99228333333333341"/>
    <n v="0.99774305555555542"/>
    <n v="0.98675299382716053"/>
    <n v="0"/>
    <n v="0"/>
    <n v="0"/>
    <n v="1"/>
    <n v="1"/>
    <n v="1"/>
    <n v="12"/>
  </r>
  <r>
    <x v="7"/>
    <x v="2"/>
    <x v="2"/>
    <n v="27328"/>
    <s v="White"/>
    <s v="RPET"/>
    <s v="Running"/>
    <n v="41.61"/>
    <n v="7.5"/>
    <n v="655"/>
    <n v="8"/>
    <n v="5228"/>
    <n v="12"/>
    <n v="41.61"/>
    <n v="8"/>
    <n v="692"/>
    <n v="8"/>
    <n v="5535"/>
    <n v="1"/>
    <n v="41.64"/>
    <n v="8"/>
    <n v="686"/>
    <n v="8"/>
    <n v="5486"/>
    <n v="2"/>
    <n v="16249"/>
    <n v="15"/>
    <n v="9.2313373130654193E-4"/>
    <s v="Shift-1 13:30-14:00缺料"/>
    <n v="12"/>
    <n v="1"/>
    <n v="2"/>
    <n v="0"/>
    <n v="0"/>
    <n v="0"/>
    <n v="0"/>
    <n v="0"/>
    <n v="0"/>
    <n v="1.0094277777777778"/>
    <n v="0.99979583333333333"/>
    <n v="0.99184166666666673"/>
    <n v="1.0003550925925926"/>
    <n v="0"/>
    <m/>
    <n v="0"/>
    <n v="1"/>
    <n v="1"/>
    <n v="1"/>
    <n v="8"/>
  </r>
  <r>
    <x v="7"/>
    <x v="3"/>
    <x v="3"/>
    <n v="27221"/>
    <s v="Clear"/>
    <s v="RPET"/>
    <s v="Running"/>
    <n v="41.65"/>
    <n v="7"/>
    <n v="603"/>
    <n v="12"/>
    <n v="7234"/>
    <n v="2"/>
    <n v="41.65"/>
    <n v="4"/>
    <n v="348"/>
    <n v="12"/>
    <n v="4161"/>
    <n v="15"/>
    <n v="41.65"/>
    <n v="8"/>
    <n v="684"/>
    <n v="12"/>
    <n v="8207"/>
    <n v="1"/>
    <n v="19602"/>
    <n v="18"/>
    <n v="9.1827364554637281E-4"/>
    <s v="Shift-1 14:56缺料"/>
    <n v="2"/>
    <n v="15"/>
    <n v="1"/>
    <n v="0"/>
    <n v="0"/>
    <n v="0"/>
    <n v="0"/>
    <n v="0"/>
    <n v="0"/>
    <n v="0.99662499999999998"/>
    <n v="1.0065416666666667"/>
    <n v="0.9891875"/>
    <n v="0.99745138888888885"/>
    <n v="0"/>
    <n v="0"/>
    <n v="0"/>
    <n v="1"/>
    <n v="1"/>
    <n v="1"/>
    <n v="12"/>
  </r>
  <r>
    <x v="7"/>
    <x v="4"/>
    <x v="4"/>
    <n v="26455"/>
    <s v="White"/>
    <s v="RPET"/>
    <s v="Running"/>
    <n v="41.24"/>
    <n v="7.5"/>
    <n v="654"/>
    <n v="12"/>
    <n v="7840"/>
    <n v="8"/>
    <n v="41.24"/>
    <n v="8"/>
    <n v="696"/>
    <n v="12"/>
    <n v="8351"/>
    <n v="1"/>
    <n v="41.31"/>
    <n v="8"/>
    <n v="684"/>
    <n v="12"/>
    <n v="8208"/>
    <n v="0"/>
    <n v="24399"/>
    <n v="9"/>
    <n v="3.6886757654002215E-4"/>
    <s v="Shift-1 13:30-14:00缺料"/>
    <n v="8"/>
    <n v="1"/>
    <n v="0"/>
    <n v="0"/>
    <n v="0"/>
    <n v="0"/>
    <n v="0"/>
    <n v="0"/>
    <n v="0"/>
    <n v="0.9989244444444445"/>
    <n v="0.99663333333333337"/>
    <n v="0.98111250000000005"/>
    <n v="0.99222342592592605"/>
    <n v="0"/>
    <n v="0"/>
    <n v="0"/>
    <n v="1"/>
    <n v="1"/>
    <n v="1"/>
    <n v="12"/>
  </r>
  <r>
    <x v="7"/>
    <x v="5"/>
    <x v="5"/>
    <n v="27423"/>
    <s v="White"/>
    <s v="RPET"/>
    <s v="Running"/>
    <n v="41.05"/>
    <n v="7.5"/>
    <n v="646"/>
    <n v="8"/>
    <n v="5148"/>
    <n v="20"/>
    <n v="41.05"/>
    <n v="6"/>
    <n v="527"/>
    <n v="8"/>
    <n v="4211"/>
    <n v="5"/>
    <n v="41.05"/>
    <n v="8"/>
    <n v="701"/>
    <n v="8"/>
    <n v="5607"/>
    <n v="1"/>
    <n v="14966"/>
    <n v="26"/>
    <n v="1.7372711479353201E-3"/>
    <s v="Shift-1 13:30-14:00缺料"/>
    <n v="20"/>
    <n v="5"/>
    <n v="1"/>
    <n v="0"/>
    <n v="0"/>
    <n v="0"/>
    <n v="0"/>
    <n v="0"/>
    <n v="0"/>
    <n v="0.98215925925925929"/>
    <n v="1.0015439814814815"/>
    <n v="0.99916840277777774"/>
    <n v="0.99429054783950621"/>
    <n v="0"/>
    <n v="0"/>
    <n v="0"/>
    <n v="1"/>
    <n v="1"/>
    <n v="1"/>
    <n v="8"/>
  </r>
  <r>
    <x v="7"/>
    <x v="6"/>
    <x v="6"/>
    <n v="26974"/>
    <s v="Purple"/>
    <s v="RPET"/>
    <s v="Running"/>
    <n v="56.6"/>
    <n v="8"/>
    <n v="502"/>
    <n v="2"/>
    <n v="1003"/>
    <n v="1"/>
    <n v="56.6"/>
    <n v="8"/>
    <n v="510"/>
    <n v="2"/>
    <n v="1020"/>
    <n v="0"/>
    <n v="56.7"/>
    <n v="8"/>
    <n v="515"/>
    <n v="2"/>
    <n v="1030"/>
    <n v="0"/>
    <n v="3053"/>
    <n v="1"/>
    <n v="3.2754667540124465E-4"/>
    <m/>
    <n v="1"/>
    <n v="0"/>
    <n v="0"/>
    <n v="0"/>
    <n v="0"/>
    <n v="0"/>
    <n v="0"/>
    <n v="0"/>
    <n v="0"/>
    <n v="0.9865694444444445"/>
    <n v="1.0022916666666666"/>
    <n v="1.01390625"/>
    <n v="1.0009224537037038"/>
    <n v="0"/>
    <n v="0"/>
    <n v="0"/>
    <n v="1"/>
    <n v="1"/>
    <n v="1"/>
    <n v="2"/>
  </r>
  <r>
    <x v="8"/>
    <x v="0"/>
    <x v="0"/>
    <n v="26944"/>
    <s v="White"/>
    <s v="RPET"/>
    <s v="Running"/>
    <n v="0"/>
    <n v="0"/>
    <n v="0"/>
    <n v="0"/>
    <n v="0"/>
    <n v="0"/>
    <n v="38.46"/>
    <n v="8"/>
    <n v="641"/>
    <n v="12"/>
    <n v="7687"/>
    <n v="5"/>
    <n v="38.43"/>
    <n v="8"/>
    <n v="747"/>
    <n v="12"/>
    <n v="8963"/>
    <n v="1"/>
    <n v="16650"/>
    <n v="6"/>
    <n v="3.6036036036036037E-4"/>
    <s v="Shift-1 试料"/>
    <n v="0"/>
    <n v="5"/>
    <n v="1"/>
    <n v="0"/>
    <n v="0"/>
    <n v="0"/>
    <n v="0"/>
    <n v="0"/>
    <n v="0"/>
    <n v="0"/>
    <n v="0.85600208333333339"/>
    <n v="0.99677812499999996"/>
    <n v="0.92639010416666667"/>
    <n v="0"/>
    <n v="0"/>
    <n v="0"/>
    <n v="0"/>
    <n v="1"/>
    <n v="1"/>
    <n v="12"/>
  </r>
  <r>
    <x v="8"/>
    <x v="1"/>
    <x v="1"/>
    <n v="26455"/>
    <s v="White"/>
    <s v="RPET"/>
    <s v="Running"/>
    <n v="41.05"/>
    <n v="8"/>
    <n v="708"/>
    <n v="12"/>
    <n v="8495"/>
    <n v="1"/>
    <n v="41.06"/>
    <n v="8"/>
    <n v="686"/>
    <n v="12"/>
    <n v="8232"/>
    <n v="0"/>
    <n v="41.05"/>
    <n v="8"/>
    <n v="696"/>
    <n v="12"/>
    <n v="8351"/>
    <n v="1"/>
    <n v="25078"/>
    <n v="2"/>
    <n v="7.975117632985087E-5"/>
    <m/>
    <n v="1"/>
    <n v="0"/>
    <n v="1"/>
    <n v="0"/>
    <n v="0"/>
    <n v="0"/>
    <n v="0"/>
    <n v="0"/>
    <n v="0"/>
    <n v="1.0091458333333332"/>
    <n v="0.97802638888888893"/>
    <n v="0.9920416666666666"/>
    <n v="0.99307129629629631"/>
    <n v="0"/>
    <n v="0"/>
    <n v="0"/>
    <n v="1"/>
    <n v="1"/>
    <n v="1"/>
    <n v="12"/>
  </r>
  <r>
    <x v="8"/>
    <x v="2"/>
    <x v="2"/>
    <n v="27328"/>
    <s v="White"/>
    <s v="RPET"/>
    <s v="Running"/>
    <n v="41.63"/>
    <n v="2"/>
    <n v="180"/>
    <n v="8"/>
    <n v="1440"/>
    <n v="0"/>
    <n v="0"/>
    <n v="0"/>
    <n v="0"/>
    <n v="0"/>
    <n v="0"/>
    <n v="0"/>
    <n v="0"/>
    <n v="0"/>
    <n v="0"/>
    <n v="0"/>
    <n v="0"/>
    <n v="0"/>
    <n v="1440"/>
    <n v="0"/>
    <n v="0"/>
    <m/>
    <n v="0"/>
    <n v="0"/>
    <n v="0"/>
    <n v="0"/>
    <n v="0"/>
    <n v="0"/>
    <n v="0"/>
    <n v="0"/>
    <n v="0"/>
    <n v="1.0407500000000001"/>
    <n v="0"/>
    <n v="0"/>
    <n v="1.0407500000000001"/>
    <n v="0.5"/>
    <m/>
    <n v="0"/>
    <n v="1"/>
    <n v="0"/>
    <n v="0"/>
    <n v="8"/>
  </r>
  <r>
    <x v="8"/>
    <x v="3"/>
    <x v="3"/>
    <n v="27221"/>
    <s v="Clear"/>
    <s v="RPET"/>
    <s v="Running"/>
    <n v="41.67"/>
    <n v="8"/>
    <n v="683"/>
    <n v="12"/>
    <n v="8195"/>
    <n v="1"/>
    <n v="41.67"/>
    <n v="8"/>
    <n v="696"/>
    <n v="12"/>
    <n v="8351"/>
    <n v="1"/>
    <n v="41.62"/>
    <n v="8"/>
    <n v="660"/>
    <n v="12"/>
    <n v="7918"/>
    <n v="2"/>
    <n v="24464"/>
    <n v="4"/>
    <n v="1.6350555918901244E-4"/>
    <m/>
    <n v="1"/>
    <n v="1"/>
    <n v="2"/>
    <n v="0"/>
    <n v="0"/>
    <n v="0"/>
    <n v="0"/>
    <n v="0"/>
    <n v="0"/>
    <n v="0.98821562500000004"/>
    <n v="1.0070250000000001"/>
    <n v="0.95379166666666659"/>
    <n v="0.98301076388888886"/>
    <n v="0"/>
    <n v="0"/>
    <n v="0"/>
    <n v="1"/>
    <n v="1"/>
    <n v="1"/>
    <n v="12"/>
  </r>
  <r>
    <x v="8"/>
    <x v="4"/>
    <x v="4"/>
    <n v="26455"/>
    <s v="White"/>
    <s v="RPET"/>
    <s v="Running"/>
    <n v="41.35"/>
    <n v="8"/>
    <n v="697"/>
    <n v="12"/>
    <n v="8362"/>
    <n v="2"/>
    <n v="41.35"/>
    <n v="8"/>
    <n v="696"/>
    <n v="12"/>
    <n v="8350"/>
    <n v="2"/>
    <n v="41.3"/>
    <n v="8"/>
    <n v="696"/>
    <n v="12"/>
    <n v="8351"/>
    <n v="1"/>
    <n v="25063"/>
    <n v="5"/>
    <n v="1.9949726688744365E-4"/>
    <m/>
    <n v="2"/>
    <n v="2"/>
    <n v="1"/>
    <n v="0"/>
    <n v="0"/>
    <n v="0"/>
    <n v="0"/>
    <n v="0"/>
    <n v="0"/>
    <n v="1.0007274305555556"/>
    <n v="0.99929166666666669"/>
    <n v="0.99808333333333332"/>
    <n v="0.99936747685185179"/>
    <n v="0"/>
    <n v="0"/>
    <n v="0"/>
    <n v="1"/>
    <n v="1"/>
    <n v="1"/>
    <n v="12"/>
  </r>
  <r>
    <x v="8"/>
    <x v="5"/>
    <x v="5"/>
    <n v="27423"/>
    <s v="White"/>
    <s v="RPET"/>
    <s v="Running"/>
    <n v="41.06"/>
    <n v="8"/>
    <n v="699"/>
    <n v="8"/>
    <n v="5591"/>
    <n v="1"/>
    <n v="41.06"/>
    <n v="8"/>
    <n v="700"/>
    <n v="8"/>
    <n v="5599"/>
    <n v="1"/>
    <n v="41.06"/>
    <n v="8"/>
    <n v="701"/>
    <n v="8"/>
    <n v="5608"/>
    <n v="0"/>
    <n v="16798"/>
    <n v="2"/>
    <n v="1.1906179307060365E-4"/>
    <m/>
    <n v="1"/>
    <n v="1"/>
    <n v="0"/>
    <n v="0"/>
    <n v="0"/>
    <n v="0"/>
    <n v="0"/>
    <n v="0"/>
    <n v="0"/>
    <n v="0.99656041666666673"/>
    <n v="0.99798611111111113"/>
    <n v="0.99941180555555564"/>
    <n v="0.99798611111111113"/>
    <n v="0"/>
    <n v="0"/>
    <n v="0"/>
    <n v="1"/>
    <n v="1"/>
    <n v="1"/>
    <n v="8"/>
  </r>
  <r>
    <x v="8"/>
    <x v="6"/>
    <x v="6"/>
    <n v="26974"/>
    <s v="Purple"/>
    <s v="RPET"/>
    <s v="Running"/>
    <n v="56.7"/>
    <n v="8"/>
    <n v="497"/>
    <n v="2"/>
    <n v="993"/>
    <n v="1"/>
    <n v="56.6"/>
    <n v="8"/>
    <n v="517"/>
    <n v="2"/>
    <n v="1034"/>
    <n v="0"/>
    <n v="56.6"/>
    <n v="8"/>
    <n v="505"/>
    <n v="2"/>
    <n v="1010"/>
    <n v="0"/>
    <n v="3037"/>
    <n v="1"/>
    <n v="3.2927230819888045E-4"/>
    <m/>
    <n v="1"/>
    <n v="0"/>
    <n v="0"/>
    <n v="0"/>
    <n v="0"/>
    <n v="0"/>
    <n v="0"/>
    <n v="0"/>
    <n v="0"/>
    <n v="0.97846875"/>
    <n v="1.0160486111111111"/>
    <n v="0.99246527777777782"/>
    <n v="0.99566087962962957"/>
    <n v="0"/>
    <n v="0"/>
    <n v="0"/>
    <n v="1"/>
    <n v="1"/>
    <n v="1"/>
    <n v="2"/>
  </r>
  <r>
    <x v="9"/>
    <x v="0"/>
    <x v="0"/>
    <n v="26976"/>
    <s v="Black"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1"/>
    <x v="1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2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</r>
  <r>
    <x v="9"/>
    <x v="3"/>
    <x v="3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4"/>
    <x v="4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5"/>
    <x v="5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6"/>
    <x v="6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x v="0"/>
    <m/>
    <s v="3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2"/>
    <n v="26455"/>
    <s v="14mL L'Oreal"/>
    <s v="Running"/>
    <n v="6833"/>
    <n v="0"/>
    <n v="6478"/>
    <n v="2"/>
    <n v="6910"/>
    <n v="11"/>
    <n v="20208"/>
    <n v="13"/>
    <n v="6.433095803642122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4"/>
    <n v="3"/>
    <n v="0"/>
    <n v="0"/>
    <n v="0"/>
    <n v="1"/>
    <n v="0"/>
    <n v="0"/>
    <n v="2"/>
    <n v="1"/>
  </r>
  <r>
    <x v="0"/>
    <x v="3"/>
    <x v="2"/>
    <n v="26455"/>
    <s v="14mL L'Oreal"/>
    <s v="Running"/>
    <n v="8425"/>
    <n v="0"/>
    <n v="8032"/>
    <n v="6"/>
    <n v="7772"/>
    <n v="19"/>
    <n v="24204"/>
    <n v="25"/>
    <n v="1.0328871260948604E-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1"/>
    <n v="1"/>
    <n v="0"/>
    <n v="0"/>
    <n v="0"/>
    <n v="0"/>
    <n v="0"/>
    <n v="0"/>
    <n v="14"/>
    <n v="3"/>
  </r>
  <r>
    <x v="0"/>
    <x v="4"/>
    <x v="3"/>
    <n v="25508"/>
    <s v="7mL L'Oreal"/>
    <s v="Running"/>
    <n v="6877"/>
    <n v="0"/>
    <n v="6117"/>
    <n v="14"/>
    <n v="7093"/>
    <n v="31"/>
    <n v="20042"/>
    <n v="45"/>
    <n v="2.2452849017064167E-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4"/>
    <n v="0"/>
    <n v="27"/>
  </r>
  <r>
    <x v="0"/>
    <x v="5"/>
    <x v="4"/>
    <n v="26976"/>
    <s v="75mL L'Oreal"/>
    <s v="Running"/>
    <n v="0"/>
    <n v="0"/>
    <n v="1754"/>
    <n v="7"/>
    <n v="1012"/>
    <n v="8"/>
    <n v="2751"/>
    <n v="15"/>
    <n v="5.4525627044711015E-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8"/>
  </r>
  <r>
    <x v="1"/>
    <x v="0"/>
    <x v="0"/>
    <n v="27328"/>
    <s v="30mL L'Oreal"/>
    <s v="Running"/>
    <n v="3929"/>
    <n v="4"/>
    <n v="4816"/>
    <n v="4"/>
    <n v="5027"/>
    <n v="29"/>
    <n v="13735"/>
    <n v="37"/>
    <n v="2.6938478340007279E-3"/>
    <s v="Shift-1 9:00AM开机，12:30-12:50PM停机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29"/>
  </r>
  <r>
    <x v="1"/>
    <x v="1"/>
    <x v="1"/>
    <n v="26969"/>
    <s v="50mL L'Oreal"/>
    <s v="Running"/>
    <n v="4788"/>
    <n v="0"/>
    <n v="0"/>
    <n v="0"/>
    <n v="0"/>
    <n v="0"/>
    <n v="4788"/>
    <n v="0"/>
    <n v="0"/>
    <s v="Shift-1 order complete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2"/>
    <n v="26455"/>
    <s v="14mL L'Oreal"/>
    <s v="Running"/>
    <n v="6855"/>
    <n v="0"/>
    <n v="7110"/>
    <n v="0"/>
    <n v="6931"/>
    <n v="5"/>
    <n v="20891"/>
    <n v="5"/>
    <n v="2.3933751376190704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3"/>
    <n v="0"/>
  </r>
  <r>
    <x v="1"/>
    <x v="3"/>
    <x v="2"/>
    <n v="26455"/>
    <s v="14mL L'Oreal"/>
    <s v="Running"/>
    <n v="7749"/>
    <n v="0"/>
    <n v="8063"/>
    <n v="0"/>
    <n v="9006"/>
    <n v="2"/>
    <n v="24816"/>
    <n v="2"/>
    <n v="8.0593165699548679E-5"/>
    <s v="Shift-2 Machine stopped from 11:25-11:54PM jar stuc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</r>
  <r>
    <x v="1"/>
    <x v="4"/>
    <x v="3"/>
    <n v="25508"/>
    <s v="7mL L'Oreal"/>
    <s v="Running"/>
    <n v="7065"/>
    <n v="0"/>
    <n v="6340"/>
    <n v="12"/>
    <n v="7004"/>
    <n v="12"/>
    <n v="20385"/>
    <n v="24"/>
    <n v="1.177336276674025E-3"/>
    <s v="Shift-2 Machine stopped from 7:33-7:55PM, and stopped from 9:48-10:11PM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12"/>
  </r>
  <r>
    <x v="1"/>
    <x v="5"/>
    <x v="4"/>
    <n v="26976"/>
    <s v="75mL L'Oreal"/>
    <s v="Running"/>
    <n v="0"/>
    <n v="0"/>
    <n v="964"/>
    <n v="7"/>
    <n v="970"/>
    <n v="27"/>
    <n v="1900"/>
    <n v="34"/>
    <n v="1.7894736842105262E-2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27"/>
  </r>
  <r>
    <x v="2"/>
    <x v="0"/>
    <x v="0"/>
    <m/>
    <s v="3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2"/>
    <n v="26455"/>
    <s v="14mL L'Oreal"/>
    <s v="Running"/>
    <n v="8060"/>
    <n v="3"/>
    <n v="8595"/>
    <n v="0"/>
    <n v="8898"/>
    <n v="2"/>
    <n v="25548"/>
    <n v="5"/>
    <n v="1.9571003601064662E-4"/>
    <s v="Shift-1 9:45-10:00AM停机调修"/>
    <n v="0"/>
    <n v="0"/>
    <n v="0"/>
    <n v="0"/>
    <n v="0"/>
    <n v="0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</r>
  <r>
    <x v="2"/>
    <x v="3"/>
    <x v="2"/>
    <n v="26455"/>
    <s v="14mL L'Oreal"/>
    <s v="Running"/>
    <n v="8250"/>
    <n v="2"/>
    <n v="8740"/>
    <n v="0"/>
    <n v="8994"/>
    <n v="2"/>
    <n v="25980"/>
    <n v="4"/>
    <n v="1.5396458814472672E-4"/>
    <s v="Shift-1 9:15-9:30停机调修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</r>
  <r>
    <x v="2"/>
    <x v="4"/>
    <x v="3"/>
    <n v="25508"/>
    <s v="7mL L'Oreal"/>
    <s v="Running"/>
    <n v="6675"/>
    <n v="0"/>
    <n v="6579"/>
    <n v="13"/>
    <n v="7390"/>
    <n v="14"/>
    <n v="20617"/>
    <n v="27"/>
    <n v="1.309598874715041E-3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1"/>
    <n v="0"/>
    <n v="0"/>
    <n v="0"/>
    <n v="0"/>
    <n v="0"/>
    <n v="0"/>
    <n v="0"/>
    <n v="0"/>
    <n v="0"/>
    <n v="0"/>
    <n v="0"/>
    <n v="0"/>
    <n v="0"/>
    <n v="0"/>
    <n v="14"/>
  </r>
  <r>
    <x v="2"/>
    <x v="5"/>
    <x v="4"/>
    <n v="26976"/>
    <s v="75mL L'Oreal"/>
    <s v="Running"/>
    <n v="1601"/>
    <n v="0"/>
    <n v="561"/>
    <n v="0"/>
    <n v="0"/>
    <n v="0"/>
    <n v="2162"/>
    <n v="0"/>
    <n v="0"/>
    <s v="Shift-2 no labels left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m/>
    <s v="3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2"/>
    <n v="26455"/>
    <s v="14mL L'Oreal"/>
    <s v="Running"/>
    <n v="8438"/>
    <n v="0"/>
    <n v="8392"/>
    <n v="0"/>
    <n v="7625"/>
    <n v="0"/>
    <n v="24455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"/>
    <x v="2"/>
    <n v="26455"/>
    <s v="14mL L'Oreal"/>
    <s v="Running"/>
    <n v="8202"/>
    <n v="0"/>
    <n v="8858"/>
    <n v="0"/>
    <n v="9029"/>
    <n v="2"/>
    <n v="26087"/>
    <n v="2"/>
    <n v="7.6666538889101854E-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1"/>
  </r>
  <r>
    <x v="3"/>
    <x v="4"/>
    <x v="3"/>
    <n v="25508"/>
    <s v="7mL L'Oreal"/>
    <s v="Running"/>
    <n v="6825"/>
    <n v="14"/>
    <n v="7039"/>
    <n v="20"/>
    <n v="7554"/>
    <n v="19"/>
    <n v="21365"/>
    <n v="53"/>
    <n v="2.4806927217411656E-3"/>
    <m/>
    <n v="0"/>
    <n v="0"/>
    <n v="0"/>
    <n v="0"/>
    <n v="0"/>
    <n v="0"/>
    <m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19"/>
  </r>
  <r>
    <x v="3"/>
    <x v="5"/>
    <x v="4"/>
    <m/>
    <s v="75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0"/>
    <m/>
    <s v="3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2"/>
    <n v="26455"/>
    <s v="14mL L'Oreal"/>
    <s v="Running"/>
    <n v="8537"/>
    <n v="0"/>
    <n v="8939"/>
    <n v="1"/>
    <n v="8968"/>
    <n v="6"/>
    <n v="26437"/>
    <n v="7"/>
    <n v="2.6478042137912771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5"/>
    <n v="1"/>
  </r>
  <r>
    <x v="4"/>
    <x v="3"/>
    <x v="2"/>
    <n v="26455"/>
    <s v="14mL L'Oreal"/>
    <s v="Running"/>
    <n v="9015"/>
    <n v="3"/>
    <n v="8579"/>
    <n v="1"/>
    <n v="8970"/>
    <n v="3"/>
    <n v="26557"/>
    <n v="7"/>
    <n v="2.6358398915540159E-4"/>
    <m/>
    <n v="0"/>
    <n v="0"/>
    <n v="0"/>
    <n v="0"/>
    <n v="0"/>
    <n v="0"/>
    <n v="0"/>
    <n v="0"/>
    <n v="0"/>
    <n v="0"/>
    <n v="2"/>
    <n v="0"/>
    <n v="0"/>
    <n v="0"/>
    <n v="1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</r>
  <r>
    <x v="4"/>
    <x v="4"/>
    <x v="3"/>
    <n v="25508"/>
    <s v="7mL L'Oreal"/>
    <s v="Running"/>
    <n v="7265"/>
    <n v="6"/>
    <n v="6999"/>
    <n v="6"/>
    <n v="7452"/>
    <n v="27"/>
    <n v="21677"/>
    <n v="39"/>
    <n v="1.7991419476864881E-3"/>
    <m/>
    <n v="0"/>
    <n v="0"/>
    <n v="0"/>
    <n v="0"/>
    <n v="0"/>
    <n v="0"/>
    <m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27"/>
  </r>
  <r>
    <x v="4"/>
    <x v="5"/>
    <x v="4"/>
    <m/>
    <s v="75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0"/>
    <n v="27328"/>
    <s v="30mL L'Oreal"/>
    <s v="Running"/>
    <n v="4302"/>
    <n v="15"/>
    <n v="4107"/>
    <n v="28"/>
    <n v="4712"/>
    <n v="20"/>
    <n v="13058"/>
    <n v="63"/>
    <n v="4.8246285801807325E-3"/>
    <s v="Shift-1 label issue停机"/>
    <n v="0"/>
    <n v="0"/>
    <n v="0"/>
    <n v="0"/>
    <n v="0"/>
    <n v="0"/>
    <n v="0"/>
    <n v="1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n v="0"/>
    <n v="0"/>
    <n v="0"/>
    <n v="0"/>
    <n v="0"/>
    <n v="20"/>
  </r>
  <r>
    <x v="5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2"/>
    <n v="26455"/>
    <s v="14mL L'Oreal"/>
    <s v="Running"/>
    <n v="8582"/>
    <n v="12"/>
    <n v="7817"/>
    <n v="2"/>
    <n v="8846"/>
    <n v="0"/>
    <n v="25231"/>
    <n v="14"/>
    <n v="5.5487297372280127E-4"/>
    <m/>
    <n v="0"/>
    <n v="0"/>
    <n v="0"/>
    <n v="0"/>
    <n v="0"/>
    <n v="0"/>
    <n v="0"/>
    <n v="0"/>
    <n v="0"/>
    <n v="0"/>
    <n v="0"/>
    <n v="0"/>
    <n v="0"/>
    <n v="5"/>
    <n v="7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</r>
  <r>
    <x v="5"/>
    <x v="3"/>
    <x v="2"/>
    <n v="26455"/>
    <s v="14mL L'Oreal"/>
    <s v="Running"/>
    <n v="8878"/>
    <n v="8"/>
    <n v="7919"/>
    <n v="10"/>
    <n v="8906"/>
    <n v="11"/>
    <n v="25674"/>
    <n v="29"/>
    <n v="1.1295474020409752E-3"/>
    <m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1"/>
    <n v="0"/>
    <n v="0"/>
    <n v="0"/>
    <n v="0"/>
    <n v="0"/>
    <n v="9"/>
    <n v="0"/>
    <n v="0"/>
    <n v="0"/>
    <n v="0"/>
    <n v="0"/>
    <n v="0"/>
    <n v="0"/>
    <n v="0"/>
    <n v="0"/>
    <n v="0"/>
    <n v="0"/>
    <n v="1"/>
    <n v="0"/>
    <n v="0"/>
    <n v="10"/>
    <n v="0"/>
  </r>
  <r>
    <x v="5"/>
    <x v="4"/>
    <x v="3"/>
    <n v="25508"/>
    <s v="7mL L'Oreal"/>
    <s v="Running"/>
    <n v="6600"/>
    <n v="20"/>
    <n v="6397"/>
    <n v="10"/>
    <n v="7427"/>
    <n v="3"/>
    <n v="20391"/>
    <n v="33"/>
    <n v="1.6183610416360158E-3"/>
    <s v="Shift-1 9:30-10:00AM停机换胶轮，10:53-12:00PM停机调修2次"/>
    <n v="0"/>
    <n v="0"/>
    <n v="0"/>
    <n v="0"/>
    <n v="0"/>
    <n v="0"/>
    <m/>
    <n v="0"/>
    <n v="0"/>
    <n v="0"/>
    <n v="0"/>
    <n v="0"/>
    <n v="0"/>
    <n v="5"/>
    <n v="15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n v="0"/>
    <n v="1"/>
    <n v="0"/>
    <n v="0"/>
    <n v="0"/>
    <n v="0"/>
    <n v="0"/>
    <n v="0"/>
    <n v="0"/>
    <n v="2"/>
  </r>
  <r>
    <x v="5"/>
    <x v="5"/>
    <x v="4"/>
    <n v="26976"/>
    <s v="75mL L'Oreal"/>
    <s v="Running"/>
    <n v="0"/>
    <n v="0"/>
    <n v="3756"/>
    <n v="7"/>
    <n v="1450"/>
    <n v="8"/>
    <n v="5191"/>
    <n v="15"/>
    <n v="2.8896166441918707E-3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4"/>
    <n v="0"/>
    <n v="0"/>
    <n v="0"/>
    <n v="0"/>
    <n v="0"/>
    <n v="0"/>
    <n v="0"/>
    <n v="0"/>
    <n v="0"/>
    <n v="0"/>
    <n v="0"/>
    <n v="0"/>
    <n v="0"/>
    <n v="0"/>
    <n v="8"/>
  </r>
  <r>
    <x v="6"/>
    <x v="0"/>
    <x v="0"/>
    <n v="27328"/>
    <s v="30mL L'Oreal"/>
    <s v="Running"/>
    <n v="5045"/>
    <n v="8"/>
    <n v="7048"/>
    <n v="0"/>
    <n v="7689"/>
    <n v="5"/>
    <n v="19769"/>
    <n v="13"/>
    <n v="6.5759522484698269E-4"/>
    <s v="Swithched to China labels"/>
    <n v="0"/>
    <n v="0"/>
    <n v="0"/>
    <n v="0"/>
    <n v="0"/>
    <n v="0"/>
    <n v="0"/>
    <n v="0"/>
    <n v="0"/>
    <n v="0"/>
    <n v="0"/>
    <n v="0"/>
    <n v="1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4"/>
    <n v="0"/>
  </r>
  <r>
    <x v="6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2"/>
    <n v="27679"/>
    <s v="14mL L'Oreal"/>
    <s v="Running"/>
    <n v="6533"/>
    <n v="4"/>
    <n v="5010"/>
    <n v="1"/>
    <n v="5164"/>
    <n v="4"/>
    <n v="16698"/>
    <n v="9"/>
    <n v="5.3898670499461009E-4"/>
    <s v="Using Viva labels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2"/>
    <n v="0"/>
    <n v="0"/>
    <n v="0"/>
    <n v="0"/>
    <n v="0"/>
    <n v="0"/>
    <n v="1"/>
    <n v="1"/>
  </r>
  <r>
    <x v="6"/>
    <x v="3"/>
    <x v="2"/>
    <n v="26455"/>
    <s v="14mL L'Oreal"/>
    <s v="Running"/>
    <n v="8517"/>
    <n v="12"/>
    <n v="8782"/>
    <n v="3"/>
    <n v="9002"/>
    <n v="2"/>
    <n v="26284"/>
    <n v="17"/>
    <n v="6.4678131182468426E-4"/>
    <m/>
    <n v="0"/>
    <n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0"/>
    <n v="1"/>
    <n v="0"/>
    <n v="0"/>
    <n v="0"/>
    <n v="0"/>
    <n v="0"/>
    <n v="0"/>
    <n v="0"/>
    <n v="1"/>
  </r>
  <r>
    <x v="6"/>
    <x v="4"/>
    <x v="3"/>
    <n v="25508"/>
    <s v="7mL L'Oreal"/>
    <s v="Running"/>
    <n v="5847"/>
    <n v="14"/>
    <n v="6627"/>
    <n v="2"/>
    <n v="7412"/>
    <n v="2"/>
    <n v="19868"/>
    <n v="18"/>
    <n v="9.0597946446547217E-4"/>
    <s v="Shift-1 Fixing belt problem"/>
    <n v="0"/>
    <n v="0"/>
    <n v="0"/>
    <n v="0"/>
    <n v="0"/>
    <n v="0"/>
    <m/>
    <n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2"/>
  </r>
  <r>
    <x v="6"/>
    <x v="5"/>
    <x v="4"/>
    <n v="26976"/>
    <s v="75mL L'Oreal"/>
    <s v="Running"/>
    <n v="2033"/>
    <n v="7"/>
    <n v="3028"/>
    <n v="3"/>
    <n v="0"/>
    <n v="0"/>
    <n v="5051"/>
    <n v="10"/>
    <n v="1.9798059790140567E-3"/>
    <s v="Shift-2 Order completed"/>
    <n v="0"/>
    <n v="0"/>
    <n v="0"/>
    <n v="0"/>
    <n v="0"/>
    <n v="0"/>
    <m/>
    <n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</r>
  <r>
    <x v="7"/>
    <x v="0"/>
    <x v="0"/>
    <n v="27328"/>
    <s v="30mL L'Oreal"/>
    <s v="Running"/>
    <n v="6691"/>
    <n v="6"/>
    <n v="7425"/>
    <n v="0"/>
    <n v="7825"/>
    <n v="5"/>
    <n v="21930"/>
    <n v="11"/>
    <n v="5.0159598723210214E-4"/>
    <m/>
    <n v="0"/>
    <n v="0"/>
    <n v="0"/>
    <n v="0"/>
    <n v="0"/>
    <n v="0"/>
    <n v="0"/>
    <n v="0"/>
    <n v="0"/>
    <n v="0"/>
    <n v="0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4"/>
    <n v="0"/>
  </r>
  <r>
    <x v="7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2"/>
    <n v="27679"/>
    <s v="14mL L'Oreal"/>
    <s v="Running"/>
    <n v="4585"/>
    <n v="1"/>
    <n v="5175"/>
    <n v="0"/>
    <n v="5173"/>
    <n v="3"/>
    <n v="14929"/>
    <n v="4"/>
    <n v="2.6793489182128745E-4"/>
    <m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2"/>
    <n v="0"/>
  </r>
  <r>
    <x v="7"/>
    <x v="3"/>
    <x v="2"/>
    <n v="26455"/>
    <s v="14mL L'Oreal"/>
    <s v="Running"/>
    <n v="8955"/>
    <n v="0"/>
    <n v="8644"/>
    <n v="5"/>
    <n v="9020"/>
    <n v="0"/>
    <n v="26614"/>
    <n v="5"/>
    <n v="1.8787104531449612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4"/>
    <x v="3"/>
    <n v="26944"/>
    <s v="7mL L'Oreal"/>
    <s v="Running"/>
    <n v="6254"/>
    <n v="0"/>
    <n v="7192"/>
    <n v="3"/>
    <n v="7561"/>
    <n v="2"/>
    <n v="21002"/>
    <n v="5"/>
    <n v="2.3807256451766499E-4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n v="1"/>
    <n v="0"/>
    <n v="0"/>
    <n v="0"/>
    <n v="0"/>
    <n v="0"/>
    <n v="0"/>
    <n v="0"/>
    <n v="1"/>
  </r>
  <r>
    <x v="7"/>
    <x v="5"/>
    <x v="4"/>
    <m/>
    <s v="75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0"/>
    <x v="0"/>
    <n v="26598"/>
    <s v="30mL L'Oreal"/>
    <s v="Running"/>
    <n v="5187"/>
    <n v="6"/>
    <n v="7176"/>
    <n v="3"/>
    <n v="7333"/>
    <n v="2"/>
    <n v="19685"/>
    <n v="11"/>
    <n v="5.5880111760223518E-4"/>
    <s v="Shift-1 10:30-11:50AM停机换label,#26598 Rework"/>
    <n v="0"/>
    <n v="0"/>
    <n v="0"/>
    <n v="0"/>
    <n v="0"/>
    <n v="0"/>
    <n v="0"/>
    <n v="1"/>
    <n v="0"/>
    <n v="0"/>
    <n v="0"/>
    <n v="0"/>
    <n v="0"/>
    <n v="2"/>
    <n v="3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1"/>
    <n v="0"/>
    <n v="0"/>
    <n v="0"/>
    <n v="0"/>
    <n v="0"/>
    <n v="0"/>
    <n v="0"/>
    <n v="1"/>
    <n v="0"/>
  </r>
  <r>
    <x v="8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2"/>
    <n v="27679"/>
    <s v="14mL L'Oreal"/>
    <s v="Running"/>
    <n v="4936"/>
    <n v="0"/>
    <n v="4995"/>
    <n v="2"/>
    <n v="5149"/>
    <n v="3"/>
    <n v="15075"/>
    <n v="5"/>
    <n v="3.3167495854063018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3"/>
    <n v="0"/>
  </r>
  <r>
    <x v="8"/>
    <x v="3"/>
    <x v="2"/>
    <n v="26455"/>
    <s v="14mL L'Oreal"/>
    <s v="Running"/>
    <n v="7280"/>
    <n v="0"/>
    <n v="6805"/>
    <n v="4"/>
    <n v="8984"/>
    <n v="2"/>
    <n v="23063"/>
    <n v="6"/>
    <n v="2.6015696136669122E-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2"/>
    <n v="0"/>
    <n v="0"/>
    <n v="0"/>
    <n v="0"/>
  </r>
  <r>
    <x v="8"/>
    <x v="4"/>
    <x v="3"/>
    <n v="26944"/>
    <s v="7mL L'Oreal"/>
    <s v="Running"/>
    <n v="4630"/>
    <n v="12"/>
    <n v="6834"/>
    <n v="9"/>
    <n v="4871"/>
    <n v="5"/>
    <n v="16309"/>
    <n v="26"/>
    <n v="1.5942117849040407E-3"/>
    <s v="Shift-1 1:40PM停机做sample；Shift-3 传送带感应器故障无法开机，停机3小时"/>
    <n v="0"/>
    <n v="0"/>
    <n v="0"/>
    <n v="0"/>
    <n v="0"/>
    <n v="0"/>
    <m/>
    <n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n v="3"/>
    <n v="6"/>
    <n v="0"/>
    <n v="0"/>
    <n v="0"/>
    <n v="0"/>
    <n v="0"/>
    <n v="0"/>
    <n v="0"/>
    <n v="0"/>
    <n v="0"/>
    <n v="0"/>
    <n v="0"/>
    <n v="0"/>
    <n v="0"/>
    <n v="0"/>
    <n v="5"/>
  </r>
  <r>
    <x v="8"/>
    <x v="5"/>
    <x v="4"/>
    <m/>
    <s v="75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0"/>
    <x v="0"/>
    <m/>
    <s v="3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1"/>
    <x v="1"/>
    <m/>
    <s v="50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2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3"/>
    <x v="2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4"/>
    <x v="3"/>
    <m/>
    <s v="7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5"/>
    <x v="4"/>
    <m/>
    <s v="75mL L'Oreal"/>
    <s v="Down"/>
    <n v="0"/>
    <n v="0"/>
    <n v="0"/>
    <n v="0"/>
    <n v="0"/>
    <n v="0"/>
    <n v="0"/>
    <n v="0"/>
    <n v="0"/>
    <m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2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4" indent="0" compact="0" compactData="0" multipleFieldFilters="0">
  <location ref="A3:I11" firstHeaderRow="0" firstDataRow="1" firstDataCol="2"/>
  <pivotFields count="52">
    <pivotField compact="0" numFmtId="167" outline="0" showAll="0" defaultSubtotal="0"/>
    <pivotField axis="axisRow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9">
        <item x="3"/>
        <item x="4"/>
        <item x="5"/>
        <item m="1" x="7"/>
        <item x="0"/>
        <item x="1"/>
        <item m="1" x="8"/>
        <item x="2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dataField="1" compact="0" numFmtId="164" outline="0" showAll="0" defaultSubtotal="0"/>
    <pivotField dataField="1" compact="0" outline="0" showAll="0" defaultSubtotal="0"/>
    <pivotField dataField="1"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dataField="1" compact="0" numFmtId="164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2"/>
  </rowFields>
  <rowItems count="8">
    <i>
      <x/>
      <x v="4"/>
    </i>
    <i>
      <x v="1"/>
      <x v="5"/>
    </i>
    <i>
      <x v="2"/>
      <x v="7"/>
    </i>
    <i>
      <x v="3"/>
      <x/>
    </i>
    <i>
      <x v="4"/>
      <x v="1"/>
    </i>
    <i>
      <x v="5"/>
      <x v="2"/>
    </i>
    <i>
      <x v="6"/>
      <x v="8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49" baseField="2" baseItem="1" numFmtId="4"/>
    <dataField name="Sum of HrStrtCls" fld="42" baseField="2" baseItem="1" numFmtId="4"/>
    <dataField name="Sum of HrSample" fld="44" baseField="2" baseItem="1" numFmtId="4"/>
    <dataField name="Sum of HrMaint" fld="43" baseField="2" baseItem="1" numFmtId="4"/>
    <dataField name="Max of Cavity" fld="48" subtotal="max" baseField="2" baseItem="1" numFmtId="3"/>
    <dataField name="Sum of CycleTime" fld="50" baseField="2" baseItem="1" numFmtId="4"/>
    <dataField name="Sum of CycleNotZero" fld="51" baseField="2" baseItem="1" numFmtId="1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rodMon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6:I15" firstHeaderRow="1" firstDataRow="2" firstDataCol="1"/>
  <pivotFields count="52">
    <pivotField compact="0" numFmtId="167" outline="0" showAll="0" defaultSubtotal="0"/>
    <pivotField axis="axisRow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outline="0" showAll="0" defaultSubtotal="0">
      <items count="9">
        <item m="1" x="7"/>
        <item x="0"/>
        <item x="1"/>
        <item x="3"/>
        <item m="1" x="8"/>
        <item x="5"/>
        <item x="4"/>
        <item x="2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dataField="1" compact="0" numFmtId="166" outline="0" showAll="0" defaultSubtotal="0"/>
    <pivotField compact="0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8"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dataFields count="1">
    <dataField name="Sum of Total" fld="25" baseField="2" baseItem="0" numFmtId="3"/>
  </dataFields>
  <formats count="1">
    <format dxfId="49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FiftyPT" cacheId="2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4" indent="0" outline="1" outlineData="1" multipleFieldFilters="0" rowHeaderCaption="Date" colHeaderCaption="Mold">
  <location ref="X6:Y8" firstHeaderRow="1" firstDataRow="2" firstDataCol="1"/>
  <pivotFields count="52">
    <pivotField axis="axisRow" numFmtId="167" showAll="0">
      <items count="381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9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>
      <items count="10">
        <item x="3"/>
        <item x="4"/>
        <item m="1" x="7"/>
        <item x="0"/>
        <item x="1"/>
        <item x="5"/>
        <item m="1" x="8"/>
        <item x="2"/>
        <item x="6"/>
        <item t="default"/>
      </items>
    </pivotField>
    <pivotField showAll="0"/>
    <pivotField showAll="0" defaultSubtotal="0"/>
    <pivotField showAll="0" defaultSubtotal="0"/>
    <pivotField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dataField="1" numFmtId="166" showAll="0"/>
    <pivotField numFmtId="166" showAll="0"/>
    <pivotField numFmtId="10" showAll="0" defaultSubtotal="0"/>
    <pivotField showAll="0" defaultSubtotal="0"/>
    <pivotField numFmtId="166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6" showAll="0"/>
    <pivotField numFmtId="166" showAll="0" defaultSubtotal="0"/>
    <pivotField numFmtId="166" showAll="0" defaultSubtotal="0"/>
    <pivotField numFmtId="166" showAll="0" defaultSubtotal="0"/>
    <pivotField numFmtId="168" showAll="0" defaultSubtotal="0"/>
    <pivotField numFmtId="168" showAll="0" defaultSubtotal="0"/>
    <pivotField numFmtId="168" showAll="0" defaultSubtotal="0"/>
    <pivotField numFmtId="168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">
    <i>
      <x v="378"/>
    </i>
  </rowItems>
  <colFields count="1">
    <field x="2"/>
  </colFields>
  <colItems count="1">
    <i>
      <x v="5"/>
    </i>
  </colItems>
  <dataFields count="1">
    <dataField name="50 mL Qty" fld="25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34" stringValue1="50">
      <autoFilter ref="A1">
        <filterColumn colId="0">
          <customFilters>
            <customFilter val="*50*"/>
          </customFilters>
        </filterColumn>
      </autoFilter>
    </filter>
    <filter fld="0" type="dateEqual" evalOrder="-1" id="133">
      <autoFilter ref="A1">
        <filterColumn colId="0">
          <customFilters>
            <customFilter val="454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ProdYst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18:J27" firstHeaderRow="1" firstDataRow="2" firstDataCol="2"/>
  <pivotFields count="52">
    <pivotField axis="axisRow" compact="0" numFmtId="167" outline="0" showAll="0" defaultSubtotal="0">
      <items count="380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9"/>
        <item m="1" x="18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outline="0" showAll="0" defaultSubtotal="0">
      <items count="9">
        <item m="1" x="7"/>
        <item x="0"/>
        <item x="1"/>
        <item x="3"/>
        <item m="1" x="8"/>
        <item x="5"/>
        <item x="4"/>
        <item x="2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dataField="1" compact="0" numFmtId="166" outline="0" showAll="0" defaultSubtotal="0"/>
    <pivotField compact="0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8">
    <i>
      <x v="378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"/>
  </colFields>
  <colItems count="8"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dataFields count="1">
    <dataField name="Sum of Total" fld="25" baseField="2" baseItem="0" numFmtId="3"/>
  </dataFields>
  <formats count="1">
    <format dxfId="50">
      <pivotArea dataOnly="0" grandCol="1" outline="0" fieldPosition="0"/>
    </format>
  </formats>
  <pivotTableStyleInfo name="PivotStyleMedium9" showRowHeaders="1" showColHeaders="1" showRowStripes="1" showColStripes="1" showLastColumn="1"/>
  <filters count="1">
    <filter fld="0" type="yesterday" evalOrder="-1" id="2">
      <autoFilter ref="A1">
        <filterColumn colId="0">
          <dynamicFilter type="yesterday" val="45421" maxVal="4542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rodDayWk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outline="1" outlineData="1" compactData="0" multipleFieldFilters="0">
  <location ref="L6:U18" firstHeaderRow="1" firstDataRow="2" firstDataCol="2"/>
  <pivotFields count="52">
    <pivotField axis="axisRow" compact="0" numFmtId="167" showAll="0">
      <items count="381">
        <item sd="0" m="1" x="147"/>
        <item sd="0" m="1" x="291"/>
        <item sd="0" m="1" x="95"/>
        <item sd="0" m="1" x="236"/>
        <item sd="0" m="1" x="40"/>
        <item sd="0" m="1" x="182"/>
        <item sd="0" m="1" x="328"/>
        <item sd="0" m="1" x="133"/>
        <item sd="0" m="1" x="276"/>
        <item sd="0" m="1" x="79"/>
        <item sd="0" m="1" x="221"/>
        <item sd="0" m="1" x="367"/>
        <item sd="0" m="1" x="170"/>
        <item sd="0" m="1" x="314"/>
        <item sd="0" m="1" x="118"/>
        <item sd="0" m="1" x="261"/>
        <item sd="0" m="1" x="65"/>
        <item sd="0" m="1" x="207"/>
        <item sd="0" m="1" x="353"/>
        <item sd="0" m="1" x="157"/>
        <item sd="0" m="1" x="301"/>
        <item sd="0" m="1" x="105"/>
        <item sd="0" m="1" x="246"/>
        <item sd="0" m="1" x="50"/>
        <item sd="0" m="1" x="193"/>
        <item sd="0" m="1" x="339"/>
        <item sd="0" m="1" x="143"/>
        <item sd="0" m="1" x="285"/>
        <item sd="0" m="1" x="89"/>
        <item sd="0" m="1" x="230"/>
        <item sd="0" m="1" x="114"/>
        <item sd="0" m="1" x="256"/>
        <item sd="0" m="1" x="60"/>
        <item sd="0" m="1" x="202"/>
        <item sd="0" m="1" x="348"/>
        <item sd="0" m="1" x="152"/>
        <item sd="0" m="1" x="296"/>
        <item sd="0" m="1" x="100"/>
        <item sd="0" m="1" x="241"/>
        <item sd="0" m="1" x="45"/>
        <item sd="0" m="1" x="188"/>
        <item sd="0" m="1" x="334"/>
        <item sd="0" m="1" x="138"/>
        <item sd="0" m="1" x="280"/>
        <item sd="0" m="1" x="84"/>
        <item sd="0" m="1" x="226"/>
        <item sd="0" m="1" x="372"/>
        <item sd="0" m="1" x="175"/>
        <item sd="0" m="1" x="319"/>
        <item sd="0" m="1" x="124"/>
        <item sd="0" m="1" x="267"/>
        <item sd="0" m="1" x="70"/>
        <item sd="0" m="1" x="211"/>
        <item sd="0" m="1" x="357"/>
        <item sd="0" m="1" x="161"/>
        <item sd="0" m="1" x="305"/>
        <item sd="0" m="1" x="109"/>
        <item sd="0" m="1" x="250"/>
        <item sd="0" m="1" x="54"/>
        <item sd="0" m="1" x="197"/>
        <item sd="0" m="1" x="343"/>
        <item sd="0" m="1" x="80"/>
        <item sd="0" m="1" x="222"/>
        <item sd="0" m="1" x="368"/>
        <item sd="0" m="1" x="171"/>
        <item sd="0" m="1" x="315"/>
        <item sd="0" m="1" x="119"/>
        <item sd="0" m="1" x="262"/>
        <item sd="0" m="1" x="66"/>
        <item sd="0" m="1" x="208"/>
        <item sd="0" m="1" x="354"/>
        <item sd="0" m="1" x="158"/>
        <item sd="0" m="1" x="302"/>
        <item sd="0" m="1" x="106"/>
        <item sd="0" m="1" x="247"/>
        <item sd="0" m="1" x="51"/>
        <item sd="0" m="1" x="194"/>
        <item sd="0" m="1" x="340"/>
        <item sd="0" m="1" x="144"/>
        <item sd="0" m="1" x="286"/>
        <item sd="0" m="1" x="90"/>
        <item sd="0" m="1" x="231"/>
        <item sd="0" m="1" x="376"/>
        <item sd="0" m="1" x="178"/>
        <item sd="0" m="1" x="324"/>
        <item sd="0" m="1" x="129"/>
        <item sd="0" m="1" x="272"/>
        <item sd="0" m="1" x="75"/>
        <item sd="0" m="1" x="216"/>
        <item sd="0" m="1" x="362"/>
        <item sd="0" m="1" x="166"/>
        <item sd="0" m="1" x="310"/>
        <item sd="0" m="1" x="46"/>
        <item sd="0" m="1" x="189"/>
        <item sd="0" m="1" x="335"/>
        <item sd="0" m="1" x="139"/>
        <item sd="0" m="1" x="281"/>
        <item sd="0" m="1" x="85"/>
        <item sd="0" m="1" x="227"/>
        <item sd="0" m="1" x="373"/>
        <item sd="0" m="1" x="176"/>
        <item sd="0" m="1" x="320"/>
        <item sd="0" m="1" x="125"/>
        <item sd="0" m="1" x="268"/>
        <item sd="0" m="1" x="71"/>
        <item sd="0" m="1" x="212"/>
        <item sd="0" m="1" x="358"/>
        <item sd="0" m="1" x="162"/>
        <item sd="0" m="1" x="306"/>
        <item sd="0" m="1" x="110"/>
        <item sd="0" m="1" x="251"/>
        <item sd="0" m="1" x="55"/>
        <item sd="0" m="1" x="198"/>
        <item sd="0" m="1" x="344"/>
        <item sd="0" m="1" x="148"/>
        <item sd="0" m="1" x="292"/>
        <item sd="0" m="1" x="96"/>
        <item sd="0" m="1" x="237"/>
        <item sd="0" m="1" x="41"/>
        <item sd="0" m="1" x="183"/>
        <item sd="0" m="1" x="329"/>
        <item sd="0" m="1" x="134"/>
        <item sd="0" m="1" x="355"/>
        <item sd="0" m="1" x="159"/>
        <item sd="0" m="1" x="303"/>
        <item sd="0" m="1" x="107"/>
        <item sd="0" m="1" x="248"/>
        <item sd="0" m="1" x="52"/>
        <item sd="0" m="1" x="195"/>
        <item sd="0" m="1" x="341"/>
        <item sd="0" m="1" x="145"/>
        <item sd="0" m="1" x="287"/>
        <item sd="0" m="1" x="91"/>
        <item sd="0" m="1" x="232"/>
        <item sd="0" m="1" x="377"/>
        <item sd="0" m="1" x="179"/>
        <item sd="0" m="1" x="325"/>
        <item sd="0" m="1" x="130"/>
        <item sd="0" m="1" x="273"/>
        <item sd="0" m="1" x="76"/>
        <item sd="0" m="1" x="217"/>
        <item sd="0" m="1" x="363"/>
        <item sd="0" m="1" x="167"/>
        <item sd="0" m="1" x="311"/>
        <item sd="0" m="1" x="115"/>
        <item sd="0" m="1" x="257"/>
        <item sd="0" m="1" x="61"/>
        <item sd="0" m="1" x="203"/>
        <item sd="0" m="1" x="349"/>
        <item sd="0" m="1" x="153"/>
        <item sd="0" m="1" x="297"/>
        <item sd="0" m="1" x="101"/>
        <item sd="0" m="1" x="242"/>
        <item sd="0" m="1" x="321"/>
        <item sd="0" m="1" x="126"/>
        <item sd="0" m="1" x="269"/>
        <item sd="0" m="1" x="72"/>
        <item sd="0" m="1" x="213"/>
        <item sd="0" m="1" x="359"/>
        <item sd="0" m="1" x="163"/>
        <item sd="0" m="1" x="307"/>
        <item sd="0" m="1" x="111"/>
        <item sd="0" m="1" x="252"/>
        <item sd="0" m="1" x="56"/>
        <item sd="0" m="1" x="199"/>
        <item sd="0" m="1" x="345"/>
        <item sd="0" m="1" x="149"/>
        <item sd="0" m="1" x="293"/>
        <item sd="0" m="1" x="97"/>
        <item sd="0" m="1" x="238"/>
        <item sd="0" m="1" x="42"/>
        <item sd="0" m="1" x="184"/>
        <item sd="0" m="1" x="330"/>
        <item sd="0" m="1" x="135"/>
        <item sd="0" m="1" x="277"/>
        <item sd="0" m="1" x="81"/>
        <item sd="0" m="1" x="223"/>
        <item sd="0" m="1" x="369"/>
        <item sd="0" m="1" x="172"/>
        <item sd="0" m="1" x="316"/>
        <item sd="0" m="1" x="120"/>
        <item sd="0" m="1" x="263"/>
        <item sd="0" m="1" x="67"/>
        <item sd="0" m="1" x="288"/>
        <item sd="0" m="1" x="92"/>
        <item sd="0" m="1" x="233"/>
        <item sd="0" m="1" x="378"/>
        <item sd="0" m="1" x="180"/>
        <item sd="0" m="1" x="326"/>
        <item sd="0" m="1" x="131"/>
        <item sd="0" m="1" x="274"/>
        <item sd="0" m="1" x="77"/>
        <item sd="0" m="1" x="218"/>
        <item sd="0" m="1" x="364"/>
        <item sd="0" m="1" x="168"/>
        <item sd="0" m="1" x="312"/>
        <item sd="0" m="1" x="116"/>
        <item sd="0" m="1" x="258"/>
        <item sd="0" m="1" x="62"/>
        <item sd="0" m="1" x="204"/>
        <item sd="0" m="1" x="350"/>
        <item sd="0" m="1" x="154"/>
        <item sd="0" m="1" x="298"/>
        <item sd="0" m="1" x="102"/>
        <item sd="0" m="1" x="243"/>
        <item sd="0" m="1" x="47"/>
        <item sd="0" m="1" x="190"/>
        <item sd="0" m="1" x="336"/>
        <item sd="0" m="1" x="140"/>
        <item sd="0" m="1" x="282"/>
        <item sd="0" m="1" x="86"/>
        <item sd="0" m="1" x="228"/>
        <item sd="0" m="1" x="374"/>
        <item sd="0" m="1" x="322"/>
        <item sd="0" m="1" x="127"/>
        <item sd="0" m="1" x="270"/>
        <item sd="0" m="1" x="73"/>
        <item sd="0" m="1" x="214"/>
        <item sd="0" m="1" x="360"/>
        <item sd="0" m="1" x="164"/>
        <item sd="0" m="1" x="308"/>
        <item sd="0" m="1" x="112"/>
        <item sd="0" m="1" x="253"/>
        <item sd="0" m="1" x="57"/>
        <item sd="0" m="1" x="200"/>
        <item sd="0" m="1" x="346"/>
        <item sd="0" m="1" x="150"/>
        <item sd="0" m="1" x="294"/>
        <item sd="0" m="1" x="98"/>
        <item sd="0" m="1" x="239"/>
        <item sd="0" m="1" x="43"/>
        <item sd="0" m="1" x="185"/>
        <item sd="0" m="1" x="331"/>
        <item sd="0" m="1" x="136"/>
        <item sd="0" m="1" x="278"/>
        <item sd="0" m="1" x="82"/>
        <item sd="0" m="1" x="224"/>
        <item sd="0" m="1" x="370"/>
        <item sd="0" m="1" x="173"/>
        <item sd="0" m="1" x="317"/>
        <item sd="0" m="1" x="121"/>
        <item sd="0" m="1" x="264"/>
        <item sd="0" m="1" x="68"/>
        <item sd="0" m="1" x="209"/>
        <item sd="0" m="1" x="289"/>
        <item sd="0" m="1" x="93"/>
        <item sd="0" m="1" x="234"/>
        <item sd="0" m="1" x="379"/>
        <item sd="0" m="1" x="181"/>
        <item sd="0" m="1" x="327"/>
        <item sd="0" m="1" x="132"/>
        <item sd="0" m="1" x="275"/>
        <item sd="0" m="1" x="78"/>
        <item sd="0" m="1" x="219"/>
        <item sd="0" m="1" x="365"/>
        <item sd="0" m="1" x="169"/>
        <item sd="0" m="1" x="313"/>
        <item sd="0" m="1" x="117"/>
        <item sd="0" m="1" x="259"/>
        <item sd="0" m="1" x="63"/>
        <item sd="0" m="1" x="205"/>
        <item sd="0" m="1" x="351"/>
        <item sd="0" m="1" x="155"/>
        <item sd="0" m="1" x="299"/>
        <item sd="0" m="1" x="103"/>
        <item sd="0" m="1" x="244"/>
        <item sd="0" m="1" x="48"/>
        <item sd="0" m="1" x="191"/>
        <item sd="0" m="1" x="337"/>
        <item sd="0" m="1" x="141"/>
        <item sd="0" m="1" x="283"/>
        <item sd="0" m="1" x="87"/>
        <item sd="0" m="1" x="254"/>
        <item sd="0" m="1" x="58"/>
        <item sd="0" m="1" x="220"/>
        <item sd="0" m="1" x="366"/>
        <item sd="0" m="1" x="186"/>
        <item sd="0" m="1" x="332"/>
        <item sd="0" m="1" x="122"/>
        <item sd="0" m="1" x="265"/>
        <item sd="0" m="1" x="295"/>
        <item sd="0" m="1" x="99"/>
        <item sd="0" m="1" x="240"/>
        <item sd="0" m="1" x="44"/>
        <item sd="0" m="1" x="187"/>
        <item sd="0" m="1" x="333"/>
        <item sd="0" m="1" x="137"/>
        <item sd="0" m="1" x="279"/>
        <item sd="0" m="1" x="83"/>
        <item sd="0" m="1" x="225"/>
        <item sd="0" m="1" x="371"/>
        <item sd="0" m="1" x="174"/>
        <item sd="0" m="1" x="318"/>
        <item sd="0" m="1" x="123"/>
        <item sd="0" m="1" x="266"/>
        <item sd="0" m="1" x="69"/>
        <item sd="0" m="1" x="210"/>
        <item sd="0" m="1" x="356"/>
        <item sd="0" m="1" x="160"/>
        <item sd="0" m="1" x="304"/>
        <item sd="0" m="1" x="108"/>
        <item sd="0" m="1" x="249"/>
        <item sd="0" m="1" x="53"/>
        <item sd="0" m="1" x="196"/>
        <item sd="0" m="1" x="342"/>
        <item sd="0" m="1" x="146"/>
        <item sd="0" m="1" x="290"/>
        <item sd="0" m="1" x="94"/>
        <item sd="0" m="1" x="235"/>
        <item sd="0" m="1" x="260"/>
        <item sd="0" m="1" x="64"/>
        <item sd="0" m="1" x="206"/>
        <item sd="0" m="1" x="352"/>
        <item sd="0" m="1" x="156"/>
        <item sd="0" m="1" x="300"/>
        <item sd="0" m="1" x="104"/>
        <item sd="0" m="1" x="245"/>
        <item sd="0" m="1" x="49"/>
        <item sd="0" m="1" x="192"/>
        <item sd="0" m="1" x="338"/>
        <item sd="0" m="1" x="142"/>
        <item sd="0" m="1" x="284"/>
        <item sd="0" m="1" x="88"/>
        <item sd="0" m="1" x="229"/>
        <item sd="0" m="1" x="375"/>
        <item sd="0" m="1" x="177"/>
        <item sd="0" m="1" x="323"/>
        <item sd="0" m="1" x="128"/>
        <item sd="0" m="1" x="271"/>
        <item sd="0" m="1" x="74"/>
        <item sd="0" m="1" x="215"/>
        <item sd="0" m="1" x="361"/>
        <item sd="0" m="1" x="165"/>
        <item sd="0" m="1" x="309"/>
        <item sd="0" m="1" x="113"/>
        <item sd="0" m="1" x="255"/>
        <item sd="0" m="1" x="59"/>
        <item sd="0" m="1" x="201"/>
        <item sd="0" m="1" x="347"/>
        <item sd="0" m="1" x="151"/>
        <item sd="0" m="1" x="10"/>
        <item sd="0" m="1" x="11"/>
        <item sd="0" m="1" x="12"/>
        <item sd="0" m="1" x="13"/>
        <item sd="0" m="1" x="14"/>
        <item sd="0" m="1" x="15"/>
        <item sd="0" m="1" x="16"/>
        <item sd="0" m="1" x="17"/>
        <item sd="0" m="1" x="19"/>
        <item sd="0" m="1" x="18"/>
        <item sd="0" m="1" x="20"/>
        <item sd="0" m="1" x="21"/>
        <item sd="0" m="1" x="22"/>
        <item sd="0" m="1" x="23"/>
        <item sd="0" m="1" x="24"/>
        <item sd="0" m="1" x="25"/>
        <item sd="0" m="1" x="26"/>
        <item sd="0" m="1" x="27"/>
        <item sd="0" m="1" x="28"/>
        <item sd="0" m="1" x="29"/>
        <item sd="0" m="1" x="30"/>
        <item sd="0" m="1" x="31"/>
        <item sd="0" m="1" x="32"/>
        <item sd="0" m="1" x="33"/>
        <item sd="0" m="1" x="34"/>
        <item sd="0" m="1" x="35"/>
        <item sd="0" m="1" x="36"/>
        <item sd="0" m="1" x="37"/>
        <item sd="0" m="1" x="38"/>
        <item sd="0" m="1" x="39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 sd="0"/>
      </items>
    </pivotField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compact="0" showAll="0">
      <items count="10">
        <item m="1" x="7"/>
        <item x="0"/>
        <item x="1"/>
        <item x="3"/>
        <item m="1" x="8"/>
        <item x="5"/>
        <item x="4"/>
        <item x="2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dataField="1" compact="0" numFmtId="166" showAll="0"/>
    <pivotField compact="0" showAll="0" defaultSubtotal="0"/>
    <pivotField compact="0" numFmtId="10" showAll="0" defaultSubtotal="0"/>
    <pivotField compact="0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showAll="0" defaultSubtotal="0"/>
    <pivotField compact="0" showAll="0" defaultSubtotal="0"/>
    <pivotField compact="0" showAll="0" defaultSubtotal="0"/>
    <pivotField compact="0" numFmtId="168" showAll="0" defaultSubtotal="0"/>
    <pivotField compact="0" numFmtId="168" showAll="0" defaultSubtotal="0"/>
    <pivotField compact="0" numFmtId="168" showAll="0" defaultSubtotal="0"/>
    <pivotField compact="0" numFmtId="168" showAll="0" defaultSubtotal="0"/>
    <pivotField compact="0" numFmtId="164" showAll="0" defaultSubtotal="0"/>
    <pivotField compact="0" numFmtId="164" showAll="0" defaultSubtotal="0"/>
    <pivotField compact="0" numFmtId="164" showAll="0" defaultSubtotal="0"/>
    <pivotField compact="0" numFmtId="164" showAll="0" defaultSubtotal="0"/>
    <pivotField compact="0" numFmtId="164" showAll="0" defaultSubtotal="0"/>
    <pivotField compact="0" numFmtId="164" showAll="0" defaultSubtotal="0"/>
    <pivotField compact="0" numFmtId="164" showAll="0" defaultSubtotal="0"/>
    <pivotField compact="0" dragToRow="0" dragToCol="0" dragToPage="0" showAll="0" defaultSubtotal="0"/>
    <pivotField compact="0" dragToRow="0" dragToCol="0" dragToPage="0" showAll="0" defaultSubtotal="0"/>
    <pivotField compact="0" dragToRow="0" dragToCol="0" dragToPage="0" showAll="0" defaultSubtotal="0"/>
  </pivotFields>
  <rowFields count="2">
    <field x="0"/>
    <field x="1"/>
  </rowFields>
  <rowItems count="11"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 t="grand">
      <x/>
    </i>
  </rowItems>
  <colFields count="1">
    <field x="2"/>
  </colFields>
  <colItems count="8"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dataFields count="1">
    <dataField name="Sum of Total" fld="25" baseField="2" baseItem="0" numFmtId="3"/>
  </dataFields>
  <formats count="1">
    <format dxfId="51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HTLMon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6:G14" firstHeaderRow="1" firstDataRow="2" firstDataCol="1"/>
  <pivotFields count="61">
    <pivotField compact="0" numFmtId="167" outline="0" showAll="0" defaultSubtotal="0"/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Col" compact="0" outline="0" showAll="0" defaultSubtotal="0">
      <items count="14">
        <item m="1" x="6"/>
        <item m="1" x="13"/>
        <item m="1" x="11"/>
        <item x="3"/>
        <item m="1" x="10"/>
        <item m="1" x="12"/>
        <item m="1" x="9"/>
        <item m="1" x="7"/>
        <item m="1" x="8"/>
        <item x="2"/>
        <item m="1" x="5"/>
        <item x="1"/>
        <item x="0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dataField="1" compact="0" numFmtId="166" outline="0" showAll="0" defaultSubtotal="0"/>
    <pivotField compact="0" numFmtId="166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6">
    <i>
      <x v="3"/>
    </i>
    <i>
      <x v="9"/>
    </i>
    <i>
      <x v="11"/>
    </i>
    <i>
      <x v="12"/>
    </i>
    <i>
      <x v="13"/>
    </i>
    <i t="grand">
      <x/>
    </i>
  </colItems>
  <dataFields count="1">
    <dataField name="Sum of Total" fld="12" baseField="2" baseItem="0" numFmtId="3"/>
  </dataFields>
  <formats count="1">
    <format dxfId="46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7000000}" name="HTLDayWk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outline="1" outlineData="1" compactData="0" multipleFieldFilters="0">
  <location ref="J6:Q18" firstHeaderRow="1" firstDataRow="2" firstDataCol="2"/>
  <pivotFields count="61">
    <pivotField axis="axisRow" compact="0" numFmtId="167" showAll="0">
      <items count="381">
        <item sd="0" m="1" x="147"/>
        <item sd="0" m="1" x="291"/>
        <item sd="0" m="1" x="95"/>
        <item sd="0" m="1" x="236"/>
        <item sd="0" m="1" x="40"/>
        <item sd="0" m="1" x="182"/>
        <item sd="0" m="1" x="328"/>
        <item sd="0" m="1" x="133"/>
        <item sd="0" m="1" x="276"/>
        <item sd="0" m="1" x="79"/>
        <item sd="0" m="1" x="221"/>
        <item sd="0" m="1" x="367"/>
        <item sd="0" m="1" x="170"/>
        <item sd="0" m="1" x="314"/>
        <item sd="0" m="1" x="118"/>
        <item sd="0" m="1" x="261"/>
        <item sd="0" m="1" x="65"/>
        <item sd="0" m="1" x="207"/>
        <item sd="0" m="1" x="353"/>
        <item sd="0" m="1" x="157"/>
        <item sd="0" m="1" x="301"/>
        <item sd="0" m="1" x="105"/>
        <item sd="0" m="1" x="246"/>
        <item sd="0" m="1" x="50"/>
        <item sd="0" m="1" x="193"/>
        <item sd="0" m="1" x="339"/>
        <item sd="0" m="1" x="143"/>
        <item sd="0" m="1" x="285"/>
        <item sd="0" m="1" x="89"/>
        <item sd="0" m="1" x="230"/>
        <item sd="0" m="1" x="114"/>
        <item sd="0" m="1" x="256"/>
        <item sd="0" m="1" x="60"/>
        <item sd="0" m="1" x="202"/>
        <item sd="0" m="1" x="348"/>
        <item sd="0" m="1" x="152"/>
        <item sd="0" m="1" x="296"/>
        <item sd="0" m="1" x="100"/>
        <item sd="0" m="1" x="241"/>
        <item sd="0" m="1" x="45"/>
        <item sd="0" m="1" x="188"/>
        <item sd="0" m="1" x="334"/>
        <item sd="0" m="1" x="138"/>
        <item sd="0" m="1" x="280"/>
        <item sd="0" m="1" x="84"/>
        <item sd="0" m="1" x="226"/>
        <item sd="0" m="1" x="372"/>
        <item sd="0" m="1" x="175"/>
        <item sd="0" m="1" x="319"/>
        <item sd="0" m="1" x="124"/>
        <item sd="0" m="1" x="267"/>
        <item sd="0" m="1" x="70"/>
        <item sd="0" m="1" x="211"/>
        <item sd="0" m="1" x="357"/>
        <item sd="0" m="1" x="161"/>
        <item sd="0" m="1" x="305"/>
        <item sd="0" m="1" x="109"/>
        <item sd="0" m="1" x="250"/>
        <item sd="0" m="1" x="54"/>
        <item sd="0" m="1" x="197"/>
        <item sd="0" m="1" x="343"/>
        <item sd="0" m="1" x="80"/>
        <item sd="0" m="1" x="222"/>
        <item sd="0" m="1" x="368"/>
        <item sd="0" m="1" x="171"/>
        <item sd="0" m="1" x="315"/>
        <item sd="0" m="1" x="119"/>
        <item sd="0" m="1" x="262"/>
        <item sd="0" m="1" x="66"/>
        <item sd="0" m="1" x="208"/>
        <item sd="0" m="1" x="354"/>
        <item sd="0" m="1" x="158"/>
        <item sd="0" m="1" x="302"/>
        <item sd="0" m="1" x="106"/>
        <item sd="0" m="1" x="247"/>
        <item sd="0" m="1" x="51"/>
        <item sd="0" m="1" x="194"/>
        <item sd="0" m="1" x="340"/>
        <item sd="0" m="1" x="144"/>
        <item sd="0" m="1" x="286"/>
        <item sd="0" m="1" x="90"/>
        <item sd="0" m="1" x="231"/>
        <item sd="0" m="1" x="376"/>
        <item sd="0" m="1" x="178"/>
        <item sd="0" m="1" x="324"/>
        <item sd="0" m="1" x="129"/>
        <item sd="0" m="1" x="272"/>
        <item sd="0" m="1" x="75"/>
        <item sd="0" m="1" x="216"/>
        <item sd="0" m="1" x="362"/>
        <item sd="0" m="1" x="166"/>
        <item sd="0" m="1" x="310"/>
        <item sd="0" m="1" x="46"/>
        <item sd="0" m="1" x="189"/>
        <item sd="0" m="1" x="335"/>
        <item sd="0" m="1" x="139"/>
        <item sd="0" m="1" x="281"/>
        <item sd="0" m="1" x="85"/>
        <item sd="0" m="1" x="227"/>
        <item sd="0" m="1" x="373"/>
        <item sd="0" m="1" x="176"/>
        <item sd="0" m="1" x="320"/>
        <item sd="0" m="1" x="125"/>
        <item sd="0" m="1" x="268"/>
        <item sd="0" m="1" x="71"/>
        <item sd="0" m="1" x="212"/>
        <item sd="0" m="1" x="358"/>
        <item sd="0" m="1" x="162"/>
        <item sd="0" m="1" x="306"/>
        <item sd="0" m="1" x="110"/>
        <item sd="0" m="1" x="251"/>
        <item sd="0" m="1" x="55"/>
        <item sd="0" m="1" x="198"/>
        <item sd="0" m="1" x="344"/>
        <item sd="0" m="1" x="148"/>
        <item sd="0" m="1" x="292"/>
        <item sd="0" m="1" x="96"/>
        <item sd="0" m="1" x="237"/>
        <item sd="0" m="1" x="41"/>
        <item sd="0" m="1" x="183"/>
        <item sd="0" m="1" x="329"/>
        <item sd="0" m="1" x="134"/>
        <item sd="0" m="1" x="355"/>
        <item sd="0" m="1" x="159"/>
        <item sd="0" m="1" x="303"/>
        <item sd="0" m="1" x="107"/>
        <item sd="0" m="1" x="248"/>
        <item sd="0" m="1" x="52"/>
        <item sd="0" m="1" x="195"/>
        <item sd="0" m="1" x="341"/>
        <item sd="0" m="1" x="145"/>
        <item sd="0" m="1" x="287"/>
        <item sd="0" m="1" x="91"/>
        <item sd="0" m="1" x="232"/>
        <item sd="0" m="1" x="377"/>
        <item sd="0" m="1" x="179"/>
        <item sd="0" m="1" x="325"/>
        <item sd="0" m="1" x="130"/>
        <item sd="0" m="1" x="273"/>
        <item sd="0" m="1" x="76"/>
        <item sd="0" m="1" x="217"/>
        <item sd="0" m="1" x="363"/>
        <item sd="0" m="1" x="167"/>
        <item sd="0" m="1" x="311"/>
        <item sd="0" m="1" x="115"/>
        <item sd="0" m="1" x="257"/>
        <item sd="0" m="1" x="61"/>
        <item sd="0" m="1" x="203"/>
        <item sd="0" m="1" x="349"/>
        <item sd="0" m="1" x="153"/>
        <item sd="0" m="1" x="297"/>
        <item sd="0" m="1" x="101"/>
        <item sd="0" m="1" x="242"/>
        <item sd="0" m="1" x="321"/>
        <item sd="0" m="1" x="126"/>
        <item sd="0" m="1" x="269"/>
        <item sd="0" m="1" x="72"/>
        <item sd="0" m="1" x="213"/>
        <item sd="0" m="1" x="359"/>
        <item sd="0" m="1" x="163"/>
        <item sd="0" m="1" x="307"/>
        <item sd="0" m="1" x="111"/>
        <item sd="0" m="1" x="252"/>
        <item sd="0" m="1" x="56"/>
        <item sd="0" m="1" x="199"/>
        <item sd="0" m="1" x="345"/>
        <item sd="0" m="1" x="149"/>
        <item sd="0" m="1" x="293"/>
        <item sd="0" m="1" x="97"/>
        <item sd="0" m="1" x="238"/>
        <item sd="0" m="1" x="42"/>
        <item sd="0" m="1" x="184"/>
        <item sd="0" m="1" x="330"/>
        <item sd="0" m="1" x="135"/>
        <item sd="0" m="1" x="277"/>
        <item sd="0" m="1" x="81"/>
        <item sd="0" m="1" x="223"/>
        <item sd="0" m="1" x="369"/>
        <item sd="0" m="1" x="172"/>
        <item sd="0" m="1" x="316"/>
        <item sd="0" m="1" x="120"/>
        <item sd="0" m="1" x="263"/>
        <item sd="0" m="1" x="67"/>
        <item sd="0" m="1" x="288"/>
        <item sd="0" m="1" x="92"/>
        <item sd="0" m="1" x="233"/>
        <item sd="0" m="1" x="378"/>
        <item sd="0" m="1" x="180"/>
        <item sd="0" m="1" x="326"/>
        <item sd="0" m="1" x="131"/>
        <item sd="0" m="1" x="274"/>
        <item sd="0" m="1" x="77"/>
        <item sd="0" m="1" x="218"/>
        <item sd="0" m="1" x="364"/>
        <item sd="0" m="1" x="168"/>
        <item sd="0" m="1" x="312"/>
        <item sd="0" m="1" x="116"/>
        <item sd="0" m="1" x="258"/>
        <item sd="0" m="1" x="62"/>
        <item sd="0" m="1" x="204"/>
        <item sd="0" m="1" x="350"/>
        <item sd="0" m="1" x="154"/>
        <item sd="0" m="1" x="298"/>
        <item sd="0" m="1" x="102"/>
        <item sd="0" m="1" x="243"/>
        <item sd="0" m="1" x="47"/>
        <item sd="0" m="1" x="190"/>
        <item sd="0" m="1" x="336"/>
        <item sd="0" m="1" x="140"/>
        <item sd="0" m="1" x="282"/>
        <item sd="0" m="1" x="86"/>
        <item sd="0" m="1" x="228"/>
        <item sd="0" m="1" x="374"/>
        <item sd="0" m="1" x="322"/>
        <item sd="0" m="1" x="127"/>
        <item sd="0" m="1" x="270"/>
        <item sd="0" m="1" x="73"/>
        <item sd="0" m="1" x="214"/>
        <item sd="0" m="1" x="360"/>
        <item sd="0" m="1" x="164"/>
        <item sd="0" m="1" x="308"/>
        <item sd="0" m="1" x="112"/>
        <item sd="0" m="1" x="253"/>
        <item sd="0" m="1" x="57"/>
        <item sd="0" m="1" x="200"/>
        <item sd="0" m="1" x="346"/>
        <item sd="0" m="1" x="150"/>
        <item sd="0" m="1" x="294"/>
        <item sd="0" m="1" x="98"/>
        <item sd="0" m="1" x="239"/>
        <item sd="0" m="1" x="43"/>
        <item sd="0" m="1" x="185"/>
        <item sd="0" m="1" x="331"/>
        <item sd="0" m="1" x="136"/>
        <item sd="0" m="1" x="278"/>
        <item sd="0" m="1" x="82"/>
        <item sd="0" m="1" x="224"/>
        <item sd="0" m="1" x="370"/>
        <item sd="0" m="1" x="173"/>
        <item sd="0" m="1" x="317"/>
        <item sd="0" m="1" x="121"/>
        <item sd="0" m="1" x="264"/>
        <item sd="0" m="1" x="68"/>
        <item sd="0" m="1" x="209"/>
        <item sd="0" m="1" x="289"/>
        <item sd="0" m="1" x="93"/>
        <item sd="0" m="1" x="234"/>
        <item sd="0" m="1" x="379"/>
        <item sd="0" m="1" x="181"/>
        <item sd="0" m="1" x="327"/>
        <item sd="0" m="1" x="132"/>
        <item sd="0" m="1" x="275"/>
        <item sd="0" m="1" x="78"/>
        <item sd="0" m="1" x="219"/>
        <item sd="0" m="1" x="365"/>
        <item sd="0" m="1" x="169"/>
        <item sd="0" m="1" x="313"/>
        <item sd="0" m="1" x="117"/>
        <item sd="0" m="1" x="259"/>
        <item sd="0" m="1" x="63"/>
        <item sd="0" m="1" x="205"/>
        <item sd="0" m="1" x="351"/>
        <item sd="0" m="1" x="155"/>
        <item sd="0" m="1" x="299"/>
        <item sd="0" m="1" x="103"/>
        <item sd="0" m="1" x="244"/>
        <item sd="0" m="1" x="48"/>
        <item sd="0" m="1" x="191"/>
        <item sd="0" m="1" x="337"/>
        <item sd="0" m="1" x="141"/>
        <item sd="0" m="1" x="283"/>
        <item sd="0" m="1" x="87"/>
        <item sd="0" m="1" x="254"/>
        <item sd="0" m="1" x="58"/>
        <item sd="0" m="1" x="220"/>
        <item sd="0" m="1" x="366"/>
        <item sd="0" m="1" x="186"/>
        <item sd="0" m="1" x="332"/>
        <item sd="0" m="1" x="122"/>
        <item sd="0" m="1" x="265"/>
        <item sd="0" m="1" x="295"/>
        <item sd="0" m="1" x="99"/>
        <item sd="0" m="1" x="240"/>
        <item sd="0" m="1" x="44"/>
        <item sd="0" m="1" x="187"/>
        <item sd="0" m="1" x="333"/>
        <item sd="0" m="1" x="137"/>
        <item sd="0" m="1" x="279"/>
        <item sd="0" m="1" x="83"/>
        <item sd="0" m="1" x="225"/>
        <item sd="0" m="1" x="371"/>
        <item sd="0" m="1" x="174"/>
        <item sd="0" m="1" x="318"/>
        <item sd="0" m="1" x="123"/>
        <item sd="0" m="1" x="266"/>
        <item sd="0" m="1" x="69"/>
        <item sd="0" m="1" x="210"/>
        <item sd="0" m="1" x="356"/>
        <item sd="0" m="1" x="160"/>
        <item sd="0" m="1" x="304"/>
        <item sd="0" m="1" x="108"/>
        <item sd="0" m="1" x="249"/>
        <item sd="0" m="1" x="53"/>
        <item sd="0" m="1" x="196"/>
        <item sd="0" m="1" x="342"/>
        <item sd="0" m="1" x="146"/>
        <item sd="0" m="1" x="290"/>
        <item sd="0" m="1" x="94"/>
        <item sd="0" m="1" x="235"/>
        <item sd="0" m="1" x="260"/>
        <item sd="0" m="1" x="64"/>
        <item sd="0" m="1" x="206"/>
        <item sd="0" m="1" x="352"/>
        <item sd="0" m="1" x="156"/>
        <item sd="0" m="1" x="300"/>
        <item sd="0" m="1" x="104"/>
        <item sd="0" m="1" x="245"/>
        <item sd="0" m="1" x="49"/>
        <item sd="0" m="1" x="192"/>
        <item sd="0" m="1" x="338"/>
        <item sd="0" m="1" x="142"/>
        <item sd="0" m="1" x="284"/>
        <item sd="0" m="1" x="88"/>
        <item sd="0" m="1" x="229"/>
        <item sd="0" m="1" x="375"/>
        <item sd="0" m="1" x="177"/>
        <item sd="0" m="1" x="323"/>
        <item sd="0" m="1" x="128"/>
        <item sd="0" m="1" x="271"/>
        <item sd="0" m="1" x="74"/>
        <item sd="0" m="1" x="215"/>
        <item sd="0" m="1" x="361"/>
        <item sd="0" m="1" x="165"/>
        <item sd="0" m="1" x="309"/>
        <item sd="0" m="1" x="113"/>
        <item sd="0" m="1" x="255"/>
        <item sd="0" m="1" x="59"/>
        <item sd="0" m="1" x="201"/>
        <item sd="0" m="1" x="347"/>
        <item sd="0" m="1" x="151"/>
        <item sd="0" m="1" x="10"/>
        <item sd="0" m="1" x="11"/>
        <item sd="0" m="1" x="12"/>
        <item sd="0" m="1" x="13"/>
        <item sd="0" m="1" x="14"/>
        <item sd="0" m="1" x="15"/>
        <item sd="0" m="1" x="16"/>
        <item sd="0" m="1" x="17"/>
        <item sd="0" m="1" x="18"/>
        <item sd="0" m="1" x="19"/>
        <item sd="0" m="1" x="20"/>
        <item sd="0" m="1" x="21"/>
        <item sd="0" m="1" x="22"/>
        <item sd="0" m="1" x="23"/>
        <item sd="0" m="1" x="24"/>
        <item sd="0" m="1" x="25"/>
        <item sd="0" m="1" x="26"/>
        <item sd="0" m="1" x="27"/>
        <item sd="0" m="1" x="28"/>
        <item sd="0" m="1" x="29"/>
        <item sd="0" m="1" x="30"/>
        <item sd="0" m="1" x="31"/>
        <item sd="0" m="1" x="32"/>
        <item sd="0" m="1" x="33"/>
        <item sd="0" m="1" x="34"/>
        <item sd="0" m="1" x="35"/>
        <item sd="0" m="1" x="36"/>
        <item sd="0" m="1" x="37"/>
        <item sd="0" m="1" x="38"/>
        <item sd="0" m="1" x="39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 sd="0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axis="axisCol" compact="0" showAll="0">
      <items count="15">
        <item m="1" x="6"/>
        <item m="1" x="13"/>
        <item m="1" x="11"/>
        <item x="3"/>
        <item m="1" x="10"/>
        <item m="1" x="12"/>
        <item m="1" x="9"/>
        <item m="1" x="7"/>
        <item m="1" x="8"/>
        <item x="2"/>
        <item m="1" x="5"/>
        <item x="1"/>
        <item x="0"/>
        <item x="4"/>
        <item t="default"/>
      </items>
    </pivotField>
    <pivotField compact="0" showAll="0"/>
    <pivotField compact="0" showAll="0" defaultSubtotal="0"/>
    <pivotField compact="0" showAll="0"/>
    <pivotField compact="0" numFmtId="166" showAll="0"/>
    <pivotField compact="0" numFmtId="166" showAll="0" defaultSubtotal="0"/>
    <pivotField compact="0" numFmtId="166" showAll="0"/>
    <pivotField compact="0" numFmtId="166" showAll="0" defaultSubtotal="0"/>
    <pivotField compact="0" numFmtId="166" showAll="0"/>
    <pivotField compact="0" numFmtId="166" showAll="0" defaultSubtotal="0"/>
    <pivotField dataField="1" compact="0" numFmtId="166" showAll="0"/>
    <pivotField compact="0" numFmtId="166" showAll="0" defaultSubtotal="0"/>
    <pivotField compact="0" numFmtId="10" showAll="0" defaultSubtotal="0"/>
    <pivotField compact="0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</pivotFields>
  <rowFields count="2">
    <field x="0"/>
    <field x="1"/>
  </rowFields>
  <rowItems count="11"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 t="grand">
      <x/>
    </i>
  </rowItems>
  <colFields count="1">
    <field x="2"/>
  </colFields>
  <colItems count="6">
    <i>
      <x v="3"/>
    </i>
    <i>
      <x v="9"/>
    </i>
    <i>
      <x v="11"/>
    </i>
    <i>
      <x v="12"/>
    </i>
    <i>
      <x v="13"/>
    </i>
    <i t="grand">
      <x/>
    </i>
  </colItems>
  <dataFields count="1">
    <dataField name="Sum of Total" fld="12" baseField="2" baseItem="0" numFmtId="3"/>
  </dataFields>
  <formats count="1">
    <format dxfId="47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FourteenPT" cacheId="4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outline="1" outlineData="1" multipleFieldFilters="0">
  <location ref="AA6:AC8" firstHeaderRow="1" firstDataRow="2" firstDataCol="1"/>
  <pivotFields count="61">
    <pivotField axis="axisRow" numFmtId="167" showAll="0">
      <items count="381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multipleItemSelectionAllowed="1" showAll="0">
      <items count="15">
        <item m="1" x="10"/>
        <item x="3"/>
        <item m="1" x="7"/>
        <item m="1" x="5"/>
        <item m="1" x="8"/>
        <item x="2"/>
        <item m="1" x="6"/>
        <item m="1" x="13"/>
        <item m="1" x="11"/>
        <item m="1" x="12"/>
        <item m="1" x="9"/>
        <item x="1"/>
        <item x="0"/>
        <item x="4"/>
        <item t="default"/>
      </items>
    </pivotField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1">
    <i>
      <x v="378"/>
    </i>
  </rowItems>
  <colFields count="1">
    <field x="2"/>
  </colFields>
  <colItems count="2">
    <i>
      <x v="5"/>
    </i>
    <i t="grand">
      <x/>
    </i>
  </colItems>
  <dataFields count="1">
    <dataField name="14 mL Qty" fld="12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34" stringValue1="14">
      <autoFilter ref="A1">
        <filterColumn colId="0">
          <customFilters>
            <customFilter val="*14*"/>
          </customFilters>
        </filterColumn>
      </autoFilter>
    </filter>
    <filter fld="0" type="dateEqual" evalOrder="-1" id="133">
      <autoFilter ref="A1">
        <filterColumn colId="0">
          <customFilters>
            <customFilter val="454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SevenPT" cacheId="4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outline="1" outlineData="1" multipleFieldFilters="0" rowHeaderCaption="Date" colHeaderCaption="Mold">
  <location ref="T6:V8" firstHeaderRow="1" firstDataRow="2" firstDataCol="1"/>
  <pivotFields count="61">
    <pivotField axis="axisRow" numFmtId="167" showAll="0">
      <items count="381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multipleItemSelectionAllowed="1" showAll="0">
      <items count="15">
        <item m="1" x="10"/>
        <item x="3"/>
        <item m="1" x="7"/>
        <item m="1" x="5"/>
        <item m="1" x="8"/>
        <item x="2"/>
        <item m="1" x="6"/>
        <item m="1" x="13"/>
        <item m="1" x="11"/>
        <item m="1" x="12"/>
        <item m="1" x="9"/>
        <item x="1"/>
        <item x="0"/>
        <item x="4"/>
        <item t="default"/>
      </items>
    </pivotField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1">
    <i>
      <x v="378"/>
    </i>
  </rowItems>
  <colFields count="1">
    <field x="2"/>
  </colFields>
  <colItems count="2">
    <i>
      <x v="1"/>
    </i>
    <i t="grand">
      <x/>
    </i>
  </colItems>
  <dataFields count="1">
    <dataField name="7 mL Qty" fld="12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34" stringValue1="7">
      <autoFilter ref="A1">
        <filterColumn colId="0">
          <customFilters>
            <customFilter val="*7*"/>
          </customFilters>
        </filterColumn>
      </autoFilter>
    </filter>
    <filter fld="0" type="dateEqual" evalOrder="-1" id="133">
      <autoFilter ref="A1">
        <filterColumn colId="0">
          <customFilters>
            <customFilter val="454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HTLYst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16:H24" firstHeaderRow="1" firstDataRow="2" firstDataCol="2"/>
  <pivotFields count="61">
    <pivotField axis="axisRow" compact="0" numFmtId="167" outline="0" showAll="0" defaultSubtotal="0">
      <items count="380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Col" compact="0" outline="0" showAll="0" defaultSubtotal="0">
      <items count="14">
        <item m="1" x="6"/>
        <item m="1" x="13"/>
        <item m="1" x="11"/>
        <item x="3"/>
        <item m="1" x="10"/>
        <item m="1" x="12"/>
        <item m="1" x="9"/>
        <item m="1" x="7"/>
        <item m="1" x="8"/>
        <item x="2"/>
        <item m="1" x="5"/>
        <item x="1"/>
        <item x="0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dataField="1" compact="0" numFmtId="166" outline="0" showAll="0" defaultSubtotal="0"/>
    <pivotField compact="0" numFmtId="166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</pivotFields>
  <rowFields count="2">
    <field x="0"/>
    <field x="1"/>
  </rowFields>
  <rowItems count="7">
    <i>
      <x v="378"/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6">
    <i>
      <x v="3"/>
    </i>
    <i>
      <x v="9"/>
    </i>
    <i>
      <x v="11"/>
    </i>
    <i>
      <x v="12"/>
    </i>
    <i>
      <x v="13"/>
    </i>
    <i t="grand">
      <x/>
    </i>
  </colItems>
  <dataFields count="1">
    <dataField name="Sum of Total" fld="12" baseField="2" baseItem="0" numFmtId="3"/>
  </dataFields>
  <formats count="1">
    <format dxfId="48">
      <pivotArea dataOnly="0" grandCol="1" outline="0" fieldPosition="0"/>
    </format>
  </formats>
  <pivotTableStyleInfo name="PivotStyleMedium9" showRowHeaders="1" showColHeaders="1" showRowStripes="1" showColStripes="1" showLastColumn="1"/>
  <filters count="1">
    <filter fld="0" type="yesterday" evalOrder="-1" id="2">
      <autoFilter ref="A1">
        <filterColumn colId="0">
          <dynamicFilter type="yesterday" val="45421" maxVal="4542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FnlAssemSum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 chartFormat="1" rowHeaderCaption="Date">
  <location ref="A1:B11" firstHeaderRow="1" firstDataRow="1" firstDataCol="1"/>
  <pivotFields count="61">
    <pivotField axis="axisRow" numFmtId="167" showAll="0">
      <items count="381">
        <item m="1" x="147"/>
        <item m="1" x="291"/>
        <item m="1" x="95"/>
        <item m="1" x="236"/>
        <item m="1" x="40"/>
        <item m="1" x="182"/>
        <item m="1" x="328"/>
        <item m="1" x="133"/>
        <item m="1" x="276"/>
        <item m="1" x="79"/>
        <item m="1" x="221"/>
        <item m="1" x="367"/>
        <item m="1" x="170"/>
        <item m="1" x="314"/>
        <item m="1" x="118"/>
        <item m="1" x="261"/>
        <item m="1" x="65"/>
        <item m="1" x="207"/>
        <item m="1" x="353"/>
        <item m="1" x="157"/>
        <item m="1" x="301"/>
        <item m="1" x="105"/>
        <item m="1" x="246"/>
        <item m="1" x="50"/>
        <item m="1" x="193"/>
        <item m="1" x="339"/>
        <item m="1" x="143"/>
        <item m="1" x="285"/>
        <item m="1" x="89"/>
        <item m="1" x="230"/>
        <item m="1" x="114"/>
        <item m="1" x="256"/>
        <item m="1" x="60"/>
        <item m="1" x="202"/>
        <item m="1" x="348"/>
        <item m="1" x="152"/>
        <item m="1" x="296"/>
        <item m="1" x="100"/>
        <item m="1" x="241"/>
        <item m="1" x="45"/>
        <item m="1" x="188"/>
        <item m="1" x="334"/>
        <item m="1" x="138"/>
        <item m="1" x="280"/>
        <item m="1" x="84"/>
        <item m="1" x="226"/>
        <item m="1" x="372"/>
        <item m="1" x="175"/>
        <item m="1" x="319"/>
        <item m="1" x="124"/>
        <item m="1" x="267"/>
        <item m="1" x="70"/>
        <item m="1" x="211"/>
        <item m="1" x="357"/>
        <item m="1" x="161"/>
        <item m="1" x="305"/>
        <item m="1" x="109"/>
        <item m="1" x="250"/>
        <item m="1" x="54"/>
        <item m="1" x="197"/>
        <item m="1" x="343"/>
        <item m="1" x="80"/>
        <item m="1" x="222"/>
        <item m="1" x="368"/>
        <item m="1" x="171"/>
        <item m="1" x="315"/>
        <item m="1" x="119"/>
        <item m="1" x="262"/>
        <item m="1" x="66"/>
        <item m="1" x="208"/>
        <item m="1" x="354"/>
        <item m="1" x="158"/>
        <item m="1" x="302"/>
        <item m="1" x="106"/>
        <item m="1" x="247"/>
        <item m="1" x="51"/>
        <item m="1" x="194"/>
        <item m="1" x="340"/>
        <item m="1" x="144"/>
        <item m="1" x="286"/>
        <item m="1" x="90"/>
        <item m="1" x="231"/>
        <item m="1" x="376"/>
        <item m="1" x="178"/>
        <item m="1" x="324"/>
        <item m="1" x="129"/>
        <item m="1" x="272"/>
        <item m="1" x="75"/>
        <item m="1" x="216"/>
        <item m="1" x="362"/>
        <item m="1" x="166"/>
        <item m="1" x="310"/>
        <item m="1" x="46"/>
        <item m="1" x="189"/>
        <item m="1" x="335"/>
        <item m="1" x="139"/>
        <item m="1" x="281"/>
        <item m="1" x="85"/>
        <item m="1" x="227"/>
        <item m="1" x="373"/>
        <item m="1" x="176"/>
        <item m="1" x="320"/>
        <item m="1" x="125"/>
        <item m="1" x="268"/>
        <item m="1" x="71"/>
        <item m="1" x="212"/>
        <item m="1" x="358"/>
        <item m="1" x="162"/>
        <item m="1" x="306"/>
        <item m="1" x="110"/>
        <item m="1" x="251"/>
        <item m="1" x="55"/>
        <item m="1" x="198"/>
        <item m="1" x="344"/>
        <item m="1" x="148"/>
        <item m="1" x="292"/>
        <item m="1" x="96"/>
        <item m="1" x="237"/>
        <item m="1" x="41"/>
        <item m="1" x="183"/>
        <item m="1" x="329"/>
        <item m="1" x="134"/>
        <item m="1" x="355"/>
        <item m="1" x="159"/>
        <item m="1" x="303"/>
        <item m="1" x="107"/>
        <item m="1" x="248"/>
        <item m="1" x="52"/>
        <item m="1" x="195"/>
        <item m="1" x="341"/>
        <item m="1" x="145"/>
        <item m="1" x="287"/>
        <item m="1" x="91"/>
        <item m="1" x="232"/>
        <item m="1" x="377"/>
        <item m="1" x="179"/>
        <item m="1" x="325"/>
        <item m="1" x="130"/>
        <item m="1" x="273"/>
        <item m="1" x="76"/>
        <item m="1" x="217"/>
        <item m="1" x="363"/>
        <item m="1" x="167"/>
        <item m="1" x="311"/>
        <item m="1" x="115"/>
        <item m="1" x="257"/>
        <item m="1" x="61"/>
        <item m="1" x="203"/>
        <item m="1" x="349"/>
        <item m="1" x="153"/>
        <item m="1" x="297"/>
        <item m="1" x="101"/>
        <item m="1" x="242"/>
        <item m="1" x="321"/>
        <item m="1" x="126"/>
        <item m="1" x="269"/>
        <item m="1" x="72"/>
        <item m="1" x="213"/>
        <item m="1" x="359"/>
        <item m="1" x="163"/>
        <item m="1" x="307"/>
        <item m="1" x="111"/>
        <item m="1" x="252"/>
        <item m="1" x="56"/>
        <item m="1" x="199"/>
        <item m="1" x="345"/>
        <item m="1" x="149"/>
        <item m="1" x="293"/>
        <item m="1" x="97"/>
        <item m="1" x="238"/>
        <item m="1" x="42"/>
        <item m="1" x="184"/>
        <item m="1" x="330"/>
        <item m="1" x="135"/>
        <item m="1" x="277"/>
        <item m="1" x="81"/>
        <item m="1" x="223"/>
        <item m="1" x="369"/>
        <item m="1" x="172"/>
        <item m="1" x="316"/>
        <item m="1" x="120"/>
        <item m="1" x="263"/>
        <item m="1" x="67"/>
        <item m="1" x="288"/>
        <item m="1" x="92"/>
        <item m="1" x="233"/>
        <item m="1" x="378"/>
        <item m="1" x="180"/>
        <item m="1" x="326"/>
        <item m="1" x="131"/>
        <item m="1" x="274"/>
        <item m="1" x="77"/>
        <item m="1" x="218"/>
        <item m="1" x="364"/>
        <item m="1" x="168"/>
        <item m="1" x="312"/>
        <item m="1" x="116"/>
        <item m="1" x="258"/>
        <item m="1" x="62"/>
        <item m="1" x="204"/>
        <item m="1" x="350"/>
        <item m="1" x="154"/>
        <item m="1" x="298"/>
        <item m="1" x="102"/>
        <item m="1" x="243"/>
        <item m="1" x="47"/>
        <item m="1" x="190"/>
        <item m="1" x="336"/>
        <item m="1" x="140"/>
        <item m="1" x="282"/>
        <item m="1" x="86"/>
        <item m="1" x="228"/>
        <item m="1" x="374"/>
        <item m="1" x="322"/>
        <item m="1" x="127"/>
        <item m="1" x="270"/>
        <item m="1" x="73"/>
        <item m="1" x="214"/>
        <item m="1" x="360"/>
        <item m="1" x="164"/>
        <item m="1" x="308"/>
        <item m="1" x="112"/>
        <item m="1" x="253"/>
        <item m="1" x="57"/>
        <item m="1" x="200"/>
        <item m="1" x="346"/>
        <item m="1" x="150"/>
        <item m="1" x="294"/>
        <item m="1" x="98"/>
        <item m="1" x="239"/>
        <item m="1" x="43"/>
        <item m="1" x="185"/>
        <item m="1" x="331"/>
        <item m="1" x="136"/>
        <item m="1" x="278"/>
        <item m="1" x="82"/>
        <item m="1" x="224"/>
        <item m="1" x="370"/>
        <item m="1" x="173"/>
        <item m="1" x="317"/>
        <item m="1" x="121"/>
        <item m="1" x="264"/>
        <item m="1" x="68"/>
        <item m="1" x="209"/>
        <item m="1" x="289"/>
        <item m="1" x="93"/>
        <item m="1" x="234"/>
        <item m="1" x="379"/>
        <item m="1" x="181"/>
        <item m="1" x="327"/>
        <item m="1" x="132"/>
        <item m="1" x="275"/>
        <item m="1" x="78"/>
        <item m="1" x="219"/>
        <item m="1" x="365"/>
        <item m="1" x="169"/>
        <item m="1" x="313"/>
        <item m="1" x="117"/>
        <item m="1" x="259"/>
        <item m="1" x="63"/>
        <item m="1" x="205"/>
        <item m="1" x="351"/>
        <item m="1" x="155"/>
        <item m="1" x="299"/>
        <item m="1" x="103"/>
        <item m="1" x="244"/>
        <item m="1" x="48"/>
        <item m="1" x="191"/>
        <item m="1" x="337"/>
        <item m="1" x="141"/>
        <item m="1" x="283"/>
        <item m="1" x="87"/>
        <item m="1" x="254"/>
        <item m="1" x="58"/>
        <item m="1" x="220"/>
        <item m="1" x="366"/>
        <item m="1" x="186"/>
        <item m="1" x="332"/>
        <item m="1" x="122"/>
        <item m="1" x="265"/>
        <item m="1" x="295"/>
        <item m="1" x="99"/>
        <item m="1" x="240"/>
        <item m="1" x="44"/>
        <item m="1" x="187"/>
        <item m="1" x="333"/>
        <item m="1" x="137"/>
        <item m="1" x="279"/>
        <item m="1" x="83"/>
        <item m="1" x="225"/>
        <item m="1" x="371"/>
        <item m="1" x="174"/>
        <item m="1" x="318"/>
        <item m="1" x="123"/>
        <item m="1" x="266"/>
        <item m="1" x="69"/>
        <item m="1" x="210"/>
        <item m="1" x="356"/>
        <item m="1" x="160"/>
        <item m="1" x="304"/>
        <item m="1" x="108"/>
        <item m="1" x="249"/>
        <item m="1" x="53"/>
        <item m="1" x="196"/>
        <item m="1" x="342"/>
        <item m="1" x="146"/>
        <item m="1" x="290"/>
        <item m="1" x="94"/>
        <item m="1" x="235"/>
        <item m="1" x="260"/>
        <item m="1" x="64"/>
        <item m="1" x="206"/>
        <item m="1" x="352"/>
        <item m="1" x="156"/>
        <item m="1" x="300"/>
        <item m="1" x="104"/>
        <item m="1" x="245"/>
        <item m="1" x="49"/>
        <item m="1" x="192"/>
        <item m="1" x="338"/>
        <item m="1" x="142"/>
        <item m="1" x="284"/>
        <item m="1" x="88"/>
        <item m="1" x="229"/>
        <item m="1" x="375"/>
        <item m="1" x="177"/>
        <item m="1" x="323"/>
        <item m="1" x="128"/>
        <item m="1" x="271"/>
        <item m="1" x="74"/>
        <item m="1" x="215"/>
        <item m="1" x="361"/>
        <item m="1" x="165"/>
        <item m="1" x="309"/>
        <item m="1" x="113"/>
        <item m="1" x="255"/>
        <item m="1" x="59"/>
        <item m="1" x="201"/>
        <item m="1" x="347"/>
        <item m="1" x="151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10"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 t="grand">
      <x/>
    </i>
  </rowItems>
  <colItems count="1">
    <i/>
  </colItems>
  <dataFields count="1">
    <dataField name="Daily Output" fld="12" baseField="0" baseItem="11793352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68">
      <autoFilter ref="A1">
        <filterColumn colId="0">
          <customFilters>
            <customFilter operator="lessThanOrEqual" val="454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C000000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B11:C12" firstHeaderRow="0" firstDataRow="1" firstDataCol="0"/>
  <pivotFields count="61">
    <pivotField numFmtId="167"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dataField="1" numFmtId="166" showAll="0"/>
    <pivotField numFmtId="10" showAll="0"/>
    <pivotField showAll="0" defaultSubtota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Good Jars" fld="12" baseField="0" baseItem="0" numFmtId="3"/>
    <dataField name="Defects" fld="13" baseField="0" baseItem="1"/>
  </dataFields>
  <formats count="2"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B000000}" name="PivotTable1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>
  <location ref="B4:C5" firstHeaderRow="0" firstDataRow="1" firstDataCol="0"/>
  <pivotFields count="52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dataField="1" numFmtId="166" showAll="0"/>
    <pivotField dataField="1"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8" showAll="0"/>
    <pivotField numFmtId="168" showAll="0"/>
    <pivotField numFmtId="168" showAll="0"/>
    <pivotField numFmtId="168" showAl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Good Jars" fld="25" baseField="0" baseItem="1"/>
    <dataField name="Defects" fld="26" baseField="0" baseItem="0"/>
  </dataFields>
  <formats count="3">
    <format dxfId="8">
      <pivotArea type="all" dataOnly="0" outline="0" fieldPosition="0"/>
    </format>
    <format dxfId="7">
      <pivotArea outline="0" collapsedLevelsAreSubtotals="1" fieldPosition="0"/>
    </format>
    <format dxfId="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" displayName="Prod" ref="A5:AW78" totalsRowShown="0" headerRowDxfId="166" dataDxfId="165">
  <autoFilter ref="A5:AW78" xr:uid="{00000000-0009-0000-0100-000001000000}"/>
  <tableColumns count="49">
    <tableColumn id="1" xr3:uid="{00000000-0010-0000-0000-000001000000}" name="Date" dataDxfId="164"/>
    <tableColumn id="2" xr3:uid="{00000000-0010-0000-0000-000002000000}" name="LineNo" dataDxfId="163"/>
    <tableColumn id="3" xr3:uid="{00000000-0010-0000-0000-000003000000}" name="MoldNo" dataDxfId="162"/>
    <tableColumn id="4" xr3:uid="{00000000-0010-0000-0000-000004000000}" name="Index" dataDxfId="161"/>
    <tableColumn id="5" xr3:uid="{00000000-0010-0000-0000-000005000000}" name="Color" dataDxfId="160"/>
    <tableColumn id="6" xr3:uid="{00000000-0010-0000-0000-000006000000}" name="Resin" dataDxfId="159"/>
    <tableColumn id="7" xr3:uid="{00000000-0010-0000-0000-000007000000}" name="Status" dataDxfId="158">
      <calculatedColumnFormula>IF(OR(Prod[[#This Row],[S1Hrs]]&gt;0,Prod[[#This Row],[S2Hrs]]&gt;0,Prod[[#This Row],[S3Hrs]]&gt;0),"Running","Down")</calculatedColumnFormula>
    </tableColumn>
    <tableColumn id="8" xr3:uid="{00000000-0010-0000-0000-000008000000}" name="S1Cycle" dataDxfId="157" dataCellStyle="Comma"/>
    <tableColumn id="9" xr3:uid="{00000000-0010-0000-0000-000009000000}" name="S1Hrs" dataDxfId="156" dataCellStyle="Comma"/>
    <tableColumn id="10" xr3:uid="{00000000-0010-0000-0000-00000A000000}" name="S1Shot" dataDxfId="155" dataCellStyle="Comma"/>
    <tableColumn id="11" xr3:uid="{00000000-0010-0000-0000-00000B000000}" name="S1Cavity" dataDxfId="154" dataCellStyle="Comma"/>
    <tableColumn id="12" xr3:uid="{00000000-0010-0000-0000-00000C000000}" name="S1Qty" dataDxfId="153" dataCellStyle="Comma">
      <calculatedColumnFormula>Prod[[#This Row],[S1Shot]]*Prod[[#This Row],[S1Cavity]]-Prod[[#This Row],[S1Dft]]</calculatedColumnFormula>
    </tableColumn>
    <tableColumn id="13" xr3:uid="{00000000-0010-0000-0000-00000D000000}" name="S1Dft" dataDxfId="152">
      <calculatedColumnFormula>SUM(Prod[[#This Row],[S1Mold]],Prod[[#This Row],[S1Dmg]],Prod[[#This Row],[S1DisclrSpt]])</calculatedColumnFormula>
    </tableColumn>
    <tableColumn id="14" xr3:uid="{00000000-0010-0000-0000-00000E000000}" name="S2Cycle" dataDxfId="151" dataCellStyle="Comma"/>
    <tableColumn id="15" xr3:uid="{00000000-0010-0000-0000-00000F000000}" name="S2Hrs" dataDxfId="150" dataCellStyle="Comma"/>
    <tableColumn id="16" xr3:uid="{00000000-0010-0000-0000-000010000000}" name="S2Shot" dataDxfId="149" dataCellStyle="Comma"/>
    <tableColumn id="17" xr3:uid="{00000000-0010-0000-0000-000011000000}" name="S2Cavity" dataDxfId="148" dataCellStyle="Comma"/>
    <tableColumn id="18" xr3:uid="{00000000-0010-0000-0000-000012000000}" name="S2Qty" dataDxfId="147" dataCellStyle="Comma">
      <calculatedColumnFormula>Prod[[#This Row],[S2Shot]]*Prod[[#This Row],[S2Cavity]]-Prod[[#This Row],[S2Dft]]</calculatedColumnFormula>
    </tableColumn>
    <tableColumn id="19" xr3:uid="{00000000-0010-0000-0000-000013000000}" name="S2Dft" dataDxfId="146">
      <calculatedColumnFormula>SUM(Prod[[#This Row],[S2Mold]],Prod[[#This Row],[S2Dmg]],Prod[[#This Row],[S2DisclrSpt]])</calculatedColumnFormula>
    </tableColumn>
    <tableColumn id="20" xr3:uid="{00000000-0010-0000-0000-000014000000}" name="S3Cycle" dataDxfId="145" dataCellStyle="Comma"/>
    <tableColumn id="21" xr3:uid="{00000000-0010-0000-0000-000015000000}" name="S3Hrs" dataDxfId="144" dataCellStyle="Comma"/>
    <tableColumn id="22" xr3:uid="{00000000-0010-0000-0000-000016000000}" name="S3Shot" dataDxfId="143" dataCellStyle="Comma"/>
    <tableColumn id="23" xr3:uid="{00000000-0010-0000-0000-000017000000}" name="S3Cavity" dataDxfId="142" dataCellStyle="Comma"/>
    <tableColumn id="24" xr3:uid="{00000000-0010-0000-0000-000018000000}" name="S3Qty" dataDxfId="141" dataCellStyle="Comma">
      <calculatedColumnFormula>Prod[[#This Row],[S3Shot]]*Prod[[#This Row],[S3Cavity]]-Prod[[#This Row],[S3Dft]]</calculatedColumnFormula>
    </tableColumn>
    <tableColumn id="25" xr3:uid="{00000000-0010-0000-0000-000019000000}" name="S3Dft" dataDxfId="140">
      <calculatedColumnFormula>SUM(Prod[[#This Row],[S3Mold]],Prod[[#This Row],[S3Dmg]],Prod[[#This Row],[S3DisclrSpt]])</calculatedColumnFormula>
    </tableColumn>
    <tableColumn id="26" xr3:uid="{00000000-0010-0000-0000-00001A000000}" name="Total" dataDxfId="139" dataCellStyle="Comma">
      <calculatedColumnFormula>SUM(Prod[[#This Row],[S1Qty]],Prod[[#This Row],[S2Qty]],Prod[[#This Row],[S3Qty]])</calculatedColumnFormula>
    </tableColumn>
    <tableColumn id="27" xr3:uid="{00000000-0010-0000-0000-00001B000000}" name="TotalDft" dataDxfId="138">
      <calculatedColumnFormula>SUM(Prod[[#This Row],[S1Dft]],Prod[[#This Row],[S2Dft]],Prod[[#This Row],[S3Dft]])</calculatedColumnFormula>
    </tableColumn>
    <tableColumn id="28" xr3:uid="{00000000-0010-0000-0000-00001C000000}" name="DftRt" dataDxfId="137" dataCellStyle="Percent">
      <calculatedColumnFormula>IF(Prod[[#This Row],[Total]]=0,0,Prod[[#This Row],[TotalDft]]/Prod[[#This Row],[Total]])</calculatedColumnFormula>
    </tableColumn>
    <tableColumn id="29" xr3:uid="{00000000-0010-0000-0000-00001D000000}" name="Remarks" dataDxfId="136"/>
    <tableColumn id="30" xr3:uid="{00000000-0010-0000-0000-00001E000000}" name="S1Mold" dataDxfId="135" dataCellStyle="Comma"/>
    <tableColumn id="31" xr3:uid="{00000000-0010-0000-0000-00001F000000}" name="S2Mold" dataDxfId="134" dataCellStyle="Comma"/>
    <tableColumn id="32" xr3:uid="{00000000-0010-0000-0000-000020000000}" name="S3Mold" dataDxfId="133" dataCellStyle="Comma"/>
    <tableColumn id="36" xr3:uid="{00000000-0010-0000-0000-000024000000}" name="S1Dmg" dataDxfId="132" dataCellStyle="Comma"/>
    <tableColumn id="37" xr3:uid="{00000000-0010-0000-0000-000025000000}" name="S2Dmg" dataDxfId="131" dataCellStyle="Comma"/>
    <tableColumn id="38" xr3:uid="{00000000-0010-0000-0000-000026000000}" name="S3Dmg" dataDxfId="130" dataCellStyle="Comma"/>
    <tableColumn id="33" xr3:uid="{00000000-0010-0000-0000-000021000000}" name="S1DisclrSpt" dataDxfId="129" dataCellStyle="Comma"/>
    <tableColumn id="34" xr3:uid="{00000000-0010-0000-0000-000022000000}" name="S2DisclrSpt" dataDxfId="128" dataCellStyle="Comma"/>
    <tableColumn id="35" xr3:uid="{00000000-0010-0000-0000-000023000000}" name="S3DisclrSpt" dataDxfId="127" dataCellStyle="Comma"/>
    <tableColumn id="39" xr3:uid="{00000000-0010-0000-0000-000027000000}" name="S1%" dataDxfId="126" dataCellStyle="Comma">
      <calculatedColumnFormula>IF(Prod[[#This Row],[S1Hrs]]=0,0,Prod[[#This Row],[S1Shot]]*Prod[[#This Row],[S1Cycle]]/(Prod[[#This Row],[S1Hrs]]*60*60))</calculatedColumnFormula>
    </tableColumn>
    <tableColumn id="40" xr3:uid="{00000000-0010-0000-0000-000028000000}" name="S2%" dataDxfId="125" dataCellStyle="Comma">
      <calculatedColumnFormula>IF(Prod[[#This Row],[S2Hrs]]=0,0,Prod[[#This Row],[S2Shot]]*Prod[[#This Row],[S2Cycle]]/(Prod[[#This Row],[S2Hrs]]*60*60))</calculatedColumnFormula>
    </tableColumn>
    <tableColumn id="41" xr3:uid="{00000000-0010-0000-0000-000029000000}" name="S3%" dataDxfId="124" dataCellStyle="Comma">
      <calculatedColumnFormula>IF(Prod[[#This Row],[S3Hrs]]=0,0,Prod[[#This Row],[S3Shot]]*Prod[[#This Row],[S3Cycle]]/(Prod[[#This Row],[S3Hrs]]*60*60))</calculatedColumnFormula>
    </tableColumn>
    <tableColumn id="42" xr3:uid="{00000000-0010-0000-0000-00002A000000}" name="Daily%" dataDxfId="123" dataCellStyle="Comma">
      <calculatedColumnFormula>IFERROR(AVERAGEIF(Prod[[#This Row],[S1%]:[S3%]], "&lt;&gt;0"),0)</calculatedColumnFormula>
    </tableColumn>
    <tableColumn id="43" xr3:uid="{00000000-0010-0000-0000-00002B000000}" name="HrStrtCls" dataDxfId="122" dataCellStyle="Comma"/>
    <tableColumn id="44" xr3:uid="{00000000-0010-0000-0000-00002C000000}" name="HrMaint" dataDxfId="121" dataCellStyle="Comma"/>
    <tableColumn id="45" xr3:uid="{00000000-0010-0000-0000-00002D000000}" name="HrSample" dataDxfId="120" dataCellStyle="Comma"/>
    <tableColumn id="46" xr3:uid="{00000000-0010-0000-0000-00002E000000}" name="S1CycleNotZero" dataDxfId="119" dataCellStyle="Comma">
      <calculatedColumnFormula>IF(Prod[[#This Row],[S1Cycle]]&lt;&gt;0,1,0)</calculatedColumnFormula>
    </tableColumn>
    <tableColumn id="47" xr3:uid="{00000000-0010-0000-0000-00002F000000}" name="S2CycleNotZero" dataDxfId="118" dataCellStyle="Comma">
      <calculatedColumnFormula>IF(Prod[[#This Row],[S2Cycle]]&lt;&gt;0,1,0)</calculatedColumnFormula>
    </tableColumn>
    <tableColumn id="48" xr3:uid="{00000000-0010-0000-0000-000030000000}" name="S3CycleNotZero" dataDxfId="117" dataCellStyle="Comma">
      <calculatedColumnFormula>IF(Prod[[#This Row],[S3Cycle]]&lt;&gt;0,1,0)</calculatedColumnFormula>
    </tableColumn>
    <tableColumn id="49" xr3:uid="{00000000-0010-0000-0000-000031000000}" name="Cavity" dataDxfId="116" dataCellStyle="Comma">
      <calculatedColumnFormula>MAX(Prod[[#This Row],[S1Cavity]],Prod[[#This Row],[S2Cavity]],Prod[[#This Row],[S3Cavity]])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HTL" displayName="HTL" ref="A5:BI65" totalsRowShown="0" headerRowDxfId="114" dataDxfId="113">
  <autoFilter ref="A5:BI65" xr:uid="{00000000-0009-0000-0100-000002000000}"/>
  <tableColumns count="61">
    <tableColumn id="1" xr3:uid="{00000000-0010-0000-0100-000001000000}" name="Date" dataDxfId="112"/>
    <tableColumn id="2" xr3:uid="{00000000-0010-0000-0100-000002000000}" name="LineNo" dataDxfId="111"/>
    <tableColumn id="3" xr3:uid="{00000000-0010-0000-0100-000003000000}" name="MoldNo" dataDxfId="110"/>
    <tableColumn id="4" xr3:uid="{00000000-0010-0000-0100-000004000000}" name="Index" dataDxfId="109"/>
    <tableColumn id="5" xr3:uid="{00000000-0010-0000-0100-000005000000}" name="Customer" dataDxfId="108"/>
    <tableColumn id="6" xr3:uid="{00000000-0010-0000-0100-000006000000}" name="Status" dataDxfId="107">
      <calculatedColumnFormula>IF(HTL[[#This Row],[Total]]&gt;0,"Running","Down")</calculatedColumnFormula>
    </tableColumn>
    <tableColumn id="7" xr3:uid="{00000000-0010-0000-0100-000007000000}" name="S1Qty" dataDxfId="106" dataCellStyle="Comma"/>
    <tableColumn id="8" xr3:uid="{00000000-0010-0000-0100-000008000000}" name="S1Dft" dataDxfId="105" dataCellStyle="Comma">
      <calculatedColumnFormula>SUM(HTL[[#This Row],[S1Disclr]]:HTL[[#This Row],[S1Print]])</calculatedColumnFormula>
    </tableColumn>
    <tableColumn id="9" xr3:uid="{00000000-0010-0000-0100-000009000000}" name="S2Qty" dataDxfId="104" dataCellStyle="Comma"/>
    <tableColumn id="10" xr3:uid="{00000000-0010-0000-0100-00000A000000}" name="S2Dft" dataDxfId="103" dataCellStyle="Comma">
      <calculatedColumnFormula>SUM(HTL[[#This Row],[S2Disclr]]:HTL[[#This Row],[S2Print]])</calculatedColumnFormula>
    </tableColumn>
    <tableColumn id="11" xr3:uid="{00000000-0010-0000-0100-00000B000000}" name="S3Qty" dataDxfId="102" dataCellStyle="Comma"/>
    <tableColumn id="12" xr3:uid="{00000000-0010-0000-0100-00000C000000}" name="S3Dft" dataDxfId="101" dataCellStyle="Comma">
      <calculatedColumnFormula>SUM(HTL[[#This Row],[S3Disclr]]:HTL[[#This Row],[S3Print]])</calculatedColumnFormula>
    </tableColumn>
    <tableColumn id="13" xr3:uid="{00000000-0010-0000-0100-00000D000000}" name="Total" dataDxfId="100" dataCellStyle="Comma">
      <calculatedColumnFormula>SUM(HTL[[#This Row],[S1Qty]],HTL[[#This Row],[S2Qty]],HTL[[#This Row],[S3Qty]])-HTL[[#This Row],[TotalDft]]</calculatedColumnFormula>
    </tableColumn>
    <tableColumn id="14" xr3:uid="{00000000-0010-0000-0100-00000E000000}" name="TotalDft" dataDxfId="99" dataCellStyle="Comma">
      <calculatedColumnFormula>SUM(HTL[[#This Row],[S1Dft]],HTL[[#This Row],[S2Dft]],HTL[[#This Row],[S3Dft]])</calculatedColumnFormula>
    </tableColumn>
    <tableColumn id="15" xr3:uid="{00000000-0010-0000-0100-00000F000000}" name="DftRte" dataDxfId="98">
      <calculatedColumnFormula>IF(HTL[[#This Row],[Total]]=0,0,HTL[[#This Row],[TotalDft]]/HTL[[#This Row],[Total]])</calculatedColumnFormula>
    </tableColumn>
    <tableColumn id="16" xr3:uid="{00000000-0010-0000-0100-000010000000}" name="Remarks" dataDxfId="97"/>
    <tableColumn id="17" xr3:uid="{00000000-0010-0000-0100-000011000000}" name="S1Disclr" dataDxfId="96" dataCellStyle="Comma"/>
    <tableColumn id="18" xr3:uid="{00000000-0010-0000-0100-000012000000}" name="S1Shrink" dataDxfId="95" dataCellStyle="Comma"/>
    <tableColumn id="19" xr3:uid="{00000000-0010-0000-0100-000013000000}" name="S1Flow" dataDxfId="94" dataCellStyle="Comma"/>
    <tableColumn id="20" xr3:uid="{00000000-0010-0000-0100-000014000000}" name="S1Short" dataDxfId="93" dataCellStyle="Comma"/>
    <tableColumn id="21" xr3:uid="{00000000-0010-0000-0100-000015000000}" name="S1Flash" dataDxfId="92" dataCellStyle="Comma"/>
    <tableColumn id="22" xr3:uid="{00000000-0010-0000-0100-000016000000}" name="S1Scrtch" dataDxfId="91" dataCellStyle="Comma"/>
    <tableColumn id="23" xr3:uid="{00000000-0010-0000-0100-000017000000}" name="S1Spot" dataDxfId="90" dataCellStyle="Comma"/>
    <tableColumn id="24" xr3:uid="{00000000-0010-0000-0100-000018000000}" name="S1Dmg" dataDxfId="89" dataCellStyle="Comma"/>
    <tableColumn id="25" xr3:uid="{00000000-0010-0000-0100-000019000000}" name="S1Crack" dataDxfId="88" dataCellStyle="Comma"/>
    <tableColumn id="26" xr3:uid="{00000000-0010-0000-0100-00001A000000}" name="S1Btm" dataDxfId="87" dataCellStyle="Comma"/>
    <tableColumn id="27" xr3:uid="{00000000-0010-0000-0100-00001B000000}" name="S1Contam" dataDxfId="86" dataCellStyle="Comma"/>
    <tableColumn id="28" xr3:uid="{00000000-0010-0000-0100-00001C000000}" name="S1Wrinkle" dataDxfId="85" dataCellStyle="Comma"/>
    <tableColumn id="29" xr3:uid="{00000000-0010-0000-0100-00001D000000}" name="S1Skew" dataDxfId="84" dataCellStyle="Comma"/>
    <tableColumn id="30" xr3:uid="{00000000-0010-0000-0100-00001E000000}" name="S1Pos" dataDxfId="83" dataCellStyle="Comma"/>
    <tableColumn id="31" xr3:uid="{00000000-0010-0000-0100-00001F000000}" name="S1Print" dataDxfId="82" dataCellStyle="Comma"/>
    <tableColumn id="32" xr3:uid="{00000000-0010-0000-0100-000020000000}" name="S2Disclr" dataDxfId="81" dataCellStyle="Comma"/>
    <tableColumn id="33" xr3:uid="{00000000-0010-0000-0100-000021000000}" name="S2Shrink" dataDxfId="80" dataCellStyle="Comma"/>
    <tableColumn id="34" xr3:uid="{00000000-0010-0000-0100-000022000000}" name="S2Flow" dataDxfId="79" dataCellStyle="Comma"/>
    <tableColumn id="35" xr3:uid="{00000000-0010-0000-0100-000023000000}" name="S2Short" dataDxfId="78" dataCellStyle="Comma"/>
    <tableColumn id="36" xr3:uid="{00000000-0010-0000-0100-000024000000}" name="S2Flash" dataDxfId="77" dataCellStyle="Comma"/>
    <tableColumn id="37" xr3:uid="{00000000-0010-0000-0100-000025000000}" name="S2Scrtch" dataDxfId="76" dataCellStyle="Comma"/>
    <tableColumn id="38" xr3:uid="{00000000-0010-0000-0100-000026000000}" name="S2Spot" dataDxfId="75" dataCellStyle="Comma"/>
    <tableColumn id="39" xr3:uid="{00000000-0010-0000-0100-000027000000}" name="S2Dmg" dataDxfId="74" dataCellStyle="Comma"/>
    <tableColumn id="40" xr3:uid="{00000000-0010-0000-0100-000028000000}" name="S2Crack" dataDxfId="73" dataCellStyle="Comma"/>
    <tableColumn id="41" xr3:uid="{00000000-0010-0000-0100-000029000000}" name="S2Btm" dataDxfId="72" dataCellStyle="Comma"/>
    <tableColumn id="42" xr3:uid="{00000000-0010-0000-0100-00002A000000}" name="S2Contam" dataDxfId="71" dataCellStyle="Comma"/>
    <tableColumn id="43" xr3:uid="{00000000-0010-0000-0100-00002B000000}" name="S2Wrinkle" dataDxfId="70" dataCellStyle="Comma"/>
    <tableColumn id="44" xr3:uid="{00000000-0010-0000-0100-00002C000000}" name="S2Skew" dataDxfId="69" dataCellStyle="Comma"/>
    <tableColumn id="45" xr3:uid="{00000000-0010-0000-0100-00002D000000}" name="S2Pos" dataDxfId="68" dataCellStyle="Comma"/>
    <tableColumn id="46" xr3:uid="{00000000-0010-0000-0100-00002E000000}" name="S2Print" dataDxfId="67" dataCellStyle="Comma"/>
    <tableColumn id="47" xr3:uid="{00000000-0010-0000-0100-00002F000000}" name="S3Disclr" dataDxfId="66" dataCellStyle="Comma"/>
    <tableColumn id="48" xr3:uid="{00000000-0010-0000-0100-000030000000}" name="S3Shrink" dataDxfId="65" dataCellStyle="Comma"/>
    <tableColumn id="49" xr3:uid="{00000000-0010-0000-0100-000031000000}" name="S3Flow" dataDxfId="64" dataCellStyle="Comma"/>
    <tableColumn id="50" xr3:uid="{00000000-0010-0000-0100-000032000000}" name="S3Short" dataDxfId="63" dataCellStyle="Comma"/>
    <tableColumn id="51" xr3:uid="{00000000-0010-0000-0100-000033000000}" name="S3Flash" dataDxfId="62" dataCellStyle="Comma"/>
    <tableColumn id="52" xr3:uid="{00000000-0010-0000-0100-000034000000}" name="S3Scrtch" dataDxfId="61" dataCellStyle="Comma"/>
    <tableColumn id="53" xr3:uid="{00000000-0010-0000-0100-000035000000}" name="S3Spot" dataDxfId="60" dataCellStyle="Comma"/>
    <tableColumn id="54" xr3:uid="{00000000-0010-0000-0100-000036000000}" name="S3Dmg" dataDxfId="59" dataCellStyle="Comma"/>
    <tableColumn id="55" xr3:uid="{00000000-0010-0000-0100-000037000000}" name="S3Crack" dataDxfId="58" dataCellStyle="Comma"/>
    <tableColumn id="56" xr3:uid="{00000000-0010-0000-0100-000038000000}" name="S3Btm" dataDxfId="57" dataCellStyle="Comma"/>
    <tableColumn id="57" xr3:uid="{00000000-0010-0000-0100-000039000000}" name="S3Contam" dataDxfId="56" dataCellStyle="Comma"/>
    <tableColumn id="58" xr3:uid="{00000000-0010-0000-0100-00003A000000}" name="S3Wrinkle" dataDxfId="55" dataCellStyle="Comma"/>
    <tableColumn id="59" xr3:uid="{00000000-0010-0000-0100-00003B000000}" name="S3Skew" dataDxfId="54" dataCellStyle="Comma"/>
    <tableColumn id="60" xr3:uid="{00000000-0010-0000-0100-00003C000000}" name="S3Pos" dataDxfId="53" dataCellStyle="Comma"/>
    <tableColumn id="61" xr3:uid="{00000000-0010-0000-0100-00003D000000}" name="S3Print" dataDxfId="52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2:H96" totalsRowShown="0" headerRowDxfId="20" dataDxfId="18" headerRowBorderDxfId="19" tableBorderDxfId="17">
  <autoFilter ref="A42:H96" xr:uid="{00000000-0009-0000-0100-000003000000}">
    <filterColumn colId="0">
      <filters>
        <dateGroupItem year="2024" month="5" day="9" dateTimeGrouping="day"/>
      </filters>
    </filterColumn>
  </autoFilter>
  <tableColumns count="8">
    <tableColumn id="1" xr3:uid="{00000000-0010-0000-0200-000001000000}" name="Date" dataDxfId="16"/>
    <tableColumn id="2" xr3:uid="{00000000-0010-0000-0200-000002000000}" name="LineNo" dataDxfId="15"/>
    <tableColumn id="3" xr3:uid="{00000000-0010-0000-0200-000003000000}" name="Index" dataDxfId="14"/>
    <tableColumn id="4" xr3:uid="{00000000-0010-0000-0200-000004000000}" name="Color" dataDxfId="13"/>
    <tableColumn id="5" xr3:uid="{00000000-0010-0000-0200-000005000000}" name="Size" dataDxfId="12"/>
    <tableColumn id="8" xr3:uid="{00000000-0010-0000-0200-000008000000}" name="Qty/Min" dataDxfId="11"/>
    <tableColumn id="6" xr3:uid="{00000000-0010-0000-0200-000006000000}" name="Total Qty" dataDxfId="10"/>
    <tableColumn id="7" xr3:uid="{00000000-0010-0000-0200-000007000000}" name="Remark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4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3.xml"/><Relationship Id="rId4" Type="http://schemas.openxmlformats.org/officeDocument/2006/relationships/pivotTable" Target="../pivotTables/pivotTable5.xml"/><Relationship Id="rId9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pivotTable" Target="../pivotTables/pivotTable8.xml"/><Relationship Id="rId7" Type="http://schemas.openxmlformats.org/officeDocument/2006/relationships/vmlDrawing" Target="../drawings/vmlDrawing4.v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0.xml"/><Relationship Id="rId10" Type="http://schemas.openxmlformats.org/officeDocument/2006/relationships/ctrlProp" Target="../ctrlProps/ctrlProp6.xml"/><Relationship Id="rId4" Type="http://schemas.openxmlformats.org/officeDocument/2006/relationships/pivotTable" Target="../pivotTables/pivotTable9.xml"/><Relationship Id="rId9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1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AC405"/>
  <sheetViews>
    <sheetView topLeftCell="A274" zoomScale="75" workbookViewId="0">
      <selection activeCell="J300" sqref="J300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40" customWidth="1"/>
    <col min="9" max="9" width="7.7109375" style="54" customWidth="1"/>
    <col min="10" max="10" width="7.7109375" style="58" customWidth="1"/>
    <col min="11" max="12" width="7.7109375" customWidth="1"/>
    <col min="13" max="13" width="10.5703125" customWidth="1"/>
    <col min="14" max="14" width="7.7109375" style="40" customWidth="1"/>
    <col min="15" max="15" width="7.7109375" style="54" customWidth="1"/>
    <col min="16" max="16" width="7.7109375" style="58" customWidth="1"/>
    <col min="17" max="18" width="7.7109375" customWidth="1"/>
    <col min="19" max="19" width="10.42578125" customWidth="1"/>
    <col min="20" max="20" width="7.7109375" style="40" customWidth="1"/>
    <col min="21" max="21" width="7.7109375" style="54" customWidth="1"/>
    <col min="22" max="22" width="7.7109375" style="58" customWidth="1"/>
    <col min="23" max="23" width="7.7109375" customWidth="1"/>
    <col min="24" max="24" width="10" customWidth="1"/>
    <col min="25" max="25" width="10.42578125" customWidth="1"/>
    <col min="26" max="26" width="9.7109375" customWidth="1"/>
    <col min="27" max="28" width="11.42578125" customWidth="1"/>
    <col min="29" max="29" width="73.7109375" customWidth="1"/>
    <col min="32" max="32" width="11.42578125" bestFit="1" customWidth="1"/>
  </cols>
  <sheetData>
    <row r="2" spans="1:29" ht="27.75" thickBot="1" x14ac:dyDescent="0.4">
      <c r="A2" s="90" t="s">
        <v>58</v>
      </c>
      <c r="B2" s="91"/>
      <c r="C2" s="92"/>
      <c r="D2" s="92"/>
      <c r="E2" s="93"/>
      <c r="F2" s="4"/>
      <c r="G2" s="5"/>
      <c r="H2" s="37"/>
      <c r="I2" s="50"/>
      <c r="J2" s="56"/>
      <c r="K2" s="5"/>
      <c r="L2" s="89" t="s">
        <v>18</v>
      </c>
      <c r="M2" s="199" t="s">
        <v>72</v>
      </c>
      <c r="N2" s="199"/>
      <c r="O2" s="199"/>
      <c r="P2" s="199"/>
      <c r="Q2" s="199"/>
      <c r="R2" s="199"/>
      <c r="S2" s="6"/>
      <c r="T2" s="41"/>
      <c r="U2" s="55"/>
      <c r="V2" s="56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37"/>
      <c r="I3" s="50"/>
      <c r="J3" s="56"/>
      <c r="K3" s="5"/>
      <c r="L3" s="8"/>
      <c r="M3" s="8"/>
      <c r="N3" s="37"/>
      <c r="O3" s="50"/>
      <c r="P3" s="56"/>
      <c r="Q3" s="5"/>
      <c r="R3" s="8"/>
      <c r="S3" s="8"/>
      <c r="T3" s="37"/>
      <c r="U3" s="50"/>
      <c r="V3" s="56"/>
      <c r="W3" s="5"/>
      <c r="X3" s="8"/>
      <c r="Y3" s="8"/>
      <c r="Z3" s="8"/>
      <c r="AA3" s="8"/>
      <c r="AB3" s="8"/>
    </row>
    <row r="8" spans="1:29" ht="12.75" customHeight="1" x14ac:dyDescent="0.2">
      <c r="A8" s="193">
        <v>44713</v>
      </c>
      <c r="B8" s="16" t="s">
        <v>20</v>
      </c>
      <c r="C8" s="17"/>
      <c r="D8" s="18" t="s">
        <v>21</v>
      </c>
      <c r="E8" s="17">
        <v>0</v>
      </c>
      <c r="F8" s="24"/>
      <c r="G8" s="25"/>
      <c r="H8" s="38"/>
      <c r="I8" s="51"/>
      <c r="J8" s="57"/>
      <c r="K8" s="25"/>
      <c r="L8" s="18"/>
      <c r="M8" s="25"/>
      <c r="N8" s="38"/>
      <c r="O8" s="51"/>
      <c r="P8" s="57"/>
      <c r="Q8" s="25"/>
      <c r="R8" s="18"/>
      <c r="S8" s="25"/>
      <c r="T8" s="38"/>
      <c r="U8" s="51"/>
      <c r="V8" s="57"/>
      <c r="W8" s="25"/>
      <c r="X8" s="18"/>
      <c r="Y8" s="18"/>
      <c r="Z8" s="25"/>
      <c r="AA8" s="18"/>
      <c r="AB8" s="18"/>
      <c r="AC8" s="26"/>
    </row>
    <row r="9" spans="1:29" ht="12.75" customHeight="1" x14ac:dyDescent="0.2">
      <c r="A9" s="193"/>
      <c r="B9" s="157" t="s">
        <v>3</v>
      </c>
      <c r="C9" s="158" t="s">
        <v>0</v>
      </c>
      <c r="D9" s="158" t="s">
        <v>10</v>
      </c>
      <c r="E9" s="158" t="s">
        <v>4</v>
      </c>
      <c r="F9" s="158" t="s">
        <v>9</v>
      </c>
      <c r="G9" s="180" t="s">
        <v>5</v>
      </c>
      <c r="H9" s="187" t="s">
        <v>6</v>
      </c>
      <c r="I9" s="188"/>
      <c r="J9" s="188"/>
      <c r="K9" s="188"/>
      <c r="L9" s="188"/>
      <c r="M9" s="189"/>
      <c r="N9" s="187" t="s">
        <v>7</v>
      </c>
      <c r="O9" s="188"/>
      <c r="P9" s="188"/>
      <c r="Q9" s="188"/>
      <c r="R9" s="188"/>
      <c r="S9" s="189"/>
      <c r="T9" s="187" t="s">
        <v>8</v>
      </c>
      <c r="U9" s="188"/>
      <c r="V9" s="188"/>
      <c r="W9" s="188"/>
      <c r="X9" s="188"/>
      <c r="Y9" s="189"/>
      <c r="Z9" s="163" t="s">
        <v>16</v>
      </c>
      <c r="AA9" s="163" t="s">
        <v>66</v>
      </c>
      <c r="AB9" s="163" t="s">
        <v>27</v>
      </c>
      <c r="AC9" s="181" t="s">
        <v>11</v>
      </c>
    </row>
    <row r="10" spans="1:29" ht="41.25" customHeight="1" x14ac:dyDescent="0.2">
      <c r="A10" s="193"/>
      <c r="B10" s="157"/>
      <c r="C10" s="158"/>
      <c r="D10" s="158"/>
      <c r="E10" s="158"/>
      <c r="F10" s="158"/>
      <c r="G10" s="180"/>
      <c r="H10" s="39" t="s">
        <v>24</v>
      </c>
      <c r="I10" s="98" t="s">
        <v>25</v>
      </c>
      <c r="J10" s="99" t="s">
        <v>28</v>
      </c>
      <c r="K10" s="100" t="s">
        <v>22</v>
      </c>
      <c r="L10" s="101" t="s">
        <v>2</v>
      </c>
      <c r="M10" s="27" t="s">
        <v>14</v>
      </c>
      <c r="N10" s="39" t="s">
        <v>24</v>
      </c>
      <c r="O10" s="98" t="s">
        <v>25</v>
      </c>
      <c r="P10" s="99" t="s">
        <v>28</v>
      </c>
      <c r="Q10" s="100" t="s">
        <v>22</v>
      </c>
      <c r="R10" s="27" t="s">
        <v>2</v>
      </c>
      <c r="S10" s="27" t="s">
        <v>14</v>
      </c>
      <c r="T10" s="39" t="s">
        <v>24</v>
      </c>
      <c r="U10" s="98" t="s">
        <v>25</v>
      </c>
      <c r="V10" s="99" t="s">
        <v>28</v>
      </c>
      <c r="W10" s="100" t="s">
        <v>22</v>
      </c>
      <c r="X10" s="27" t="s">
        <v>2</v>
      </c>
      <c r="Y10" s="27" t="s">
        <v>14</v>
      </c>
      <c r="Z10" s="164"/>
      <c r="AA10" s="165"/>
      <c r="AB10" s="165"/>
      <c r="AC10" s="182"/>
    </row>
    <row r="11" spans="1:29" ht="12.75" customHeight="1" x14ac:dyDescent="0.2">
      <c r="A11" s="193"/>
      <c r="B11" s="194" t="s">
        <v>42</v>
      </c>
      <c r="C11" s="196" t="s">
        <v>45</v>
      </c>
      <c r="D11" s="11">
        <v>21231</v>
      </c>
      <c r="E11" s="11" t="s">
        <v>46</v>
      </c>
      <c r="F11" s="11" t="s">
        <v>130</v>
      </c>
      <c r="G11" s="196" t="s">
        <v>1</v>
      </c>
      <c r="H11" s="34">
        <v>41.45</v>
      </c>
      <c r="I11" s="49">
        <v>8</v>
      </c>
      <c r="J11" s="28">
        <v>687</v>
      </c>
      <c r="K11" s="28">
        <v>12</v>
      </c>
      <c r="L11" s="28">
        <f t="shared" ref="L11:L16" si="0">IF(ISBLANK(J11), , J11*K11)</f>
        <v>8244</v>
      </c>
      <c r="M11" s="23">
        <f t="shared" ref="M11:M16" si="1">H20+K20+N20+Q20+T20+W20+Z20</f>
        <v>20</v>
      </c>
      <c r="N11" s="34">
        <v>41.45</v>
      </c>
      <c r="O11" s="49">
        <v>8</v>
      </c>
      <c r="P11" s="28">
        <v>701</v>
      </c>
      <c r="Q11" s="28">
        <v>12</v>
      </c>
      <c r="R11" s="28">
        <f t="shared" ref="R11:R16" si="2">IF(ISBLANK(P11), , P11*Q11)</f>
        <v>8412</v>
      </c>
      <c r="S11" s="23">
        <f t="shared" ref="S11:S16" si="3">I20+L20+O20+R20+U20+X20+AA20</f>
        <v>0</v>
      </c>
      <c r="T11" s="34">
        <v>41.45</v>
      </c>
      <c r="U11" s="49">
        <v>8</v>
      </c>
      <c r="V11" s="28">
        <v>677</v>
      </c>
      <c r="W11" s="28">
        <v>12</v>
      </c>
      <c r="X11" s="28">
        <f t="shared" ref="X11:X16" si="4">IF(ISBLANK(V11), , V11*W11)</f>
        <v>8124</v>
      </c>
      <c r="Y11" s="23">
        <f t="shared" ref="Y11:Y16" si="5">J20+M20+P20+S20+V20+Y20+AB20</f>
        <v>0</v>
      </c>
      <c r="Z11" s="151">
        <f>SUM(L11, R11, X11)+SUM(L12, R12, X12)</f>
        <v>24780</v>
      </c>
      <c r="AA11" s="151">
        <f>SUM(M11, S11, Y11)+SUM(M12, S12, Y12)</f>
        <v>20</v>
      </c>
      <c r="AB11" s="153">
        <f>IF($Z11=0, ,AA11/$Z11)</f>
        <v>8.0710250201775622E-4</v>
      </c>
      <c r="AC11" s="179"/>
    </row>
    <row r="12" spans="1:29" ht="12.75" customHeight="1" x14ac:dyDescent="0.2">
      <c r="A12" s="193"/>
      <c r="B12" s="195"/>
      <c r="C12" s="197"/>
      <c r="D12" s="11"/>
      <c r="E12" s="11"/>
      <c r="F12" s="11"/>
      <c r="G12" s="198"/>
      <c r="H12" s="34"/>
      <c r="I12" s="49"/>
      <c r="J12" s="28"/>
      <c r="K12" s="28"/>
      <c r="L12" s="28">
        <f t="shared" si="0"/>
        <v>0</v>
      </c>
      <c r="M12" s="23">
        <f t="shared" si="1"/>
        <v>0</v>
      </c>
      <c r="N12" s="34"/>
      <c r="O12" s="49"/>
      <c r="P12" s="28"/>
      <c r="Q12" s="28"/>
      <c r="R12" s="28">
        <f t="shared" si="2"/>
        <v>0</v>
      </c>
      <c r="S12" s="23">
        <f t="shared" si="3"/>
        <v>0</v>
      </c>
      <c r="T12" s="34"/>
      <c r="U12" s="49"/>
      <c r="V12" s="28"/>
      <c r="W12" s="28"/>
      <c r="X12" s="28">
        <f t="shared" si="4"/>
        <v>0</v>
      </c>
      <c r="Y12" s="23">
        <f t="shared" si="5"/>
        <v>0</v>
      </c>
      <c r="Z12" s="152"/>
      <c r="AA12" s="152"/>
      <c r="AB12" s="154"/>
      <c r="AC12" s="155"/>
    </row>
    <row r="13" spans="1:29" ht="12.75" customHeight="1" x14ac:dyDescent="0.2">
      <c r="A13" s="193"/>
      <c r="B13" s="175" t="s">
        <v>43</v>
      </c>
      <c r="C13" s="177" t="s">
        <v>65</v>
      </c>
      <c r="D13" s="10">
        <v>21234</v>
      </c>
      <c r="E13" s="10" t="s">
        <v>46</v>
      </c>
      <c r="F13" s="10" t="s">
        <v>130</v>
      </c>
      <c r="G13" s="177" t="s">
        <v>1</v>
      </c>
      <c r="H13" s="35">
        <v>41.6</v>
      </c>
      <c r="I13" s="52">
        <v>8</v>
      </c>
      <c r="J13" s="64">
        <v>677</v>
      </c>
      <c r="K13" s="64">
        <v>12</v>
      </c>
      <c r="L13" s="64">
        <f t="shared" si="0"/>
        <v>8124</v>
      </c>
      <c r="M13" s="65">
        <f t="shared" si="1"/>
        <v>20</v>
      </c>
      <c r="N13" s="66">
        <v>41.6</v>
      </c>
      <c r="O13" s="67">
        <v>8</v>
      </c>
      <c r="P13" s="64">
        <v>692</v>
      </c>
      <c r="Q13" s="64">
        <v>12</v>
      </c>
      <c r="R13" s="64">
        <f t="shared" si="2"/>
        <v>8304</v>
      </c>
      <c r="S13" s="65">
        <f t="shared" si="3"/>
        <v>0</v>
      </c>
      <c r="T13" s="66">
        <v>41.6</v>
      </c>
      <c r="U13" s="67">
        <v>8</v>
      </c>
      <c r="V13" s="64">
        <v>692</v>
      </c>
      <c r="W13" s="64">
        <v>12</v>
      </c>
      <c r="X13" s="64">
        <f t="shared" si="4"/>
        <v>8304</v>
      </c>
      <c r="Y13" s="65">
        <f t="shared" si="5"/>
        <v>0</v>
      </c>
      <c r="Z13" s="183">
        <f>SUM(L13, R13, X13)+SUM(L14, R14, X14)</f>
        <v>24732</v>
      </c>
      <c r="AA13" s="185">
        <f>SUM(M13, S13, Y13)+SUM(M14, S14, Y14)</f>
        <v>20</v>
      </c>
      <c r="AB13" s="190">
        <f>IF($Z13=0, ,AA13/$Z13)</f>
        <v>8.0866893093967335E-4</v>
      </c>
      <c r="AC13" s="192"/>
    </row>
    <row r="14" spans="1:29" ht="12.75" customHeight="1" x14ac:dyDescent="0.2">
      <c r="A14" s="193"/>
      <c r="B14" s="176"/>
      <c r="C14" s="178"/>
      <c r="D14" s="10"/>
      <c r="E14" s="10"/>
      <c r="F14" s="10"/>
      <c r="G14" s="178"/>
      <c r="H14" s="35"/>
      <c r="I14" s="52"/>
      <c r="J14" s="64"/>
      <c r="K14" s="64"/>
      <c r="L14" s="64">
        <f t="shared" si="0"/>
        <v>0</v>
      </c>
      <c r="M14" s="65">
        <f t="shared" si="1"/>
        <v>0</v>
      </c>
      <c r="N14" s="66"/>
      <c r="O14" s="67"/>
      <c r="P14" s="64"/>
      <c r="Q14" s="64"/>
      <c r="R14" s="64">
        <f t="shared" si="2"/>
        <v>0</v>
      </c>
      <c r="S14" s="65">
        <f t="shared" si="3"/>
        <v>0</v>
      </c>
      <c r="T14" s="66"/>
      <c r="U14" s="67"/>
      <c r="V14" s="64"/>
      <c r="W14" s="64"/>
      <c r="X14" s="64">
        <f t="shared" si="4"/>
        <v>0</v>
      </c>
      <c r="Y14" s="65">
        <f t="shared" si="5"/>
        <v>0</v>
      </c>
      <c r="Z14" s="184"/>
      <c r="AA14" s="186"/>
      <c r="AB14" s="191"/>
      <c r="AC14" s="192"/>
    </row>
    <row r="15" spans="1:29" ht="12.75" customHeight="1" x14ac:dyDescent="0.2">
      <c r="A15" s="193"/>
      <c r="B15" s="161" t="s">
        <v>44</v>
      </c>
      <c r="C15" s="149" t="s">
        <v>67</v>
      </c>
      <c r="D15" s="9"/>
      <c r="E15" s="9" t="s">
        <v>46</v>
      </c>
      <c r="F15" s="9"/>
      <c r="G15" s="149" t="s">
        <v>1</v>
      </c>
      <c r="H15" s="36">
        <v>41.35</v>
      </c>
      <c r="I15" s="53">
        <v>0</v>
      </c>
      <c r="J15" s="29">
        <v>0</v>
      </c>
      <c r="K15" s="29">
        <v>12</v>
      </c>
      <c r="L15" s="29">
        <f t="shared" si="0"/>
        <v>0</v>
      </c>
      <c r="M15" s="30">
        <f t="shared" si="1"/>
        <v>0</v>
      </c>
      <c r="N15" s="36">
        <v>41.35</v>
      </c>
      <c r="O15" s="53">
        <v>0</v>
      </c>
      <c r="P15" s="29">
        <v>0</v>
      </c>
      <c r="Q15" s="29">
        <v>12</v>
      </c>
      <c r="R15" s="29">
        <f t="shared" si="2"/>
        <v>0</v>
      </c>
      <c r="S15" s="30">
        <f t="shared" si="3"/>
        <v>0</v>
      </c>
      <c r="T15" s="36">
        <v>41.35</v>
      </c>
      <c r="U15" s="53">
        <v>0</v>
      </c>
      <c r="V15" s="29">
        <v>0</v>
      </c>
      <c r="W15" s="29">
        <v>12</v>
      </c>
      <c r="X15" s="29">
        <f t="shared" si="4"/>
        <v>0</v>
      </c>
      <c r="Y15" s="30">
        <f t="shared" si="5"/>
        <v>0</v>
      </c>
      <c r="Z15" s="151">
        <f>SUM(L15, R15, X15)+SUM(L16, R16, X16)</f>
        <v>0</v>
      </c>
      <c r="AA15" s="151">
        <f>SUM(M15, S15, Y15)+SUM(M16, S16, Y16)</f>
        <v>0</v>
      </c>
      <c r="AB15" s="153">
        <f>IF($Z15=0, ,AA15/$Z15)</f>
        <v>0</v>
      </c>
      <c r="AC15" s="155"/>
    </row>
    <row r="16" spans="1:29" ht="12.75" customHeight="1" x14ac:dyDescent="0.2">
      <c r="A16" s="193"/>
      <c r="B16" s="162"/>
      <c r="C16" s="150"/>
      <c r="D16" s="9"/>
      <c r="E16" s="9"/>
      <c r="F16" s="9"/>
      <c r="G16" s="150"/>
      <c r="H16" s="36"/>
      <c r="I16" s="53"/>
      <c r="J16" s="29"/>
      <c r="K16" s="29"/>
      <c r="L16" s="29">
        <f t="shared" si="0"/>
        <v>0</v>
      </c>
      <c r="M16" s="30">
        <f t="shared" si="1"/>
        <v>0</v>
      </c>
      <c r="N16" s="36"/>
      <c r="O16" s="53"/>
      <c r="P16" s="29"/>
      <c r="Q16" s="29"/>
      <c r="R16" s="29">
        <f t="shared" si="2"/>
        <v>0</v>
      </c>
      <c r="S16" s="30">
        <f t="shared" si="3"/>
        <v>0</v>
      </c>
      <c r="T16" s="36"/>
      <c r="U16" s="53"/>
      <c r="V16" s="29"/>
      <c r="W16" s="29"/>
      <c r="X16" s="29">
        <f t="shared" si="4"/>
        <v>0</v>
      </c>
      <c r="Y16" s="30">
        <f t="shared" si="5"/>
        <v>0</v>
      </c>
      <c r="Z16" s="152"/>
      <c r="AA16" s="152"/>
      <c r="AB16" s="154"/>
      <c r="AC16" s="156"/>
    </row>
    <row r="17" spans="1:29" ht="12.75" customHeight="1" x14ac:dyDescent="0.2">
      <c r="A17" s="193"/>
      <c r="B17" s="42"/>
      <c r="C17" s="42"/>
      <c r="D17" s="42"/>
      <c r="E17" s="42"/>
      <c r="F17" s="42"/>
      <c r="G17" s="42"/>
      <c r="H17" s="59"/>
      <c r="I17" s="60"/>
      <c r="J17" s="61"/>
      <c r="K17" s="61"/>
      <c r="L17" s="61"/>
      <c r="M17" s="62"/>
      <c r="N17" s="59"/>
      <c r="O17" s="60"/>
      <c r="P17" s="61"/>
      <c r="Q17" s="61"/>
      <c r="R17" s="61"/>
      <c r="S17" s="62"/>
      <c r="T17" s="59"/>
      <c r="U17" s="60"/>
      <c r="V17" s="61"/>
      <c r="W17" s="61"/>
      <c r="X17" s="61"/>
      <c r="Y17" s="62"/>
      <c r="Z17" s="62"/>
      <c r="AA17" s="62"/>
      <c r="AB17" s="63"/>
      <c r="AC17" s="45"/>
    </row>
    <row r="18" spans="1:29" ht="12.75" customHeight="1" x14ac:dyDescent="0.2">
      <c r="A18" s="193"/>
      <c r="B18" s="157" t="s">
        <v>32</v>
      </c>
      <c r="C18" s="158"/>
      <c r="D18" s="158"/>
      <c r="E18" s="158"/>
      <c r="F18" s="158"/>
      <c r="G18" s="77" t="s">
        <v>33</v>
      </c>
      <c r="H18" s="159" t="s">
        <v>29</v>
      </c>
      <c r="I18" s="159"/>
      <c r="J18" s="159"/>
      <c r="K18" s="159" t="s">
        <v>41</v>
      </c>
      <c r="L18" s="159"/>
      <c r="M18" s="159"/>
      <c r="N18" s="160" t="s">
        <v>63</v>
      </c>
      <c r="O18" s="159"/>
      <c r="P18" s="159"/>
      <c r="Q18" s="160" t="s">
        <v>62</v>
      </c>
      <c r="R18" s="159"/>
      <c r="S18" s="159"/>
      <c r="T18" s="160" t="s">
        <v>61</v>
      </c>
      <c r="U18" s="159"/>
      <c r="V18" s="159"/>
      <c r="W18" s="159" t="s">
        <v>39</v>
      </c>
      <c r="X18" s="159"/>
      <c r="Y18" s="159"/>
      <c r="Z18" s="159" t="s">
        <v>40</v>
      </c>
      <c r="AA18" s="159"/>
      <c r="AB18" s="159"/>
      <c r="AC18" s="166"/>
    </row>
    <row r="19" spans="1:29" ht="12.75" customHeight="1" x14ac:dyDescent="0.2">
      <c r="A19" s="193"/>
      <c r="B19" s="157"/>
      <c r="C19" s="158"/>
      <c r="D19" s="158"/>
      <c r="E19" s="158"/>
      <c r="F19" s="158"/>
      <c r="G19" s="77" t="s">
        <v>34</v>
      </c>
      <c r="H19" s="78" t="s">
        <v>35</v>
      </c>
      <c r="I19" s="78" t="s">
        <v>36</v>
      </c>
      <c r="J19" s="79" t="s">
        <v>37</v>
      </c>
      <c r="K19" s="78" t="s">
        <v>35</v>
      </c>
      <c r="L19" s="78" t="s">
        <v>36</v>
      </c>
      <c r="M19" s="79" t="s">
        <v>37</v>
      </c>
      <c r="N19" s="78" t="s">
        <v>35</v>
      </c>
      <c r="O19" s="78" t="s">
        <v>36</v>
      </c>
      <c r="P19" s="79" t="s">
        <v>37</v>
      </c>
      <c r="Q19" s="78" t="s">
        <v>35</v>
      </c>
      <c r="R19" s="78" t="s">
        <v>36</v>
      </c>
      <c r="S19" s="79" t="s">
        <v>37</v>
      </c>
      <c r="T19" s="78" t="s">
        <v>35</v>
      </c>
      <c r="U19" s="78" t="s">
        <v>36</v>
      </c>
      <c r="V19" s="79" t="s">
        <v>37</v>
      </c>
      <c r="W19" s="78" t="s">
        <v>35</v>
      </c>
      <c r="X19" s="78" t="s">
        <v>36</v>
      </c>
      <c r="Y19" s="79" t="s">
        <v>37</v>
      </c>
      <c r="Z19" s="78" t="s">
        <v>35</v>
      </c>
      <c r="AA19" s="78" t="s">
        <v>36</v>
      </c>
      <c r="AB19" s="79" t="s">
        <v>37</v>
      </c>
      <c r="AC19" s="167"/>
    </row>
    <row r="20" spans="1:29" ht="12.75" customHeight="1" x14ac:dyDescent="0.2">
      <c r="A20" s="193"/>
      <c r="B20" s="168" t="str">
        <f t="shared" ref="B20:C25" si="6">IF(ISBLANK(B11), "-", B11)</f>
        <v>2A</v>
      </c>
      <c r="C20" s="169" t="str">
        <f t="shared" si="6"/>
        <v>JAR-007B</v>
      </c>
      <c r="D20" s="73">
        <v>21231</v>
      </c>
      <c r="E20" s="73" t="str">
        <f t="shared" ref="E20:F25" si="7">IF(ISBLANK(E11), "-", E11)</f>
        <v>White</v>
      </c>
      <c r="F20" s="73" t="str">
        <f t="shared" si="7"/>
        <v>RPET</v>
      </c>
      <c r="G20" s="170"/>
      <c r="H20" s="74">
        <v>20</v>
      </c>
      <c r="I20" s="74"/>
      <c r="J20" s="74"/>
      <c r="K20" s="74"/>
      <c r="L20" s="74"/>
      <c r="M20" s="74"/>
      <c r="N20" s="75"/>
      <c r="O20" s="75"/>
      <c r="P20" s="75"/>
      <c r="Q20" s="75"/>
      <c r="R20" s="75"/>
      <c r="S20" s="74"/>
      <c r="T20" s="75"/>
      <c r="U20" s="75"/>
      <c r="V20" s="75"/>
      <c r="W20" s="75"/>
      <c r="X20" s="75"/>
      <c r="Y20" s="74"/>
      <c r="Z20" s="74"/>
      <c r="AA20" s="74"/>
      <c r="AB20" s="76"/>
      <c r="AC20" s="167"/>
    </row>
    <row r="21" spans="1:29" ht="12.75" customHeight="1" x14ac:dyDescent="0.2">
      <c r="A21" s="193"/>
      <c r="B21" s="168" t="str">
        <f t="shared" si="6"/>
        <v>-</v>
      </c>
      <c r="C21" s="169" t="str">
        <f t="shared" si="6"/>
        <v>-</v>
      </c>
      <c r="D21" s="73" t="str">
        <f>IF(ISBLANK(D12), "-", D12)</f>
        <v>-</v>
      </c>
      <c r="E21" s="73" t="str">
        <f t="shared" si="7"/>
        <v>-</v>
      </c>
      <c r="F21" s="73" t="str">
        <f t="shared" si="7"/>
        <v>-</v>
      </c>
      <c r="G21" s="171"/>
      <c r="H21" s="75"/>
      <c r="I21" s="75"/>
      <c r="J21" s="75"/>
      <c r="K21" s="75"/>
      <c r="L21" s="75"/>
      <c r="M21" s="74"/>
      <c r="N21" s="75"/>
      <c r="O21" s="75"/>
      <c r="P21" s="75"/>
      <c r="Q21" s="75"/>
      <c r="R21" s="75"/>
      <c r="S21" s="74"/>
      <c r="T21" s="75"/>
      <c r="U21" s="75"/>
      <c r="V21" s="75"/>
      <c r="W21" s="75"/>
      <c r="X21" s="75"/>
      <c r="Y21" s="74"/>
      <c r="Z21" s="74"/>
      <c r="AA21" s="74"/>
      <c r="AB21" s="76"/>
      <c r="AC21" s="167"/>
    </row>
    <row r="22" spans="1:29" ht="12.75" customHeight="1" x14ac:dyDescent="0.2">
      <c r="A22" s="193"/>
      <c r="B22" s="173" t="str">
        <f t="shared" si="6"/>
        <v>3A</v>
      </c>
      <c r="C22" s="174" t="str">
        <f t="shared" si="6"/>
        <v>JAR-014</v>
      </c>
      <c r="D22" s="102">
        <f>IF(ISBLANK(D13), "-", D13)</f>
        <v>21234</v>
      </c>
      <c r="E22" s="102" t="str">
        <f t="shared" si="7"/>
        <v>White</v>
      </c>
      <c r="F22" s="102" t="str">
        <f t="shared" si="7"/>
        <v>RPET</v>
      </c>
      <c r="G22" s="171"/>
      <c r="H22" s="94">
        <v>20</v>
      </c>
      <c r="I22" s="94"/>
      <c r="J22" s="94"/>
      <c r="K22" s="94"/>
      <c r="L22" s="94"/>
      <c r="M22" s="94"/>
      <c r="N22" s="95"/>
      <c r="O22" s="95"/>
      <c r="P22" s="95"/>
      <c r="Q22" s="95"/>
      <c r="R22" s="95"/>
      <c r="S22" s="94"/>
      <c r="T22" s="95"/>
      <c r="U22" s="95"/>
      <c r="V22" s="95"/>
      <c r="W22" s="95"/>
      <c r="X22" s="95"/>
      <c r="Y22" s="94"/>
      <c r="Z22" s="94"/>
      <c r="AA22" s="94"/>
      <c r="AB22" s="96"/>
      <c r="AC22" s="167"/>
    </row>
    <row r="23" spans="1:29" ht="12.75" customHeight="1" x14ac:dyDescent="0.2">
      <c r="A23" s="193"/>
      <c r="B23" s="173" t="str">
        <f t="shared" si="6"/>
        <v>-</v>
      </c>
      <c r="C23" s="174" t="str">
        <f t="shared" si="6"/>
        <v>-</v>
      </c>
      <c r="D23" s="102" t="str">
        <f>IF(ISBLANK(D14), "-", D14)</f>
        <v>-</v>
      </c>
      <c r="E23" s="102" t="str">
        <f t="shared" si="7"/>
        <v>-</v>
      </c>
      <c r="F23" s="102" t="str">
        <f t="shared" si="7"/>
        <v>-</v>
      </c>
      <c r="G23" s="171"/>
      <c r="H23" s="95"/>
      <c r="I23" s="95"/>
      <c r="J23" s="95"/>
      <c r="K23" s="95"/>
      <c r="L23" s="95"/>
      <c r="M23" s="94"/>
      <c r="N23" s="95"/>
      <c r="O23" s="95"/>
      <c r="P23" s="95"/>
      <c r="Q23" s="95"/>
      <c r="R23" s="95"/>
      <c r="S23" s="94"/>
      <c r="T23" s="95"/>
      <c r="U23" s="95"/>
      <c r="V23" s="95"/>
      <c r="W23" s="95"/>
      <c r="X23" s="95"/>
      <c r="Y23" s="94"/>
      <c r="Z23" s="94"/>
      <c r="AA23" s="94"/>
      <c r="AB23" s="96"/>
      <c r="AC23" s="167"/>
    </row>
    <row r="24" spans="1:29" ht="12.75" customHeight="1" x14ac:dyDescent="0.2">
      <c r="A24" s="193"/>
      <c r="B24" s="168" t="str">
        <f t="shared" si="6"/>
        <v>4A</v>
      </c>
      <c r="C24" s="169" t="str">
        <f t="shared" si="6"/>
        <v>JAR-007A</v>
      </c>
      <c r="D24" s="73" t="str">
        <f>IF(ISBLANK(D15), "-", D15)</f>
        <v>-</v>
      </c>
      <c r="E24" s="73" t="str">
        <f t="shared" si="7"/>
        <v>White</v>
      </c>
      <c r="F24" s="73" t="str">
        <f t="shared" si="7"/>
        <v>-</v>
      </c>
      <c r="G24" s="171"/>
      <c r="H24" s="75"/>
      <c r="I24" s="75"/>
      <c r="J24" s="75"/>
      <c r="K24" s="75"/>
      <c r="L24" s="75"/>
      <c r="M24" s="74"/>
      <c r="N24" s="75"/>
      <c r="O24" s="75"/>
      <c r="P24" s="75"/>
      <c r="Q24" s="75"/>
      <c r="R24" s="75"/>
      <c r="S24" s="74"/>
      <c r="T24" s="75"/>
      <c r="U24" s="75"/>
      <c r="V24" s="75"/>
      <c r="W24" s="75"/>
      <c r="X24" s="75"/>
      <c r="Y24" s="74"/>
      <c r="Z24" s="74"/>
      <c r="AA24" s="74"/>
      <c r="AB24" s="76"/>
      <c r="AC24" s="167"/>
    </row>
    <row r="25" spans="1:29" ht="12.75" customHeight="1" x14ac:dyDescent="0.2">
      <c r="A25" s="193"/>
      <c r="B25" s="168" t="str">
        <f t="shared" si="6"/>
        <v>-</v>
      </c>
      <c r="C25" s="169" t="str">
        <f t="shared" si="6"/>
        <v>-</v>
      </c>
      <c r="D25" s="73" t="str">
        <f>IF(ISBLANK(D16), "-", D16)</f>
        <v>-</v>
      </c>
      <c r="E25" s="73" t="str">
        <f t="shared" si="7"/>
        <v>-</v>
      </c>
      <c r="F25" s="73" t="str">
        <f t="shared" si="7"/>
        <v>-</v>
      </c>
      <c r="G25" s="172"/>
      <c r="H25" s="75"/>
      <c r="I25" s="75"/>
      <c r="J25" s="75"/>
      <c r="K25" s="75"/>
      <c r="L25" s="75"/>
      <c r="M25" s="74"/>
      <c r="N25" s="75"/>
      <c r="O25" s="75"/>
      <c r="P25" s="75"/>
      <c r="Q25" s="75"/>
      <c r="R25" s="75"/>
      <c r="S25" s="74"/>
      <c r="T25" s="75"/>
      <c r="U25" s="75"/>
      <c r="V25" s="75"/>
      <c r="W25" s="75"/>
      <c r="X25" s="75"/>
      <c r="Y25" s="74"/>
      <c r="Z25" s="74"/>
      <c r="AA25" s="74"/>
      <c r="AB25" s="76"/>
      <c r="AC25" s="167"/>
    </row>
    <row r="27" spans="1:29" x14ac:dyDescent="0.2">
      <c r="A27" s="193">
        <v>44714</v>
      </c>
      <c r="B27" s="16" t="s">
        <v>20</v>
      </c>
      <c r="C27" s="17"/>
      <c r="D27" s="18" t="s">
        <v>21</v>
      </c>
      <c r="E27" s="17">
        <v>0</v>
      </c>
      <c r="F27" s="24"/>
      <c r="G27" s="25"/>
      <c r="H27" s="38"/>
      <c r="I27" s="51"/>
      <c r="J27" s="57"/>
      <c r="K27" s="25"/>
      <c r="L27" s="18"/>
      <c r="M27" s="25"/>
      <c r="N27" s="38"/>
      <c r="O27" s="51"/>
      <c r="P27" s="57"/>
      <c r="Q27" s="25"/>
      <c r="R27" s="18"/>
      <c r="S27" s="25"/>
      <c r="T27" s="38"/>
      <c r="U27" s="51"/>
      <c r="V27" s="57"/>
      <c r="W27" s="25"/>
      <c r="X27" s="18"/>
      <c r="Y27" s="18"/>
      <c r="Z27" s="25"/>
      <c r="AA27" s="18"/>
      <c r="AB27" s="18"/>
      <c r="AC27" s="26"/>
    </row>
    <row r="28" spans="1:29" x14ac:dyDescent="0.2">
      <c r="A28" s="193"/>
      <c r="B28" s="157" t="s">
        <v>3</v>
      </c>
      <c r="C28" s="158" t="s">
        <v>0</v>
      </c>
      <c r="D28" s="158" t="s">
        <v>10</v>
      </c>
      <c r="E28" s="158" t="s">
        <v>4</v>
      </c>
      <c r="F28" s="158" t="s">
        <v>9</v>
      </c>
      <c r="G28" s="180" t="s">
        <v>5</v>
      </c>
      <c r="H28" s="187" t="s">
        <v>6</v>
      </c>
      <c r="I28" s="188"/>
      <c r="J28" s="188"/>
      <c r="K28" s="188"/>
      <c r="L28" s="188"/>
      <c r="M28" s="189"/>
      <c r="N28" s="187" t="s">
        <v>7</v>
      </c>
      <c r="O28" s="188"/>
      <c r="P28" s="188"/>
      <c r="Q28" s="188"/>
      <c r="R28" s="188"/>
      <c r="S28" s="189"/>
      <c r="T28" s="187" t="s">
        <v>8</v>
      </c>
      <c r="U28" s="188"/>
      <c r="V28" s="188"/>
      <c r="W28" s="188"/>
      <c r="X28" s="188"/>
      <c r="Y28" s="189"/>
      <c r="Z28" s="163" t="s">
        <v>16</v>
      </c>
      <c r="AA28" s="163" t="s">
        <v>66</v>
      </c>
      <c r="AB28" s="163" t="s">
        <v>27</v>
      </c>
      <c r="AC28" s="181" t="s">
        <v>11</v>
      </c>
    </row>
    <row r="29" spans="1:29" ht="37.5" customHeight="1" x14ac:dyDescent="0.2">
      <c r="A29" s="193"/>
      <c r="B29" s="157"/>
      <c r="C29" s="158"/>
      <c r="D29" s="158"/>
      <c r="E29" s="158"/>
      <c r="F29" s="158"/>
      <c r="G29" s="180"/>
      <c r="H29" s="39" t="s">
        <v>24</v>
      </c>
      <c r="I29" s="98" t="s">
        <v>25</v>
      </c>
      <c r="J29" s="99" t="s">
        <v>28</v>
      </c>
      <c r="K29" s="100" t="s">
        <v>22</v>
      </c>
      <c r="L29" s="101" t="s">
        <v>2</v>
      </c>
      <c r="M29" s="27" t="s">
        <v>14</v>
      </c>
      <c r="N29" s="39" t="s">
        <v>24</v>
      </c>
      <c r="O29" s="98" t="s">
        <v>25</v>
      </c>
      <c r="P29" s="99" t="s">
        <v>28</v>
      </c>
      <c r="Q29" s="100" t="s">
        <v>22</v>
      </c>
      <c r="R29" s="27" t="s">
        <v>2</v>
      </c>
      <c r="S29" s="27" t="s">
        <v>14</v>
      </c>
      <c r="T29" s="39" t="s">
        <v>24</v>
      </c>
      <c r="U29" s="98" t="s">
        <v>25</v>
      </c>
      <c r="V29" s="99" t="s">
        <v>28</v>
      </c>
      <c r="W29" s="100" t="s">
        <v>22</v>
      </c>
      <c r="X29" s="27" t="s">
        <v>2</v>
      </c>
      <c r="Y29" s="27" t="s">
        <v>14</v>
      </c>
      <c r="Z29" s="164"/>
      <c r="AA29" s="165"/>
      <c r="AB29" s="165"/>
      <c r="AC29" s="182"/>
    </row>
    <row r="30" spans="1:29" x14ac:dyDescent="0.2">
      <c r="A30" s="193"/>
      <c r="B30" s="194" t="s">
        <v>42</v>
      </c>
      <c r="C30" s="196" t="s">
        <v>45</v>
      </c>
      <c r="D30" s="11">
        <v>21231</v>
      </c>
      <c r="E30" s="11" t="s">
        <v>46</v>
      </c>
      <c r="F30" s="11" t="s">
        <v>130</v>
      </c>
      <c r="G30" s="196" t="s">
        <v>1</v>
      </c>
      <c r="H30" s="34">
        <v>41.45</v>
      </c>
      <c r="I30" s="49">
        <v>8</v>
      </c>
      <c r="J30" s="28">
        <v>694</v>
      </c>
      <c r="K30" s="28">
        <v>12</v>
      </c>
      <c r="L30" s="28">
        <f t="shared" ref="L30:L35" si="8">IF(ISBLANK(J30), , J30*K30)</f>
        <v>8328</v>
      </c>
      <c r="M30" s="23">
        <f t="shared" ref="M30:M35" si="9">H39+K39+N39+Q39+T39+W39+Z39</f>
        <v>20</v>
      </c>
      <c r="N30" s="34">
        <v>41.45</v>
      </c>
      <c r="O30" s="49">
        <v>8</v>
      </c>
      <c r="P30" s="28">
        <v>683</v>
      </c>
      <c r="Q30" s="28">
        <v>12</v>
      </c>
      <c r="R30" s="28">
        <f t="shared" ref="R30:R35" si="10">IF(ISBLANK(P30), , P30*Q30)</f>
        <v>8196</v>
      </c>
      <c r="S30" s="23">
        <f t="shared" ref="S30:S35" si="11">I39+L39+O39+R39+U39+X39+AA39</f>
        <v>0</v>
      </c>
      <c r="T30" s="34">
        <v>41.45</v>
      </c>
      <c r="U30" s="49">
        <v>8</v>
      </c>
      <c r="V30" s="28">
        <v>700</v>
      </c>
      <c r="W30" s="28">
        <v>12</v>
      </c>
      <c r="X30" s="28">
        <f t="shared" ref="X30:X35" si="12">IF(ISBLANK(V30), , V30*W30)</f>
        <v>8400</v>
      </c>
      <c r="Y30" s="23">
        <f t="shared" ref="Y30:Y35" si="13">J39+M39+P39+S39+V39+Y39+AB39</f>
        <v>0</v>
      </c>
      <c r="Z30" s="151">
        <f>SUM(L30, R30, X30)+SUM(L31, R31, X31)</f>
        <v>24924</v>
      </c>
      <c r="AA30" s="151">
        <f>SUM(M30, S30, Y30)+SUM(M31, S31, Y31)</f>
        <v>20</v>
      </c>
      <c r="AB30" s="153">
        <f>IF($Z30=0, ,AA30/$Z30)</f>
        <v>8.0243941582410524E-4</v>
      </c>
      <c r="AC30" s="179"/>
    </row>
    <row r="31" spans="1:29" x14ac:dyDescent="0.2">
      <c r="A31" s="193"/>
      <c r="B31" s="195"/>
      <c r="C31" s="197"/>
      <c r="D31" s="11"/>
      <c r="E31" s="11"/>
      <c r="F31" s="11"/>
      <c r="G31" s="198"/>
      <c r="H31" s="34"/>
      <c r="I31" s="49"/>
      <c r="J31" s="28"/>
      <c r="K31" s="28"/>
      <c r="L31" s="28">
        <f t="shared" si="8"/>
        <v>0</v>
      </c>
      <c r="M31" s="23">
        <f t="shared" si="9"/>
        <v>0</v>
      </c>
      <c r="N31" s="34"/>
      <c r="O31" s="49"/>
      <c r="P31" s="28"/>
      <c r="Q31" s="28"/>
      <c r="R31" s="28">
        <f t="shared" si="10"/>
        <v>0</v>
      </c>
      <c r="S31" s="23">
        <f t="shared" si="11"/>
        <v>0</v>
      </c>
      <c r="T31" s="34"/>
      <c r="U31" s="49"/>
      <c r="V31" s="28"/>
      <c r="W31" s="28"/>
      <c r="X31" s="28">
        <f t="shared" si="12"/>
        <v>0</v>
      </c>
      <c r="Y31" s="23">
        <f t="shared" si="13"/>
        <v>0</v>
      </c>
      <c r="Z31" s="152"/>
      <c r="AA31" s="152"/>
      <c r="AB31" s="154"/>
      <c r="AC31" s="155"/>
    </row>
    <row r="32" spans="1:29" x14ac:dyDescent="0.2">
      <c r="A32" s="193"/>
      <c r="B32" s="175" t="s">
        <v>43</v>
      </c>
      <c r="C32" s="177" t="s">
        <v>65</v>
      </c>
      <c r="D32" s="10">
        <v>21234</v>
      </c>
      <c r="E32" s="10" t="s">
        <v>46</v>
      </c>
      <c r="F32" s="10" t="s">
        <v>130</v>
      </c>
      <c r="G32" s="177" t="s">
        <v>1</v>
      </c>
      <c r="H32" s="35">
        <v>41.6</v>
      </c>
      <c r="I32" s="52">
        <v>8</v>
      </c>
      <c r="J32" s="64">
        <v>687</v>
      </c>
      <c r="K32" s="64">
        <v>12</v>
      </c>
      <c r="L32" s="64">
        <f t="shared" si="8"/>
        <v>8244</v>
      </c>
      <c r="M32" s="65">
        <f t="shared" si="9"/>
        <v>20</v>
      </c>
      <c r="N32" s="66">
        <v>41.6</v>
      </c>
      <c r="O32" s="67">
        <v>8</v>
      </c>
      <c r="P32" s="64">
        <v>695</v>
      </c>
      <c r="Q32" s="64">
        <v>12</v>
      </c>
      <c r="R32" s="64">
        <f t="shared" si="10"/>
        <v>8340</v>
      </c>
      <c r="S32" s="65">
        <f t="shared" si="11"/>
        <v>0</v>
      </c>
      <c r="T32" s="66">
        <v>41.6</v>
      </c>
      <c r="U32" s="67">
        <v>8</v>
      </c>
      <c r="V32" s="64">
        <v>688</v>
      </c>
      <c r="W32" s="64">
        <v>12</v>
      </c>
      <c r="X32" s="64">
        <f t="shared" si="12"/>
        <v>8256</v>
      </c>
      <c r="Y32" s="65">
        <f t="shared" si="13"/>
        <v>30</v>
      </c>
      <c r="Z32" s="183">
        <f>SUM(L32, R32, X32)+SUM(L33, R33, X33)</f>
        <v>24840</v>
      </c>
      <c r="AA32" s="185">
        <f>SUM(M32, S32, Y32)+SUM(M33, S33, Y33)</f>
        <v>50</v>
      </c>
      <c r="AB32" s="190">
        <f>IF($Z32=0, ,AA32/$Z32)</f>
        <v>2.0128824476650562E-3</v>
      </c>
      <c r="AC32" s="192" t="s">
        <v>76</v>
      </c>
    </row>
    <row r="33" spans="1:29" x14ac:dyDescent="0.2">
      <c r="A33" s="193"/>
      <c r="B33" s="176"/>
      <c r="C33" s="178"/>
      <c r="D33" s="10"/>
      <c r="E33" s="10"/>
      <c r="F33" s="10"/>
      <c r="G33" s="178"/>
      <c r="H33" s="35"/>
      <c r="I33" s="52"/>
      <c r="J33" s="64"/>
      <c r="K33" s="64"/>
      <c r="L33" s="64">
        <f t="shared" si="8"/>
        <v>0</v>
      </c>
      <c r="M33" s="65">
        <f t="shared" si="9"/>
        <v>0</v>
      </c>
      <c r="N33" s="66"/>
      <c r="O33" s="67"/>
      <c r="P33" s="64"/>
      <c r="Q33" s="64"/>
      <c r="R33" s="64">
        <f t="shared" si="10"/>
        <v>0</v>
      </c>
      <c r="S33" s="65">
        <f t="shared" si="11"/>
        <v>0</v>
      </c>
      <c r="T33" s="66"/>
      <c r="U33" s="67"/>
      <c r="V33" s="64"/>
      <c r="W33" s="64"/>
      <c r="X33" s="64">
        <f t="shared" si="12"/>
        <v>0</v>
      </c>
      <c r="Y33" s="65">
        <f t="shared" si="13"/>
        <v>0</v>
      </c>
      <c r="Z33" s="184"/>
      <c r="AA33" s="186"/>
      <c r="AB33" s="191"/>
      <c r="AC33" s="192"/>
    </row>
    <row r="34" spans="1:29" x14ac:dyDescent="0.2">
      <c r="A34" s="193"/>
      <c r="B34" s="161" t="s">
        <v>44</v>
      </c>
      <c r="C34" s="149" t="s">
        <v>67</v>
      </c>
      <c r="D34" s="9">
        <v>21231</v>
      </c>
      <c r="E34" s="9" t="s">
        <v>46</v>
      </c>
      <c r="F34" s="9"/>
      <c r="G34" s="149" t="s">
        <v>1</v>
      </c>
      <c r="H34" s="36">
        <v>41.35</v>
      </c>
      <c r="I34" s="53">
        <v>0</v>
      </c>
      <c r="J34" s="29">
        <v>0</v>
      </c>
      <c r="K34" s="29">
        <v>12</v>
      </c>
      <c r="L34" s="29">
        <f t="shared" si="8"/>
        <v>0</v>
      </c>
      <c r="M34" s="30">
        <f t="shared" si="9"/>
        <v>0</v>
      </c>
      <c r="N34" s="36">
        <v>41.35</v>
      </c>
      <c r="O34" s="53">
        <v>0</v>
      </c>
      <c r="P34" s="29">
        <v>0</v>
      </c>
      <c r="Q34" s="29">
        <v>12</v>
      </c>
      <c r="R34" s="29">
        <f t="shared" si="10"/>
        <v>0</v>
      </c>
      <c r="S34" s="30">
        <f t="shared" si="11"/>
        <v>0</v>
      </c>
      <c r="T34" s="36">
        <v>41.35</v>
      </c>
      <c r="U34" s="53">
        <v>0</v>
      </c>
      <c r="V34" s="29">
        <v>0</v>
      </c>
      <c r="W34" s="29">
        <v>12</v>
      </c>
      <c r="X34" s="29">
        <f t="shared" si="12"/>
        <v>0</v>
      </c>
      <c r="Y34" s="30">
        <f t="shared" si="13"/>
        <v>0</v>
      </c>
      <c r="Z34" s="151">
        <f>SUM(L34, R34, X34)+SUM(L35, R35, X35)</f>
        <v>0</v>
      </c>
      <c r="AA34" s="151">
        <f>SUM(M34, S34, Y34)+SUM(M35, S35, Y35)</f>
        <v>0</v>
      </c>
      <c r="AB34" s="153">
        <f>IF($Z34=0, ,AA34/$Z34)</f>
        <v>0</v>
      </c>
      <c r="AC34" s="155" t="s">
        <v>75</v>
      </c>
    </row>
    <row r="35" spans="1:29" x14ac:dyDescent="0.2">
      <c r="A35" s="193"/>
      <c r="B35" s="162"/>
      <c r="C35" s="150"/>
      <c r="D35" s="9"/>
      <c r="E35" s="9"/>
      <c r="F35" s="9"/>
      <c r="G35" s="150"/>
      <c r="H35" s="36"/>
      <c r="I35" s="53"/>
      <c r="J35" s="29"/>
      <c r="K35" s="29"/>
      <c r="L35" s="29">
        <f t="shared" si="8"/>
        <v>0</v>
      </c>
      <c r="M35" s="30">
        <f t="shared" si="9"/>
        <v>0</v>
      </c>
      <c r="N35" s="36"/>
      <c r="O35" s="53"/>
      <c r="P35" s="29"/>
      <c r="Q35" s="29"/>
      <c r="R35" s="29">
        <f t="shared" si="10"/>
        <v>0</v>
      </c>
      <c r="S35" s="30">
        <f t="shared" si="11"/>
        <v>0</v>
      </c>
      <c r="T35" s="36"/>
      <c r="U35" s="53"/>
      <c r="V35" s="29"/>
      <c r="W35" s="29"/>
      <c r="X35" s="29">
        <f t="shared" si="12"/>
        <v>0</v>
      </c>
      <c r="Y35" s="30">
        <f t="shared" si="13"/>
        <v>0</v>
      </c>
      <c r="Z35" s="152"/>
      <c r="AA35" s="152"/>
      <c r="AB35" s="154"/>
      <c r="AC35" s="156"/>
    </row>
    <row r="36" spans="1:29" x14ac:dyDescent="0.2">
      <c r="A36" s="193"/>
      <c r="B36" s="42"/>
      <c r="C36" s="42"/>
      <c r="D36" s="42"/>
      <c r="E36" s="42"/>
      <c r="F36" s="42"/>
      <c r="G36" s="42"/>
      <c r="H36" s="59"/>
      <c r="I36" s="60"/>
      <c r="J36" s="61"/>
      <c r="K36" s="61"/>
      <c r="L36" s="61"/>
      <c r="M36" s="62"/>
      <c r="N36" s="59"/>
      <c r="O36" s="60"/>
      <c r="P36" s="61"/>
      <c r="Q36" s="61"/>
      <c r="R36" s="61"/>
      <c r="S36" s="62"/>
      <c r="T36" s="59"/>
      <c r="U36" s="60"/>
      <c r="V36" s="61"/>
      <c r="W36" s="61"/>
      <c r="X36" s="61"/>
      <c r="Y36" s="62"/>
      <c r="Z36" s="62"/>
      <c r="AA36" s="62"/>
      <c r="AB36" s="63"/>
      <c r="AC36" s="45"/>
    </row>
    <row r="37" spans="1:29" x14ac:dyDescent="0.2">
      <c r="A37" s="193"/>
      <c r="B37" s="157" t="s">
        <v>32</v>
      </c>
      <c r="C37" s="158"/>
      <c r="D37" s="158"/>
      <c r="E37" s="158"/>
      <c r="F37" s="158"/>
      <c r="G37" s="77" t="s">
        <v>33</v>
      </c>
      <c r="H37" s="159" t="s">
        <v>29</v>
      </c>
      <c r="I37" s="159"/>
      <c r="J37" s="159"/>
      <c r="K37" s="159" t="s">
        <v>41</v>
      </c>
      <c r="L37" s="159"/>
      <c r="M37" s="159"/>
      <c r="N37" s="160" t="s">
        <v>63</v>
      </c>
      <c r="O37" s="159"/>
      <c r="P37" s="159"/>
      <c r="Q37" s="160" t="s">
        <v>62</v>
      </c>
      <c r="R37" s="159"/>
      <c r="S37" s="159"/>
      <c r="T37" s="160" t="s">
        <v>61</v>
      </c>
      <c r="U37" s="159"/>
      <c r="V37" s="159"/>
      <c r="W37" s="159" t="s">
        <v>39</v>
      </c>
      <c r="X37" s="159"/>
      <c r="Y37" s="159"/>
      <c r="Z37" s="159" t="s">
        <v>40</v>
      </c>
      <c r="AA37" s="159"/>
      <c r="AB37" s="159"/>
      <c r="AC37" s="166"/>
    </row>
    <row r="38" spans="1:29" x14ac:dyDescent="0.2">
      <c r="A38" s="193"/>
      <c r="B38" s="157"/>
      <c r="C38" s="158"/>
      <c r="D38" s="158"/>
      <c r="E38" s="158"/>
      <c r="F38" s="158"/>
      <c r="G38" s="77" t="s">
        <v>34</v>
      </c>
      <c r="H38" s="78" t="s">
        <v>35</v>
      </c>
      <c r="I38" s="78" t="s">
        <v>36</v>
      </c>
      <c r="J38" s="79" t="s">
        <v>37</v>
      </c>
      <c r="K38" s="78" t="s">
        <v>35</v>
      </c>
      <c r="L38" s="78" t="s">
        <v>36</v>
      </c>
      <c r="M38" s="79" t="s">
        <v>37</v>
      </c>
      <c r="N38" s="78" t="s">
        <v>35</v>
      </c>
      <c r="O38" s="78" t="s">
        <v>36</v>
      </c>
      <c r="P38" s="79" t="s">
        <v>37</v>
      </c>
      <c r="Q38" s="78" t="s">
        <v>35</v>
      </c>
      <c r="R38" s="78" t="s">
        <v>36</v>
      </c>
      <c r="S38" s="79" t="s">
        <v>37</v>
      </c>
      <c r="T38" s="78" t="s">
        <v>35</v>
      </c>
      <c r="U38" s="78" t="s">
        <v>36</v>
      </c>
      <c r="V38" s="79" t="s">
        <v>37</v>
      </c>
      <c r="W38" s="78" t="s">
        <v>35</v>
      </c>
      <c r="X38" s="78" t="s">
        <v>36</v>
      </c>
      <c r="Y38" s="79" t="s">
        <v>37</v>
      </c>
      <c r="Z38" s="78" t="s">
        <v>35</v>
      </c>
      <c r="AA38" s="78" t="s">
        <v>36</v>
      </c>
      <c r="AB38" s="79" t="s">
        <v>37</v>
      </c>
      <c r="AC38" s="167"/>
    </row>
    <row r="39" spans="1:29" x14ac:dyDescent="0.2">
      <c r="A39" s="193"/>
      <c r="B39" s="168" t="str">
        <f t="shared" ref="B39:C44" si="14">IF(ISBLANK(B30), "-", B30)</f>
        <v>2A</v>
      </c>
      <c r="C39" s="169" t="str">
        <f t="shared" si="14"/>
        <v>JAR-007B</v>
      </c>
      <c r="D39" s="73">
        <v>21231</v>
      </c>
      <c r="E39" s="73" t="str">
        <f t="shared" ref="E39:F44" si="15">IF(ISBLANK(E30), "-", E30)</f>
        <v>White</v>
      </c>
      <c r="F39" s="73" t="str">
        <f t="shared" si="15"/>
        <v>RPET</v>
      </c>
      <c r="G39" s="170"/>
      <c r="H39" s="74">
        <v>20</v>
      </c>
      <c r="I39" s="74"/>
      <c r="J39" s="74"/>
      <c r="K39" s="74"/>
      <c r="L39" s="74"/>
      <c r="M39" s="74"/>
      <c r="N39" s="75"/>
      <c r="O39" s="75"/>
      <c r="P39" s="75"/>
      <c r="Q39" s="75"/>
      <c r="R39" s="75"/>
      <c r="S39" s="74"/>
      <c r="T39" s="75"/>
      <c r="U39" s="75"/>
      <c r="V39" s="75"/>
      <c r="W39" s="75"/>
      <c r="X39" s="75"/>
      <c r="Y39" s="74"/>
      <c r="Z39" s="74"/>
      <c r="AA39" s="74"/>
      <c r="AB39" s="76"/>
      <c r="AC39" s="167"/>
    </row>
    <row r="40" spans="1:29" x14ac:dyDescent="0.2">
      <c r="A40" s="193"/>
      <c r="B40" s="168" t="str">
        <f t="shared" si="14"/>
        <v>-</v>
      </c>
      <c r="C40" s="169" t="str">
        <f t="shared" si="14"/>
        <v>-</v>
      </c>
      <c r="D40" s="73" t="str">
        <f>IF(ISBLANK(D31), "-", D31)</f>
        <v>-</v>
      </c>
      <c r="E40" s="73" t="str">
        <f t="shared" si="15"/>
        <v>-</v>
      </c>
      <c r="F40" s="73" t="str">
        <f t="shared" si="15"/>
        <v>-</v>
      </c>
      <c r="G40" s="171"/>
      <c r="H40" s="75"/>
      <c r="I40" s="75"/>
      <c r="J40" s="75"/>
      <c r="K40" s="75"/>
      <c r="L40" s="75"/>
      <c r="M40" s="74"/>
      <c r="N40" s="75"/>
      <c r="O40" s="75"/>
      <c r="P40" s="75"/>
      <c r="Q40" s="75"/>
      <c r="R40" s="75"/>
      <c r="S40" s="74"/>
      <c r="T40" s="75"/>
      <c r="U40" s="75"/>
      <c r="V40" s="75"/>
      <c r="W40" s="75"/>
      <c r="X40" s="75"/>
      <c r="Y40" s="74"/>
      <c r="Z40" s="74"/>
      <c r="AA40" s="74"/>
      <c r="AB40" s="76"/>
      <c r="AC40" s="167"/>
    </row>
    <row r="41" spans="1:29" x14ac:dyDescent="0.2">
      <c r="A41" s="193"/>
      <c r="B41" s="173" t="str">
        <f t="shared" si="14"/>
        <v>3A</v>
      </c>
      <c r="C41" s="174" t="str">
        <f t="shared" si="14"/>
        <v>JAR-014</v>
      </c>
      <c r="D41" s="102">
        <f>IF(ISBLANK(D32), "-", D32)</f>
        <v>21234</v>
      </c>
      <c r="E41" s="102" t="str">
        <f t="shared" si="15"/>
        <v>White</v>
      </c>
      <c r="F41" s="102" t="str">
        <f t="shared" si="15"/>
        <v>RPET</v>
      </c>
      <c r="G41" s="171"/>
      <c r="H41" s="94">
        <v>20</v>
      </c>
      <c r="I41" s="94"/>
      <c r="J41" s="94">
        <v>30</v>
      </c>
      <c r="K41" s="94"/>
      <c r="L41" s="94"/>
      <c r="M41" s="94"/>
      <c r="N41" s="95"/>
      <c r="O41" s="95"/>
      <c r="P41" s="95"/>
      <c r="Q41" s="95"/>
      <c r="R41" s="95"/>
      <c r="S41" s="94"/>
      <c r="T41" s="95"/>
      <c r="U41" s="95"/>
      <c r="V41" s="95"/>
      <c r="W41" s="95"/>
      <c r="X41" s="95"/>
      <c r="Y41" s="94"/>
      <c r="Z41" s="94"/>
      <c r="AA41" s="94"/>
      <c r="AB41" s="96"/>
      <c r="AC41" s="167"/>
    </row>
    <row r="42" spans="1:29" x14ac:dyDescent="0.2">
      <c r="A42" s="193"/>
      <c r="B42" s="173" t="str">
        <f t="shared" si="14"/>
        <v>-</v>
      </c>
      <c r="C42" s="174" t="str">
        <f t="shared" si="14"/>
        <v>-</v>
      </c>
      <c r="D42" s="102" t="str">
        <f>IF(ISBLANK(D33), "-", D33)</f>
        <v>-</v>
      </c>
      <c r="E42" s="102" t="str">
        <f t="shared" si="15"/>
        <v>-</v>
      </c>
      <c r="F42" s="102" t="str">
        <f t="shared" si="15"/>
        <v>-</v>
      </c>
      <c r="G42" s="171"/>
      <c r="H42" s="95"/>
      <c r="I42" s="95"/>
      <c r="J42" s="95"/>
      <c r="K42" s="95"/>
      <c r="L42" s="95"/>
      <c r="M42" s="94"/>
      <c r="N42" s="95"/>
      <c r="O42" s="95"/>
      <c r="P42" s="95"/>
      <c r="Q42" s="95"/>
      <c r="R42" s="95"/>
      <c r="S42" s="94"/>
      <c r="T42" s="95"/>
      <c r="U42" s="95"/>
      <c r="V42" s="95"/>
      <c r="W42" s="95"/>
      <c r="X42" s="95"/>
      <c r="Y42" s="94"/>
      <c r="Z42" s="94"/>
      <c r="AA42" s="94"/>
      <c r="AB42" s="96"/>
      <c r="AC42" s="167"/>
    </row>
    <row r="43" spans="1:29" x14ac:dyDescent="0.2">
      <c r="A43" s="193"/>
      <c r="B43" s="168" t="str">
        <f t="shared" si="14"/>
        <v>4A</v>
      </c>
      <c r="C43" s="169" t="str">
        <f t="shared" si="14"/>
        <v>JAR-007A</v>
      </c>
      <c r="D43" s="73">
        <f>IF(ISBLANK(D34), "-", D34)</f>
        <v>21231</v>
      </c>
      <c r="E43" s="73" t="str">
        <f t="shared" si="15"/>
        <v>White</v>
      </c>
      <c r="F43" s="73" t="str">
        <f t="shared" si="15"/>
        <v>-</v>
      </c>
      <c r="G43" s="171"/>
      <c r="H43" s="75"/>
      <c r="I43" s="75"/>
      <c r="J43" s="75"/>
      <c r="K43" s="75"/>
      <c r="L43" s="75"/>
      <c r="M43" s="74"/>
      <c r="N43" s="75"/>
      <c r="O43" s="75"/>
      <c r="P43" s="75"/>
      <c r="Q43" s="75"/>
      <c r="R43" s="75"/>
      <c r="S43" s="74"/>
      <c r="T43" s="75"/>
      <c r="U43" s="75"/>
      <c r="V43" s="75"/>
      <c r="W43" s="75"/>
      <c r="X43" s="75"/>
      <c r="Y43" s="74"/>
      <c r="Z43" s="74"/>
      <c r="AA43" s="74"/>
      <c r="AB43" s="76"/>
      <c r="AC43" s="167"/>
    </row>
    <row r="44" spans="1:29" x14ac:dyDescent="0.2">
      <c r="A44" s="193"/>
      <c r="B44" s="168" t="str">
        <f t="shared" si="14"/>
        <v>-</v>
      </c>
      <c r="C44" s="169" t="str">
        <f t="shared" si="14"/>
        <v>-</v>
      </c>
      <c r="D44" s="73" t="str">
        <f>IF(ISBLANK(D35), "-", D35)</f>
        <v>-</v>
      </c>
      <c r="E44" s="73" t="str">
        <f t="shared" si="15"/>
        <v>-</v>
      </c>
      <c r="F44" s="73" t="str">
        <f t="shared" si="15"/>
        <v>-</v>
      </c>
      <c r="G44" s="172"/>
      <c r="H44" s="75"/>
      <c r="I44" s="75"/>
      <c r="J44" s="75"/>
      <c r="K44" s="75"/>
      <c r="L44" s="75"/>
      <c r="M44" s="74"/>
      <c r="N44" s="75"/>
      <c r="O44" s="75"/>
      <c r="P44" s="75"/>
      <c r="Q44" s="75"/>
      <c r="R44" s="75"/>
      <c r="S44" s="74"/>
      <c r="T44" s="75"/>
      <c r="U44" s="75"/>
      <c r="V44" s="75"/>
      <c r="W44" s="75"/>
      <c r="X44" s="75"/>
      <c r="Y44" s="74"/>
      <c r="Z44" s="74"/>
      <c r="AA44" s="74"/>
      <c r="AB44" s="76"/>
      <c r="AC44" s="167"/>
    </row>
    <row r="46" spans="1:29" ht="12.75" customHeight="1" x14ac:dyDescent="0.2">
      <c r="A46" s="193">
        <v>44715</v>
      </c>
      <c r="B46" s="16" t="s">
        <v>20</v>
      </c>
      <c r="C46" s="17"/>
      <c r="D46" s="18" t="s">
        <v>21</v>
      </c>
      <c r="E46" s="17">
        <v>0</v>
      </c>
      <c r="F46" s="24"/>
      <c r="G46" s="25"/>
      <c r="H46" s="38"/>
      <c r="I46" s="51"/>
      <c r="J46" s="57"/>
      <c r="K46" s="25"/>
      <c r="L46" s="18"/>
      <c r="M46" s="25"/>
      <c r="N46" s="38"/>
      <c r="O46" s="51"/>
      <c r="P46" s="57"/>
      <c r="Q46" s="25"/>
      <c r="R46" s="18"/>
      <c r="S46" s="25"/>
      <c r="T46" s="38"/>
      <c r="U46" s="51"/>
      <c r="V46" s="57"/>
      <c r="W46" s="25"/>
      <c r="X46" s="18"/>
      <c r="Y46" s="18"/>
      <c r="Z46" s="25"/>
      <c r="AA46" s="18"/>
      <c r="AB46" s="18"/>
      <c r="AC46" s="26"/>
    </row>
    <row r="47" spans="1:29" ht="12.75" customHeight="1" x14ac:dyDescent="0.2">
      <c r="A47" s="193"/>
      <c r="B47" s="157" t="s">
        <v>3</v>
      </c>
      <c r="C47" s="158" t="s">
        <v>0</v>
      </c>
      <c r="D47" s="158" t="s">
        <v>10</v>
      </c>
      <c r="E47" s="158" t="s">
        <v>4</v>
      </c>
      <c r="F47" s="158" t="s">
        <v>9</v>
      </c>
      <c r="G47" s="180" t="s">
        <v>5</v>
      </c>
      <c r="H47" s="187" t="s">
        <v>6</v>
      </c>
      <c r="I47" s="188"/>
      <c r="J47" s="188"/>
      <c r="K47" s="188"/>
      <c r="L47" s="188"/>
      <c r="M47" s="189"/>
      <c r="N47" s="187" t="s">
        <v>7</v>
      </c>
      <c r="O47" s="188"/>
      <c r="P47" s="188"/>
      <c r="Q47" s="188"/>
      <c r="R47" s="188"/>
      <c r="S47" s="189"/>
      <c r="T47" s="187" t="s">
        <v>8</v>
      </c>
      <c r="U47" s="188"/>
      <c r="V47" s="188"/>
      <c r="W47" s="188"/>
      <c r="X47" s="188"/>
      <c r="Y47" s="189"/>
      <c r="Z47" s="163" t="s">
        <v>16</v>
      </c>
      <c r="AA47" s="163" t="s">
        <v>66</v>
      </c>
      <c r="AB47" s="163" t="s">
        <v>27</v>
      </c>
      <c r="AC47" s="181" t="s">
        <v>11</v>
      </c>
    </row>
    <row r="48" spans="1:29" ht="24" x14ac:dyDescent="0.2">
      <c r="A48" s="193"/>
      <c r="B48" s="157"/>
      <c r="C48" s="158"/>
      <c r="D48" s="158"/>
      <c r="E48" s="158"/>
      <c r="F48" s="158"/>
      <c r="G48" s="180"/>
      <c r="H48" s="39" t="s">
        <v>24</v>
      </c>
      <c r="I48" s="98" t="s">
        <v>25</v>
      </c>
      <c r="J48" s="99" t="s">
        <v>28</v>
      </c>
      <c r="K48" s="100" t="s">
        <v>22</v>
      </c>
      <c r="L48" s="101" t="s">
        <v>2</v>
      </c>
      <c r="M48" s="27" t="s">
        <v>14</v>
      </c>
      <c r="N48" s="39" t="s">
        <v>24</v>
      </c>
      <c r="O48" s="98" t="s">
        <v>25</v>
      </c>
      <c r="P48" s="99" t="s">
        <v>28</v>
      </c>
      <c r="Q48" s="100" t="s">
        <v>22</v>
      </c>
      <c r="R48" s="27" t="s">
        <v>2</v>
      </c>
      <c r="S48" s="27" t="s">
        <v>14</v>
      </c>
      <c r="T48" s="39" t="s">
        <v>24</v>
      </c>
      <c r="U48" s="98" t="s">
        <v>25</v>
      </c>
      <c r="V48" s="99" t="s">
        <v>28</v>
      </c>
      <c r="W48" s="100" t="s">
        <v>22</v>
      </c>
      <c r="X48" s="27" t="s">
        <v>2</v>
      </c>
      <c r="Y48" s="27" t="s">
        <v>14</v>
      </c>
      <c r="Z48" s="164"/>
      <c r="AA48" s="165"/>
      <c r="AB48" s="165"/>
      <c r="AC48" s="182"/>
    </row>
    <row r="49" spans="1:29" ht="12.75" customHeight="1" x14ac:dyDescent="0.2">
      <c r="A49" s="193"/>
      <c r="B49" s="194" t="s">
        <v>42</v>
      </c>
      <c r="C49" s="196" t="s">
        <v>45</v>
      </c>
      <c r="D49" s="11">
        <v>21231</v>
      </c>
      <c r="E49" s="11" t="s">
        <v>46</v>
      </c>
      <c r="F49" s="11" t="s">
        <v>130</v>
      </c>
      <c r="G49" s="196" t="s">
        <v>1</v>
      </c>
      <c r="H49" s="34">
        <v>41.45</v>
      </c>
      <c r="I49" s="49">
        <v>6.45</v>
      </c>
      <c r="J49" s="28">
        <v>580</v>
      </c>
      <c r="K49" s="28">
        <v>12</v>
      </c>
      <c r="L49" s="28">
        <f t="shared" ref="L49:L54" si="16">IF(ISBLANK(J49), , J49*K49)</f>
        <v>6960</v>
      </c>
      <c r="M49" s="23">
        <f t="shared" ref="M49:M54" si="17">H58+K58+N58+Q58+T58+W58+Z58</f>
        <v>210</v>
      </c>
      <c r="N49" s="34">
        <v>41.45</v>
      </c>
      <c r="O49" s="49">
        <v>8</v>
      </c>
      <c r="P49" s="28">
        <v>698</v>
      </c>
      <c r="Q49" s="28">
        <v>12</v>
      </c>
      <c r="R49" s="28">
        <f t="shared" ref="R49:R54" si="18">IF(ISBLANK(P49), , P49*Q49)</f>
        <v>8376</v>
      </c>
      <c r="S49" s="23">
        <f t="shared" ref="S49:S54" si="19">I58+L58+O58+R58+U58+X58+AA58</f>
        <v>0</v>
      </c>
      <c r="T49" s="34">
        <v>41.45</v>
      </c>
      <c r="U49" s="49">
        <v>8</v>
      </c>
      <c r="V49" s="28">
        <v>700</v>
      </c>
      <c r="W49" s="28">
        <v>12</v>
      </c>
      <c r="X49" s="28">
        <f t="shared" ref="X49:X54" si="20">IF(ISBLANK(V49), , V49*W49)</f>
        <v>8400</v>
      </c>
      <c r="Y49" s="23">
        <f t="shared" ref="Y49:Y54" si="21">J58+M58+P58+S58+V58+Y58+AB58</f>
        <v>0</v>
      </c>
      <c r="Z49" s="151">
        <f>SUM(L49, R49, X49)+SUM(L50, R50, X50)</f>
        <v>23736</v>
      </c>
      <c r="AA49" s="151">
        <f>SUM(M49, S49, Y49)+SUM(M50, S50, Y50)</f>
        <v>210</v>
      </c>
      <c r="AB49" s="153">
        <f>IF($Z49=0, ,AA49/$Z49)</f>
        <v>8.8473205257836203E-3</v>
      </c>
      <c r="AC49" s="179" t="s">
        <v>78</v>
      </c>
    </row>
    <row r="50" spans="1:29" ht="12.75" customHeight="1" x14ac:dyDescent="0.2">
      <c r="A50" s="193"/>
      <c r="B50" s="195"/>
      <c r="C50" s="197"/>
      <c r="D50" s="11"/>
      <c r="E50" s="11"/>
      <c r="F50" s="11"/>
      <c r="G50" s="198"/>
      <c r="H50" s="34"/>
      <c r="I50" s="49"/>
      <c r="J50" s="28"/>
      <c r="K50" s="28"/>
      <c r="L50" s="28">
        <f t="shared" si="16"/>
        <v>0</v>
      </c>
      <c r="M50" s="23">
        <f t="shared" si="17"/>
        <v>0</v>
      </c>
      <c r="N50" s="34"/>
      <c r="O50" s="49"/>
      <c r="P50" s="28"/>
      <c r="Q50" s="28"/>
      <c r="R50" s="28">
        <f t="shared" si="18"/>
        <v>0</v>
      </c>
      <c r="S50" s="23">
        <f t="shared" si="19"/>
        <v>0</v>
      </c>
      <c r="T50" s="34"/>
      <c r="U50" s="49"/>
      <c r="V50" s="28"/>
      <c r="W50" s="28"/>
      <c r="X50" s="28">
        <f t="shared" si="20"/>
        <v>0</v>
      </c>
      <c r="Y50" s="23">
        <f t="shared" si="21"/>
        <v>0</v>
      </c>
      <c r="Z50" s="152"/>
      <c r="AA50" s="152"/>
      <c r="AB50" s="154"/>
      <c r="AC50" s="155"/>
    </row>
    <row r="51" spans="1:29" ht="12.75" customHeight="1" x14ac:dyDescent="0.2">
      <c r="A51" s="193"/>
      <c r="B51" s="175" t="s">
        <v>43</v>
      </c>
      <c r="C51" s="177" t="s">
        <v>65</v>
      </c>
      <c r="D51" s="10">
        <v>21234</v>
      </c>
      <c r="E51" s="10" t="s">
        <v>46</v>
      </c>
      <c r="F51" s="10" t="s">
        <v>130</v>
      </c>
      <c r="G51" s="177" t="s">
        <v>1</v>
      </c>
      <c r="H51" s="35">
        <v>41.6</v>
      </c>
      <c r="I51" s="52">
        <v>8</v>
      </c>
      <c r="J51" s="64">
        <v>664</v>
      </c>
      <c r="K51" s="64">
        <v>12</v>
      </c>
      <c r="L51" s="64">
        <f t="shared" si="16"/>
        <v>7968</v>
      </c>
      <c r="M51" s="65">
        <f t="shared" si="17"/>
        <v>220</v>
      </c>
      <c r="N51" s="66">
        <v>41.6</v>
      </c>
      <c r="O51" s="67">
        <v>8</v>
      </c>
      <c r="P51" s="64">
        <v>697</v>
      </c>
      <c r="Q51" s="64">
        <v>12</v>
      </c>
      <c r="R51" s="64">
        <f t="shared" si="18"/>
        <v>8364</v>
      </c>
      <c r="S51" s="65">
        <f t="shared" si="19"/>
        <v>0</v>
      </c>
      <c r="T51" s="66">
        <v>41.6</v>
      </c>
      <c r="U51" s="67">
        <v>8</v>
      </c>
      <c r="V51" s="64">
        <v>691</v>
      </c>
      <c r="W51" s="64">
        <v>12</v>
      </c>
      <c r="X51" s="64">
        <f t="shared" si="20"/>
        <v>8292</v>
      </c>
      <c r="Y51" s="65">
        <f t="shared" si="21"/>
        <v>0</v>
      </c>
      <c r="Z51" s="183">
        <f>SUM(L51, R51, X51)+SUM(L52, R52, X52)</f>
        <v>24624</v>
      </c>
      <c r="AA51" s="185">
        <f>SUM(M51, S51, Y51)+SUM(M52, S52, Y52)</f>
        <v>220</v>
      </c>
      <c r="AB51" s="190">
        <f>IF($Z51=0, ,AA51/$Z51)</f>
        <v>8.9343729694606883E-3</v>
      </c>
      <c r="AC51" s="192" t="s">
        <v>79</v>
      </c>
    </row>
    <row r="52" spans="1:29" ht="12.75" customHeight="1" x14ac:dyDescent="0.2">
      <c r="A52" s="193"/>
      <c r="B52" s="176"/>
      <c r="C52" s="178"/>
      <c r="D52" s="10"/>
      <c r="E52" s="10"/>
      <c r="F52" s="10"/>
      <c r="G52" s="178"/>
      <c r="H52" s="35"/>
      <c r="I52" s="52"/>
      <c r="J52" s="64"/>
      <c r="K52" s="64"/>
      <c r="L52" s="64">
        <f t="shared" si="16"/>
        <v>0</v>
      </c>
      <c r="M52" s="65">
        <f t="shared" si="17"/>
        <v>0</v>
      </c>
      <c r="N52" s="66"/>
      <c r="O52" s="67"/>
      <c r="P52" s="64"/>
      <c r="Q52" s="64"/>
      <c r="R52" s="64">
        <f t="shared" si="18"/>
        <v>0</v>
      </c>
      <c r="S52" s="65">
        <f t="shared" si="19"/>
        <v>0</v>
      </c>
      <c r="T52" s="66"/>
      <c r="U52" s="67"/>
      <c r="V52" s="64"/>
      <c r="W52" s="64"/>
      <c r="X52" s="64">
        <f t="shared" si="20"/>
        <v>0</v>
      </c>
      <c r="Y52" s="65">
        <f t="shared" si="21"/>
        <v>0</v>
      </c>
      <c r="Z52" s="184"/>
      <c r="AA52" s="186"/>
      <c r="AB52" s="191"/>
      <c r="AC52" s="192"/>
    </row>
    <row r="53" spans="1:29" ht="12.75" customHeight="1" x14ac:dyDescent="0.2">
      <c r="A53" s="193"/>
      <c r="B53" s="161" t="s">
        <v>44</v>
      </c>
      <c r="C53" s="149" t="s">
        <v>67</v>
      </c>
      <c r="D53" s="9">
        <v>21231</v>
      </c>
      <c r="E53" s="9" t="s">
        <v>46</v>
      </c>
      <c r="F53" s="9"/>
      <c r="G53" s="149" t="s">
        <v>1</v>
      </c>
      <c r="H53" s="36">
        <v>41.35</v>
      </c>
      <c r="I53" s="53">
        <v>0</v>
      </c>
      <c r="J53" s="29">
        <v>0</v>
      </c>
      <c r="K53" s="29">
        <v>12</v>
      </c>
      <c r="L53" s="29">
        <f t="shared" si="16"/>
        <v>0</v>
      </c>
      <c r="M53" s="30">
        <f t="shared" si="17"/>
        <v>0</v>
      </c>
      <c r="N53" s="36">
        <v>41.35</v>
      </c>
      <c r="O53" s="53">
        <v>0</v>
      </c>
      <c r="P53" s="29">
        <v>0</v>
      </c>
      <c r="Q53" s="29">
        <v>12</v>
      </c>
      <c r="R53" s="29">
        <f t="shared" si="18"/>
        <v>0</v>
      </c>
      <c r="S53" s="30">
        <f t="shared" si="19"/>
        <v>0</v>
      </c>
      <c r="T53" s="36">
        <v>41.35</v>
      </c>
      <c r="U53" s="53">
        <v>0</v>
      </c>
      <c r="V53" s="29">
        <v>0</v>
      </c>
      <c r="W53" s="29">
        <v>12</v>
      </c>
      <c r="X53" s="29">
        <f t="shared" si="20"/>
        <v>0</v>
      </c>
      <c r="Y53" s="30">
        <f t="shared" si="21"/>
        <v>0</v>
      </c>
      <c r="Z53" s="151">
        <f>SUM(L53, R53, X53)+SUM(L54, R54, X54)</f>
        <v>0</v>
      </c>
      <c r="AA53" s="151">
        <f>SUM(M53, S53, Y53)+SUM(M54, S54, Y54)</f>
        <v>0</v>
      </c>
      <c r="AB53" s="153">
        <f>IF($Z53=0, ,AA53/$Z53)</f>
        <v>0</v>
      </c>
      <c r="AC53" s="155"/>
    </row>
    <row r="54" spans="1:29" ht="12.75" customHeight="1" x14ac:dyDescent="0.2">
      <c r="A54" s="193"/>
      <c r="B54" s="162"/>
      <c r="C54" s="150"/>
      <c r="D54" s="9"/>
      <c r="E54" s="9"/>
      <c r="F54" s="9"/>
      <c r="G54" s="150"/>
      <c r="H54" s="36"/>
      <c r="I54" s="53"/>
      <c r="J54" s="29"/>
      <c r="K54" s="29"/>
      <c r="L54" s="29">
        <f t="shared" si="16"/>
        <v>0</v>
      </c>
      <c r="M54" s="30">
        <f t="shared" si="17"/>
        <v>0</v>
      </c>
      <c r="N54" s="36"/>
      <c r="O54" s="53"/>
      <c r="P54" s="29"/>
      <c r="Q54" s="29"/>
      <c r="R54" s="29">
        <f t="shared" si="18"/>
        <v>0</v>
      </c>
      <c r="S54" s="30">
        <f t="shared" si="19"/>
        <v>0</v>
      </c>
      <c r="T54" s="36"/>
      <c r="U54" s="53"/>
      <c r="V54" s="29"/>
      <c r="W54" s="29"/>
      <c r="X54" s="29">
        <f t="shared" si="20"/>
        <v>0</v>
      </c>
      <c r="Y54" s="30">
        <f t="shared" si="21"/>
        <v>0</v>
      </c>
      <c r="Z54" s="152"/>
      <c r="AA54" s="152"/>
      <c r="AB54" s="154"/>
      <c r="AC54" s="156"/>
    </row>
    <row r="55" spans="1:29" ht="12.75" customHeight="1" x14ac:dyDescent="0.2">
      <c r="A55" s="193"/>
      <c r="B55" s="42"/>
      <c r="C55" s="42"/>
      <c r="D55" s="42"/>
      <c r="E55" s="42"/>
      <c r="F55" s="42"/>
      <c r="G55" s="42"/>
      <c r="H55" s="59"/>
      <c r="I55" s="60"/>
      <c r="J55" s="61"/>
      <c r="K55" s="61"/>
      <c r="L55" s="61"/>
      <c r="M55" s="62"/>
      <c r="N55" s="59"/>
      <c r="O55" s="60"/>
      <c r="P55" s="61"/>
      <c r="Q55" s="61"/>
      <c r="R55" s="61"/>
      <c r="S55" s="62"/>
      <c r="T55" s="59"/>
      <c r="U55" s="60"/>
      <c r="V55" s="61"/>
      <c r="W55" s="61"/>
      <c r="X55" s="61"/>
      <c r="Y55" s="62"/>
      <c r="Z55" s="62"/>
      <c r="AA55" s="62"/>
      <c r="AB55" s="63"/>
      <c r="AC55" s="45"/>
    </row>
    <row r="56" spans="1:29" ht="12.75" customHeight="1" x14ac:dyDescent="0.2">
      <c r="A56" s="193"/>
      <c r="B56" s="157" t="s">
        <v>32</v>
      </c>
      <c r="C56" s="158"/>
      <c r="D56" s="158"/>
      <c r="E56" s="158"/>
      <c r="F56" s="158"/>
      <c r="G56" s="77" t="s">
        <v>33</v>
      </c>
      <c r="H56" s="159" t="s">
        <v>29</v>
      </c>
      <c r="I56" s="159"/>
      <c r="J56" s="159"/>
      <c r="K56" s="159" t="s">
        <v>41</v>
      </c>
      <c r="L56" s="159"/>
      <c r="M56" s="159"/>
      <c r="N56" s="160" t="s">
        <v>63</v>
      </c>
      <c r="O56" s="159"/>
      <c r="P56" s="159"/>
      <c r="Q56" s="160" t="s">
        <v>62</v>
      </c>
      <c r="R56" s="159"/>
      <c r="S56" s="159"/>
      <c r="T56" s="160" t="s">
        <v>61</v>
      </c>
      <c r="U56" s="159"/>
      <c r="V56" s="159"/>
      <c r="W56" s="159" t="s">
        <v>39</v>
      </c>
      <c r="X56" s="159"/>
      <c r="Y56" s="159"/>
      <c r="Z56" s="159" t="s">
        <v>40</v>
      </c>
      <c r="AA56" s="159"/>
      <c r="AB56" s="159"/>
      <c r="AC56" s="166"/>
    </row>
    <row r="57" spans="1:29" ht="12.75" customHeight="1" x14ac:dyDescent="0.2">
      <c r="A57" s="193"/>
      <c r="B57" s="157"/>
      <c r="C57" s="158"/>
      <c r="D57" s="158"/>
      <c r="E57" s="158"/>
      <c r="F57" s="158"/>
      <c r="G57" s="77" t="s">
        <v>34</v>
      </c>
      <c r="H57" s="78" t="s">
        <v>35</v>
      </c>
      <c r="I57" s="78" t="s">
        <v>36</v>
      </c>
      <c r="J57" s="79" t="s">
        <v>37</v>
      </c>
      <c r="K57" s="78" t="s">
        <v>35</v>
      </c>
      <c r="L57" s="78" t="s">
        <v>36</v>
      </c>
      <c r="M57" s="79" t="s">
        <v>37</v>
      </c>
      <c r="N57" s="78" t="s">
        <v>35</v>
      </c>
      <c r="O57" s="78" t="s">
        <v>36</v>
      </c>
      <c r="P57" s="79" t="s">
        <v>37</v>
      </c>
      <c r="Q57" s="78" t="s">
        <v>35</v>
      </c>
      <c r="R57" s="78" t="s">
        <v>36</v>
      </c>
      <c r="S57" s="79" t="s">
        <v>37</v>
      </c>
      <c r="T57" s="78" t="s">
        <v>35</v>
      </c>
      <c r="U57" s="78" t="s">
        <v>36</v>
      </c>
      <c r="V57" s="79" t="s">
        <v>37</v>
      </c>
      <c r="W57" s="78" t="s">
        <v>35</v>
      </c>
      <c r="X57" s="78" t="s">
        <v>36</v>
      </c>
      <c r="Y57" s="79" t="s">
        <v>37</v>
      </c>
      <c r="Z57" s="78" t="s">
        <v>35</v>
      </c>
      <c r="AA57" s="78" t="s">
        <v>36</v>
      </c>
      <c r="AB57" s="79" t="s">
        <v>37</v>
      </c>
      <c r="AC57" s="167"/>
    </row>
    <row r="58" spans="1:29" ht="12.75" customHeight="1" x14ac:dyDescent="0.2">
      <c r="A58" s="193"/>
      <c r="B58" s="168" t="str">
        <f t="shared" ref="B58:C63" si="22">IF(ISBLANK(B49), "-", B49)</f>
        <v>2A</v>
      </c>
      <c r="C58" s="169" t="str">
        <f t="shared" si="22"/>
        <v>JAR-007B</v>
      </c>
      <c r="D58" s="73">
        <v>21231</v>
      </c>
      <c r="E58" s="73" t="str">
        <f t="shared" ref="E58:F63" si="23">IF(ISBLANK(E49), "-", E49)</f>
        <v>White</v>
      </c>
      <c r="F58" s="73" t="str">
        <f t="shared" si="23"/>
        <v>RPET</v>
      </c>
      <c r="G58" s="170"/>
      <c r="H58" s="74">
        <v>210</v>
      </c>
      <c r="I58" s="74"/>
      <c r="J58" s="74"/>
      <c r="K58" s="74"/>
      <c r="L58" s="74"/>
      <c r="M58" s="74"/>
      <c r="N58" s="75"/>
      <c r="O58" s="75"/>
      <c r="P58" s="75"/>
      <c r="Q58" s="75"/>
      <c r="R58" s="75"/>
      <c r="S58" s="74"/>
      <c r="T58" s="75"/>
      <c r="U58" s="75"/>
      <c r="V58" s="75"/>
      <c r="W58" s="75"/>
      <c r="X58" s="75"/>
      <c r="Y58" s="74"/>
      <c r="Z58" s="74"/>
      <c r="AA58" s="74"/>
      <c r="AB58" s="76"/>
      <c r="AC58" s="167"/>
    </row>
    <row r="59" spans="1:29" ht="12.75" customHeight="1" x14ac:dyDescent="0.2">
      <c r="A59" s="193"/>
      <c r="B59" s="168" t="str">
        <f t="shared" si="22"/>
        <v>-</v>
      </c>
      <c r="C59" s="169" t="str">
        <f t="shared" si="22"/>
        <v>-</v>
      </c>
      <c r="D59" s="73" t="str">
        <f>IF(ISBLANK(D50), "-", D50)</f>
        <v>-</v>
      </c>
      <c r="E59" s="73" t="str">
        <f t="shared" si="23"/>
        <v>-</v>
      </c>
      <c r="F59" s="73" t="str">
        <f t="shared" si="23"/>
        <v>-</v>
      </c>
      <c r="G59" s="171"/>
      <c r="H59" s="75"/>
      <c r="I59" s="75"/>
      <c r="J59" s="75"/>
      <c r="K59" s="75"/>
      <c r="L59" s="75"/>
      <c r="M59" s="74"/>
      <c r="N59" s="75"/>
      <c r="O59" s="75"/>
      <c r="P59" s="75"/>
      <c r="Q59" s="75"/>
      <c r="R59" s="75"/>
      <c r="S59" s="74"/>
      <c r="T59" s="75"/>
      <c r="U59" s="75"/>
      <c r="V59" s="75"/>
      <c r="W59" s="75"/>
      <c r="X59" s="75"/>
      <c r="Y59" s="74"/>
      <c r="Z59" s="74"/>
      <c r="AA59" s="74"/>
      <c r="AB59" s="76"/>
      <c r="AC59" s="167"/>
    </row>
    <row r="60" spans="1:29" ht="12.75" customHeight="1" x14ac:dyDescent="0.2">
      <c r="A60" s="193"/>
      <c r="B60" s="173" t="str">
        <f t="shared" si="22"/>
        <v>3A</v>
      </c>
      <c r="C60" s="174" t="str">
        <f t="shared" si="22"/>
        <v>JAR-014</v>
      </c>
      <c r="D60" s="102">
        <f>IF(ISBLANK(D51), "-", D51)</f>
        <v>21234</v>
      </c>
      <c r="E60" s="102" t="str">
        <f t="shared" si="23"/>
        <v>White</v>
      </c>
      <c r="F60" s="102" t="str">
        <f t="shared" si="23"/>
        <v>RPET</v>
      </c>
      <c r="G60" s="171"/>
      <c r="H60" s="94">
        <v>220</v>
      </c>
      <c r="I60" s="94"/>
      <c r="J60" s="94"/>
      <c r="K60" s="94"/>
      <c r="L60" s="94"/>
      <c r="M60" s="94"/>
      <c r="N60" s="95"/>
      <c r="O60" s="95"/>
      <c r="P60" s="95"/>
      <c r="Q60" s="95"/>
      <c r="R60" s="95"/>
      <c r="S60" s="94"/>
      <c r="T60" s="95"/>
      <c r="U60" s="95"/>
      <c r="V60" s="95"/>
      <c r="W60" s="95"/>
      <c r="X60" s="95"/>
      <c r="Y60" s="94"/>
      <c r="Z60" s="94"/>
      <c r="AA60" s="94"/>
      <c r="AB60" s="96"/>
      <c r="AC60" s="167"/>
    </row>
    <row r="61" spans="1:29" ht="12.75" customHeight="1" x14ac:dyDescent="0.2">
      <c r="A61" s="193"/>
      <c r="B61" s="173" t="str">
        <f t="shared" si="22"/>
        <v>-</v>
      </c>
      <c r="C61" s="174" t="str">
        <f t="shared" si="22"/>
        <v>-</v>
      </c>
      <c r="D61" s="102" t="str">
        <f>IF(ISBLANK(D52), "-", D52)</f>
        <v>-</v>
      </c>
      <c r="E61" s="102" t="str">
        <f t="shared" si="23"/>
        <v>-</v>
      </c>
      <c r="F61" s="102" t="str">
        <f t="shared" si="23"/>
        <v>-</v>
      </c>
      <c r="G61" s="171"/>
      <c r="H61" s="95"/>
      <c r="I61" s="95"/>
      <c r="J61" s="95"/>
      <c r="K61" s="95"/>
      <c r="L61" s="95"/>
      <c r="M61" s="94"/>
      <c r="N61" s="95"/>
      <c r="O61" s="95"/>
      <c r="P61" s="95"/>
      <c r="Q61" s="95"/>
      <c r="R61" s="95"/>
      <c r="S61" s="94"/>
      <c r="T61" s="95"/>
      <c r="U61" s="95"/>
      <c r="V61" s="95"/>
      <c r="W61" s="95"/>
      <c r="X61" s="95"/>
      <c r="Y61" s="94"/>
      <c r="Z61" s="94"/>
      <c r="AA61" s="94"/>
      <c r="AB61" s="96"/>
      <c r="AC61" s="167"/>
    </row>
    <row r="62" spans="1:29" ht="12.75" customHeight="1" x14ac:dyDescent="0.2">
      <c r="A62" s="193"/>
      <c r="B62" s="168" t="str">
        <f t="shared" si="22"/>
        <v>4A</v>
      </c>
      <c r="C62" s="169" t="str">
        <f t="shared" si="22"/>
        <v>JAR-007A</v>
      </c>
      <c r="D62" s="73">
        <f>IF(ISBLANK(D53), "-", D53)</f>
        <v>21231</v>
      </c>
      <c r="E62" s="73" t="str">
        <f t="shared" si="23"/>
        <v>White</v>
      </c>
      <c r="F62" s="73" t="str">
        <f t="shared" si="23"/>
        <v>-</v>
      </c>
      <c r="G62" s="171"/>
      <c r="H62" s="75"/>
      <c r="I62" s="75"/>
      <c r="J62" s="75"/>
      <c r="K62" s="75"/>
      <c r="L62" s="75"/>
      <c r="M62" s="74"/>
      <c r="N62" s="75"/>
      <c r="O62" s="75"/>
      <c r="P62" s="75"/>
      <c r="Q62" s="75"/>
      <c r="R62" s="75"/>
      <c r="S62" s="74"/>
      <c r="T62" s="75"/>
      <c r="U62" s="75"/>
      <c r="V62" s="75"/>
      <c r="W62" s="75"/>
      <c r="X62" s="75"/>
      <c r="Y62" s="74"/>
      <c r="Z62" s="74"/>
      <c r="AA62" s="74"/>
      <c r="AB62" s="76"/>
      <c r="AC62" s="167"/>
    </row>
    <row r="63" spans="1:29" ht="12.75" customHeight="1" x14ac:dyDescent="0.2">
      <c r="A63" s="193"/>
      <c r="B63" s="168" t="str">
        <f t="shared" si="22"/>
        <v>-</v>
      </c>
      <c r="C63" s="169" t="str">
        <f t="shared" si="22"/>
        <v>-</v>
      </c>
      <c r="D63" s="73" t="str">
        <f>IF(ISBLANK(D54), "-", D54)</f>
        <v>-</v>
      </c>
      <c r="E63" s="73" t="str">
        <f t="shared" si="23"/>
        <v>-</v>
      </c>
      <c r="F63" s="73" t="str">
        <f t="shared" si="23"/>
        <v>-</v>
      </c>
      <c r="G63" s="172"/>
      <c r="H63" s="75"/>
      <c r="I63" s="75"/>
      <c r="J63" s="75"/>
      <c r="K63" s="75"/>
      <c r="L63" s="75"/>
      <c r="M63" s="74"/>
      <c r="N63" s="75"/>
      <c r="O63" s="75"/>
      <c r="P63" s="75"/>
      <c r="Q63" s="75"/>
      <c r="R63" s="75"/>
      <c r="S63" s="74"/>
      <c r="T63" s="75"/>
      <c r="U63" s="75"/>
      <c r="V63" s="75"/>
      <c r="W63" s="75"/>
      <c r="X63" s="75"/>
      <c r="Y63" s="74"/>
      <c r="Z63" s="74"/>
      <c r="AA63" s="74"/>
      <c r="AB63" s="76"/>
      <c r="AC63" s="167"/>
    </row>
    <row r="65" spans="1:29" x14ac:dyDescent="0.2">
      <c r="A65" s="193">
        <v>44716</v>
      </c>
      <c r="B65" s="16" t="s">
        <v>20</v>
      </c>
      <c r="C65" s="17"/>
      <c r="D65" s="18" t="s">
        <v>21</v>
      </c>
      <c r="E65" s="17">
        <v>0</v>
      </c>
      <c r="F65" s="24"/>
      <c r="G65" s="25"/>
      <c r="H65" s="38"/>
      <c r="I65" s="51"/>
      <c r="J65" s="57"/>
      <c r="K65" s="25"/>
      <c r="L65" s="18"/>
      <c r="M65" s="25"/>
      <c r="N65" s="38"/>
      <c r="O65" s="51"/>
      <c r="P65" s="57"/>
      <c r="Q65" s="25"/>
      <c r="R65" s="18"/>
      <c r="S65" s="25"/>
      <c r="T65" s="38"/>
      <c r="U65" s="51"/>
      <c r="V65" s="57"/>
      <c r="W65" s="25"/>
      <c r="X65" s="18"/>
      <c r="Y65" s="18"/>
      <c r="Z65" s="25"/>
      <c r="AA65" s="18"/>
      <c r="AB65" s="18"/>
      <c r="AC65" s="26"/>
    </row>
    <row r="66" spans="1:29" x14ac:dyDescent="0.2">
      <c r="A66" s="193"/>
      <c r="B66" s="157" t="s">
        <v>3</v>
      </c>
      <c r="C66" s="158" t="s">
        <v>0</v>
      </c>
      <c r="D66" s="158" t="s">
        <v>10</v>
      </c>
      <c r="E66" s="158" t="s">
        <v>4</v>
      </c>
      <c r="F66" s="158" t="s">
        <v>9</v>
      </c>
      <c r="G66" s="180" t="s">
        <v>5</v>
      </c>
      <c r="H66" s="187" t="s">
        <v>6</v>
      </c>
      <c r="I66" s="188"/>
      <c r="J66" s="188"/>
      <c r="K66" s="188"/>
      <c r="L66" s="188"/>
      <c r="M66" s="189"/>
      <c r="N66" s="187" t="s">
        <v>7</v>
      </c>
      <c r="O66" s="188"/>
      <c r="P66" s="188"/>
      <c r="Q66" s="188"/>
      <c r="R66" s="188"/>
      <c r="S66" s="189"/>
      <c r="T66" s="187" t="s">
        <v>8</v>
      </c>
      <c r="U66" s="188"/>
      <c r="V66" s="188"/>
      <c r="W66" s="188"/>
      <c r="X66" s="188"/>
      <c r="Y66" s="189"/>
      <c r="Z66" s="163" t="s">
        <v>16</v>
      </c>
      <c r="AA66" s="163" t="s">
        <v>66</v>
      </c>
      <c r="AB66" s="163" t="s">
        <v>27</v>
      </c>
      <c r="AC66" s="181" t="s">
        <v>11</v>
      </c>
    </row>
    <row r="67" spans="1:29" ht="24" x14ac:dyDescent="0.2">
      <c r="A67" s="193"/>
      <c r="B67" s="157"/>
      <c r="C67" s="158"/>
      <c r="D67" s="158"/>
      <c r="E67" s="158"/>
      <c r="F67" s="158"/>
      <c r="G67" s="180"/>
      <c r="H67" s="39" t="s">
        <v>24</v>
      </c>
      <c r="I67" s="98" t="s">
        <v>25</v>
      </c>
      <c r="J67" s="99" t="s">
        <v>28</v>
      </c>
      <c r="K67" s="100" t="s">
        <v>22</v>
      </c>
      <c r="L67" s="101" t="s">
        <v>2</v>
      </c>
      <c r="M67" s="27" t="s">
        <v>14</v>
      </c>
      <c r="N67" s="39" t="s">
        <v>24</v>
      </c>
      <c r="O67" s="98" t="s">
        <v>25</v>
      </c>
      <c r="P67" s="99" t="s">
        <v>28</v>
      </c>
      <c r="Q67" s="100" t="s">
        <v>22</v>
      </c>
      <c r="R67" s="27" t="s">
        <v>2</v>
      </c>
      <c r="S67" s="27" t="s">
        <v>14</v>
      </c>
      <c r="T67" s="39" t="s">
        <v>24</v>
      </c>
      <c r="U67" s="98" t="s">
        <v>25</v>
      </c>
      <c r="V67" s="99" t="s">
        <v>28</v>
      </c>
      <c r="W67" s="100" t="s">
        <v>22</v>
      </c>
      <c r="X67" s="27" t="s">
        <v>2</v>
      </c>
      <c r="Y67" s="27" t="s">
        <v>14</v>
      </c>
      <c r="Z67" s="164"/>
      <c r="AA67" s="165"/>
      <c r="AB67" s="165"/>
      <c r="AC67" s="182"/>
    </row>
    <row r="68" spans="1:29" x14ac:dyDescent="0.2">
      <c r="A68" s="193"/>
      <c r="B68" s="194" t="s">
        <v>42</v>
      </c>
      <c r="C68" s="196" t="s">
        <v>45</v>
      </c>
      <c r="D68" s="11">
        <v>21231</v>
      </c>
      <c r="E68" s="11" t="s">
        <v>46</v>
      </c>
      <c r="F68" s="11" t="s">
        <v>130</v>
      </c>
      <c r="G68" s="196" t="s">
        <v>1</v>
      </c>
      <c r="H68" s="34">
        <v>41.45</v>
      </c>
      <c r="I68" s="49">
        <v>8</v>
      </c>
      <c r="J68" s="28">
        <v>683</v>
      </c>
      <c r="K68" s="28">
        <v>12</v>
      </c>
      <c r="L68" s="28">
        <f t="shared" ref="L68:L73" si="24">IF(ISBLANK(J68), , J68*K68)</f>
        <v>8196</v>
      </c>
      <c r="M68" s="23">
        <f t="shared" ref="M68:M73" si="25">H77+K77+N77+Q77+T77+W77+Z77</f>
        <v>5</v>
      </c>
      <c r="N68" s="34">
        <v>41.45</v>
      </c>
      <c r="O68" s="49">
        <v>8</v>
      </c>
      <c r="P68" s="28">
        <v>702</v>
      </c>
      <c r="Q68" s="28">
        <v>12</v>
      </c>
      <c r="R68" s="28">
        <f t="shared" ref="R68:R73" si="26">IF(ISBLANK(P68), , P68*Q68)</f>
        <v>8424</v>
      </c>
      <c r="S68" s="23">
        <f t="shared" ref="S68:S73" si="27">I77+L77+O77+R77+U77+X77+AA77</f>
        <v>0</v>
      </c>
      <c r="T68" s="34">
        <v>41.45</v>
      </c>
      <c r="U68" s="49">
        <v>8</v>
      </c>
      <c r="V68" s="28">
        <v>700</v>
      </c>
      <c r="W68" s="28">
        <v>12</v>
      </c>
      <c r="X68" s="28">
        <f t="shared" ref="X68:X73" si="28">IF(ISBLANK(V68), , V68*W68)</f>
        <v>8400</v>
      </c>
      <c r="Y68" s="23">
        <f t="shared" ref="Y68:Y73" si="29">J77+M77+P77+S77+V77+Y77+AB77</f>
        <v>0</v>
      </c>
      <c r="Z68" s="151">
        <f>SUM(L68, R68, X68)+SUM(L69, R69, X69)</f>
        <v>25020</v>
      </c>
      <c r="AA68" s="151">
        <f>SUM(M68, S68, Y68)+SUM(M69, S69, Y69)</f>
        <v>5</v>
      </c>
      <c r="AB68" s="153">
        <f>IF($Z68=0, ,AA68/$Z68)</f>
        <v>1.9984012789768185E-4</v>
      </c>
      <c r="AC68" s="179"/>
    </row>
    <row r="69" spans="1:29" x14ac:dyDescent="0.2">
      <c r="A69" s="193"/>
      <c r="B69" s="195"/>
      <c r="C69" s="197"/>
      <c r="D69" s="11"/>
      <c r="E69" s="11"/>
      <c r="F69" s="11"/>
      <c r="G69" s="198"/>
      <c r="H69" s="34"/>
      <c r="I69" s="49"/>
      <c r="J69" s="28"/>
      <c r="K69" s="28"/>
      <c r="L69" s="28">
        <f t="shared" si="24"/>
        <v>0</v>
      </c>
      <c r="M69" s="23">
        <f t="shared" si="25"/>
        <v>0</v>
      </c>
      <c r="N69" s="34"/>
      <c r="O69" s="49"/>
      <c r="P69" s="28"/>
      <c r="Q69" s="28"/>
      <c r="R69" s="28">
        <f t="shared" si="26"/>
        <v>0</v>
      </c>
      <c r="S69" s="23">
        <f t="shared" si="27"/>
        <v>0</v>
      </c>
      <c r="T69" s="34"/>
      <c r="U69" s="49"/>
      <c r="V69" s="28"/>
      <c r="W69" s="28"/>
      <c r="X69" s="28">
        <f t="shared" si="28"/>
        <v>0</v>
      </c>
      <c r="Y69" s="23">
        <f t="shared" si="29"/>
        <v>0</v>
      </c>
      <c r="Z69" s="152"/>
      <c r="AA69" s="152"/>
      <c r="AB69" s="154"/>
      <c r="AC69" s="155"/>
    </row>
    <row r="70" spans="1:29" x14ac:dyDescent="0.2">
      <c r="A70" s="193"/>
      <c r="B70" s="175" t="s">
        <v>43</v>
      </c>
      <c r="C70" s="177" t="s">
        <v>65</v>
      </c>
      <c r="D70" s="10">
        <v>21234</v>
      </c>
      <c r="E70" s="10" t="s">
        <v>46</v>
      </c>
      <c r="F70" s="10" t="s">
        <v>130</v>
      </c>
      <c r="G70" s="177" t="s">
        <v>1</v>
      </c>
      <c r="H70" s="35">
        <v>41.6</v>
      </c>
      <c r="I70" s="52">
        <v>8</v>
      </c>
      <c r="J70" s="64">
        <v>697</v>
      </c>
      <c r="K70" s="64">
        <v>12</v>
      </c>
      <c r="L70" s="64">
        <f t="shared" si="24"/>
        <v>8364</v>
      </c>
      <c r="M70" s="65">
        <f t="shared" si="25"/>
        <v>10</v>
      </c>
      <c r="N70" s="66">
        <v>41.6</v>
      </c>
      <c r="O70" s="67">
        <v>8</v>
      </c>
      <c r="P70" s="64">
        <v>685</v>
      </c>
      <c r="Q70" s="64">
        <v>12</v>
      </c>
      <c r="R70" s="64">
        <f t="shared" si="26"/>
        <v>8220</v>
      </c>
      <c r="S70" s="65">
        <f t="shared" si="27"/>
        <v>0</v>
      </c>
      <c r="T70" s="66">
        <v>41.6</v>
      </c>
      <c r="U70" s="67">
        <v>8</v>
      </c>
      <c r="V70" s="64">
        <v>690</v>
      </c>
      <c r="W70" s="64">
        <v>12</v>
      </c>
      <c r="X70" s="64">
        <f t="shared" si="28"/>
        <v>8280</v>
      </c>
      <c r="Y70" s="65">
        <f t="shared" si="29"/>
        <v>0</v>
      </c>
      <c r="Z70" s="183">
        <f>SUM(L70, R70, X70)+SUM(L71, R71, X71)</f>
        <v>24864</v>
      </c>
      <c r="AA70" s="185">
        <f>SUM(M70, S70, Y70)+SUM(M71, S71, Y71)</f>
        <v>10</v>
      </c>
      <c r="AB70" s="190">
        <f>IF($Z70=0, ,AA70/$Z70)</f>
        <v>4.0218790218790216E-4</v>
      </c>
      <c r="AC70" s="192"/>
    </row>
    <row r="71" spans="1:29" x14ac:dyDescent="0.2">
      <c r="A71" s="193"/>
      <c r="B71" s="176"/>
      <c r="C71" s="178"/>
      <c r="D71" s="10"/>
      <c r="E71" s="10"/>
      <c r="F71" s="10"/>
      <c r="G71" s="178"/>
      <c r="H71" s="35"/>
      <c r="I71" s="52"/>
      <c r="J71" s="64"/>
      <c r="K71" s="64"/>
      <c r="L71" s="64">
        <f t="shared" si="24"/>
        <v>0</v>
      </c>
      <c r="M71" s="65">
        <f t="shared" si="25"/>
        <v>0</v>
      </c>
      <c r="N71" s="66"/>
      <c r="O71" s="67"/>
      <c r="P71" s="64"/>
      <c r="Q71" s="64"/>
      <c r="R71" s="64">
        <f t="shared" si="26"/>
        <v>0</v>
      </c>
      <c r="S71" s="65">
        <f t="shared" si="27"/>
        <v>0</v>
      </c>
      <c r="T71" s="66"/>
      <c r="U71" s="67"/>
      <c r="V71" s="64"/>
      <c r="W71" s="64"/>
      <c r="X71" s="64">
        <f t="shared" si="28"/>
        <v>0</v>
      </c>
      <c r="Y71" s="65">
        <f t="shared" si="29"/>
        <v>0</v>
      </c>
      <c r="Z71" s="184"/>
      <c r="AA71" s="186"/>
      <c r="AB71" s="191"/>
      <c r="AC71" s="192"/>
    </row>
    <row r="72" spans="1:29" x14ac:dyDescent="0.2">
      <c r="A72" s="193"/>
      <c r="B72" s="161" t="s">
        <v>44</v>
      </c>
      <c r="C72" s="149" t="s">
        <v>67</v>
      </c>
      <c r="D72" s="9">
        <v>21231</v>
      </c>
      <c r="E72" s="9" t="s">
        <v>46</v>
      </c>
      <c r="F72" s="9"/>
      <c r="G72" s="149" t="s">
        <v>1</v>
      </c>
      <c r="H72" s="36">
        <v>41.35</v>
      </c>
      <c r="I72" s="53">
        <v>0</v>
      </c>
      <c r="J72" s="29">
        <v>0</v>
      </c>
      <c r="K72" s="29">
        <v>12</v>
      </c>
      <c r="L72" s="29">
        <f t="shared" si="24"/>
        <v>0</v>
      </c>
      <c r="M72" s="30">
        <f t="shared" si="25"/>
        <v>0</v>
      </c>
      <c r="N72" s="36">
        <v>41.35</v>
      </c>
      <c r="O72" s="53">
        <v>0</v>
      </c>
      <c r="P72" s="29">
        <v>0</v>
      </c>
      <c r="Q72" s="29">
        <v>12</v>
      </c>
      <c r="R72" s="29">
        <f t="shared" si="26"/>
        <v>0</v>
      </c>
      <c r="S72" s="30">
        <f t="shared" si="27"/>
        <v>0</v>
      </c>
      <c r="T72" s="36">
        <v>41.35</v>
      </c>
      <c r="U72" s="53">
        <v>0</v>
      </c>
      <c r="V72" s="29">
        <v>0</v>
      </c>
      <c r="W72" s="29">
        <v>12</v>
      </c>
      <c r="X72" s="29">
        <f t="shared" si="28"/>
        <v>0</v>
      </c>
      <c r="Y72" s="30">
        <f t="shared" si="29"/>
        <v>0</v>
      </c>
      <c r="Z72" s="151">
        <f>SUM(L72, R72, X72)+SUM(L73, R73, X73)</f>
        <v>0</v>
      </c>
      <c r="AA72" s="151">
        <f>SUM(M72, S72, Y72)+SUM(M73, S73, Y73)</f>
        <v>0</v>
      </c>
      <c r="AB72" s="153">
        <f>IF($Z72=0, ,AA72/$Z72)</f>
        <v>0</v>
      </c>
      <c r="AC72" s="155"/>
    </row>
    <row r="73" spans="1:29" x14ac:dyDescent="0.2">
      <c r="A73" s="193"/>
      <c r="B73" s="162"/>
      <c r="C73" s="150"/>
      <c r="D73" s="9"/>
      <c r="E73" s="9"/>
      <c r="F73" s="9"/>
      <c r="G73" s="150"/>
      <c r="H73" s="36"/>
      <c r="I73" s="53"/>
      <c r="J73" s="29"/>
      <c r="K73" s="29"/>
      <c r="L73" s="29">
        <f t="shared" si="24"/>
        <v>0</v>
      </c>
      <c r="M73" s="30">
        <f t="shared" si="25"/>
        <v>0</v>
      </c>
      <c r="N73" s="36"/>
      <c r="O73" s="53"/>
      <c r="P73" s="29"/>
      <c r="Q73" s="29"/>
      <c r="R73" s="29">
        <f t="shared" si="26"/>
        <v>0</v>
      </c>
      <c r="S73" s="30">
        <f t="shared" si="27"/>
        <v>0</v>
      </c>
      <c r="T73" s="36"/>
      <c r="U73" s="53"/>
      <c r="V73" s="29"/>
      <c r="W73" s="29"/>
      <c r="X73" s="29">
        <f t="shared" si="28"/>
        <v>0</v>
      </c>
      <c r="Y73" s="30">
        <f t="shared" si="29"/>
        <v>0</v>
      </c>
      <c r="Z73" s="152"/>
      <c r="AA73" s="152"/>
      <c r="AB73" s="154"/>
      <c r="AC73" s="156"/>
    </row>
    <row r="74" spans="1:29" x14ac:dyDescent="0.2">
      <c r="A74" s="193"/>
      <c r="B74" s="42"/>
      <c r="C74" s="42"/>
      <c r="D74" s="42"/>
      <c r="E74" s="42"/>
      <c r="F74" s="42"/>
      <c r="G74" s="42"/>
      <c r="H74" s="59"/>
      <c r="I74" s="60"/>
      <c r="J74" s="61"/>
      <c r="K74" s="61"/>
      <c r="L74" s="61"/>
      <c r="M74" s="62"/>
      <c r="N74" s="59"/>
      <c r="O74" s="60"/>
      <c r="P74" s="61"/>
      <c r="Q74" s="61"/>
      <c r="R74" s="61"/>
      <c r="S74" s="62"/>
      <c r="T74" s="59"/>
      <c r="U74" s="60"/>
      <c r="V74" s="61"/>
      <c r="W74" s="61"/>
      <c r="X74" s="61"/>
      <c r="Y74" s="62"/>
      <c r="Z74" s="62"/>
      <c r="AA74" s="62"/>
      <c r="AB74" s="63"/>
      <c r="AC74" s="45"/>
    </row>
    <row r="75" spans="1:29" x14ac:dyDescent="0.2">
      <c r="A75" s="193"/>
      <c r="B75" s="157" t="s">
        <v>32</v>
      </c>
      <c r="C75" s="158"/>
      <c r="D75" s="158"/>
      <c r="E75" s="158"/>
      <c r="F75" s="158"/>
      <c r="G75" s="77" t="s">
        <v>33</v>
      </c>
      <c r="H75" s="159" t="s">
        <v>29</v>
      </c>
      <c r="I75" s="159"/>
      <c r="J75" s="159"/>
      <c r="K75" s="159" t="s">
        <v>41</v>
      </c>
      <c r="L75" s="159"/>
      <c r="M75" s="159"/>
      <c r="N75" s="160" t="s">
        <v>63</v>
      </c>
      <c r="O75" s="159"/>
      <c r="P75" s="159"/>
      <c r="Q75" s="160" t="s">
        <v>62</v>
      </c>
      <c r="R75" s="159"/>
      <c r="S75" s="159"/>
      <c r="T75" s="160" t="s">
        <v>61</v>
      </c>
      <c r="U75" s="159"/>
      <c r="V75" s="159"/>
      <c r="W75" s="159" t="s">
        <v>39</v>
      </c>
      <c r="X75" s="159"/>
      <c r="Y75" s="159"/>
      <c r="Z75" s="159" t="s">
        <v>40</v>
      </c>
      <c r="AA75" s="159"/>
      <c r="AB75" s="159"/>
      <c r="AC75" s="166"/>
    </row>
    <row r="76" spans="1:29" x14ac:dyDescent="0.2">
      <c r="A76" s="193"/>
      <c r="B76" s="157"/>
      <c r="C76" s="158"/>
      <c r="D76" s="158"/>
      <c r="E76" s="158"/>
      <c r="F76" s="158"/>
      <c r="G76" s="77" t="s">
        <v>34</v>
      </c>
      <c r="H76" s="78" t="s">
        <v>35</v>
      </c>
      <c r="I76" s="78" t="s">
        <v>36</v>
      </c>
      <c r="J76" s="79" t="s">
        <v>37</v>
      </c>
      <c r="K76" s="78" t="s">
        <v>35</v>
      </c>
      <c r="L76" s="78" t="s">
        <v>36</v>
      </c>
      <c r="M76" s="79" t="s">
        <v>37</v>
      </c>
      <c r="N76" s="78" t="s">
        <v>35</v>
      </c>
      <c r="O76" s="78" t="s">
        <v>36</v>
      </c>
      <c r="P76" s="79" t="s">
        <v>37</v>
      </c>
      <c r="Q76" s="78" t="s">
        <v>35</v>
      </c>
      <c r="R76" s="78" t="s">
        <v>36</v>
      </c>
      <c r="S76" s="79" t="s">
        <v>37</v>
      </c>
      <c r="T76" s="78" t="s">
        <v>35</v>
      </c>
      <c r="U76" s="78" t="s">
        <v>36</v>
      </c>
      <c r="V76" s="79" t="s">
        <v>37</v>
      </c>
      <c r="W76" s="78" t="s">
        <v>35</v>
      </c>
      <c r="X76" s="78" t="s">
        <v>36</v>
      </c>
      <c r="Y76" s="79" t="s">
        <v>37</v>
      </c>
      <c r="Z76" s="78" t="s">
        <v>35</v>
      </c>
      <c r="AA76" s="78" t="s">
        <v>36</v>
      </c>
      <c r="AB76" s="79" t="s">
        <v>37</v>
      </c>
      <c r="AC76" s="167"/>
    </row>
    <row r="77" spans="1:29" x14ac:dyDescent="0.2">
      <c r="A77" s="193"/>
      <c r="B77" s="168" t="str">
        <f t="shared" ref="B77:C82" si="30">IF(ISBLANK(B68), "-", B68)</f>
        <v>2A</v>
      </c>
      <c r="C77" s="169" t="str">
        <f t="shared" si="30"/>
        <v>JAR-007B</v>
      </c>
      <c r="D77" s="73">
        <v>21231</v>
      </c>
      <c r="E77" s="73" t="str">
        <f t="shared" ref="E77:F82" si="31">IF(ISBLANK(E68), "-", E68)</f>
        <v>White</v>
      </c>
      <c r="F77" s="73" t="str">
        <f t="shared" si="31"/>
        <v>RPET</v>
      </c>
      <c r="G77" s="170"/>
      <c r="H77" s="74">
        <v>5</v>
      </c>
      <c r="I77" s="74"/>
      <c r="J77" s="74"/>
      <c r="K77" s="74"/>
      <c r="L77" s="74"/>
      <c r="M77" s="74"/>
      <c r="N77" s="75"/>
      <c r="O77" s="75"/>
      <c r="P77" s="75"/>
      <c r="Q77" s="75"/>
      <c r="R77" s="75"/>
      <c r="S77" s="74"/>
      <c r="T77" s="75"/>
      <c r="U77" s="75"/>
      <c r="V77" s="75"/>
      <c r="W77" s="75"/>
      <c r="X77" s="75"/>
      <c r="Y77" s="74"/>
      <c r="Z77" s="74"/>
      <c r="AA77" s="74"/>
      <c r="AB77" s="76"/>
      <c r="AC77" s="167"/>
    </row>
    <row r="78" spans="1:29" x14ac:dyDescent="0.2">
      <c r="A78" s="193"/>
      <c r="B78" s="168" t="str">
        <f t="shared" si="30"/>
        <v>-</v>
      </c>
      <c r="C78" s="169" t="str">
        <f t="shared" si="30"/>
        <v>-</v>
      </c>
      <c r="D78" s="73" t="str">
        <f>IF(ISBLANK(D69), "-", D69)</f>
        <v>-</v>
      </c>
      <c r="E78" s="73" t="str">
        <f t="shared" si="31"/>
        <v>-</v>
      </c>
      <c r="F78" s="73" t="str">
        <f t="shared" si="31"/>
        <v>-</v>
      </c>
      <c r="G78" s="171"/>
      <c r="H78" s="75"/>
      <c r="I78" s="75"/>
      <c r="J78" s="75"/>
      <c r="K78" s="75"/>
      <c r="L78" s="75"/>
      <c r="M78" s="74"/>
      <c r="N78" s="75"/>
      <c r="O78" s="75"/>
      <c r="P78" s="75"/>
      <c r="Q78" s="75"/>
      <c r="R78" s="75"/>
      <c r="S78" s="74"/>
      <c r="T78" s="75"/>
      <c r="U78" s="75"/>
      <c r="V78" s="75"/>
      <c r="W78" s="75"/>
      <c r="X78" s="75"/>
      <c r="Y78" s="74"/>
      <c r="Z78" s="74"/>
      <c r="AA78" s="74"/>
      <c r="AB78" s="76"/>
      <c r="AC78" s="167"/>
    </row>
    <row r="79" spans="1:29" x14ac:dyDescent="0.2">
      <c r="A79" s="193"/>
      <c r="B79" s="173" t="str">
        <f t="shared" si="30"/>
        <v>3A</v>
      </c>
      <c r="C79" s="174" t="str">
        <f t="shared" si="30"/>
        <v>JAR-014</v>
      </c>
      <c r="D79" s="102">
        <f>IF(ISBLANK(D70), "-", D70)</f>
        <v>21234</v>
      </c>
      <c r="E79" s="102" t="str">
        <f t="shared" si="31"/>
        <v>White</v>
      </c>
      <c r="F79" s="102" t="str">
        <f t="shared" si="31"/>
        <v>RPET</v>
      </c>
      <c r="G79" s="171"/>
      <c r="H79" s="94">
        <v>10</v>
      </c>
      <c r="I79" s="94"/>
      <c r="J79" s="94"/>
      <c r="K79" s="94"/>
      <c r="L79" s="94"/>
      <c r="M79" s="94"/>
      <c r="N79" s="95"/>
      <c r="O79" s="95"/>
      <c r="P79" s="95"/>
      <c r="Q79" s="95"/>
      <c r="R79" s="95"/>
      <c r="S79" s="94"/>
      <c r="T79" s="95"/>
      <c r="U79" s="95"/>
      <c r="V79" s="95"/>
      <c r="W79" s="95"/>
      <c r="X79" s="95"/>
      <c r="Y79" s="94"/>
      <c r="Z79" s="94"/>
      <c r="AA79" s="94"/>
      <c r="AB79" s="96"/>
      <c r="AC79" s="167"/>
    </row>
    <row r="80" spans="1:29" x14ac:dyDescent="0.2">
      <c r="A80" s="193"/>
      <c r="B80" s="173" t="str">
        <f t="shared" si="30"/>
        <v>-</v>
      </c>
      <c r="C80" s="174" t="str">
        <f t="shared" si="30"/>
        <v>-</v>
      </c>
      <c r="D80" s="102" t="str">
        <f>IF(ISBLANK(D71), "-", D71)</f>
        <v>-</v>
      </c>
      <c r="E80" s="102" t="str">
        <f t="shared" si="31"/>
        <v>-</v>
      </c>
      <c r="F80" s="102" t="str">
        <f t="shared" si="31"/>
        <v>-</v>
      </c>
      <c r="G80" s="171"/>
      <c r="H80" s="95"/>
      <c r="I80" s="95"/>
      <c r="J80" s="95"/>
      <c r="K80" s="95"/>
      <c r="L80" s="95"/>
      <c r="M80" s="94"/>
      <c r="N80" s="95"/>
      <c r="O80" s="95"/>
      <c r="P80" s="95"/>
      <c r="Q80" s="95"/>
      <c r="R80" s="95"/>
      <c r="S80" s="94"/>
      <c r="T80" s="95"/>
      <c r="U80" s="95"/>
      <c r="V80" s="95"/>
      <c r="W80" s="95"/>
      <c r="X80" s="95"/>
      <c r="Y80" s="94"/>
      <c r="Z80" s="94"/>
      <c r="AA80" s="94"/>
      <c r="AB80" s="96"/>
      <c r="AC80" s="167"/>
    </row>
    <row r="81" spans="1:29" x14ac:dyDescent="0.2">
      <c r="A81" s="193"/>
      <c r="B81" s="168" t="str">
        <f t="shared" si="30"/>
        <v>4A</v>
      </c>
      <c r="C81" s="169" t="str">
        <f t="shared" si="30"/>
        <v>JAR-007A</v>
      </c>
      <c r="D81" s="73">
        <f>IF(ISBLANK(D72), "-", D72)</f>
        <v>21231</v>
      </c>
      <c r="E81" s="73" t="str">
        <f t="shared" si="31"/>
        <v>White</v>
      </c>
      <c r="F81" s="73" t="str">
        <f t="shared" si="31"/>
        <v>-</v>
      </c>
      <c r="G81" s="171"/>
      <c r="H81" s="75"/>
      <c r="I81" s="75"/>
      <c r="J81" s="75"/>
      <c r="K81" s="75"/>
      <c r="L81" s="75"/>
      <c r="M81" s="74"/>
      <c r="N81" s="75"/>
      <c r="O81" s="75"/>
      <c r="P81" s="75"/>
      <c r="Q81" s="75"/>
      <c r="R81" s="75"/>
      <c r="S81" s="74"/>
      <c r="T81" s="75"/>
      <c r="U81" s="75"/>
      <c r="V81" s="75"/>
      <c r="W81" s="75"/>
      <c r="X81" s="75"/>
      <c r="Y81" s="74"/>
      <c r="Z81" s="74"/>
      <c r="AA81" s="74"/>
      <c r="AB81" s="76"/>
      <c r="AC81" s="167"/>
    </row>
    <row r="82" spans="1:29" x14ac:dyDescent="0.2">
      <c r="A82" s="193"/>
      <c r="B82" s="168" t="str">
        <f t="shared" si="30"/>
        <v>-</v>
      </c>
      <c r="C82" s="169" t="str">
        <f t="shared" si="30"/>
        <v>-</v>
      </c>
      <c r="D82" s="73" t="str">
        <f>IF(ISBLANK(D73), "-", D73)</f>
        <v>-</v>
      </c>
      <c r="E82" s="73" t="str">
        <f t="shared" si="31"/>
        <v>-</v>
      </c>
      <c r="F82" s="73" t="str">
        <f t="shared" si="31"/>
        <v>-</v>
      </c>
      <c r="G82" s="172"/>
      <c r="H82" s="75"/>
      <c r="I82" s="75"/>
      <c r="J82" s="75"/>
      <c r="K82" s="75"/>
      <c r="L82" s="75"/>
      <c r="M82" s="74"/>
      <c r="N82" s="75"/>
      <c r="O82" s="75"/>
      <c r="P82" s="75"/>
      <c r="Q82" s="75"/>
      <c r="R82" s="75"/>
      <c r="S82" s="74"/>
      <c r="T82" s="75"/>
      <c r="U82" s="75"/>
      <c r="V82" s="75"/>
      <c r="W82" s="75"/>
      <c r="X82" s="75"/>
      <c r="Y82" s="74"/>
      <c r="Z82" s="74"/>
      <c r="AA82" s="74"/>
      <c r="AB82" s="76"/>
      <c r="AC82" s="167"/>
    </row>
    <row r="84" spans="1:29" x14ac:dyDescent="0.2">
      <c r="A84" s="193">
        <v>44717</v>
      </c>
      <c r="B84" s="16" t="s">
        <v>20</v>
      </c>
      <c r="C84" s="17"/>
      <c r="D84" s="18" t="s">
        <v>21</v>
      </c>
      <c r="E84" s="17">
        <v>0</v>
      </c>
      <c r="F84" s="24"/>
      <c r="G84" s="25"/>
      <c r="H84" s="38"/>
      <c r="I84" s="51"/>
      <c r="J84" s="57"/>
      <c r="K84" s="25"/>
      <c r="L84" s="18"/>
      <c r="M84" s="25"/>
      <c r="N84" s="38"/>
      <c r="O84" s="51"/>
      <c r="P84" s="57"/>
      <c r="Q84" s="25"/>
      <c r="R84" s="18"/>
      <c r="S84" s="25"/>
      <c r="T84" s="38"/>
      <c r="U84" s="51"/>
      <c r="V84" s="57"/>
      <c r="W84" s="25"/>
      <c r="X84" s="18"/>
      <c r="Y84" s="18"/>
      <c r="Z84" s="25"/>
      <c r="AA84" s="18"/>
      <c r="AB84" s="18"/>
      <c r="AC84" s="26"/>
    </row>
    <row r="85" spans="1:29" x14ac:dyDescent="0.2">
      <c r="A85" s="193"/>
      <c r="B85" s="157" t="s">
        <v>3</v>
      </c>
      <c r="C85" s="158" t="s">
        <v>0</v>
      </c>
      <c r="D85" s="158" t="s">
        <v>10</v>
      </c>
      <c r="E85" s="158" t="s">
        <v>4</v>
      </c>
      <c r="F85" s="158" t="s">
        <v>9</v>
      </c>
      <c r="G85" s="180" t="s">
        <v>5</v>
      </c>
      <c r="H85" s="187" t="s">
        <v>6</v>
      </c>
      <c r="I85" s="188"/>
      <c r="J85" s="188"/>
      <c r="K85" s="188"/>
      <c r="L85" s="188"/>
      <c r="M85" s="189"/>
      <c r="N85" s="187" t="s">
        <v>7</v>
      </c>
      <c r="O85" s="188"/>
      <c r="P85" s="188"/>
      <c r="Q85" s="188"/>
      <c r="R85" s="188"/>
      <c r="S85" s="189"/>
      <c r="T85" s="187" t="s">
        <v>8</v>
      </c>
      <c r="U85" s="188"/>
      <c r="V85" s="188"/>
      <c r="W85" s="188"/>
      <c r="X85" s="188"/>
      <c r="Y85" s="189"/>
      <c r="Z85" s="163" t="s">
        <v>16</v>
      </c>
      <c r="AA85" s="163" t="s">
        <v>66</v>
      </c>
      <c r="AB85" s="163" t="s">
        <v>27</v>
      </c>
      <c r="AC85" s="181" t="s">
        <v>11</v>
      </c>
    </row>
    <row r="86" spans="1:29" ht="33.75" customHeight="1" x14ac:dyDescent="0.2">
      <c r="A86" s="193"/>
      <c r="B86" s="157"/>
      <c r="C86" s="158"/>
      <c r="D86" s="158"/>
      <c r="E86" s="158"/>
      <c r="F86" s="158"/>
      <c r="G86" s="180"/>
      <c r="H86" s="39" t="s">
        <v>24</v>
      </c>
      <c r="I86" s="98" t="s">
        <v>25</v>
      </c>
      <c r="J86" s="99" t="s">
        <v>28</v>
      </c>
      <c r="K86" s="100" t="s">
        <v>22</v>
      </c>
      <c r="L86" s="101" t="s">
        <v>2</v>
      </c>
      <c r="M86" s="27" t="s">
        <v>14</v>
      </c>
      <c r="N86" s="39" t="s">
        <v>24</v>
      </c>
      <c r="O86" s="98" t="s">
        <v>25</v>
      </c>
      <c r="P86" s="99" t="s">
        <v>28</v>
      </c>
      <c r="Q86" s="100" t="s">
        <v>22</v>
      </c>
      <c r="R86" s="27" t="s">
        <v>2</v>
      </c>
      <c r="S86" s="27" t="s">
        <v>14</v>
      </c>
      <c r="T86" s="39" t="s">
        <v>24</v>
      </c>
      <c r="U86" s="98" t="s">
        <v>25</v>
      </c>
      <c r="V86" s="99" t="s">
        <v>28</v>
      </c>
      <c r="W86" s="100" t="s">
        <v>22</v>
      </c>
      <c r="X86" s="27" t="s">
        <v>2</v>
      </c>
      <c r="Y86" s="27" t="s">
        <v>14</v>
      </c>
      <c r="Z86" s="164"/>
      <c r="AA86" s="165"/>
      <c r="AB86" s="165"/>
      <c r="AC86" s="182"/>
    </row>
    <row r="87" spans="1:29" x14ac:dyDescent="0.2">
      <c r="A87" s="193"/>
      <c r="B87" s="194" t="s">
        <v>42</v>
      </c>
      <c r="C87" s="196" t="s">
        <v>45</v>
      </c>
      <c r="D87" s="11">
        <v>21231</v>
      </c>
      <c r="E87" s="11" t="s">
        <v>46</v>
      </c>
      <c r="F87" s="11" t="s">
        <v>130</v>
      </c>
      <c r="G87" s="196" t="s">
        <v>1</v>
      </c>
      <c r="H87" s="34">
        <v>41.45</v>
      </c>
      <c r="I87" s="49">
        <v>8</v>
      </c>
      <c r="J87" s="28">
        <v>682</v>
      </c>
      <c r="K87" s="28">
        <v>12</v>
      </c>
      <c r="L87" s="28">
        <f t="shared" ref="L87:L92" si="32">IF(ISBLANK(J87), , J87*K87)</f>
        <v>8184</v>
      </c>
      <c r="M87" s="23">
        <f t="shared" ref="M87:M92" si="33">H96+K96+N96+Q96+T96+W96+Z96</f>
        <v>10</v>
      </c>
      <c r="N87" s="34">
        <v>41.45</v>
      </c>
      <c r="O87" s="49">
        <v>8</v>
      </c>
      <c r="P87" s="28">
        <v>701</v>
      </c>
      <c r="Q87" s="28">
        <v>12</v>
      </c>
      <c r="R87" s="28">
        <f t="shared" ref="R87:R92" si="34">IF(ISBLANK(P87), , P87*Q87)</f>
        <v>8412</v>
      </c>
      <c r="S87" s="23">
        <f t="shared" ref="S87:S92" si="35">I96+L96+O96+R96+U96+X96+AA96</f>
        <v>0</v>
      </c>
      <c r="T87" s="34">
        <v>41.45</v>
      </c>
      <c r="U87" s="49">
        <v>8</v>
      </c>
      <c r="V87" s="28">
        <v>702</v>
      </c>
      <c r="W87" s="28">
        <v>12</v>
      </c>
      <c r="X87" s="28">
        <f t="shared" ref="X87:X92" si="36">IF(ISBLANK(V87), , V87*W87)</f>
        <v>8424</v>
      </c>
      <c r="Y87" s="23">
        <f t="shared" ref="Y87:Y92" si="37">J96+M96+P96+S96+V96+Y96+AB96</f>
        <v>0</v>
      </c>
      <c r="Z87" s="151">
        <f>SUM(L87, R87, X87)+SUM(L88, R88, X88)</f>
        <v>25020</v>
      </c>
      <c r="AA87" s="151">
        <f>SUM(M87, S87, Y87)+SUM(M88, S88, Y88)</f>
        <v>10</v>
      </c>
      <c r="AB87" s="153">
        <f>IF($Z87=0, ,AA87/$Z87)</f>
        <v>3.996802557953637E-4</v>
      </c>
      <c r="AC87" s="179"/>
    </row>
    <row r="88" spans="1:29" x14ac:dyDescent="0.2">
      <c r="A88" s="193"/>
      <c r="B88" s="195"/>
      <c r="C88" s="197"/>
      <c r="D88" s="11"/>
      <c r="E88" s="11"/>
      <c r="F88" s="11"/>
      <c r="G88" s="198"/>
      <c r="H88" s="34"/>
      <c r="I88" s="49"/>
      <c r="J88" s="28"/>
      <c r="K88" s="28"/>
      <c r="L88" s="28">
        <f t="shared" si="32"/>
        <v>0</v>
      </c>
      <c r="M88" s="23">
        <f t="shared" si="33"/>
        <v>0</v>
      </c>
      <c r="N88" s="34"/>
      <c r="O88" s="49"/>
      <c r="P88" s="28"/>
      <c r="Q88" s="28"/>
      <c r="R88" s="28">
        <f t="shared" si="34"/>
        <v>0</v>
      </c>
      <c r="S88" s="23">
        <f t="shared" si="35"/>
        <v>0</v>
      </c>
      <c r="T88" s="34"/>
      <c r="U88" s="49"/>
      <c r="V88" s="28"/>
      <c r="W88" s="28"/>
      <c r="X88" s="28">
        <f t="shared" si="36"/>
        <v>0</v>
      </c>
      <c r="Y88" s="23">
        <f t="shared" si="37"/>
        <v>0</v>
      </c>
      <c r="Z88" s="152"/>
      <c r="AA88" s="152"/>
      <c r="AB88" s="154"/>
      <c r="AC88" s="155"/>
    </row>
    <row r="89" spans="1:29" x14ac:dyDescent="0.2">
      <c r="A89" s="193"/>
      <c r="B89" s="175" t="s">
        <v>43</v>
      </c>
      <c r="C89" s="177" t="s">
        <v>65</v>
      </c>
      <c r="D89" s="10">
        <v>21234</v>
      </c>
      <c r="E89" s="10" t="s">
        <v>46</v>
      </c>
      <c r="F89" s="10" t="s">
        <v>130</v>
      </c>
      <c r="G89" s="177" t="s">
        <v>1</v>
      </c>
      <c r="H89" s="35">
        <v>41.6</v>
      </c>
      <c r="I89" s="52">
        <v>8</v>
      </c>
      <c r="J89" s="64">
        <v>697</v>
      </c>
      <c r="K89" s="64">
        <v>12</v>
      </c>
      <c r="L89" s="64">
        <f t="shared" si="32"/>
        <v>8364</v>
      </c>
      <c r="M89" s="65">
        <f t="shared" si="33"/>
        <v>5</v>
      </c>
      <c r="N89" s="66">
        <v>41.6</v>
      </c>
      <c r="O89" s="67">
        <v>8</v>
      </c>
      <c r="P89" s="64">
        <v>698</v>
      </c>
      <c r="Q89" s="64">
        <v>12</v>
      </c>
      <c r="R89" s="64">
        <f t="shared" si="34"/>
        <v>8376</v>
      </c>
      <c r="S89" s="65">
        <f t="shared" si="35"/>
        <v>0</v>
      </c>
      <c r="T89" s="66">
        <v>41.6</v>
      </c>
      <c r="U89" s="67">
        <v>8</v>
      </c>
      <c r="V89" s="64">
        <v>687</v>
      </c>
      <c r="W89" s="64">
        <v>12</v>
      </c>
      <c r="X89" s="64">
        <f t="shared" si="36"/>
        <v>8244</v>
      </c>
      <c r="Y89" s="65">
        <f t="shared" si="37"/>
        <v>0</v>
      </c>
      <c r="Z89" s="183">
        <f>SUM(L89, R89, X89)+SUM(L90, R90, X90)</f>
        <v>24984</v>
      </c>
      <c r="AA89" s="185">
        <f>SUM(M89, S89, Y89)+SUM(M90, S90, Y90)</f>
        <v>5</v>
      </c>
      <c r="AB89" s="190">
        <f>IF($Z89=0, ,AA89/$Z89)</f>
        <v>2.0012808197246237E-4</v>
      </c>
      <c r="AC89" s="192"/>
    </row>
    <row r="90" spans="1:29" x14ac:dyDescent="0.2">
      <c r="A90" s="193"/>
      <c r="B90" s="176"/>
      <c r="C90" s="178"/>
      <c r="D90" s="10"/>
      <c r="E90" s="10"/>
      <c r="F90" s="10"/>
      <c r="G90" s="178"/>
      <c r="H90" s="35"/>
      <c r="I90" s="52"/>
      <c r="J90" s="64"/>
      <c r="K90" s="64"/>
      <c r="L90" s="64">
        <f t="shared" si="32"/>
        <v>0</v>
      </c>
      <c r="M90" s="65">
        <f t="shared" si="33"/>
        <v>0</v>
      </c>
      <c r="N90" s="66"/>
      <c r="O90" s="67"/>
      <c r="P90" s="64"/>
      <c r="Q90" s="64"/>
      <c r="R90" s="64">
        <f t="shared" si="34"/>
        <v>0</v>
      </c>
      <c r="S90" s="65">
        <f t="shared" si="35"/>
        <v>0</v>
      </c>
      <c r="T90" s="66"/>
      <c r="U90" s="67"/>
      <c r="V90" s="64"/>
      <c r="W90" s="64"/>
      <c r="X90" s="64">
        <f t="shared" si="36"/>
        <v>0</v>
      </c>
      <c r="Y90" s="65">
        <f t="shared" si="37"/>
        <v>0</v>
      </c>
      <c r="Z90" s="184"/>
      <c r="AA90" s="186"/>
      <c r="AB90" s="191"/>
      <c r="AC90" s="192"/>
    </row>
    <row r="91" spans="1:29" x14ac:dyDescent="0.2">
      <c r="A91" s="193"/>
      <c r="B91" s="161" t="s">
        <v>44</v>
      </c>
      <c r="C91" s="149" t="s">
        <v>67</v>
      </c>
      <c r="D91" s="9">
        <v>21231</v>
      </c>
      <c r="E91" s="9" t="s">
        <v>46</v>
      </c>
      <c r="F91" s="9"/>
      <c r="G91" s="149" t="s">
        <v>1</v>
      </c>
      <c r="H91" s="36">
        <v>41.35</v>
      </c>
      <c r="I91" s="53">
        <v>0</v>
      </c>
      <c r="J91" s="29">
        <v>0</v>
      </c>
      <c r="K91" s="29">
        <v>12</v>
      </c>
      <c r="L91" s="29">
        <f t="shared" si="32"/>
        <v>0</v>
      </c>
      <c r="M91" s="30">
        <f t="shared" si="33"/>
        <v>0</v>
      </c>
      <c r="N91" s="36">
        <v>41.35</v>
      </c>
      <c r="O91" s="53">
        <v>0</v>
      </c>
      <c r="P91" s="29">
        <v>0</v>
      </c>
      <c r="Q91" s="29">
        <v>12</v>
      </c>
      <c r="R91" s="29">
        <f t="shared" si="34"/>
        <v>0</v>
      </c>
      <c r="S91" s="30">
        <f t="shared" si="35"/>
        <v>0</v>
      </c>
      <c r="T91" s="36">
        <v>41.35</v>
      </c>
      <c r="U91" s="53">
        <v>0</v>
      </c>
      <c r="V91" s="29">
        <v>0</v>
      </c>
      <c r="W91" s="29">
        <v>12</v>
      </c>
      <c r="X91" s="29">
        <f t="shared" si="36"/>
        <v>0</v>
      </c>
      <c r="Y91" s="30">
        <f t="shared" si="37"/>
        <v>0</v>
      </c>
      <c r="Z91" s="151">
        <f>SUM(L91, R91, X91)+SUM(L92, R92, X92)</f>
        <v>0</v>
      </c>
      <c r="AA91" s="151">
        <f>SUM(M91, S91, Y91)+SUM(M92, S92, Y92)</f>
        <v>0</v>
      </c>
      <c r="AB91" s="153">
        <f>IF($Z91=0, ,AA91/$Z91)</f>
        <v>0</v>
      </c>
      <c r="AC91" s="155"/>
    </row>
    <row r="92" spans="1:29" x14ac:dyDescent="0.2">
      <c r="A92" s="193"/>
      <c r="B92" s="162"/>
      <c r="C92" s="150"/>
      <c r="D92" s="9"/>
      <c r="E92" s="9"/>
      <c r="F92" s="9"/>
      <c r="G92" s="150"/>
      <c r="H92" s="36"/>
      <c r="I92" s="53"/>
      <c r="J92" s="29"/>
      <c r="K92" s="29"/>
      <c r="L92" s="29">
        <f t="shared" si="32"/>
        <v>0</v>
      </c>
      <c r="M92" s="30">
        <f t="shared" si="33"/>
        <v>0</v>
      </c>
      <c r="N92" s="36"/>
      <c r="O92" s="53"/>
      <c r="P92" s="29"/>
      <c r="Q92" s="29"/>
      <c r="R92" s="29">
        <f t="shared" si="34"/>
        <v>0</v>
      </c>
      <c r="S92" s="30">
        <f t="shared" si="35"/>
        <v>0</v>
      </c>
      <c r="T92" s="36"/>
      <c r="U92" s="53"/>
      <c r="V92" s="29"/>
      <c r="W92" s="29"/>
      <c r="X92" s="29">
        <f t="shared" si="36"/>
        <v>0</v>
      </c>
      <c r="Y92" s="30">
        <f t="shared" si="37"/>
        <v>0</v>
      </c>
      <c r="Z92" s="152"/>
      <c r="AA92" s="152"/>
      <c r="AB92" s="154"/>
      <c r="AC92" s="156"/>
    </row>
    <row r="93" spans="1:29" x14ac:dyDescent="0.2">
      <c r="A93" s="193"/>
      <c r="B93" s="42"/>
      <c r="C93" s="42"/>
      <c r="D93" s="42"/>
      <c r="E93" s="42"/>
      <c r="F93" s="42"/>
      <c r="G93" s="42"/>
      <c r="H93" s="59"/>
      <c r="I93" s="60"/>
      <c r="J93" s="61"/>
      <c r="K93" s="61"/>
      <c r="L93" s="61"/>
      <c r="M93" s="62"/>
      <c r="N93" s="59"/>
      <c r="O93" s="60"/>
      <c r="P93" s="61"/>
      <c r="Q93" s="61"/>
      <c r="R93" s="61"/>
      <c r="S93" s="62"/>
      <c r="T93" s="59"/>
      <c r="U93" s="60"/>
      <c r="V93" s="61"/>
      <c r="W93" s="61"/>
      <c r="X93" s="61"/>
      <c r="Y93" s="62"/>
      <c r="Z93" s="62"/>
      <c r="AA93" s="62"/>
      <c r="AB93" s="63"/>
      <c r="AC93" s="45"/>
    </row>
    <row r="94" spans="1:29" x14ac:dyDescent="0.2">
      <c r="A94" s="193"/>
      <c r="B94" s="157" t="s">
        <v>32</v>
      </c>
      <c r="C94" s="158"/>
      <c r="D94" s="158"/>
      <c r="E94" s="158"/>
      <c r="F94" s="158"/>
      <c r="G94" s="77" t="s">
        <v>33</v>
      </c>
      <c r="H94" s="159" t="s">
        <v>29</v>
      </c>
      <c r="I94" s="159"/>
      <c r="J94" s="159"/>
      <c r="K94" s="159" t="s">
        <v>41</v>
      </c>
      <c r="L94" s="159"/>
      <c r="M94" s="159"/>
      <c r="N94" s="160" t="s">
        <v>63</v>
      </c>
      <c r="O94" s="159"/>
      <c r="P94" s="159"/>
      <c r="Q94" s="160" t="s">
        <v>62</v>
      </c>
      <c r="R94" s="159"/>
      <c r="S94" s="159"/>
      <c r="T94" s="160" t="s">
        <v>61</v>
      </c>
      <c r="U94" s="159"/>
      <c r="V94" s="159"/>
      <c r="W94" s="159" t="s">
        <v>39</v>
      </c>
      <c r="X94" s="159"/>
      <c r="Y94" s="159"/>
      <c r="Z94" s="159" t="s">
        <v>40</v>
      </c>
      <c r="AA94" s="159"/>
      <c r="AB94" s="159"/>
      <c r="AC94" s="166"/>
    </row>
    <row r="95" spans="1:29" x14ac:dyDescent="0.2">
      <c r="A95" s="193"/>
      <c r="B95" s="157"/>
      <c r="C95" s="158"/>
      <c r="D95" s="158"/>
      <c r="E95" s="158"/>
      <c r="F95" s="158"/>
      <c r="G95" s="77" t="s">
        <v>34</v>
      </c>
      <c r="H95" s="78" t="s">
        <v>35</v>
      </c>
      <c r="I95" s="78" t="s">
        <v>36</v>
      </c>
      <c r="J95" s="79" t="s">
        <v>37</v>
      </c>
      <c r="K95" s="78" t="s">
        <v>35</v>
      </c>
      <c r="L95" s="78" t="s">
        <v>36</v>
      </c>
      <c r="M95" s="79" t="s">
        <v>37</v>
      </c>
      <c r="N95" s="78" t="s">
        <v>35</v>
      </c>
      <c r="O95" s="78" t="s">
        <v>36</v>
      </c>
      <c r="P95" s="79" t="s">
        <v>37</v>
      </c>
      <c r="Q95" s="78" t="s">
        <v>35</v>
      </c>
      <c r="R95" s="78" t="s">
        <v>36</v>
      </c>
      <c r="S95" s="79" t="s">
        <v>37</v>
      </c>
      <c r="T95" s="78" t="s">
        <v>35</v>
      </c>
      <c r="U95" s="78" t="s">
        <v>36</v>
      </c>
      <c r="V95" s="79" t="s">
        <v>37</v>
      </c>
      <c r="W95" s="78" t="s">
        <v>35</v>
      </c>
      <c r="X95" s="78" t="s">
        <v>36</v>
      </c>
      <c r="Y95" s="79" t="s">
        <v>37</v>
      </c>
      <c r="Z95" s="78" t="s">
        <v>35</v>
      </c>
      <c r="AA95" s="78" t="s">
        <v>36</v>
      </c>
      <c r="AB95" s="79" t="s">
        <v>37</v>
      </c>
      <c r="AC95" s="167"/>
    </row>
    <row r="96" spans="1:29" x14ac:dyDescent="0.2">
      <c r="A96" s="193"/>
      <c r="B96" s="168" t="str">
        <f t="shared" ref="B96:C101" si="38">IF(ISBLANK(B87), "-", B87)</f>
        <v>2A</v>
      </c>
      <c r="C96" s="169" t="str">
        <f t="shared" si="38"/>
        <v>JAR-007B</v>
      </c>
      <c r="D96" s="73">
        <v>21231</v>
      </c>
      <c r="E96" s="73" t="str">
        <f t="shared" ref="E96:F101" si="39">IF(ISBLANK(E87), "-", E87)</f>
        <v>White</v>
      </c>
      <c r="F96" s="73" t="str">
        <f t="shared" si="39"/>
        <v>RPET</v>
      </c>
      <c r="G96" s="170"/>
      <c r="H96" s="74">
        <v>10</v>
      </c>
      <c r="I96" s="74"/>
      <c r="J96" s="74"/>
      <c r="K96" s="74"/>
      <c r="L96" s="74"/>
      <c r="M96" s="74"/>
      <c r="N96" s="75"/>
      <c r="O96" s="75"/>
      <c r="P96" s="75"/>
      <c r="Q96" s="75"/>
      <c r="R96" s="75"/>
      <c r="S96" s="74"/>
      <c r="T96" s="75"/>
      <c r="U96" s="75"/>
      <c r="V96" s="75"/>
      <c r="W96" s="75"/>
      <c r="X96" s="75"/>
      <c r="Y96" s="74"/>
      <c r="Z96" s="74"/>
      <c r="AA96" s="74"/>
      <c r="AB96" s="76"/>
      <c r="AC96" s="167"/>
    </row>
    <row r="97" spans="1:29" x14ac:dyDescent="0.2">
      <c r="A97" s="193"/>
      <c r="B97" s="168" t="str">
        <f t="shared" si="38"/>
        <v>-</v>
      </c>
      <c r="C97" s="169" t="str">
        <f t="shared" si="38"/>
        <v>-</v>
      </c>
      <c r="D97" s="73" t="str">
        <f>IF(ISBLANK(D88), "-", D88)</f>
        <v>-</v>
      </c>
      <c r="E97" s="73" t="str">
        <f t="shared" si="39"/>
        <v>-</v>
      </c>
      <c r="F97" s="73" t="str">
        <f t="shared" si="39"/>
        <v>-</v>
      </c>
      <c r="G97" s="171"/>
      <c r="H97" s="75"/>
      <c r="I97" s="75"/>
      <c r="J97" s="75"/>
      <c r="K97" s="75"/>
      <c r="L97" s="75"/>
      <c r="M97" s="74"/>
      <c r="N97" s="75"/>
      <c r="O97" s="75"/>
      <c r="P97" s="75"/>
      <c r="Q97" s="75"/>
      <c r="R97" s="75"/>
      <c r="S97" s="74"/>
      <c r="T97" s="75"/>
      <c r="U97" s="75"/>
      <c r="V97" s="75"/>
      <c r="W97" s="75"/>
      <c r="X97" s="75"/>
      <c r="Y97" s="74"/>
      <c r="Z97" s="74"/>
      <c r="AA97" s="74"/>
      <c r="AB97" s="76"/>
      <c r="AC97" s="167"/>
    </row>
    <row r="98" spans="1:29" x14ac:dyDescent="0.2">
      <c r="A98" s="193"/>
      <c r="B98" s="173" t="str">
        <f t="shared" si="38"/>
        <v>3A</v>
      </c>
      <c r="C98" s="174" t="str">
        <f t="shared" si="38"/>
        <v>JAR-014</v>
      </c>
      <c r="D98" s="102">
        <f>IF(ISBLANK(D89), "-", D89)</f>
        <v>21234</v>
      </c>
      <c r="E98" s="102" t="str">
        <f t="shared" si="39"/>
        <v>White</v>
      </c>
      <c r="F98" s="102" t="str">
        <f t="shared" si="39"/>
        <v>RPET</v>
      </c>
      <c r="G98" s="171"/>
      <c r="H98" s="94">
        <v>5</v>
      </c>
      <c r="I98" s="94"/>
      <c r="J98" s="94"/>
      <c r="K98" s="94"/>
      <c r="L98" s="94"/>
      <c r="M98" s="94"/>
      <c r="N98" s="95"/>
      <c r="O98" s="95"/>
      <c r="P98" s="95"/>
      <c r="Q98" s="95"/>
      <c r="R98" s="95"/>
      <c r="S98" s="94"/>
      <c r="T98" s="95"/>
      <c r="U98" s="95"/>
      <c r="V98" s="95"/>
      <c r="W98" s="95"/>
      <c r="X98" s="95"/>
      <c r="Y98" s="94"/>
      <c r="Z98" s="94"/>
      <c r="AA98" s="94"/>
      <c r="AB98" s="96"/>
      <c r="AC98" s="167"/>
    </row>
    <row r="99" spans="1:29" x14ac:dyDescent="0.2">
      <c r="A99" s="193"/>
      <c r="B99" s="173" t="str">
        <f t="shared" si="38"/>
        <v>-</v>
      </c>
      <c r="C99" s="174" t="str">
        <f t="shared" si="38"/>
        <v>-</v>
      </c>
      <c r="D99" s="102" t="str">
        <f>IF(ISBLANK(D90), "-", D90)</f>
        <v>-</v>
      </c>
      <c r="E99" s="102" t="str">
        <f t="shared" si="39"/>
        <v>-</v>
      </c>
      <c r="F99" s="102" t="str">
        <f t="shared" si="39"/>
        <v>-</v>
      </c>
      <c r="G99" s="171"/>
      <c r="H99" s="95"/>
      <c r="I99" s="95"/>
      <c r="J99" s="95"/>
      <c r="K99" s="95"/>
      <c r="L99" s="95"/>
      <c r="M99" s="94"/>
      <c r="N99" s="95"/>
      <c r="O99" s="95"/>
      <c r="P99" s="95"/>
      <c r="Q99" s="95"/>
      <c r="R99" s="95"/>
      <c r="S99" s="94"/>
      <c r="T99" s="95"/>
      <c r="U99" s="95"/>
      <c r="V99" s="95"/>
      <c r="W99" s="95"/>
      <c r="X99" s="95"/>
      <c r="Y99" s="94"/>
      <c r="Z99" s="94"/>
      <c r="AA99" s="94"/>
      <c r="AB99" s="96"/>
      <c r="AC99" s="167"/>
    </row>
    <row r="100" spans="1:29" x14ac:dyDescent="0.2">
      <c r="A100" s="193"/>
      <c r="B100" s="168" t="str">
        <f t="shared" si="38"/>
        <v>4A</v>
      </c>
      <c r="C100" s="169" t="str">
        <f t="shared" si="38"/>
        <v>JAR-007A</v>
      </c>
      <c r="D100" s="73">
        <f>IF(ISBLANK(D91), "-", D91)</f>
        <v>21231</v>
      </c>
      <c r="E100" s="73" t="str">
        <f t="shared" si="39"/>
        <v>White</v>
      </c>
      <c r="F100" s="73" t="str">
        <f t="shared" si="39"/>
        <v>-</v>
      </c>
      <c r="G100" s="171"/>
      <c r="H100" s="75"/>
      <c r="I100" s="75"/>
      <c r="J100" s="75"/>
      <c r="K100" s="75"/>
      <c r="L100" s="75"/>
      <c r="M100" s="74"/>
      <c r="N100" s="75"/>
      <c r="O100" s="75"/>
      <c r="P100" s="75"/>
      <c r="Q100" s="75"/>
      <c r="R100" s="75"/>
      <c r="S100" s="74"/>
      <c r="T100" s="75"/>
      <c r="U100" s="75"/>
      <c r="V100" s="75"/>
      <c r="W100" s="75"/>
      <c r="X100" s="75"/>
      <c r="Y100" s="74"/>
      <c r="Z100" s="74"/>
      <c r="AA100" s="74"/>
      <c r="AB100" s="76"/>
      <c r="AC100" s="167"/>
    </row>
    <row r="101" spans="1:29" x14ac:dyDescent="0.2">
      <c r="A101" s="193"/>
      <c r="B101" s="168" t="str">
        <f t="shared" si="38"/>
        <v>-</v>
      </c>
      <c r="C101" s="169" t="str">
        <f t="shared" si="38"/>
        <v>-</v>
      </c>
      <c r="D101" s="73" t="str">
        <f>IF(ISBLANK(D92), "-", D92)</f>
        <v>-</v>
      </c>
      <c r="E101" s="73" t="str">
        <f t="shared" si="39"/>
        <v>-</v>
      </c>
      <c r="F101" s="73" t="str">
        <f t="shared" si="39"/>
        <v>-</v>
      </c>
      <c r="G101" s="172"/>
      <c r="H101" s="75"/>
      <c r="I101" s="75"/>
      <c r="J101" s="75"/>
      <c r="K101" s="75"/>
      <c r="L101" s="75"/>
      <c r="M101" s="74"/>
      <c r="N101" s="75"/>
      <c r="O101" s="75"/>
      <c r="P101" s="75"/>
      <c r="Q101" s="75"/>
      <c r="R101" s="75"/>
      <c r="S101" s="74"/>
      <c r="T101" s="75"/>
      <c r="U101" s="75"/>
      <c r="V101" s="75"/>
      <c r="W101" s="75"/>
      <c r="X101" s="75"/>
      <c r="Y101" s="74"/>
      <c r="Z101" s="74"/>
      <c r="AA101" s="74"/>
      <c r="AB101" s="76"/>
      <c r="AC101" s="167"/>
    </row>
    <row r="103" spans="1:29" x14ac:dyDescent="0.2">
      <c r="A103" s="193">
        <v>44718</v>
      </c>
      <c r="B103" s="16" t="s">
        <v>20</v>
      </c>
      <c r="C103" s="17"/>
      <c r="D103" s="18" t="s">
        <v>21</v>
      </c>
      <c r="E103" s="17">
        <v>0</v>
      </c>
      <c r="F103" s="24"/>
      <c r="G103" s="25"/>
      <c r="H103" s="38"/>
      <c r="I103" s="51"/>
      <c r="J103" s="57"/>
      <c r="K103" s="25"/>
      <c r="L103" s="18"/>
      <c r="M103" s="25"/>
      <c r="N103" s="38"/>
      <c r="O103" s="51"/>
      <c r="P103" s="57"/>
      <c r="Q103" s="25"/>
      <c r="R103" s="18"/>
      <c r="S103" s="25"/>
      <c r="T103" s="38"/>
      <c r="U103" s="51"/>
      <c r="V103" s="57"/>
      <c r="W103" s="25"/>
      <c r="X103" s="18"/>
      <c r="Y103" s="18"/>
      <c r="Z103" s="25"/>
      <c r="AA103" s="18"/>
      <c r="AB103" s="18"/>
      <c r="AC103" s="26"/>
    </row>
    <row r="104" spans="1:29" x14ac:dyDescent="0.2">
      <c r="A104" s="193"/>
      <c r="B104" s="157" t="s">
        <v>3</v>
      </c>
      <c r="C104" s="158" t="s">
        <v>0</v>
      </c>
      <c r="D104" s="158" t="s">
        <v>10</v>
      </c>
      <c r="E104" s="158" t="s">
        <v>4</v>
      </c>
      <c r="F104" s="158" t="s">
        <v>9</v>
      </c>
      <c r="G104" s="180" t="s">
        <v>5</v>
      </c>
      <c r="H104" s="187" t="s">
        <v>6</v>
      </c>
      <c r="I104" s="188"/>
      <c r="J104" s="188"/>
      <c r="K104" s="188"/>
      <c r="L104" s="188"/>
      <c r="M104" s="189"/>
      <c r="N104" s="187" t="s">
        <v>7</v>
      </c>
      <c r="O104" s="188"/>
      <c r="P104" s="188"/>
      <c r="Q104" s="188"/>
      <c r="R104" s="188"/>
      <c r="S104" s="189"/>
      <c r="T104" s="187" t="s">
        <v>8</v>
      </c>
      <c r="U104" s="188"/>
      <c r="V104" s="188"/>
      <c r="W104" s="188"/>
      <c r="X104" s="188"/>
      <c r="Y104" s="189"/>
      <c r="Z104" s="163" t="s">
        <v>16</v>
      </c>
      <c r="AA104" s="163" t="s">
        <v>66</v>
      </c>
      <c r="AB104" s="163" t="s">
        <v>27</v>
      </c>
      <c r="AC104" s="181" t="s">
        <v>11</v>
      </c>
    </row>
    <row r="105" spans="1:29" ht="24" x14ac:dyDescent="0.2">
      <c r="A105" s="193"/>
      <c r="B105" s="157"/>
      <c r="C105" s="158"/>
      <c r="D105" s="158"/>
      <c r="E105" s="158"/>
      <c r="F105" s="158"/>
      <c r="G105" s="180"/>
      <c r="H105" s="39" t="s">
        <v>24</v>
      </c>
      <c r="I105" s="98" t="s">
        <v>25</v>
      </c>
      <c r="J105" s="99" t="s">
        <v>28</v>
      </c>
      <c r="K105" s="100" t="s">
        <v>22</v>
      </c>
      <c r="L105" s="101" t="s">
        <v>2</v>
      </c>
      <c r="M105" s="27" t="s">
        <v>14</v>
      </c>
      <c r="N105" s="39" t="s">
        <v>24</v>
      </c>
      <c r="O105" s="98" t="s">
        <v>25</v>
      </c>
      <c r="P105" s="99" t="s">
        <v>28</v>
      </c>
      <c r="Q105" s="100" t="s">
        <v>22</v>
      </c>
      <c r="R105" s="27" t="s">
        <v>2</v>
      </c>
      <c r="S105" s="27" t="s">
        <v>14</v>
      </c>
      <c r="T105" s="39" t="s">
        <v>24</v>
      </c>
      <c r="U105" s="98" t="s">
        <v>25</v>
      </c>
      <c r="V105" s="99" t="s">
        <v>28</v>
      </c>
      <c r="W105" s="100" t="s">
        <v>22</v>
      </c>
      <c r="X105" s="27" t="s">
        <v>2</v>
      </c>
      <c r="Y105" s="27" t="s">
        <v>14</v>
      </c>
      <c r="Z105" s="164"/>
      <c r="AA105" s="165"/>
      <c r="AB105" s="165"/>
      <c r="AC105" s="182"/>
    </row>
    <row r="106" spans="1:29" x14ac:dyDescent="0.2">
      <c r="A106" s="193"/>
      <c r="B106" s="194" t="s">
        <v>42</v>
      </c>
      <c r="C106" s="196" t="s">
        <v>45</v>
      </c>
      <c r="D106" s="11">
        <v>21231</v>
      </c>
      <c r="E106" s="11" t="s">
        <v>46</v>
      </c>
      <c r="F106" s="11" t="s">
        <v>130</v>
      </c>
      <c r="G106" s="196" t="s">
        <v>1</v>
      </c>
      <c r="H106" s="34">
        <v>41.45</v>
      </c>
      <c r="I106" s="49">
        <v>5.5</v>
      </c>
      <c r="J106" s="28">
        <v>510</v>
      </c>
      <c r="K106" s="28">
        <v>12</v>
      </c>
      <c r="L106" s="28">
        <f t="shared" ref="L106:L111" si="40">IF(ISBLANK(J106), , J106*K106)</f>
        <v>6120</v>
      </c>
      <c r="M106" s="23">
        <f t="shared" ref="M106:M111" si="41">H115+K115+N115+Q115+T115+W115+Z115</f>
        <v>200</v>
      </c>
      <c r="N106" s="34">
        <v>41.45</v>
      </c>
      <c r="O106" s="49">
        <v>8</v>
      </c>
      <c r="P106" s="28">
        <v>700</v>
      </c>
      <c r="Q106" s="28">
        <v>12</v>
      </c>
      <c r="R106" s="28">
        <f t="shared" ref="R106:R111" si="42">IF(ISBLANK(P106), , P106*Q106)</f>
        <v>8400</v>
      </c>
      <c r="S106" s="23">
        <f t="shared" ref="S106:S111" si="43">I115+L115+O115+R115+U115+X115+AA115</f>
        <v>0</v>
      </c>
      <c r="T106" s="34">
        <v>41.45</v>
      </c>
      <c r="U106" s="49">
        <v>8</v>
      </c>
      <c r="V106" s="28">
        <v>682</v>
      </c>
      <c r="W106" s="28">
        <v>12</v>
      </c>
      <c r="X106" s="28">
        <f t="shared" ref="X106:X111" si="44">IF(ISBLANK(V106), , V106*W106)</f>
        <v>8184</v>
      </c>
      <c r="Y106" s="23">
        <f t="shared" ref="Y106:Y111" si="45">J115+M115+P115+S115+V115+Y115+AB115</f>
        <v>0</v>
      </c>
      <c r="Z106" s="151">
        <f>SUM(L106, R106, X106)+SUM(L107, R107, X107)</f>
        <v>22704</v>
      </c>
      <c r="AA106" s="151">
        <f>SUM(M106, S106, Y106)+SUM(M107, S107, Y107)</f>
        <v>200</v>
      </c>
      <c r="AB106" s="153">
        <f>IF($Z106=0, ,AA106/$Z106)</f>
        <v>8.8090204369274134E-3</v>
      </c>
      <c r="AC106" s="179" t="s">
        <v>83</v>
      </c>
    </row>
    <row r="107" spans="1:29" x14ac:dyDescent="0.2">
      <c r="A107" s="193"/>
      <c r="B107" s="195"/>
      <c r="C107" s="197"/>
      <c r="D107" s="11"/>
      <c r="E107" s="11"/>
      <c r="F107" s="11"/>
      <c r="G107" s="198"/>
      <c r="H107" s="34"/>
      <c r="I107" s="49"/>
      <c r="J107" s="28"/>
      <c r="K107" s="28"/>
      <c r="L107" s="28">
        <f t="shared" si="40"/>
        <v>0</v>
      </c>
      <c r="M107" s="23">
        <f t="shared" si="41"/>
        <v>0</v>
      </c>
      <c r="N107" s="34"/>
      <c r="O107" s="49"/>
      <c r="P107" s="28"/>
      <c r="Q107" s="28"/>
      <c r="R107" s="28">
        <f t="shared" si="42"/>
        <v>0</v>
      </c>
      <c r="S107" s="23">
        <f t="shared" si="43"/>
        <v>0</v>
      </c>
      <c r="T107" s="34"/>
      <c r="U107" s="49"/>
      <c r="V107" s="28"/>
      <c r="W107" s="28"/>
      <c r="X107" s="28">
        <f t="shared" si="44"/>
        <v>0</v>
      </c>
      <c r="Y107" s="23">
        <f t="shared" si="45"/>
        <v>0</v>
      </c>
      <c r="Z107" s="152"/>
      <c r="AA107" s="152"/>
      <c r="AB107" s="154"/>
      <c r="AC107" s="155"/>
    </row>
    <row r="108" spans="1:29" x14ac:dyDescent="0.2">
      <c r="A108" s="193"/>
      <c r="B108" s="175" t="s">
        <v>43</v>
      </c>
      <c r="C108" s="177" t="s">
        <v>65</v>
      </c>
      <c r="D108" s="10">
        <v>21234</v>
      </c>
      <c r="E108" s="10" t="s">
        <v>46</v>
      </c>
      <c r="F108" s="10" t="s">
        <v>130</v>
      </c>
      <c r="G108" s="177" t="s">
        <v>1</v>
      </c>
      <c r="H108" s="35">
        <v>41.6</v>
      </c>
      <c r="I108" s="52">
        <v>8</v>
      </c>
      <c r="J108" s="64">
        <v>689</v>
      </c>
      <c r="K108" s="64">
        <v>12</v>
      </c>
      <c r="L108" s="64">
        <f t="shared" si="40"/>
        <v>8268</v>
      </c>
      <c r="M108" s="65">
        <f t="shared" si="41"/>
        <v>30</v>
      </c>
      <c r="N108" s="66">
        <v>41.6</v>
      </c>
      <c r="O108" s="67">
        <v>8</v>
      </c>
      <c r="P108" s="64">
        <v>691</v>
      </c>
      <c r="Q108" s="64">
        <v>12</v>
      </c>
      <c r="R108" s="64">
        <f t="shared" si="42"/>
        <v>8292</v>
      </c>
      <c r="S108" s="65">
        <f t="shared" si="43"/>
        <v>0</v>
      </c>
      <c r="T108" s="66">
        <v>41.6</v>
      </c>
      <c r="U108" s="67">
        <v>8</v>
      </c>
      <c r="V108" s="64">
        <v>701</v>
      </c>
      <c r="W108" s="64">
        <v>12</v>
      </c>
      <c r="X108" s="64">
        <f t="shared" si="44"/>
        <v>8412</v>
      </c>
      <c r="Y108" s="65">
        <f t="shared" si="45"/>
        <v>0</v>
      </c>
      <c r="Z108" s="183">
        <f>SUM(L108, R108, X108)+SUM(L109, R109, X109)</f>
        <v>24972</v>
      </c>
      <c r="AA108" s="185">
        <f>SUM(M108, S108, Y108)+SUM(M109, S109, Y109)</f>
        <v>30</v>
      </c>
      <c r="AB108" s="190">
        <f>IF($Z108=0, ,AA108/$Z108)</f>
        <v>1.201345506967804E-3</v>
      </c>
      <c r="AC108" s="192"/>
    </row>
    <row r="109" spans="1:29" x14ac:dyDescent="0.2">
      <c r="A109" s="193"/>
      <c r="B109" s="176"/>
      <c r="C109" s="178"/>
      <c r="D109" s="10"/>
      <c r="E109" s="10"/>
      <c r="F109" s="10"/>
      <c r="G109" s="178"/>
      <c r="H109" s="35"/>
      <c r="I109" s="52"/>
      <c r="J109" s="64"/>
      <c r="K109" s="64"/>
      <c r="L109" s="64">
        <f t="shared" si="40"/>
        <v>0</v>
      </c>
      <c r="M109" s="65">
        <f t="shared" si="41"/>
        <v>0</v>
      </c>
      <c r="N109" s="66"/>
      <c r="O109" s="67"/>
      <c r="P109" s="64"/>
      <c r="Q109" s="64"/>
      <c r="R109" s="64">
        <f t="shared" si="42"/>
        <v>0</v>
      </c>
      <c r="S109" s="65">
        <f t="shared" si="43"/>
        <v>0</v>
      </c>
      <c r="T109" s="66"/>
      <c r="U109" s="67"/>
      <c r="V109" s="64"/>
      <c r="W109" s="64"/>
      <c r="X109" s="64">
        <f t="shared" si="44"/>
        <v>0</v>
      </c>
      <c r="Y109" s="65">
        <f t="shared" si="45"/>
        <v>0</v>
      </c>
      <c r="Z109" s="184"/>
      <c r="AA109" s="186"/>
      <c r="AB109" s="191"/>
      <c r="AC109" s="192"/>
    </row>
    <row r="110" spans="1:29" x14ac:dyDescent="0.2">
      <c r="A110" s="193"/>
      <c r="B110" s="161" t="s">
        <v>44</v>
      </c>
      <c r="C110" s="149" t="s">
        <v>67</v>
      </c>
      <c r="D110" s="9">
        <v>21231</v>
      </c>
      <c r="E110" s="9" t="s">
        <v>46</v>
      </c>
      <c r="F110" s="9" t="s">
        <v>130</v>
      </c>
      <c r="G110" s="149" t="s">
        <v>1</v>
      </c>
      <c r="H110" s="36">
        <v>41.35</v>
      </c>
      <c r="I110" s="53">
        <v>0</v>
      </c>
      <c r="J110" s="29">
        <v>0</v>
      </c>
      <c r="K110" s="29">
        <v>12</v>
      </c>
      <c r="L110" s="29">
        <f t="shared" si="40"/>
        <v>0</v>
      </c>
      <c r="M110" s="30">
        <f t="shared" si="41"/>
        <v>0</v>
      </c>
      <c r="N110" s="36">
        <v>41.35</v>
      </c>
      <c r="O110" s="53">
        <v>0</v>
      </c>
      <c r="P110" s="29">
        <v>0</v>
      </c>
      <c r="Q110" s="29">
        <v>12</v>
      </c>
      <c r="R110" s="29">
        <f t="shared" si="42"/>
        <v>0</v>
      </c>
      <c r="S110" s="30">
        <f t="shared" si="43"/>
        <v>0</v>
      </c>
      <c r="T110" s="36">
        <v>41.35</v>
      </c>
      <c r="U110" s="53">
        <v>0</v>
      </c>
      <c r="V110" s="29">
        <v>0</v>
      </c>
      <c r="W110" s="29">
        <v>12</v>
      </c>
      <c r="X110" s="29">
        <f t="shared" si="44"/>
        <v>0</v>
      </c>
      <c r="Y110" s="30">
        <f t="shared" si="45"/>
        <v>0</v>
      </c>
      <c r="Z110" s="151">
        <f>SUM(L110, R110, X110)+SUM(L111, R111, X111)</f>
        <v>0</v>
      </c>
      <c r="AA110" s="151">
        <f>SUM(M110, S110, Y110)+SUM(M111, S111, Y111)</f>
        <v>0</v>
      </c>
      <c r="AB110" s="153">
        <f>IF($Z110=0, ,AA110/$Z110)</f>
        <v>0</v>
      </c>
      <c r="AC110" s="155"/>
    </row>
    <row r="111" spans="1:29" x14ac:dyDescent="0.2">
      <c r="A111" s="193"/>
      <c r="B111" s="162"/>
      <c r="C111" s="150"/>
      <c r="D111" s="9"/>
      <c r="E111" s="9"/>
      <c r="F111" s="9"/>
      <c r="G111" s="150"/>
      <c r="H111" s="36"/>
      <c r="I111" s="53"/>
      <c r="J111" s="29"/>
      <c r="K111" s="29"/>
      <c r="L111" s="29">
        <f t="shared" si="40"/>
        <v>0</v>
      </c>
      <c r="M111" s="30">
        <f t="shared" si="41"/>
        <v>0</v>
      </c>
      <c r="N111" s="36"/>
      <c r="O111" s="53"/>
      <c r="P111" s="29"/>
      <c r="Q111" s="29"/>
      <c r="R111" s="29">
        <f t="shared" si="42"/>
        <v>0</v>
      </c>
      <c r="S111" s="30">
        <f t="shared" si="43"/>
        <v>0</v>
      </c>
      <c r="T111" s="36"/>
      <c r="U111" s="53"/>
      <c r="V111" s="29"/>
      <c r="W111" s="29"/>
      <c r="X111" s="29">
        <f t="shared" si="44"/>
        <v>0</v>
      </c>
      <c r="Y111" s="30">
        <f t="shared" si="45"/>
        <v>0</v>
      </c>
      <c r="Z111" s="152"/>
      <c r="AA111" s="152"/>
      <c r="AB111" s="154"/>
      <c r="AC111" s="156"/>
    </row>
    <row r="112" spans="1:29" x14ac:dyDescent="0.2">
      <c r="A112" s="193"/>
      <c r="B112" s="42"/>
      <c r="C112" s="42"/>
      <c r="D112" s="42"/>
      <c r="E112" s="42"/>
      <c r="F112" s="42"/>
      <c r="G112" s="42"/>
      <c r="H112" s="59"/>
      <c r="I112" s="60"/>
      <c r="J112" s="61"/>
      <c r="K112" s="61"/>
      <c r="L112" s="61"/>
      <c r="M112" s="62"/>
      <c r="N112" s="59"/>
      <c r="O112" s="60"/>
      <c r="P112" s="61"/>
      <c r="Q112" s="61"/>
      <c r="R112" s="61"/>
      <c r="S112" s="62"/>
      <c r="T112" s="59"/>
      <c r="U112" s="60"/>
      <c r="V112" s="61"/>
      <c r="W112" s="61"/>
      <c r="X112" s="61"/>
      <c r="Y112" s="62"/>
      <c r="Z112" s="62"/>
      <c r="AA112" s="62"/>
      <c r="AB112" s="63"/>
      <c r="AC112" s="45"/>
    </row>
    <row r="113" spans="1:29" x14ac:dyDescent="0.2">
      <c r="A113" s="193"/>
      <c r="B113" s="157" t="s">
        <v>32</v>
      </c>
      <c r="C113" s="158"/>
      <c r="D113" s="158"/>
      <c r="E113" s="158"/>
      <c r="F113" s="158"/>
      <c r="G113" s="77" t="s">
        <v>33</v>
      </c>
      <c r="H113" s="159" t="s">
        <v>29</v>
      </c>
      <c r="I113" s="159"/>
      <c r="J113" s="159"/>
      <c r="K113" s="159" t="s">
        <v>41</v>
      </c>
      <c r="L113" s="159"/>
      <c r="M113" s="159"/>
      <c r="N113" s="160" t="s">
        <v>63</v>
      </c>
      <c r="O113" s="159"/>
      <c r="P113" s="159"/>
      <c r="Q113" s="160" t="s">
        <v>62</v>
      </c>
      <c r="R113" s="159"/>
      <c r="S113" s="159"/>
      <c r="T113" s="160" t="s">
        <v>61</v>
      </c>
      <c r="U113" s="159"/>
      <c r="V113" s="159"/>
      <c r="W113" s="159" t="s">
        <v>39</v>
      </c>
      <c r="X113" s="159"/>
      <c r="Y113" s="159"/>
      <c r="Z113" s="159" t="s">
        <v>40</v>
      </c>
      <c r="AA113" s="159"/>
      <c r="AB113" s="159"/>
      <c r="AC113" s="166"/>
    </row>
    <row r="114" spans="1:29" x14ac:dyDescent="0.2">
      <c r="A114" s="193"/>
      <c r="B114" s="157"/>
      <c r="C114" s="158"/>
      <c r="D114" s="158"/>
      <c r="E114" s="158"/>
      <c r="F114" s="158"/>
      <c r="G114" s="77" t="s">
        <v>34</v>
      </c>
      <c r="H114" s="78" t="s">
        <v>35</v>
      </c>
      <c r="I114" s="78" t="s">
        <v>36</v>
      </c>
      <c r="J114" s="79" t="s">
        <v>37</v>
      </c>
      <c r="K114" s="78" t="s">
        <v>35</v>
      </c>
      <c r="L114" s="78" t="s">
        <v>36</v>
      </c>
      <c r="M114" s="79" t="s">
        <v>37</v>
      </c>
      <c r="N114" s="78" t="s">
        <v>35</v>
      </c>
      <c r="O114" s="78" t="s">
        <v>36</v>
      </c>
      <c r="P114" s="79" t="s">
        <v>37</v>
      </c>
      <c r="Q114" s="78" t="s">
        <v>35</v>
      </c>
      <c r="R114" s="78" t="s">
        <v>36</v>
      </c>
      <c r="S114" s="79" t="s">
        <v>37</v>
      </c>
      <c r="T114" s="78" t="s">
        <v>35</v>
      </c>
      <c r="U114" s="78" t="s">
        <v>36</v>
      </c>
      <c r="V114" s="79" t="s">
        <v>37</v>
      </c>
      <c r="W114" s="78" t="s">
        <v>35</v>
      </c>
      <c r="X114" s="78" t="s">
        <v>36</v>
      </c>
      <c r="Y114" s="79" t="s">
        <v>37</v>
      </c>
      <c r="Z114" s="78" t="s">
        <v>35</v>
      </c>
      <c r="AA114" s="78" t="s">
        <v>36</v>
      </c>
      <c r="AB114" s="79" t="s">
        <v>37</v>
      </c>
      <c r="AC114" s="167"/>
    </row>
    <row r="115" spans="1:29" x14ac:dyDescent="0.2">
      <c r="A115" s="193"/>
      <c r="B115" s="168" t="str">
        <f t="shared" ref="B115:C120" si="46">IF(ISBLANK(B106), "-", B106)</f>
        <v>2A</v>
      </c>
      <c r="C115" s="169" t="str">
        <f t="shared" si="46"/>
        <v>JAR-007B</v>
      </c>
      <c r="D115" s="73">
        <v>21231</v>
      </c>
      <c r="E115" s="73" t="str">
        <f t="shared" ref="E115:F120" si="47">IF(ISBLANK(E106), "-", E106)</f>
        <v>White</v>
      </c>
      <c r="F115" s="73" t="str">
        <f t="shared" si="47"/>
        <v>RPET</v>
      </c>
      <c r="G115" s="170"/>
      <c r="H115" s="74">
        <v>200</v>
      </c>
      <c r="I115" s="74"/>
      <c r="J115" s="74"/>
      <c r="K115" s="74"/>
      <c r="L115" s="74"/>
      <c r="M115" s="74"/>
      <c r="N115" s="75"/>
      <c r="O115" s="75"/>
      <c r="P115" s="75"/>
      <c r="Q115" s="75"/>
      <c r="R115" s="75"/>
      <c r="S115" s="74"/>
      <c r="T115" s="75"/>
      <c r="U115" s="75"/>
      <c r="V115" s="75"/>
      <c r="W115" s="75"/>
      <c r="X115" s="75"/>
      <c r="Y115" s="74"/>
      <c r="Z115" s="74"/>
      <c r="AA115" s="74"/>
      <c r="AB115" s="76"/>
      <c r="AC115" s="167"/>
    </row>
    <row r="116" spans="1:29" x14ac:dyDescent="0.2">
      <c r="A116" s="193"/>
      <c r="B116" s="168" t="str">
        <f t="shared" si="46"/>
        <v>-</v>
      </c>
      <c r="C116" s="169" t="str">
        <f t="shared" si="46"/>
        <v>-</v>
      </c>
      <c r="D116" s="73" t="str">
        <f>IF(ISBLANK(D107), "-", D107)</f>
        <v>-</v>
      </c>
      <c r="E116" s="73" t="str">
        <f t="shared" si="47"/>
        <v>-</v>
      </c>
      <c r="F116" s="73" t="str">
        <f t="shared" si="47"/>
        <v>-</v>
      </c>
      <c r="G116" s="171"/>
      <c r="H116" s="75"/>
      <c r="I116" s="75"/>
      <c r="J116" s="75"/>
      <c r="K116" s="75"/>
      <c r="L116" s="75"/>
      <c r="M116" s="74"/>
      <c r="N116" s="75"/>
      <c r="O116" s="75"/>
      <c r="P116" s="75"/>
      <c r="Q116" s="75"/>
      <c r="R116" s="75"/>
      <c r="S116" s="74"/>
      <c r="T116" s="75"/>
      <c r="U116" s="75"/>
      <c r="V116" s="75"/>
      <c r="W116" s="75"/>
      <c r="X116" s="75"/>
      <c r="Y116" s="74"/>
      <c r="Z116" s="74"/>
      <c r="AA116" s="74"/>
      <c r="AB116" s="76"/>
      <c r="AC116" s="167"/>
    </row>
    <row r="117" spans="1:29" x14ac:dyDescent="0.2">
      <c r="A117" s="193"/>
      <c r="B117" s="173" t="str">
        <f t="shared" si="46"/>
        <v>3A</v>
      </c>
      <c r="C117" s="174" t="str">
        <f t="shared" si="46"/>
        <v>JAR-014</v>
      </c>
      <c r="D117" s="102">
        <f>IF(ISBLANK(D108), "-", D108)</f>
        <v>21234</v>
      </c>
      <c r="E117" s="102" t="str">
        <f t="shared" si="47"/>
        <v>White</v>
      </c>
      <c r="F117" s="102" t="str">
        <f t="shared" si="47"/>
        <v>RPET</v>
      </c>
      <c r="G117" s="171"/>
      <c r="H117" s="94">
        <v>30</v>
      </c>
      <c r="I117" s="94"/>
      <c r="J117" s="94"/>
      <c r="K117" s="94"/>
      <c r="L117" s="94"/>
      <c r="M117" s="94"/>
      <c r="N117" s="95"/>
      <c r="O117" s="95"/>
      <c r="P117" s="95"/>
      <c r="Q117" s="95"/>
      <c r="R117" s="95"/>
      <c r="S117" s="94"/>
      <c r="T117" s="95"/>
      <c r="U117" s="95"/>
      <c r="V117" s="95"/>
      <c r="W117" s="95"/>
      <c r="X117" s="95"/>
      <c r="Y117" s="94"/>
      <c r="Z117" s="94"/>
      <c r="AA117" s="94"/>
      <c r="AB117" s="96"/>
      <c r="AC117" s="167"/>
    </row>
    <row r="118" spans="1:29" x14ac:dyDescent="0.2">
      <c r="A118" s="193"/>
      <c r="B118" s="173" t="str">
        <f t="shared" si="46"/>
        <v>-</v>
      </c>
      <c r="C118" s="174" t="str">
        <f t="shared" si="46"/>
        <v>-</v>
      </c>
      <c r="D118" s="102" t="str">
        <f>IF(ISBLANK(D109), "-", D109)</f>
        <v>-</v>
      </c>
      <c r="E118" s="102" t="str">
        <f t="shared" si="47"/>
        <v>-</v>
      </c>
      <c r="F118" s="102" t="str">
        <f t="shared" si="47"/>
        <v>-</v>
      </c>
      <c r="G118" s="171"/>
      <c r="H118" s="95"/>
      <c r="I118" s="95"/>
      <c r="J118" s="95"/>
      <c r="K118" s="95"/>
      <c r="L118" s="95"/>
      <c r="M118" s="94"/>
      <c r="N118" s="95"/>
      <c r="O118" s="95"/>
      <c r="P118" s="95"/>
      <c r="Q118" s="95"/>
      <c r="R118" s="95"/>
      <c r="S118" s="94"/>
      <c r="T118" s="95"/>
      <c r="U118" s="95"/>
      <c r="V118" s="95"/>
      <c r="W118" s="95"/>
      <c r="X118" s="95"/>
      <c r="Y118" s="94"/>
      <c r="Z118" s="94"/>
      <c r="AA118" s="94"/>
      <c r="AB118" s="96"/>
      <c r="AC118" s="167"/>
    </row>
    <row r="119" spans="1:29" x14ac:dyDescent="0.2">
      <c r="A119" s="193"/>
      <c r="B119" s="168" t="str">
        <f t="shared" si="46"/>
        <v>4A</v>
      </c>
      <c r="C119" s="169" t="str">
        <f t="shared" si="46"/>
        <v>JAR-007A</v>
      </c>
      <c r="D119" s="73">
        <f>IF(ISBLANK(D110), "-", D110)</f>
        <v>21231</v>
      </c>
      <c r="E119" s="73" t="str">
        <f t="shared" si="47"/>
        <v>White</v>
      </c>
      <c r="F119" s="73" t="str">
        <f t="shared" si="47"/>
        <v>RPET</v>
      </c>
      <c r="G119" s="171"/>
      <c r="H119" s="75"/>
      <c r="I119" s="75"/>
      <c r="J119" s="75"/>
      <c r="K119" s="75"/>
      <c r="L119" s="75"/>
      <c r="M119" s="74"/>
      <c r="N119" s="75"/>
      <c r="O119" s="75"/>
      <c r="P119" s="75"/>
      <c r="Q119" s="75"/>
      <c r="R119" s="75"/>
      <c r="S119" s="74"/>
      <c r="T119" s="75"/>
      <c r="U119" s="75"/>
      <c r="V119" s="75"/>
      <c r="W119" s="75"/>
      <c r="X119" s="75"/>
      <c r="Y119" s="74"/>
      <c r="Z119" s="74"/>
      <c r="AA119" s="74"/>
      <c r="AB119" s="76"/>
      <c r="AC119" s="167"/>
    </row>
    <row r="120" spans="1:29" x14ac:dyDescent="0.2">
      <c r="A120" s="193"/>
      <c r="B120" s="168" t="str">
        <f t="shared" si="46"/>
        <v>-</v>
      </c>
      <c r="C120" s="169" t="str">
        <f t="shared" si="46"/>
        <v>-</v>
      </c>
      <c r="D120" s="73" t="str">
        <f>IF(ISBLANK(D111), "-", D111)</f>
        <v>-</v>
      </c>
      <c r="E120" s="73" t="str">
        <f t="shared" si="47"/>
        <v>-</v>
      </c>
      <c r="F120" s="73" t="str">
        <f t="shared" si="47"/>
        <v>-</v>
      </c>
      <c r="G120" s="172"/>
      <c r="H120" s="75"/>
      <c r="I120" s="75"/>
      <c r="J120" s="75"/>
      <c r="K120" s="75"/>
      <c r="L120" s="75"/>
      <c r="M120" s="74"/>
      <c r="N120" s="75"/>
      <c r="O120" s="75"/>
      <c r="P120" s="75"/>
      <c r="Q120" s="75"/>
      <c r="R120" s="75"/>
      <c r="S120" s="74"/>
      <c r="T120" s="75"/>
      <c r="U120" s="75"/>
      <c r="V120" s="75"/>
      <c r="W120" s="75"/>
      <c r="X120" s="75"/>
      <c r="Y120" s="74"/>
      <c r="Z120" s="74"/>
      <c r="AA120" s="74"/>
      <c r="AB120" s="76"/>
      <c r="AC120" s="167"/>
    </row>
    <row r="122" spans="1:29" x14ac:dyDescent="0.2">
      <c r="A122" s="193">
        <v>44719</v>
      </c>
      <c r="B122" s="16" t="s">
        <v>20</v>
      </c>
      <c r="C122" s="17"/>
      <c r="D122" s="18" t="s">
        <v>21</v>
      </c>
      <c r="E122" s="17">
        <v>0</v>
      </c>
      <c r="F122" s="24"/>
      <c r="G122" s="25"/>
      <c r="H122" s="38"/>
      <c r="I122" s="51"/>
      <c r="J122" s="57"/>
      <c r="K122" s="25"/>
      <c r="L122" s="18"/>
      <c r="M122" s="25"/>
      <c r="N122" s="38"/>
      <c r="O122" s="51"/>
      <c r="P122" s="57"/>
      <c r="Q122" s="25"/>
      <c r="R122" s="18"/>
      <c r="S122" s="25"/>
      <c r="T122" s="38"/>
      <c r="U122" s="51"/>
      <c r="V122" s="57"/>
      <c r="W122" s="25"/>
      <c r="X122" s="18"/>
      <c r="Y122" s="18"/>
      <c r="Z122" s="25"/>
      <c r="AA122" s="18"/>
      <c r="AB122" s="18"/>
      <c r="AC122" s="26"/>
    </row>
    <row r="123" spans="1:29" x14ac:dyDescent="0.2">
      <c r="A123" s="193"/>
      <c r="B123" s="157" t="s">
        <v>3</v>
      </c>
      <c r="C123" s="158" t="s">
        <v>0</v>
      </c>
      <c r="D123" s="158" t="s">
        <v>10</v>
      </c>
      <c r="E123" s="158" t="s">
        <v>4</v>
      </c>
      <c r="F123" s="158" t="s">
        <v>9</v>
      </c>
      <c r="G123" s="180" t="s">
        <v>5</v>
      </c>
      <c r="H123" s="187" t="s">
        <v>6</v>
      </c>
      <c r="I123" s="188"/>
      <c r="J123" s="188"/>
      <c r="K123" s="188"/>
      <c r="L123" s="188"/>
      <c r="M123" s="189"/>
      <c r="N123" s="187" t="s">
        <v>7</v>
      </c>
      <c r="O123" s="188"/>
      <c r="P123" s="188"/>
      <c r="Q123" s="188"/>
      <c r="R123" s="188"/>
      <c r="S123" s="189"/>
      <c r="T123" s="187" t="s">
        <v>8</v>
      </c>
      <c r="U123" s="188"/>
      <c r="V123" s="188"/>
      <c r="W123" s="188"/>
      <c r="X123" s="188"/>
      <c r="Y123" s="189"/>
      <c r="Z123" s="163" t="s">
        <v>16</v>
      </c>
      <c r="AA123" s="163" t="s">
        <v>66</v>
      </c>
      <c r="AB123" s="163" t="s">
        <v>27</v>
      </c>
      <c r="AC123" s="181" t="s">
        <v>11</v>
      </c>
    </row>
    <row r="124" spans="1:29" ht="39.75" customHeight="1" x14ac:dyDescent="0.2">
      <c r="A124" s="193"/>
      <c r="B124" s="157"/>
      <c r="C124" s="158"/>
      <c r="D124" s="158"/>
      <c r="E124" s="158"/>
      <c r="F124" s="158"/>
      <c r="G124" s="180"/>
      <c r="H124" s="39" t="s">
        <v>24</v>
      </c>
      <c r="I124" s="98" t="s">
        <v>25</v>
      </c>
      <c r="J124" s="99" t="s">
        <v>28</v>
      </c>
      <c r="K124" s="100" t="s">
        <v>22</v>
      </c>
      <c r="L124" s="101" t="s">
        <v>2</v>
      </c>
      <c r="M124" s="27" t="s">
        <v>14</v>
      </c>
      <c r="N124" s="39" t="s">
        <v>24</v>
      </c>
      <c r="O124" s="98" t="s">
        <v>25</v>
      </c>
      <c r="P124" s="99" t="s">
        <v>28</v>
      </c>
      <c r="Q124" s="100" t="s">
        <v>22</v>
      </c>
      <c r="R124" s="27" t="s">
        <v>2</v>
      </c>
      <c r="S124" s="27" t="s">
        <v>14</v>
      </c>
      <c r="T124" s="39" t="s">
        <v>24</v>
      </c>
      <c r="U124" s="98" t="s">
        <v>25</v>
      </c>
      <c r="V124" s="99" t="s">
        <v>28</v>
      </c>
      <c r="W124" s="100" t="s">
        <v>22</v>
      </c>
      <c r="X124" s="27" t="s">
        <v>2</v>
      </c>
      <c r="Y124" s="27" t="s">
        <v>14</v>
      </c>
      <c r="Z124" s="164"/>
      <c r="AA124" s="165"/>
      <c r="AB124" s="165"/>
      <c r="AC124" s="182"/>
    </row>
    <row r="125" spans="1:29" x14ac:dyDescent="0.2">
      <c r="A125" s="193"/>
      <c r="B125" s="194" t="s">
        <v>42</v>
      </c>
      <c r="C125" s="196" t="s">
        <v>45</v>
      </c>
      <c r="D125" s="11">
        <v>21231</v>
      </c>
      <c r="E125" s="11" t="s">
        <v>46</v>
      </c>
      <c r="F125" s="11" t="s">
        <v>130</v>
      </c>
      <c r="G125" s="196" t="s">
        <v>1</v>
      </c>
      <c r="H125" s="34">
        <v>41.45</v>
      </c>
      <c r="I125" s="49">
        <v>8</v>
      </c>
      <c r="J125" s="28">
        <v>687</v>
      </c>
      <c r="K125" s="28">
        <v>12</v>
      </c>
      <c r="L125" s="28">
        <f t="shared" ref="L125:L130" si="48">IF(ISBLANK(J125), , J125*K125)</f>
        <v>8244</v>
      </c>
      <c r="M125" s="23">
        <f t="shared" ref="M125:M130" si="49">H134+K134+N134+Q134+T134+W134+Z134</f>
        <v>20</v>
      </c>
      <c r="N125" s="34">
        <v>41.45</v>
      </c>
      <c r="O125" s="49">
        <v>8</v>
      </c>
      <c r="P125" s="28">
        <v>702</v>
      </c>
      <c r="Q125" s="28">
        <v>12</v>
      </c>
      <c r="R125" s="28">
        <f t="shared" ref="R125:R130" si="50">IF(ISBLANK(P125), , P125*Q125)</f>
        <v>8424</v>
      </c>
      <c r="S125" s="23">
        <f t="shared" ref="S125:S130" si="51">I134+L134+O134+R134+U134+X134+AA134</f>
        <v>5</v>
      </c>
      <c r="T125" s="34">
        <v>41.45</v>
      </c>
      <c r="U125" s="49">
        <v>8</v>
      </c>
      <c r="V125" s="28">
        <v>697</v>
      </c>
      <c r="W125" s="28">
        <v>12</v>
      </c>
      <c r="X125" s="28">
        <f t="shared" ref="X125:X130" si="52">IF(ISBLANK(V125), , V125*W125)</f>
        <v>8364</v>
      </c>
      <c r="Y125" s="23">
        <f t="shared" ref="Y125:Y130" si="53">J134+M134+P134+S134+V134+Y134+AB134</f>
        <v>10</v>
      </c>
      <c r="Z125" s="151">
        <f>SUM(L125, R125, X125)+SUM(L126, R126, X126)</f>
        <v>25032</v>
      </c>
      <c r="AA125" s="151">
        <f>SUM(M125, S125, Y125)+SUM(M126, S126, Y126)</f>
        <v>35</v>
      </c>
      <c r="AB125" s="153">
        <f>IF($Z125=0, ,AA125/$Z125)</f>
        <v>1.3982102908277406E-3</v>
      </c>
      <c r="AC125" s="179"/>
    </row>
    <row r="126" spans="1:29" x14ac:dyDescent="0.2">
      <c r="A126" s="193"/>
      <c r="B126" s="195"/>
      <c r="C126" s="197"/>
      <c r="D126" s="11"/>
      <c r="E126" s="11"/>
      <c r="F126" s="11"/>
      <c r="G126" s="198"/>
      <c r="H126" s="34"/>
      <c r="I126" s="49"/>
      <c r="J126" s="28"/>
      <c r="K126" s="28"/>
      <c r="L126" s="28">
        <f t="shared" si="48"/>
        <v>0</v>
      </c>
      <c r="M126" s="23">
        <f t="shared" si="49"/>
        <v>0</v>
      </c>
      <c r="N126" s="34"/>
      <c r="O126" s="49"/>
      <c r="P126" s="28"/>
      <c r="Q126" s="28"/>
      <c r="R126" s="28">
        <f t="shared" si="50"/>
        <v>0</v>
      </c>
      <c r="S126" s="23">
        <f t="shared" si="51"/>
        <v>0</v>
      </c>
      <c r="T126" s="34"/>
      <c r="U126" s="49"/>
      <c r="V126" s="28"/>
      <c r="W126" s="28"/>
      <c r="X126" s="28">
        <f t="shared" si="52"/>
        <v>0</v>
      </c>
      <c r="Y126" s="23">
        <f t="shared" si="53"/>
        <v>0</v>
      </c>
      <c r="Z126" s="152"/>
      <c r="AA126" s="152"/>
      <c r="AB126" s="154"/>
      <c r="AC126" s="155"/>
    </row>
    <row r="127" spans="1:29" x14ac:dyDescent="0.2">
      <c r="A127" s="193"/>
      <c r="B127" s="175" t="s">
        <v>43</v>
      </c>
      <c r="C127" s="177" t="s">
        <v>65</v>
      </c>
      <c r="D127" s="10">
        <v>21234</v>
      </c>
      <c r="E127" s="10" t="s">
        <v>46</v>
      </c>
      <c r="F127" s="10" t="s">
        <v>130</v>
      </c>
      <c r="G127" s="177" t="s">
        <v>1</v>
      </c>
      <c r="H127" s="35">
        <v>41.6</v>
      </c>
      <c r="I127" s="52">
        <v>8</v>
      </c>
      <c r="J127" s="64">
        <v>671</v>
      </c>
      <c r="K127" s="64">
        <v>12</v>
      </c>
      <c r="L127" s="64">
        <f t="shared" si="48"/>
        <v>8052</v>
      </c>
      <c r="M127" s="65">
        <f t="shared" si="49"/>
        <v>10</v>
      </c>
      <c r="N127" s="66">
        <v>41.6</v>
      </c>
      <c r="O127" s="67">
        <v>8</v>
      </c>
      <c r="P127" s="64">
        <v>697</v>
      </c>
      <c r="Q127" s="64">
        <v>12</v>
      </c>
      <c r="R127" s="64">
        <f t="shared" si="50"/>
        <v>8364</v>
      </c>
      <c r="S127" s="65">
        <f t="shared" si="51"/>
        <v>5</v>
      </c>
      <c r="T127" s="66">
        <v>41.6</v>
      </c>
      <c r="U127" s="67">
        <v>8</v>
      </c>
      <c r="V127" s="64">
        <v>690</v>
      </c>
      <c r="W127" s="64">
        <v>12</v>
      </c>
      <c r="X127" s="64">
        <f t="shared" si="52"/>
        <v>8280</v>
      </c>
      <c r="Y127" s="65">
        <f t="shared" si="53"/>
        <v>10</v>
      </c>
      <c r="Z127" s="183">
        <f>SUM(L127, R127, X127)+SUM(L128, R128, X128)</f>
        <v>24696</v>
      </c>
      <c r="AA127" s="185">
        <f>SUM(M127, S127, Y127)+SUM(M128, S128, Y128)</f>
        <v>25</v>
      </c>
      <c r="AB127" s="190">
        <f>IF($Z127=0, ,AA127/$Z127)</f>
        <v>1.0123096857790736E-3</v>
      </c>
      <c r="AC127" s="192"/>
    </row>
    <row r="128" spans="1:29" x14ac:dyDescent="0.2">
      <c r="A128" s="193"/>
      <c r="B128" s="176"/>
      <c r="C128" s="178"/>
      <c r="D128" s="10"/>
      <c r="E128" s="10"/>
      <c r="F128" s="10"/>
      <c r="G128" s="178"/>
      <c r="H128" s="35"/>
      <c r="I128" s="52"/>
      <c r="J128" s="64"/>
      <c r="K128" s="64"/>
      <c r="L128" s="64">
        <f t="shared" si="48"/>
        <v>0</v>
      </c>
      <c r="M128" s="65">
        <f t="shared" si="49"/>
        <v>0</v>
      </c>
      <c r="N128" s="66"/>
      <c r="O128" s="67"/>
      <c r="P128" s="64"/>
      <c r="Q128" s="64"/>
      <c r="R128" s="64">
        <f t="shared" si="50"/>
        <v>0</v>
      </c>
      <c r="S128" s="65">
        <f t="shared" si="51"/>
        <v>0</v>
      </c>
      <c r="T128" s="66"/>
      <c r="U128" s="67"/>
      <c r="V128" s="64"/>
      <c r="W128" s="64"/>
      <c r="X128" s="64">
        <f t="shared" si="52"/>
        <v>0</v>
      </c>
      <c r="Y128" s="65">
        <f t="shared" si="53"/>
        <v>0</v>
      </c>
      <c r="Z128" s="184"/>
      <c r="AA128" s="186"/>
      <c r="AB128" s="191"/>
      <c r="AC128" s="192"/>
    </row>
    <row r="129" spans="1:29" x14ac:dyDescent="0.2">
      <c r="A129" s="193"/>
      <c r="B129" s="161" t="s">
        <v>44</v>
      </c>
      <c r="C129" s="149" t="s">
        <v>67</v>
      </c>
      <c r="D129" s="9">
        <v>21231</v>
      </c>
      <c r="E129" s="9" t="s">
        <v>46</v>
      </c>
      <c r="F129" s="9" t="s">
        <v>130</v>
      </c>
      <c r="G129" s="149" t="s">
        <v>1</v>
      </c>
      <c r="H129" s="36">
        <v>41.35</v>
      </c>
      <c r="I129" s="53">
        <v>0</v>
      </c>
      <c r="J129" s="29">
        <v>0</v>
      </c>
      <c r="K129" s="29">
        <v>12</v>
      </c>
      <c r="L129" s="29">
        <f t="shared" si="48"/>
        <v>0</v>
      </c>
      <c r="M129" s="30">
        <f t="shared" si="49"/>
        <v>0</v>
      </c>
      <c r="N129" s="36">
        <v>41.35</v>
      </c>
      <c r="O129" s="53">
        <v>0</v>
      </c>
      <c r="P129" s="29">
        <v>0</v>
      </c>
      <c r="Q129" s="29">
        <v>12</v>
      </c>
      <c r="R129" s="29">
        <f t="shared" si="50"/>
        <v>0</v>
      </c>
      <c r="S129" s="30">
        <f t="shared" si="51"/>
        <v>0</v>
      </c>
      <c r="T129" s="36">
        <v>41.35</v>
      </c>
      <c r="U129" s="53">
        <v>0</v>
      </c>
      <c r="V129" s="29">
        <v>0</v>
      </c>
      <c r="W129" s="29">
        <v>12</v>
      </c>
      <c r="X129" s="29">
        <f t="shared" si="52"/>
        <v>0</v>
      </c>
      <c r="Y129" s="30">
        <f t="shared" si="53"/>
        <v>0</v>
      </c>
      <c r="Z129" s="151">
        <f>SUM(L129, R129, X129)+SUM(L130, R130, X130)</f>
        <v>0</v>
      </c>
      <c r="AA129" s="151">
        <f>SUM(M129, S129, Y129)+SUM(M130, S130, Y130)</f>
        <v>0</v>
      </c>
      <c r="AB129" s="153">
        <f>IF($Z129=0, ,AA129/$Z129)</f>
        <v>0</v>
      </c>
      <c r="AC129" s="155"/>
    </row>
    <row r="130" spans="1:29" x14ac:dyDescent="0.2">
      <c r="A130" s="193"/>
      <c r="B130" s="162"/>
      <c r="C130" s="150"/>
      <c r="D130" s="9"/>
      <c r="E130" s="9"/>
      <c r="F130" s="9"/>
      <c r="G130" s="150"/>
      <c r="H130" s="36"/>
      <c r="I130" s="53"/>
      <c r="J130" s="29"/>
      <c r="K130" s="29"/>
      <c r="L130" s="29">
        <f t="shared" si="48"/>
        <v>0</v>
      </c>
      <c r="M130" s="30">
        <f t="shared" si="49"/>
        <v>0</v>
      </c>
      <c r="N130" s="36"/>
      <c r="O130" s="53"/>
      <c r="P130" s="29"/>
      <c r="Q130" s="29"/>
      <c r="R130" s="29">
        <f t="shared" si="50"/>
        <v>0</v>
      </c>
      <c r="S130" s="30">
        <f t="shared" si="51"/>
        <v>0</v>
      </c>
      <c r="T130" s="36"/>
      <c r="U130" s="53"/>
      <c r="V130" s="29"/>
      <c r="W130" s="29"/>
      <c r="X130" s="29">
        <f t="shared" si="52"/>
        <v>0</v>
      </c>
      <c r="Y130" s="30">
        <f t="shared" si="53"/>
        <v>0</v>
      </c>
      <c r="Z130" s="152"/>
      <c r="AA130" s="152"/>
      <c r="AB130" s="154"/>
      <c r="AC130" s="156"/>
    </row>
    <row r="131" spans="1:29" x14ac:dyDescent="0.2">
      <c r="A131" s="193"/>
      <c r="B131" s="42"/>
      <c r="C131" s="42"/>
      <c r="D131" s="42"/>
      <c r="E131" s="42"/>
      <c r="F131" s="42"/>
      <c r="G131" s="42"/>
      <c r="H131" s="59"/>
      <c r="I131" s="60"/>
      <c r="J131" s="61"/>
      <c r="K131" s="61"/>
      <c r="L131" s="61"/>
      <c r="M131" s="62"/>
      <c r="N131" s="59"/>
      <c r="O131" s="60"/>
      <c r="P131" s="61"/>
      <c r="Q131" s="61"/>
      <c r="R131" s="61"/>
      <c r="S131" s="62"/>
      <c r="T131" s="59"/>
      <c r="U131" s="60"/>
      <c r="V131" s="61"/>
      <c r="W131" s="61"/>
      <c r="X131" s="61"/>
      <c r="Y131" s="62"/>
      <c r="Z131" s="62"/>
      <c r="AA131" s="62"/>
      <c r="AB131" s="63"/>
      <c r="AC131" s="45"/>
    </row>
    <row r="132" spans="1:29" x14ac:dyDescent="0.2">
      <c r="A132" s="193"/>
      <c r="B132" s="157" t="s">
        <v>32</v>
      </c>
      <c r="C132" s="158"/>
      <c r="D132" s="158"/>
      <c r="E132" s="158"/>
      <c r="F132" s="158"/>
      <c r="G132" s="77" t="s">
        <v>33</v>
      </c>
      <c r="H132" s="159" t="s">
        <v>29</v>
      </c>
      <c r="I132" s="159"/>
      <c r="J132" s="159"/>
      <c r="K132" s="159" t="s">
        <v>41</v>
      </c>
      <c r="L132" s="159"/>
      <c r="M132" s="159"/>
      <c r="N132" s="160" t="s">
        <v>63</v>
      </c>
      <c r="O132" s="159"/>
      <c r="P132" s="159"/>
      <c r="Q132" s="160" t="s">
        <v>62</v>
      </c>
      <c r="R132" s="159"/>
      <c r="S132" s="159"/>
      <c r="T132" s="160" t="s">
        <v>61</v>
      </c>
      <c r="U132" s="159"/>
      <c r="V132" s="159"/>
      <c r="W132" s="159" t="s">
        <v>39</v>
      </c>
      <c r="X132" s="159"/>
      <c r="Y132" s="159"/>
      <c r="Z132" s="159" t="s">
        <v>40</v>
      </c>
      <c r="AA132" s="159"/>
      <c r="AB132" s="159"/>
      <c r="AC132" s="166"/>
    </row>
    <row r="133" spans="1:29" x14ac:dyDescent="0.2">
      <c r="A133" s="193"/>
      <c r="B133" s="157"/>
      <c r="C133" s="158"/>
      <c r="D133" s="158"/>
      <c r="E133" s="158"/>
      <c r="F133" s="158"/>
      <c r="G133" s="77" t="s">
        <v>34</v>
      </c>
      <c r="H133" s="78" t="s">
        <v>35</v>
      </c>
      <c r="I133" s="78" t="s">
        <v>36</v>
      </c>
      <c r="J133" s="79" t="s">
        <v>37</v>
      </c>
      <c r="K133" s="78" t="s">
        <v>35</v>
      </c>
      <c r="L133" s="78" t="s">
        <v>36</v>
      </c>
      <c r="M133" s="79" t="s">
        <v>37</v>
      </c>
      <c r="N133" s="78" t="s">
        <v>35</v>
      </c>
      <c r="O133" s="78" t="s">
        <v>36</v>
      </c>
      <c r="P133" s="79" t="s">
        <v>37</v>
      </c>
      <c r="Q133" s="78" t="s">
        <v>35</v>
      </c>
      <c r="R133" s="78" t="s">
        <v>36</v>
      </c>
      <c r="S133" s="79" t="s">
        <v>37</v>
      </c>
      <c r="T133" s="78" t="s">
        <v>35</v>
      </c>
      <c r="U133" s="78" t="s">
        <v>36</v>
      </c>
      <c r="V133" s="79" t="s">
        <v>37</v>
      </c>
      <c r="W133" s="78" t="s">
        <v>35</v>
      </c>
      <c r="X133" s="78" t="s">
        <v>36</v>
      </c>
      <c r="Y133" s="79" t="s">
        <v>37</v>
      </c>
      <c r="Z133" s="78" t="s">
        <v>35</v>
      </c>
      <c r="AA133" s="78" t="s">
        <v>36</v>
      </c>
      <c r="AB133" s="79" t="s">
        <v>37</v>
      </c>
      <c r="AC133" s="167"/>
    </row>
    <row r="134" spans="1:29" x14ac:dyDescent="0.2">
      <c r="A134" s="193"/>
      <c r="B134" s="168" t="str">
        <f t="shared" ref="B134:C139" si="54">IF(ISBLANK(B125), "-", B125)</f>
        <v>2A</v>
      </c>
      <c r="C134" s="169" t="str">
        <f t="shared" si="54"/>
        <v>JAR-007B</v>
      </c>
      <c r="D134" s="73">
        <v>21231</v>
      </c>
      <c r="E134" s="73" t="str">
        <f t="shared" ref="E134:F139" si="55">IF(ISBLANK(E125), "-", E125)</f>
        <v>White</v>
      </c>
      <c r="F134" s="73" t="str">
        <f t="shared" si="55"/>
        <v>RPET</v>
      </c>
      <c r="G134" s="170"/>
      <c r="H134" s="74">
        <v>20</v>
      </c>
      <c r="I134" s="74">
        <v>5</v>
      </c>
      <c r="J134" s="74">
        <v>10</v>
      </c>
      <c r="K134" s="74"/>
      <c r="L134" s="74"/>
      <c r="M134" s="74"/>
      <c r="N134" s="75"/>
      <c r="O134" s="75"/>
      <c r="P134" s="75"/>
      <c r="Q134" s="75"/>
      <c r="R134" s="75"/>
      <c r="S134" s="74"/>
      <c r="T134" s="75"/>
      <c r="U134" s="75"/>
      <c r="V134" s="75"/>
      <c r="W134" s="75"/>
      <c r="X134" s="75"/>
      <c r="Y134" s="74"/>
      <c r="Z134" s="74"/>
      <c r="AA134" s="74"/>
      <c r="AB134" s="76"/>
      <c r="AC134" s="167"/>
    </row>
    <row r="135" spans="1:29" x14ac:dyDescent="0.2">
      <c r="A135" s="193"/>
      <c r="B135" s="168" t="str">
        <f t="shared" si="54"/>
        <v>-</v>
      </c>
      <c r="C135" s="169" t="str">
        <f t="shared" si="54"/>
        <v>-</v>
      </c>
      <c r="D135" s="73" t="str">
        <f>IF(ISBLANK(D126), "-", D126)</f>
        <v>-</v>
      </c>
      <c r="E135" s="73" t="str">
        <f t="shared" si="55"/>
        <v>-</v>
      </c>
      <c r="F135" s="73" t="str">
        <f t="shared" si="55"/>
        <v>-</v>
      </c>
      <c r="G135" s="171"/>
      <c r="H135" s="75"/>
      <c r="I135" s="75"/>
      <c r="J135" s="75"/>
      <c r="K135" s="75"/>
      <c r="L135" s="75"/>
      <c r="M135" s="74"/>
      <c r="N135" s="75"/>
      <c r="O135" s="75"/>
      <c r="P135" s="75"/>
      <c r="Q135" s="75"/>
      <c r="R135" s="75"/>
      <c r="S135" s="74"/>
      <c r="T135" s="75"/>
      <c r="U135" s="75"/>
      <c r="V135" s="75"/>
      <c r="W135" s="75"/>
      <c r="X135" s="75"/>
      <c r="Y135" s="74"/>
      <c r="Z135" s="74"/>
      <c r="AA135" s="74"/>
      <c r="AB135" s="76"/>
      <c r="AC135" s="167"/>
    </row>
    <row r="136" spans="1:29" x14ac:dyDescent="0.2">
      <c r="A136" s="193"/>
      <c r="B136" s="173" t="str">
        <f t="shared" si="54"/>
        <v>3A</v>
      </c>
      <c r="C136" s="174" t="str">
        <f t="shared" si="54"/>
        <v>JAR-014</v>
      </c>
      <c r="D136" s="102">
        <f>IF(ISBLANK(D127), "-", D127)</f>
        <v>21234</v>
      </c>
      <c r="E136" s="102" t="str">
        <f t="shared" si="55"/>
        <v>White</v>
      </c>
      <c r="F136" s="102" t="str">
        <f t="shared" si="55"/>
        <v>RPET</v>
      </c>
      <c r="G136" s="171"/>
      <c r="H136" s="94">
        <v>10</v>
      </c>
      <c r="I136" s="94">
        <v>5</v>
      </c>
      <c r="J136" s="94">
        <v>10</v>
      </c>
      <c r="K136" s="94"/>
      <c r="L136" s="94"/>
      <c r="M136" s="94"/>
      <c r="N136" s="95"/>
      <c r="O136" s="95"/>
      <c r="P136" s="95"/>
      <c r="Q136" s="95"/>
      <c r="R136" s="95"/>
      <c r="S136" s="94"/>
      <c r="T136" s="95"/>
      <c r="U136" s="95"/>
      <c r="V136" s="95"/>
      <c r="W136" s="95"/>
      <c r="X136" s="95"/>
      <c r="Y136" s="94"/>
      <c r="Z136" s="94"/>
      <c r="AA136" s="94"/>
      <c r="AB136" s="96"/>
      <c r="AC136" s="167"/>
    </row>
    <row r="137" spans="1:29" x14ac:dyDescent="0.2">
      <c r="A137" s="193"/>
      <c r="B137" s="173" t="str">
        <f t="shared" si="54"/>
        <v>-</v>
      </c>
      <c r="C137" s="174" t="str">
        <f t="shared" si="54"/>
        <v>-</v>
      </c>
      <c r="D137" s="102" t="str">
        <f>IF(ISBLANK(D128), "-", D128)</f>
        <v>-</v>
      </c>
      <c r="E137" s="102" t="str">
        <f t="shared" si="55"/>
        <v>-</v>
      </c>
      <c r="F137" s="102" t="str">
        <f t="shared" si="55"/>
        <v>-</v>
      </c>
      <c r="G137" s="171"/>
      <c r="H137" s="95"/>
      <c r="I137" s="95"/>
      <c r="J137" s="95"/>
      <c r="K137" s="95"/>
      <c r="L137" s="95"/>
      <c r="M137" s="94"/>
      <c r="N137" s="95"/>
      <c r="O137" s="95"/>
      <c r="P137" s="95"/>
      <c r="Q137" s="95"/>
      <c r="R137" s="95"/>
      <c r="S137" s="94"/>
      <c r="T137" s="95"/>
      <c r="U137" s="95"/>
      <c r="V137" s="95"/>
      <c r="W137" s="95"/>
      <c r="X137" s="95"/>
      <c r="Y137" s="94"/>
      <c r="Z137" s="94"/>
      <c r="AA137" s="94"/>
      <c r="AB137" s="96"/>
      <c r="AC137" s="167"/>
    </row>
    <row r="138" spans="1:29" x14ac:dyDescent="0.2">
      <c r="A138" s="193"/>
      <c r="B138" s="168" t="str">
        <f t="shared" si="54"/>
        <v>4A</v>
      </c>
      <c r="C138" s="169" t="str">
        <f t="shared" si="54"/>
        <v>JAR-007A</v>
      </c>
      <c r="D138" s="73">
        <f>IF(ISBLANK(D129), "-", D129)</f>
        <v>21231</v>
      </c>
      <c r="E138" s="73" t="str">
        <f t="shared" si="55"/>
        <v>White</v>
      </c>
      <c r="F138" s="73" t="str">
        <f t="shared" si="55"/>
        <v>RPET</v>
      </c>
      <c r="G138" s="171"/>
      <c r="H138" s="75"/>
      <c r="I138" s="75"/>
      <c r="J138" s="75"/>
      <c r="K138" s="75"/>
      <c r="L138" s="75"/>
      <c r="M138" s="74"/>
      <c r="N138" s="75"/>
      <c r="O138" s="75"/>
      <c r="P138" s="75"/>
      <c r="Q138" s="75"/>
      <c r="R138" s="75"/>
      <c r="S138" s="74"/>
      <c r="T138" s="75"/>
      <c r="U138" s="75"/>
      <c r="V138" s="75"/>
      <c r="W138" s="75"/>
      <c r="X138" s="75"/>
      <c r="Y138" s="74"/>
      <c r="Z138" s="74"/>
      <c r="AA138" s="74"/>
      <c r="AB138" s="76"/>
      <c r="AC138" s="167"/>
    </row>
    <row r="139" spans="1:29" x14ac:dyDescent="0.2">
      <c r="A139" s="193"/>
      <c r="B139" s="168" t="str">
        <f t="shared" si="54"/>
        <v>-</v>
      </c>
      <c r="C139" s="169" t="str">
        <f t="shared" si="54"/>
        <v>-</v>
      </c>
      <c r="D139" s="73" t="str">
        <f>IF(ISBLANK(D130), "-", D130)</f>
        <v>-</v>
      </c>
      <c r="E139" s="73" t="str">
        <f t="shared" si="55"/>
        <v>-</v>
      </c>
      <c r="F139" s="73" t="str">
        <f t="shared" si="55"/>
        <v>-</v>
      </c>
      <c r="G139" s="172"/>
      <c r="H139" s="75"/>
      <c r="I139" s="75"/>
      <c r="J139" s="75"/>
      <c r="K139" s="75"/>
      <c r="L139" s="75"/>
      <c r="M139" s="74"/>
      <c r="N139" s="75"/>
      <c r="O139" s="75"/>
      <c r="P139" s="75"/>
      <c r="Q139" s="75"/>
      <c r="R139" s="75"/>
      <c r="S139" s="74"/>
      <c r="T139" s="75"/>
      <c r="U139" s="75"/>
      <c r="V139" s="75"/>
      <c r="W139" s="75"/>
      <c r="X139" s="75"/>
      <c r="Y139" s="74"/>
      <c r="Z139" s="74"/>
      <c r="AA139" s="74"/>
      <c r="AB139" s="76"/>
      <c r="AC139" s="167"/>
    </row>
    <row r="141" spans="1:29" x14ac:dyDescent="0.2">
      <c r="A141" s="193">
        <v>44720</v>
      </c>
      <c r="B141" s="16" t="s">
        <v>20</v>
      </c>
      <c r="C141" s="17"/>
      <c r="D141" s="18" t="s">
        <v>21</v>
      </c>
      <c r="E141" s="17">
        <v>0</v>
      </c>
      <c r="F141" s="24"/>
      <c r="G141" s="25"/>
      <c r="H141" s="38"/>
      <c r="I141" s="51"/>
      <c r="J141" s="57"/>
      <c r="K141" s="25"/>
      <c r="L141" s="18"/>
      <c r="M141" s="25"/>
      <c r="N141" s="38"/>
      <c r="O141" s="51"/>
      <c r="P141" s="57"/>
      <c r="Q141" s="25"/>
      <c r="R141" s="18"/>
      <c r="S141" s="25"/>
      <c r="T141" s="38"/>
      <c r="U141" s="51"/>
      <c r="V141" s="57"/>
      <c r="W141" s="25"/>
      <c r="X141" s="18"/>
      <c r="Y141" s="18"/>
      <c r="Z141" s="25"/>
      <c r="AA141" s="18"/>
      <c r="AB141" s="18"/>
      <c r="AC141" s="26"/>
    </row>
    <row r="142" spans="1:29" x14ac:dyDescent="0.2">
      <c r="A142" s="193"/>
      <c r="B142" s="157" t="s">
        <v>3</v>
      </c>
      <c r="C142" s="158" t="s">
        <v>0</v>
      </c>
      <c r="D142" s="158" t="s">
        <v>10</v>
      </c>
      <c r="E142" s="158" t="s">
        <v>4</v>
      </c>
      <c r="F142" s="158" t="s">
        <v>9</v>
      </c>
      <c r="G142" s="180" t="s">
        <v>5</v>
      </c>
      <c r="H142" s="187" t="s">
        <v>6</v>
      </c>
      <c r="I142" s="188"/>
      <c r="J142" s="188"/>
      <c r="K142" s="188"/>
      <c r="L142" s="188"/>
      <c r="M142" s="189"/>
      <c r="N142" s="187" t="s">
        <v>7</v>
      </c>
      <c r="O142" s="188"/>
      <c r="P142" s="188"/>
      <c r="Q142" s="188"/>
      <c r="R142" s="188"/>
      <c r="S142" s="189"/>
      <c r="T142" s="187" t="s">
        <v>8</v>
      </c>
      <c r="U142" s="188"/>
      <c r="V142" s="188"/>
      <c r="W142" s="188"/>
      <c r="X142" s="188"/>
      <c r="Y142" s="189"/>
      <c r="Z142" s="163" t="s">
        <v>16</v>
      </c>
      <c r="AA142" s="163" t="s">
        <v>66</v>
      </c>
      <c r="AB142" s="163" t="s">
        <v>27</v>
      </c>
      <c r="AC142" s="181" t="s">
        <v>11</v>
      </c>
    </row>
    <row r="143" spans="1:29" ht="46.5" customHeight="1" x14ac:dyDescent="0.2">
      <c r="A143" s="193"/>
      <c r="B143" s="157"/>
      <c r="C143" s="158"/>
      <c r="D143" s="158"/>
      <c r="E143" s="158"/>
      <c r="F143" s="158"/>
      <c r="G143" s="180"/>
      <c r="H143" s="39" t="s">
        <v>24</v>
      </c>
      <c r="I143" s="98" t="s">
        <v>25</v>
      </c>
      <c r="J143" s="99" t="s">
        <v>28</v>
      </c>
      <c r="K143" s="100" t="s">
        <v>22</v>
      </c>
      <c r="L143" s="101" t="s">
        <v>2</v>
      </c>
      <c r="M143" s="27" t="s">
        <v>14</v>
      </c>
      <c r="N143" s="39" t="s">
        <v>24</v>
      </c>
      <c r="O143" s="98" t="s">
        <v>25</v>
      </c>
      <c r="P143" s="99" t="s">
        <v>28</v>
      </c>
      <c r="Q143" s="100" t="s">
        <v>22</v>
      </c>
      <c r="R143" s="27" t="s">
        <v>2</v>
      </c>
      <c r="S143" s="27" t="s">
        <v>14</v>
      </c>
      <c r="T143" s="39" t="s">
        <v>24</v>
      </c>
      <c r="U143" s="98" t="s">
        <v>25</v>
      </c>
      <c r="V143" s="99" t="s">
        <v>28</v>
      </c>
      <c r="W143" s="100" t="s">
        <v>22</v>
      </c>
      <c r="X143" s="27" t="s">
        <v>2</v>
      </c>
      <c r="Y143" s="27" t="s">
        <v>14</v>
      </c>
      <c r="Z143" s="164"/>
      <c r="AA143" s="165"/>
      <c r="AB143" s="165"/>
      <c r="AC143" s="182"/>
    </row>
    <row r="144" spans="1:29" x14ac:dyDescent="0.2">
      <c r="A144" s="193"/>
      <c r="B144" s="194" t="s">
        <v>42</v>
      </c>
      <c r="C144" s="196" t="s">
        <v>45</v>
      </c>
      <c r="D144" s="11">
        <v>21231</v>
      </c>
      <c r="E144" s="11" t="s">
        <v>46</v>
      </c>
      <c r="F144" s="11" t="s">
        <v>130</v>
      </c>
      <c r="G144" s="196" t="s">
        <v>1</v>
      </c>
      <c r="H144" s="34">
        <v>41.45</v>
      </c>
      <c r="I144" s="49">
        <v>8</v>
      </c>
      <c r="J144" s="28">
        <v>683</v>
      </c>
      <c r="K144" s="28">
        <v>12</v>
      </c>
      <c r="L144" s="28">
        <f t="shared" ref="L144:L149" si="56">IF(ISBLANK(J144), , J144*K144)</f>
        <v>8196</v>
      </c>
      <c r="M144" s="23">
        <f t="shared" ref="M144:M149" si="57">H153+K153+N153+Q153+T153+W153+Z153</f>
        <v>30</v>
      </c>
      <c r="N144" s="34">
        <v>41.45</v>
      </c>
      <c r="O144" s="49">
        <v>8</v>
      </c>
      <c r="P144" s="28">
        <v>681</v>
      </c>
      <c r="Q144" s="28">
        <v>12</v>
      </c>
      <c r="R144" s="28">
        <f t="shared" ref="R144:R149" si="58">IF(ISBLANK(P144), , P144*Q144)</f>
        <v>8172</v>
      </c>
      <c r="S144" s="23">
        <f t="shared" ref="S144:S149" si="59">I153+L153+O153+R153+U153+X153+AA153</f>
        <v>30</v>
      </c>
      <c r="T144" s="34">
        <v>41.45</v>
      </c>
      <c r="U144" s="49">
        <v>8</v>
      </c>
      <c r="V144" s="28">
        <v>690</v>
      </c>
      <c r="W144" s="28">
        <v>12</v>
      </c>
      <c r="X144" s="28">
        <f t="shared" ref="X144:X149" si="60">IF(ISBLANK(V144), , V144*W144)</f>
        <v>8280</v>
      </c>
      <c r="Y144" s="23">
        <f t="shared" ref="Y144:Y149" si="61">J153+M153+P153+S153+V153+Y153+AB153</f>
        <v>15</v>
      </c>
      <c r="Z144" s="151">
        <f>SUM(L144, R144, X144)+SUM(L145, R145, X145)</f>
        <v>24648</v>
      </c>
      <c r="AA144" s="151">
        <f>SUM(M144, S144, Y144)+SUM(M145, S145, Y145)</f>
        <v>75</v>
      </c>
      <c r="AB144" s="153">
        <f>IF($Z144=0, ,AA144/$Z144)</f>
        <v>3.0428432327166506E-3</v>
      </c>
      <c r="AC144" s="179" t="s">
        <v>89</v>
      </c>
    </row>
    <row r="145" spans="1:29" x14ac:dyDescent="0.2">
      <c r="A145" s="193"/>
      <c r="B145" s="195"/>
      <c r="C145" s="197"/>
      <c r="D145" s="11"/>
      <c r="E145" s="11"/>
      <c r="F145" s="11"/>
      <c r="G145" s="198"/>
      <c r="H145" s="34"/>
      <c r="I145" s="49"/>
      <c r="J145" s="28"/>
      <c r="K145" s="28"/>
      <c r="L145" s="28">
        <f t="shared" si="56"/>
        <v>0</v>
      </c>
      <c r="M145" s="23">
        <f t="shared" si="57"/>
        <v>0</v>
      </c>
      <c r="N145" s="34"/>
      <c r="O145" s="49"/>
      <c r="P145" s="28"/>
      <c r="Q145" s="28"/>
      <c r="R145" s="28">
        <f t="shared" si="58"/>
        <v>0</v>
      </c>
      <c r="S145" s="23">
        <f t="shared" si="59"/>
        <v>0</v>
      </c>
      <c r="T145" s="34"/>
      <c r="U145" s="49"/>
      <c r="V145" s="28"/>
      <c r="W145" s="28"/>
      <c r="X145" s="28">
        <f t="shared" si="60"/>
        <v>0</v>
      </c>
      <c r="Y145" s="23">
        <f t="shared" si="61"/>
        <v>0</v>
      </c>
      <c r="Z145" s="152"/>
      <c r="AA145" s="152"/>
      <c r="AB145" s="154"/>
      <c r="AC145" s="155"/>
    </row>
    <row r="146" spans="1:29" x14ac:dyDescent="0.2">
      <c r="A146" s="193"/>
      <c r="B146" s="175" t="s">
        <v>43</v>
      </c>
      <c r="C146" s="177" t="s">
        <v>65</v>
      </c>
      <c r="D146" s="10">
        <v>21234</v>
      </c>
      <c r="E146" s="10" t="s">
        <v>46</v>
      </c>
      <c r="F146" s="10" t="s">
        <v>130</v>
      </c>
      <c r="G146" s="177" t="s">
        <v>1</v>
      </c>
      <c r="H146" s="35">
        <v>41.6</v>
      </c>
      <c r="I146" s="52">
        <v>8</v>
      </c>
      <c r="J146" s="64">
        <v>695</v>
      </c>
      <c r="K146" s="64">
        <v>12</v>
      </c>
      <c r="L146" s="64">
        <f t="shared" si="56"/>
        <v>8340</v>
      </c>
      <c r="M146" s="65">
        <f t="shared" si="57"/>
        <v>20</v>
      </c>
      <c r="N146" s="66">
        <v>41.6</v>
      </c>
      <c r="O146" s="67">
        <v>8</v>
      </c>
      <c r="P146" s="64">
        <v>686</v>
      </c>
      <c r="Q146" s="64">
        <v>12</v>
      </c>
      <c r="R146" s="64">
        <f t="shared" si="58"/>
        <v>8232</v>
      </c>
      <c r="S146" s="65">
        <f t="shared" si="59"/>
        <v>0</v>
      </c>
      <c r="T146" s="66">
        <v>41.6</v>
      </c>
      <c r="U146" s="67">
        <v>8</v>
      </c>
      <c r="V146" s="64">
        <v>704</v>
      </c>
      <c r="W146" s="64">
        <v>12</v>
      </c>
      <c r="X146" s="64">
        <f t="shared" si="60"/>
        <v>8448</v>
      </c>
      <c r="Y146" s="65">
        <f t="shared" si="61"/>
        <v>30</v>
      </c>
      <c r="Z146" s="183">
        <f>SUM(L146, R146, X146)+SUM(L147, R147, X147)</f>
        <v>25020</v>
      </c>
      <c r="AA146" s="185">
        <f>SUM(M146, S146, Y146)+SUM(M147, S147, Y147)</f>
        <v>50</v>
      </c>
      <c r="AB146" s="190">
        <f>IF($Z146=0, ,AA146/$Z146)</f>
        <v>1.9984012789768186E-3</v>
      </c>
      <c r="AC146" s="192"/>
    </row>
    <row r="147" spans="1:29" x14ac:dyDescent="0.2">
      <c r="A147" s="193"/>
      <c r="B147" s="176"/>
      <c r="C147" s="178"/>
      <c r="D147" s="10"/>
      <c r="E147" s="10"/>
      <c r="F147" s="10"/>
      <c r="G147" s="178"/>
      <c r="H147" s="35"/>
      <c r="I147" s="52"/>
      <c r="J147" s="64"/>
      <c r="K147" s="64"/>
      <c r="L147" s="64">
        <f t="shared" si="56"/>
        <v>0</v>
      </c>
      <c r="M147" s="65">
        <f t="shared" si="57"/>
        <v>0</v>
      </c>
      <c r="N147" s="66"/>
      <c r="O147" s="67"/>
      <c r="P147" s="64"/>
      <c r="Q147" s="64"/>
      <c r="R147" s="64">
        <f t="shared" si="58"/>
        <v>0</v>
      </c>
      <c r="S147" s="65">
        <f t="shared" si="59"/>
        <v>0</v>
      </c>
      <c r="T147" s="66"/>
      <c r="U147" s="67"/>
      <c r="V147" s="64"/>
      <c r="W147" s="64"/>
      <c r="X147" s="64">
        <f t="shared" si="60"/>
        <v>0</v>
      </c>
      <c r="Y147" s="65">
        <f t="shared" si="61"/>
        <v>0</v>
      </c>
      <c r="Z147" s="184"/>
      <c r="AA147" s="186"/>
      <c r="AB147" s="191"/>
      <c r="AC147" s="192"/>
    </row>
    <row r="148" spans="1:29" x14ac:dyDescent="0.2">
      <c r="A148" s="193"/>
      <c r="B148" s="161" t="s">
        <v>44</v>
      </c>
      <c r="C148" s="149" t="s">
        <v>67</v>
      </c>
      <c r="D148" s="9">
        <v>21231</v>
      </c>
      <c r="E148" s="9" t="s">
        <v>46</v>
      </c>
      <c r="F148" s="9" t="s">
        <v>130</v>
      </c>
      <c r="G148" s="149" t="s">
        <v>1</v>
      </c>
      <c r="H148" s="36">
        <v>41.35</v>
      </c>
      <c r="I148" s="53">
        <v>0</v>
      </c>
      <c r="J148" s="29">
        <v>0</v>
      </c>
      <c r="K148" s="29">
        <v>12</v>
      </c>
      <c r="L148" s="29">
        <f t="shared" si="56"/>
        <v>0</v>
      </c>
      <c r="M148" s="30">
        <f t="shared" si="57"/>
        <v>0</v>
      </c>
      <c r="N148" s="36">
        <v>41.35</v>
      </c>
      <c r="O148" s="53">
        <v>0</v>
      </c>
      <c r="P148" s="29">
        <v>0</v>
      </c>
      <c r="Q148" s="29">
        <v>12</v>
      </c>
      <c r="R148" s="29">
        <f t="shared" si="58"/>
        <v>0</v>
      </c>
      <c r="S148" s="30">
        <f t="shared" si="59"/>
        <v>0</v>
      </c>
      <c r="T148" s="36">
        <v>41.35</v>
      </c>
      <c r="U148" s="53">
        <v>0</v>
      </c>
      <c r="V148" s="29">
        <v>0</v>
      </c>
      <c r="W148" s="29">
        <v>12</v>
      </c>
      <c r="X148" s="29">
        <f t="shared" si="60"/>
        <v>0</v>
      </c>
      <c r="Y148" s="30">
        <f t="shared" si="61"/>
        <v>0</v>
      </c>
      <c r="Z148" s="151">
        <f>SUM(L148, R148, X148)+SUM(L149, R149, X149)</f>
        <v>0</v>
      </c>
      <c r="AA148" s="151">
        <f>SUM(M148, S148, Y148)+SUM(M149, S149, Y149)</f>
        <v>0</v>
      </c>
      <c r="AB148" s="153">
        <f>IF($Z148=0, ,AA148/$Z148)</f>
        <v>0</v>
      </c>
      <c r="AC148" s="155"/>
    </row>
    <row r="149" spans="1:29" x14ac:dyDescent="0.2">
      <c r="A149" s="193"/>
      <c r="B149" s="162"/>
      <c r="C149" s="150"/>
      <c r="D149" s="9"/>
      <c r="E149" s="9"/>
      <c r="F149" s="9"/>
      <c r="G149" s="150"/>
      <c r="H149" s="36"/>
      <c r="I149" s="53"/>
      <c r="J149" s="29"/>
      <c r="K149" s="29"/>
      <c r="L149" s="29">
        <f t="shared" si="56"/>
        <v>0</v>
      </c>
      <c r="M149" s="30">
        <f t="shared" si="57"/>
        <v>0</v>
      </c>
      <c r="N149" s="36"/>
      <c r="O149" s="53"/>
      <c r="P149" s="29"/>
      <c r="Q149" s="29"/>
      <c r="R149" s="29">
        <f t="shared" si="58"/>
        <v>0</v>
      </c>
      <c r="S149" s="30">
        <f t="shared" si="59"/>
        <v>0</v>
      </c>
      <c r="T149" s="36"/>
      <c r="U149" s="53"/>
      <c r="V149" s="29"/>
      <c r="W149" s="29"/>
      <c r="X149" s="29">
        <f t="shared" si="60"/>
        <v>0</v>
      </c>
      <c r="Y149" s="30">
        <f t="shared" si="61"/>
        <v>0</v>
      </c>
      <c r="Z149" s="152"/>
      <c r="AA149" s="152"/>
      <c r="AB149" s="154"/>
      <c r="AC149" s="156"/>
    </row>
    <row r="150" spans="1:29" x14ac:dyDescent="0.2">
      <c r="A150" s="193"/>
      <c r="B150" s="42"/>
      <c r="C150" s="42"/>
      <c r="D150" s="42"/>
      <c r="E150" s="42"/>
      <c r="F150" s="42"/>
      <c r="G150" s="42"/>
      <c r="H150" s="59"/>
      <c r="I150" s="60"/>
      <c r="J150" s="61"/>
      <c r="K150" s="61"/>
      <c r="L150" s="61"/>
      <c r="M150" s="62"/>
      <c r="N150" s="59"/>
      <c r="O150" s="60"/>
      <c r="P150" s="61"/>
      <c r="Q150" s="61"/>
      <c r="R150" s="61"/>
      <c r="S150" s="62"/>
      <c r="T150" s="59"/>
      <c r="U150" s="60"/>
      <c r="V150" s="61"/>
      <c r="W150" s="61"/>
      <c r="X150" s="61"/>
      <c r="Y150" s="62"/>
      <c r="Z150" s="62"/>
      <c r="AA150" s="62"/>
      <c r="AB150" s="63"/>
      <c r="AC150" s="45"/>
    </row>
    <row r="151" spans="1:29" x14ac:dyDescent="0.2">
      <c r="A151" s="193"/>
      <c r="B151" s="157" t="s">
        <v>32</v>
      </c>
      <c r="C151" s="158"/>
      <c r="D151" s="158"/>
      <c r="E151" s="158"/>
      <c r="F151" s="158"/>
      <c r="G151" s="77" t="s">
        <v>33</v>
      </c>
      <c r="H151" s="159" t="s">
        <v>29</v>
      </c>
      <c r="I151" s="159"/>
      <c r="J151" s="159"/>
      <c r="K151" s="159" t="s">
        <v>41</v>
      </c>
      <c r="L151" s="159"/>
      <c r="M151" s="159"/>
      <c r="N151" s="160" t="s">
        <v>63</v>
      </c>
      <c r="O151" s="159"/>
      <c r="P151" s="159"/>
      <c r="Q151" s="160" t="s">
        <v>62</v>
      </c>
      <c r="R151" s="159"/>
      <c r="S151" s="159"/>
      <c r="T151" s="160" t="s">
        <v>61</v>
      </c>
      <c r="U151" s="159"/>
      <c r="V151" s="159"/>
      <c r="W151" s="159" t="s">
        <v>39</v>
      </c>
      <c r="X151" s="159"/>
      <c r="Y151" s="159"/>
      <c r="Z151" s="159" t="s">
        <v>40</v>
      </c>
      <c r="AA151" s="159"/>
      <c r="AB151" s="159"/>
      <c r="AC151" s="166"/>
    </row>
    <row r="152" spans="1:29" x14ac:dyDescent="0.2">
      <c r="A152" s="193"/>
      <c r="B152" s="157"/>
      <c r="C152" s="158"/>
      <c r="D152" s="158"/>
      <c r="E152" s="158"/>
      <c r="F152" s="158"/>
      <c r="G152" s="77" t="s">
        <v>34</v>
      </c>
      <c r="H152" s="78" t="s">
        <v>35</v>
      </c>
      <c r="I152" s="78" t="s">
        <v>36</v>
      </c>
      <c r="J152" s="79" t="s">
        <v>37</v>
      </c>
      <c r="K152" s="78" t="s">
        <v>35</v>
      </c>
      <c r="L152" s="78" t="s">
        <v>36</v>
      </c>
      <c r="M152" s="79" t="s">
        <v>37</v>
      </c>
      <c r="N152" s="78" t="s">
        <v>35</v>
      </c>
      <c r="O152" s="78" t="s">
        <v>36</v>
      </c>
      <c r="P152" s="79" t="s">
        <v>37</v>
      </c>
      <c r="Q152" s="78" t="s">
        <v>35</v>
      </c>
      <c r="R152" s="78" t="s">
        <v>36</v>
      </c>
      <c r="S152" s="79" t="s">
        <v>37</v>
      </c>
      <c r="T152" s="78" t="s">
        <v>35</v>
      </c>
      <c r="U152" s="78" t="s">
        <v>36</v>
      </c>
      <c r="V152" s="79" t="s">
        <v>37</v>
      </c>
      <c r="W152" s="78" t="s">
        <v>35</v>
      </c>
      <c r="X152" s="78" t="s">
        <v>36</v>
      </c>
      <c r="Y152" s="79" t="s">
        <v>37</v>
      </c>
      <c r="Z152" s="78" t="s">
        <v>35</v>
      </c>
      <c r="AA152" s="78" t="s">
        <v>36</v>
      </c>
      <c r="AB152" s="79" t="s">
        <v>37</v>
      </c>
      <c r="AC152" s="167"/>
    </row>
    <row r="153" spans="1:29" x14ac:dyDescent="0.2">
      <c r="A153" s="193"/>
      <c r="B153" s="168" t="str">
        <f t="shared" ref="B153:C158" si="62">IF(ISBLANK(B144), "-", B144)</f>
        <v>2A</v>
      </c>
      <c r="C153" s="169" t="str">
        <f t="shared" si="62"/>
        <v>JAR-007B</v>
      </c>
      <c r="D153" s="73">
        <v>21231</v>
      </c>
      <c r="E153" s="73" t="str">
        <f t="shared" ref="E153:F158" si="63">IF(ISBLANK(E144), "-", E144)</f>
        <v>White</v>
      </c>
      <c r="F153" s="73" t="str">
        <f t="shared" si="63"/>
        <v>RPET</v>
      </c>
      <c r="G153" s="170"/>
      <c r="H153" s="74">
        <v>30</v>
      </c>
      <c r="I153" s="74">
        <v>30</v>
      </c>
      <c r="J153" s="74">
        <v>15</v>
      </c>
      <c r="K153" s="74"/>
      <c r="L153" s="74"/>
      <c r="M153" s="74"/>
      <c r="N153" s="75"/>
      <c r="O153" s="75"/>
      <c r="P153" s="75"/>
      <c r="Q153" s="75"/>
      <c r="R153" s="75"/>
      <c r="S153" s="74"/>
      <c r="T153" s="75"/>
      <c r="U153" s="75"/>
      <c r="V153" s="75"/>
      <c r="W153" s="75"/>
      <c r="X153" s="75"/>
      <c r="Y153" s="74"/>
      <c r="Z153" s="74"/>
      <c r="AA153" s="74"/>
      <c r="AB153" s="76"/>
      <c r="AC153" s="167"/>
    </row>
    <row r="154" spans="1:29" x14ac:dyDescent="0.2">
      <c r="A154" s="193"/>
      <c r="B154" s="168" t="str">
        <f t="shared" si="62"/>
        <v>-</v>
      </c>
      <c r="C154" s="169" t="str">
        <f t="shared" si="62"/>
        <v>-</v>
      </c>
      <c r="D154" s="73" t="str">
        <f>IF(ISBLANK(D145), "-", D145)</f>
        <v>-</v>
      </c>
      <c r="E154" s="73" t="str">
        <f t="shared" si="63"/>
        <v>-</v>
      </c>
      <c r="F154" s="73" t="str">
        <f t="shared" si="63"/>
        <v>-</v>
      </c>
      <c r="G154" s="171"/>
      <c r="H154" s="75"/>
      <c r="I154" s="75"/>
      <c r="J154" s="75"/>
      <c r="K154" s="75"/>
      <c r="L154" s="75"/>
      <c r="M154" s="74"/>
      <c r="N154" s="75"/>
      <c r="O154" s="75"/>
      <c r="P154" s="75"/>
      <c r="Q154" s="75"/>
      <c r="R154" s="75"/>
      <c r="S154" s="74"/>
      <c r="T154" s="75"/>
      <c r="U154" s="75"/>
      <c r="V154" s="75"/>
      <c r="W154" s="75"/>
      <c r="X154" s="75"/>
      <c r="Y154" s="74"/>
      <c r="Z154" s="74"/>
      <c r="AA154" s="74"/>
      <c r="AB154" s="76"/>
      <c r="AC154" s="167"/>
    </row>
    <row r="155" spans="1:29" x14ac:dyDescent="0.2">
      <c r="A155" s="193"/>
      <c r="B155" s="173" t="str">
        <f t="shared" si="62"/>
        <v>3A</v>
      </c>
      <c r="C155" s="174" t="str">
        <f t="shared" si="62"/>
        <v>JAR-014</v>
      </c>
      <c r="D155" s="102">
        <f>IF(ISBLANK(D146), "-", D146)</f>
        <v>21234</v>
      </c>
      <c r="E155" s="102" t="str">
        <f t="shared" si="63"/>
        <v>White</v>
      </c>
      <c r="F155" s="102" t="str">
        <f t="shared" si="63"/>
        <v>RPET</v>
      </c>
      <c r="G155" s="171"/>
      <c r="H155" s="94">
        <v>20</v>
      </c>
      <c r="I155" s="94"/>
      <c r="J155" s="94">
        <v>30</v>
      </c>
      <c r="K155" s="94"/>
      <c r="L155" s="94"/>
      <c r="M155" s="94"/>
      <c r="N155" s="95"/>
      <c r="O155" s="95"/>
      <c r="P155" s="95"/>
      <c r="Q155" s="95"/>
      <c r="R155" s="95"/>
      <c r="S155" s="94"/>
      <c r="T155" s="95"/>
      <c r="U155" s="95"/>
      <c r="V155" s="95"/>
      <c r="W155" s="95"/>
      <c r="X155" s="95"/>
      <c r="Y155" s="94"/>
      <c r="Z155" s="94"/>
      <c r="AA155" s="94"/>
      <c r="AB155" s="96"/>
      <c r="AC155" s="167"/>
    </row>
    <row r="156" spans="1:29" x14ac:dyDescent="0.2">
      <c r="A156" s="193"/>
      <c r="B156" s="173" t="str">
        <f t="shared" si="62"/>
        <v>-</v>
      </c>
      <c r="C156" s="174" t="str">
        <f t="shared" si="62"/>
        <v>-</v>
      </c>
      <c r="D156" s="102" t="str">
        <f>IF(ISBLANK(D147), "-", D147)</f>
        <v>-</v>
      </c>
      <c r="E156" s="102" t="str">
        <f t="shared" si="63"/>
        <v>-</v>
      </c>
      <c r="F156" s="102" t="str">
        <f t="shared" si="63"/>
        <v>-</v>
      </c>
      <c r="G156" s="171"/>
      <c r="H156" s="95"/>
      <c r="I156" s="95"/>
      <c r="J156" s="95"/>
      <c r="K156" s="95"/>
      <c r="L156" s="95"/>
      <c r="M156" s="94"/>
      <c r="N156" s="95"/>
      <c r="O156" s="95"/>
      <c r="P156" s="95"/>
      <c r="Q156" s="95"/>
      <c r="R156" s="95"/>
      <c r="S156" s="94"/>
      <c r="T156" s="95"/>
      <c r="U156" s="95"/>
      <c r="V156" s="95"/>
      <c r="W156" s="95"/>
      <c r="X156" s="95"/>
      <c r="Y156" s="94"/>
      <c r="Z156" s="94"/>
      <c r="AA156" s="94"/>
      <c r="AB156" s="96"/>
      <c r="AC156" s="167"/>
    </row>
    <row r="157" spans="1:29" x14ac:dyDescent="0.2">
      <c r="A157" s="193"/>
      <c r="B157" s="168" t="str">
        <f t="shared" si="62"/>
        <v>4A</v>
      </c>
      <c r="C157" s="169" t="str">
        <f t="shared" si="62"/>
        <v>JAR-007A</v>
      </c>
      <c r="D157" s="73">
        <f>IF(ISBLANK(D148), "-", D148)</f>
        <v>21231</v>
      </c>
      <c r="E157" s="73" t="str">
        <f t="shared" si="63"/>
        <v>White</v>
      </c>
      <c r="F157" s="73" t="str">
        <f t="shared" si="63"/>
        <v>RPET</v>
      </c>
      <c r="G157" s="171"/>
      <c r="H157" s="75"/>
      <c r="I157" s="75"/>
      <c r="J157" s="75"/>
      <c r="K157" s="75"/>
      <c r="L157" s="75"/>
      <c r="M157" s="74"/>
      <c r="N157" s="75"/>
      <c r="O157" s="75"/>
      <c r="P157" s="75"/>
      <c r="Q157" s="75"/>
      <c r="R157" s="75"/>
      <c r="S157" s="74"/>
      <c r="T157" s="75"/>
      <c r="U157" s="75"/>
      <c r="V157" s="75"/>
      <c r="W157" s="75"/>
      <c r="X157" s="75"/>
      <c r="Y157" s="74"/>
      <c r="Z157" s="74"/>
      <c r="AA157" s="74"/>
      <c r="AB157" s="76"/>
      <c r="AC157" s="167"/>
    </row>
    <row r="158" spans="1:29" x14ac:dyDescent="0.2">
      <c r="A158" s="193"/>
      <c r="B158" s="168" t="str">
        <f t="shared" si="62"/>
        <v>-</v>
      </c>
      <c r="C158" s="169" t="str">
        <f t="shared" si="62"/>
        <v>-</v>
      </c>
      <c r="D158" s="73" t="str">
        <f>IF(ISBLANK(D149), "-", D149)</f>
        <v>-</v>
      </c>
      <c r="E158" s="73" t="str">
        <f t="shared" si="63"/>
        <v>-</v>
      </c>
      <c r="F158" s="73" t="str">
        <f t="shared" si="63"/>
        <v>-</v>
      </c>
      <c r="G158" s="172"/>
      <c r="H158" s="75"/>
      <c r="I158" s="75"/>
      <c r="J158" s="75"/>
      <c r="K158" s="75"/>
      <c r="L158" s="75"/>
      <c r="M158" s="74"/>
      <c r="N158" s="75"/>
      <c r="O158" s="75"/>
      <c r="P158" s="75"/>
      <c r="Q158" s="75"/>
      <c r="R158" s="75"/>
      <c r="S158" s="74"/>
      <c r="T158" s="75"/>
      <c r="U158" s="75"/>
      <c r="V158" s="75"/>
      <c r="W158" s="75"/>
      <c r="X158" s="75"/>
      <c r="Y158" s="74"/>
      <c r="Z158" s="74"/>
      <c r="AA158" s="74"/>
      <c r="AB158" s="76"/>
      <c r="AC158" s="167"/>
    </row>
    <row r="160" spans="1:29" x14ac:dyDescent="0.2">
      <c r="A160" s="193">
        <v>44721</v>
      </c>
      <c r="B160" s="16" t="s">
        <v>20</v>
      </c>
      <c r="C160" s="17"/>
      <c r="D160" s="18" t="s">
        <v>21</v>
      </c>
      <c r="E160" s="17">
        <v>0</v>
      </c>
      <c r="F160" s="24"/>
      <c r="G160" s="25"/>
      <c r="H160" s="38"/>
      <c r="I160" s="51"/>
      <c r="J160" s="57"/>
      <c r="K160" s="25"/>
      <c r="L160" s="18"/>
      <c r="M160" s="25"/>
      <c r="N160" s="38"/>
      <c r="O160" s="51"/>
      <c r="P160" s="57"/>
      <c r="Q160" s="25"/>
      <c r="R160" s="18"/>
      <c r="S160" s="25"/>
      <c r="T160" s="38"/>
      <c r="U160" s="51"/>
      <c r="V160" s="57"/>
      <c r="W160" s="25"/>
      <c r="X160" s="18"/>
      <c r="Y160" s="18"/>
      <c r="Z160" s="25"/>
      <c r="AA160" s="18"/>
      <c r="AB160" s="18"/>
      <c r="AC160" s="26"/>
    </row>
    <row r="161" spans="1:29" x14ac:dyDescent="0.2">
      <c r="A161" s="193"/>
      <c r="B161" s="157" t="s">
        <v>3</v>
      </c>
      <c r="C161" s="158" t="s">
        <v>0</v>
      </c>
      <c r="D161" s="158" t="s">
        <v>10</v>
      </c>
      <c r="E161" s="158" t="s">
        <v>4</v>
      </c>
      <c r="F161" s="158" t="s">
        <v>9</v>
      </c>
      <c r="G161" s="180" t="s">
        <v>5</v>
      </c>
      <c r="H161" s="187" t="s">
        <v>6</v>
      </c>
      <c r="I161" s="188"/>
      <c r="J161" s="188"/>
      <c r="K161" s="188"/>
      <c r="L161" s="188"/>
      <c r="M161" s="189"/>
      <c r="N161" s="187" t="s">
        <v>7</v>
      </c>
      <c r="O161" s="188"/>
      <c r="P161" s="188"/>
      <c r="Q161" s="188"/>
      <c r="R161" s="188"/>
      <c r="S161" s="189"/>
      <c r="T161" s="187" t="s">
        <v>8</v>
      </c>
      <c r="U161" s="188"/>
      <c r="V161" s="188"/>
      <c r="W161" s="188"/>
      <c r="X161" s="188"/>
      <c r="Y161" s="189"/>
      <c r="Z161" s="163" t="s">
        <v>16</v>
      </c>
      <c r="AA161" s="163" t="s">
        <v>66</v>
      </c>
      <c r="AB161" s="163" t="s">
        <v>27</v>
      </c>
      <c r="AC161" s="181" t="s">
        <v>11</v>
      </c>
    </row>
    <row r="162" spans="1:29" ht="36" customHeight="1" x14ac:dyDescent="0.2">
      <c r="A162" s="193"/>
      <c r="B162" s="157"/>
      <c r="C162" s="158"/>
      <c r="D162" s="158"/>
      <c r="E162" s="158"/>
      <c r="F162" s="158"/>
      <c r="G162" s="180"/>
      <c r="H162" s="39" t="s">
        <v>24</v>
      </c>
      <c r="I162" s="98" t="s">
        <v>25</v>
      </c>
      <c r="J162" s="99" t="s">
        <v>28</v>
      </c>
      <c r="K162" s="100" t="s">
        <v>22</v>
      </c>
      <c r="L162" s="101" t="s">
        <v>2</v>
      </c>
      <c r="M162" s="27" t="s">
        <v>14</v>
      </c>
      <c r="N162" s="39" t="s">
        <v>24</v>
      </c>
      <c r="O162" s="98" t="s">
        <v>25</v>
      </c>
      <c r="P162" s="99" t="s">
        <v>28</v>
      </c>
      <c r="Q162" s="100" t="s">
        <v>22</v>
      </c>
      <c r="R162" s="27" t="s">
        <v>2</v>
      </c>
      <c r="S162" s="27" t="s">
        <v>14</v>
      </c>
      <c r="T162" s="39" t="s">
        <v>24</v>
      </c>
      <c r="U162" s="98" t="s">
        <v>25</v>
      </c>
      <c r="V162" s="99" t="s">
        <v>28</v>
      </c>
      <c r="W162" s="100" t="s">
        <v>22</v>
      </c>
      <c r="X162" s="27" t="s">
        <v>2</v>
      </c>
      <c r="Y162" s="27" t="s">
        <v>14</v>
      </c>
      <c r="Z162" s="164"/>
      <c r="AA162" s="165"/>
      <c r="AB162" s="165"/>
      <c r="AC162" s="182"/>
    </row>
    <row r="163" spans="1:29" x14ac:dyDescent="0.2">
      <c r="A163" s="193"/>
      <c r="B163" s="194" t="s">
        <v>42</v>
      </c>
      <c r="C163" s="196" t="s">
        <v>45</v>
      </c>
      <c r="D163" s="11">
        <v>21231</v>
      </c>
      <c r="E163" s="11" t="s">
        <v>46</v>
      </c>
      <c r="F163" s="11" t="s">
        <v>130</v>
      </c>
      <c r="G163" s="196" t="s">
        <v>1</v>
      </c>
      <c r="H163" s="34">
        <v>41.45</v>
      </c>
      <c r="I163" s="49">
        <v>7.5</v>
      </c>
      <c r="J163" s="28">
        <v>661</v>
      </c>
      <c r="K163" s="28">
        <v>12</v>
      </c>
      <c r="L163" s="28">
        <f t="shared" ref="L163:L168" si="64">IF(ISBLANK(J163), , J163*K163)</f>
        <v>7932</v>
      </c>
      <c r="M163" s="23">
        <f t="shared" ref="M163:M168" si="65">H172+K172+N172+Q172+T172+W172+Z172</f>
        <v>200</v>
      </c>
      <c r="N163" s="34">
        <v>41.45</v>
      </c>
      <c r="O163" s="49">
        <v>8</v>
      </c>
      <c r="P163" s="28">
        <v>685</v>
      </c>
      <c r="Q163" s="28">
        <v>12</v>
      </c>
      <c r="R163" s="28">
        <f t="shared" ref="R163:R168" si="66">IF(ISBLANK(P163), , P163*Q163)</f>
        <v>8220</v>
      </c>
      <c r="S163" s="23">
        <f t="shared" ref="S163:S168" si="67">I172+L172+O172+R172+U172+X172+AA172</f>
        <v>0</v>
      </c>
      <c r="T163" s="34">
        <v>41.45</v>
      </c>
      <c r="U163" s="49">
        <v>8</v>
      </c>
      <c r="V163" s="28">
        <v>700</v>
      </c>
      <c r="W163" s="28">
        <v>12</v>
      </c>
      <c r="X163" s="28">
        <f t="shared" ref="X163:X168" si="68">IF(ISBLANK(V163), , V163*W163)</f>
        <v>8400</v>
      </c>
      <c r="Y163" s="23">
        <f t="shared" ref="Y163:Y168" si="69">J172+M172+P172+S172+V172+Y172+AB172</f>
        <v>15</v>
      </c>
      <c r="Z163" s="151">
        <f>SUM(L163, R163, X163)+SUM(L164, R164, X164)</f>
        <v>24552</v>
      </c>
      <c r="AA163" s="151">
        <f>SUM(M163, S163, Y163)+SUM(M164, S164, Y164)</f>
        <v>215</v>
      </c>
      <c r="AB163" s="153">
        <f>IF($Z163=0, ,AA163/$Z163)</f>
        <v>8.756924079504725E-3</v>
      </c>
      <c r="AC163" s="179" t="s">
        <v>90</v>
      </c>
    </row>
    <row r="164" spans="1:29" x14ac:dyDescent="0.2">
      <c r="A164" s="193"/>
      <c r="B164" s="195"/>
      <c r="C164" s="197"/>
      <c r="D164" s="11"/>
      <c r="E164" s="11"/>
      <c r="F164" s="11"/>
      <c r="G164" s="198"/>
      <c r="H164" s="34"/>
      <c r="I164" s="49"/>
      <c r="J164" s="28"/>
      <c r="K164" s="28"/>
      <c r="L164" s="28">
        <f t="shared" si="64"/>
        <v>0</v>
      </c>
      <c r="M164" s="23">
        <f t="shared" si="65"/>
        <v>0</v>
      </c>
      <c r="N164" s="34"/>
      <c r="O164" s="49"/>
      <c r="P164" s="28"/>
      <c r="Q164" s="28"/>
      <c r="R164" s="28">
        <f t="shared" si="66"/>
        <v>0</v>
      </c>
      <c r="S164" s="23">
        <f t="shared" si="67"/>
        <v>0</v>
      </c>
      <c r="T164" s="34"/>
      <c r="U164" s="49"/>
      <c r="V164" s="28"/>
      <c r="W164" s="28"/>
      <c r="X164" s="28">
        <f t="shared" si="68"/>
        <v>0</v>
      </c>
      <c r="Y164" s="23">
        <f t="shared" si="69"/>
        <v>0</v>
      </c>
      <c r="Z164" s="152"/>
      <c r="AA164" s="152"/>
      <c r="AB164" s="154"/>
      <c r="AC164" s="155"/>
    </row>
    <row r="165" spans="1:29" x14ac:dyDescent="0.2">
      <c r="A165" s="193"/>
      <c r="B165" s="175" t="s">
        <v>43</v>
      </c>
      <c r="C165" s="177" t="s">
        <v>65</v>
      </c>
      <c r="D165" s="10">
        <v>21234</v>
      </c>
      <c r="E165" s="10" t="s">
        <v>46</v>
      </c>
      <c r="F165" s="10" t="s">
        <v>130</v>
      </c>
      <c r="G165" s="177" t="s">
        <v>1</v>
      </c>
      <c r="H165" s="35">
        <v>41.6</v>
      </c>
      <c r="I165" s="52">
        <v>8</v>
      </c>
      <c r="J165" s="64">
        <v>684</v>
      </c>
      <c r="K165" s="64">
        <v>12</v>
      </c>
      <c r="L165" s="64">
        <f t="shared" si="64"/>
        <v>8208</v>
      </c>
      <c r="M165" s="65">
        <f t="shared" si="65"/>
        <v>30</v>
      </c>
      <c r="N165" s="66">
        <v>41.6</v>
      </c>
      <c r="O165" s="67">
        <v>8</v>
      </c>
      <c r="P165" s="64">
        <v>698</v>
      </c>
      <c r="Q165" s="64">
        <v>12</v>
      </c>
      <c r="R165" s="64">
        <f t="shared" si="66"/>
        <v>8376</v>
      </c>
      <c r="S165" s="65">
        <f t="shared" si="67"/>
        <v>0</v>
      </c>
      <c r="T165" s="66">
        <v>41.6</v>
      </c>
      <c r="U165" s="67">
        <v>8</v>
      </c>
      <c r="V165" s="64">
        <v>687</v>
      </c>
      <c r="W165" s="64">
        <v>12</v>
      </c>
      <c r="X165" s="64">
        <f t="shared" si="68"/>
        <v>8244</v>
      </c>
      <c r="Y165" s="65">
        <f t="shared" si="69"/>
        <v>25</v>
      </c>
      <c r="Z165" s="183">
        <f>SUM(L165, R165, X165)+SUM(L166, R166, X166)</f>
        <v>24828</v>
      </c>
      <c r="AA165" s="185">
        <f>SUM(M165, S165, Y165)+SUM(M166, S166, Y166)</f>
        <v>55</v>
      </c>
      <c r="AB165" s="190">
        <f>IF($Z165=0, ,AA165/$Z165)</f>
        <v>2.2152408570968261E-3</v>
      </c>
      <c r="AC165" s="192" t="s">
        <v>91</v>
      </c>
    </row>
    <row r="166" spans="1:29" x14ac:dyDescent="0.2">
      <c r="A166" s="193"/>
      <c r="B166" s="176"/>
      <c r="C166" s="178"/>
      <c r="D166" s="10"/>
      <c r="E166" s="10"/>
      <c r="F166" s="10"/>
      <c r="G166" s="178"/>
      <c r="H166" s="35"/>
      <c r="I166" s="52"/>
      <c r="J166" s="64"/>
      <c r="K166" s="64"/>
      <c r="L166" s="64">
        <f t="shared" si="64"/>
        <v>0</v>
      </c>
      <c r="M166" s="65">
        <f t="shared" si="65"/>
        <v>0</v>
      </c>
      <c r="N166" s="66"/>
      <c r="O166" s="67"/>
      <c r="P166" s="64"/>
      <c r="Q166" s="64"/>
      <c r="R166" s="64">
        <f t="shared" si="66"/>
        <v>0</v>
      </c>
      <c r="S166" s="65">
        <f t="shared" si="67"/>
        <v>0</v>
      </c>
      <c r="T166" s="66"/>
      <c r="U166" s="67"/>
      <c r="V166" s="64"/>
      <c r="W166" s="64"/>
      <c r="X166" s="64">
        <f t="shared" si="68"/>
        <v>0</v>
      </c>
      <c r="Y166" s="65">
        <f t="shared" si="69"/>
        <v>0</v>
      </c>
      <c r="Z166" s="184"/>
      <c r="AA166" s="186"/>
      <c r="AB166" s="191"/>
      <c r="AC166" s="192"/>
    </row>
    <row r="167" spans="1:29" x14ac:dyDescent="0.2">
      <c r="A167" s="193"/>
      <c r="B167" s="161" t="s">
        <v>44</v>
      </c>
      <c r="C167" s="149" t="s">
        <v>67</v>
      </c>
      <c r="D167" s="9">
        <v>21231</v>
      </c>
      <c r="E167" s="9" t="s">
        <v>46</v>
      </c>
      <c r="F167" s="9" t="s">
        <v>130</v>
      </c>
      <c r="G167" s="149" t="s">
        <v>1</v>
      </c>
      <c r="H167" s="36">
        <v>41.35</v>
      </c>
      <c r="I167" s="53">
        <v>0</v>
      </c>
      <c r="J167" s="29">
        <v>0</v>
      </c>
      <c r="K167" s="29">
        <v>12</v>
      </c>
      <c r="L167" s="29">
        <f t="shared" si="64"/>
        <v>0</v>
      </c>
      <c r="M167" s="30">
        <f t="shared" si="65"/>
        <v>0</v>
      </c>
      <c r="N167" s="36">
        <v>41.35</v>
      </c>
      <c r="O167" s="53">
        <v>0</v>
      </c>
      <c r="P167" s="29">
        <v>0</v>
      </c>
      <c r="Q167" s="29">
        <v>12</v>
      </c>
      <c r="R167" s="29">
        <f t="shared" si="66"/>
        <v>0</v>
      </c>
      <c r="S167" s="30">
        <f t="shared" si="67"/>
        <v>0</v>
      </c>
      <c r="T167" s="36">
        <v>41.35</v>
      </c>
      <c r="U167" s="53">
        <v>0</v>
      </c>
      <c r="V167" s="29">
        <v>0</v>
      </c>
      <c r="W167" s="29">
        <v>12</v>
      </c>
      <c r="X167" s="29">
        <f t="shared" si="68"/>
        <v>0</v>
      </c>
      <c r="Y167" s="30">
        <f t="shared" si="69"/>
        <v>0</v>
      </c>
      <c r="Z167" s="151">
        <f>SUM(L167, R167, X167)+SUM(L168, R168, X168)</f>
        <v>0</v>
      </c>
      <c r="AA167" s="151">
        <f>SUM(M167, S167, Y167)+SUM(M168, S168, Y168)</f>
        <v>0</v>
      </c>
      <c r="AB167" s="153">
        <f>IF($Z167=0, ,AA167/$Z167)</f>
        <v>0</v>
      </c>
      <c r="AC167" s="155"/>
    </row>
    <row r="168" spans="1:29" x14ac:dyDescent="0.2">
      <c r="A168" s="193"/>
      <c r="B168" s="162"/>
      <c r="C168" s="150"/>
      <c r="D168" s="9"/>
      <c r="E168" s="9"/>
      <c r="F168" s="9"/>
      <c r="G168" s="150"/>
      <c r="H168" s="36"/>
      <c r="I168" s="53"/>
      <c r="J168" s="29"/>
      <c r="K168" s="29"/>
      <c r="L168" s="29">
        <f t="shared" si="64"/>
        <v>0</v>
      </c>
      <c r="M168" s="30">
        <f t="shared" si="65"/>
        <v>0</v>
      </c>
      <c r="N168" s="36"/>
      <c r="O168" s="53"/>
      <c r="P168" s="29"/>
      <c r="Q168" s="29"/>
      <c r="R168" s="29">
        <f t="shared" si="66"/>
        <v>0</v>
      </c>
      <c r="S168" s="30">
        <f t="shared" si="67"/>
        <v>0</v>
      </c>
      <c r="T168" s="36"/>
      <c r="U168" s="53"/>
      <c r="V168" s="29"/>
      <c r="W168" s="29"/>
      <c r="X168" s="29">
        <f t="shared" si="68"/>
        <v>0</v>
      </c>
      <c r="Y168" s="30">
        <f t="shared" si="69"/>
        <v>0</v>
      </c>
      <c r="Z168" s="152"/>
      <c r="AA168" s="152"/>
      <c r="AB168" s="154"/>
      <c r="AC168" s="156"/>
    </row>
    <row r="169" spans="1:29" x14ac:dyDescent="0.2">
      <c r="A169" s="193"/>
      <c r="B169" s="42"/>
      <c r="C169" s="42"/>
      <c r="D169" s="42"/>
      <c r="E169" s="42"/>
      <c r="F169" s="42"/>
      <c r="G169" s="42"/>
      <c r="H169" s="59"/>
      <c r="I169" s="60"/>
      <c r="J169" s="61"/>
      <c r="K169" s="61"/>
      <c r="L169" s="61"/>
      <c r="M169" s="62"/>
      <c r="N169" s="59"/>
      <c r="O169" s="60"/>
      <c r="P169" s="61"/>
      <c r="Q169" s="61"/>
      <c r="R169" s="61"/>
      <c r="S169" s="62"/>
      <c r="T169" s="59"/>
      <c r="U169" s="60"/>
      <c r="V169" s="61"/>
      <c r="W169" s="61"/>
      <c r="X169" s="61"/>
      <c r="Y169" s="62"/>
      <c r="Z169" s="62"/>
      <c r="AA169" s="62"/>
      <c r="AB169" s="63"/>
      <c r="AC169" s="45"/>
    </row>
    <row r="170" spans="1:29" x14ac:dyDescent="0.2">
      <c r="A170" s="193"/>
      <c r="B170" s="157" t="s">
        <v>32</v>
      </c>
      <c r="C170" s="158"/>
      <c r="D170" s="158"/>
      <c r="E170" s="158"/>
      <c r="F170" s="158"/>
      <c r="G170" s="77" t="s">
        <v>33</v>
      </c>
      <c r="H170" s="159" t="s">
        <v>29</v>
      </c>
      <c r="I170" s="159"/>
      <c r="J170" s="159"/>
      <c r="K170" s="159" t="s">
        <v>41</v>
      </c>
      <c r="L170" s="159"/>
      <c r="M170" s="159"/>
      <c r="N170" s="160" t="s">
        <v>63</v>
      </c>
      <c r="O170" s="159"/>
      <c r="P170" s="159"/>
      <c r="Q170" s="160" t="s">
        <v>62</v>
      </c>
      <c r="R170" s="159"/>
      <c r="S170" s="159"/>
      <c r="T170" s="160" t="s">
        <v>61</v>
      </c>
      <c r="U170" s="159"/>
      <c r="V170" s="159"/>
      <c r="W170" s="159" t="s">
        <v>39</v>
      </c>
      <c r="X170" s="159"/>
      <c r="Y170" s="159"/>
      <c r="Z170" s="159" t="s">
        <v>40</v>
      </c>
      <c r="AA170" s="159"/>
      <c r="AB170" s="159"/>
      <c r="AC170" s="166"/>
    </row>
    <row r="171" spans="1:29" x14ac:dyDescent="0.2">
      <c r="A171" s="193"/>
      <c r="B171" s="157"/>
      <c r="C171" s="158"/>
      <c r="D171" s="158"/>
      <c r="E171" s="158"/>
      <c r="F171" s="158"/>
      <c r="G171" s="77" t="s">
        <v>34</v>
      </c>
      <c r="H171" s="78" t="s">
        <v>35</v>
      </c>
      <c r="I171" s="78" t="s">
        <v>36</v>
      </c>
      <c r="J171" s="79" t="s">
        <v>37</v>
      </c>
      <c r="K171" s="78" t="s">
        <v>35</v>
      </c>
      <c r="L171" s="78" t="s">
        <v>36</v>
      </c>
      <c r="M171" s="79" t="s">
        <v>37</v>
      </c>
      <c r="N171" s="78" t="s">
        <v>35</v>
      </c>
      <c r="O171" s="78" t="s">
        <v>36</v>
      </c>
      <c r="P171" s="79" t="s">
        <v>37</v>
      </c>
      <c r="Q171" s="78" t="s">
        <v>35</v>
      </c>
      <c r="R171" s="78" t="s">
        <v>36</v>
      </c>
      <c r="S171" s="79" t="s">
        <v>37</v>
      </c>
      <c r="T171" s="78" t="s">
        <v>35</v>
      </c>
      <c r="U171" s="78" t="s">
        <v>36</v>
      </c>
      <c r="V171" s="79" t="s">
        <v>37</v>
      </c>
      <c r="W171" s="78" t="s">
        <v>35</v>
      </c>
      <c r="X171" s="78" t="s">
        <v>36</v>
      </c>
      <c r="Y171" s="79" t="s">
        <v>37</v>
      </c>
      <c r="Z171" s="78" t="s">
        <v>35</v>
      </c>
      <c r="AA171" s="78" t="s">
        <v>36</v>
      </c>
      <c r="AB171" s="79" t="s">
        <v>37</v>
      </c>
      <c r="AC171" s="167"/>
    </row>
    <row r="172" spans="1:29" x14ac:dyDescent="0.2">
      <c r="A172" s="193"/>
      <c r="B172" s="168" t="str">
        <f t="shared" ref="B172:C177" si="70">IF(ISBLANK(B163), "-", B163)</f>
        <v>2A</v>
      </c>
      <c r="C172" s="169" t="str">
        <f t="shared" si="70"/>
        <v>JAR-007B</v>
      </c>
      <c r="D172" s="73">
        <v>21231</v>
      </c>
      <c r="E172" s="73" t="str">
        <f t="shared" ref="E172:F177" si="71">IF(ISBLANK(E163), "-", E163)</f>
        <v>White</v>
      </c>
      <c r="F172" s="73" t="str">
        <f t="shared" si="71"/>
        <v>RPET</v>
      </c>
      <c r="G172" s="170"/>
      <c r="H172" s="74">
        <v>200</v>
      </c>
      <c r="I172" s="74"/>
      <c r="J172" s="74">
        <v>15</v>
      </c>
      <c r="K172" s="74"/>
      <c r="L172" s="74"/>
      <c r="M172" s="74"/>
      <c r="N172" s="75"/>
      <c r="O172" s="75"/>
      <c r="P172" s="75"/>
      <c r="Q172" s="75"/>
      <c r="R172" s="75"/>
      <c r="S172" s="74"/>
      <c r="T172" s="75"/>
      <c r="U172" s="75"/>
      <c r="V172" s="75"/>
      <c r="W172" s="75"/>
      <c r="X172" s="75"/>
      <c r="Y172" s="74"/>
      <c r="Z172" s="74"/>
      <c r="AA172" s="74"/>
      <c r="AB172" s="76"/>
      <c r="AC172" s="167"/>
    </row>
    <row r="173" spans="1:29" x14ac:dyDescent="0.2">
      <c r="A173" s="193"/>
      <c r="B173" s="168" t="str">
        <f t="shared" si="70"/>
        <v>-</v>
      </c>
      <c r="C173" s="169" t="str">
        <f t="shared" si="70"/>
        <v>-</v>
      </c>
      <c r="D173" s="73" t="str">
        <f>IF(ISBLANK(D164), "-", D164)</f>
        <v>-</v>
      </c>
      <c r="E173" s="73" t="str">
        <f t="shared" si="71"/>
        <v>-</v>
      </c>
      <c r="F173" s="73" t="str">
        <f t="shared" si="71"/>
        <v>-</v>
      </c>
      <c r="G173" s="171"/>
      <c r="H173" s="75"/>
      <c r="I173" s="75"/>
      <c r="J173" s="75"/>
      <c r="K173" s="75"/>
      <c r="L173" s="75"/>
      <c r="M173" s="74"/>
      <c r="N173" s="75"/>
      <c r="O173" s="75"/>
      <c r="P173" s="75"/>
      <c r="Q173" s="75"/>
      <c r="R173" s="75"/>
      <c r="S173" s="74"/>
      <c r="T173" s="75"/>
      <c r="U173" s="75"/>
      <c r="V173" s="75"/>
      <c r="W173" s="75"/>
      <c r="X173" s="75"/>
      <c r="Y173" s="74"/>
      <c r="Z173" s="74"/>
      <c r="AA173" s="74"/>
      <c r="AB173" s="76"/>
      <c r="AC173" s="167"/>
    </row>
    <row r="174" spans="1:29" x14ac:dyDescent="0.2">
      <c r="A174" s="193"/>
      <c r="B174" s="173" t="str">
        <f t="shared" si="70"/>
        <v>3A</v>
      </c>
      <c r="C174" s="174" t="str">
        <f t="shared" si="70"/>
        <v>JAR-014</v>
      </c>
      <c r="D174" s="102">
        <f>IF(ISBLANK(D165), "-", D165)</f>
        <v>21234</v>
      </c>
      <c r="E174" s="102" t="str">
        <f t="shared" si="71"/>
        <v>White</v>
      </c>
      <c r="F174" s="102" t="str">
        <f t="shared" si="71"/>
        <v>RPET</v>
      </c>
      <c r="G174" s="171"/>
      <c r="H174" s="94">
        <v>30</v>
      </c>
      <c r="I174" s="94"/>
      <c r="J174" s="94">
        <v>25</v>
      </c>
      <c r="K174" s="94"/>
      <c r="L174" s="94"/>
      <c r="M174" s="94"/>
      <c r="N174" s="95"/>
      <c r="O174" s="95"/>
      <c r="P174" s="95"/>
      <c r="Q174" s="95"/>
      <c r="R174" s="95"/>
      <c r="S174" s="94"/>
      <c r="T174" s="95"/>
      <c r="U174" s="95"/>
      <c r="V174" s="95"/>
      <c r="W174" s="95"/>
      <c r="X174" s="95"/>
      <c r="Y174" s="94"/>
      <c r="Z174" s="94"/>
      <c r="AA174" s="94"/>
      <c r="AB174" s="96"/>
      <c r="AC174" s="167"/>
    </row>
    <row r="175" spans="1:29" x14ac:dyDescent="0.2">
      <c r="A175" s="193"/>
      <c r="B175" s="173" t="str">
        <f t="shared" si="70"/>
        <v>-</v>
      </c>
      <c r="C175" s="174" t="str">
        <f t="shared" si="70"/>
        <v>-</v>
      </c>
      <c r="D175" s="102" t="str">
        <f>IF(ISBLANK(D166), "-", D166)</f>
        <v>-</v>
      </c>
      <c r="E175" s="102" t="str">
        <f t="shared" si="71"/>
        <v>-</v>
      </c>
      <c r="F175" s="102" t="str">
        <f t="shared" si="71"/>
        <v>-</v>
      </c>
      <c r="G175" s="171"/>
      <c r="H175" s="95"/>
      <c r="I175" s="95"/>
      <c r="J175" s="95"/>
      <c r="K175" s="95"/>
      <c r="L175" s="95"/>
      <c r="M175" s="94"/>
      <c r="N175" s="95"/>
      <c r="O175" s="95"/>
      <c r="P175" s="95"/>
      <c r="Q175" s="95"/>
      <c r="R175" s="95"/>
      <c r="S175" s="94"/>
      <c r="T175" s="95"/>
      <c r="U175" s="95"/>
      <c r="V175" s="95"/>
      <c r="W175" s="95"/>
      <c r="X175" s="95"/>
      <c r="Y175" s="94"/>
      <c r="Z175" s="94"/>
      <c r="AA175" s="94"/>
      <c r="AB175" s="96"/>
      <c r="AC175" s="167"/>
    </row>
    <row r="176" spans="1:29" x14ac:dyDescent="0.2">
      <c r="A176" s="193"/>
      <c r="B176" s="168" t="str">
        <f t="shared" si="70"/>
        <v>4A</v>
      </c>
      <c r="C176" s="169" t="str">
        <f t="shared" si="70"/>
        <v>JAR-007A</v>
      </c>
      <c r="D176" s="73">
        <f>IF(ISBLANK(D167), "-", D167)</f>
        <v>21231</v>
      </c>
      <c r="E176" s="73" t="str">
        <f t="shared" si="71"/>
        <v>White</v>
      </c>
      <c r="F176" s="73" t="str">
        <f t="shared" si="71"/>
        <v>RPET</v>
      </c>
      <c r="G176" s="171"/>
      <c r="H176" s="75"/>
      <c r="I176" s="75"/>
      <c r="J176" s="75"/>
      <c r="K176" s="75"/>
      <c r="L176" s="75"/>
      <c r="M176" s="74"/>
      <c r="N176" s="75"/>
      <c r="O176" s="75"/>
      <c r="P176" s="75"/>
      <c r="Q176" s="75"/>
      <c r="R176" s="75"/>
      <c r="S176" s="74"/>
      <c r="T176" s="75"/>
      <c r="U176" s="75"/>
      <c r="V176" s="75"/>
      <c r="W176" s="75"/>
      <c r="X176" s="75"/>
      <c r="Y176" s="74"/>
      <c r="Z176" s="74"/>
      <c r="AA176" s="74"/>
      <c r="AB176" s="76"/>
      <c r="AC176" s="167"/>
    </row>
    <row r="177" spans="1:29" x14ac:dyDescent="0.2">
      <c r="A177" s="193"/>
      <c r="B177" s="168" t="str">
        <f t="shared" si="70"/>
        <v>-</v>
      </c>
      <c r="C177" s="169" t="str">
        <f t="shared" si="70"/>
        <v>-</v>
      </c>
      <c r="D177" s="73" t="str">
        <f>IF(ISBLANK(D168), "-", D168)</f>
        <v>-</v>
      </c>
      <c r="E177" s="73" t="str">
        <f t="shared" si="71"/>
        <v>-</v>
      </c>
      <c r="F177" s="73" t="str">
        <f t="shared" si="71"/>
        <v>-</v>
      </c>
      <c r="G177" s="172"/>
      <c r="H177" s="75"/>
      <c r="I177" s="75"/>
      <c r="J177" s="75"/>
      <c r="K177" s="75"/>
      <c r="L177" s="75"/>
      <c r="M177" s="74"/>
      <c r="N177" s="75"/>
      <c r="O177" s="75"/>
      <c r="P177" s="75"/>
      <c r="Q177" s="75"/>
      <c r="R177" s="75"/>
      <c r="S177" s="74"/>
      <c r="T177" s="75"/>
      <c r="U177" s="75"/>
      <c r="V177" s="75"/>
      <c r="W177" s="75"/>
      <c r="X177" s="75"/>
      <c r="Y177" s="74"/>
      <c r="Z177" s="74"/>
      <c r="AA177" s="74"/>
      <c r="AB177" s="76"/>
      <c r="AC177" s="167"/>
    </row>
    <row r="179" spans="1:29" x14ac:dyDescent="0.2">
      <c r="A179" s="193">
        <v>44722</v>
      </c>
      <c r="B179" s="16" t="s">
        <v>20</v>
      </c>
      <c r="C179" s="17"/>
      <c r="D179" s="18" t="s">
        <v>21</v>
      </c>
      <c r="E179" s="17">
        <v>0</v>
      </c>
      <c r="F179" s="24"/>
      <c r="G179" s="25"/>
      <c r="H179" s="38"/>
      <c r="I179" s="51"/>
      <c r="J179" s="57"/>
      <c r="K179" s="25"/>
      <c r="L179" s="18"/>
      <c r="M179" s="25"/>
      <c r="N179" s="38"/>
      <c r="O179" s="51"/>
      <c r="P179" s="57"/>
      <c r="Q179" s="25"/>
      <c r="R179" s="18"/>
      <c r="S179" s="25"/>
      <c r="T179" s="38"/>
      <c r="U179" s="51"/>
      <c r="V179" s="57"/>
      <c r="W179" s="25"/>
      <c r="X179" s="18"/>
      <c r="Y179" s="18"/>
      <c r="Z179" s="25"/>
      <c r="AA179" s="18"/>
      <c r="AB179" s="18"/>
      <c r="AC179" s="26"/>
    </row>
    <row r="180" spans="1:29" x14ac:dyDescent="0.2">
      <c r="A180" s="193"/>
      <c r="B180" s="157" t="s">
        <v>3</v>
      </c>
      <c r="C180" s="158" t="s">
        <v>0</v>
      </c>
      <c r="D180" s="158" t="s">
        <v>10</v>
      </c>
      <c r="E180" s="158" t="s">
        <v>4</v>
      </c>
      <c r="F180" s="158" t="s">
        <v>9</v>
      </c>
      <c r="G180" s="180" t="s">
        <v>5</v>
      </c>
      <c r="H180" s="187" t="s">
        <v>6</v>
      </c>
      <c r="I180" s="188"/>
      <c r="J180" s="188"/>
      <c r="K180" s="188"/>
      <c r="L180" s="188"/>
      <c r="M180" s="189"/>
      <c r="N180" s="187" t="s">
        <v>7</v>
      </c>
      <c r="O180" s="188"/>
      <c r="P180" s="188"/>
      <c r="Q180" s="188"/>
      <c r="R180" s="188"/>
      <c r="S180" s="189"/>
      <c r="T180" s="187" t="s">
        <v>8</v>
      </c>
      <c r="U180" s="188"/>
      <c r="V180" s="188"/>
      <c r="W180" s="188"/>
      <c r="X180" s="188"/>
      <c r="Y180" s="189"/>
      <c r="Z180" s="163" t="s">
        <v>16</v>
      </c>
      <c r="AA180" s="163" t="s">
        <v>66</v>
      </c>
      <c r="AB180" s="163" t="s">
        <v>27</v>
      </c>
      <c r="AC180" s="181" t="s">
        <v>11</v>
      </c>
    </row>
    <row r="181" spans="1:29" ht="41.25" customHeight="1" x14ac:dyDescent="0.2">
      <c r="A181" s="193"/>
      <c r="B181" s="157"/>
      <c r="C181" s="158"/>
      <c r="D181" s="158"/>
      <c r="E181" s="158"/>
      <c r="F181" s="158"/>
      <c r="G181" s="180"/>
      <c r="H181" s="39" t="s">
        <v>24</v>
      </c>
      <c r="I181" s="98" t="s">
        <v>25</v>
      </c>
      <c r="J181" s="99" t="s">
        <v>28</v>
      </c>
      <c r="K181" s="100" t="s">
        <v>22</v>
      </c>
      <c r="L181" s="101" t="s">
        <v>2</v>
      </c>
      <c r="M181" s="27" t="s">
        <v>14</v>
      </c>
      <c r="N181" s="39" t="s">
        <v>24</v>
      </c>
      <c r="O181" s="98" t="s">
        <v>25</v>
      </c>
      <c r="P181" s="99" t="s">
        <v>28</v>
      </c>
      <c r="Q181" s="100" t="s">
        <v>22</v>
      </c>
      <c r="R181" s="27" t="s">
        <v>2</v>
      </c>
      <c r="S181" s="27" t="s">
        <v>14</v>
      </c>
      <c r="T181" s="39" t="s">
        <v>24</v>
      </c>
      <c r="U181" s="98" t="s">
        <v>25</v>
      </c>
      <c r="V181" s="99" t="s">
        <v>28</v>
      </c>
      <c r="W181" s="100" t="s">
        <v>22</v>
      </c>
      <c r="X181" s="27" t="s">
        <v>2</v>
      </c>
      <c r="Y181" s="27" t="s">
        <v>14</v>
      </c>
      <c r="Z181" s="164"/>
      <c r="AA181" s="165"/>
      <c r="AB181" s="165"/>
      <c r="AC181" s="182"/>
    </row>
    <row r="182" spans="1:29" x14ac:dyDescent="0.2">
      <c r="A182" s="193"/>
      <c r="B182" s="194" t="s">
        <v>42</v>
      </c>
      <c r="C182" s="196" t="s">
        <v>45</v>
      </c>
      <c r="D182" s="11">
        <v>21231</v>
      </c>
      <c r="E182" s="11" t="s">
        <v>46</v>
      </c>
      <c r="F182" s="11" t="s">
        <v>130</v>
      </c>
      <c r="G182" s="196" t="s">
        <v>1</v>
      </c>
      <c r="H182" s="34">
        <v>41.45</v>
      </c>
      <c r="I182" s="49">
        <v>7.5</v>
      </c>
      <c r="J182" s="28">
        <v>626</v>
      </c>
      <c r="K182" s="28">
        <v>12</v>
      </c>
      <c r="L182" s="28">
        <f t="shared" ref="L182:L187" si="72">IF(ISBLANK(J182), , J182*K182)</f>
        <v>7512</v>
      </c>
      <c r="M182" s="23">
        <f t="shared" ref="M182:M187" si="73">H191+K191+N191+Q191+T191+W191+Z191</f>
        <v>200</v>
      </c>
      <c r="N182" s="34">
        <v>41.45</v>
      </c>
      <c r="O182" s="49">
        <v>8</v>
      </c>
      <c r="P182" s="28">
        <v>666</v>
      </c>
      <c r="Q182" s="28">
        <v>12</v>
      </c>
      <c r="R182" s="28">
        <f t="shared" ref="R182:R187" si="74">IF(ISBLANK(P182), , P182*Q182)</f>
        <v>7992</v>
      </c>
      <c r="S182" s="23">
        <f t="shared" ref="S182:S187" si="75">I191+L191+O191+R191+U191+X191+AA191</f>
        <v>0</v>
      </c>
      <c r="T182" s="34">
        <v>41.45</v>
      </c>
      <c r="U182" s="49">
        <v>8</v>
      </c>
      <c r="V182" s="28">
        <v>703</v>
      </c>
      <c r="W182" s="28">
        <v>12</v>
      </c>
      <c r="X182" s="28">
        <f t="shared" ref="X182:X187" si="76">IF(ISBLANK(V182), , V182*W182)</f>
        <v>8436</v>
      </c>
      <c r="Y182" s="23">
        <f t="shared" ref="Y182:Y187" si="77">J191+M191+P191+S191+V191+Y191+AB191</f>
        <v>0</v>
      </c>
      <c r="Z182" s="151">
        <f>SUM(L182, R182, X182)+SUM(L183, R183, X183)</f>
        <v>23940</v>
      </c>
      <c r="AA182" s="151">
        <f>SUM(M182, S182, Y182)+SUM(M183, S183, Y183)</f>
        <v>200</v>
      </c>
      <c r="AB182" s="153">
        <f>IF($Z182=0, ,AA182/$Z182)</f>
        <v>8.3542188805346695E-3</v>
      </c>
      <c r="AC182" s="179" t="s">
        <v>96</v>
      </c>
    </row>
    <row r="183" spans="1:29" x14ac:dyDescent="0.2">
      <c r="A183" s="193"/>
      <c r="B183" s="195"/>
      <c r="C183" s="197"/>
      <c r="D183" s="11"/>
      <c r="E183" s="11"/>
      <c r="F183" s="11"/>
      <c r="G183" s="198"/>
      <c r="H183" s="34"/>
      <c r="I183" s="49"/>
      <c r="J183" s="28"/>
      <c r="K183" s="28"/>
      <c r="L183" s="28">
        <f t="shared" si="72"/>
        <v>0</v>
      </c>
      <c r="M183" s="23">
        <f t="shared" si="73"/>
        <v>0</v>
      </c>
      <c r="N183" s="34"/>
      <c r="O183" s="49"/>
      <c r="P183" s="28"/>
      <c r="Q183" s="28"/>
      <c r="R183" s="28">
        <f t="shared" si="74"/>
        <v>0</v>
      </c>
      <c r="S183" s="23">
        <f t="shared" si="75"/>
        <v>0</v>
      </c>
      <c r="T183" s="34"/>
      <c r="U183" s="49"/>
      <c r="V183" s="28"/>
      <c r="W183" s="28"/>
      <c r="X183" s="28">
        <f t="shared" si="76"/>
        <v>0</v>
      </c>
      <c r="Y183" s="23">
        <f t="shared" si="77"/>
        <v>0</v>
      </c>
      <c r="Z183" s="152"/>
      <c r="AA183" s="152"/>
      <c r="AB183" s="154"/>
      <c r="AC183" s="155"/>
    </row>
    <row r="184" spans="1:29" x14ac:dyDescent="0.2">
      <c r="A184" s="193"/>
      <c r="B184" s="175" t="s">
        <v>43</v>
      </c>
      <c r="C184" s="177" t="s">
        <v>65</v>
      </c>
      <c r="D184" s="10">
        <v>21234</v>
      </c>
      <c r="E184" s="10" t="s">
        <v>46</v>
      </c>
      <c r="F184" s="10" t="s">
        <v>130</v>
      </c>
      <c r="G184" s="177" t="s">
        <v>1</v>
      </c>
      <c r="H184" s="35">
        <v>41.6</v>
      </c>
      <c r="I184" s="52">
        <v>8</v>
      </c>
      <c r="J184" s="64">
        <v>685</v>
      </c>
      <c r="K184" s="64">
        <v>12</v>
      </c>
      <c r="L184" s="64">
        <f t="shared" si="72"/>
        <v>8220</v>
      </c>
      <c r="M184" s="65">
        <f t="shared" si="73"/>
        <v>30</v>
      </c>
      <c r="N184" s="66">
        <v>41.6</v>
      </c>
      <c r="O184" s="67">
        <v>8</v>
      </c>
      <c r="P184" s="64">
        <v>696</v>
      </c>
      <c r="Q184" s="64">
        <v>12</v>
      </c>
      <c r="R184" s="64">
        <f t="shared" si="74"/>
        <v>8352</v>
      </c>
      <c r="S184" s="65">
        <f t="shared" si="75"/>
        <v>0</v>
      </c>
      <c r="T184" s="66">
        <v>41.6</v>
      </c>
      <c r="U184" s="67">
        <v>8</v>
      </c>
      <c r="V184" s="64">
        <v>698</v>
      </c>
      <c r="W184" s="64">
        <v>12</v>
      </c>
      <c r="X184" s="64">
        <f t="shared" si="76"/>
        <v>8376</v>
      </c>
      <c r="Y184" s="65">
        <f t="shared" si="77"/>
        <v>20</v>
      </c>
      <c r="Z184" s="183">
        <f>SUM(L184, R184, X184)+SUM(L185, R185, X185)</f>
        <v>24948</v>
      </c>
      <c r="AA184" s="185">
        <f>SUM(M184, S184, Y184)+SUM(M185, S185, Y185)</f>
        <v>50</v>
      </c>
      <c r="AB184" s="190">
        <f>IF($Z184=0, ,AA184/$Z184)</f>
        <v>2.0041686708353375E-3</v>
      </c>
      <c r="AC184" s="192"/>
    </row>
    <row r="185" spans="1:29" x14ac:dyDescent="0.2">
      <c r="A185" s="193"/>
      <c r="B185" s="176"/>
      <c r="C185" s="178"/>
      <c r="D185" s="10"/>
      <c r="E185" s="10"/>
      <c r="F185" s="10"/>
      <c r="G185" s="178"/>
      <c r="H185" s="35"/>
      <c r="I185" s="52"/>
      <c r="J185" s="64"/>
      <c r="K185" s="64"/>
      <c r="L185" s="64">
        <f t="shared" si="72"/>
        <v>0</v>
      </c>
      <c r="M185" s="65">
        <f t="shared" si="73"/>
        <v>0</v>
      </c>
      <c r="N185" s="66"/>
      <c r="O185" s="67"/>
      <c r="P185" s="64"/>
      <c r="Q185" s="64"/>
      <c r="R185" s="64">
        <f t="shared" si="74"/>
        <v>0</v>
      </c>
      <c r="S185" s="65">
        <f t="shared" si="75"/>
        <v>0</v>
      </c>
      <c r="T185" s="66"/>
      <c r="U185" s="67"/>
      <c r="V185" s="64"/>
      <c r="W185" s="64"/>
      <c r="X185" s="64">
        <f t="shared" si="76"/>
        <v>0</v>
      </c>
      <c r="Y185" s="65">
        <f t="shared" si="77"/>
        <v>0</v>
      </c>
      <c r="Z185" s="184"/>
      <c r="AA185" s="186"/>
      <c r="AB185" s="191"/>
      <c r="AC185" s="192"/>
    </row>
    <row r="186" spans="1:29" x14ac:dyDescent="0.2">
      <c r="A186" s="193"/>
      <c r="B186" s="161" t="s">
        <v>44</v>
      </c>
      <c r="C186" s="149" t="s">
        <v>67</v>
      </c>
      <c r="D186" s="9">
        <v>21231</v>
      </c>
      <c r="E186" s="9" t="s">
        <v>46</v>
      </c>
      <c r="F186" s="9" t="s">
        <v>130</v>
      </c>
      <c r="G186" s="149" t="s">
        <v>1</v>
      </c>
      <c r="H186" s="36">
        <v>41.35</v>
      </c>
      <c r="I186" s="53">
        <v>4</v>
      </c>
      <c r="J186" s="29">
        <v>309</v>
      </c>
      <c r="K186" s="29">
        <v>12</v>
      </c>
      <c r="L186" s="29">
        <f t="shared" si="72"/>
        <v>3708</v>
      </c>
      <c r="M186" s="30">
        <f t="shared" si="73"/>
        <v>200</v>
      </c>
      <c r="N186" s="36">
        <v>41.35</v>
      </c>
      <c r="O186" s="53">
        <v>8</v>
      </c>
      <c r="P186" s="29">
        <v>688</v>
      </c>
      <c r="Q186" s="29">
        <v>12</v>
      </c>
      <c r="R186" s="29">
        <f t="shared" si="74"/>
        <v>8256</v>
      </c>
      <c r="S186" s="30">
        <f t="shared" si="75"/>
        <v>0</v>
      </c>
      <c r="T186" s="36">
        <v>41.35</v>
      </c>
      <c r="U186" s="53">
        <v>8</v>
      </c>
      <c r="V186" s="29">
        <v>649</v>
      </c>
      <c r="W186" s="29">
        <v>12</v>
      </c>
      <c r="X186" s="29">
        <f t="shared" si="76"/>
        <v>7788</v>
      </c>
      <c r="Y186" s="30">
        <f t="shared" si="77"/>
        <v>200</v>
      </c>
      <c r="Z186" s="151">
        <f>SUM(L186, R186, X186)+SUM(L187, R187, X187)</f>
        <v>19752</v>
      </c>
      <c r="AA186" s="151">
        <f>SUM(M186, S186, Y186)+SUM(M187, S187, Y187)</f>
        <v>400</v>
      </c>
      <c r="AB186" s="153">
        <f>IF($Z186=0, ,AA186/$Z186)</f>
        <v>2.025111381125962E-2</v>
      </c>
      <c r="AC186" s="155" t="s">
        <v>102</v>
      </c>
    </row>
    <row r="187" spans="1:29" x14ac:dyDescent="0.2">
      <c r="A187" s="193"/>
      <c r="B187" s="162"/>
      <c r="C187" s="150"/>
      <c r="D187" s="9"/>
      <c r="E187" s="9"/>
      <c r="F187" s="9"/>
      <c r="G187" s="150"/>
      <c r="H187" s="36"/>
      <c r="I187" s="53"/>
      <c r="J187" s="29"/>
      <c r="K187" s="29"/>
      <c r="L187" s="29">
        <f t="shared" si="72"/>
        <v>0</v>
      </c>
      <c r="M187" s="30">
        <f t="shared" si="73"/>
        <v>0</v>
      </c>
      <c r="N187" s="36"/>
      <c r="O187" s="53"/>
      <c r="P187" s="29"/>
      <c r="Q187" s="29"/>
      <c r="R187" s="29">
        <f t="shared" si="74"/>
        <v>0</v>
      </c>
      <c r="S187" s="30">
        <f t="shared" si="75"/>
        <v>0</v>
      </c>
      <c r="T187" s="36"/>
      <c r="U187" s="53"/>
      <c r="V187" s="29"/>
      <c r="W187" s="29"/>
      <c r="X187" s="29">
        <f t="shared" si="76"/>
        <v>0</v>
      </c>
      <c r="Y187" s="30">
        <f t="shared" si="77"/>
        <v>0</v>
      </c>
      <c r="Z187" s="152"/>
      <c r="AA187" s="152"/>
      <c r="AB187" s="154"/>
      <c r="AC187" s="156"/>
    </row>
    <row r="188" spans="1:29" x14ac:dyDescent="0.2">
      <c r="A188" s="193"/>
      <c r="B188" s="42"/>
      <c r="C188" s="42"/>
      <c r="D188" s="42"/>
      <c r="E188" s="42"/>
      <c r="F188" s="42"/>
      <c r="G188" s="42"/>
      <c r="H188" s="59"/>
      <c r="I188" s="60"/>
      <c r="J188" s="61"/>
      <c r="K188" s="61"/>
      <c r="L188" s="61"/>
      <c r="M188" s="62"/>
      <c r="N188" s="59"/>
      <c r="O188" s="60"/>
      <c r="P188" s="61"/>
      <c r="Q188" s="61"/>
      <c r="R188" s="61"/>
      <c r="S188" s="62"/>
      <c r="T188" s="59"/>
      <c r="U188" s="60"/>
      <c r="V188" s="61"/>
      <c r="W188" s="61"/>
      <c r="X188" s="61"/>
      <c r="Y188" s="62"/>
      <c r="Z188" s="62"/>
      <c r="AA188" s="62"/>
      <c r="AB188" s="63"/>
      <c r="AC188" s="45"/>
    </row>
    <row r="189" spans="1:29" x14ac:dyDescent="0.2">
      <c r="A189" s="193"/>
      <c r="B189" s="157" t="s">
        <v>32</v>
      </c>
      <c r="C189" s="158"/>
      <c r="D189" s="158"/>
      <c r="E189" s="158"/>
      <c r="F189" s="158"/>
      <c r="G189" s="77" t="s">
        <v>33</v>
      </c>
      <c r="H189" s="159" t="s">
        <v>29</v>
      </c>
      <c r="I189" s="159"/>
      <c r="J189" s="159"/>
      <c r="K189" s="159" t="s">
        <v>41</v>
      </c>
      <c r="L189" s="159"/>
      <c r="M189" s="159"/>
      <c r="N189" s="160" t="s">
        <v>63</v>
      </c>
      <c r="O189" s="159"/>
      <c r="P189" s="159"/>
      <c r="Q189" s="160" t="s">
        <v>62</v>
      </c>
      <c r="R189" s="159"/>
      <c r="S189" s="159"/>
      <c r="T189" s="160" t="s">
        <v>61</v>
      </c>
      <c r="U189" s="159"/>
      <c r="V189" s="159"/>
      <c r="W189" s="159" t="s">
        <v>39</v>
      </c>
      <c r="X189" s="159"/>
      <c r="Y189" s="159"/>
      <c r="Z189" s="159" t="s">
        <v>40</v>
      </c>
      <c r="AA189" s="159"/>
      <c r="AB189" s="159"/>
      <c r="AC189" s="166"/>
    </row>
    <row r="190" spans="1:29" x14ac:dyDescent="0.2">
      <c r="A190" s="193"/>
      <c r="B190" s="157"/>
      <c r="C190" s="158"/>
      <c r="D190" s="158"/>
      <c r="E190" s="158"/>
      <c r="F190" s="158"/>
      <c r="G190" s="77" t="s">
        <v>34</v>
      </c>
      <c r="H190" s="78" t="s">
        <v>35</v>
      </c>
      <c r="I190" s="78" t="s">
        <v>36</v>
      </c>
      <c r="J190" s="79" t="s">
        <v>37</v>
      </c>
      <c r="K190" s="78" t="s">
        <v>35</v>
      </c>
      <c r="L190" s="78" t="s">
        <v>36</v>
      </c>
      <c r="M190" s="79" t="s">
        <v>37</v>
      </c>
      <c r="N190" s="78" t="s">
        <v>35</v>
      </c>
      <c r="O190" s="78" t="s">
        <v>36</v>
      </c>
      <c r="P190" s="79" t="s">
        <v>37</v>
      </c>
      <c r="Q190" s="78" t="s">
        <v>35</v>
      </c>
      <c r="R190" s="78" t="s">
        <v>36</v>
      </c>
      <c r="S190" s="79" t="s">
        <v>37</v>
      </c>
      <c r="T190" s="78" t="s">
        <v>35</v>
      </c>
      <c r="U190" s="78" t="s">
        <v>36</v>
      </c>
      <c r="V190" s="79" t="s">
        <v>37</v>
      </c>
      <c r="W190" s="78" t="s">
        <v>35</v>
      </c>
      <c r="X190" s="78" t="s">
        <v>36</v>
      </c>
      <c r="Y190" s="79" t="s">
        <v>37</v>
      </c>
      <c r="Z190" s="78" t="s">
        <v>35</v>
      </c>
      <c r="AA190" s="78" t="s">
        <v>36</v>
      </c>
      <c r="AB190" s="79" t="s">
        <v>37</v>
      </c>
      <c r="AC190" s="167"/>
    </row>
    <row r="191" spans="1:29" x14ac:dyDescent="0.2">
      <c r="A191" s="193"/>
      <c r="B191" s="168" t="str">
        <f t="shared" ref="B191:C196" si="78">IF(ISBLANK(B182), "-", B182)</f>
        <v>2A</v>
      </c>
      <c r="C191" s="169" t="str">
        <f t="shared" si="78"/>
        <v>JAR-007B</v>
      </c>
      <c r="D191" s="73">
        <v>21231</v>
      </c>
      <c r="E191" s="73" t="str">
        <f t="shared" ref="E191:F196" si="79">IF(ISBLANK(E182), "-", E182)</f>
        <v>White</v>
      </c>
      <c r="F191" s="73" t="str">
        <f t="shared" si="79"/>
        <v>RPET</v>
      </c>
      <c r="G191" s="170"/>
      <c r="H191" s="74">
        <v>200</v>
      </c>
      <c r="I191" s="74"/>
      <c r="J191" s="74"/>
      <c r="K191" s="74"/>
      <c r="L191" s="74"/>
      <c r="M191" s="74"/>
      <c r="N191" s="75"/>
      <c r="O191" s="75"/>
      <c r="P191" s="75"/>
      <c r="Q191" s="75"/>
      <c r="R191" s="75"/>
      <c r="S191" s="74"/>
      <c r="T191" s="75"/>
      <c r="U191" s="75"/>
      <c r="V191" s="75"/>
      <c r="W191" s="75"/>
      <c r="X191" s="75"/>
      <c r="Y191" s="74"/>
      <c r="Z191" s="74"/>
      <c r="AA191" s="74"/>
      <c r="AB191" s="76"/>
      <c r="AC191" s="167"/>
    </row>
    <row r="192" spans="1:29" x14ac:dyDescent="0.2">
      <c r="A192" s="193"/>
      <c r="B192" s="168" t="str">
        <f t="shared" si="78"/>
        <v>-</v>
      </c>
      <c r="C192" s="169" t="str">
        <f t="shared" si="78"/>
        <v>-</v>
      </c>
      <c r="D192" s="73" t="str">
        <f>IF(ISBLANK(D183), "-", D183)</f>
        <v>-</v>
      </c>
      <c r="E192" s="73" t="str">
        <f t="shared" si="79"/>
        <v>-</v>
      </c>
      <c r="F192" s="73" t="str">
        <f t="shared" si="79"/>
        <v>-</v>
      </c>
      <c r="G192" s="171"/>
      <c r="H192" s="75"/>
      <c r="I192" s="75"/>
      <c r="J192" s="75"/>
      <c r="K192" s="75"/>
      <c r="L192" s="75"/>
      <c r="M192" s="74"/>
      <c r="N192" s="75"/>
      <c r="O192" s="75"/>
      <c r="P192" s="75"/>
      <c r="Q192" s="75"/>
      <c r="R192" s="75"/>
      <c r="S192" s="74"/>
      <c r="T192" s="75"/>
      <c r="U192" s="75"/>
      <c r="V192" s="75"/>
      <c r="W192" s="75"/>
      <c r="X192" s="75"/>
      <c r="Y192" s="74"/>
      <c r="Z192" s="74"/>
      <c r="AA192" s="74"/>
      <c r="AB192" s="76"/>
      <c r="AC192" s="167"/>
    </row>
    <row r="193" spans="1:29" x14ac:dyDescent="0.2">
      <c r="A193" s="193"/>
      <c r="B193" s="173" t="str">
        <f t="shared" si="78"/>
        <v>3A</v>
      </c>
      <c r="C193" s="174" t="str">
        <f t="shared" si="78"/>
        <v>JAR-014</v>
      </c>
      <c r="D193" s="102">
        <f>IF(ISBLANK(D184), "-", D184)</f>
        <v>21234</v>
      </c>
      <c r="E193" s="102" t="str">
        <f t="shared" si="79"/>
        <v>White</v>
      </c>
      <c r="F193" s="102" t="str">
        <f t="shared" si="79"/>
        <v>RPET</v>
      </c>
      <c r="G193" s="171"/>
      <c r="H193" s="94">
        <v>30</v>
      </c>
      <c r="I193" s="94"/>
      <c r="J193" s="94">
        <v>20</v>
      </c>
      <c r="K193" s="94"/>
      <c r="L193" s="94"/>
      <c r="M193" s="94"/>
      <c r="N193" s="95"/>
      <c r="O193" s="95"/>
      <c r="P193" s="95"/>
      <c r="Q193" s="95"/>
      <c r="R193" s="95"/>
      <c r="S193" s="94"/>
      <c r="T193" s="95"/>
      <c r="U193" s="95"/>
      <c r="V193" s="95"/>
      <c r="W193" s="95"/>
      <c r="X193" s="95"/>
      <c r="Y193" s="94"/>
      <c r="Z193" s="94"/>
      <c r="AA193" s="94"/>
      <c r="AB193" s="96"/>
      <c r="AC193" s="167"/>
    </row>
    <row r="194" spans="1:29" x14ac:dyDescent="0.2">
      <c r="A194" s="193"/>
      <c r="B194" s="173" t="str">
        <f t="shared" si="78"/>
        <v>-</v>
      </c>
      <c r="C194" s="174" t="str">
        <f t="shared" si="78"/>
        <v>-</v>
      </c>
      <c r="D194" s="102" t="str">
        <f>IF(ISBLANK(D185), "-", D185)</f>
        <v>-</v>
      </c>
      <c r="E194" s="102" t="str">
        <f t="shared" si="79"/>
        <v>-</v>
      </c>
      <c r="F194" s="102" t="str">
        <f t="shared" si="79"/>
        <v>-</v>
      </c>
      <c r="G194" s="171"/>
      <c r="H194" s="95"/>
      <c r="I194" s="95"/>
      <c r="J194" s="95"/>
      <c r="K194" s="95"/>
      <c r="L194" s="95"/>
      <c r="M194" s="94"/>
      <c r="N194" s="95"/>
      <c r="O194" s="95"/>
      <c r="P194" s="95"/>
      <c r="Q194" s="95"/>
      <c r="R194" s="95"/>
      <c r="S194" s="94"/>
      <c r="T194" s="95"/>
      <c r="U194" s="95"/>
      <c r="V194" s="95"/>
      <c r="W194" s="95"/>
      <c r="X194" s="95"/>
      <c r="Y194" s="94"/>
      <c r="Z194" s="94"/>
      <c r="AA194" s="94"/>
      <c r="AB194" s="96"/>
      <c r="AC194" s="167"/>
    </row>
    <row r="195" spans="1:29" x14ac:dyDescent="0.2">
      <c r="A195" s="193"/>
      <c r="B195" s="168" t="str">
        <f t="shared" si="78"/>
        <v>4A</v>
      </c>
      <c r="C195" s="169" t="str">
        <f t="shared" si="78"/>
        <v>JAR-007A</v>
      </c>
      <c r="D195" s="73">
        <f>IF(ISBLANK(D186), "-", D186)</f>
        <v>21231</v>
      </c>
      <c r="E195" s="73" t="str">
        <f t="shared" si="79"/>
        <v>White</v>
      </c>
      <c r="F195" s="73" t="str">
        <f t="shared" si="79"/>
        <v>RPET</v>
      </c>
      <c r="G195" s="171"/>
      <c r="H195" s="75">
        <v>200</v>
      </c>
      <c r="I195" s="75"/>
      <c r="J195" s="75">
        <v>200</v>
      </c>
      <c r="K195" s="75"/>
      <c r="L195" s="75"/>
      <c r="M195" s="74"/>
      <c r="N195" s="75"/>
      <c r="O195" s="75"/>
      <c r="P195" s="75"/>
      <c r="Q195" s="75"/>
      <c r="R195" s="75"/>
      <c r="S195" s="74"/>
      <c r="T195" s="75"/>
      <c r="U195" s="75"/>
      <c r="V195" s="75"/>
      <c r="W195" s="75"/>
      <c r="X195" s="75"/>
      <c r="Y195" s="74"/>
      <c r="Z195" s="74"/>
      <c r="AA195" s="74"/>
      <c r="AB195" s="76"/>
      <c r="AC195" s="167"/>
    </row>
    <row r="196" spans="1:29" x14ac:dyDescent="0.2">
      <c r="A196" s="193"/>
      <c r="B196" s="168" t="str">
        <f t="shared" si="78"/>
        <v>-</v>
      </c>
      <c r="C196" s="169" t="str">
        <f t="shared" si="78"/>
        <v>-</v>
      </c>
      <c r="D196" s="73" t="str">
        <f>IF(ISBLANK(D187), "-", D187)</f>
        <v>-</v>
      </c>
      <c r="E196" s="73" t="str">
        <f t="shared" si="79"/>
        <v>-</v>
      </c>
      <c r="F196" s="73" t="str">
        <f t="shared" si="79"/>
        <v>-</v>
      </c>
      <c r="G196" s="172"/>
      <c r="H196" s="75"/>
      <c r="I196" s="75"/>
      <c r="J196" s="75"/>
      <c r="K196" s="75"/>
      <c r="L196" s="75"/>
      <c r="M196" s="74"/>
      <c r="N196" s="75"/>
      <c r="O196" s="75"/>
      <c r="P196" s="75"/>
      <c r="Q196" s="75"/>
      <c r="R196" s="75"/>
      <c r="S196" s="74"/>
      <c r="T196" s="75"/>
      <c r="U196" s="75"/>
      <c r="V196" s="75"/>
      <c r="W196" s="75"/>
      <c r="X196" s="75"/>
      <c r="Y196" s="74"/>
      <c r="Z196" s="74"/>
      <c r="AA196" s="74"/>
      <c r="AB196" s="76"/>
      <c r="AC196" s="167"/>
    </row>
    <row r="198" spans="1:29" x14ac:dyDescent="0.2">
      <c r="A198" s="193">
        <v>44723</v>
      </c>
      <c r="B198" s="16" t="s">
        <v>20</v>
      </c>
      <c r="C198" s="17"/>
      <c r="D198" s="18" t="s">
        <v>21</v>
      </c>
      <c r="E198" s="17">
        <v>0</v>
      </c>
      <c r="F198" s="24"/>
      <c r="G198" s="25"/>
      <c r="H198" s="38"/>
      <c r="I198" s="51"/>
      <c r="J198" s="57"/>
      <c r="K198" s="25"/>
      <c r="L198" s="18"/>
      <c r="M198" s="25"/>
      <c r="N198" s="38"/>
      <c r="O198" s="51"/>
      <c r="P198" s="57"/>
      <c r="Q198" s="25"/>
      <c r="R198" s="18"/>
      <c r="S198" s="25"/>
      <c r="T198" s="38"/>
      <c r="U198" s="51"/>
      <c r="V198" s="57"/>
      <c r="W198" s="25"/>
      <c r="X198" s="18"/>
      <c r="Y198" s="18"/>
      <c r="Z198" s="25"/>
      <c r="AA198" s="18"/>
      <c r="AB198" s="18"/>
      <c r="AC198" s="26"/>
    </row>
    <row r="199" spans="1:29" x14ac:dyDescent="0.2">
      <c r="A199" s="193"/>
      <c r="B199" s="157" t="s">
        <v>3</v>
      </c>
      <c r="C199" s="158" t="s">
        <v>0</v>
      </c>
      <c r="D199" s="158" t="s">
        <v>10</v>
      </c>
      <c r="E199" s="158" t="s">
        <v>4</v>
      </c>
      <c r="F199" s="158" t="s">
        <v>9</v>
      </c>
      <c r="G199" s="180" t="s">
        <v>5</v>
      </c>
      <c r="H199" s="187" t="s">
        <v>6</v>
      </c>
      <c r="I199" s="188"/>
      <c r="J199" s="188"/>
      <c r="K199" s="188"/>
      <c r="L199" s="188"/>
      <c r="M199" s="189"/>
      <c r="N199" s="187" t="s">
        <v>7</v>
      </c>
      <c r="O199" s="188"/>
      <c r="P199" s="188"/>
      <c r="Q199" s="188"/>
      <c r="R199" s="188"/>
      <c r="S199" s="189"/>
      <c r="T199" s="187" t="s">
        <v>8</v>
      </c>
      <c r="U199" s="188"/>
      <c r="V199" s="188"/>
      <c r="W199" s="188"/>
      <c r="X199" s="188"/>
      <c r="Y199" s="189"/>
      <c r="Z199" s="163" t="s">
        <v>16</v>
      </c>
      <c r="AA199" s="163" t="s">
        <v>66</v>
      </c>
      <c r="AB199" s="163" t="s">
        <v>27</v>
      </c>
      <c r="AC199" s="181" t="s">
        <v>11</v>
      </c>
    </row>
    <row r="200" spans="1:29" ht="36.75" customHeight="1" x14ac:dyDescent="0.2">
      <c r="A200" s="193"/>
      <c r="B200" s="157"/>
      <c r="C200" s="158"/>
      <c r="D200" s="158"/>
      <c r="E200" s="158"/>
      <c r="F200" s="158"/>
      <c r="G200" s="180"/>
      <c r="H200" s="39" t="s">
        <v>24</v>
      </c>
      <c r="I200" s="98" t="s">
        <v>25</v>
      </c>
      <c r="J200" s="99" t="s">
        <v>28</v>
      </c>
      <c r="K200" s="100" t="s">
        <v>22</v>
      </c>
      <c r="L200" s="101" t="s">
        <v>2</v>
      </c>
      <c r="M200" s="27" t="s">
        <v>14</v>
      </c>
      <c r="N200" s="39" t="s">
        <v>24</v>
      </c>
      <c r="O200" s="98" t="s">
        <v>25</v>
      </c>
      <c r="P200" s="99" t="s">
        <v>28</v>
      </c>
      <c r="Q200" s="100" t="s">
        <v>22</v>
      </c>
      <c r="R200" s="27" t="s">
        <v>2</v>
      </c>
      <c r="S200" s="27" t="s">
        <v>14</v>
      </c>
      <c r="T200" s="39" t="s">
        <v>24</v>
      </c>
      <c r="U200" s="98" t="s">
        <v>25</v>
      </c>
      <c r="V200" s="99" t="s">
        <v>28</v>
      </c>
      <c r="W200" s="100" t="s">
        <v>22</v>
      </c>
      <c r="X200" s="27" t="s">
        <v>2</v>
      </c>
      <c r="Y200" s="27" t="s">
        <v>14</v>
      </c>
      <c r="Z200" s="164"/>
      <c r="AA200" s="165"/>
      <c r="AB200" s="165"/>
      <c r="AC200" s="182"/>
    </row>
    <row r="201" spans="1:29" x14ac:dyDescent="0.2">
      <c r="A201" s="193"/>
      <c r="B201" s="194" t="s">
        <v>42</v>
      </c>
      <c r="C201" s="196" t="s">
        <v>45</v>
      </c>
      <c r="D201" s="11">
        <v>21231</v>
      </c>
      <c r="E201" s="11" t="s">
        <v>46</v>
      </c>
      <c r="F201" s="11" t="s">
        <v>130</v>
      </c>
      <c r="G201" s="196" t="s">
        <v>1</v>
      </c>
      <c r="H201" s="34">
        <v>41.45</v>
      </c>
      <c r="I201" s="49">
        <v>8</v>
      </c>
      <c r="J201" s="28">
        <v>701</v>
      </c>
      <c r="K201" s="28">
        <v>12</v>
      </c>
      <c r="L201" s="28">
        <f t="shared" ref="L201:L206" si="80">IF(ISBLANK(J201), , J201*K201)</f>
        <v>8412</v>
      </c>
      <c r="M201" s="23">
        <f t="shared" ref="M201:M206" si="81">H210+K210+N210+Q210+T210+W210+Z210</f>
        <v>0</v>
      </c>
      <c r="N201" s="34">
        <v>41.45</v>
      </c>
      <c r="O201" s="49">
        <v>8</v>
      </c>
      <c r="P201" s="28">
        <v>681</v>
      </c>
      <c r="Q201" s="28">
        <v>12</v>
      </c>
      <c r="R201" s="28">
        <f t="shared" ref="R201:R206" si="82">IF(ISBLANK(P201), , P201*Q201)</f>
        <v>8172</v>
      </c>
      <c r="S201" s="23">
        <f t="shared" ref="S201:S206" si="83">I210+L210+O210+R210+U210+X210+AA210</f>
        <v>0</v>
      </c>
      <c r="T201" s="34">
        <v>41.45</v>
      </c>
      <c r="U201" s="49">
        <v>8</v>
      </c>
      <c r="V201" s="28">
        <v>688</v>
      </c>
      <c r="W201" s="28">
        <v>12</v>
      </c>
      <c r="X201" s="28">
        <f t="shared" ref="X201:X206" si="84">IF(ISBLANK(V201), , V201*W201)</f>
        <v>8256</v>
      </c>
      <c r="Y201" s="23">
        <f t="shared" ref="Y201:Y206" si="85">J210+M210+P210+S210+V210+Y210+AB210</f>
        <v>30</v>
      </c>
      <c r="Z201" s="151">
        <f>SUM(L201, R201, X201)+SUM(L202, R202, X202)</f>
        <v>24840</v>
      </c>
      <c r="AA201" s="151">
        <f>SUM(M201, S201, Y201)+SUM(M202, S202, Y202)</f>
        <v>30</v>
      </c>
      <c r="AB201" s="153">
        <f>IF($Z201=0, ,AA201/$Z201)</f>
        <v>1.2077294685990338E-3</v>
      </c>
      <c r="AC201" s="179" t="s">
        <v>99</v>
      </c>
    </row>
    <row r="202" spans="1:29" x14ac:dyDescent="0.2">
      <c r="A202" s="193"/>
      <c r="B202" s="195"/>
      <c r="C202" s="197"/>
      <c r="D202" s="11"/>
      <c r="E202" s="11"/>
      <c r="F202" s="11"/>
      <c r="G202" s="198"/>
      <c r="H202" s="34"/>
      <c r="I202" s="49"/>
      <c r="J202" s="28"/>
      <c r="K202" s="28"/>
      <c r="L202" s="28">
        <f t="shared" si="80"/>
        <v>0</v>
      </c>
      <c r="M202" s="23">
        <f t="shared" si="81"/>
        <v>0</v>
      </c>
      <c r="N202" s="34"/>
      <c r="O202" s="49"/>
      <c r="P202" s="28"/>
      <c r="Q202" s="28"/>
      <c r="R202" s="28">
        <f t="shared" si="82"/>
        <v>0</v>
      </c>
      <c r="S202" s="23">
        <f t="shared" si="83"/>
        <v>0</v>
      </c>
      <c r="T202" s="34"/>
      <c r="U202" s="49"/>
      <c r="V202" s="28"/>
      <c r="W202" s="28"/>
      <c r="X202" s="28">
        <f t="shared" si="84"/>
        <v>0</v>
      </c>
      <c r="Y202" s="23">
        <f t="shared" si="85"/>
        <v>0</v>
      </c>
      <c r="Z202" s="152"/>
      <c r="AA202" s="152"/>
      <c r="AB202" s="154"/>
      <c r="AC202" s="155"/>
    </row>
    <row r="203" spans="1:29" x14ac:dyDescent="0.2">
      <c r="A203" s="193"/>
      <c r="B203" s="175" t="s">
        <v>43</v>
      </c>
      <c r="C203" s="177" t="s">
        <v>65</v>
      </c>
      <c r="D203" s="10">
        <v>21234</v>
      </c>
      <c r="E203" s="10" t="s">
        <v>46</v>
      </c>
      <c r="F203" s="10" t="s">
        <v>130</v>
      </c>
      <c r="G203" s="177" t="s">
        <v>1</v>
      </c>
      <c r="H203" s="35">
        <v>41.6</v>
      </c>
      <c r="I203" s="52">
        <v>8</v>
      </c>
      <c r="J203" s="64">
        <v>688</v>
      </c>
      <c r="K203" s="64">
        <v>12</v>
      </c>
      <c r="L203" s="64">
        <f t="shared" si="80"/>
        <v>8256</v>
      </c>
      <c r="M203" s="65">
        <f t="shared" si="81"/>
        <v>0</v>
      </c>
      <c r="N203" s="66">
        <v>41.6</v>
      </c>
      <c r="O203" s="67">
        <v>8</v>
      </c>
      <c r="P203" s="64">
        <v>696</v>
      </c>
      <c r="Q203" s="64">
        <v>12</v>
      </c>
      <c r="R203" s="64">
        <f t="shared" si="82"/>
        <v>8352</v>
      </c>
      <c r="S203" s="65">
        <f t="shared" si="83"/>
        <v>0</v>
      </c>
      <c r="T203" s="66">
        <v>41.6</v>
      </c>
      <c r="U203" s="67">
        <v>8</v>
      </c>
      <c r="V203" s="64">
        <v>677</v>
      </c>
      <c r="W203" s="64">
        <v>12</v>
      </c>
      <c r="X203" s="64">
        <f t="shared" si="84"/>
        <v>8124</v>
      </c>
      <c r="Y203" s="65">
        <f t="shared" si="85"/>
        <v>80</v>
      </c>
      <c r="Z203" s="183">
        <f>SUM(L203, R203, X203)+SUM(L204, R204, X204)</f>
        <v>24732</v>
      </c>
      <c r="AA203" s="185">
        <f>SUM(M203, S203, Y203)+SUM(M204, S204, Y204)</f>
        <v>80</v>
      </c>
      <c r="AB203" s="190">
        <f>IF($Z203=0, ,AA203/$Z203)</f>
        <v>3.2346757237586934E-3</v>
      </c>
      <c r="AC203" s="192" t="s">
        <v>98</v>
      </c>
    </row>
    <row r="204" spans="1:29" x14ac:dyDescent="0.2">
      <c r="A204" s="193"/>
      <c r="B204" s="176"/>
      <c r="C204" s="178"/>
      <c r="D204" s="10"/>
      <c r="E204" s="10"/>
      <c r="F204" s="10"/>
      <c r="G204" s="178"/>
      <c r="H204" s="35"/>
      <c r="I204" s="52"/>
      <c r="J204" s="64"/>
      <c r="K204" s="64"/>
      <c r="L204" s="64">
        <f t="shared" si="80"/>
        <v>0</v>
      </c>
      <c r="M204" s="65">
        <f t="shared" si="81"/>
        <v>0</v>
      </c>
      <c r="N204" s="66"/>
      <c r="O204" s="67"/>
      <c r="P204" s="64"/>
      <c r="Q204" s="64"/>
      <c r="R204" s="64">
        <f t="shared" si="82"/>
        <v>0</v>
      </c>
      <c r="S204" s="65">
        <f t="shared" si="83"/>
        <v>0</v>
      </c>
      <c r="T204" s="66"/>
      <c r="U204" s="67"/>
      <c r="V204" s="64"/>
      <c r="W204" s="64"/>
      <c r="X204" s="64">
        <f t="shared" si="84"/>
        <v>0</v>
      </c>
      <c r="Y204" s="65">
        <f t="shared" si="85"/>
        <v>0</v>
      </c>
      <c r="Z204" s="184"/>
      <c r="AA204" s="186"/>
      <c r="AB204" s="191"/>
      <c r="AC204" s="192"/>
    </row>
    <row r="205" spans="1:29" x14ac:dyDescent="0.2">
      <c r="A205" s="193"/>
      <c r="B205" s="161" t="s">
        <v>44</v>
      </c>
      <c r="C205" s="149" t="s">
        <v>67</v>
      </c>
      <c r="D205" s="9">
        <v>21231</v>
      </c>
      <c r="E205" s="9" t="s">
        <v>46</v>
      </c>
      <c r="F205" s="9" t="s">
        <v>130</v>
      </c>
      <c r="G205" s="149" t="s">
        <v>1</v>
      </c>
      <c r="H205" s="36">
        <v>41.35</v>
      </c>
      <c r="I205" s="53">
        <v>8</v>
      </c>
      <c r="J205" s="29">
        <v>700</v>
      </c>
      <c r="K205" s="29">
        <v>12</v>
      </c>
      <c r="L205" s="29">
        <f t="shared" si="80"/>
        <v>8400</v>
      </c>
      <c r="M205" s="30">
        <f t="shared" si="81"/>
        <v>0</v>
      </c>
      <c r="N205" s="36">
        <v>41.35</v>
      </c>
      <c r="O205" s="53">
        <v>8</v>
      </c>
      <c r="P205" s="29">
        <v>700</v>
      </c>
      <c r="Q205" s="29">
        <v>12</v>
      </c>
      <c r="R205" s="29">
        <f t="shared" si="82"/>
        <v>8400</v>
      </c>
      <c r="S205" s="30">
        <f t="shared" si="83"/>
        <v>0</v>
      </c>
      <c r="T205" s="36">
        <v>41.35</v>
      </c>
      <c r="U205" s="53">
        <v>8</v>
      </c>
      <c r="V205" s="29">
        <v>690</v>
      </c>
      <c r="W205" s="29">
        <v>12</v>
      </c>
      <c r="X205" s="29">
        <f t="shared" si="84"/>
        <v>8280</v>
      </c>
      <c r="Y205" s="30">
        <f t="shared" si="85"/>
        <v>0</v>
      </c>
      <c r="Z205" s="151">
        <f>SUM(L205, R205, X205)+SUM(L206, R206, X206)</f>
        <v>25080</v>
      </c>
      <c r="AA205" s="151">
        <f>SUM(M205, S205, Y205)+SUM(M206, S206, Y206)</f>
        <v>0</v>
      </c>
      <c r="AB205" s="153">
        <f>IF($Z205=0, ,AA205/$Z205)</f>
        <v>0</v>
      </c>
      <c r="AC205" s="155"/>
    </row>
    <row r="206" spans="1:29" x14ac:dyDescent="0.2">
      <c r="A206" s="193"/>
      <c r="B206" s="162"/>
      <c r="C206" s="150"/>
      <c r="D206" s="9"/>
      <c r="E206" s="9"/>
      <c r="F206" s="9"/>
      <c r="G206" s="150"/>
      <c r="H206" s="36"/>
      <c r="I206" s="53"/>
      <c r="J206" s="29"/>
      <c r="K206" s="29"/>
      <c r="L206" s="29">
        <f t="shared" si="80"/>
        <v>0</v>
      </c>
      <c r="M206" s="30">
        <f t="shared" si="81"/>
        <v>0</v>
      </c>
      <c r="N206" s="36"/>
      <c r="O206" s="53"/>
      <c r="P206" s="29"/>
      <c r="Q206" s="29"/>
      <c r="R206" s="29">
        <f t="shared" si="82"/>
        <v>0</v>
      </c>
      <c r="S206" s="30">
        <f t="shared" si="83"/>
        <v>0</v>
      </c>
      <c r="T206" s="36"/>
      <c r="U206" s="53"/>
      <c r="V206" s="29"/>
      <c r="W206" s="29"/>
      <c r="X206" s="29">
        <f t="shared" si="84"/>
        <v>0</v>
      </c>
      <c r="Y206" s="30">
        <f t="shared" si="85"/>
        <v>0</v>
      </c>
      <c r="Z206" s="152"/>
      <c r="AA206" s="152"/>
      <c r="AB206" s="154"/>
      <c r="AC206" s="156"/>
    </row>
    <row r="207" spans="1:29" x14ac:dyDescent="0.2">
      <c r="A207" s="193"/>
      <c r="B207" s="42"/>
      <c r="C207" s="42"/>
      <c r="D207" s="42"/>
      <c r="E207" s="42"/>
      <c r="F207" s="42"/>
      <c r="G207" s="42"/>
      <c r="H207" s="59"/>
      <c r="I207" s="60"/>
      <c r="J207" s="61"/>
      <c r="K207" s="61"/>
      <c r="L207" s="61"/>
      <c r="M207" s="62"/>
      <c r="N207" s="59"/>
      <c r="O207" s="60"/>
      <c r="P207" s="61"/>
      <c r="Q207" s="61"/>
      <c r="R207" s="61"/>
      <c r="S207" s="62"/>
      <c r="T207" s="59"/>
      <c r="U207" s="60"/>
      <c r="V207" s="61"/>
      <c r="W207" s="61"/>
      <c r="X207" s="61"/>
      <c r="Y207" s="62"/>
      <c r="Z207" s="62"/>
      <c r="AA207" s="62"/>
      <c r="AB207" s="63"/>
      <c r="AC207" s="45"/>
    </row>
    <row r="208" spans="1:29" x14ac:dyDescent="0.2">
      <c r="A208" s="193"/>
      <c r="B208" s="157" t="s">
        <v>32</v>
      </c>
      <c r="C208" s="158"/>
      <c r="D208" s="158"/>
      <c r="E208" s="158"/>
      <c r="F208" s="158"/>
      <c r="G208" s="77" t="s">
        <v>33</v>
      </c>
      <c r="H208" s="159" t="s">
        <v>29</v>
      </c>
      <c r="I208" s="159"/>
      <c r="J208" s="159"/>
      <c r="K208" s="159" t="s">
        <v>41</v>
      </c>
      <c r="L208" s="159"/>
      <c r="M208" s="159"/>
      <c r="N208" s="160" t="s">
        <v>63</v>
      </c>
      <c r="O208" s="159"/>
      <c r="P208" s="159"/>
      <c r="Q208" s="160" t="s">
        <v>62</v>
      </c>
      <c r="R208" s="159"/>
      <c r="S208" s="159"/>
      <c r="T208" s="160" t="s">
        <v>61</v>
      </c>
      <c r="U208" s="159"/>
      <c r="V208" s="159"/>
      <c r="W208" s="159" t="s">
        <v>39</v>
      </c>
      <c r="X208" s="159"/>
      <c r="Y208" s="159"/>
      <c r="Z208" s="159" t="s">
        <v>40</v>
      </c>
      <c r="AA208" s="159"/>
      <c r="AB208" s="159"/>
      <c r="AC208" s="166"/>
    </row>
    <row r="209" spans="1:29" x14ac:dyDescent="0.2">
      <c r="A209" s="193"/>
      <c r="B209" s="157"/>
      <c r="C209" s="158"/>
      <c r="D209" s="158"/>
      <c r="E209" s="158"/>
      <c r="F209" s="158"/>
      <c r="G209" s="77" t="s">
        <v>34</v>
      </c>
      <c r="H209" s="78" t="s">
        <v>35</v>
      </c>
      <c r="I209" s="78" t="s">
        <v>36</v>
      </c>
      <c r="J209" s="79" t="s">
        <v>37</v>
      </c>
      <c r="K209" s="78" t="s">
        <v>35</v>
      </c>
      <c r="L209" s="78" t="s">
        <v>36</v>
      </c>
      <c r="M209" s="79" t="s">
        <v>37</v>
      </c>
      <c r="N209" s="78" t="s">
        <v>35</v>
      </c>
      <c r="O209" s="78" t="s">
        <v>36</v>
      </c>
      <c r="P209" s="79" t="s">
        <v>37</v>
      </c>
      <c r="Q209" s="78" t="s">
        <v>35</v>
      </c>
      <c r="R209" s="78" t="s">
        <v>36</v>
      </c>
      <c r="S209" s="79" t="s">
        <v>37</v>
      </c>
      <c r="T209" s="78" t="s">
        <v>35</v>
      </c>
      <c r="U209" s="78" t="s">
        <v>36</v>
      </c>
      <c r="V209" s="79" t="s">
        <v>37</v>
      </c>
      <c r="W209" s="78" t="s">
        <v>35</v>
      </c>
      <c r="X209" s="78" t="s">
        <v>36</v>
      </c>
      <c r="Y209" s="79" t="s">
        <v>37</v>
      </c>
      <c r="Z209" s="78" t="s">
        <v>35</v>
      </c>
      <c r="AA209" s="78" t="s">
        <v>36</v>
      </c>
      <c r="AB209" s="79" t="s">
        <v>37</v>
      </c>
      <c r="AC209" s="167"/>
    </row>
    <row r="210" spans="1:29" x14ac:dyDescent="0.2">
      <c r="A210" s="193"/>
      <c r="B210" s="168" t="str">
        <f t="shared" ref="B210:C215" si="86">IF(ISBLANK(B201), "-", B201)</f>
        <v>2A</v>
      </c>
      <c r="C210" s="169" t="str">
        <f t="shared" si="86"/>
        <v>JAR-007B</v>
      </c>
      <c r="D210" s="73">
        <v>21231</v>
      </c>
      <c r="E210" s="73" t="str">
        <f t="shared" ref="E210:F215" si="87">IF(ISBLANK(E201), "-", E201)</f>
        <v>White</v>
      </c>
      <c r="F210" s="73" t="str">
        <f t="shared" si="87"/>
        <v>RPET</v>
      </c>
      <c r="G210" s="170"/>
      <c r="H210" s="74"/>
      <c r="I210" s="74"/>
      <c r="J210" s="74"/>
      <c r="K210" s="74"/>
      <c r="L210" s="74"/>
      <c r="M210" s="74"/>
      <c r="N210" s="75"/>
      <c r="O210" s="75"/>
      <c r="P210" s="75"/>
      <c r="Q210" s="75"/>
      <c r="R210" s="75"/>
      <c r="S210" s="74"/>
      <c r="T210" s="75"/>
      <c r="U210" s="75"/>
      <c r="V210" s="75"/>
      <c r="W210" s="75"/>
      <c r="X210" s="75"/>
      <c r="Y210" s="74"/>
      <c r="Z210" s="74"/>
      <c r="AA210" s="74"/>
      <c r="AB210" s="76">
        <v>30</v>
      </c>
      <c r="AC210" s="167"/>
    </row>
    <row r="211" spans="1:29" x14ac:dyDescent="0.2">
      <c r="A211" s="193"/>
      <c r="B211" s="168" t="str">
        <f t="shared" si="86"/>
        <v>-</v>
      </c>
      <c r="C211" s="169" t="str">
        <f t="shared" si="86"/>
        <v>-</v>
      </c>
      <c r="D211" s="73" t="str">
        <f>IF(ISBLANK(D202), "-", D202)</f>
        <v>-</v>
      </c>
      <c r="E211" s="73" t="str">
        <f t="shared" si="87"/>
        <v>-</v>
      </c>
      <c r="F211" s="73" t="str">
        <f t="shared" si="87"/>
        <v>-</v>
      </c>
      <c r="G211" s="171"/>
      <c r="H211" s="75"/>
      <c r="I211" s="75"/>
      <c r="J211" s="75"/>
      <c r="K211" s="75"/>
      <c r="L211" s="75"/>
      <c r="M211" s="74"/>
      <c r="N211" s="75"/>
      <c r="O211" s="75"/>
      <c r="P211" s="75"/>
      <c r="Q211" s="75"/>
      <c r="R211" s="75"/>
      <c r="S211" s="74"/>
      <c r="T211" s="75"/>
      <c r="U211" s="75"/>
      <c r="V211" s="75"/>
      <c r="W211" s="75"/>
      <c r="X211" s="75"/>
      <c r="Y211" s="74"/>
      <c r="Z211" s="74"/>
      <c r="AA211" s="74"/>
      <c r="AB211" s="76"/>
      <c r="AC211" s="167"/>
    </row>
    <row r="212" spans="1:29" x14ac:dyDescent="0.2">
      <c r="A212" s="193"/>
      <c r="B212" s="173" t="str">
        <f t="shared" si="86"/>
        <v>3A</v>
      </c>
      <c r="C212" s="174" t="str">
        <f t="shared" si="86"/>
        <v>JAR-014</v>
      </c>
      <c r="D212" s="102">
        <f>IF(ISBLANK(D203), "-", D203)</f>
        <v>21234</v>
      </c>
      <c r="E212" s="102" t="str">
        <f t="shared" si="87"/>
        <v>White</v>
      </c>
      <c r="F212" s="102" t="str">
        <f t="shared" si="87"/>
        <v>RPET</v>
      </c>
      <c r="G212" s="171"/>
      <c r="H212" s="94"/>
      <c r="I212" s="94"/>
      <c r="J212" s="94"/>
      <c r="K212" s="94"/>
      <c r="L212" s="94"/>
      <c r="M212" s="94"/>
      <c r="N212" s="95"/>
      <c r="O212" s="95"/>
      <c r="P212" s="95"/>
      <c r="Q212" s="95"/>
      <c r="R212" s="95"/>
      <c r="S212" s="94"/>
      <c r="T212" s="95"/>
      <c r="U212" s="95"/>
      <c r="V212" s="95"/>
      <c r="W212" s="95"/>
      <c r="X212" s="95"/>
      <c r="Y212" s="94"/>
      <c r="Z212" s="94"/>
      <c r="AA212" s="94"/>
      <c r="AB212" s="96">
        <v>80</v>
      </c>
      <c r="AC212" s="167"/>
    </row>
    <row r="213" spans="1:29" x14ac:dyDescent="0.2">
      <c r="A213" s="193"/>
      <c r="B213" s="173" t="str">
        <f t="shared" si="86"/>
        <v>-</v>
      </c>
      <c r="C213" s="174" t="str">
        <f t="shared" si="86"/>
        <v>-</v>
      </c>
      <c r="D213" s="102" t="str">
        <f>IF(ISBLANK(D204), "-", D204)</f>
        <v>-</v>
      </c>
      <c r="E213" s="102" t="str">
        <f t="shared" si="87"/>
        <v>-</v>
      </c>
      <c r="F213" s="102" t="str">
        <f t="shared" si="87"/>
        <v>-</v>
      </c>
      <c r="G213" s="171"/>
      <c r="H213" s="95"/>
      <c r="I213" s="95"/>
      <c r="J213" s="95"/>
      <c r="K213" s="95"/>
      <c r="L213" s="95"/>
      <c r="M213" s="94"/>
      <c r="N213" s="95"/>
      <c r="O213" s="95"/>
      <c r="P213" s="95"/>
      <c r="Q213" s="95"/>
      <c r="R213" s="95"/>
      <c r="S213" s="94"/>
      <c r="T213" s="95"/>
      <c r="U213" s="95"/>
      <c r="V213" s="95"/>
      <c r="W213" s="95"/>
      <c r="X213" s="95"/>
      <c r="Y213" s="94"/>
      <c r="Z213" s="94"/>
      <c r="AA213" s="94"/>
      <c r="AB213" s="96"/>
      <c r="AC213" s="167"/>
    </row>
    <row r="214" spans="1:29" x14ac:dyDescent="0.2">
      <c r="A214" s="193"/>
      <c r="B214" s="168" t="str">
        <f t="shared" si="86"/>
        <v>4A</v>
      </c>
      <c r="C214" s="169" t="str">
        <f t="shared" si="86"/>
        <v>JAR-007A</v>
      </c>
      <c r="D214" s="73">
        <f>IF(ISBLANK(D205), "-", D205)</f>
        <v>21231</v>
      </c>
      <c r="E214" s="73" t="str">
        <f t="shared" si="87"/>
        <v>White</v>
      </c>
      <c r="F214" s="73" t="str">
        <f t="shared" si="87"/>
        <v>RPET</v>
      </c>
      <c r="G214" s="171"/>
      <c r="H214" s="75"/>
      <c r="I214" s="75"/>
      <c r="J214" s="75"/>
      <c r="K214" s="75"/>
      <c r="L214" s="75"/>
      <c r="M214" s="74"/>
      <c r="N214" s="75"/>
      <c r="O214" s="75"/>
      <c r="P214" s="75"/>
      <c r="Q214" s="75"/>
      <c r="R214" s="75"/>
      <c r="S214" s="74"/>
      <c r="T214" s="75"/>
      <c r="U214" s="75"/>
      <c r="V214" s="75"/>
      <c r="W214" s="75"/>
      <c r="X214" s="75"/>
      <c r="Y214" s="74"/>
      <c r="Z214" s="74"/>
      <c r="AA214" s="74"/>
      <c r="AB214" s="76"/>
      <c r="AC214" s="167"/>
    </row>
    <row r="215" spans="1:29" x14ac:dyDescent="0.2">
      <c r="A215" s="193"/>
      <c r="B215" s="168" t="str">
        <f t="shared" si="86"/>
        <v>-</v>
      </c>
      <c r="C215" s="169" t="str">
        <f t="shared" si="86"/>
        <v>-</v>
      </c>
      <c r="D215" s="73" t="str">
        <f>IF(ISBLANK(D206), "-", D206)</f>
        <v>-</v>
      </c>
      <c r="E215" s="73" t="str">
        <f t="shared" si="87"/>
        <v>-</v>
      </c>
      <c r="F215" s="73" t="str">
        <f t="shared" si="87"/>
        <v>-</v>
      </c>
      <c r="G215" s="172"/>
      <c r="H215" s="75"/>
      <c r="I215" s="75"/>
      <c r="J215" s="75"/>
      <c r="K215" s="75"/>
      <c r="L215" s="75"/>
      <c r="M215" s="74"/>
      <c r="N215" s="75"/>
      <c r="O215" s="75"/>
      <c r="P215" s="75"/>
      <c r="Q215" s="75"/>
      <c r="R215" s="75"/>
      <c r="S215" s="74"/>
      <c r="T215" s="75"/>
      <c r="U215" s="75"/>
      <c r="V215" s="75"/>
      <c r="W215" s="75"/>
      <c r="X215" s="75"/>
      <c r="Y215" s="74"/>
      <c r="Z215" s="74"/>
      <c r="AA215" s="74"/>
      <c r="AB215" s="76"/>
      <c r="AC215" s="167"/>
    </row>
    <row r="217" spans="1:29" x14ac:dyDescent="0.2">
      <c r="A217" s="193">
        <v>44724</v>
      </c>
      <c r="B217" s="16" t="s">
        <v>20</v>
      </c>
      <c r="C217" s="17"/>
      <c r="D217" s="18" t="s">
        <v>21</v>
      </c>
      <c r="E217" s="17">
        <v>0</v>
      </c>
      <c r="F217" s="24"/>
      <c r="G217" s="25"/>
      <c r="H217" s="38"/>
      <c r="I217" s="51"/>
      <c r="J217" s="57"/>
      <c r="K217" s="25"/>
      <c r="L217" s="18"/>
      <c r="M217" s="25"/>
      <c r="N217" s="38"/>
      <c r="O217" s="51"/>
      <c r="P217" s="57"/>
      <c r="Q217" s="25"/>
      <c r="R217" s="18"/>
      <c r="S217" s="25"/>
      <c r="T217" s="38"/>
      <c r="U217" s="51"/>
      <c r="V217" s="57"/>
      <c r="W217" s="25"/>
      <c r="X217" s="18"/>
      <c r="Y217" s="18"/>
      <c r="Z217" s="25"/>
      <c r="AA217" s="18"/>
      <c r="AB217" s="18"/>
      <c r="AC217" s="26"/>
    </row>
    <row r="218" spans="1:29" x14ac:dyDescent="0.2">
      <c r="A218" s="193"/>
      <c r="B218" s="157" t="s">
        <v>3</v>
      </c>
      <c r="C218" s="158" t="s">
        <v>0</v>
      </c>
      <c r="D218" s="158" t="s">
        <v>10</v>
      </c>
      <c r="E218" s="158" t="s">
        <v>4</v>
      </c>
      <c r="F218" s="158" t="s">
        <v>9</v>
      </c>
      <c r="G218" s="180" t="s">
        <v>5</v>
      </c>
      <c r="H218" s="187" t="s">
        <v>6</v>
      </c>
      <c r="I218" s="188"/>
      <c r="J218" s="188"/>
      <c r="K218" s="188"/>
      <c r="L218" s="188"/>
      <c r="M218" s="189"/>
      <c r="N218" s="187" t="s">
        <v>7</v>
      </c>
      <c r="O218" s="188"/>
      <c r="P218" s="188"/>
      <c r="Q218" s="188"/>
      <c r="R218" s="188"/>
      <c r="S218" s="189"/>
      <c r="T218" s="187" t="s">
        <v>8</v>
      </c>
      <c r="U218" s="188"/>
      <c r="V218" s="188"/>
      <c r="W218" s="188"/>
      <c r="X218" s="188"/>
      <c r="Y218" s="189"/>
      <c r="Z218" s="163" t="s">
        <v>16</v>
      </c>
      <c r="AA218" s="163" t="s">
        <v>66</v>
      </c>
      <c r="AB218" s="163" t="s">
        <v>27</v>
      </c>
      <c r="AC218" s="181" t="s">
        <v>11</v>
      </c>
    </row>
    <row r="219" spans="1:29" ht="42" customHeight="1" x14ac:dyDescent="0.2">
      <c r="A219" s="193"/>
      <c r="B219" s="157"/>
      <c r="C219" s="158"/>
      <c r="D219" s="158"/>
      <c r="E219" s="158"/>
      <c r="F219" s="158"/>
      <c r="G219" s="180"/>
      <c r="H219" s="39" t="s">
        <v>24</v>
      </c>
      <c r="I219" s="98" t="s">
        <v>25</v>
      </c>
      <c r="J219" s="99" t="s">
        <v>28</v>
      </c>
      <c r="K219" s="100" t="s">
        <v>22</v>
      </c>
      <c r="L219" s="101" t="s">
        <v>2</v>
      </c>
      <c r="M219" s="27" t="s">
        <v>14</v>
      </c>
      <c r="N219" s="39" t="s">
        <v>24</v>
      </c>
      <c r="O219" s="98" t="s">
        <v>25</v>
      </c>
      <c r="P219" s="99" t="s">
        <v>28</v>
      </c>
      <c r="Q219" s="100" t="s">
        <v>22</v>
      </c>
      <c r="R219" s="27" t="s">
        <v>2</v>
      </c>
      <c r="S219" s="27" t="s">
        <v>14</v>
      </c>
      <c r="T219" s="39" t="s">
        <v>24</v>
      </c>
      <c r="U219" s="98" t="s">
        <v>25</v>
      </c>
      <c r="V219" s="99" t="s">
        <v>28</v>
      </c>
      <c r="W219" s="100" t="s">
        <v>22</v>
      </c>
      <c r="X219" s="27" t="s">
        <v>2</v>
      </c>
      <c r="Y219" s="27" t="s">
        <v>14</v>
      </c>
      <c r="Z219" s="164"/>
      <c r="AA219" s="165"/>
      <c r="AB219" s="165"/>
      <c r="AC219" s="182"/>
    </row>
    <row r="220" spans="1:29" x14ac:dyDescent="0.2">
      <c r="A220" s="193"/>
      <c r="B220" s="194" t="s">
        <v>42</v>
      </c>
      <c r="C220" s="196" t="s">
        <v>45</v>
      </c>
      <c r="D220" s="11">
        <v>21231</v>
      </c>
      <c r="E220" s="11" t="s">
        <v>46</v>
      </c>
      <c r="F220" s="11" t="s">
        <v>130</v>
      </c>
      <c r="G220" s="196" t="s">
        <v>1</v>
      </c>
      <c r="H220" s="34">
        <v>41.45</v>
      </c>
      <c r="I220" s="49">
        <v>8</v>
      </c>
      <c r="J220" s="28">
        <v>692</v>
      </c>
      <c r="K220" s="28">
        <v>12</v>
      </c>
      <c r="L220" s="28">
        <f t="shared" ref="L220:L225" si="88">IF(ISBLANK(J220), , J220*K220)</f>
        <v>8304</v>
      </c>
      <c r="M220" s="23">
        <f t="shared" ref="M220:M225" si="89">H229+K229+N229+Q229+T229+W229+Z229</f>
        <v>0</v>
      </c>
      <c r="N220" s="34">
        <v>41.45</v>
      </c>
      <c r="O220" s="49">
        <v>8</v>
      </c>
      <c r="P220" s="28">
        <v>698</v>
      </c>
      <c r="Q220" s="28">
        <v>12</v>
      </c>
      <c r="R220" s="28">
        <f t="shared" ref="R220:R225" si="90">IF(ISBLANK(P220), , P220*Q220)</f>
        <v>8376</v>
      </c>
      <c r="S220" s="23">
        <f t="shared" ref="S220:S225" si="91">I229+L229+O229+R229+U229+X229+AA229</f>
        <v>0</v>
      </c>
      <c r="T220" s="34">
        <v>41.45</v>
      </c>
      <c r="U220" s="49">
        <v>8</v>
      </c>
      <c r="V220" s="28">
        <v>700</v>
      </c>
      <c r="W220" s="28">
        <v>12</v>
      </c>
      <c r="X220" s="28">
        <f t="shared" ref="X220:X225" si="92">IF(ISBLANK(V220), , V220*W220)</f>
        <v>8400</v>
      </c>
      <c r="Y220" s="23">
        <f t="shared" ref="Y220:Y225" si="93">J229+M229+P229+S229+V229+Y229+AB229</f>
        <v>0</v>
      </c>
      <c r="Z220" s="151">
        <f>SUM(L220, R220, X220)+SUM(L221, R221, X221)</f>
        <v>25080</v>
      </c>
      <c r="AA220" s="151">
        <f>SUM(M220, S220, Y220)+SUM(M221, S221, Y221)</f>
        <v>0</v>
      </c>
      <c r="AB220" s="153">
        <f>IF($Z220=0, ,AA220/$Z220)</f>
        <v>0</v>
      </c>
      <c r="AC220" s="179"/>
    </row>
    <row r="221" spans="1:29" x14ac:dyDescent="0.2">
      <c r="A221" s="193"/>
      <c r="B221" s="195"/>
      <c r="C221" s="197"/>
      <c r="D221" s="11"/>
      <c r="E221" s="11"/>
      <c r="F221" s="11"/>
      <c r="G221" s="198"/>
      <c r="H221" s="34"/>
      <c r="I221" s="49"/>
      <c r="J221" s="28"/>
      <c r="K221" s="28"/>
      <c r="L221" s="28">
        <f t="shared" si="88"/>
        <v>0</v>
      </c>
      <c r="M221" s="23">
        <f t="shared" si="89"/>
        <v>0</v>
      </c>
      <c r="N221" s="34"/>
      <c r="O221" s="49"/>
      <c r="P221" s="28"/>
      <c r="Q221" s="28"/>
      <c r="R221" s="28">
        <f t="shared" si="90"/>
        <v>0</v>
      </c>
      <c r="S221" s="23">
        <f t="shared" si="91"/>
        <v>0</v>
      </c>
      <c r="T221" s="34"/>
      <c r="U221" s="49"/>
      <c r="V221" s="28"/>
      <c r="W221" s="28"/>
      <c r="X221" s="28">
        <f t="shared" si="92"/>
        <v>0</v>
      </c>
      <c r="Y221" s="23">
        <f t="shared" si="93"/>
        <v>0</v>
      </c>
      <c r="Z221" s="152"/>
      <c r="AA221" s="152"/>
      <c r="AB221" s="154"/>
      <c r="AC221" s="155"/>
    </row>
    <row r="222" spans="1:29" x14ac:dyDescent="0.2">
      <c r="A222" s="193"/>
      <c r="B222" s="175" t="s">
        <v>43</v>
      </c>
      <c r="C222" s="177" t="s">
        <v>65</v>
      </c>
      <c r="D222" s="10">
        <v>21234</v>
      </c>
      <c r="E222" s="10" t="s">
        <v>46</v>
      </c>
      <c r="F222" s="10" t="s">
        <v>130</v>
      </c>
      <c r="G222" s="177" t="s">
        <v>1</v>
      </c>
      <c r="H222" s="35">
        <v>41.6</v>
      </c>
      <c r="I222" s="52">
        <v>8</v>
      </c>
      <c r="J222" s="64">
        <v>666</v>
      </c>
      <c r="K222" s="64">
        <v>12</v>
      </c>
      <c r="L222" s="64">
        <f t="shared" si="88"/>
        <v>7992</v>
      </c>
      <c r="M222" s="65">
        <f t="shared" si="89"/>
        <v>15</v>
      </c>
      <c r="N222" s="66">
        <v>41.6</v>
      </c>
      <c r="O222" s="67">
        <v>8</v>
      </c>
      <c r="P222" s="64">
        <v>683</v>
      </c>
      <c r="Q222" s="64">
        <v>12</v>
      </c>
      <c r="R222" s="64">
        <f t="shared" si="90"/>
        <v>8196</v>
      </c>
      <c r="S222" s="65">
        <f t="shared" si="91"/>
        <v>0</v>
      </c>
      <c r="T222" s="66">
        <v>41.6</v>
      </c>
      <c r="U222" s="67">
        <v>8</v>
      </c>
      <c r="V222" s="64">
        <v>684</v>
      </c>
      <c r="W222" s="64">
        <v>12</v>
      </c>
      <c r="X222" s="64">
        <f t="shared" si="92"/>
        <v>8208</v>
      </c>
      <c r="Y222" s="65">
        <f t="shared" si="93"/>
        <v>20</v>
      </c>
      <c r="Z222" s="183">
        <f>SUM(L222, R222, X222)+SUM(L223, R223, X223)</f>
        <v>24396</v>
      </c>
      <c r="AA222" s="185">
        <f>SUM(M222, S222, Y222)+SUM(M223, S223, Y223)</f>
        <v>35</v>
      </c>
      <c r="AB222" s="190">
        <f>IF($Z222=0, ,AA222/$Z222)</f>
        <v>1.4346614199049024E-3</v>
      </c>
      <c r="AC222" s="192" t="s">
        <v>100</v>
      </c>
    </row>
    <row r="223" spans="1:29" x14ac:dyDescent="0.2">
      <c r="A223" s="193"/>
      <c r="B223" s="176"/>
      <c r="C223" s="178"/>
      <c r="D223" s="10"/>
      <c r="E223" s="10"/>
      <c r="F223" s="10"/>
      <c r="G223" s="178"/>
      <c r="H223" s="35"/>
      <c r="I223" s="52"/>
      <c r="J223" s="64"/>
      <c r="K223" s="64"/>
      <c r="L223" s="64">
        <f t="shared" si="88"/>
        <v>0</v>
      </c>
      <c r="M223" s="65">
        <f t="shared" si="89"/>
        <v>0</v>
      </c>
      <c r="N223" s="66"/>
      <c r="O223" s="67"/>
      <c r="P223" s="64"/>
      <c r="Q223" s="64"/>
      <c r="R223" s="64">
        <f t="shared" si="90"/>
        <v>0</v>
      </c>
      <c r="S223" s="65">
        <f t="shared" si="91"/>
        <v>0</v>
      </c>
      <c r="T223" s="66"/>
      <c r="U223" s="67"/>
      <c r="V223" s="64"/>
      <c r="W223" s="64"/>
      <c r="X223" s="64">
        <f t="shared" si="92"/>
        <v>0</v>
      </c>
      <c r="Y223" s="65">
        <f t="shared" si="93"/>
        <v>0</v>
      </c>
      <c r="Z223" s="184"/>
      <c r="AA223" s="186"/>
      <c r="AB223" s="191"/>
      <c r="AC223" s="192"/>
    </row>
    <row r="224" spans="1:29" x14ac:dyDescent="0.2">
      <c r="A224" s="193"/>
      <c r="B224" s="161" t="s">
        <v>44</v>
      </c>
      <c r="C224" s="149" t="s">
        <v>67</v>
      </c>
      <c r="D224" s="9">
        <v>21231</v>
      </c>
      <c r="E224" s="9" t="s">
        <v>46</v>
      </c>
      <c r="F224" s="9" t="s">
        <v>130</v>
      </c>
      <c r="G224" s="149" t="s">
        <v>1</v>
      </c>
      <c r="H224" s="36">
        <v>41.35</v>
      </c>
      <c r="I224" s="53">
        <v>8</v>
      </c>
      <c r="J224" s="29">
        <v>697</v>
      </c>
      <c r="K224" s="29">
        <v>12</v>
      </c>
      <c r="L224" s="29">
        <f t="shared" si="88"/>
        <v>8364</v>
      </c>
      <c r="M224" s="30">
        <f t="shared" si="89"/>
        <v>0</v>
      </c>
      <c r="N224" s="36">
        <v>41.35</v>
      </c>
      <c r="O224" s="53">
        <v>8</v>
      </c>
      <c r="P224" s="29">
        <v>700</v>
      </c>
      <c r="Q224" s="29">
        <v>12</v>
      </c>
      <c r="R224" s="29">
        <f t="shared" si="90"/>
        <v>8400</v>
      </c>
      <c r="S224" s="30">
        <f t="shared" si="91"/>
        <v>0</v>
      </c>
      <c r="T224" s="36">
        <v>41.35</v>
      </c>
      <c r="U224" s="53">
        <v>8</v>
      </c>
      <c r="V224" s="29">
        <v>690</v>
      </c>
      <c r="W224" s="29">
        <v>12</v>
      </c>
      <c r="X224" s="29">
        <f t="shared" si="92"/>
        <v>8280</v>
      </c>
      <c r="Y224" s="30">
        <f t="shared" si="93"/>
        <v>30</v>
      </c>
      <c r="Z224" s="151">
        <f>SUM(L224, R224, X224)+SUM(L225, R225, X225)</f>
        <v>25044</v>
      </c>
      <c r="AA224" s="151">
        <f>SUM(M224, S224, Y224)+SUM(M225, S225, Y225)</f>
        <v>30</v>
      </c>
      <c r="AB224" s="153">
        <f>IF($Z224=0, ,AA224/$Z224)</f>
        <v>1.1978917105893627E-3</v>
      </c>
      <c r="AC224" s="155" t="s">
        <v>101</v>
      </c>
    </row>
    <row r="225" spans="1:29" x14ac:dyDescent="0.2">
      <c r="A225" s="193"/>
      <c r="B225" s="162"/>
      <c r="C225" s="150"/>
      <c r="D225" s="9"/>
      <c r="E225" s="9"/>
      <c r="F225" s="9"/>
      <c r="G225" s="150"/>
      <c r="H225" s="36"/>
      <c r="I225" s="53"/>
      <c r="J225" s="29"/>
      <c r="K225" s="29"/>
      <c r="L225" s="29">
        <f t="shared" si="88"/>
        <v>0</v>
      </c>
      <c r="M225" s="30">
        <f t="shared" si="89"/>
        <v>0</v>
      </c>
      <c r="N225" s="36"/>
      <c r="O225" s="53"/>
      <c r="P225" s="29"/>
      <c r="Q225" s="29"/>
      <c r="R225" s="29">
        <f t="shared" si="90"/>
        <v>0</v>
      </c>
      <c r="S225" s="30">
        <f t="shared" si="91"/>
        <v>0</v>
      </c>
      <c r="T225" s="36"/>
      <c r="U225" s="53"/>
      <c r="V225" s="29"/>
      <c r="W225" s="29"/>
      <c r="X225" s="29">
        <f t="shared" si="92"/>
        <v>0</v>
      </c>
      <c r="Y225" s="30">
        <f t="shared" si="93"/>
        <v>0</v>
      </c>
      <c r="Z225" s="152"/>
      <c r="AA225" s="152"/>
      <c r="AB225" s="154"/>
      <c r="AC225" s="156"/>
    </row>
    <row r="226" spans="1:29" x14ac:dyDescent="0.2">
      <c r="A226" s="193"/>
      <c r="B226" s="42"/>
      <c r="C226" s="42"/>
      <c r="D226" s="42"/>
      <c r="E226" s="42"/>
      <c r="F226" s="42"/>
      <c r="G226" s="42"/>
      <c r="H226" s="59"/>
      <c r="I226" s="60"/>
      <c r="J226" s="61"/>
      <c r="K226" s="61"/>
      <c r="L226" s="61"/>
      <c r="M226" s="62"/>
      <c r="N226" s="59"/>
      <c r="O226" s="60"/>
      <c r="P226" s="61"/>
      <c r="Q226" s="61"/>
      <c r="R226" s="61"/>
      <c r="S226" s="62"/>
      <c r="T226" s="59"/>
      <c r="U226" s="60"/>
      <c r="V226" s="61"/>
      <c r="W226" s="61"/>
      <c r="X226" s="61"/>
      <c r="Y226" s="62"/>
      <c r="Z226" s="62"/>
      <c r="AA226" s="62"/>
      <c r="AB226" s="63"/>
      <c r="AC226" s="45"/>
    </row>
    <row r="227" spans="1:29" x14ac:dyDescent="0.2">
      <c r="A227" s="193"/>
      <c r="B227" s="157" t="s">
        <v>32</v>
      </c>
      <c r="C227" s="158"/>
      <c r="D227" s="158"/>
      <c r="E227" s="158"/>
      <c r="F227" s="158"/>
      <c r="G227" s="77" t="s">
        <v>33</v>
      </c>
      <c r="H227" s="159" t="s">
        <v>29</v>
      </c>
      <c r="I227" s="159"/>
      <c r="J227" s="159"/>
      <c r="K227" s="159" t="s">
        <v>41</v>
      </c>
      <c r="L227" s="159"/>
      <c r="M227" s="159"/>
      <c r="N227" s="160" t="s">
        <v>63</v>
      </c>
      <c r="O227" s="159"/>
      <c r="P227" s="159"/>
      <c r="Q227" s="160" t="s">
        <v>62</v>
      </c>
      <c r="R227" s="159"/>
      <c r="S227" s="159"/>
      <c r="T227" s="160" t="s">
        <v>61</v>
      </c>
      <c r="U227" s="159"/>
      <c r="V227" s="159"/>
      <c r="W227" s="159" t="s">
        <v>39</v>
      </c>
      <c r="X227" s="159"/>
      <c r="Y227" s="159"/>
      <c r="Z227" s="159" t="s">
        <v>40</v>
      </c>
      <c r="AA227" s="159"/>
      <c r="AB227" s="159"/>
      <c r="AC227" s="166"/>
    </row>
    <row r="228" spans="1:29" x14ac:dyDescent="0.2">
      <c r="A228" s="193"/>
      <c r="B228" s="157"/>
      <c r="C228" s="158"/>
      <c r="D228" s="158"/>
      <c r="E228" s="158"/>
      <c r="F228" s="158"/>
      <c r="G228" s="77" t="s">
        <v>34</v>
      </c>
      <c r="H228" s="78" t="s">
        <v>35</v>
      </c>
      <c r="I228" s="78" t="s">
        <v>36</v>
      </c>
      <c r="J228" s="79" t="s">
        <v>37</v>
      </c>
      <c r="K228" s="78" t="s">
        <v>35</v>
      </c>
      <c r="L228" s="78" t="s">
        <v>36</v>
      </c>
      <c r="M228" s="79" t="s">
        <v>37</v>
      </c>
      <c r="N228" s="78" t="s">
        <v>35</v>
      </c>
      <c r="O228" s="78" t="s">
        <v>36</v>
      </c>
      <c r="P228" s="79" t="s">
        <v>37</v>
      </c>
      <c r="Q228" s="78" t="s">
        <v>35</v>
      </c>
      <c r="R228" s="78" t="s">
        <v>36</v>
      </c>
      <c r="S228" s="79" t="s">
        <v>37</v>
      </c>
      <c r="T228" s="78" t="s">
        <v>35</v>
      </c>
      <c r="U228" s="78" t="s">
        <v>36</v>
      </c>
      <c r="V228" s="79" t="s">
        <v>37</v>
      </c>
      <c r="W228" s="78" t="s">
        <v>35</v>
      </c>
      <c r="X228" s="78" t="s">
        <v>36</v>
      </c>
      <c r="Y228" s="79" t="s">
        <v>37</v>
      </c>
      <c r="Z228" s="78" t="s">
        <v>35</v>
      </c>
      <c r="AA228" s="78" t="s">
        <v>36</v>
      </c>
      <c r="AB228" s="79" t="s">
        <v>37</v>
      </c>
      <c r="AC228" s="167"/>
    </row>
    <row r="229" spans="1:29" x14ac:dyDescent="0.2">
      <c r="A229" s="193"/>
      <c r="B229" s="168" t="str">
        <f t="shared" ref="B229:C234" si="94">IF(ISBLANK(B220), "-", B220)</f>
        <v>2A</v>
      </c>
      <c r="C229" s="169" t="str">
        <f t="shared" si="94"/>
        <v>JAR-007B</v>
      </c>
      <c r="D229" s="73">
        <v>21231</v>
      </c>
      <c r="E229" s="73" t="str">
        <f t="shared" ref="E229:F234" si="95">IF(ISBLANK(E220), "-", E220)</f>
        <v>White</v>
      </c>
      <c r="F229" s="73" t="str">
        <f t="shared" si="95"/>
        <v>RPET</v>
      </c>
      <c r="G229" s="170"/>
      <c r="H229" s="74"/>
      <c r="I229" s="74"/>
      <c r="J229" s="74"/>
      <c r="K229" s="74"/>
      <c r="L229" s="74"/>
      <c r="M229" s="74"/>
      <c r="N229" s="75"/>
      <c r="O229" s="75"/>
      <c r="P229" s="75"/>
      <c r="Q229" s="75"/>
      <c r="R229" s="75"/>
      <c r="S229" s="74"/>
      <c r="T229" s="75"/>
      <c r="U229" s="75"/>
      <c r="V229" s="75"/>
      <c r="W229" s="75"/>
      <c r="X229" s="75"/>
      <c r="Y229" s="74"/>
      <c r="Z229" s="74"/>
      <c r="AA229" s="74"/>
      <c r="AB229" s="76"/>
      <c r="AC229" s="167"/>
    </row>
    <row r="230" spans="1:29" x14ac:dyDescent="0.2">
      <c r="A230" s="193"/>
      <c r="B230" s="168" t="str">
        <f t="shared" si="94"/>
        <v>-</v>
      </c>
      <c r="C230" s="169" t="str">
        <f t="shared" si="94"/>
        <v>-</v>
      </c>
      <c r="D230" s="73" t="str">
        <f>IF(ISBLANK(D221), "-", D221)</f>
        <v>-</v>
      </c>
      <c r="E230" s="73" t="str">
        <f t="shared" si="95"/>
        <v>-</v>
      </c>
      <c r="F230" s="73" t="str">
        <f t="shared" si="95"/>
        <v>-</v>
      </c>
      <c r="G230" s="171"/>
      <c r="H230" s="75"/>
      <c r="I230" s="75"/>
      <c r="J230" s="75"/>
      <c r="K230" s="75"/>
      <c r="L230" s="75"/>
      <c r="M230" s="74"/>
      <c r="N230" s="75"/>
      <c r="O230" s="75"/>
      <c r="P230" s="75"/>
      <c r="Q230" s="75"/>
      <c r="R230" s="75"/>
      <c r="S230" s="74"/>
      <c r="T230" s="75"/>
      <c r="U230" s="75"/>
      <c r="V230" s="75"/>
      <c r="W230" s="75"/>
      <c r="X230" s="75"/>
      <c r="Y230" s="74"/>
      <c r="Z230" s="74"/>
      <c r="AA230" s="74"/>
      <c r="AB230" s="76"/>
      <c r="AC230" s="167"/>
    </row>
    <row r="231" spans="1:29" x14ac:dyDescent="0.2">
      <c r="A231" s="193"/>
      <c r="B231" s="173" t="str">
        <f t="shared" si="94"/>
        <v>3A</v>
      </c>
      <c r="C231" s="174" t="str">
        <f t="shared" si="94"/>
        <v>JAR-014</v>
      </c>
      <c r="D231" s="102">
        <f>IF(ISBLANK(D222), "-", D222)</f>
        <v>21234</v>
      </c>
      <c r="E231" s="102" t="str">
        <f t="shared" si="95"/>
        <v>White</v>
      </c>
      <c r="F231" s="102" t="str">
        <f t="shared" si="95"/>
        <v>RPET</v>
      </c>
      <c r="G231" s="171"/>
      <c r="H231" s="94">
        <v>15</v>
      </c>
      <c r="I231" s="94"/>
      <c r="J231" s="94"/>
      <c r="K231" s="94"/>
      <c r="L231" s="94"/>
      <c r="M231" s="94"/>
      <c r="N231" s="95"/>
      <c r="O231" s="95"/>
      <c r="P231" s="95"/>
      <c r="Q231" s="95"/>
      <c r="R231" s="95"/>
      <c r="S231" s="94"/>
      <c r="T231" s="95"/>
      <c r="U231" s="95"/>
      <c r="V231" s="95"/>
      <c r="W231" s="95"/>
      <c r="X231" s="95"/>
      <c r="Y231" s="94"/>
      <c r="Z231" s="94"/>
      <c r="AA231" s="94"/>
      <c r="AB231" s="96">
        <v>20</v>
      </c>
      <c r="AC231" s="167"/>
    </row>
    <row r="232" spans="1:29" x14ac:dyDescent="0.2">
      <c r="A232" s="193"/>
      <c r="B232" s="173" t="str">
        <f t="shared" si="94"/>
        <v>-</v>
      </c>
      <c r="C232" s="174" t="str">
        <f t="shared" si="94"/>
        <v>-</v>
      </c>
      <c r="D232" s="102" t="str">
        <f>IF(ISBLANK(D223), "-", D223)</f>
        <v>-</v>
      </c>
      <c r="E232" s="102" t="str">
        <f t="shared" si="95"/>
        <v>-</v>
      </c>
      <c r="F232" s="102" t="str">
        <f t="shared" si="95"/>
        <v>-</v>
      </c>
      <c r="G232" s="171"/>
      <c r="H232" s="95"/>
      <c r="I232" s="95"/>
      <c r="J232" s="95"/>
      <c r="K232" s="95"/>
      <c r="L232" s="95"/>
      <c r="M232" s="94"/>
      <c r="N232" s="95"/>
      <c r="O232" s="95"/>
      <c r="P232" s="95"/>
      <c r="Q232" s="95"/>
      <c r="R232" s="95"/>
      <c r="S232" s="94"/>
      <c r="T232" s="95"/>
      <c r="U232" s="95"/>
      <c r="V232" s="95"/>
      <c r="W232" s="95"/>
      <c r="X232" s="95"/>
      <c r="Y232" s="94"/>
      <c r="Z232" s="94"/>
      <c r="AA232" s="94"/>
      <c r="AB232" s="96"/>
      <c r="AC232" s="167"/>
    </row>
    <row r="233" spans="1:29" x14ac:dyDescent="0.2">
      <c r="A233" s="193"/>
      <c r="B233" s="168" t="str">
        <f t="shared" si="94"/>
        <v>4A</v>
      </c>
      <c r="C233" s="169" t="str">
        <f t="shared" si="94"/>
        <v>JAR-007A</v>
      </c>
      <c r="D233" s="73">
        <f>IF(ISBLANK(D224), "-", D224)</f>
        <v>21231</v>
      </c>
      <c r="E233" s="73" t="str">
        <f t="shared" si="95"/>
        <v>White</v>
      </c>
      <c r="F233" s="73" t="str">
        <f t="shared" si="95"/>
        <v>RPET</v>
      </c>
      <c r="G233" s="171"/>
      <c r="H233" s="75"/>
      <c r="I233" s="75"/>
      <c r="J233" s="75"/>
      <c r="K233" s="75"/>
      <c r="L233" s="75"/>
      <c r="M233" s="74"/>
      <c r="N233" s="75"/>
      <c r="O233" s="75"/>
      <c r="P233" s="75"/>
      <c r="Q233" s="75"/>
      <c r="R233" s="75"/>
      <c r="S233" s="74"/>
      <c r="T233" s="75"/>
      <c r="U233" s="75"/>
      <c r="V233" s="75"/>
      <c r="W233" s="75"/>
      <c r="X233" s="75"/>
      <c r="Y233" s="74"/>
      <c r="Z233" s="74"/>
      <c r="AA233" s="74"/>
      <c r="AB233" s="76">
        <v>30</v>
      </c>
      <c r="AC233" s="167"/>
    </row>
    <row r="234" spans="1:29" x14ac:dyDescent="0.2">
      <c r="A234" s="193"/>
      <c r="B234" s="168" t="str">
        <f t="shared" si="94"/>
        <v>-</v>
      </c>
      <c r="C234" s="169" t="str">
        <f t="shared" si="94"/>
        <v>-</v>
      </c>
      <c r="D234" s="73" t="str">
        <f>IF(ISBLANK(D225), "-", D225)</f>
        <v>-</v>
      </c>
      <c r="E234" s="73" t="str">
        <f t="shared" si="95"/>
        <v>-</v>
      </c>
      <c r="F234" s="73" t="str">
        <f t="shared" si="95"/>
        <v>-</v>
      </c>
      <c r="G234" s="172"/>
      <c r="H234" s="75"/>
      <c r="I234" s="75"/>
      <c r="J234" s="75"/>
      <c r="K234" s="75"/>
      <c r="L234" s="75"/>
      <c r="M234" s="74"/>
      <c r="N234" s="75"/>
      <c r="O234" s="75"/>
      <c r="P234" s="75"/>
      <c r="Q234" s="75"/>
      <c r="R234" s="75"/>
      <c r="S234" s="74"/>
      <c r="T234" s="75"/>
      <c r="U234" s="75"/>
      <c r="V234" s="75"/>
      <c r="W234" s="75"/>
      <c r="X234" s="75"/>
      <c r="Y234" s="74"/>
      <c r="Z234" s="74"/>
      <c r="AA234" s="74"/>
      <c r="AB234" s="76"/>
      <c r="AC234" s="167"/>
    </row>
    <row r="236" spans="1:29" x14ac:dyDescent="0.2">
      <c r="A236" s="193">
        <v>44725</v>
      </c>
      <c r="B236" s="16" t="s">
        <v>20</v>
      </c>
      <c r="C236" s="17"/>
      <c r="D236" s="18" t="s">
        <v>21</v>
      </c>
      <c r="E236" s="17">
        <v>0</v>
      </c>
      <c r="F236" s="24"/>
      <c r="G236" s="25"/>
      <c r="H236" s="38"/>
      <c r="I236" s="51"/>
      <c r="J236" s="57"/>
      <c r="K236" s="25"/>
      <c r="L236" s="18"/>
      <c r="M236" s="25"/>
      <c r="N236" s="38"/>
      <c r="O236" s="51"/>
      <c r="P236" s="57"/>
      <c r="Q236" s="25"/>
      <c r="R236" s="18"/>
      <c r="S236" s="25"/>
      <c r="T236" s="38"/>
      <c r="U236" s="51"/>
      <c r="V236" s="57"/>
      <c r="W236" s="25"/>
      <c r="X236" s="18"/>
      <c r="Y236" s="18"/>
      <c r="Z236" s="25"/>
      <c r="AA236" s="18"/>
      <c r="AB236" s="18"/>
      <c r="AC236" s="26"/>
    </row>
    <row r="237" spans="1:29" x14ac:dyDescent="0.2">
      <c r="A237" s="193"/>
      <c r="B237" s="157" t="s">
        <v>3</v>
      </c>
      <c r="C237" s="158" t="s">
        <v>0</v>
      </c>
      <c r="D237" s="158" t="s">
        <v>10</v>
      </c>
      <c r="E237" s="158" t="s">
        <v>4</v>
      </c>
      <c r="F237" s="158" t="s">
        <v>9</v>
      </c>
      <c r="G237" s="180" t="s">
        <v>5</v>
      </c>
      <c r="H237" s="187" t="s">
        <v>6</v>
      </c>
      <c r="I237" s="188"/>
      <c r="J237" s="188"/>
      <c r="K237" s="188"/>
      <c r="L237" s="188"/>
      <c r="M237" s="189"/>
      <c r="N237" s="187" t="s">
        <v>7</v>
      </c>
      <c r="O237" s="188"/>
      <c r="P237" s="188"/>
      <c r="Q237" s="188"/>
      <c r="R237" s="188"/>
      <c r="S237" s="189"/>
      <c r="T237" s="187" t="s">
        <v>8</v>
      </c>
      <c r="U237" s="188"/>
      <c r="V237" s="188"/>
      <c r="W237" s="188"/>
      <c r="X237" s="188"/>
      <c r="Y237" s="189"/>
      <c r="Z237" s="163" t="s">
        <v>16</v>
      </c>
      <c r="AA237" s="163" t="s">
        <v>66</v>
      </c>
      <c r="AB237" s="163" t="s">
        <v>27</v>
      </c>
      <c r="AC237" s="181" t="s">
        <v>11</v>
      </c>
    </row>
    <row r="238" spans="1:29" ht="47.25" customHeight="1" x14ac:dyDescent="0.2">
      <c r="A238" s="193"/>
      <c r="B238" s="157"/>
      <c r="C238" s="158"/>
      <c r="D238" s="158"/>
      <c r="E238" s="158"/>
      <c r="F238" s="158"/>
      <c r="G238" s="180"/>
      <c r="H238" s="39" t="s">
        <v>24</v>
      </c>
      <c r="I238" s="98" t="s">
        <v>25</v>
      </c>
      <c r="J238" s="99" t="s">
        <v>28</v>
      </c>
      <c r="K238" s="100" t="s">
        <v>22</v>
      </c>
      <c r="L238" s="101" t="s">
        <v>2</v>
      </c>
      <c r="M238" s="27" t="s">
        <v>14</v>
      </c>
      <c r="N238" s="39" t="s">
        <v>24</v>
      </c>
      <c r="O238" s="98" t="s">
        <v>25</v>
      </c>
      <c r="P238" s="99" t="s">
        <v>28</v>
      </c>
      <c r="Q238" s="100" t="s">
        <v>22</v>
      </c>
      <c r="R238" s="27" t="s">
        <v>2</v>
      </c>
      <c r="S238" s="27" t="s">
        <v>14</v>
      </c>
      <c r="T238" s="39" t="s">
        <v>24</v>
      </c>
      <c r="U238" s="98" t="s">
        <v>25</v>
      </c>
      <c r="V238" s="99" t="s">
        <v>28</v>
      </c>
      <c r="W238" s="100" t="s">
        <v>22</v>
      </c>
      <c r="X238" s="27" t="s">
        <v>2</v>
      </c>
      <c r="Y238" s="27" t="s">
        <v>14</v>
      </c>
      <c r="Z238" s="164"/>
      <c r="AA238" s="165"/>
      <c r="AB238" s="165"/>
      <c r="AC238" s="182"/>
    </row>
    <row r="239" spans="1:29" x14ac:dyDescent="0.2">
      <c r="A239" s="193"/>
      <c r="B239" s="194" t="s">
        <v>42</v>
      </c>
      <c r="C239" s="196" t="s">
        <v>45</v>
      </c>
      <c r="D239" s="11">
        <v>21231</v>
      </c>
      <c r="E239" s="11" t="s">
        <v>46</v>
      </c>
      <c r="F239" s="11" t="s">
        <v>130</v>
      </c>
      <c r="G239" s="196" t="s">
        <v>1</v>
      </c>
      <c r="H239" s="34">
        <v>41.45</v>
      </c>
      <c r="I239" s="49">
        <v>7.5</v>
      </c>
      <c r="J239" s="28">
        <v>650</v>
      </c>
      <c r="K239" s="28">
        <v>12</v>
      </c>
      <c r="L239" s="28">
        <f t="shared" ref="L239:L244" si="96">IF(ISBLANK(J239), , J239*K239)</f>
        <v>7800</v>
      </c>
      <c r="M239" s="23">
        <f t="shared" ref="M239:M244" si="97">H248+K248+N248+Q248+T248+W248+Z248</f>
        <v>100</v>
      </c>
      <c r="N239" s="34">
        <v>41.45</v>
      </c>
      <c r="O239" s="49">
        <v>7</v>
      </c>
      <c r="P239" s="28">
        <v>650</v>
      </c>
      <c r="Q239" s="28">
        <v>12</v>
      </c>
      <c r="R239" s="28">
        <f t="shared" ref="R239:R244" si="98">IF(ISBLANK(P239), , P239*Q239)</f>
        <v>7800</v>
      </c>
      <c r="S239" s="23">
        <f t="shared" ref="S239:S244" si="99">I248+L248+O248+R248+U248+X248+AA248</f>
        <v>150</v>
      </c>
      <c r="T239" s="34">
        <v>41.45</v>
      </c>
      <c r="U239" s="49">
        <v>80</v>
      </c>
      <c r="V239" s="28">
        <v>696</v>
      </c>
      <c r="W239" s="28">
        <v>12</v>
      </c>
      <c r="X239" s="28">
        <f t="shared" ref="X239:X244" si="100">IF(ISBLANK(V239), , V239*W239)</f>
        <v>8352</v>
      </c>
      <c r="Y239" s="23">
        <f t="shared" ref="Y239:Y244" si="101">J248+M248+P248+S248+V248+Y248+AB248</f>
        <v>10</v>
      </c>
      <c r="Z239" s="151">
        <f>SUM(L239, R239, X239)+SUM(L240, R240, X240)</f>
        <v>23952</v>
      </c>
      <c r="AA239" s="151">
        <f>SUM(M239, S239, Y239)+SUM(M240, S240, Y240)</f>
        <v>260</v>
      </c>
      <c r="AB239" s="153">
        <f>IF($Z239=0, ,AA239/$Z239)</f>
        <v>1.0855043420173681E-2</v>
      </c>
      <c r="AC239" s="179" t="s">
        <v>104</v>
      </c>
    </row>
    <row r="240" spans="1:29" x14ac:dyDescent="0.2">
      <c r="A240" s="193"/>
      <c r="B240" s="195"/>
      <c r="C240" s="197"/>
      <c r="D240" s="11"/>
      <c r="E240" s="11"/>
      <c r="F240" s="11"/>
      <c r="G240" s="198"/>
      <c r="H240" s="34"/>
      <c r="I240" s="49"/>
      <c r="J240" s="28"/>
      <c r="K240" s="28"/>
      <c r="L240" s="28">
        <f t="shared" si="96"/>
        <v>0</v>
      </c>
      <c r="M240" s="23">
        <f t="shared" si="97"/>
        <v>0</v>
      </c>
      <c r="N240" s="34"/>
      <c r="O240" s="49"/>
      <c r="P240" s="28"/>
      <c r="Q240" s="28"/>
      <c r="R240" s="28">
        <f t="shared" si="98"/>
        <v>0</v>
      </c>
      <c r="S240" s="23">
        <f t="shared" si="99"/>
        <v>0</v>
      </c>
      <c r="T240" s="34"/>
      <c r="U240" s="49"/>
      <c r="V240" s="28"/>
      <c r="W240" s="28"/>
      <c r="X240" s="28">
        <f t="shared" si="100"/>
        <v>0</v>
      </c>
      <c r="Y240" s="23">
        <f t="shared" si="101"/>
        <v>0</v>
      </c>
      <c r="Z240" s="152"/>
      <c r="AA240" s="152"/>
      <c r="AB240" s="154"/>
      <c r="AC240" s="155"/>
    </row>
    <row r="241" spans="1:29" x14ac:dyDescent="0.2">
      <c r="A241" s="193"/>
      <c r="B241" s="175" t="s">
        <v>43</v>
      </c>
      <c r="C241" s="177" t="s">
        <v>65</v>
      </c>
      <c r="D241" s="10">
        <v>21234</v>
      </c>
      <c r="E241" s="10" t="s">
        <v>46</v>
      </c>
      <c r="F241" s="10" t="s">
        <v>130</v>
      </c>
      <c r="G241" s="177" t="s">
        <v>1</v>
      </c>
      <c r="H241" s="35">
        <v>41.6</v>
      </c>
      <c r="I241" s="52">
        <v>8</v>
      </c>
      <c r="J241" s="64">
        <v>687</v>
      </c>
      <c r="K241" s="64">
        <v>12</v>
      </c>
      <c r="L241" s="64">
        <f t="shared" si="96"/>
        <v>8244</v>
      </c>
      <c r="M241" s="65">
        <f t="shared" si="97"/>
        <v>20</v>
      </c>
      <c r="N241" s="66">
        <v>41.6</v>
      </c>
      <c r="O241" s="67">
        <v>7</v>
      </c>
      <c r="P241" s="64">
        <v>610</v>
      </c>
      <c r="Q241" s="64">
        <v>12</v>
      </c>
      <c r="R241" s="64">
        <f t="shared" si="98"/>
        <v>7320</v>
      </c>
      <c r="S241" s="65">
        <f t="shared" si="99"/>
        <v>150</v>
      </c>
      <c r="T241" s="66">
        <v>41.6</v>
      </c>
      <c r="U241" s="67">
        <v>8</v>
      </c>
      <c r="V241" s="64">
        <v>699</v>
      </c>
      <c r="W241" s="64">
        <v>12</v>
      </c>
      <c r="X241" s="64">
        <f t="shared" si="100"/>
        <v>8388</v>
      </c>
      <c r="Y241" s="65">
        <f t="shared" si="101"/>
        <v>10</v>
      </c>
      <c r="Z241" s="183">
        <f>SUM(L241, R241, X241)+SUM(L242, R242, X242)</f>
        <v>23952</v>
      </c>
      <c r="AA241" s="185">
        <f>SUM(M241, S241, Y241)+SUM(M242, S242, Y242)</f>
        <v>180</v>
      </c>
      <c r="AB241" s="190">
        <f>IF($Z241=0, ,AA241/$Z241)</f>
        <v>7.5150300601202402E-3</v>
      </c>
      <c r="AC241" s="192" t="s">
        <v>105</v>
      </c>
    </row>
    <row r="242" spans="1:29" x14ac:dyDescent="0.2">
      <c r="A242" s="193"/>
      <c r="B242" s="176"/>
      <c r="C242" s="178"/>
      <c r="D242" s="10"/>
      <c r="E242" s="10"/>
      <c r="F242" s="10"/>
      <c r="G242" s="178"/>
      <c r="H242" s="35"/>
      <c r="I242" s="52"/>
      <c r="J242" s="64"/>
      <c r="K242" s="64"/>
      <c r="L242" s="64">
        <f t="shared" si="96"/>
        <v>0</v>
      </c>
      <c r="M242" s="65">
        <f t="shared" si="97"/>
        <v>0</v>
      </c>
      <c r="N242" s="66"/>
      <c r="O242" s="67"/>
      <c r="P242" s="64"/>
      <c r="Q242" s="64"/>
      <c r="R242" s="64">
        <f t="shared" si="98"/>
        <v>0</v>
      </c>
      <c r="S242" s="65">
        <f t="shared" si="99"/>
        <v>0</v>
      </c>
      <c r="T242" s="66"/>
      <c r="U242" s="67"/>
      <c r="V242" s="64"/>
      <c r="W242" s="64"/>
      <c r="X242" s="64">
        <f t="shared" si="100"/>
        <v>0</v>
      </c>
      <c r="Y242" s="65">
        <f t="shared" si="101"/>
        <v>0</v>
      </c>
      <c r="Z242" s="184"/>
      <c r="AA242" s="186"/>
      <c r="AB242" s="191"/>
      <c r="AC242" s="192"/>
    </row>
    <row r="243" spans="1:29" x14ac:dyDescent="0.2">
      <c r="A243" s="193"/>
      <c r="B243" s="161" t="s">
        <v>44</v>
      </c>
      <c r="C243" s="149" t="s">
        <v>67</v>
      </c>
      <c r="D243" s="9">
        <v>21231</v>
      </c>
      <c r="E243" s="9" t="s">
        <v>46</v>
      </c>
      <c r="F243" s="9" t="s">
        <v>130</v>
      </c>
      <c r="G243" s="149" t="s">
        <v>1</v>
      </c>
      <c r="H243" s="36">
        <v>41.35</v>
      </c>
      <c r="I243" s="53">
        <v>8</v>
      </c>
      <c r="J243" s="29">
        <v>692</v>
      </c>
      <c r="K243" s="29">
        <v>12</v>
      </c>
      <c r="L243" s="29">
        <f t="shared" si="96"/>
        <v>8304</v>
      </c>
      <c r="M243" s="30">
        <f t="shared" si="97"/>
        <v>0</v>
      </c>
      <c r="N243" s="36">
        <v>41.35</v>
      </c>
      <c r="O243" s="53">
        <v>2</v>
      </c>
      <c r="P243" s="29">
        <v>156</v>
      </c>
      <c r="Q243" s="29">
        <v>12</v>
      </c>
      <c r="R243" s="29">
        <f t="shared" si="98"/>
        <v>1872</v>
      </c>
      <c r="S243" s="30">
        <f t="shared" si="99"/>
        <v>200</v>
      </c>
      <c r="T243" s="36">
        <v>41.35</v>
      </c>
      <c r="U243" s="53">
        <v>0</v>
      </c>
      <c r="V243" s="29">
        <v>0</v>
      </c>
      <c r="W243" s="29">
        <v>12</v>
      </c>
      <c r="X243" s="29">
        <f t="shared" si="100"/>
        <v>0</v>
      </c>
      <c r="Y243" s="30">
        <f t="shared" si="101"/>
        <v>0</v>
      </c>
      <c r="Z243" s="151">
        <f>SUM(L243, R243, X243)+SUM(L244, R244, X244)</f>
        <v>10176</v>
      </c>
      <c r="AA243" s="151">
        <f>SUM(M243, S243, Y243)+SUM(M244, S244, Y244)</f>
        <v>200</v>
      </c>
      <c r="AB243" s="153">
        <f>IF($Z243=0, ,AA243/$Z243)</f>
        <v>1.9654088050314465E-2</v>
      </c>
      <c r="AC243" s="155" t="s">
        <v>103</v>
      </c>
    </row>
    <row r="244" spans="1:29" x14ac:dyDescent="0.2">
      <c r="A244" s="193"/>
      <c r="B244" s="162"/>
      <c r="C244" s="150"/>
      <c r="D244" s="9"/>
      <c r="E244" s="9"/>
      <c r="F244" s="9"/>
      <c r="G244" s="150"/>
      <c r="H244" s="36"/>
      <c r="I244" s="53"/>
      <c r="J244" s="29"/>
      <c r="K244" s="29"/>
      <c r="L244" s="29">
        <f t="shared" si="96"/>
        <v>0</v>
      </c>
      <c r="M244" s="30">
        <f t="shared" si="97"/>
        <v>0</v>
      </c>
      <c r="N244" s="36"/>
      <c r="O244" s="53"/>
      <c r="P244" s="29"/>
      <c r="Q244" s="29"/>
      <c r="R244" s="29">
        <f t="shared" si="98"/>
        <v>0</v>
      </c>
      <c r="S244" s="30">
        <f t="shared" si="99"/>
        <v>0</v>
      </c>
      <c r="T244" s="36"/>
      <c r="U244" s="53"/>
      <c r="V244" s="29"/>
      <c r="W244" s="29"/>
      <c r="X244" s="29">
        <f t="shared" si="100"/>
        <v>0</v>
      </c>
      <c r="Y244" s="30">
        <f t="shared" si="101"/>
        <v>0</v>
      </c>
      <c r="Z244" s="152"/>
      <c r="AA244" s="152"/>
      <c r="AB244" s="154"/>
      <c r="AC244" s="156"/>
    </row>
    <row r="245" spans="1:29" x14ac:dyDescent="0.2">
      <c r="A245" s="193"/>
      <c r="B245" s="42"/>
      <c r="C245" s="42"/>
      <c r="D245" s="42"/>
      <c r="E245" s="42"/>
      <c r="F245" s="42"/>
      <c r="G245" s="42"/>
      <c r="H245" s="59"/>
      <c r="I245" s="60"/>
      <c r="J245" s="61"/>
      <c r="K245" s="61"/>
      <c r="L245" s="61"/>
      <c r="M245" s="62"/>
      <c r="N245" s="59"/>
      <c r="O245" s="60"/>
      <c r="P245" s="61"/>
      <c r="Q245" s="61"/>
      <c r="R245" s="61"/>
      <c r="S245" s="62"/>
      <c r="T245" s="59"/>
      <c r="U245" s="60"/>
      <c r="V245" s="61"/>
      <c r="W245" s="61"/>
      <c r="X245" s="61"/>
      <c r="Y245" s="62"/>
      <c r="Z245" s="62"/>
      <c r="AA245" s="62"/>
      <c r="AB245" s="63"/>
      <c r="AC245" s="45"/>
    </row>
    <row r="246" spans="1:29" x14ac:dyDescent="0.2">
      <c r="A246" s="193"/>
      <c r="B246" s="157" t="s">
        <v>32</v>
      </c>
      <c r="C246" s="158"/>
      <c r="D246" s="158"/>
      <c r="E246" s="158"/>
      <c r="F246" s="158"/>
      <c r="G246" s="77" t="s">
        <v>33</v>
      </c>
      <c r="H246" s="159" t="s">
        <v>29</v>
      </c>
      <c r="I246" s="159"/>
      <c r="J246" s="159"/>
      <c r="K246" s="159" t="s">
        <v>41</v>
      </c>
      <c r="L246" s="159"/>
      <c r="M246" s="159"/>
      <c r="N246" s="160" t="s">
        <v>63</v>
      </c>
      <c r="O246" s="159"/>
      <c r="P246" s="159"/>
      <c r="Q246" s="160" t="s">
        <v>62</v>
      </c>
      <c r="R246" s="159"/>
      <c r="S246" s="159"/>
      <c r="T246" s="160" t="s">
        <v>61</v>
      </c>
      <c r="U246" s="159"/>
      <c r="V246" s="159"/>
      <c r="W246" s="159" t="s">
        <v>39</v>
      </c>
      <c r="X246" s="159"/>
      <c r="Y246" s="159"/>
      <c r="Z246" s="159" t="s">
        <v>40</v>
      </c>
      <c r="AA246" s="159"/>
      <c r="AB246" s="159"/>
      <c r="AC246" s="166"/>
    </row>
    <row r="247" spans="1:29" x14ac:dyDescent="0.2">
      <c r="A247" s="193"/>
      <c r="B247" s="157"/>
      <c r="C247" s="158"/>
      <c r="D247" s="158"/>
      <c r="E247" s="158"/>
      <c r="F247" s="158"/>
      <c r="G247" s="77" t="s">
        <v>34</v>
      </c>
      <c r="H247" s="78" t="s">
        <v>35</v>
      </c>
      <c r="I247" s="78" t="s">
        <v>36</v>
      </c>
      <c r="J247" s="79" t="s">
        <v>37</v>
      </c>
      <c r="K247" s="78" t="s">
        <v>35</v>
      </c>
      <c r="L247" s="78" t="s">
        <v>36</v>
      </c>
      <c r="M247" s="79" t="s">
        <v>37</v>
      </c>
      <c r="N247" s="78" t="s">
        <v>35</v>
      </c>
      <c r="O247" s="78" t="s">
        <v>36</v>
      </c>
      <c r="P247" s="79" t="s">
        <v>37</v>
      </c>
      <c r="Q247" s="78" t="s">
        <v>35</v>
      </c>
      <c r="R247" s="78" t="s">
        <v>36</v>
      </c>
      <c r="S247" s="79" t="s">
        <v>37</v>
      </c>
      <c r="T247" s="78" t="s">
        <v>35</v>
      </c>
      <c r="U247" s="78" t="s">
        <v>36</v>
      </c>
      <c r="V247" s="79" t="s">
        <v>37</v>
      </c>
      <c r="W247" s="78" t="s">
        <v>35</v>
      </c>
      <c r="X247" s="78" t="s">
        <v>36</v>
      </c>
      <c r="Y247" s="79" t="s">
        <v>37</v>
      </c>
      <c r="Z247" s="78" t="s">
        <v>35</v>
      </c>
      <c r="AA247" s="78" t="s">
        <v>36</v>
      </c>
      <c r="AB247" s="79" t="s">
        <v>37</v>
      </c>
      <c r="AC247" s="167"/>
    </row>
    <row r="248" spans="1:29" x14ac:dyDescent="0.2">
      <c r="A248" s="193"/>
      <c r="B248" s="168" t="str">
        <f t="shared" ref="B248:C253" si="102">IF(ISBLANK(B239), "-", B239)</f>
        <v>2A</v>
      </c>
      <c r="C248" s="169" t="str">
        <f t="shared" si="102"/>
        <v>JAR-007B</v>
      </c>
      <c r="D248" s="73">
        <v>21231</v>
      </c>
      <c r="E248" s="73" t="str">
        <f t="shared" ref="E248:F253" si="103">IF(ISBLANK(E239), "-", E239)</f>
        <v>White</v>
      </c>
      <c r="F248" s="73" t="str">
        <f t="shared" si="103"/>
        <v>RPET</v>
      </c>
      <c r="G248" s="170"/>
      <c r="H248" s="74">
        <v>100</v>
      </c>
      <c r="I248" s="74">
        <v>150</v>
      </c>
      <c r="J248" s="74">
        <v>10</v>
      </c>
      <c r="K248" s="74"/>
      <c r="L248" s="74"/>
      <c r="M248" s="74"/>
      <c r="N248" s="75"/>
      <c r="O248" s="75"/>
      <c r="P248" s="75"/>
      <c r="Q248" s="75"/>
      <c r="R248" s="75"/>
      <c r="S248" s="74"/>
      <c r="T248" s="75"/>
      <c r="U248" s="75"/>
      <c r="V248" s="75"/>
      <c r="W248" s="75"/>
      <c r="X248" s="75"/>
      <c r="Y248" s="74"/>
      <c r="Z248" s="74"/>
      <c r="AA248" s="74"/>
      <c r="AB248" s="76"/>
      <c r="AC248" s="167"/>
    </row>
    <row r="249" spans="1:29" x14ac:dyDescent="0.2">
      <c r="A249" s="193"/>
      <c r="B249" s="168" t="str">
        <f t="shared" si="102"/>
        <v>-</v>
      </c>
      <c r="C249" s="169" t="str">
        <f t="shared" si="102"/>
        <v>-</v>
      </c>
      <c r="D249" s="73" t="str">
        <f>IF(ISBLANK(D240), "-", D240)</f>
        <v>-</v>
      </c>
      <c r="E249" s="73" t="str">
        <f t="shared" si="103"/>
        <v>-</v>
      </c>
      <c r="F249" s="73" t="str">
        <f t="shared" si="103"/>
        <v>-</v>
      </c>
      <c r="G249" s="171"/>
      <c r="H249" s="75"/>
      <c r="I249" s="75"/>
      <c r="J249" s="75"/>
      <c r="K249" s="75"/>
      <c r="L249" s="75"/>
      <c r="M249" s="74"/>
      <c r="N249" s="75"/>
      <c r="O249" s="75"/>
      <c r="P249" s="75"/>
      <c r="Q249" s="75"/>
      <c r="R249" s="75"/>
      <c r="S249" s="74"/>
      <c r="T249" s="75"/>
      <c r="U249" s="75"/>
      <c r="V249" s="75"/>
      <c r="W249" s="75"/>
      <c r="X249" s="75"/>
      <c r="Y249" s="74"/>
      <c r="Z249" s="74"/>
      <c r="AA249" s="74"/>
      <c r="AB249" s="76"/>
      <c r="AC249" s="167"/>
    </row>
    <row r="250" spans="1:29" x14ac:dyDescent="0.2">
      <c r="A250" s="193"/>
      <c r="B250" s="173" t="str">
        <f t="shared" si="102"/>
        <v>3A</v>
      </c>
      <c r="C250" s="174" t="str">
        <f t="shared" si="102"/>
        <v>JAR-014</v>
      </c>
      <c r="D250" s="102">
        <f>IF(ISBLANK(D241), "-", D241)</f>
        <v>21234</v>
      </c>
      <c r="E250" s="102" t="str">
        <f t="shared" si="103"/>
        <v>White</v>
      </c>
      <c r="F250" s="102" t="str">
        <f t="shared" si="103"/>
        <v>RPET</v>
      </c>
      <c r="G250" s="171"/>
      <c r="H250" s="94">
        <v>20</v>
      </c>
      <c r="I250" s="94">
        <v>150</v>
      </c>
      <c r="J250" s="94">
        <v>10</v>
      </c>
      <c r="K250" s="94"/>
      <c r="L250" s="94"/>
      <c r="M250" s="94"/>
      <c r="N250" s="95"/>
      <c r="O250" s="95"/>
      <c r="P250" s="95"/>
      <c r="Q250" s="95"/>
      <c r="R250" s="95"/>
      <c r="S250" s="94"/>
      <c r="T250" s="95"/>
      <c r="U250" s="95"/>
      <c r="V250" s="95"/>
      <c r="W250" s="95"/>
      <c r="X250" s="95"/>
      <c r="Y250" s="94"/>
      <c r="Z250" s="94"/>
      <c r="AA250" s="94"/>
      <c r="AB250" s="96"/>
      <c r="AC250" s="167"/>
    </row>
    <row r="251" spans="1:29" x14ac:dyDescent="0.2">
      <c r="A251" s="193"/>
      <c r="B251" s="173" t="str">
        <f t="shared" si="102"/>
        <v>-</v>
      </c>
      <c r="C251" s="174" t="str">
        <f t="shared" si="102"/>
        <v>-</v>
      </c>
      <c r="D251" s="102" t="str">
        <f>IF(ISBLANK(D242), "-", D242)</f>
        <v>-</v>
      </c>
      <c r="E251" s="102" t="str">
        <f t="shared" si="103"/>
        <v>-</v>
      </c>
      <c r="F251" s="102" t="str">
        <f t="shared" si="103"/>
        <v>-</v>
      </c>
      <c r="G251" s="171"/>
      <c r="H251" s="95"/>
      <c r="I251" s="95"/>
      <c r="J251" s="95"/>
      <c r="K251" s="95"/>
      <c r="L251" s="95"/>
      <c r="M251" s="94"/>
      <c r="N251" s="95"/>
      <c r="O251" s="95"/>
      <c r="P251" s="95"/>
      <c r="Q251" s="95"/>
      <c r="R251" s="95"/>
      <c r="S251" s="94"/>
      <c r="T251" s="95"/>
      <c r="U251" s="95"/>
      <c r="V251" s="95"/>
      <c r="W251" s="95"/>
      <c r="X251" s="95"/>
      <c r="Y251" s="94"/>
      <c r="Z251" s="94"/>
      <c r="AA251" s="94"/>
      <c r="AB251" s="96"/>
      <c r="AC251" s="167"/>
    </row>
    <row r="252" spans="1:29" x14ac:dyDescent="0.2">
      <c r="A252" s="193"/>
      <c r="B252" s="168" t="str">
        <f t="shared" si="102"/>
        <v>4A</v>
      </c>
      <c r="C252" s="169" t="str">
        <f t="shared" si="102"/>
        <v>JAR-007A</v>
      </c>
      <c r="D252" s="73">
        <f>IF(ISBLANK(D243), "-", D243)</f>
        <v>21231</v>
      </c>
      <c r="E252" s="73" t="str">
        <f t="shared" si="103"/>
        <v>White</v>
      </c>
      <c r="F252" s="73" t="str">
        <f t="shared" si="103"/>
        <v>RPET</v>
      </c>
      <c r="G252" s="171"/>
      <c r="H252" s="75"/>
      <c r="I252" s="75">
        <v>200</v>
      </c>
      <c r="J252" s="75"/>
      <c r="K252" s="75"/>
      <c r="L252" s="75"/>
      <c r="M252" s="74"/>
      <c r="N252" s="75"/>
      <c r="O252" s="75"/>
      <c r="P252" s="75"/>
      <c r="Q252" s="75"/>
      <c r="R252" s="75"/>
      <c r="S252" s="74"/>
      <c r="T252" s="75"/>
      <c r="U252" s="75"/>
      <c r="V252" s="75"/>
      <c r="W252" s="75"/>
      <c r="X252" s="75"/>
      <c r="Y252" s="74"/>
      <c r="Z252" s="74"/>
      <c r="AA252" s="74"/>
      <c r="AB252" s="76"/>
      <c r="AC252" s="167"/>
    </row>
    <row r="253" spans="1:29" x14ac:dyDescent="0.2">
      <c r="A253" s="193"/>
      <c r="B253" s="168" t="str">
        <f t="shared" si="102"/>
        <v>-</v>
      </c>
      <c r="C253" s="169" t="str">
        <f t="shared" si="102"/>
        <v>-</v>
      </c>
      <c r="D253" s="73" t="str">
        <f>IF(ISBLANK(D244), "-", D244)</f>
        <v>-</v>
      </c>
      <c r="E253" s="73" t="str">
        <f t="shared" si="103"/>
        <v>-</v>
      </c>
      <c r="F253" s="73" t="str">
        <f t="shared" si="103"/>
        <v>-</v>
      </c>
      <c r="G253" s="172"/>
      <c r="H253" s="75"/>
      <c r="I253" s="75"/>
      <c r="J253" s="75"/>
      <c r="K253" s="75"/>
      <c r="L253" s="75"/>
      <c r="M253" s="74"/>
      <c r="N253" s="75"/>
      <c r="O253" s="75"/>
      <c r="P253" s="75"/>
      <c r="Q253" s="75"/>
      <c r="R253" s="75"/>
      <c r="S253" s="74"/>
      <c r="T253" s="75"/>
      <c r="U253" s="75"/>
      <c r="V253" s="75"/>
      <c r="W253" s="75"/>
      <c r="X253" s="75"/>
      <c r="Y253" s="74"/>
      <c r="Z253" s="74"/>
      <c r="AA253" s="74"/>
      <c r="AB253" s="76"/>
      <c r="AC253" s="167"/>
    </row>
    <row r="255" spans="1:29" x14ac:dyDescent="0.2">
      <c r="A255" s="193">
        <v>44726</v>
      </c>
      <c r="B255" s="16" t="s">
        <v>20</v>
      </c>
      <c r="C255" s="17"/>
      <c r="D255" s="18" t="s">
        <v>21</v>
      </c>
      <c r="E255" s="17">
        <v>0</v>
      </c>
      <c r="F255" s="24"/>
      <c r="G255" s="25"/>
      <c r="H255" s="38"/>
      <c r="I255" s="51"/>
      <c r="J255" s="57"/>
      <c r="K255" s="25"/>
      <c r="L255" s="18"/>
      <c r="M255" s="25"/>
      <c r="N255" s="38"/>
      <c r="O255" s="51"/>
      <c r="P255" s="57"/>
      <c r="Q255" s="25"/>
      <c r="R255" s="18"/>
      <c r="S255" s="25"/>
      <c r="T255" s="38"/>
      <c r="U255" s="51"/>
      <c r="V255" s="57"/>
      <c r="W255" s="25"/>
      <c r="X255" s="18"/>
      <c r="Y255" s="18"/>
      <c r="Z255" s="25"/>
      <c r="AA255" s="18"/>
      <c r="AB255" s="18"/>
      <c r="AC255" s="26"/>
    </row>
    <row r="256" spans="1:29" x14ac:dyDescent="0.2">
      <c r="A256" s="193"/>
      <c r="B256" s="157" t="s">
        <v>3</v>
      </c>
      <c r="C256" s="158" t="s">
        <v>0</v>
      </c>
      <c r="D256" s="158" t="s">
        <v>10</v>
      </c>
      <c r="E256" s="158" t="s">
        <v>4</v>
      </c>
      <c r="F256" s="158" t="s">
        <v>9</v>
      </c>
      <c r="G256" s="180" t="s">
        <v>5</v>
      </c>
      <c r="H256" s="187" t="s">
        <v>6</v>
      </c>
      <c r="I256" s="188"/>
      <c r="J256" s="188"/>
      <c r="K256" s="188"/>
      <c r="L256" s="188"/>
      <c r="M256" s="189"/>
      <c r="N256" s="187" t="s">
        <v>7</v>
      </c>
      <c r="O256" s="188"/>
      <c r="P256" s="188"/>
      <c r="Q256" s="188"/>
      <c r="R256" s="188"/>
      <c r="S256" s="189"/>
      <c r="T256" s="187" t="s">
        <v>8</v>
      </c>
      <c r="U256" s="188"/>
      <c r="V256" s="188"/>
      <c r="W256" s="188"/>
      <c r="X256" s="188"/>
      <c r="Y256" s="189"/>
      <c r="Z256" s="163" t="s">
        <v>16</v>
      </c>
      <c r="AA256" s="163" t="s">
        <v>66</v>
      </c>
      <c r="AB256" s="163" t="s">
        <v>27</v>
      </c>
      <c r="AC256" s="181" t="s">
        <v>11</v>
      </c>
    </row>
    <row r="257" spans="1:29" ht="39" customHeight="1" x14ac:dyDescent="0.2">
      <c r="A257" s="193"/>
      <c r="B257" s="157"/>
      <c r="C257" s="158"/>
      <c r="D257" s="158"/>
      <c r="E257" s="158"/>
      <c r="F257" s="158"/>
      <c r="G257" s="180"/>
      <c r="H257" s="39" t="s">
        <v>24</v>
      </c>
      <c r="I257" s="98" t="s">
        <v>25</v>
      </c>
      <c r="J257" s="99" t="s">
        <v>28</v>
      </c>
      <c r="K257" s="100" t="s">
        <v>22</v>
      </c>
      <c r="L257" s="101" t="s">
        <v>2</v>
      </c>
      <c r="M257" s="27" t="s">
        <v>14</v>
      </c>
      <c r="N257" s="39" t="s">
        <v>24</v>
      </c>
      <c r="O257" s="98" t="s">
        <v>25</v>
      </c>
      <c r="P257" s="99" t="s">
        <v>28</v>
      </c>
      <c r="Q257" s="100" t="s">
        <v>22</v>
      </c>
      <c r="R257" s="27" t="s">
        <v>2</v>
      </c>
      <c r="S257" s="27" t="s">
        <v>14</v>
      </c>
      <c r="T257" s="39" t="s">
        <v>24</v>
      </c>
      <c r="U257" s="98" t="s">
        <v>25</v>
      </c>
      <c r="V257" s="99" t="s">
        <v>28</v>
      </c>
      <c r="W257" s="100" t="s">
        <v>22</v>
      </c>
      <c r="X257" s="27" t="s">
        <v>2</v>
      </c>
      <c r="Y257" s="27" t="s">
        <v>14</v>
      </c>
      <c r="Z257" s="164"/>
      <c r="AA257" s="165"/>
      <c r="AB257" s="165"/>
      <c r="AC257" s="182"/>
    </row>
    <row r="258" spans="1:29" x14ac:dyDescent="0.2">
      <c r="A258" s="193"/>
      <c r="B258" s="194" t="s">
        <v>42</v>
      </c>
      <c r="C258" s="196" t="s">
        <v>45</v>
      </c>
      <c r="D258" s="11">
        <v>21231</v>
      </c>
      <c r="E258" s="11" t="s">
        <v>46</v>
      </c>
      <c r="F258" s="11" t="s">
        <v>130</v>
      </c>
      <c r="G258" s="196" t="s">
        <v>1</v>
      </c>
      <c r="H258" s="34">
        <v>41.45</v>
      </c>
      <c r="I258" s="49">
        <v>7.5</v>
      </c>
      <c r="J258" s="28">
        <v>647</v>
      </c>
      <c r="K258" s="28">
        <v>12</v>
      </c>
      <c r="L258" s="28">
        <f t="shared" ref="L258:L263" si="104">IF(ISBLANK(J258), , J258*K258)</f>
        <v>7764</v>
      </c>
      <c r="M258" s="23">
        <f t="shared" ref="M258:M263" si="105">H267+K267+N267+Q267+T267+W267+Z267</f>
        <v>200</v>
      </c>
      <c r="N258" s="34">
        <v>41.45</v>
      </c>
      <c r="O258" s="49">
        <v>8</v>
      </c>
      <c r="P258" s="28">
        <v>682</v>
      </c>
      <c r="Q258" s="28">
        <v>12</v>
      </c>
      <c r="R258" s="28">
        <f t="shared" ref="R258:R263" si="106">IF(ISBLANK(P258), , P258*Q258)</f>
        <v>8184</v>
      </c>
      <c r="S258" s="23">
        <f t="shared" ref="S258:S263" si="107">I267+L267+O267+R267+U267+X267+AA267</f>
        <v>0</v>
      </c>
      <c r="T258" s="34">
        <v>41.45</v>
      </c>
      <c r="U258" s="49">
        <v>8</v>
      </c>
      <c r="V258" s="28">
        <v>701</v>
      </c>
      <c r="W258" s="28">
        <v>12</v>
      </c>
      <c r="X258" s="28">
        <f t="shared" ref="X258:X263" si="108">IF(ISBLANK(V258), , V258*W258)</f>
        <v>8412</v>
      </c>
      <c r="Y258" s="23">
        <f t="shared" ref="Y258:Y263" si="109">J267+M267+P267+S267+V267+Y267+AB267</f>
        <v>10</v>
      </c>
      <c r="Z258" s="151">
        <f>SUM(L258, R258, X258)+SUM(L259, R259, X259)</f>
        <v>24360</v>
      </c>
      <c r="AA258" s="151">
        <f>SUM(M258, S258, Y258)+SUM(M259, S259, Y259)</f>
        <v>210</v>
      </c>
      <c r="AB258" s="153">
        <f>IF($Z258=0, ,AA258/$Z258)</f>
        <v>8.6206896551724137E-3</v>
      </c>
      <c r="AC258" s="179" t="s">
        <v>107</v>
      </c>
    </row>
    <row r="259" spans="1:29" x14ac:dyDescent="0.2">
      <c r="A259" s="193"/>
      <c r="B259" s="195"/>
      <c r="C259" s="197"/>
      <c r="D259" s="11"/>
      <c r="E259" s="11"/>
      <c r="F259" s="11"/>
      <c r="G259" s="198"/>
      <c r="H259" s="34"/>
      <c r="I259" s="49"/>
      <c r="J259" s="28"/>
      <c r="K259" s="28"/>
      <c r="L259" s="28">
        <f t="shared" si="104"/>
        <v>0</v>
      </c>
      <c r="M259" s="23">
        <f t="shared" si="105"/>
        <v>0</v>
      </c>
      <c r="N259" s="34"/>
      <c r="O259" s="49"/>
      <c r="P259" s="28"/>
      <c r="Q259" s="28"/>
      <c r="R259" s="28">
        <f t="shared" si="106"/>
        <v>0</v>
      </c>
      <c r="S259" s="23">
        <f t="shared" si="107"/>
        <v>0</v>
      </c>
      <c r="T259" s="34"/>
      <c r="U259" s="49"/>
      <c r="V259" s="28"/>
      <c r="W259" s="28"/>
      <c r="X259" s="28">
        <f t="shared" si="108"/>
        <v>0</v>
      </c>
      <c r="Y259" s="23">
        <f t="shared" si="109"/>
        <v>0</v>
      </c>
      <c r="Z259" s="152"/>
      <c r="AA259" s="152"/>
      <c r="AB259" s="154"/>
      <c r="AC259" s="155"/>
    </row>
    <row r="260" spans="1:29" x14ac:dyDescent="0.2">
      <c r="A260" s="193"/>
      <c r="B260" s="175" t="s">
        <v>43</v>
      </c>
      <c r="C260" s="177" t="s">
        <v>65</v>
      </c>
      <c r="D260" s="10">
        <v>21234</v>
      </c>
      <c r="E260" s="10" t="s">
        <v>46</v>
      </c>
      <c r="F260" s="10" t="s">
        <v>130</v>
      </c>
      <c r="G260" s="177" t="s">
        <v>1</v>
      </c>
      <c r="H260" s="35">
        <v>41.6</v>
      </c>
      <c r="I260" s="52">
        <v>8</v>
      </c>
      <c r="J260" s="64">
        <v>685</v>
      </c>
      <c r="K260" s="64">
        <v>12</v>
      </c>
      <c r="L260" s="64">
        <f t="shared" si="104"/>
        <v>8220</v>
      </c>
      <c r="M260" s="65">
        <f t="shared" si="105"/>
        <v>20</v>
      </c>
      <c r="N260" s="66">
        <v>41.6</v>
      </c>
      <c r="O260" s="67">
        <v>8</v>
      </c>
      <c r="P260" s="64">
        <v>685</v>
      </c>
      <c r="Q260" s="64">
        <v>12</v>
      </c>
      <c r="R260" s="64">
        <f t="shared" si="106"/>
        <v>8220</v>
      </c>
      <c r="S260" s="65">
        <f t="shared" si="107"/>
        <v>0</v>
      </c>
      <c r="T260" s="66">
        <v>41.6</v>
      </c>
      <c r="U260" s="67">
        <v>8</v>
      </c>
      <c r="V260" s="64">
        <v>695</v>
      </c>
      <c r="W260" s="64">
        <v>12</v>
      </c>
      <c r="X260" s="64">
        <f t="shared" si="108"/>
        <v>8340</v>
      </c>
      <c r="Y260" s="65">
        <f t="shared" si="109"/>
        <v>0</v>
      </c>
      <c r="Z260" s="183">
        <f>SUM(L260, R260, X260)+SUM(L261, R261, X261)</f>
        <v>24780</v>
      </c>
      <c r="AA260" s="185">
        <f>SUM(M260, S260, Y260)+SUM(M261, S261, Y261)</f>
        <v>20</v>
      </c>
      <c r="AB260" s="190">
        <f>IF($Z260=0, ,AA260/$Z260)</f>
        <v>8.0710250201775622E-4</v>
      </c>
      <c r="AC260" s="192"/>
    </row>
    <row r="261" spans="1:29" x14ac:dyDescent="0.2">
      <c r="A261" s="193"/>
      <c r="B261" s="176"/>
      <c r="C261" s="178"/>
      <c r="D261" s="10"/>
      <c r="E261" s="10"/>
      <c r="F261" s="10"/>
      <c r="G261" s="178"/>
      <c r="H261" s="35"/>
      <c r="I261" s="52"/>
      <c r="J261" s="64"/>
      <c r="K261" s="64"/>
      <c r="L261" s="64">
        <f t="shared" si="104"/>
        <v>0</v>
      </c>
      <c r="M261" s="65">
        <f t="shared" si="105"/>
        <v>0</v>
      </c>
      <c r="N261" s="66"/>
      <c r="O261" s="67"/>
      <c r="P261" s="64"/>
      <c r="Q261" s="64"/>
      <c r="R261" s="64">
        <f t="shared" si="106"/>
        <v>0</v>
      </c>
      <c r="S261" s="65">
        <f t="shared" si="107"/>
        <v>0</v>
      </c>
      <c r="T261" s="66"/>
      <c r="U261" s="67"/>
      <c r="V261" s="64"/>
      <c r="W261" s="64"/>
      <c r="X261" s="64">
        <f t="shared" si="108"/>
        <v>0</v>
      </c>
      <c r="Y261" s="65">
        <f t="shared" si="109"/>
        <v>0</v>
      </c>
      <c r="Z261" s="184"/>
      <c r="AA261" s="186"/>
      <c r="AB261" s="191"/>
      <c r="AC261" s="192"/>
    </row>
    <row r="262" spans="1:29" x14ac:dyDescent="0.2">
      <c r="A262" s="193"/>
      <c r="B262" s="161" t="s">
        <v>44</v>
      </c>
      <c r="C262" s="149" t="s">
        <v>67</v>
      </c>
      <c r="D262" s="9">
        <v>21231</v>
      </c>
      <c r="E262" s="9" t="s">
        <v>46</v>
      </c>
      <c r="F262" s="9" t="s">
        <v>130</v>
      </c>
      <c r="G262" s="149" t="s">
        <v>1</v>
      </c>
      <c r="H262" s="36">
        <v>41.35</v>
      </c>
      <c r="I262" s="53">
        <v>0</v>
      </c>
      <c r="J262" s="29">
        <v>0</v>
      </c>
      <c r="K262" s="29">
        <v>12</v>
      </c>
      <c r="L262" s="29">
        <f t="shared" si="104"/>
        <v>0</v>
      </c>
      <c r="M262" s="30">
        <f t="shared" si="105"/>
        <v>0</v>
      </c>
      <c r="N262" s="36">
        <v>41.35</v>
      </c>
      <c r="O262" s="53">
        <v>0</v>
      </c>
      <c r="P262" s="29">
        <v>0</v>
      </c>
      <c r="Q262" s="29">
        <v>12</v>
      </c>
      <c r="R262" s="29">
        <f t="shared" si="106"/>
        <v>0</v>
      </c>
      <c r="S262" s="30">
        <f t="shared" si="107"/>
        <v>0</v>
      </c>
      <c r="T262" s="36">
        <v>41.35</v>
      </c>
      <c r="U262" s="53">
        <v>0</v>
      </c>
      <c r="V262" s="29">
        <v>0</v>
      </c>
      <c r="W262" s="29">
        <v>12</v>
      </c>
      <c r="X262" s="29">
        <f t="shared" si="108"/>
        <v>0</v>
      </c>
      <c r="Y262" s="30">
        <f t="shared" si="109"/>
        <v>0</v>
      </c>
      <c r="Z262" s="151">
        <f>SUM(L262, R262, X262)+SUM(L263, R263, X263)</f>
        <v>0</v>
      </c>
      <c r="AA262" s="151">
        <f>SUM(M262, S262, Y262)+SUM(M263, S263, Y263)</f>
        <v>0</v>
      </c>
      <c r="AB262" s="153">
        <f>IF($Z262=0, ,AA262/$Z262)</f>
        <v>0</v>
      </c>
      <c r="AC262" s="155"/>
    </row>
    <row r="263" spans="1:29" x14ac:dyDescent="0.2">
      <c r="A263" s="193"/>
      <c r="B263" s="162"/>
      <c r="C263" s="150"/>
      <c r="D263" s="9"/>
      <c r="E263" s="9"/>
      <c r="F263" s="9"/>
      <c r="G263" s="150"/>
      <c r="H263" s="36"/>
      <c r="I263" s="53"/>
      <c r="J263" s="29"/>
      <c r="K263" s="29"/>
      <c r="L263" s="29">
        <f t="shared" si="104"/>
        <v>0</v>
      </c>
      <c r="M263" s="30">
        <f t="shared" si="105"/>
        <v>0</v>
      </c>
      <c r="N263" s="36"/>
      <c r="O263" s="53"/>
      <c r="P263" s="29"/>
      <c r="Q263" s="29"/>
      <c r="R263" s="29">
        <f t="shared" si="106"/>
        <v>0</v>
      </c>
      <c r="S263" s="30">
        <f t="shared" si="107"/>
        <v>0</v>
      </c>
      <c r="T263" s="36"/>
      <c r="U263" s="53"/>
      <c r="V263" s="29"/>
      <c r="W263" s="29"/>
      <c r="X263" s="29">
        <f t="shared" si="108"/>
        <v>0</v>
      </c>
      <c r="Y263" s="30">
        <f t="shared" si="109"/>
        <v>0</v>
      </c>
      <c r="Z263" s="152"/>
      <c r="AA263" s="152"/>
      <c r="AB263" s="154"/>
      <c r="AC263" s="156"/>
    </row>
    <row r="264" spans="1:29" x14ac:dyDescent="0.2">
      <c r="A264" s="193"/>
      <c r="B264" s="42"/>
      <c r="C264" s="42"/>
      <c r="D264" s="42"/>
      <c r="E264" s="42"/>
      <c r="F264" s="42"/>
      <c r="G264" s="42"/>
      <c r="H264" s="59"/>
      <c r="I264" s="60"/>
      <c r="J264" s="61"/>
      <c r="K264" s="61"/>
      <c r="L264" s="61"/>
      <c r="M264" s="62"/>
      <c r="N264" s="59"/>
      <c r="O264" s="60"/>
      <c r="P264" s="61"/>
      <c r="Q264" s="61"/>
      <c r="R264" s="61"/>
      <c r="S264" s="62"/>
      <c r="T264" s="59"/>
      <c r="U264" s="60"/>
      <c r="V264" s="61"/>
      <c r="W264" s="61"/>
      <c r="X264" s="61"/>
      <c r="Y264" s="62"/>
      <c r="Z264" s="62"/>
      <c r="AA264" s="62"/>
      <c r="AB264" s="63"/>
      <c r="AC264" s="45"/>
    </row>
    <row r="265" spans="1:29" x14ac:dyDescent="0.2">
      <c r="A265" s="193"/>
      <c r="B265" s="157" t="s">
        <v>32</v>
      </c>
      <c r="C265" s="158"/>
      <c r="D265" s="158"/>
      <c r="E265" s="158"/>
      <c r="F265" s="158"/>
      <c r="G265" s="77" t="s">
        <v>33</v>
      </c>
      <c r="H265" s="159" t="s">
        <v>29</v>
      </c>
      <c r="I265" s="159"/>
      <c r="J265" s="159"/>
      <c r="K265" s="159" t="s">
        <v>41</v>
      </c>
      <c r="L265" s="159"/>
      <c r="M265" s="159"/>
      <c r="N265" s="160" t="s">
        <v>63</v>
      </c>
      <c r="O265" s="159"/>
      <c r="P265" s="159"/>
      <c r="Q265" s="160" t="s">
        <v>62</v>
      </c>
      <c r="R265" s="159"/>
      <c r="S265" s="159"/>
      <c r="T265" s="160" t="s">
        <v>61</v>
      </c>
      <c r="U265" s="159"/>
      <c r="V265" s="159"/>
      <c r="W265" s="159" t="s">
        <v>39</v>
      </c>
      <c r="X265" s="159"/>
      <c r="Y265" s="159"/>
      <c r="Z265" s="159" t="s">
        <v>40</v>
      </c>
      <c r="AA265" s="159"/>
      <c r="AB265" s="159"/>
      <c r="AC265" s="166"/>
    </row>
    <row r="266" spans="1:29" x14ac:dyDescent="0.2">
      <c r="A266" s="193"/>
      <c r="B266" s="157"/>
      <c r="C266" s="158"/>
      <c r="D266" s="158"/>
      <c r="E266" s="158"/>
      <c r="F266" s="158"/>
      <c r="G266" s="77" t="s">
        <v>34</v>
      </c>
      <c r="H266" s="78" t="s">
        <v>35</v>
      </c>
      <c r="I266" s="78" t="s">
        <v>36</v>
      </c>
      <c r="J266" s="79" t="s">
        <v>37</v>
      </c>
      <c r="K266" s="78" t="s">
        <v>35</v>
      </c>
      <c r="L266" s="78" t="s">
        <v>36</v>
      </c>
      <c r="M266" s="79" t="s">
        <v>37</v>
      </c>
      <c r="N266" s="78" t="s">
        <v>35</v>
      </c>
      <c r="O266" s="78" t="s">
        <v>36</v>
      </c>
      <c r="P266" s="79" t="s">
        <v>37</v>
      </c>
      <c r="Q266" s="78" t="s">
        <v>35</v>
      </c>
      <c r="R266" s="78" t="s">
        <v>36</v>
      </c>
      <c r="S266" s="79" t="s">
        <v>37</v>
      </c>
      <c r="T266" s="78" t="s">
        <v>35</v>
      </c>
      <c r="U266" s="78" t="s">
        <v>36</v>
      </c>
      <c r="V266" s="79" t="s">
        <v>37</v>
      </c>
      <c r="W266" s="78" t="s">
        <v>35</v>
      </c>
      <c r="X266" s="78" t="s">
        <v>36</v>
      </c>
      <c r="Y266" s="79" t="s">
        <v>37</v>
      </c>
      <c r="Z266" s="78" t="s">
        <v>35</v>
      </c>
      <c r="AA266" s="78" t="s">
        <v>36</v>
      </c>
      <c r="AB266" s="79" t="s">
        <v>37</v>
      </c>
      <c r="AC266" s="167"/>
    </row>
    <row r="267" spans="1:29" x14ac:dyDescent="0.2">
      <c r="A267" s="193"/>
      <c r="B267" s="168" t="str">
        <f t="shared" ref="B267:C272" si="110">IF(ISBLANK(B258), "-", B258)</f>
        <v>2A</v>
      </c>
      <c r="C267" s="169" t="str">
        <f t="shared" si="110"/>
        <v>JAR-007B</v>
      </c>
      <c r="D267" s="73">
        <v>21231</v>
      </c>
      <c r="E267" s="73" t="str">
        <f t="shared" ref="E267:F272" si="111">IF(ISBLANK(E258), "-", E258)</f>
        <v>White</v>
      </c>
      <c r="F267" s="73" t="str">
        <f t="shared" si="111"/>
        <v>RPET</v>
      </c>
      <c r="G267" s="170"/>
      <c r="H267" s="74">
        <v>200</v>
      </c>
      <c r="I267" s="74"/>
      <c r="J267" s="74">
        <v>10</v>
      </c>
      <c r="K267" s="74"/>
      <c r="L267" s="74"/>
      <c r="M267" s="74"/>
      <c r="N267" s="75"/>
      <c r="O267" s="75"/>
      <c r="P267" s="75"/>
      <c r="Q267" s="75"/>
      <c r="R267" s="75"/>
      <c r="S267" s="74"/>
      <c r="T267" s="75"/>
      <c r="U267" s="75"/>
      <c r="V267" s="75"/>
      <c r="W267" s="75"/>
      <c r="X267" s="75"/>
      <c r="Y267" s="74"/>
      <c r="Z267" s="74"/>
      <c r="AA267" s="74"/>
      <c r="AB267" s="76"/>
      <c r="AC267" s="167"/>
    </row>
    <row r="268" spans="1:29" x14ac:dyDescent="0.2">
      <c r="A268" s="193"/>
      <c r="B268" s="168" t="str">
        <f t="shared" si="110"/>
        <v>-</v>
      </c>
      <c r="C268" s="169" t="str">
        <f t="shared" si="110"/>
        <v>-</v>
      </c>
      <c r="D268" s="73" t="str">
        <f>IF(ISBLANK(D259), "-", D259)</f>
        <v>-</v>
      </c>
      <c r="E268" s="73" t="str">
        <f t="shared" si="111"/>
        <v>-</v>
      </c>
      <c r="F268" s="73" t="str">
        <f t="shared" si="111"/>
        <v>-</v>
      </c>
      <c r="G268" s="171"/>
      <c r="H268" s="75"/>
      <c r="I268" s="75"/>
      <c r="J268" s="75"/>
      <c r="K268" s="75"/>
      <c r="L268" s="75"/>
      <c r="M268" s="74"/>
      <c r="N268" s="75"/>
      <c r="O268" s="75"/>
      <c r="P268" s="75"/>
      <c r="Q268" s="75"/>
      <c r="R268" s="75"/>
      <c r="S268" s="74"/>
      <c r="T268" s="75"/>
      <c r="U268" s="75"/>
      <c r="V268" s="75"/>
      <c r="W268" s="75"/>
      <c r="X268" s="75"/>
      <c r="Y268" s="74"/>
      <c r="Z268" s="74"/>
      <c r="AA268" s="74"/>
      <c r="AB268" s="76"/>
      <c r="AC268" s="167"/>
    </row>
    <row r="269" spans="1:29" x14ac:dyDescent="0.2">
      <c r="A269" s="193"/>
      <c r="B269" s="173" t="str">
        <f t="shared" si="110"/>
        <v>3A</v>
      </c>
      <c r="C269" s="174" t="str">
        <f t="shared" si="110"/>
        <v>JAR-014</v>
      </c>
      <c r="D269" s="102">
        <f>IF(ISBLANK(D260), "-", D260)</f>
        <v>21234</v>
      </c>
      <c r="E269" s="102" t="str">
        <f t="shared" si="111"/>
        <v>White</v>
      </c>
      <c r="F269" s="102" t="str">
        <f t="shared" si="111"/>
        <v>RPET</v>
      </c>
      <c r="G269" s="171"/>
      <c r="H269" s="94">
        <v>20</v>
      </c>
      <c r="I269" s="94"/>
      <c r="J269" s="94"/>
      <c r="K269" s="94"/>
      <c r="L269" s="94"/>
      <c r="M269" s="94"/>
      <c r="N269" s="95"/>
      <c r="O269" s="95"/>
      <c r="P269" s="95"/>
      <c r="Q269" s="95"/>
      <c r="R269" s="95"/>
      <c r="S269" s="94"/>
      <c r="T269" s="95"/>
      <c r="U269" s="95"/>
      <c r="V269" s="95"/>
      <c r="W269" s="95"/>
      <c r="X269" s="95"/>
      <c r="Y269" s="94"/>
      <c r="Z269" s="94"/>
      <c r="AA269" s="94"/>
      <c r="AB269" s="96"/>
      <c r="AC269" s="167"/>
    </row>
    <row r="270" spans="1:29" x14ac:dyDescent="0.2">
      <c r="A270" s="193"/>
      <c r="B270" s="173" t="str">
        <f t="shared" si="110"/>
        <v>-</v>
      </c>
      <c r="C270" s="174" t="str">
        <f t="shared" si="110"/>
        <v>-</v>
      </c>
      <c r="D270" s="102" t="str">
        <f>IF(ISBLANK(D261), "-", D261)</f>
        <v>-</v>
      </c>
      <c r="E270" s="102" t="str">
        <f t="shared" si="111"/>
        <v>-</v>
      </c>
      <c r="F270" s="102" t="str">
        <f t="shared" si="111"/>
        <v>-</v>
      </c>
      <c r="G270" s="171"/>
      <c r="H270" s="95"/>
      <c r="I270" s="95"/>
      <c r="J270" s="95"/>
      <c r="K270" s="95"/>
      <c r="L270" s="95"/>
      <c r="M270" s="94"/>
      <c r="N270" s="95"/>
      <c r="O270" s="95"/>
      <c r="P270" s="95"/>
      <c r="Q270" s="95"/>
      <c r="R270" s="95"/>
      <c r="S270" s="94"/>
      <c r="T270" s="95"/>
      <c r="U270" s="95"/>
      <c r="V270" s="95"/>
      <c r="W270" s="95"/>
      <c r="X270" s="95"/>
      <c r="Y270" s="94"/>
      <c r="Z270" s="94"/>
      <c r="AA270" s="94"/>
      <c r="AB270" s="96"/>
      <c r="AC270" s="167"/>
    </row>
    <row r="271" spans="1:29" x14ac:dyDescent="0.2">
      <c r="A271" s="193"/>
      <c r="B271" s="168" t="str">
        <f t="shared" si="110"/>
        <v>4A</v>
      </c>
      <c r="C271" s="169" t="str">
        <f t="shared" si="110"/>
        <v>JAR-007A</v>
      </c>
      <c r="D271" s="73">
        <f>IF(ISBLANK(D262), "-", D262)</f>
        <v>21231</v>
      </c>
      <c r="E271" s="73" t="str">
        <f t="shared" si="111"/>
        <v>White</v>
      </c>
      <c r="F271" s="73" t="str">
        <f t="shared" si="111"/>
        <v>RPET</v>
      </c>
      <c r="G271" s="171"/>
      <c r="H271" s="75"/>
      <c r="I271" s="75"/>
      <c r="J271" s="75"/>
      <c r="K271" s="75"/>
      <c r="L271" s="75"/>
      <c r="M271" s="74"/>
      <c r="N271" s="75"/>
      <c r="O271" s="75"/>
      <c r="P271" s="75"/>
      <c r="Q271" s="75"/>
      <c r="R271" s="75"/>
      <c r="S271" s="74"/>
      <c r="T271" s="75"/>
      <c r="U271" s="75"/>
      <c r="V271" s="75"/>
      <c r="W271" s="75"/>
      <c r="X271" s="75"/>
      <c r="Y271" s="74"/>
      <c r="Z271" s="74"/>
      <c r="AA271" s="74"/>
      <c r="AB271" s="76"/>
      <c r="AC271" s="167"/>
    </row>
    <row r="272" spans="1:29" x14ac:dyDescent="0.2">
      <c r="A272" s="193"/>
      <c r="B272" s="168" t="str">
        <f t="shared" si="110"/>
        <v>-</v>
      </c>
      <c r="C272" s="169" t="str">
        <f t="shared" si="110"/>
        <v>-</v>
      </c>
      <c r="D272" s="73" t="str">
        <f>IF(ISBLANK(D263), "-", D263)</f>
        <v>-</v>
      </c>
      <c r="E272" s="73" t="str">
        <f t="shared" si="111"/>
        <v>-</v>
      </c>
      <c r="F272" s="73" t="str">
        <f t="shared" si="111"/>
        <v>-</v>
      </c>
      <c r="G272" s="172"/>
      <c r="H272" s="75"/>
      <c r="I272" s="75"/>
      <c r="J272" s="75"/>
      <c r="K272" s="75"/>
      <c r="L272" s="75"/>
      <c r="M272" s="74"/>
      <c r="N272" s="75"/>
      <c r="O272" s="75"/>
      <c r="P272" s="75"/>
      <c r="Q272" s="75"/>
      <c r="R272" s="75"/>
      <c r="S272" s="74"/>
      <c r="T272" s="75"/>
      <c r="U272" s="75"/>
      <c r="V272" s="75"/>
      <c r="W272" s="75"/>
      <c r="X272" s="75"/>
      <c r="Y272" s="74"/>
      <c r="Z272" s="74"/>
      <c r="AA272" s="74"/>
      <c r="AB272" s="76"/>
      <c r="AC272" s="167"/>
    </row>
    <row r="274" spans="1:29" x14ac:dyDescent="0.2">
      <c r="A274" s="193">
        <v>44727</v>
      </c>
      <c r="B274" s="16" t="s">
        <v>20</v>
      </c>
      <c r="C274" s="17"/>
      <c r="D274" s="18" t="s">
        <v>21</v>
      </c>
      <c r="E274" s="17">
        <v>0</v>
      </c>
      <c r="F274" s="24"/>
      <c r="G274" s="25"/>
      <c r="H274" s="38"/>
      <c r="I274" s="51"/>
      <c r="J274" s="57"/>
      <c r="K274" s="25"/>
      <c r="L274" s="18"/>
      <c r="M274" s="25"/>
      <c r="N274" s="38"/>
      <c r="O274" s="51"/>
      <c r="P274" s="57"/>
      <c r="Q274" s="25"/>
      <c r="R274" s="18"/>
      <c r="S274" s="25"/>
      <c r="T274" s="38"/>
      <c r="U274" s="51"/>
      <c r="V274" s="57"/>
      <c r="W274" s="25"/>
      <c r="X274" s="18"/>
      <c r="Y274" s="18"/>
      <c r="Z274" s="25"/>
      <c r="AA274" s="18"/>
      <c r="AB274" s="18"/>
      <c r="AC274" s="26"/>
    </row>
    <row r="275" spans="1:29" x14ac:dyDescent="0.2">
      <c r="A275" s="193"/>
      <c r="B275" s="157" t="s">
        <v>3</v>
      </c>
      <c r="C275" s="158" t="s">
        <v>0</v>
      </c>
      <c r="D275" s="158" t="s">
        <v>10</v>
      </c>
      <c r="E275" s="158" t="s">
        <v>4</v>
      </c>
      <c r="F275" s="158" t="s">
        <v>9</v>
      </c>
      <c r="G275" s="180" t="s">
        <v>5</v>
      </c>
      <c r="H275" s="187" t="s">
        <v>6</v>
      </c>
      <c r="I275" s="188"/>
      <c r="J275" s="188"/>
      <c r="K275" s="188"/>
      <c r="L275" s="188"/>
      <c r="M275" s="189"/>
      <c r="N275" s="187" t="s">
        <v>7</v>
      </c>
      <c r="O275" s="188"/>
      <c r="P275" s="188"/>
      <c r="Q275" s="188"/>
      <c r="R275" s="188"/>
      <c r="S275" s="189"/>
      <c r="T275" s="187" t="s">
        <v>8</v>
      </c>
      <c r="U275" s="188"/>
      <c r="V275" s="188"/>
      <c r="W275" s="188"/>
      <c r="X275" s="188"/>
      <c r="Y275" s="189"/>
      <c r="Z275" s="163" t="s">
        <v>16</v>
      </c>
      <c r="AA275" s="163" t="s">
        <v>66</v>
      </c>
      <c r="AB275" s="163" t="s">
        <v>27</v>
      </c>
      <c r="AC275" s="181" t="s">
        <v>11</v>
      </c>
    </row>
    <row r="276" spans="1:29" ht="24" x14ac:dyDescent="0.2">
      <c r="A276" s="193"/>
      <c r="B276" s="157"/>
      <c r="C276" s="158"/>
      <c r="D276" s="158"/>
      <c r="E276" s="158"/>
      <c r="F276" s="158"/>
      <c r="G276" s="180"/>
      <c r="H276" s="39" t="s">
        <v>24</v>
      </c>
      <c r="I276" s="98" t="s">
        <v>25</v>
      </c>
      <c r="J276" s="99" t="s">
        <v>28</v>
      </c>
      <c r="K276" s="100" t="s">
        <v>22</v>
      </c>
      <c r="L276" s="101" t="s">
        <v>2</v>
      </c>
      <c r="M276" s="27" t="s">
        <v>14</v>
      </c>
      <c r="N276" s="39" t="s">
        <v>24</v>
      </c>
      <c r="O276" s="98" t="s">
        <v>25</v>
      </c>
      <c r="P276" s="99" t="s">
        <v>28</v>
      </c>
      <c r="Q276" s="100" t="s">
        <v>22</v>
      </c>
      <c r="R276" s="27" t="s">
        <v>2</v>
      </c>
      <c r="S276" s="27" t="s">
        <v>14</v>
      </c>
      <c r="T276" s="39" t="s">
        <v>24</v>
      </c>
      <c r="U276" s="98" t="s">
        <v>25</v>
      </c>
      <c r="V276" s="99" t="s">
        <v>28</v>
      </c>
      <c r="W276" s="100" t="s">
        <v>22</v>
      </c>
      <c r="X276" s="27" t="s">
        <v>2</v>
      </c>
      <c r="Y276" s="27" t="s">
        <v>14</v>
      </c>
      <c r="Z276" s="164"/>
      <c r="AA276" s="165"/>
      <c r="AB276" s="165"/>
      <c r="AC276" s="182"/>
    </row>
    <row r="277" spans="1:29" x14ac:dyDescent="0.2">
      <c r="A277" s="193"/>
      <c r="B277" s="194" t="s">
        <v>42</v>
      </c>
      <c r="C277" s="196" t="s">
        <v>45</v>
      </c>
      <c r="D277" s="11">
        <v>21231</v>
      </c>
      <c r="E277" s="11" t="s">
        <v>46</v>
      </c>
      <c r="F277" s="11" t="s">
        <v>130</v>
      </c>
      <c r="G277" s="196" t="s">
        <v>1</v>
      </c>
      <c r="H277" s="34">
        <v>41.45</v>
      </c>
      <c r="I277" s="49">
        <v>8</v>
      </c>
      <c r="J277" s="28">
        <v>700</v>
      </c>
      <c r="K277" s="28">
        <v>12</v>
      </c>
      <c r="L277" s="28">
        <f t="shared" ref="L277:L282" si="112">IF(ISBLANK(J277), , J277*K277)</f>
        <v>8400</v>
      </c>
      <c r="M277" s="23">
        <f t="shared" ref="M277:M282" si="113">H286+K286+N286+Q286+T286+W286+Z286</f>
        <v>10</v>
      </c>
      <c r="N277" s="34">
        <v>41.45</v>
      </c>
      <c r="O277" s="49">
        <v>8</v>
      </c>
      <c r="P277" s="28">
        <v>685</v>
      </c>
      <c r="Q277" s="28">
        <v>12</v>
      </c>
      <c r="R277" s="28">
        <f t="shared" ref="R277:R282" si="114">IF(ISBLANK(P277), , P277*Q277)</f>
        <v>8220</v>
      </c>
      <c r="S277" s="23">
        <f t="shared" ref="S277:S282" si="115">I286+L286+O286+R286+U286+X286+AA286</f>
        <v>5</v>
      </c>
      <c r="T277" s="34">
        <v>41.45</v>
      </c>
      <c r="U277" s="49">
        <v>8</v>
      </c>
      <c r="V277" s="28">
        <v>700</v>
      </c>
      <c r="W277" s="28">
        <v>12</v>
      </c>
      <c r="X277" s="28">
        <f t="shared" ref="X277:X282" si="116">IF(ISBLANK(V277), , V277*W277)</f>
        <v>8400</v>
      </c>
      <c r="Y277" s="23">
        <f t="shared" ref="Y277:Y282" si="117">J286+M286+P286+S286+V286+Y286+AB286</f>
        <v>10</v>
      </c>
      <c r="Z277" s="151">
        <f>SUM(L277, R277, X277)+SUM(L278, R278, X278)</f>
        <v>25020</v>
      </c>
      <c r="AA277" s="151">
        <f>SUM(M277, S277, Y277)+SUM(M278, S278, Y278)</f>
        <v>25</v>
      </c>
      <c r="AB277" s="153">
        <f>IF($Z277=0, ,AA277/$Z277)</f>
        <v>9.9920063948840928E-4</v>
      </c>
      <c r="AC277" s="179"/>
    </row>
    <row r="278" spans="1:29" x14ac:dyDescent="0.2">
      <c r="A278" s="193"/>
      <c r="B278" s="195"/>
      <c r="C278" s="197"/>
      <c r="D278" s="11"/>
      <c r="E278" s="11"/>
      <c r="F278" s="11"/>
      <c r="G278" s="198"/>
      <c r="H278" s="34"/>
      <c r="I278" s="49"/>
      <c r="J278" s="28"/>
      <c r="K278" s="28"/>
      <c r="L278" s="28">
        <f t="shared" si="112"/>
        <v>0</v>
      </c>
      <c r="M278" s="23">
        <f t="shared" si="113"/>
        <v>0</v>
      </c>
      <c r="N278" s="34"/>
      <c r="O278" s="49"/>
      <c r="P278" s="28"/>
      <c r="Q278" s="28"/>
      <c r="R278" s="28">
        <f t="shared" si="114"/>
        <v>0</v>
      </c>
      <c r="S278" s="23">
        <f t="shared" si="115"/>
        <v>0</v>
      </c>
      <c r="T278" s="34"/>
      <c r="U278" s="49"/>
      <c r="V278" s="28"/>
      <c r="W278" s="28"/>
      <c r="X278" s="28">
        <f t="shared" si="116"/>
        <v>0</v>
      </c>
      <c r="Y278" s="23">
        <f t="shared" si="117"/>
        <v>0</v>
      </c>
      <c r="Z278" s="152"/>
      <c r="AA278" s="152"/>
      <c r="AB278" s="154"/>
      <c r="AC278" s="155"/>
    </row>
    <row r="279" spans="1:29" x14ac:dyDescent="0.2">
      <c r="A279" s="193"/>
      <c r="B279" s="175" t="s">
        <v>43</v>
      </c>
      <c r="C279" s="177" t="s">
        <v>65</v>
      </c>
      <c r="D279" s="10">
        <v>21234</v>
      </c>
      <c r="E279" s="10" t="s">
        <v>46</v>
      </c>
      <c r="F279" s="10" t="s">
        <v>130</v>
      </c>
      <c r="G279" s="177" t="s">
        <v>1</v>
      </c>
      <c r="H279" s="35">
        <v>41.6</v>
      </c>
      <c r="I279" s="52">
        <v>5.5</v>
      </c>
      <c r="J279" s="64">
        <v>478</v>
      </c>
      <c r="K279" s="64">
        <v>12</v>
      </c>
      <c r="L279" s="64">
        <f t="shared" si="112"/>
        <v>5736</v>
      </c>
      <c r="M279" s="65">
        <f t="shared" si="113"/>
        <v>20</v>
      </c>
      <c r="N279" s="66">
        <v>41.6</v>
      </c>
      <c r="O279" s="67">
        <v>0</v>
      </c>
      <c r="P279" s="64">
        <v>0</v>
      </c>
      <c r="Q279" s="64">
        <v>12</v>
      </c>
      <c r="R279" s="64">
        <f t="shared" si="114"/>
        <v>0</v>
      </c>
      <c r="S279" s="65">
        <f t="shared" si="115"/>
        <v>0</v>
      </c>
      <c r="T279" s="66">
        <v>41.6</v>
      </c>
      <c r="U279" s="67">
        <v>0</v>
      </c>
      <c r="V279" s="64">
        <v>0</v>
      </c>
      <c r="W279" s="64">
        <v>12</v>
      </c>
      <c r="X279" s="64">
        <f t="shared" si="116"/>
        <v>0</v>
      </c>
      <c r="Y279" s="65">
        <f t="shared" si="117"/>
        <v>0</v>
      </c>
      <c r="Z279" s="183">
        <f>SUM(L279, R279, X279)+SUM(L280, R280, X280)</f>
        <v>5736</v>
      </c>
      <c r="AA279" s="185">
        <f>SUM(M279, S279, Y279)+SUM(M280, S280, Y280)</f>
        <v>20</v>
      </c>
      <c r="AB279" s="190">
        <f>IF($Z279=0, ,AA279/$Z279)</f>
        <v>3.4867503486750349E-3</v>
      </c>
      <c r="AC279" s="192" t="s">
        <v>108</v>
      </c>
    </row>
    <row r="280" spans="1:29" x14ac:dyDescent="0.2">
      <c r="A280" s="193"/>
      <c r="B280" s="176"/>
      <c r="C280" s="178"/>
      <c r="D280" s="10"/>
      <c r="E280" s="10"/>
      <c r="F280" s="10"/>
      <c r="G280" s="178"/>
      <c r="H280" s="35"/>
      <c r="I280" s="52"/>
      <c r="J280" s="64"/>
      <c r="K280" s="64"/>
      <c r="L280" s="64">
        <f t="shared" si="112"/>
        <v>0</v>
      </c>
      <c r="M280" s="65">
        <f t="shared" si="113"/>
        <v>0</v>
      </c>
      <c r="N280" s="66"/>
      <c r="O280" s="67"/>
      <c r="P280" s="64"/>
      <c r="Q280" s="64"/>
      <c r="R280" s="64">
        <f t="shared" si="114"/>
        <v>0</v>
      </c>
      <c r="S280" s="65">
        <f t="shared" si="115"/>
        <v>0</v>
      </c>
      <c r="T280" s="66"/>
      <c r="U280" s="67"/>
      <c r="V280" s="64"/>
      <c r="W280" s="64"/>
      <c r="X280" s="64">
        <f t="shared" si="116"/>
        <v>0</v>
      </c>
      <c r="Y280" s="65">
        <f t="shared" si="117"/>
        <v>0</v>
      </c>
      <c r="Z280" s="184"/>
      <c r="AA280" s="186"/>
      <c r="AB280" s="191"/>
      <c r="AC280" s="192"/>
    </row>
    <row r="281" spans="1:29" x14ac:dyDescent="0.2">
      <c r="A281" s="193"/>
      <c r="B281" s="161" t="s">
        <v>44</v>
      </c>
      <c r="C281" s="149" t="s">
        <v>67</v>
      </c>
      <c r="D281" s="9">
        <v>21231</v>
      </c>
      <c r="E281" s="9" t="s">
        <v>46</v>
      </c>
      <c r="F281" s="9" t="s">
        <v>130</v>
      </c>
      <c r="G281" s="149" t="s">
        <v>1</v>
      </c>
      <c r="H281" s="36">
        <v>41.35</v>
      </c>
      <c r="I281" s="53">
        <v>0</v>
      </c>
      <c r="J281" s="29">
        <v>0</v>
      </c>
      <c r="K281" s="29">
        <v>12</v>
      </c>
      <c r="L281" s="29">
        <f t="shared" si="112"/>
        <v>0</v>
      </c>
      <c r="M281" s="30">
        <f t="shared" si="113"/>
        <v>0</v>
      </c>
      <c r="N281" s="36">
        <v>41.35</v>
      </c>
      <c r="O281" s="53">
        <v>5</v>
      </c>
      <c r="P281" s="29">
        <v>380</v>
      </c>
      <c r="Q281" s="29">
        <v>12</v>
      </c>
      <c r="R281" s="29">
        <f t="shared" si="114"/>
        <v>4560</v>
      </c>
      <c r="S281" s="30">
        <f t="shared" si="115"/>
        <v>300</v>
      </c>
      <c r="T281" s="36">
        <v>41.35</v>
      </c>
      <c r="U281" s="53">
        <v>8</v>
      </c>
      <c r="V281" s="29">
        <v>666</v>
      </c>
      <c r="W281" s="29">
        <v>12</v>
      </c>
      <c r="X281" s="29">
        <f t="shared" si="116"/>
        <v>7992</v>
      </c>
      <c r="Y281" s="30">
        <f t="shared" si="117"/>
        <v>50</v>
      </c>
      <c r="Z281" s="151">
        <f>SUM(L281, R281, X281)+SUM(L282, R282, X282)</f>
        <v>12552</v>
      </c>
      <c r="AA281" s="151">
        <f>SUM(M281, S281, Y281)+SUM(M282, S282, Y282)</f>
        <v>350</v>
      </c>
      <c r="AB281" s="153">
        <f>IF($Z281=0, ,AA281/$Z281)</f>
        <v>2.7884002549394517E-2</v>
      </c>
      <c r="AC281" s="155" t="s">
        <v>109</v>
      </c>
    </row>
    <row r="282" spans="1:29" x14ac:dyDescent="0.2">
      <c r="A282" s="193"/>
      <c r="B282" s="162"/>
      <c r="C282" s="150"/>
      <c r="D282" s="9"/>
      <c r="E282" s="9"/>
      <c r="F282" s="9"/>
      <c r="G282" s="150"/>
      <c r="H282" s="36"/>
      <c r="I282" s="53"/>
      <c r="J282" s="29"/>
      <c r="K282" s="29"/>
      <c r="L282" s="29">
        <f t="shared" si="112"/>
        <v>0</v>
      </c>
      <c r="M282" s="30">
        <f t="shared" si="113"/>
        <v>0</v>
      </c>
      <c r="N282" s="36"/>
      <c r="O282" s="53"/>
      <c r="P282" s="29"/>
      <c r="Q282" s="29"/>
      <c r="R282" s="29">
        <f t="shared" si="114"/>
        <v>0</v>
      </c>
      <c r="S282" s="30">
        <f t="shared" si="115"/>
        <v>0</v>
      </c>
      <c r="T282" s="36"/>
      <c r="U282" s="53"/>
      <c r="V282" s="29"/>
      <c r="W282" s="29"/>
      <c r="X282" s="29">
        <f t="shared" si="116"/>
        <v>0</v>
      </c>
      <c r="Y282" s="30">
        <f t="shared" si="117"/>
        <v>0</v>
      </c>
      <c r="Z282" s="152"/>
      <c r="AA282" s="152"/>
      <c r="AB282" s="154"/>
      <c r="AC282" s="156"/>
    </row>
    <row r="283" spans="1:29" x14ac:dyDescent="0.2">
      <c r="A283" s="193"/>
      <c r="B283" s="42"/>
      <c r="C283" s="42"/>
      <c r="D283" s="42"/>
      <c r="E283" s="42"/>
      <c r="F283" s="42"/>
      <c r="G283" s="42"/>
      <c r="H283" s="59"/>
      <c r="I283" s="60"/>
      <c r="J283" s="61"/>
      <c r="K283" s="61"/>
      <c r="L283" s="61"/>
      <c r="M283" s="62"/>
      <c r="N283" s="59"/>
      <c r="O283" s="60"/>
      <c r="P283" s="61"/>
      <c r="Q283" s="61"/>
      <c r="R283" s="61"/>
      <c r="S283" s="62"/>
      <c r="T283" s="59"/>
      <c r="U283" s="60"/>
      <c r="V283" s="61"/>
      <c r="W283" s="61"/>
      <c r="X283" s="61"/>
      <c r="Y283" s="62"/>
      <c r="Z283" s="62"/>
      <c r="AA283" s="62"/>
      <c r="AB283" s="63"/>
      <c r="AC283" s="45"/>
    </row>
    <row r="284" spans="1:29" x14ac:dyDescent="0.2">
      <c r="A284" s="193"/>
      <c r="B284" s="157" t="s">
        <v>32</v>
      </c>
      <c r="C284" s="158"/>
      <c r="D284" s="158"/>
      <c r="E284" s="158"/>
      <c r="F284" s="158"/>
      <c r="G284" s="77" t="s">
        <v>33</v>
      </c>
      <c r="H284" s="159" t="s">
        <v>29</v>
      </c>
      <c r="I284" s="159"/>
      <c r="J284" s="159"/>
      <c r="K284" s="159" t="s">
        <v>41</v>
      </c>
      <c r="L284" s="159"/>
      <c r="M284" s="159"/>
      <c r="N284" s="160" t="s">
        <v>63</v>
      </c>
      <c r="O284" s="159"/>
      <c r="P284" s="159"/>
      <c r="Q284" s="160" t="s">
        <v>62</v>
      </c>
      <c r="R284" s="159"/>
      <c r="S284" s="159"/>
      <c r="T284" s="160" t="s">
        <v>61</v>
      </c>
      <c r="U284" s="159"/>
      <c r="V284" s="159"/>
      <c r="W284" s="159" t="s">
        <v>39</v>
      </c>
      <c r="X284" s="159"/>
      <c r="Y284" s="159"/>
      <c r="Z284" s="159" t="s">
        <v>40</v>
      </c>
      <c r="AA284" s="159"/>
      <c r="AB284" s="159"/>
      <c r="AC284" s="166"/>
    </row>
    <row r="285" spans="1:29" x14ac:dyDescent="0.2">
      <c r="A285" s="193"/>
      <c r="B285" s="157"/>
      <c r="C285" s="158"/>
      <c r="D285" s="158"/>
      <c r="E285" s="158"/>
      <c r="F285" s="158"/>
      <c r="G285" s="77" t="s">
        <v>34</v>
      </c>
      <c r="H285" s="78" t="s">
        <v>35</v>
      </c>
      <c r="I285" s="78" t="s">
        <v>36</v>
      </c>
      <c r="J285" s="79" t="s">
        <v>37</v>
      </c>
      <c r="K285" s="78" t="s">
        <v>35</v>
      </c>
      <c r="L285" s="78" t="s">
        <v>36</v>
      </c>
      <c r="M285" s="79" t="s">
        <v>37</v>
      </c>
      <c r="N285" s="78" t="s">
        <v>35</v>
      </c>
      <c r="O285" s="78" t="s">
        <v>36</v>
      </c>
      <c r="P285" s="79" t="s">
        <v>37</v>
      </c>
      <c r="Q285" s="78" t="s">
        <v>35</v>
      </c>
      <c r="R285" s="78" t="s">
        <v>36</v>
      </c>
      <c r="S285" s="79" t="s">
        <v>37</v>
      </c>
      <c r="T285" s="78" t="s">
        <v>35</v>
      </c>
      <c r="U285" s="78" t="s">
        <v>36</v>
      </c>
      <c r="V285" s="79" t="s">
        <v>37</v>
      </c>
      <c r="W285" s="78" t="s">
        <v>35</v>
      </c>
      <c r="X285" s="78" t="s">
        <v>36</v>
      </c>
      <c r="Y285" s="79" t="s">
        <v>37</v>
      </c>
      <c r="Z285" s="78" t="s">
        <v>35</v>
      </c>
      <c r="AA285" s="78" t="s">
        <v>36</v>
      </c>
      <c r="AB285" s="79" t="s">
        <v>37</v>
      </c>
      <c r="AC285" s="167"/>
    </row>
    <row r="286" spans="1:29" x14ac:dyDescent="0.2">
      <c r="A286" s="193"/>
      <c r="B286" s="168" t="str">
        <f t="shared" ref="B286:C291" si="118">IF(ISBLANK(B277), "-", B277)</f>
        <v>2A</v>
      </c>
      <c r="C286" s="169" t="str">
        <f t="shared" si="118"/>
        <v>JAR-007B</v>
      </c>
      <c r="D286" s="73">
        <v>21231</v>
      </c>
      <c r="E286" s="73" t="str">
        <f t="shared" ref="E286:F291" si="119">IF(ISBLANK(E277), "-", E277)</f>
        <v>White</v>
      </c>
      <c r="F286" s="73" t="str">
        <f t="shared" si="119"/>
        <v>RPET</v>
      </c>
      <c r="G286" s="170"/>
      <c r="H286" s="74">
        <v>10</v>
      </c>
      <c r="I286" s="74"/>
      <c r="J286" s="74"/>
      <c r="K286" s="74"/>
      <c r="L286" s="74"/>
      <c r="M286" s="74"/>
      <c r="N286" s="75"/>
      <c r="O286" s="75"/>
      <c r="P286" s="75"/>
      <c r="Q286" s="75"/>
      <c r="R286" s="75"/>
      <c r="S286" s="74"/>
      <c r="T286" s="75"/>
      <c r="U286" s="75"/>
      <c r="V286" s="75"/>
      <c r="W286" s="75"/>
      <c r="X286" s="75"/>
      <c r="Y286" s="74"/>
      <c r="Z286" s="74"/>
      <c r="AA286" s="74">
        <v>5</v>
      </c>
      <c r="AB286" s="76">
        <v>10</v>
      </c>
      <c r="AC286" s="167"/>
    </row>
    <row r="287" spans="1:29" x14ac:dyDescent="0.2">
      <c r="A287" s="193"/>
      <c r="B287" s="168" t="str">
        <f t="shared" si="118"/>
        <v>-</v>
      </c>
      <c r="C287" s="169" t="str">
        <f t="shared" si="118"/>
        <v>-</v>
      </c>
      <c r="D287" s="73" t="str">
        <f>IF(ISBLANK(D278), "-", D278)</f>
        <v>-</v>
      </c>
      <c r="E287" s="73" t="str">
        <f t="shared" si="119"/>
        <v>-</v>
      </c>
      <c r="F287" s="73" t="str">
        <f t="shared" si="119"/>
        <v>-</v>
      </c>
      <c r="G287" s="171"/>
      <c r="H287" s="75"/>
      <c r="I287" s="75"/>
      <c r="J287" s="75"/>
      <c r="K287" s="75"/>
      <c r="L287" s="75"/>
      <c r="M287" s="74"/>
      <c r="N287" s="75"/>
      <c r="O287" s="75"/>
      <c r="P287" s="75"/>
      <c r="Q287" s="75"/>
      <c r="R287" s="75"/>
      <c r="S287" s="74"/>
      <c r="T287" s="75"/>
      <c r="U287" s="75"/>
      <c r="V287" s="75"/>
      <c r="W287" s="75"/>
      <c r="X287" s="75"/>
      <c r="Y287" s="74"/>
      <c r="Z287" s="74"/>
      <c r="AA287" s="74"/>
      <c r="AB287" s="76"/>
      <c r="AC287" s="167"/>
    </row>
    <row r="288" spans="1:29" x14ac:dyDescent="0.2">
      <c r="A288" s="193"/>
      <c r="B288" s="173" t="str">
        <f t="shared" si="118"/>
        <v>3A</v>
      </c>
      <c r="C288" s="174" t="str">
        <f t="shared" si="118"/>
        <v>JAR-014</v>
      </c>
      <c r="D288" s="102">
        <f>IF(ISBLANK(D279), "-", D279)</f>
        <v>21234</v>
      </c>
      <c r="E288" s="102" t="str">
        <f t="shared" si="119"/>
        <v>White</v>
      </c>
      <c r="F288" s="102" t="str">
        <f t="shared" si="119"/>
        <v>RPET</v>
      </c>
      <c r="G288" s="171"/>
      <c r="H288" s="94">
        <v>20</v>
      </c>
      <c r="I288" s="94"/>
      <c r="J288" s="94"/>
      <c r="K288" s="94"/>
      <c r="L288" s="94"/>
      <c r="M288" s="94"/>
      <c r="N288" s="95"/>
      <c r="O288" s="95"/>
      <c r="P288" s="95"/>
      <c r="Q288" s="95"/>
      <c r="R288" s="95"/>
      <c r="S288" s="94"/>
      <c r="T288" s="95"/>
      <c r="U288" s="95"/>
      <c r="V288" s="95"/>
      <c r="W288" s="95"/>
      <c r="X288" s="95"/>
      <c r="Y288" s="94"/>
      <c r="Z288" s="94"/>
      <c r="AA288" s="94"/>
      <c r="AB288" s="96"/>
      <c r="AC288" s="167"/>
    </row>
    <row r="289" spans="1:29" x14ac:dyDescent="0.2">
      <c r="A289" s="193"/>
      <c r="B289" s="173" t="str">
        <f t="shared" si="118"/>
        <v>-</v>
      </c>
      <c r="C289" s="174" t="str">
        <f t="shared" si="118"/>
        <v>-</v>
      </c>
      <c r="D289" s="102" t="str">
        <f>IF(ISBLANK(D280), "-", D280)</f>
        <v>-</v>
      </c>
      <c r="E289" s="102" t="str">
        <f t="shared" si="119"/>
        <v>-</v>
      </c>
      <c r="F289" s="102" t="str">
        <f t="shared" si="119"/>
        <v>-</v>
      </c>
      <c r="G289" s="171"/>
      <c r="H289" s="95"/>
      <c r="I289" s="95"/>
      <c r="J289" s="95"/>
      <c r="K289" s="95"/>
      <c r="L289" s="95"/>
      <c r="M289" s="94"/>
      <c r="N289" s="95"/>
      <c r="O289" s="95"/>
      <c r="P289" s="95"/>
      <c r="Q289" s="95"/>
      <c r="R289" s="95"/>
      <c r="S289" s="94"/>
      <c r="T289" s="95"/>
      <c r="U289" s="95"/>
      <c r="V289" s="95"/>
      <c r="W289" s="95"/>
      <c r="X289" s="95"/>
      <c r="Y289" s="94"/>
      <c r="Z289" s="94"/>
      <c r="AA289" s="94"/>
      <c r="AB289" s="96"/>
      <c r="AC289" s="167"/>
    </row>
    <row r="290" spans="1:29" x14ac:dyDescent="0.2">
      <c r="A290" s="193"/>
      <c r="B290" s="168" t="str">
        <f t="shared" si="118"/>
        <v>4A</v>
      </c>
      <c r="C290" s="169" t="str">
        <f t="shared" si="118"/>
        <v>JAR-007A</v>
      </c>
      <c r="D290" s="73">
        <f>IF(ISBLANK(D281), "-", D281)</f>
        <v>21231</v>
      </c>
      <c r="E290" s="73" t="str">
        <f t="shared" si="119"/>
        <v>White</v>
      </c>
      <c r="F290" s="73" t="str">
        <f t="shared" si="119"/>
        <v>RPET</v>
      </c>
      <c r="G290" s="171"/>
      <c r="H290" s="75"/>
      <c r="I290" s="75"/>
      <c r="J290" s="75"/>
      <c r="K290" s="75"/>
      <c r="L290" s="75"/>
      <c r="M290" s="74"/>
      <c r="N290" s="75"/>
      <c r="O290" s="75"/>
      <c r="P290" s="75"/>
      <c r="Q290" s="75"/>
      <c r="R290" s="75"/>
      <c r="S290" s="74"/>
      <c r="T290" s="75"/>
      <c r="U290" s="75"/>
      <c r="V290" s="75"/>
      <c r="W290" s="75"/>
      <c r="X290" s="75"/>
      <c r="Y290" s="74"/>
      <c r="Z290" s="74"/>
      <c r="AA290" s="74">
        <v>300</v>
      </c>
      <c r="AB290" s="76">
        <v>50</v>
      </c>
      <c r="AC290" s="167"/>
    </row>
    <row r="291" spans="1:29" x14ac:dyDescent="0.2">
      <c r="A291" s="193"/>
      <c r="B291" s="168" t="str">
        <f t="shared" si="118"/>
        <v>-</v>
      </c>
      <c r="C291" s="169" t="str">
        <f t="shared" si="118"/>
        <v>-</v>
      </c>
      <c r="D291" s="73" t="str">
        <f>IF(ISBLANK(D282), "-", D282)</f>
        <v>-</v>
      </c>
      <c r="E291" s="73" t="str">
        <f t="shared" si="119"/>
        <v>-</v>
      </c>
      <c r="F291" s="73" t="str">
        <f t="shared" si="119"/>
        <v>-</v>
      </c>
      <c r="G291" s="172"/>
      <c r="H291" s="75"/>
      <c r="I291" s="75"/>
      <c r="J291" s="75"/>
      <c r="K291" s="75"/>
      <c r="L291" s="75"/>
      <c r="M291" s="74"/>
      <c r="N291" s="75"/>
      <c r="O291" s="75"/>
      <c r="P291" s="75"/>
      <c r="Q291" s="75"/>
      <c r="R291" s="75"/>
      <c r="S291" s="74"/>
      <c r="T291" s="75"/>
      <c r="U291" s="75"/>
      <c r="V291" s="75"/>
      <c r="W291" s="75"/>
      <c r="X291" s="75"/>
      <c r="Y291" s="74"/>
      <c r="Z291" s="74"/>
      <c r="AA291" s="74"/>
      <c r="AB291" s="76"/>
      <c r="AC291" s="167"/>
    </row>
    <row r="293" spans="1:29" x14ac:dyDescent="0.2">
      <c r="A293" s="193">
        <v>44728</v>
      </c>
      <c r="B293" s="16" t="s">
        <v>20</v>
      </c>
      <c r="C293" s="17"/>
      <c r="D293" s="18" t="s">
        <v>21</v>
      </c>
      <c r="E293" s="17">
        <v>0</v>
      </c>
      <c r="F293" s="24"/>
      <c r="G293" s="25"/>
      <c r="H293" s="38"/>
      <c r="I293" s="51"/>
      <c r="J293" s="57"/>
      <c r="K293" s="25"/>
      <c r="L293" s="18"/>
      <c r="M293" s="25"/>
      <c r="N293" s="38"/>
      <c r="O293" s="51"/>
      <c r="P293" s="57"/>
      <c r="Q293" s="25"/>
      <c r="R293" s="18"/>
      <c r="S293" s="25"/>
      <c r="T293" s="38"/>
      <c r="U293" s="51"/>
      <c r="V293" s="57"/>
      <c r="W293" s="25"/>
      <c r="X293" s="18"/>
      <c r="Y293" s="18"/>
      <c r="Z293" s="25"/>
      <c r="AA293" s="18"/>
      <c r="AB293" s="18"/>
      <c r="AC293" s="26"/>
    </row>
    <row r="294" spans="1:29" x14ac:dyDescent="0.2">
      <c r="A294" s="193"/>
      <c r="B294" s="157" t="s">
        <v>3</v>
      </c>
      <c r="C294" s="158" t="s">
        <v>0</v>
      </c>
      <c r="D294" s="158" t="s">
        <v>10</v>
      </c>
      <c r="E294" s="158" t="s">
        <v>4</v>
      </c>
      <c r="F294" s="158" t="s">
        <v>9</v>
      </c>
      <c r="G294" s="180" t="s">
        <v>5</v>
      </c>
      <c r="H294" s="187" t="s">
        <v>6</v>
      </c>
      <c r="I294" s="188"/>
      <c r="J294" s="188"/>
      <c r="K294" s="188"/>
      <c r="L294" s="188"/>
      <c r="M294" s="189"/>
      <c r="N294" s="187" t="s">
        <v>7</v>
      </c>
      <c r="O294" s="188"/>
      <c r="P294" s="188"/>
      <c r="Q294" s="188"/>
      <c r="R294" s="188"/>
      <c r="S294" s="189"/>
      <c r="T294" s="187" t="s">
        <v>8</v>
      </c>
      <c r="U294" s="188"/>
      <c r="V294" s="188"/>
      <c r="W294" s="188"/>
      <c r="X294" s="188"/>
      <c r="Y294" s="189"/>
      <c r="Z294" s="163" t="s">
        <v>16</v>
      </c>
      <c r="AA294" s="163" t="s">
        <v>66</v>
      </c>
      <c r="AB294" s="163" t="s">
        <v>27</v>
      </c>
      <c r="AC294" s="181" t="s">
        <v>11</v>
      </c>
    </row>
    <row r="295" spans="1:29" ht="24" x14ac:dyDescent="0.2">
      <c r="A295" s="193"/>
      <c r="B295" s="157"/>
      <c r="C295" s="158"/>
      <c r="D295" s="158"/>
      <c r="E295" s="158"/>
      <c r="F295" s="158"/>
      <c r="G295" s="180"/>
      <c r="H295" s="39" t="s">
        <v>24</v>
      </c>
      <c r="I295" s="98" t="s">
        <v>25</v>
      </c>
      <c r="J295" s="99" t="s">
        <v>28</v>
      </c>
      <c r="K295" s="100" t="s">
        <v>22</v>
      </c>
      <c r="L295" s="101" t="s">
        <v>2</v>
      </c>
      <c r="M295" s="27" t="s">
        <v>14</v>
      </c>
      <c r="N295" s="39" t="s">
        <v>24</v>
      </c>
      <c r="O295" s="98" t="s">
        <v>25</v>
      </c>
      <c r="P295" s="99" t="s">
        <v>28</v>
      </c>
      <c r="Q295" s="100" t="s">
        <v>22</v>
      </c>
      <c r="R295" s="27" t="s">
        <v>2</v>
      </c>
      <c r="S295" s="27" t="s">
        <v>14</v>
      </c>
      <c r="T295" s="39" t="s">
        <v>24</v>
      </c>
      <c r="U295" s="98" t="s">
        <v>25</v>
      </c>
      <c r="V295" s="99" t="s">
        <v>28</v>
      </c>
      <c r="W295" s="100" t="s">
        <v>22</v>
      </c>
      <c r="X295" s="27" t="s">
        <v>2</v>
      </c>
      <c r="Y295" s="27" t="s">
        <v>14</v>
      </c>
      <c r="Z295" s="164"/>
      <c r="AA295" s="165"/>
      <c r="AB295" s="165"/>
      <c r="AC295" s="182"/>
    </row>
    <row r="296" spans="1:29" x14ac:dyDescent="0.2">
      <c r="A296" s="193"/>
      <c r="B296" s="194" t="s">
        <v>42</v>
      </c>
      <c r="C296" s="196" t="s">
        <v>45</v>
      </c>
      <c r="D296" s="11">
        <v>21231</v>
      </c>
      <c r="E296" s="11" t="s">
        <v>46</v>
      </c>
      <c r="F296" s="11" t="s">
        <v>130</v>
      </c>
      <c r="G296" s="196" t="s">
        <v>1</v>
      </c>
      <c r="H296" s="34">
        <v>41.45</v>
      </c>
      <c r="I296" s="49">
        <v>8</v>
      </c>
      <c r="J296" s="28">
        <v>700</v>
      </c>
      <c r="K296" s="28">
        <v>12</v>
      </c>
      <c r="L296" s="28">
        <f t="shared" ref="L296:L301" si="120">IF(ISBLANK(J296), , J296*K296)</f>
        <v>8400</v>
      </c>
      <c r="M296" s="23">
        <f t="shared" ref="M296:M301" si="121">H305+K305+N305+Q305+T305+W305+Z305</f>
        <v>10</v>
      </c>
      <c r="N296" s="34">
        <v>41.45</v>
      </c>
      <c r="O296" s="49">
        <v>8</v>
      </c>
      <c r="P296" s="28">
        <v>684</v>
      </c>
      <c r="Q296" s="28">
        <v>12</v>
      </c>
      <c r="R296" s="28">
        <f t="shared" ref="R296:R301" si="122">IF(ISBLANK(P296), , P296*Q296)</f>
        <v>8208</v>
      </c>
      <c r="S296" s="23">
        <f t="shared" ref="S296:S301" si="123">I305+L305+O305+R305+U305+X305+AA305</f>
        <v>5</v>
      </c>
      <c r="T296" s="34">
        <v>41.45</v>
      </c>
      <c r="U296" s="49">
        <v>8</v>
      </c>
      <c r="V296" s="28">
        <v>676</v>
      </c>
      <c r="W296" s="28">
        <v>12</v>
      </c>
      <c r="X296" s="28">
        <f t="shared" ref="X296:X301" si="124">IF(ISBLANK(V296), , V296*W296)</f>
        <v>8112</v>
      </c>
      <c r="Y296" s="23">
        <f t="shared" ref="Y296:Y301" si="125">J305+M305+P305+S305+V305+Y305+AB305</f>
        <v>20</v>
      </c>
      <c r="Z296" s="151">
        <f>SUM(L296, R296, X296)+SUM(L297, R297, X297)</f>
        <v>24720</v>
      </c>
      <c r="AA296" s="151">
        <f>SUM(M296, S296, Y296)+SUM(M297, S297, Y297)</f>
        <v>35</v>
      </c>
      <c r="AB296" s="153">
        <f>IF($Z296=0, ,AA296/$Z296)</f>
        <v>1.4158576051779936E-3</v>
      </c>
      <c r="AC296" s="179" t="s">
        <v>112</v>
      </c>
    </row>
    <row r="297" spans="1:29" x14ac:dyDescent="0.2">
      <c r="A297" s="193"/>
      <c r="B297" s="195"/>
      <c r="C297" s="197"/>
      <c r="D297" s="11"/>
      <c r="E297" s="11"/>
      <c r="F297" s="11"/>
      <c r="G297" s="198"/>
      <c r="H297" s="34"/>
      <c r="I297" s="49"/>
      <c r="J297" s="28"/>
      <c r="K297" s="28"/>
      <c r="L297" s="28">
        <f t="shared" si="120"/>
        <v>0</v>
      </c>
      <c r="M297" s="23">
        <f t="shared" si="121"/>
        <v>0</v>
      </c>
      <c r="N297" s="34"/>
      <c r="O297" s="49"/>
      <c r="P297" s="28"/>
      <c r="Q297" s="28"/>
      <c r="R297" s="28">
        <f t="shared" si="122"/>
        <v>0</v>
      </c>
      <c r="S297" s="23">
        <f t="shared" si="123"/>
        <v>0</v>
      </c>
      <c r="T297" s="34"/>
      <c r="U297" s="49"/>
      <c r="V297" s="28"/>
      <c r="W297" s="28"/>
      <c r="X297" s="28">
        <f t="shared" si="124"/>
        <v>0</v>
      </c>
      <c r="Y297" s="23">
        <f t="shared" si="125"/>
        <v>0</v>
      </c>
      <c r="Z297" s="152"/>
      <c r="AA297" s="152"/>
      <c r="AB297" s="154"/>
      <c r="AC297" s="155"/>
    </row>
    <row r="298" spans="1:29" x14ac:dyDescent="0.2">
      <c r="A298" s="193"/>
      <c r="B298" s="175" t="s">
        <v>43</v>
      </c>
      <c r="C298" s="177" t="s">
        <v>65</v>
      </c>
      <c r="D298" s="10">
        <v>21234</v>
      </c>
      <c r="E298" s="10" t="s">
        <v>46</v>
      </c>
      <c r="F298" s="10" t="s">
        <v>130</v>
      </c>
      <c r="G298" s="177" t="s">
        <v>1</v>
      </c>
      <c r="H298" s="35">
        <v>41.6</v>
      </c>
      <c r="I298" s="52">
        <v>0</v>
      </c>
      <c r="J298" s="64">
        <v>0</v>
      </c>
      <c r="K298" s="64">
        <v>12</v>
      </c>
      <c r="L298" s="64">
        <f t="shared" si="120"/>
        <v>0</v>
      </c>
      <c r="M298" s="65">
        <f t="shared" si="121"/>
        <v>0</v>
      </c>
      <c r="N298" s="66">
        <v>41.6</v>
      </c>
      <c r="O298" s="67">
        <v>6</v>
      </c>
      <c r="P298" s="64">
        <v>520</v>
      </c>
      <c r="Q298" s="64">
        <v>12</v>
      </c>
      <c r="R298" s="64">
        <f t="shared" si="122"/>
        <v>6240</v>
      </c>
      <c r="S298" s="65">
        <f t="shared" si="123"/>
        <v>5</v>
      </c>
      <c r="T298" s="66">
        <v>41.6</v>
      </c>
      <c r="U298" s="67">
        <v>8</v>
      </c>
      <c r="V298" s="64">
        <v>655</v>
      </c>
      <c r="W298" s="64">
        <v>12</v>
      </c>
      <c r="X298" s="64">
        <f t="shared" si="124"/>
        <v>7860</v>
      </c>
      <c r="Y298" s="65">
        <f t="shared" si="125"/>
        <v>50</v>
      </c>
      <c r="Z298" s="183">
        <f>SUM(L298, R298, X298)+SUM(L299, R299, X299)</f>
        <v>14100</v>
      </c>
      <c r="AA298" s="185">
        <f>SUM(M298, S298, Y298)+SUM(M299, S299, Y299)</f>
        <v>55</v>
      </c>
      <c r="AB298" s="190">
        <f>IF($Z298=0, ,AA298/$Z298)</f>
        <v>3.900709219858156E-3</v>
      </c>
      <c r="AC298" s="192" t="s">
        <v>110</v>
      </c>
    </row>
    <row r="299" spans="1:29" x14ac:dyDescent="0.2">
      <c r="A299" s="193"/>
      <c r="B299" s="176"/>
      <c r="C299" s="178"/>
      <c r="D299" s="10"/>
      <c r="E299" s="10"/>
      <c r="F299" s="10"/>
      <c r="G299" s="178"/>
      <c r="H299" s="35"/>
      <c r="I299" s="52"/>
      <c r="J299" s="64"/>
      <c r="K299" s="64"/>
      <c r="L299" s="64">
        <f t="shared" si="120"/>
        <v>0</v>
      </c>
      <c r="M299" s="65">
        <f t="shared" si="121"/>
        <v>0</v>
      </c>
      <c r="N299" s="66"/>
      <c r="O299" s="67"/>
      <c r="P299" s="64"/>
      <c r="Q299" s="64"/>
      <c r="R299" s="64">
        <f t="shared" si="122"/>
        <v>0</v>
      </c>
      <c r="S299" s="65">
        <f t="shared" si="123"/>
        <v>0</v>
      </c>
      <c r="T299" s="66"/>
      <c r="U299" s="67"/>
      <c r="V299" s="64"/>
      <c r="W299" s="64"/>
      <c r="X299" s="64">
        <f t="shared" si="124"/>
        <v>0</v>
      </c>
      <c r="Y299" s="65">
        <f t="shared" si="125"/>
        <v>0</v>
      </c>
      <c r="Z299" s="184"/>
      <c r="AA299" s="186"/>
      <c r="AB299" s="191"/>
      <c r="AC299" s="192"/>
    </row>
    <row r="300" spans="1:29" x14ac:dyDescent="0.2">
      <c r="A300" s="193"/>
      <c r="B300" s="161" t="s">
        <v>44</v>
      </c>
      <c r="C300" s="149" t="s">
        <v>67</v>
      </c>
      <c r="D300" s="9">
        <v>21231</v>
      </c>
      <c r="E300" s="9" t="s">
        <v>46</v>
      </c>
      <c r="F300" s="9" t="s">
        <v>130</v>
      </c>
      <c r="G300" s="149" t="s">
        <v>1</v>
      </c>
      <c r="H300" s="36">
        <v>41.35</v>
      </c>
      <c r="I300" s="53">
        <v>8</v>
      </c>
      <c r="J300" s="29">
        <v>684</v>
      </c>
      <c r="K300" s="29">
        <v>12</v>
      </c>
      <c r="L300" s="29">
        <f t="shared" si="120"/>
        <v>8208</v>
      </c>
      <c r="M300" s="30">
        <f t="shared" si="121"/>
        <v>60</v>
      </c>
      <c r="N300" s="36">
        <v>41.35</v>
      </c>
      <c r="O300" s="53">
        <v>8</v>
      </c>
      <c r="P300" s="29">
        <v>701</v>
      </c>
      <c r="Q300" s="29">
        <v>12</v>
      </c>
      <c r="R300" s="29">
        <f t="shared" si="122"/>
        <v>8412</v>
      </c>
      <c r="S300" s="30">
        <f t="shared" si="123"/>
        <v>50</v>
      </c>
      <c r="T300" s="36">
        <v>41.35</v>
      </c>
      <c r="U300" s="53">
        <v>8</v>
      </c>
      <c r="V300" s="29">
        <v>674</v>
      </c>
      <c r="W300" s="29">
        <v>12</v>
      </c>
      <c r="X300" s="29">
        <f t="shared" si="124"/>
        <v>8088</v>
      </c>
      <c r="Y300" s="30">
        <f t="shared" si="125"/>
        <v>20</v>
      </c>
      <c r="Z300" s="151">
        <f>SUM(L300, R300, X300)+SUM(L301, R301, X301)</f>
        <v>24708</v>
      </c>
      <c r="AA300" s="151">
        <f>SUM(M300, S300, Y300)+SUM(M301, S301, Y301)</f>
        <v>130</v>
      </c>
      <c r="AB300" s="153">
        <f>IF($Z300=0, ,AA300/$Z300)</f>
        <v>5.2614537801521774E-3</v>
      </c>
      <c r="AC300" s="155" t="s">
        <v>111</v>
      </c>
    </row>
    <row r="301" spans="1:29" x14ac:dyDescent="0.2">
      <c r="A301" s="193"/>
      <c r="B301" s="162"/>
      <c r="C301" s="150"/>
      <c r="D301" s="9"/>
      <c r="E301" s="9"/>
      <c r="F301" s="9"/>
      <c r="G301" s="150"/>
      <c r="H301" s="36"/>
      <c r="I301" s="53"/>
      <c r="J301" s="29"/>
      <c r="K301" s="29"/>
      <c r="L301" s="29">
        <f t="shared" si="120"/>
        <v>0</v>
      </c>
      <c r="M301" s="30">
        <f t="shared" si="121"/>
        <v>0</v>
      </c>
      <c r="N301" s="36"/>
      <c r="O301" s="53"/>
      <c r="P301" s="29"/>
      <c r="Q301" s="29"/>
      <c r="R301" s="29">
        <f t="shared" si="122"/>
        <v>0</v>
      </c>
      <c r="S301" s="30">
        <f t="shared" si="123"/>
        <v>0</v>
      </c>
      <c r="T301" s="36"/>
      <c r="U301" s="53"/>
      <c r="V301" s="29"/>
      <c r="W301" s="29"/>
      <c r="X301" s="29">
        <f t="shared" si="124"/>
        <v>0</v>
      </c>
      <c r="Y301" s="30">
        <f t="shared" si="125"/>
        <v>0</v>
      </c>
      <c r="Z301" s="152"/>
      <c r="AA301" s="152"/>
      <c r="AB301" s="154"/>
      <c r="AC301" s="156"/>
    </row>
    <row r="302" spans="1:29" x14ac:dyDescent="0.2">
      <c r="A302" s="193"/>
      <c r="B302" s="42"/>
      <c r="C302" s="42"/>
      <c r="D302" s="42"/>
      <c r="E302" s="42"/>
      <c r="F302" s="42"/>
      <c r="G302" s="42"/>
      <c r="H302" s="59"/>
      <c r="I302" s="60"/>
      <c r="J302" s="61"/>
      <c r="K302" s="61"/>
      <c r="L302" s="61"/>
      <c r="M302" s="62"/>
      <c r="N302" s="59"/>
      <c r="O302" s="60"/>
      <c r="P302" s="61"/>
      <c r="Q302" s="61"/>
      <c r="R302" s="61"/>
      <c r="S302" s="62"/>
      <c r="T302" s="59"/>
      <c r="U302" s="60"/>
      <c r="V302" s="61"/>
      <c r="W302" s="61"/>
      <c r="X302" s="61"/>
      <c r="Y302" s="62"/>
      <c r="Z302" s="62"/>
      <c r="AA302" s="62"/>
      <c r="AB302" s="63"/>
      <c r="AC302" s="45"/>
    </row>
    <row r="303" spans="1:29" x14ac:dyDescent="0.2">
      <c r="A303" s="193"/>
      <c r="B303" s="157" t="s">
        <v>32</v>
      </c>
      <c r="C303" s="158"/>
      <c r="D303" s="158"/>
      <c r="E303" s="158"/>
      <c r="F303" s="158"/>
      <c r="G303" s="77" t="s">
        <v>33</v>
      </c>
      <c r="H303" s="159" t="s">
        <v>29</v>
      </c>
      <c r="I303" s="159"/>
      <c r="J303" s="159"/>
      <c r="K303" s="159" t="s">
        <v>41</v>
      </c>
      <c r="L303" s="159"/>
      <c r="M303" s="159"/>
      <c r="N303" s="160" t="s">
        <v>63</v>
      </c>
      <c r="O303" s="159"/>
      <c r="P303" s="159"/>
      <c r="Q303" s="160" t="s">
        <v>62</v>
      </c>
      <c r="R303" s="159"/>
      <c r="S303" s="159"/>
      <c r="T303" s="160" t="s">
        <v>61</v>
      </c>
      <c r="U303" s="159"/>
      <c r="V303" s="159"/>
      <c r="W303" s="159" t="s">
        <v>39</v>
      </c>
      <c r="X303" s="159"/>
      <c r="Y303" s="159"/>
      <c r="Z303" s="159" t="s">
        <v>40</v>
      </c>
      <c r="AA303" s="159"/>
      <c r="AB303" s="159"/>
      <c r="AC303" s="166"/>
    </row>
    <row r="304" spans="1:29" x14ac:dyDescent="0.2">
      <c r="A304" s="193"/>
      <c r="B304" s="157"/>
      <c r="C304" s="158"/>
      <c r="D304" s="158"/>
      <c r="E304" s="158"/>
      <c r="F304" s="158"/>
      <c r="G304" s="77" t="s">
        <v>34</v>
      </c>
      <c r="H304" s="78" t="s">
        <v>35</v>
      </c>
      <c r="I304" s="78" t="s">
        <v>36</v>
      </c>
      <c r="J304" s="79" t="s">
        <v>37</v>
      </c>
      <c r="K304" s="78" t="s">
        <v>35</v>
      </c>
      <c r="L304" s="78" t="s">
        <v>36</v>
      </c>
      <c r="M304" s="79" t="s">
        <v>37</v>
      </c>
      <c r="N304" s="78" t="s">
        <v>35</v>
      </c>
      <c r="O304" s="78" t="s">
        <v>36</v>
      </c>
      <c r="P304" s="79" t="s">
        <v>37</v>
      </c>
      <c r="Q304" s="78" t="s">
        <v>35</v>
      </c>
      <c r="R304" s="78" t="s">
        <v>36</v>
      </c>
      <c r="S304" s="79" t="s">
        <v>37</v>
      </c>
      <c r="T304" s="78" t="s">
        <v>35</v>
      </c>
      <c r="U304" s="78" t="s">
        <v>36</v>
      </c>
      <c r="V304" s="79" t="s">
        <v>37</v>
      </c>
      <c r="W304" s="78" t="s">
        <v>35</v>
      </c>
      <c r="X304" s="78" t="s">
        <v>36</v>
      </c>
      <c r="Y304" s="79" t="s">
        <v>37</v>
      </c>
      <c r="Z304" s="78" t="s">
        <v>35</v>
      </c>
      <c r="AA304" s="78" t="s">
        <v>36</v>
      </c>
      <c r="AB304" s="79" t="s">
        <v>37</v>
      </c>
      <c r="AC304" s="167"/>
    </row>
    <row r="305" spans="1:29" x14ac:dyDescent="0.2">
      <c r="A305" s="193"/>
      <c r="B305" s="168" t="str">
        <f t="shared" ref="B305:C310" si="126">IF(ISBLANK(B296), "-", B296)</f>
        <v>2A</v>
      </c>
      <c r="C305" s="169" t="str">
        <f t="shared" si="126"/>
        <v>JAR-007B</v>
      </c>
      <c r="D305" s="73">
        <v>21231</v>
      </c>
      <c r="E305" s="73" t="str">
        <f t="shared" ref="E305:F310" si="127">IF(ISBLANK(E296), "-", E296)</f>
        <v>White</v>
      </c>
      <c r="F305" s="73" t="str">
        <f t="shared" si="127"/>
        <v>RPET</v>
      </c>
      <c r="G305" s="170"/>
      <c r="H305" s="74">
        <v>10</v>
      </c>
      <c r="I305" s="74"/>
      <c r="J305" s="74">
        <v>20</v>
      </c>
      <c r="K305" s="74"/>
      <c r="L305" s="74"/>
      <c r="M305" s="74"/>
      <c r="N305" s="75"/>
      <c r="O305" s="75"/>
      <c r="P305" s="75"/>
      <c r="Q305" s="75"/>
      <c r="R305" s="75"/>
      <c r="S305" s="74"/>
      <c r="T305" s="75"/>
      <c r="U305" s="75"/>
      <c r="V305" s="75"/>
      <c r="W305" s="75"/>
      <c r="X305" s="75"/>
      <c r="Y305" s="74"/>
      <c r="Z305" s="74"/>
      <c r="AA305" s="74">
        <v>5</v>
      </c>
      <c r="AB305" s="76"/>
      <c r="AC305" s="167"/>
    </row>
    <row r="306" spans="1:29" x14ac:dyDescent="0.2">
      <c r="A306" s="193"/>
      <c r="B306" s="168" t="str">
        <f t="shared" si="126"/>
        <v>-</v>
      </c>
      <c r="C306" s="169" t="str">
        <f t="shared" si="126"/>
        <v>-</v>
      </c>
      <c r="D306" s="73" t="str">
        <f>IF(ISBLANK(D297), "-", D297)</f>
        <v>-</v>
      </c>
      <c r="E306" s="73" t="str">
        <f t="shared" si="127"/>
        <v>-</v>
      </c>
      <c r="F306" s="73" t="str">
        <f t="shared" si="127"/>
        <v>-</v>
      </c>
      <c r="G306" s="171"/>
      <c r="H306" s="75"/>
      <c r="I306" s="75"/>
      <c r="J306" s="75"/>
      <c r="K306" s="75"/>
      <c r="L306" s="75"/>
      <c r="M306" s="74"/>
      <c r="N306" s="75"/>
      <c r="O306" s="75"/>
      <c r="P306" s="75"/>
      <c r="Q306" s="75"/>
      <c r="R306" s="75"/>
      <c r="S306" s="74"/>
      <c r="T306" s="75"/>
      <c r="U306" s="75"/>
      <c r="V306" s="75"/>
      <c r="W306" s="75"/>
      <c r="X306" s="75"/>
      <c r="Y306" s="74"/>
      <c r="Z306" s="74"/>
      <c r="AA306" s="74"/>
      <c r="AB306" s="76"/>
      <c r="AC306" s="167"/>
    </row>
    <row r="307" spans="1:29" x14ac:dyDescent="0.2">
      <c r="A307" s="193"/>
      <c r="B307" s="173" t="str">
        <f t="shared" si="126"/>
        <v>3A</v>
      </c>
      <c r="C307" s="174" t="str">
        <f t="shared" si="126"/>
        <v>JAR-014</v>
      </c>
      <c r="D307" s="102">
        <f>IF(ISBLANK(D298), "-", D298)</f>
        <v>21234</v>
      </c>
      <c r="E307" s="102" t="str">
        <f t="shared" si="127"/>
        <v>White</v>
      </c>
      <c r="F307" s="102" t="str">
        <f t="shared" si="127"/>
        <v>RPET</v>
      </c>
      <c r="G307" s="171"/>
      <c r="H307" s="94"/>
      <c r="I307" s="94"/>
      <c r="J307" s="94">
        <v>50</v>
      </c>
      <c r="K307" s="94"/>
      <c r="L307" s="94"/>
      <c r="M307" s="94"/>
      <c r="N307" s="95"/>
      <c r="O307" s="95"/>
      <c r="P307" s="95"/>
      <c r="Q307" s="95"/>
      <c r="R307" s="95"/>
      <c r="S307" s="94"/>
      <c r="T307" s="95"/>
      <c r="U307" s="95"/>
      <c r="V307" s="95"/>
      <c r="W307" s="95"/>
      <c r="X307" s="95"/>
      <c r="Y307" s="94"/>
      <c r="Z307" s="94"/>
      <c r="AA307" s="94">
        <v>5</v>
      </c>
      <c r="AB307" s="96"/>
      <c r="AC307" s="167"/>
    </row>
    <row r="308" spans="1:29" x14ac:dyDescent="0.2">
      <c r="A308" s="193"/>
      <c r="B308" s="173" t="str">
        <f t="shared" si="126"/>
        <v>-</v>
      </c>
      <c r="C308" s="174" t="str">
        <f t="shared" si="126"/>
        <v>-</v>
      </c>
      <c r="D308" s="102" t="str">
        <f>IF(ISBLANK(D299), "-", D299)</f>
        <v>-</v>
      </c>
      <c r="E308" s="102" t="str">
        <f t="shared" si="127"/>
        <v>-</v>
      </c>
      <c r="F308" s="102" t="str">
        <f t="shared" si="127"/>
        <v>-</v>
      </c>
      <c r="G308" s="171"/>
      <c r="H308" s="95"/>
      <c r="I308" s="95"/>
      <c r="J308" s="95"/>
      <c r="K308" s="95"/>
      <c r="L308" s="95"/>
      <c r="M308" s="94"/>
      <c r="N308" s="95"/>
      <c r="O308" s="95"/>
      <c r="P308" s="95"/>
      <c r="Q308" s="95"/>
      <c r="R308" s="95"/>
      <c r="S308" s="94"/>
      <c r="T308" s="95"/>
      <c r="U308" s="95"/>
      <c r="V308" s="95"/>
      <c r="W308" s="95"/>
      <c r="X308" s="95"/>
      <c r="Y308" s="94"/>
      <c r="Z308" s="94"/>
      <c r="AA308" s="94"/>
      <c r="AB308" s="96"/>
      <c r="AC308" s="167"/>
    </row>
    <row r="309" spans="1:29" x14ac:dyDescent="0.2">
      <c r="A309" s="193"/>
      <c r="B309" s="168" t="str">
        <f t="shared" si="126"/>
        <v>4A</v>
      </c>
      <c r="C309" s="169" t="str">
        <f t="shared" si="126"/>
        <v>JAR-007A</v>
      </c>
      <c r="D309" s="73">
        <f>IF(ISBLANK(D300), "-", D300)</f>
        <v>21231</v>
      </c>
      <c r="E309" s="73" t="str">
        <f t="shared" si="127"/>
        <v>White</v>
      </c>
      <c r="F309" s="73" t="str">
        <f t="shared" si="127"/>
        <v>RPET</v>
      </c>
      <c r="G309" s="171"/>
      <c r="H309" s="75">
        <v>60</v>
      </c>
      <c r="I309" s="75"/>
      <c r="J309" s="75">
        <v>20</v>
      </c>
      <c r="K309" s="75"/>
      <c r="L309" s="75"/>
      <c r="M309" s="74"/>
      <c r="N309" s="75"/>
      <c r="O309" s="75"/>
      <c r="P309" s="75"/>
      <c r="Q309" s="75"/>
      <c r="R309" s="75"/>
      <c r="S309" s="74"/>
      <c r="T309" s="75"/>
      <c r="U309" s="75"/>
      <c r="V309" s="75"/>
      <c r="W309" s="75"/>
      <c r="X309" s="75"/>
      <c r="Y309" s="74"/>
      <c r="Z309" s="74"/>
      <c r="AA309" s="74">
        <v>50</v>
      </c>
      <c r="AB309" s="76"/>
      <c r="AC309" s="167"/>
    </row>
    <row r="310" spans="1:29" x14ac:dyDescent="0.2">
      <c r="A310" s="193"/>
      <c r="B310" s="168" t="str">
        <f t="shared" si="126"/>
        <v>-</v>
      </c>
      <c r="C310" s="169" t="str">
        <f t="shared" si="126"/>
        <v>-</v>
      </c>
      <c r="D310" s="73" t="str">
        <f>IF(ISBLANK(D301), "-", D301)</f>
        <v>-</v>
      </c>
      <c r="E310" s="73" t="str">
        <f t="shared" si="127"/>
        <v>-</v>
      </c>
      <c r="F310" s="73" t="str">
        <f t="shared" si="127"/>
        <v>-</v>
      </c>
      <c r="G310" s="172"/>
      <c r="H310" s="75"/>
      <c r="I310" s="75"/>
      <c r="J310" s="75"/>
      <c r="K310" s="75"/>
      <c r="L310" s="75"/>
      <c r="M310" s="74"/>
      <c r="N310" s="75"/>
      <c r="O310" s="75"/>
      <c r="P310" s="75"/>
      <c r="Q310" s="75"/>
      <c r="R310" s="75"/>
      <c r="S310" s="74"/>
      <c r="T310" s="75"/>
      <c r="U310" s="75"/>
      <c r="V310" s="75"/>
      <c r="W310" s="75"/>
      <c r="X310" s="75"/>
      <c r="Y310" s="74"/>
      <c r="Z310" s="74"/>
      <c r="AA310" s="74"/>
      <c r="AB310" s="76"/>
      <c r="AC310" s="167"/>
    </row>
    <row r="312" spans="1:29" x14ac:dyDescent="0.2">
      <c r="A312" s="193">
        <v>44729</v>
      </c>
      <c r="B312" s="16" t="s">
        <v>20</v>
      </c>
      <c r="C312" s="17"/>
      <c r="D312" s="18" t="s">
        <v>21</v>
      </c>
      <c r="E312" s="17">
        <v>0</v>
      </c>
      <c r="F312" s="24"/>
      <c r="G312" s="25"/>
      <c r="H312" s="38"/>
      <c r="I312" s="51"/>
      <c r="J312" s="57"/>
      <c r="K312" s="25"/>
      <c r="L312" s="18"/>
      <c r="M312" s="25"/>
      <c r="N312" s="38"/>
      <c r="O312" s="51"/>
      <c r="P312" s="57"/>
      <c r="Q312" s="25"/>
      <c r="R312" s="18"/>
      <c r="S312" s="25"/>
      <c r="T312" s="38"/>
      <c r="U312" s="51"/>
      <c r="V312" s="57"/>
      <c r="W312" s="25"/>
      <c r="X312" s="18"/>
      <c r="Y312" s="18"/>
      <c r="Z312" s="25"/>
      <c r="AA312" s="18"/>
      <c r="AB312" s="18"/>
      <c r="AC312" s="26"/>
    </row>
    <row r="313" spans="1:29" x14ac:dyDescent="0.2">
      <c r="A313" s="193"/>
      <c r="B313" s="157" t="s">
        <v>3</v>
      </c>
      <c r="C313" s="158" t="s">
        <v>0</v>
      </c>
      <c r="D313" s="158" t="s">
        <v>10</v>
      </c>
      <c r="E313" s="158" t="s">
        <v>4</v>
      </c>
      <c r="F313" s="158" t="s">
        <v>9</v>
      </c>
      <c r="G313" s="180" t="s">
        <v>5</v>
      </c>
      <c r="H313" s="187" t="s">
        <v>6</v>
      </c>
      <c r="I313" s="188"/>
      <c r="J313" s="188"/>
      <c r="K313" s="188"/>
      <c r="L313" s="188"/>
      <c r="M313" s="189"/>
      <c r="N313" s="187" t="s">
        <v>7</v>
      </c>
      <c r="O313" s="188"/>
      <c r="P313" s="188"/>
      <c r="Q313" s="188"/>
      <c r="R313" s="188"/>
      <c r="S313" s="189"/>
      <c r="T313" s="187" t="s">
        <v>8</v>
      </c>
      <c r="U313" s="188"/>
      <c r="V313" s="188"/>
      <c r="W313" s="188"/>
      <c r="X313" s="188"/>
      <c r="Y313" s="189"/>
      <c r="Z313" s="163" t="s">
        <v>16</v>
      </c>
      <c r="AA313" s="163" t="s">
        <v>66</v>
      </c>
      <c r="AB313" s="163" t="s">
        <v>27</v>
      </c>
      <c r="AC313" s="181" t="s">
        <v>11</v>
      </c>
    </row>
    <row r="314" spans="1:29" ht="33.75" customHeight="1" x14ac:dyDescent="0.2">
      <c r="A314" s="193"/>
      <c r="B314" s="157"/>
      <c r="C314" s="158"/>
      <c r="D314" s="158"/>
      <c r="E314" s="158"/>
      <c r="F314" s="158"/>
      <c r="G314" s="180"/>
      <c r="H314" s="39" t="s">
        <v>24</v>
      </c>
      <c r="I314" s="98" t="s">
        <v>25</v>
      </c>
      <c r="J314" s="99" t="s">
        <v>28</v>
      </c>
      <c r="K314" s="100" t="s">
        <v>22</v>
      </c>
      <c r="L314" s="101" t="s">
        <v>2</v>
      </c>
      <c r="M314" s="27" t="s">
        <v>14</v>
      </c>
      <c r="N314" s="39" t="s">
        <v>24</v>
      </c>
      <c r="O314" s="98" t="s">
        <v>25</v>
      </c>
      <c r="P314" s="99" t="s">
        <v>28</v>
      </c>
      <c r="Q314" s="100" t="s">
        <v>22</v>
      </c>
      <c r="R314" s="27" t="s">
        <v>2</v>
      </c>
      <c r="S314" s="27" t="s">
        <v>14</v>
      </c>
      <c r="T314" s="39" t="s">
        <v>24</v>
      </c>
      <c r="U314" s="98" t="s">
        <v>25</v>
      </c>
      <c r="V314" s="99" t="s">
        <v>28</v>
      </c>
      <c r="W314" s="100" t="s">
        <v>22</v>
      </c>
      <c r="X314" s="27" t="s">
        <v>2</v>
      </c>
      <c r="Y314" s="27" t="s">
        <v>14</v>
      </c>
      <c r="Z314" s="164"/>
      <c r="AA314" s="165"/>
      <c r="AB314" s="165"/>
      <c r="AC314" s="182"/>
    </row>
    <row r="315" spans="1:29" x14ac:dyDescent="0.2">
      <c r="A315" s="193"/>
      <c r="B315" s="194" t="s">
        <v>42</v>
      </c>
      <c r="C315" s="196" t="s">
        <v>45</v>
      </c>
      <c r="D315" s="11">
        <v>21231</v>
      </c>
      <c r="E315" s="11" t="s">
        <v>46</v>
      </c>
      <c r="F315" s="11" t="s">
        <v>130</v>
      </c>
      <c r="G315" s="196" t="s">
        <v>1</v>
      </c>
      <c r="H315" s="34">
        <v>41.45</v>
      </c>
      <c r="I315" s="49">
        <v>7</v>
      </c>
      <c r="J315" s="28">
        <v>611</v>
      </c>
      <c r="K315" s="28">
        <v>12</v>
      </c>
      <c r="L315" s="28">
        <f t="shared" ref="L315:L320" si="128">IF(ISBLANK(J315), , J315*K315)</f>
        <v>7332</v>
      </c>
      <c r="M315" s="23">
        <f t="shared" ref="M315:M320" si="129">H324+K324+N324+Q324+T324+W324+Z324</f>
        <v>400</v>
      </c>
      <c r="N315" s="34">
        <v>41.45</v>
      </c>
      <c r="O315" s="49">
        <v>8</v>
      </c>
      <c r="P315" s="28">
        <v>685</v>
      </c>
      <c r="Q315" s="28">
        <v>12</v>
      </c>
      <c r="R315" s="28">
        <f t="shared" ref="R315:R320" si="130">IF(ISBLANK(P315), , P315*Q315)</f>
        <v>8220</v>
      </c>
      <c r="S315" s="23">
        <f t="shared" ref="S315:S320" si="131">I324+L324+O324+R324+U324+X324+AA324</f>
        <v>0</v>
      </c>
      <c r="T315" s="34">
        <v>41.45</v>
      </c>
      <c r="U315" s="49">
        <v>8</v>
      </c>
      <c r="V315" s="28">
        <v>702</v>
      </c>
      <c r="W315" s="28">
        <v>12</v>
      </c>
      <c r="X315" s="28">
        <f t="shared" ref="X315:X320" si="132">IF(ISBLANK(V315), , V315*W315)</f>
        <v>8424</v>
      </c>
      <c r="Y315" s="23">
        <f t="shared" ref="Y315:Y320" si="133">J324+M324+P324+S324+V324+Y324+AB324</f>
        <v>0</v>
      </c>
      <c r="Z315" s="151">
        <f>SUM(L315, R315, X315)+SUM(L316, R316, X316)</f>
        <v>23976</v>
      </c>
      <c r="AA315" s="151">
        <f>SUM(M315, S315, Y315)+SUM(M316, S316, Y316)</f>
        <v>400</v>
      </c>
      <c r="AB315" s="153">
        <f>IF($Z315=0, ,AA315/$Z315)</f>
        <v>1.6683350016683349E-2</v>
      </c>
      <c r="AC315" s="179" t="s">
        <v>113</v>
      </c>
    </row>
    <row r="316" spans="1:29" x14ac:dyDescent="0.2">
      <c r="A316" s="193"/>
      <c r="B316" s="195"/>
      <c r="C316" s="197"/>
      <c r="D316" s="11"/>
      <c r="E316" s="11"/>
      <c r="F316" s="11"/>
      <c r="G316" s="198"/>
      <c r="H316" s="34"/>
      <c r="I316" s="49"/>
      <c r="J316" s="28"/>
      <c r="K316" s="28"/>
      <c r="L316" s="28">
        <f t="shared" si="128"/>
        <v>0</v>
      </c>
      <c r="M316" s="23">
        <f t="shared" si="129"/>
        <v>0</v>
      </c>
      <c r="N316" s="34"/>
      <c r="O316" s="49"/>
      <c r="P316" s="28"/>
      <c r="Q316" s="28"/>
      <c r="R316" s="28">
        <f t="shared" si="130"/>
        <v>0</v>
      </c>
      <c r="S316" s="23">
        <f t="shared" si="131"/>
        <v>0</v>
      </c>
      <c r="T316" s="34"/>
      <c r="U316" s="49"/>
      <c r="V316" s="28"/>
      <c r="W316" s="28"/>
      <c r="X316" s="28">
        <f t="shared" si="132"/>
        <v>0</v>
      </c>
      <c r="Y316" s="23">
        <f t="shared" si="133"/>
        <v>0</v>
      </c>
      <c r="Z316" s="152"/>
      <c r="AA316" s="152"/>
      <c r="AB316" s="154"/>
      <c r="AC316" s="155"/>
    </row>
    <row r="317" spans="1:29" x14ac:dyDescent="0.2">
      <c r="A317" s="193"/>
      <c r="B317" s="175" t="s">
        <v>43</v>
      </c>
      <c r="C317" s="177" t="s">
        <v>65</v>
      </c>
      <c r="D317" s="10">
        <v>21234</v>
      </c>
      <c r="E317" s="10" t="s">
        <v>46</v>
      </c>
      <c r="F317" s="10" t="s">
        <v>130</v>
      </c>
      <c r="G317" s="177" t="s">
        <v>1</v>
      </c>
      <c r="H317" s="35">
        <v>41.6</v>
      </c>
      <c r="I317" s="52">
        <v>8</v>
      </c>
      <c r="J317" s="64">
        <v>671</v>
      </c>
      <c r="K317" s="64">
        <v>12</v>
      </c>
      <c r="L317" s="64">
        <f t="shared" si="128"/>
        <v>8052</v>
      </c>
      <c r="M317" s="65">
        <f t="shared" si="129"/>
        <v>10</v>
      </c>
      <c r="N317" s="66">
        <v>41.6</v>
      </c>
      <c r="O317" s="67">
        <v>8</v>
      </c>
      <c r="P317" s="64">
        <v>673</v>
      </c>
      <c r="Q317" s="64">
        <v>12</v>
      </c>
      <c r="R317" s="64">
        <f t="shared" si="130"/>
        <v>8076</v>
      </c>
      <c r="S317" s="65">
        <f t="shared" si="131"/>
        <v>0</v>
      </c>
      <c r="T317" s="66">
        <v>41.6</v>
      </c>
      <c r="U317" s="67">
        <v>8</v>
      </c>
      <c r="V317" s="64">
        <v>664</v>
      </c>
      <c r="W317" s="64">
        <v>12</v>
      </c>
      <c r="X317" s="64">
        <f t="shared" si="132"/>
        <v>7968</v>
      </c>
      <c r="Y317" s="65">
        <f t="shared" si="133"/>
        <v>0</v>
      </c>
      <c r="Z317" s="183">
        <f>SUM(L317, R317, X317)+SUM(L318, R318, X318)</f>
        <v>24096</v>
      </c>
      <c r="AA317" s="185">
        <f>SUM(M317, S317, Y317)+SUM(M318, S318, Y318)</f>
        <v>10</v>
      </c>
      <c r="AB317" s="190">
        <f>IF($Z317=0, ,AA317/$Z317)</f>
        <v>4.1500664010624171E-4</v>
      </c>
      <c r="AC317" s="192" t="s">
        <v>76</v>
      </c>
    </row>
    <row r="318" spans="1:29" x14ac:dyDescent="0.2">
      <c r="A318" s="193"/>
      <c r="B318" s="176"/>
      <c r="C318" s="178"/>
      <c r="D318" s="10"/>
      <c r="E318" s="10"/>
      <c r="F318" s="10"/>
      <c r="G318" s="178"/>
      <c r="H318" s="35"/>
      <c r="I318" s="52"/>
      <c r="J318" s="64"/>
      <c r="K318" s="64"/>
      <c r="L318" s="64">
        <f t="shared" si="128"/>
        <v>0</v>
      </c>
      <c r="M318" s="65">
        <f t="shared" si="129"/>
        <v>0</v>
      </c>
      <c r="N318" s="66"/>
      <c r="O318" s="67"/>
      <c r="P318" s="64"/>
      <c r="Q318" s="64"/>
      <c r="R318" s="64">
        <f t="shared" si="130"/>
        <v>0</v>
      </c>
      <c r="S318" s="65">
        <f t="shared" si="131"/>
        <v>0</v>
      </c>
      <c r="T318" s="66"/>
      <c r="U318" s="67"/>
      <c r="V318" s="64"/>
      <c r="W318" s="64"/>
      <c r="X318" s="64">
        <f t="shared" si="132"/>
        <v>0</v>
      </c>
      <c r="Y318" s="65">
        <f t="shared" si="133"/>
        <v>0</v>
      </c>
      <c r="Z318" s="184"/>
      <c r="AA318" s="186"/>
      <c r="AB318" s="191"/>
      <c r="AC318" s="192"/>
    </row>
    <row r="319" spans="1:29" x14ac:dyDescent="0.2">
      <c r="A319" s="193"/>
      <c r="B319" s="161" t="s">
        <v>44</v>
      </c>
      <c r="C319" s="149" t="s">
        <v>67</v>
      </c>
      <c r="D319" s="9">
        <v>21231</v>
      </c>
      <c r="E319" s="9" t="s">
        <v>46</v>
      </c>
      <c r="F319" s="9" t="s">
        <v>130</v>
      </c>
      <c r="G319" s="149" t="s">
        <v>1</v>
      </c>
      <c r="H319" s="36">
        <v>41.35</v>
      </c>
      <c r="I319" s="53">
        <v>7.5</v>
      </c>
      <c r="J319" s="29">
        <v>631</v>
      </c>
      <c r="K319" s="29">
        <v>12</v>
      </c>
      <c r="L319" s="29">
        <f t="shared" si="128"/>
        <v>7572</v>
      </c>
      <c r="M319" s="30">
        <f t="shared" si="129"/>
        <v>200</v>
      </c>
      <c r="N319" s="36">
        <v>41.35</v>
      </c>
      <c r="O319" s="53">
        <v>8</v>
      </c>
      <c r="P319" s="29">
        <v>700</v>
      </c>
      <c r="Q319" s="29">
        <v>12</v>
      </c>
      <c r="R319" s="29">
        <f t="shared" si="130"/>
        <v>8400</v>
      </c>
      <c r="S319" s="30">
        <f t="shared" si="131"/>
        <v>0</v>
      </c>
      <c r="T319" s="36">
        <v>41.35</v>
      </c>
      <c r="U319" s="53">
        <v>8</v>
      </c>
      <c r="V319" s="29">
        <v>700</v>
      </c>
      <c r="W319" s="29">
        <v>12</v>
      </c>
      <c r="X319" s="29">
        <f t="shared" si="132"/>
        <v>8400</v>
      </c>
      <c r="Y319" s="30">
        <f t="shared" si="133"/>
        <v>0</v>
      </c>
      <c r="Z319" s="151">
        <f>SUM(L319, R319, X319)+SUM(L320, R320, X320)</f>
        <v>24372</v>
      </c>
      <c r="AA319" s="151">
        <f>SUM(M319, S319, Y319)+SUM(M320, S320, Y320)</f>
        <v>200</v>
      </c>
      <c r="AB319" s="153">
        <f>IF($Z319=0, ,AA319/$Z319)</f>
        <v>8.2061381913671426E-3</v>
      </c>
      <c r="AC319" s="155" t="s">
        <v>114</v>
      </c>
    </row>
    <row r="320" spans="1:29" x14ac:dyDescent="0.2">
      <c r="A320" s="193"/>
      <c r="B320" s="162"/>
      <c r="C320" s="150"/>
      <c r="D320" s="9"/>
      <c r="E320" s="9"/>
      <c r="F320" s="9"/>
      <c r="G320" s="150"/>
      <c r="H320" s="36"/>
      <c r="I320" s="53"/>
      <c r="J320" s="29"/>
      <c r="K320" s="29"/>
      <c r="L320" s="29">
        <f t="shared" si="128"/>
        <v>0</v>
      </c>
      <c r="M320" s="30">
        <f t="shared" si="129"/>
        <v>0</v>
      </c>
      <c r="N320" s="36"/>
      <c r="O320" s="53"/>
      <c r="P320" s="29"/>
      <c r="Q320" s="29"/>
      <c r="R320" s="29">
        <f t="shared" si="130"/>
        <v>0</v>
      </c>
      <c r="S320" s="30">
        <f t="shared" si="131"/>
        <v>0</v>
      </c>
      <c r="T320" s="36"/>
      <c r="U320" s="53"/>
      <c r="V320" s="29"/>
      <c r="W320" s="29"/>
      <c r="X320" s="29">
        <f t="shared" si="132"/>
        <v>0</v>
      </c>
      <c r="Y320" s="30">
        <f t="shared" si="133"/>
        <v>0</v>
      </c>
      <c r="Z320" s="152"/>
      <c r="AA320" s="152"/>
      <c r="AB320" s="154"/>
      <c r="AC320" s="156"/>
    </row>
    <row r="321" spans="1:29" x14ac:dyDescent="0.2">
      <c r="A321" s="193"/>
      <c r="B321" s="42"/>
      <c r="C321" s="42"/>
      <c r="D321" s="42"/>
      <c r="E321" s="42"/>
      <c r="F321" s="42"/>
      <c r="G321" s="42"/>
      <c r="H321" s="59"/>
      <c r="I321" s="60"/>
      <c r="J321" s="61"/>
      <c r="K321" s="61"/>
      <c r="L321" s="61"/>
      <c r="M321" s="62"/>
      <c r="N321" s="59"/>
      <c r="O321" s="60"/>
      <c r="P321" s="61"/>
      <c r="Q321" s="61"/>
      <c r="R321" s="61"/>
      <c r="S321" s="62"/>
      <c r="T321" s="59"/>
      <c r="U321" s="60"/>
      <c r="V321" s="61"/>
      <c r="W321" s="61"/>
      <c r="X321" s="61"/>
      <c r="Y321" s="62"/>
      <c r="Z321" s="62"/>
      <c r="AA321" s="62"/>
      <c r="AB321" s="63"/>
      <c r="AC321" s="45"/>
    </row>
    <row r="322" spans="1:29" x14ac:dyDescent="0.2">
      <c r="A322" s="193"/>
      <c r="B322" s="157" t="s">
        <v>32</v>
      </c>
      <c r="C322" s="158"/>
      <c r="D322" s="158"/>
      <c r="E322" s="158"/>
      <c r="F322" s="158"/>
      <c r="G322" s="77" t="s">
        <v>33</v>
      </c>
      <c r="H322" s="159" t="s">
        <v>29</v>
      </c>
      <c r="I322" s="159"/>
      <c r="J322" s="159"/>
      <c r="K322" s="159" t="s">
        <v>41</v>
      </c>
      <c r="L322" s="159"/>
      <c r="M322" s="159"/>
      <c r="N322" s="160" t="s">
        <v>63</v>
      </c>
      <c r="O322" s="159"/>
      <c r="P322" s="159"/>
      <c r="Q322" s="160" t="s">
        <v>62</v>
      </c>
      <c r="R322" s="159"/>
      <c r="S322" s="159"/>
      <c r="T322" s="160" t="s">
        <v>61</v>
      </c>
      <c r="U322" s="159"/>
      <c r="V322" s="159"/>
      <c r="W322" s="159" t="s">
        <v>39</v>
      </c>
      <c r="X322" s="159"/>
      <c r="Y322" s="159"/>
      <c r="Z322" s="159" t="s">
        <v>40</v>
      </c>
      <c r="AA322" s="159"/>
      <c r="AB322" s="159"/>
      <c r="AC322" s="166"/>
    </row>
    <row r="323" spans="1:29" x14ac:dyDescent="0.2">
      <c r="A323" s="193"/>
      <c r="B323" s="157"/>
      <c r="C323" s="158"/>
      <c r="D323" s="158"/>
      <c r="E323" s="158"/>
      <c r="F323" s="158"/>
      <c r="G323" s="77" t="s">
        <v>34</v>
      </c>
      <c r="H323" s="78" t="s">
        <v>35</v>
      </c>
      <c r="I323" s="78" t="s">
        <v>36</v>
      </c>
      <c r="J323" s="79" t="s">
        <v>37</v>
      </c>
      <c r="K323" s="78" t="s">
        <v>35</v>
      </c>
      <c r="L323" s="78" t="s">
        <v>36</v>
      </c>
      <c r="M323" s="79" t="s">
        <v>37</v>
      </c>
      <c r="N323" s="78" t="s">
        <v>35</v>
      </c>
      <c r="O323" s="78" t="s">
        <v>36</v>
      </c>
      <c r="P323" s="79" t="s">
        <v>37</v>
      </c>
      <c r="Q323" s="78" t="s">
        <v>35</v>
      </c>
      <c r="R323" s="78" t="s">
        <v>36</v>
      </c>
      <c r="S323" s="79" t="s">
        <v>37</v>
      </c>
      <c r="T323" s="78" t="s">
        <v>35</v>
      </c>
      <c r="U323" s="78" t="s">
        <v>36</v>
      </c>
      <c r="V323" s="79" t="s">
        <v>37</v>
      </c>
      <c r="W323" s="78" t="s">
        <v>35</v>
      </c>
      <c r="X323" s="78" t="s">
        <v>36</v>
      </c>
      <c r="Y323" s="79" t="s">
        <v>37</v>
      </c>
      <c r="Z323" s="78" t="s">
        <v>35</v>
      </c>
      <c r="AA323" s="78" t="s">
        <v>36</v>
      </c>
      <c r="AB323" s="79" t="s">
        <v>37</v>
      </c>
      <c r="AC323" s="167"/>
    </row>
    <row r="324" spans="1:29" x14ac:dyDescent="0.2">
      <c r="A324" s="193"/>
      <c r="B324" s="168" t="str">
        <f t="shared" ref="B324:C329" si="134">IF(ISBLANK(B315), "-", B315)</f>
        <v>2A</v>
      </c>
      <c r="C324" s="169" t="str">
        <f t="shared" si="134"/>
        <v>JAR-007B</v>
      </c>
      <c r="D324" s="73">
        <v>21231</v>
      </c>
      <c r="E324" s="73" t="str">
        <f t="shared" ref="E324:F329" si="135">IF(ISBLANK(E315), "-", E315)</f>
        <v>White</v>
      </c>
      <c r="F324" s="73" t="str">
        <f t="shared" si="135"/>
        <v>RPET</v>
      </c>
      <c r="G324" s="170"/>
      <c r="H324" s="74">
        <v>400</v>
      </c>
      <c r="I324" s="74"/>
      <c r="J324" s="74"/>
      <c r="K324" s="74"/>
      <c r="L324" s="74"/>
      <c r="M324" s="74"/>
      <c r="N324" s="75"/>
      <c r="O324" s="75"/>
      <c r="P324" s="75"/>
      <c r="Q324" s="75"/>
      <c r="R324" s="75"/>
      <c r="S324" s="74"/>
      <c r="T324" s="75"/>
      <c r="U324" s="75"/>
      <c r="V324" s="75"/>
      <c r="W324" s="75"/>
      <c r="X324" s="75"/>
      <c r="Y324" s="74"/>
      <c r="Z324" s="74"/>
      <c r="AA324" s="74"/>
      <c r="AB324" s="76"/>
      <c r="AC324" s="167"/>
    </row>
    <row r="325" spans="1:29" x14ac:dyDescent="0.2">
      <c r="A325" s="193"/>
      <c r="B325" s="168" t="str">
        <f t="shared" si="134"/>
        <v>-</v>
      </c>
      <c r="C325" s="169" t="str">
        <f t="shared" si="134"/>
        <v>-</v>
      </c>
      <c r="D325" s="73" t="str">
        <f>IF(ISBLANK(D316), "-", D316)</f>
        <v>-</v>
      </c>
      <c r="E325" s="73" t="str">
        <f t="shared" si="135"/>
        <v>-</v>
      </c>
      <c r="F325" s="73" t="str">
        <f t="shared" si="135"/>
        <v>-</v>
      </c>
      <c r="G325" s="171"/>
      <c r="H325" s="75"/>
      <c r="I325" s="75"/>
      <c r="J325" s="75"/>
      <c r="K325" s="75"/>
      <c r="L325" s="75"/>
      <c r="M325" s="74"/>
      <c r="N325" s="75"/>
      <c r="O325" s="75"/>
      <c r="P325" s="75"/>
      <c r="Q325" s="75"/>
      <c r="R325" s="75"/>
      <c r="S325" s="74"/>
      <c r="T325" s="75"/>
      <c r="U325" s="75"/>
      <c r="V325" s="75"/>
      <c r="W325" s="75"/>
      <c r="X325" s="75"/>
      <c r="Y325" s="74"/>
      <c r="Z325" s="74"/>
      <c r="AA325" s="74"/>
      <c r="AB325" s="76"/>
      <c r="AC325" s="167"/>
    </row>
    <row r="326" spans="1:29" x14ac:dyDescent="0.2">
      <c r="A326" s="193"/>
      <c r="B326" s="173" t="str">
        <f t="shared" si="134"/>
        <v>3A</v>
      </c>
      <c r="C326" s="174" t="str">
        <f t="shared" si="134"/>
        <v>JAR-014</v>
      </c>
      <c r="D326" s="102">
        <f>IF(ISBLANK(D317), "-", D317)</f>
        <v>21234</v>
      </c>
      <c r="E326" s="102" t="str">
        <f t="shared" si="135"/>
        <v>White</v>
      </c>
      <c r="F326" s="102" t="str">
        <f t="shared" si="135"/>
        <v>RPET</v>
      </c>
      <c r="G326" s="171"/>
      <c r="H326" s="94">
        <v>10</v>
      </c>
      <c r="I326" s="94"/>
      <c r="J326" s="94"/>
      <c r="K326" s="94"/>
      <c r="L326" s="94"/>
      <c r="M326" s="94"/>
      <c r="N326" s="95"/>
      <c r="O326" s="95"/>
      <c r="P326" s="95"/>
      <c r="Q326" s="95"/>
      <c r="R326" s="95"/>
      <c r="S326" s="94"/>
      <c r="T326" s="95"/>
      <c r="U326" s="95"/>
      <c r="V326" s="95"/>
      <c r="W326" s="95"/>
      <c r="X326" s="95"/>
      <c r="Y326" s="94"/>
      <c r="Z326" s="94"/>
      <c r="AA326" s="94"/>
      <c r="AB326" s="96"/>
      <c r="AC326" s="167"/>
    </row>
    <row r="327" spans="1:29" x14ac:dyDescent="0.2">
      <c r="A327" s="193"/>
      <c r="B327" s="173" t="str">
        <f t="shared" si="134"/>
        <v>-</v>
      </c>
      <c r="C327" s="174" t="str">
        <f t="shared" si="134"/>
        <v>-</v>
      </c>
      <c r="D327" s="102" t="str">
        <f>IF(ISBLANK(D318), "-", D318)</f>
        <v>-</v>
      </c>
      <c r="E327" s="102" t="str">
        <f t="shared" si="135"/>
        <v>-</v>
      </c>
      <c r="F327" s="102" t="str">
        <f t="shared" si="135"/>
        <v>-</v>
      </c>
      <c r="G327" s="171"/>
      <c r="H327" s="95"/>
      <c r="I327" s="95"/>
      <c r="J327" s="95"/>
      <c r="K327" s="95"/>
      <c r="L327" s="95"/>
      <c r="M327" s="94"/>
      <c r="N327" s="95"/>
      <c r="O327" s="95"/>
      <c r="P327" s="95"/>
      <c r="Q327" s="95"/>
      <c r="R327" s="95"/>
      <c r="S327" s="94"/>
      <c r="T327" s="95"/>
      <c r="U327" s="95"/>
      <c r="V327" s="95"/>
      <c r="W327" s="95"/>
      <c r="X327" s="95"/>
      <c r="Y327" s="94"/>
      <c r="Z327" s="94"/>
      <c r="AA327" s="94"/>
      <c r="AB327" s="96"/>
      <c r="AC327" s="167"/>
    </row>
    <row r="328" spans="1:29" x14ac:dyDescent="0.2">
      <c r="A328" s="193"/>
      <c r="B328" s="168" t="str">
        <f t="shared" si="134"/>
        <v>4A</v>
      </c>
      <c r="C328" s="169" t="str">
        <f t="shared" si="134"/>
        <v>JAR-007A</v>
      </c>
      <c r="D328" s="73">
        <f>IF(ISBLANK(D319), "-", D319)</f>
        <v>21231</v>
      </c>
      <c r="E328" s="73" t="str">
        <f t="shared" si="135"/>
        <v>White</v>
      </c>
      <c r="F328" s="73" t="str">
        <f t="shared" si="135"/>
        <v>RPET</v>
      </c>
      <c r="G328" s="171"/>
      <c r="H328" s="75">
        <v>200</v>
      </c>
      <c r="I328" s="75"/>
      <c r="J328" s="75"/>
      <c r="K328" s="75"/>
      <c r="L328" s="75"/>
      <c r="M328" s="74"/>
      <c r="N328" s="75"/>
      <c r="O328" s="75"/>
      <c r="P328" s="75"/>
      <c r="Q328" s="75"/>
      <c r="R328" s="75"/>
      <c r="S328" s="74"/>
      <c r="T328" s="75"/>
      <c r="U328" s="75"/>
      <c r="V328" s="75"/>
      <c r="W328" s="75"/>
      <c r="X328" s="75"/>
      <c r="Y328" s="74"/>
      <c r="Z328" s="74"/>
      <c r="AA328" s="74"/>
      <c r="AB328" s="76"/>
      <c r="AC328" s="167"/>
    </row>
    <row r="329" spans="1:29" x14ac:dyDescent="0.2">
      <c r="A329" s="193"/>
      <c r="B329" s="168" t="str">
        <f t="shared" si="134"/>
        <v>-</v>
      </c>
      <c r="C329" s="169" t="str">
        <f t="shared" si="134"/>
        <v>-</v>
      </c>
      <c r="D329" s="73" t="str">
        <f>IF(ISBLANK(D320), "-", D320)</f>
        <v>-</v>
      </c>
      <c r="E329" s="73" t="str">
        <f t="shared" si="135"/>
        <v>-</v>
      </c>
      <c r="F329" s="73" t="str">
        <f t="shared" si="135"/>
        <v>-</v>
      </c>
      <c r="G329" s="172"/>
      <c r="H329" s="75"/>
      <c r="I329" s="75"/>
      <c r="J329" s="75"/>
      <c r="K329" s="75"/>
      <c r="L329" s="75"/>
      <c r="M329" s="74"/>
      <c r="N329" s="75"/>
      <c r="O329" s="75"/>
      <c r="P329" s="75"/>
      <c r="Q329" s="75"/>
      <c r="R329" s="75"/>
      <c r="S329" s="74"/>
      <c r="T329" s="75"/>
      <c r="U329" s="75"/>
      <c r="V329" s="75"/>
      <c r="W329" s="75"/>
      <c r="X329" s="75"/>
      <c r="Y329" s="74"/>
      <c r="Z329" s="74"/>
      <c r="AA329" s="74"/>
      <c r="AB329" s="76"/>
      <c r="AC329" s="167"/>
    </row>
    <row r="331" spans="1:29" ht="12.75" customHeight="1" x14ac:dyDescent="0.2">
      <c r="A331" s="193">
        <v>44730</v>
      </c>
      <c r="B331" s="16" t="s">
        <v>20</v>
      </c>
      <c r="C331" s="17"/>
      <c r="D331" s="18" t="s">
        <v>21</v>
      </c>
      <c r="E331" s="17">
        <v>0</v>
      </c>
      <c r="F331" s="24"/>
      <c r="G331" s="25"/>
      <c r="H331" s="38"/>
      <c r="I331" s="51"/>
      <c r="J331" s="57"/>
      <c r="K331" s="25"/>
      <c r="L331" s="18"/>
      <c r="M331" s="25"/>
      <c r="N331" s="38"/>
      <c r="O331" s="51"/>
      <c r="P331" s="57"/>
      <c r="Q331" s="25"/>
      <c r="R331" s="18"/>
      <c r="S331" s="25"/>
      <c r="T331" s="38"/>
      <c r="U331" s="51"/>
      <c r="V331" s="57"/>
      <c r="W331" s="25"/>
      <c r="X331" s="18"/>
      <c r="Y331" s="18"/>
      <c r="Z331" s="25"/>
      <c r="AA331" s="18"/>
      <c r="AB331" s="18"/>
      <c r="AC331" s="26"/>
    </row>
    <row r="332" spans="1:29" ht="12.75" customHeight="1" x14ac:dyDescent="0.2">
      <c r="A332" s="193"/>
      <c r="B332" s="157" t="s">
        <v>3</v>
      </c>
      <c r="C332" s="158" t="s">
        <v>0</v>
      </c>
      <c r="D332" s="158" t="s">
        <v>10</v>
      </c>
      <c r="E332" s="158" t="s">
        <v>4</v>
      </c>
      <c r="F332" s="158" t="s">
        <v>9</v>
      </c>
      <c r="G332" s="180" t="s">
        <v>5</v>
      </c>
      <c r="H332" s="187" t="s">
        <v>6</v>
      </c>
      <c r="I332" s="188"/>
      <c r="J332" s="188"/>
      <c r="K332" s="188"/>
      <c r="L332" s="188"/>
      <c r="M332" s="189"/>
      <c r="N332" s="187" t="s">
        <v>7</v>
      </c>
      <c r="O332" s="188"/>
      <c r="P332" s="188"/>
      <c r="Q332" s="188"/>
      <c r="R332" s="188"/>
      <c r="S332" s="189"/>
      <c r="T332" s="187" t="s">
        <v>8</v>
      </c>
      <c r="U332" s="188"/>
      <c r="V332" s="188"/>
      <c r="W332" s="188"/>
      <c r="X332" s="188"/>
      <c r="Y332" s="189"/>
      <c r="Z332" s="163" t="s">
        <v>16</v>
      </c>
      <c r="AA332" s="163" t="s">
        <v>66</v>
      </c>
      <c r="AB332" s="163" t="s">
        <v>27</v>
      </c>
      <c r="AC332" s="181" t="s">
        <v>11</v>
      </c>
    </row>
    <row r="333" spans="1:29" ht="24" x14ac:dyDescent="0.2">
      <c r="A333" s="193"/>
      <c r="B333" s="157"/>
      <c r="C333" s="158"/>
      <c r="D333" s="158"/>
      <c r="E333" s="158"/>
      <c r="F333" s="158"/>
      <c r="G333" s="180"/>
      <c r="H333" s="39" t="s">
        <v>24</v>
      </c>
      <c r="I333" s="98" t="s">
        <v>25</v>
      </c>
      <c r="J333" s="99" t="s">
        <v>28</v>
      </c>
      <c r="K333" s="100" t="s">
        <v>22</v>
      </c>
      <c r="L333" s="101" t="s">
        <v>2</v>
      </c>
      <c r="M333" s="27" t="s">
        <v>14</v>
      </c>
      <c r="N333" s="39" t="s">
        <v>24</v>
      </c>
      <c r="O333" s="98" t="s">
        <v>25</v>
      </c>
      <c r="P333" s="99" t="s">
        <v>28</v>
      </c>
      <c r="Q333" s="100" t="s">
        <v>22</v>
      </c>
      <c r="R333" s="27" t="s">
        <v>2</v>
      </c>
      <c r="S333" s="27" t="s">
        <v>14</v>
      </c>
      <c r="T333" s="39" t="s">
        <v>24</v>
      </c>
      <c r="U333" s="98" t="s">
        <v>25</v>
      </c>
      <c r="V333" s="99" t="s">
        <v>28</v>
      </c>
      <c r="W333" s="100" t="s">
        <v>22</v>
      </c>
      <c r="X333" s="27" t="s">
        <v>2</v>
      </c>
      <c r="Y333" s="27" t="s">
        <v>14</v>
      </c>
      <c r="Z333" s="164"/>
      <c r="AA333" s="165"/>
      <c r="AB333" s="165"/>
      <c r="AC333" s="182"/>
    </row>
    <row r="334" spans="1:29" ht="12.75" customHeight="1" x14ac:dyDescent="0.2">
      <c r="A334" s="193"/>
      <c r="B334" s="194" t="s">
        <v>42</v>
      </c>
      <c r="C334" s="196" t="s">
        <v>45</v>
      </c>
      <c r="D334" s="11">
        <v>21231</v>
      </c>
      <c r="E334" s="11" t="s">
        <v>46</v>
      </c>
      <c r="F334" s="11" t="s">
        <v>130</v>
      </c>
      <c r="G334" s="196" t="s">
        <v>1</v>
      </c>
      <c r="H334" s="34">
        <v>41.45</v>
      </c>
      <c r="I334" s="49">
        <v>8</v>
      </c>
      <c r="J334" s="28">
        <v>668</v>
      </c>
      <c r="K334" s="28">
        <v>12</v>
      </c>
      <c r="L334" s="28">
        <f t="shared" ref="L334:L339" si="136">IF(ISBLANK(J334), , J334*K334)</f>
        <v>8016</v>
      </c>
      <c r="M334" s="23">
        <f t="shared" ref="M334:M339" si="137">H343+K343+N343+Q343+T343+W343+Z343</f>
        <v>20</v>
      </c>
      <c r="N334" s="34">
        <v>41.45</v>
      </c>
      <c r="O334" s="49">
        <v>8</v>
      </c>
      <c r="P334" s="28">
        <v>701</v>
      </c>
      <c r="Q334" s="28">
        <v>12</v>
      </c>
      <c r="R334" s="28">
        <f t="shared" ref="R334:R339" si="138">IF(ISBLANK(P334), , P334*Q334)</f>
        <v>8412</v>
      </c>
      <c r="S334" s="23">
        <f t="shared" ref="S334:S339" si="139">I343+L343+O343+R343+U343+X343+AA343</f>
        <v>0</v>
      </c>
      <c r="T334" s="34">
        <v>41.45</v>
      </c>
      <c r="U334" s="49">
        <v>8</v>
      </c>
      <c r="V334" s="28">
        <v>702</v>
      </c>
      <c r="W334" s="28">
        <v>12</v>
      </c>
      <c r="X334" s="28">
        <f t="shared" ref="X334:X339" si="140">IF(ISBLANK(V334), , V334*W334)</f>
        <v>8424</v>
      </c>
      <c r="Y334" s="23">
        <f t="shared" ref="Y334:Y339" si="141">J343+M343+P343+S343+V343+Y343+AB343</f>
        <v>0</v>
      </c>
      <c r="Z334" s="151">
        <f>SUM(L334, R334, X334)+SUM(L335, R335, X335)</f>
        <v>24852</v>
      </c>
      <c r="AA334" s="151">
        <f>SUM(M334, S334, Y334)+SUM(M335, S335, Y335)</f>
        <v>20</v>
      </c>
      <c r="AB334" s="153">
        <f>IF($Z334=0, ,AA334/$Z334)</f>
        <v>8.047642040882022E-4</v>
      </c>
      <c r="AC334" s="179"/>
    </row>
    <row r="335" spans="1:29" ht="12.75" customHeight="1" x14ac:dyDescent="0.2">
      <c r="A335" s="193"/>
      <c r="B335" s="195"/>
      <c r="C335" s="197"/>
      <c r="D335" s="11"/>
      <c r="E335" s="11"/>
      <c r="F335" s="11"/>
      <c r="G335" s="198"/>
      <c r="H335" s="34"/>
      <c r="I335" s="49"/>
      <c r="J335" s="28"/>
      <c r="K335" s="28"/>
      <c r="L335" s="28">
        <f t="shared" si="136"/>
        <v>0</v>
      </c>
      <c r="M335" s="23">
        <f t="shared" si="137"/>
        <v>0</v>
      </c>
      <c r="N335" s="34"/>
      <c r="O335" s="49"/>
      <c r="P335" s="28"/>
      <c r="Q335" s="28"/>
      <c r="R335" s="28">
        <f t="shared" si="138"/>
        <v>0</v>
      </c>
      <c r="S335" s="23">
        <f t="shared" si="139"/>
        <v>0</v>
      </c>
      <c r="T335" s="34"/>
      <c r="U335" s="49"/>
      <c r="V335" s="28"/>
      <c r="W335" s="28"/>
      <c r="X335" s="28">
        <f t="shared" si="140"/>
        <v>0</v>
      </c>
      <c r="Y335" s="23">
        <f t="shared" si="141"/>
        <v>0</v>
      </c>
      <c r="Z335" s="152"/>
      <c r="AA335" s="152"/>
      <c r="AB335" s="154"/>
      <c r="AC335" s="155"/>
    </row>
    <row r="336" spans="1:29" ht="12.75" customHeight="1" x14ac:dyDescent="0.2">
      <c r="A336" s="193"/>
      <c r="B336" s="175" t="s">
        <v>43</v>
      </c>
      <c r="C336" s="177" t="s">
        <v>65</v>
      </c>
      <c r="D336" s="10">
        <v>21234</v>
      </c>
      <c r="E336" s="10" t="s">
        <v>46</v>
      </c>
      <c r="F336" s="10" t="s">
        <v>130</v>
      </c>
      <c r="G336" s="177" t="s">
        <v>1</v>
      </c>
      <c r="H336" s="35">
        <v>41.6</v>
      </c>
      <c r="I336" s="52">
        <v>8</v>
      </c>
      <c r="J336" s="64">
        <v>696</v>
      </c>
      <c r="K336" s="64">
        <v>12</v>
      </c>
      <c r="L336" s="64">
        <f t="shared" si="136"/>
        <v>8352</v>
      </c>
      <c r="M336" s="65">
        <f t="shared" si="137"/>
        <v>10</v>
      </c>
      <c r="N336" s="66">
        <v>41.6</v>
      </c>
      <c r="O336" s="67">
        <v>8</v>
      </c>
      <c r="P336" s="64">
        <v>685</v>
      </c>
      <c r="Q336" s="64">
        <v>12</v>
      </c>
      <c r="R336" s="64">
        <f t="shared" si="138"/>
        <v>8220</v>
      </c>
      <c r="S336" s="65">
        <f t="shared" si="139"/>
        <v>0</v>
      </c>
      <c r="T336" s="66">
        <v>41.6</v>
      </c>
      <c r="U336" s="67">
        <v>8</v>
      </c>
      <c r="V336" s="64">
        <v>700</v>
      </c>
      <c r="W336" s="64">
        <v>12</v>
      </c>
      <c r="X336" s="64">
        <f t="shared" si="140"/>
        <v>8400</v>
      </c>
      <c r="Y336" s="65">
        <f t="shared" si="141"/>
        <v>0</v>
      </c>
      <c r="Z336" s="183">
        <f>SUM(L336, R336, X336)+SUM(L337, R337, X337)</f>
        <v>24972</v>
      </c>
      <c r="AA336" s="185">
        <f>SUM(M336, S336, Y336)+SUM(M337, S337, Y337)</f>
        <v>10</v>
      </c>
      <c r="AB336" s="190">
        <f>IF($Z336=0, ,AA336/$Z336)</f>
        <v>4.0044850232260129E-4</v>
      </c>
      <c r="AC336" s="192"/>
    </row>
    <row r="337" spans="1:29" ht="12.75" customHeight="1" x14ac:dyDescent="0.2">
      <c r="A337" s="193"/>
      <c r="B337" s="176"/>
      <c r="C337" s="178"/>
      <c r="D337" s="10"/>
      <c r="E337" s="10"/>
      <c r="F337" s="10"/>
      <c r="G337" s="178"/>
      <c r="H337" s="35"/>
      <c r="I337" s="52"/>
      <c r="J337" s="64"/>
      <c r="K337" s="64"/>
      <c r="L337" s="64">
        <f t="shared" si="136"/>
        <v>0</v>
      </c>
      <c r="M337" s="65">
        <f t="shared" si="137"/>
        <v>0</v>
      </c>
      <c r="N337" s="66"/>
      <c r="O337" s="67"/>
      <c r="P337" s="64"/>
      <c r="Q337" s="64"/>
      <c r="R337" s="64">
        <f t="shared" si="138"/>
        <v>0</v>
      </c>
      <c r="S337" s="65">
        <f t="shared" si="139"/>
        <v>0</v>
      </c>
      <c r="T337" s="66"/>
      <c r="U337" s="67"/>
      <c r="V337" s="64"/>
      <c r="W337" s="64"/>
      <c r="X337" s="64">
        <f t="shared" si="140"/>
        <v>0</v>
      </c>
      <c r="Y337" s="65">
        <f t="shared" si="141"/>
        <v>0</v>
      </c>
      <c r="Z337" s="184"/>
      <c r="AA337" s="186"/>
      <c r="AB337" s="191"/>
      <c r="AC337" s="192"/>
    </row>
    <row r="338" spans="1:29" ht="12.75" customHeight="1" x14ac:dyDescent="0.2">
      <c r="A338" s="193"/>
      <c r="B338" s="161" t="s">
        <v>44</v>
      </c>
      <c r="C338" s="149" t="s">
        <v>67</v>
      </c>
      <c r="D338" s="9">
        <v>21231</v>
      </c>
      <c r="E338" s="9" t="s">
        <v>46</v>
      </c>
      <c r="F338" s="9" t="s">
        <v>130</v>
      </c>
      <c r="G338" s="149" t="s">
        <v>1</v>
      </c>
      <c r="H338" s="36">
        <v>41.35</v>
      </c>
      <c r="I338" s="53">
        <v>8</v>
      </c>
      <c r="J338" s="29">
        <v>685</v>
      </c>
      <c r="K338" s="29">
        <v>12</v>
      </c>
      <c r="L338" s="29">
        <f t="shared" si="136"/>
        <v>8220</v>
      </c>
      <c r="M338" s="30">
        <f t="shared" si="137"/>
        <v>10</v>
      </c>
      <c r="N338" s="36">
        <v>41.35</v>
      </c>
      <c r="O338" s="53">
        <v>8</v>
      </c>
      <c r="P338" s="29">
        <v>702</v>
      </c>
      <c r="Q338" s="29">
        <v>12</v>
      </c>
      <c r="R338" s="29">
        <f t="shared" si="138"/>
        <v>8424</v>
      </c>
      <c r="S338" s="30">
        <f t="shared" si="139"/>
        <v>0</v>
      </c>
      <c r="T338" s="36">
        <v>41.35</v>
      </c>
      <c r="U338" s="53">
        <v>8</v>
      </c>
      <c r="V338" s="29">
        <v>702</v>
      </c>
      <c r="W338" s="29">
        <v>12</v>
      </c>
      <c r="X338" s="29">
        <f t="shared" si="140"/>
        <v>8424</v>
      </c>
      <c r="Y338" s="30">
        <f t="shared" si="141"/>
        <v>0</v>
      </c>
      <c r="Z338" s="151">
        <f>SUM(L338, R338, X338)+SUM(L339, R339, X339)</f>
        <v>25068</v>
      </c>
      <c r="AA338" s="151">
        <f>SUM(M338, S338, Y338)+SUM(M339, S339, Y339)</f>
        <v>10</v>
      </c>
      <c r="AB338" s="153">
        <f>IF($Z338=0, ,AA338/$Z338)</f>
        <v>3.9891495133237594E-4</v>
      </c>
      <c r="AC338" s="155"/>
    </row>
    <row r="339" spans="1:29" ht="12.75" customHeight="1" x14ac:dyDescent="0.2">
      <c r="A339" s="193"/>
      <c r="B339" s="162"/>
      <c r="C339" s="150"/>
      <c r="D339" s="9"/>
      <c r="E339" s="9"/>
      <c r="F339" s="9"/>
      <c r="G339" s="150"/>
      <c r="H339" s="36"/>
      <c r="I339" s="53"/>
      <c r="J339" s="29"/>
      <c r="K339" s="29"/>
      <c r="L339" s="29">
        <f t="shared" si="136"/>
        <v>0</v>
      </c>
      <c r="M339" s="30">
        <f t="shared" si="137"/>
        <v>0</v>
      </c>
      <c r="N339" s="36"/>
      <c r="O339" s="53"/>
      <c r="P339" s="29"/>
      <c r="Q339" s="29"/>
      <c r="R339" s="29">
        <f t="shared" si="138"/>
        <v>0</v>
      </c>
      <c r="S339" s="30">
        <f t="shared" si="139"/>
        <v>0</v>
      </c>
      <c r="T339" s="36"/>
      <c r="U339" s="53"/>
      <c r="V339" s="29"/>
      <c r="W339" s="29"/>
      <c r="X339" s="29">
        <f t="shared" si="140"/>
        <v>0</v>
      </c>
      <c r="Y339" s="30">
        <f t="shared" si="141"/>
        <v>0</v>
      </c>
      <c r="Z339" s="152"/>
      <c r="AA339" s="152"/>
      <c r="AB339" s="154"/>
      <c r="AC339" s="156"/>
    </row>
    <row r="340" spans="1:29" ht="12.75" customHeight="1" x14ac:dyDescent="0.2">
      <c r="A340" s="193"/>
      <c r="B340" s="42"/>
      <c r="C340" s="42"/>
      <c r="D340" s="42"/>
      <c r="E340" s="42"/>
      <c r="F340" s="42"/>
      <c r="G340" s="42"/>
      <c r="H340" s="59"/>
      <c r="I340" s="60"/>
      <c r="J340" s="61"/>
      <c r="K340" s="61"/>
      <c r="L340" s="61"/>
      <c r="M340" s="62"/>
      <c r="N340" s="59"/>
      <c r="O340" s="60"/>
      <c r="P340" s="61"/>
      <c r="Q340" s="61"/>
      <c r="R340" s="61"/>
      <c r="S340" s="62"/>
      <c r="T340" s="59"/>
      <c r="U340" s="60"/>
      <c r="V340" s="61"/>
      <c r="W340" s="61"/>
      <c r="X340" s="61"/>
      <c r="Y340" s="62"/>
      <c r="Z340" s="62"/>
      <c r="AA340" s="62"/>
      <c r="AB340" s="63"/>
      <c r="AC340" s="45"/>
    </row>
    <row r="341" spans="1:29" ht="12.75" customHeight="1" x14ac:dyDescent="0.2">
      <c r="A341" s="193"/>
      <c r="B341" s="157" t="s">
        <v>32</v>
      </c>
      <c r="C341" s="158"/>
      <c r="D341" s="158"/>
      <c r="E341" s="158"/>
      <c r="F341" s="158"/>
      <c r="G341" s="77" t="s">
        <v>33</v>
      </c>
      <c r="H341" s="159" t="s">
        <v>29</v>
      </c>
      <c r="I341" s="159"/>
      <c r="J341" s="159"/>
      <c r="K341" s="159" t="s">
        <v>41</v>
      </c>
      <c r="L341" s="159"/>
      <c r="M341" s="159"/>
      <c r="N341" s="160" t="s">
        <v>63</v>
      </c>
      <c r="O341" s="159"/>
      <c r="P341" s="159"/>
      <c r="Q341" s="160" t="s">
        <v>62</v>
      </c>
      <c r="R341" s="159"/>
      <c r="S341" s="159"/>
      <c r="T341" s="160" t="s">
        <v>61</v>
      </c>
      <c r="U341" s="159"/>
      <c r="V341" s="159"/>
      <c r="W341" s="159" t="s">
        <v>39</v>
      </c>
      <c r="X341" s="159"/>
      <c r="Y341" s="159"/>
      <c r="Z341" s="159" t="s">
        <v>40</v>
      </c>
      <c r="AA341" s="159"/>
      <c r="AB341" s="159"/>
      <c r="AC341" s="166"/>
    </row>
    <row r="342" spans="1:29" ht="12.75" customHeight="1" x14ac:dyDescent="0.2">
      <c r="A342" s="193"/>
      <c r="B342" s="157"/>
      <c r="C342" s="158"/>
      <c r="D342" s="158"/>
      <c r="E342" s="158"/>
      <c r="F342" s="158"/>
      <c r="G342" s="77" t="s">
        <v>34</v>
      </c>
      <c r="H342" s="78" t="s">
        <v>35</v>
      </c>
      <c r="I342" s="78" t="s">
        <v>36</v>
      </c>
      <c r="J342" s="79" t="s">
        <v>37</v>
      </c>
      <c r="K342" s="78" t="s">
        <v>35</v>
      </c>
      <c r="L342" s="78" t="s">
        <v>36</v>
      </c>
      <c r="M342" s="79" t="s">
        <v>37</v>
      </c>
      <c r="N342" s="78" t="s">
        <v>35</v>
      </c>
      <c r="O342" s="78" t="s">
        <v>36</v>
      </c>
      <c r="P342" s="79" t="s">
        <v>37</v>
      </c>
      <c r="Q342" s="78" t="s">
        <v>35</v>
      </c>
      <c r="R342" s="78" t="s">
        <v>36</v>
      </c>
      <c r="S342" s="79" t="s">
        <v>37</v>
      </c>
      <c r="T342" s="78" t="s">
        <v>35</v>
      </c>
      <c r="U342" s="78" t="s">
        <v>36</v>
      </c>
      <c r="V342" s="79" t="s">
        <v>37</v>
      </c>
      <c r="W342" s="78" t="s">
        <v>35</v>
      </c>
      <c r="X342" s="78" t="s">
        <v>36</v>
      </c>
      <c r="Y342" s="79" t="s">
        <v>37</v>
      </c>
      <c r="Z342" s="78" t="s">
        <v>35</v>
      </c>
      <c r="AA342" s="78" t="s">
        <v>36</v>
      </c>
      <c r="AB342" s="79" t="s">
        <v>37</v>
      </c>
      <c r="AC342" s="167"/>
    </row>
    <row r="343" spans="1:29" ht="12.75" customHeight="1" x14ac:dyDescent="0.2">
      <c r="A343" s="193"/>
      <c r="B343" s="168" t="str">
        <f t="shared" ref="B343:C348" si="142">IF(ISBLANK(B334), "-", B334)</f>
        <v>2A</v>
      </c>
      <c r="C343" s="169" t="str">
        <f t="shared" si="142"/>
        <v>JAR-007B</v>
      </c>
      <c r="D343" s="73">
        <v>21231</v>
      </c>
      <c r="E343" s="73" t="str">
        <f t="shared" ref="E343:F348" si="143">IF(ISBLANK(E334), "-", E334)</f>
        <v>White</v>
      </c>
      <c r="F343" s="73" t="str">
        <f t="shared" si="143"/>
        <v>RPET</v>
      </c>
      <c r="G343" s="170"/>
      <c r="H343" s="74">
        <v>20</v>
      </c>
      <c r="I343" s="74"/>
      <c r="J343" s="74"/>
      <c r="K343" s="74"/>
      <c r="L343" s="74"/>
      <c r="M343" s="74"/>
      <c r="N343" s="75"/>
      <c r="O343" s="75"/>
      <c r="P343" s="75"/>
      <c r="Q343" s="75"/>
      <c r="R343" s="75"/>
      <c r="S343" s="74"/>
      <c r="T343" s="75"/>
      <c r="U343" s="75"/>
      <c r="V343" s="75"/>
      <c r="W343" s="75"/>
      <c r="X343" s="75"/>
      <c r="Y343" s="74"/>
      <c r="Z343" s="74"/>
      <c r="AA343" s="74"/>
      <c r="AB343" s="76"/>
      <c r="AC343" s="167"/>
    </row>
    <row r="344" spans="1:29" ht="12.75" customHeight="1" x14ac:dyDescent="0.2">
      <c r="A344" s="193"/>
      <c r="B344" s="168" t="str">
        <f t="shared" si="142"/>
        <v>-</v>
      </c>
      <c r="C344" s="169" t="str">
        <f t="shared" si="142"/>
        <v>-</v>
      </c>
      <c r="D344" s="73" t="str">
        <f>IF(ISBLANK(D335), "-", D335)</f>
        <v>-</v>
      </c>
      <c r="E344" s="73" t="str">
        <f t="shared" si="143"/>
        <v>-</v>
      </c>
      <c r="F344" s="73" t="str">
        <f t="shared" si="143"/>
        <v>-</v>
      </c>
      <c r="G344" s="171"/>
      <c r="H344" s="75"/>
      <c r="I344" s="75"/>
      <c r="J344" s="75"/>
      <c r="K344" s="75"/>
      <c r="L344" s="75"/>
      <c r="M344" s="74"/>
      <c r="N344" s="75"/>
      <c r="O344" s="75"/>
      <c r="P344" s="75"/>
      <c r="Q344" s="75"/>
      <c r="R344" s="75"/>
      <c r="S344" s="74"/>
      <c r="T344" s="75"/>
      <c r="U344" s="75"/>
      <c r="V344" s="75"/>
      <c r="W344" s="75"/>
      <c r="X344" s="75"/>
      <c r="Y344" s="74"/>
      <c r="Z344" s="74"/>
      <c r="AA344" s="74"/>
      <c r="AB344" s="76"/>
      <c r="AC344" s="167"/>
    </row>
    <row r="345" spans="1:29" ht="12.75" customHeight="1" x14ac:dyDescent="0.2">
      <c r="A345" s="193"/>
      <c r="B345" s="173" t="str">
        <f t="shared" si="142"/>
        <v>3A</v>
      </c>
      <c r="C345" s="174" t="str">
        <f t="shared" si="142"/>
        <v>JAR-014</v>
      </c>
      <c r="D345" s="102">
        <f>IF(ISBLANK(D336), "-", D336)</f>
        <v>21234</v>
      </c>
      <c r="E345" s="102" t="str">
        <f t="shared" si="143"/>
        <v>White</v>
      </c>
      <c r="F345" s="102" t="str">
        <f t="shared" si="143"/>
        <v>RPET</v>
      </c>
      <c r="G345" s="171"/>
      <c r="H345" s="94">
        <v>10</v>
      </c>
      <c r="I345" s="94"/>
      <c r="J345" s="94"/>
      <c r="K345" s="94"/>
      <c r="L345" s="94"/>
      <c r="M345" s="94"/>
      <c r="N345" s="95"/>
      <c r="O345" s="95"/>
      <c r="P345" s="95"/>
      <c r="Q345" s="95"/>
      <c r="R345" s="95"/>
      <c r="S345" s="94"/>
      <c r="T345" s="95"/>
      <c r="U345" s="95"/>
      <c r="V345" s="95"/>
      <c r="W345" s="95"/>
      <c r="X345" s="95"/>
      <c r="Y345" s="94"/>
      <c r="Z345" s="94"/>
      <c r="AA345" s="94"/>
      <c r="AB345" s="96"/>
      <c r="AC345" s="167"/>
    </row>
    <row r="346" spans="1:29" ht="12.75" customHeight="1" x14ac:dyDescent="0.2">
      <c r="A346" s="193"/>
      <c r="B346" s="173" t="str">
        <f t="shared" si="142"/>
        <v>-</v>
      </c>
      <c r="C346" s="174" t="str">
        <f t="shared" si="142"/>
        <v>-</v>
      </c>
      <c r="D346" s="102" t="str">
        <f>IF(ISBLANK(D337), "-", D337)</f>
        <v>-</v>
      </c>
      <c r="E346" s="102" t="str">
        <f t="shared" si="143"/>
        <v>-</v>
      </c>
      <c r="F346" s="102" t="str">
        <f t="shared" si="143"/>
        <v>-</v>
      </c>
      <c r="G346" s="171"/>
      <c r="H346" s="95"/>
      <c r="I346" s="95"/>
      <c r="J346" s="95"/>
      <c r="K346" s="95"/>
      <c r="L346" s="95"/>
      <c r="M346" s="94"/>
      <c r="N346" s="95"/>
      <c r="O346" s="95"/>
      <c r="P346" s="95"/>
      <c r="Q346" s="95"/>
      <c r="R346" s="95"/>
      <c r="S346" s="94"/>
      <c r="T346" s="95"/>
      <c r="U346" s="95"/>
      <c r="V346" s="95"/>
      <c r="W346" s="95"/>
      <c r="X346" s="95"/>
      <c r="Y346" s="94"/>
      <c r="Z346" s="94"/>
      <c r="AA346" s="94"/>
      <c r="AB346" s="96"/>
      <c r="AC346" s="167"/>
    </row>
    <row r="347" spans="1:29" ht="12.75" customHeight="1" x14ac:dyDescent="0.2">
      <c r="A347" s="193"/>
      <c r="B347" s="168" t="str">
        <f t="shared" si="142"/>
        <v>4A</v>
      </c>
      <c r="C347" s="169" t="str">
        <f t="shared" si="142"/>
        <v>JAR-007A</v>
      </c>
      <c r="D347" s="73">
        <f>IF(ISBLANK(D338), "-", D338)</f>
        <v>21231</v>
      </c>
      <c r="E347" s="73" t="str">
        <f t="shared" si="143"/>
        <v>White</v>
      </c>
      <c r="F347" s="73" t="str">
        <f t="shared" si="143"/>
        <v>RPET</v>
      </c>
      <c r="G347" s="171"/>
      <c r="H347" s="75">
        <v>10</v>
      </c>
      <c r="I347" s="75"/>
      <c r="J347" s="75"/>
      <c r="K347" s="75"/>
      <c r="L347" s="75"/>
      <c r="M347" s="74"/>
      <c r="N347" s="75"/>
      <c r="O347" s="75"/>
      <c r="P347" s="75"/>
      <c r="Q347" s="75"/>
      <c r="R347" s="75"/>
      <c r="S347" s="74"/>
      <c r="T347" s="75"/>
      <c r="U347" s="75"/>
      <c r="V347" s="75"/>
      <c r="W347" s="75"/>
      <c r="X347" s="75"/>
      <c r="Y347" s="74"/>
      <c r="Z347" s="74"/>
      <c r="AA347" s="74"/>
      <c r="AB347" s="76"/>
      <c r="AC347" s="167"/>
    </row>
    <row r="348" spans="1:29" ht="12.75" customHeight="1" x14ac:dyDescent="0.2">
      <c r="A348" s="193"/>
      <c r="B348" s="168" t="str">
        <f t="shared" si="142"/>
        <v>-</v>
      </c>
      <c r="C348" s="169" t="str">
        <f t="shared" si="142"/>
        <v>-</v>
      </c>
      <c r="D348" s="73" t="str">
        <f>IF(ISBLANK(D339), "-", D339)</f>
        <v>-</v>
      </c>
      <c r="E348" s="73" t="str">
        <f t="shared" si="143"/>
        <v>-</v>
      </c>
      <c r="F348" s="73" t="str">
        <f t="shared" si="143"/>
        <v>-</v>
      </c>
      <c r="G348" s="172"/>
      <c r="H348" s="75"/>
      <c r="I348" s="75"/>
      <c r="J348" s="75"/>
      <c r="K348" s="75"/>
      <c r="L348" s="75"/>
      <c r="M348" s="74"/>
      <c r="N348" s="75"/>
      <c r="O348" s="75"/>
      <c r="P348" s="75"/>
      <c r="Q348" s="75"/>
      <c r="R348" s="75"/>
      <c r="S348" s="74"/>
      <c r="T348" s="75"/>
      <c r="U348" s="75"/>
      <c r="V348" s="75"/>
      <c r="W348" s="75"/>
      <c r="X348" s="75"/>
      <c r="Y348" s="74"/>
      <c r="Z348" s="74"/>
      <c r="AA348" s="74"/>
      <c r="AB348" s="76"/>
      <c r="AC348" s="167"/>
    </row>
    <row r="350" spans="1:29" x14ac:dyDescent="0.2">
      <c r="A350" s="193">
        <v>44731</v>
      </c>
      <c r="B350" s="16" t="s">
        <v>20</v>
      </c>
      <c r="C350" s="17"/>
      <c r="D350" s="18" t="s">
        <v>21</v>
      </c>
      <c r="E350" s="17">
        <v>0</v>
      </c>
      <c r="F350" s="24"/>
      <c r="G350" s="25"/>
      <c r="H350" s="38"/>
      <c r="I350" s="51"/>
      <c r="J350" s="57"/>
      <c r="K350" s="25"/>
      <c r="L350" s="18"/>
      <c r="M350" s="25"/>
      <c r="N350" s="38"/>
      <c r="O350" s="51"/>
      <c r="P350" s="57"/>
      <c r="Q350" s="25"/>
      <c r="R350" s="18"/>
      <c r="S350" s="25"/>
      <c r="T350" s="38"/>
      <c r="U350" s="51"/>
      <c r="V350" s="57"/>
      <c r="W350" s="25"/>
      <c r="X350" s="18"/>
      <c r="Y350" s="18"/>
      <c r="Z350" s="25"/>
      <c r="AA350" s="18"/>
      <c r="AB350" s="18"/>
      <c r="AC350" s="26"/>
    </row>
    <row r="351" spans="1:29" x14ac:dyDescent="0.2">
      <c r="A351" s="193"/>
      <c r="B351" s="157" t="s">
        <v>3</v>
      </c>
      <c r="C351" s="158" t="s">
        <v>0</v>
      </c>
      <c r="D351" s="158" t="s">
        <v>10</v>
      </c>
      <c r="E351" s="158" t="s">
        <v>4</v>
      </c>
      <c r="F351" s="158" t="s">
        <v>9</v>
      </c>
      <c r="G351" s="180" t="s">
        <v>5</v>
      </c>
      <c r="H351" s="187" t="s">
        <v>6</v>
      </c>
      <c r="I351" s="188"/>
      <c r="J351" s="188"/>
      <c r="K351" s="188"/>
      <c r="L351" s="188"/>
      <c r="M351" s="189"/>
      <c r="N351" s="187" t="s">
        <v>7</v>
      </c>
      <c r="O351" s="188"/>
      <c r="P351" s="188"/>
      <c r="Q351" s="188"/>
      <c r="R351" s="188"/>
      <c r="S351" s="189"/>
      <c r="T351" s="187" t="s">
        <v>8</v>
      </c>
      <c r="U351" s="188"/>
      <c r="V351" s="188"/>
      <c r="W351" s="188"/>
      <c r="X351" s="188"/>
      <c r="Y351" s="189"/>
      <c r="Z351" s="163" t="s">
        <v>16</v>
      </c>
      <c r="AA351" s="163" t="s">
        <v>66</v>
      </c>
      <c r="AB351" s="163" t="s">
        <v>27</v>
      </c>
      <c r="AC351" s="181" t="s">
        <v>11</v>
      </c>
    </row>
    <row r="352" spans="1:29" ht="24" x14ac:dyDescent="0.2">
      <c r="A352" s="193"/>
      <c r="B352" s="157"/>
      <c r="C352" s="158"/>
      <c r="D352" s="158"/>
      <c r="E352" s="158"/>
      <c r="F352" s="158"/>
      <c r="G352" s="180"/>
      <c r="H352" s="39" t="s">
        <v>24</v>
      </c>
      <c r="I352" s="98" t="s">
        <v>25</v>
      </c>
      <c r="J352" s="99" t="s">
        <v>28</v>
      </c>
      <c r="K352" s="100" t="s">
        <v>22</v>
      </c>
      <c r="L352" s="101" t="s">
        <v>2</v>
      </c>
      <c r="M352" s="27" t="s">
        <v>14</v>
      </c>
      <c r="N352" s="39" t="s">
        <v>24</v>
      </c>
      <c r="O352" s="98" t="s">
        <v>25</v>
      </c>
      <c r="P352" s="99" t="s">
        <v>28</v>
      </c>
      <c r="Q352" s="100" t="s">
        <v>22</v>
      </c>
      <c r="R352" s="27" t="s">
        <v>2</v>
      </c>
      <c r="S352" s="27" t="s">
        <v>14</v>
      </c>
      <c r="T352" s="39" t="s">
        <v>24</v>
      </c>
      <c r="U352" s="98" t="s">
        <v>25</v>
      </c>
      <c r="V352" s="99" t="s">
        <v>28</v>
      </c>
      <c r="W352" s="100" t="s">
        <v>22</v>
      </c>
      <c r="X352" s="27" t="s">
        <v>2</v>
      </c>
      <c r="Y352" s="27" t="s">
        <v>14</v>
      </c>
      <c r="Z352" s="164"/>
      <c r="AA352" s="165"/>
      <c r="AB352" s="165"/>
      <c r="AC352" s="182"/>
    </row>
    <row r="353" spans="1:29" x14ac:dyDescent="0.2">
      <c r="A353" s="193"/>
      <c r="B353" s="194" t="s">
        <v>42</v>
      </c>
      <c r="C353" s="196" t="s">
        <v>45</v>
      </c>
      <c r="D353" s="11">
        <v>21231</v>
      </c>
      <c r="E353" s="11" t="s">
        <v>46</v>
      </c>
      <c r="F353" s="11" t="s">
        <v>130</v>
      </c>
      <c r="G353" s="196" t="s">
        <v>1</v>
      </c>
      <c r="H353" s="34">
        <v>41.45</v>
      </c>
      <c r="I353" s="49">
        <v>7</v>
      </c>
      <c r="J353" s="28">
        <v>621</v>
      </c>
      <c r="K353" s="28">
        <v>12</v>
      </c>
      <c r="L353" s="28">
        <f t="shared" ref="L353:L358" si="144">IF(ISBLANK(J353), , J353*K353)</f>
        <v>7452</v>
      </c>
      <c r="M353" s="23">
        <f t="shared" ref="M353:M358" si="145">H362+K362+N362+Q362+T362+W362+Z362</f>
        <v>200</v>
      </c>
      <c r="N353" s="34">
        <v>41.45</v>
      </c>
      <c r="O353" s="49">
        <v>8</v>
      </c>
      <c r="P353" s="28">
        <v>701</v>
      </c>
      <c r="Q353" s="28">
        <v>12</v>
      </c>
      <c r="R353" s="28">
        <f t="shared" ref="R353:R358" si="146">IF(ISBLANK(P353), , P353*Q353)</f>
        <v>8412</v>
      </c>
      <c r="S353" s="23">
        <f t="shared" ref="S353:S358" si="147">I362+L362+O362+R362+U362+X362+AA362</f>
        <v>0</v>
      </c>
      <c r="T353" s="34">
        <v>41.45</v>
      </c>
      <c r="U353" s="49">
        <v>8</v>
      </c>
      <c r="V353" s="28">
        <v>640</v>
      </c>
      <c r="W353" s="28">
        <v>12</v>
      </c>
      <c r="X353" s="28">
        <f t="shared" ref="X353:X358" si="148">IF(ISBLANK(V353), , V353*W353)</f>
        <v>7680</v>
      </c>
      <c r="Y353" s="23">
        <f t="shared" ref="Y353:Y358" si="149">J362+M362+P362+S362+V362+Y362+AB362</f>
        <v>300</v>
      </c>
      <c r="Z353" s="151">
        <f>SUM(L353, R353, X353)+SUM(L354, R354, X354)</f>
        <v>23544</v>
      </c>
      <c r="AA353" s="151">
        <f>SUM(M353, S353, Y353)+SUM(M354, S354, Y354)</f>
        <v>500</v>
      </c>
      <c r="AB353" s="153">
        <f>IF($Z353=0, ,AA353/$Z353)</f>
        <v>2.1236833163438669E-2</v>
      </c>
      <c r="AC353" s="179" t="s">
        <v>121</v>
      </c>
    </row>
    <row r="354" spans="1:29" x14ac:dyDescent="0.2">
      <c r="A354" s="193"/>
      <c r="B354" s="195"/>
      <c r="C354" s="197"/>
      <c r="D354" s="11"/>
      <c r="E354" s="11"/>
      <c r="F354" s="11"/>
      <c r="G354" s="198"/>
      <c r="H354" s="34"/>
      <c r="I354" s="49"/>
      <c r="J354" s="28"/>
      <c r="K354" s="28"/>
      <c r="L354" s="28">
        <f t="shared" si="144"/>
        <v>0</v>
      </c>
      <c r="M354" s="23">
        <f t="shared" si="145"/>
        <v>0</v>
      </c>
      <c r="N354" s="34"/>
      <c r="O354" s="49"/>
      <c r="P354" s="28"/>
      <c r="Q354" s="28"/>
      <c r="R354" s="28">
        <f t="shared" si="146"/>
        <v>0</v>
      </c>
      <c r="S354" s="23">
        <f t="shared" si="147"/>
        <v>0</v>
      </c>
      <c r="T354" s="34"/>
      <c r="U354" s="49"/>
      <c r="V354" s="28"/>
      <c r="W354" s="28"/>
      <c r="X354" s="28">
        <f t="shared" si="148"/>
        <v>0</v>
      </c>
      <c r="Y354" s="23">
        <f t="shared" si="149"/>
        <v>0</v>
      </c>
      <c r="Z354" s="152"/>
      <c r="AA354" s="152"/>
      <c r="AB354" s="154"/>
      <c r="AC354" s="155"/>
    </row>
    <row r="355" spans="1:29" x14ac:dyDescent="0.2">
      <c r="A355" s="193"/>
      <c r="B355" s="175" t="s">
        <v>43</v>
      </c>
      <c r="C355" s="177" t="s">
        <v>65</v>
      </c>
      <c r="D355" s="10">
        <v>21234</v>
      </c>
      <c r="E355" s="10" t="s">
        <v>46</v>
      </c>
      <c r="F355" s="10" t="s">
        <v>130</v>
      </c>
      <c r="G355" s="177" t="s">
        <v>1</v>
      </c>
      <c r="H355" s="35">
        <v>41.6</v>
      </c>
      <c r="I355" s="52">
        <v>7.5</v>
      </c>
      <c r="J355" s="64">
        <v>658</v>
      </c>
      <c r="K355" s="64">
        <v>12</v>
      </c>
      <c r="L355" s="64">
        <f t="shared" si="144"/>
        <v>7896</v>
      </c>
      <c r="M355" s="65">
        <f t="shared" si="145"/>
        <v>180</v>
      </c>
      <c r="N355" s="66">
        <v>41.6</v>
      </c>
      <c r="O355" s="67">
        <v>8</v>
      </c>
      <c r="P355" s="64">
        <v>685</v>
      </c>
      <c r="Q355" s="64">
        <v>12</v>
      </c>
      <c r="R355" s="64">
        <f t="shared" si="146"/>
        <v>8220</v>
      </c>
      <c r="S355" s="65">
        <f t="shared" si="147"/>
        <v>0</v>
      </c>
      <c r="T355" s="66">
        <v>41.6</v>
      </c>
      <c r="U355" s="67">
        <v>8</v>
      </c>
      <c r="V355" s="64">
        <v>697</v>
      </c>
      <c r="W355" s="64">
        <v>12</v>
      </c>
      <c r="X355" s="64">
        <f t="shared" si="148"/>
        <v>8364</v>
      </c>
      <c r="Y355" s="65">
        <f t="shared" si="149"/>
        <v>0</v>
      </c>
      <c r="Z355" s="183">
        <f>SUM(L355, R355, X355)+SUM(L356, R356, X356)</f>
        <v>24480</v>
      </c>
      <c r="AA355" s="185">
        <f>SUM(M355, S355, Y355)+SUM(M356, S356, Y356)</f>
        <v>180</v>
      </c>
      <c r="AB355" s="190">
        <f>IF($Z355=0, ,AA355/$Z355)</f>
        <v>7.3529411764705881E-3</v>
      </c>
      <c r="AC355" s="192" t="s">
        <v>120</v>
      </c>
    </row>
    <row r="356" spans="1:29" x14ac:dyDescent="0.2">
      <c r="A356" s="193"/>
      <c r="B356" s="176"/>
      <c r="C356" s="178"/>
      <c r="D356" s="10"/>
      <c r="E356" s="10"/>
      <c r="F356" s="10"/>
      <c r="G356" s="178"/>
      <c r="H356" s="35"/>
      <c r="I356" s="52"/>
      <c r="J356" s="64"/>
      <c r="K356" s="64"/>
      <c r="L356" s="64">
        <f t="shared" si="144"/>
        <v>0</v>
      </c>
      <c r="M356" s="65">
        <f t="shared" si="145"/>
        <v>0</v>
      </c>
      <c r="N356" s="66"/>
      <c r="O356" s="67"/>
      <c r="P356" s="64"/>
      <c r="Q356" s="64"/>
      <c r="R356" s="64">
        <f t="shared" si="146"/>
        <v>0</v>
      </c>
      <c r="S356" s="65">
        <f t="shared" si="147"/>
        <v>0</v>
      </c>
      <c r="T356" s="66"/>
      <c r="U356" s="67"/>
      <c r="V356" s="64"/>
      <c r="W356" s="64"/>
      <c r="X356" s="64">
        <f t="shared" si="148"/>
        <v>0</v>
      </c>
      <c r="Y356" s="65">
        <f t="shared" si="149"/>
        <v>0</v>
      </c>
      <c r="Z356" s="184"/>
      <c r="AA356" s="186"/>
      <c r="AB356" s="191"/>
      <c r="AC356" s="192"/>
    </row>
    <row r="357" spans="1:29" x14ac:dyDescent="0.2">
      <c r="A357" s="193"/>
      <c r="B357" s="161" t="s">
        <v>44</v>
      </c>
      <c r="C357" s="149" t="s">
        <v>67</v>
      </c>
      <c r="D357" s="9">
        <v>21231</v>
      </c>
      <c r="E357" s="9" t="s">
        <v>46</v>
      </c>
      <c r="F357" s="9" t="s">
        <v>130</v>
      </c>
      <c r="G357" s="149" t="s">
        <v>1</v>
      </c>
      <c r="H357" s="36">
        <v>41.35</v>
      </c>
      <c r="I357" s="53">
        <v>7.5</v>
      </c>
      <c r="J357" s="29">
        <v>667</v>
      </c>
      <c r="K357" s="29">
        <v>12</v>
      </c>
      <c r="L357" s="29">
        <f t="shared" si="144"/>
        <v>8004</v>
      </c>
      <c r="M357" s="30">
        <f t="shared" si="145"/>
        <v>200</v>
      </c>
      <c r="N357" s="36">
        <v>41.35</v>
      </c>
      <c r="O357" s="53">
        <v>8</v>
      </c>
      <c r="P357" s="29">
        <v>699</v>
      </c>
      <c r="Q357" s="29">
        <v>12</v>
      </c>
      <c r="R357" s="29">
        <f t="shared" si="146"/>
        <v>8388</v>
      </c>
      <c r="S357" s="30">
        <f t="shared" si="147"/>
        <v>0</v>
      </c>
      <c r="T357" s="36">
        <v>41.35</v>
      </c>
      <c r="U357" s="53">
        <v>8</v>
      </c>
      <c r="V357" s="29">
        <v>698</v>
      </c>
      <c r="W357" s="29">
        <v>12</v>
      </c>
      <c r="X357" s="29">
        <f t="shared" si="148"/>
        <v>8376</v>
      </c>
      <c r="Y357" s="30">
        <f t="shared" si="149"/>
        <v>0</v>
      </c>
      <c r="Z357" s="151">
        <f>SUM(L357, R357, X357)+SUM(L358, R358, X358)</f>
        <v>24768</v>
      </c>
      <c r="AA357" s="151">
        <f>SUM(M357, S357, Y357)+SUM(M358, S358, Y358)</f>
        <v>200</v>
      </c>
      <c r="AB357" s="153">
        <f>IF($Z357=0, ,AA357/$Z357)</f>
        <v>8.0749354005167952E-3</v>
      </c>
      <c r="AC357" s="155" t="s">
        <v>120</v>
      </c>
    </row>
    <row r="358" spans="1:29" x14ac:dyDescent="0.2">
      <c r="A358" s="193"/>
      <c r="B358" s="162"/>
      <c r="C358" s="150"/>
      <c r="D358" s="9"/>
      <c r="E358" s="9"/>
      <c r="F358" s="9"/>
      <c r="G358" s="150"/>
      <c r="H358" s="36"/>
      <c r="I358" s="53"/>
      <c r="J358" s="29"/>
      <c r="K358" s="29"/>
      <c r="L358" s="29">
        <f t="shared" si="144"/>
        <v>0</v>
      </c>
      <c r="M358" s="30">
        <f t="shared" si="145"/>
        <v>0</v>
      </c>
      <c r="N358" s="36"/>
      <c r="O358" s="53"/>
      <c r="P358" s="29"/>
      <c r="Q358" s="29"/>
      <c r="R358" s="29">
        <f t="shared" si="146"/>
        <v>0</v>
      </c>
      <c r="S358" s="30">
        <f t="shared" si="147"/>
        <v>0</v>
      </c>
      <c r="T358" s="36"/>
      <c r="U358" s="53"/>
      <c r="V358" s="29"/>
      <c r="W358" s="29"/>
      <c r="X358" s="29">
        <f t="shared" si="148"/>
        <v>0</v>
      </c>
      <c r="Y358" s="30">
        <f t="shared" si="149"/>
        <v>0</v>
      </c>
      <c r="Z358" s="152"/>
      <c r="AA358" s="152"/>
      <c r="AB358" s="154"/>
      <c r="AC358" s="156"/>
    </row>
    <row r="359" spans="1:29" x14ac:dyDescent="0.2">
      <c r="A359" s="193"/>
      <c r="B359" s="42"/>
      <c r="C359" s="42"/>
      <c r="D359" s="42"/>
      <c r="E359" s="42"/>
      <c r="F359" s="42"/>
      <c r="G359" s="42"/>
      <c r="H359" s="59"/>
      <c r="I359" s="60"/>
      <c r="J359" s="61"/>
      <c r="K359" s="61"/>
      <c r="L359" s="61"/>
      <c r="M359" s="62"/>
      <c r="N359" s="59"/>
      <c r="O359" s="60"/>
      <c r="P359" s="61"/>
      <c r="Q359" s="61"/>
      <c r="R359" s="61"/>
      <c r="S359" s="62"/>
      <c r="T359" s="59"/>
      <c r="U359" s="60"/>
      <c r="V359" s="61"/>
      <c r="W359" s="61"/>
      <c r="X359" s="61"/>
      <c r="Y359" s="62"/>
      <c r="Z359" s="62"/>
      <c r="AA359" s="62"/>
      <c r="AB359" s="63"/>
      <c r="AC359" s="45"/>
    </row>
    <row r="360" spans="1:29" x14ac:dyDescent="0.2">
      <c r="A360" s="193"/>
      <c r="B360" s="157" t="s">
        <v>32</v>
      </c>
      <c r="C360" s="158"/>
      <c r="D360" s="158"/>
      <c r="E360" s="158"/>
      <c r="F360" s="158"/>
      <c r="G360" s="77" t="s">
        <v>33</v>
      </c>
      <c r="H360" s="159" t="s">
        <v>29</v>
      </c>
      <c r="I360" s="159"/>
      <c r="J360" s="159"/>
      <c r="K360" s="159" t="s">
        <v>41</v>
      </c>
      <c r="L360" s="159"/>
      <c r="M360" s="159"/>
      <c r="N360" s="160" t="s">
        <v>63</v>
      </c>
      <c r="O360" s="159"/>
      <c r="P360" s="159"/>
      <c r="Q360" s="160" t="s">
        <v>62</v>
      </c>
      <c r="R360" s="159"/>
      <c r="S360" s="159"/>
      <c r="T360" s="160" t="s">
        <v>61</v>
      </c>
      <c r="U360" s="159"/>
      <c r="V360" s="159"/>
      <c r="W360" s="159" t="s">
        <v>39</v>
      </c>
      <c r="X360" s="159"/>
      <c r="Y360" s="159"/>
      <c r="Z360" s="159" t="s">
        <v>40</v>
      </c>
      <c r="AA360" s="159"/>
      <c r="AB360" s="159"/>
      <c r="AC360" s="166"/>
    </row>
    <row r="361" spans="1:29" x14ac:dyDescent="0.2">
      <c r="A361" s="193"/>
      <c r="B361" s="157"/>
      <c r="C361" s="158"/>
      <c r="D361" s="158"/>
      <c r="E361" s="158"/>
      <c r="F361" s="158"/>
      <c r="G361" s="77" t="s">
        <v>34</v>
      </c>
      <c r="H361" s="78" t="s">
        <v>35</v>
      </c>
      <c r="I361" s="78" t="s">
        <v>36</v>
      </c>
      <c r="J361" s="79" t="s">
        <v>37</v>
      </c>
      <c r="K361" s="78" t="s">
        <v>35</v>
      </c>
      <c r="L361" s="78" t="s">
        <v>36</v>
      </c>
      <c r="M361" s="79" t="s">
        <v>37</v>
      </c>
      <c r="N361" s="78" t="s">
        <v>35</v>
      </c>
      <c r="O361" s="78" t="s">
        <v>36</v>
      </c>
      <c r="P361" s="79" t="s">
        <v>37</v>
      </c>
      <c r="Q361" s="78" t="s">
        <v>35</v>
      </c>
      <c r="R361" s="78" t="s">
        <v>36</v>
      </c>
      <c r="S361" s="79" t="s">
        <v>37</v>
      </c>
      <c r="T361" s="78" t="s">
        <v>35</v>
      </c>
      <c r="U361" s="78" t="s">
        <v>36</v>
      </c>
      <c r="V361" s="79" t="s">
        <v>37</v>
      </c>
      <c r="W361" s="78" t="s">
        <v>35</v>
      </c>
      <c r="X361" s="78" t="s">
        <v>36</v>
      </c>
      <c r="Y361" s="79" t="s">
        <v>37</v>
      </c>
      <c r="Z361" s="78" t="s">
        <v>35</v>
      </c>
      <c r="AA361" s="78" t="s">
        <v>36</v>
      </c>
      <c r="AB361" s="79" t="s">
        <v>37</v>
      </c>
      <c r="AC361" s="167"/>
    </row>
    <row r="362" spans="1:29" x14ac:dyDescent="0.2">
      <c r="A362" s="193"/>
      <c r="B362" s="168" t="str">
        <f t="shared" ref="B362:C367" si="150">IF(ISBLANK(B353), "-", B353)</f>
        <v>2A</v>
      </c>
      <c r="C362" s="169" t="str">
        <f t="shared" si="150"/>
        <v>JAR-007B</v>
      </c>
      <c r="D362" s="73">
        <v>21231</v>
      </c>
      <c r="E362" s="73" t="str">
        <f t="shared" ref="E362:F367" si="151">IF(ISBLANK(E353), "-", E353)</f>
        <v>White</v>
      </c>
      <c r="F362" s="73" t="str">
        <f t="shared" si="151"/>
        <v>RPET</v>
      </c>
      <c r="G362" s="170"/>
      <c r="H362" s="74">
        <v>200</v>
      </c>
      <c r="I362" s="74"/>
      <c r="J362" s="74"/>
      <c r="K362" s="74"/>
      <c r="L362" s="74"/>
      <c r="M362" s="74"/>
      <c r="N362" s="75"/>
      <c r="O362" s="75"/>
      <c r="P362" s="75"/>
      <c r="Q362" s="75"/>
      <c r="R362" s="75"/>
      <c r="S362" s="74"/>
      <c r="T362" s="75"/>
      <c r="U362" s="75"/>
      <c r="V362" s="75"/>
      <c r="W362" s="75"/>
      <c r="X362" s="75"/>
      <c r="Y362" s="74"/>
      <c r="Z362" s="74"/>
      <c r="AA362" s="74"/>
      <c r="AB362" s="76">
        <v>300</v>
      </c>
      <c r="AC362" s="167"/>
    </row>
    <row r="363" spans="1:29" x14ac:dyDescent="0.2">
      <c r="A363" s="193"/>
      <c r="B363" s="168" t="str">
        <f t="shared" si="150"/>
        <v>-</v>
      </c>
      <c r="C363" s="169" t="str">
        <f t="shared" si="150"/>
        <v>-</v>
      </c>
      <c r="D363" s="73" t="str">
        <f>IF(ISBLANK(D354), "-", D354)</f>
        <v>-</v>
      </c>
      <c r="E363" s="73" t="str">
        <f t="shared" si="151"/>
        <v>-</v>
      </c>
      <c r="F363" s="73" t="str">
        <f t="shared" si="151"/>
        <v>-</v>
      </c>
      <c r="G363" s="171"/>
      <c r="H363" s="75"/>
      <c r="I363" s="75"/>
      <c r="J363" s="75"/>
      <c r="K363" s="75"/>
      <c r="L363" s="75"/>
      <c r="M363" s="74"/>
      <c r="N363" s="75"/>
      <c r="O363" s="75"/>
      <c r="P363" s="75"/>
      <c r="Q363" s="75"/>
      <c r="R363" s="75"/>
      <c r="S363" s="74"/>
      <c r="T363" s="75"/>
      <c r="U363" s="75"/>
      <c r="V363" s="75"/>
      <c r="W363" s="75"/>
      <c r="X363" s="75"/>
      <c r="Y363" s="74"/>
      <c r="Z363" s="74"/>
      <c r="AA363" s="74"/>
      <c r="AB363" s="76"/>
      <c r="AC363" s="167"/>
    </row>
    <row r="364" spans="1:29" x14ac:dyDescent="0.2">
      <c r="A364" s="193"/>
      <c r="B364" s="173" t="str">
        <f t="shared" si="150"/>
        <v>3A</v>
      </c>
      <c r="C364" s="174" t="str">
        <f t="shared" si="150"/>
        <v>JAR-014</v>
      </c>
      <c r="D364" s="102">
        <f>IF(ISBLANK(D355), "-", D355)</f>
        <v>21234</v>
      </c>
      <c r="E364" s="102" t="str">
        <f t="shared" si="151"/>
        <v>White</v>
      </c>
      <c r="F364" s="102" t="str">
        <f t="shared" si="151"/>
        <v>RPET</v>
      </c>
      <c r="G364" s="171"/>
      <c r="H364" s="94">
        <v>180</v>
      </c>
      <c r="I364" s="94"/>
      <c r="J364" s="94"/>
      <c r="K364" s="94"/>
      <c r="L364" s="94"/>
      <c r="M364" s="94"/>
      <c r="N364" s="95"/>
      <c r="O364" s="95"/>
      <c r="P364" s="95"/>
      <c r="Q364" s="95"/>
      <c r="R364" s="95"/>
      <c r="S364" s="94"/>
      <c r="T364" s="95"/>
      <c r="U364" s="95"/>
      <c r="V364" s="95"/>
      <c r="W364" s="95"/>
      <c r="X364" s="95"/>
      <c r="Y364" s="94"/>
      <c r="Z364" s="94"/>
      <c r="AA364" s="94"/>
      <c r="AB364" s="96"/>
      <c r="AC364" s="167"/>
    </row>
    <row r="365" spans="1:29" x14ac:dyDescent="0.2">
      <c r="A365" s="193"/>
      <c r="B365" s="173" t="str">
        <f t="shared" si="150"/>
        <v>-</v>
      </c>
      <c r="C365" s="174" t="str">
        <f t="shared" si="150"/>
        <v>-</v>
      </c>
      <c r="D365" s="102" t="str">
        <f>IF(ISBLANK(D356), "-", D356)</f>
        <v>-</v>
      </c>
      <c r="E365" s="102" t="str">
        <f t="shared" si="151"/>
        <v>-</v>
      </c>
      <c r="F365" s="102" t="str">
        <f t="shared" si="151"/>
        <v>-</v>
      </c>
      <c r="G365" s="171"/>
      <c r="H365" s="95"/>
      <c r="I365" s="95"/>
      <c r="J365" s="95"/>
      <c r="K365" s="95"/>
      <c r="L365" s="95"/>
      <c r="M365" s="94"/>
      <c r="N365" s="95"/>
      <c r="O365" s="95"/>
      <c r="P365" s="95"/>
      <c r="Q365" s="95"/>
      <c r="R365" s="95"/>
      <c r="S365" s="94"/>
      <c r="T365" s="95"/>
      <c r="U365" s="95"/>
      <c r="V365" s="95"/>
      <c r="W365" s="95"/>
      <c r="X365" s="95"/>
      <c r="Y365" s="94"/>
      <c r="Z365" s="94"/>
      <c r="AA365" s="94"/>
      <c r="AB365" s="96"/>
      <c r="AC365" s="167"/>
    </row>
    <row r="366" spans="1:29" x14ac:dyDescent="0.2">
      <c r="A366" s="193"/>
      <c r="B366" s="168" t="str">
        <f t="shared" si="150"/>
        <v>4A</v>
      </c>
      <c r="C366" s="169" t="str">
        <f t="shared" si="150"/>
        <v>JAR-007A</v>
      </c>
      <c r="D366" s="73">
        <f>IF(ISBLANK(D357), "-", D357)</f>
        <v>21231</v>
      </c>
      <c r="E366" s="73" t="str">
        <f t="shared" si="151"/>
        <v>White</v>
      </c>
      <c r="F366" s="73" t="str">
        <f t="shared" si="151"/>
        <v>RPET</v>
      </c>
      <c r="G366" s="171"/>
      <c r="H366" s="75">
        <v>200</v>
      </c>
      <c r="I366" s="75"/>
      <c r="J366" s="75"/>
      <c r="K366" s="75"/>
      <c r="L366" s="75"/>
      <c r="M366" s="74"/>
      <c r="N366" s="75"/>
      <c r="O366" s="75"/>
      <c r="P366" s="75"/>
      <c r="Q366" s="75"/>
      <c r="R366" s="75"/>
      <c r="S366" s="74"/>
      <c r="T366" s="75"/>
      <c r="U366" s="75"/>
      <c r="V366" s="75"/>
      <c r="W366" s="75"/>
      <c r="X366" s="75"/>
      <c r="Y366" s="74"/>
      <c r="Z366" s="74"/>
      <c r="AA366" s="74"/>
      <c r="AB366" s="76"/>
      <c r="AC366" s="167"/>
    </row>
    <row r="367" spans="1:29" x14ac:dyDescent="0.2">
      <c r="A367" s="193"/>
      <c r="B367" s="168" t="str">
        <f t="shared" si="150"/>
        <v>-</v>
      </c>
      <c r="C367" s="169" t="str">
        <f t="shared" si="150"/>
        <v>-</v>
      </c>
      <c r="D367" s="73" t="str">
        <f>IF(ISBLANK(D358), "-", D358)</f>
        <v>-</v>
      </c>
      <c r="E367" s="73" t="str">
        <f t="shared" si="151"/>
        <v>-</v>
      </c>
      <c r="F367" s="73" t="str">
        <f t="shared" si="151"/>
        <v>-</v>
      </c>
      <c r="G367" s="172"/>
      <c r="H367" s="75"/>
      <c r="I367" s="75"/>
      <c r="J367" s="75"/>
      <c r="K367" s="75"/>
      <c r="L367" s="75"/>
      <c r="M367" s="74"/>
      <c r="N367" s="75"/>
      <c r="O367" s="75"/>
      <c r="P367" s="75"/>
      <c r="Q367" s="75"/>
      <c r="R367" s="75"/>
      <c r="S367" s="74"/>
      <c r="T367" s="75"/>
      <c r="U367" s="75"/>
      <c r="V367" s="75"/>
      <c r="W367" s="75"/>
      <c r="X367" s="75"/>
      <c r="Y367" s="74"/>
      <c r="Z367" s="74"/>
      <c r="AA367" s="74"/>
      <c r="AB367" s="76"/>
      <c r="AC367" s="167"/>
    </row>
    <row r="369" spans="1:29" x14ac:dyDescent="0.2">
      <c r="A369" s="193">
        <v>44732</v>
      </c>
      <c r="B369" s="16" t="s">
        <v>20</v>
      </c>
      <c r="C369" s="17"/>
      <c r="D369" s="18" t="s">
        <v>21</v>
      </c>
      <c r="E369" s="17">
        <v>0</v>
      </c>
      <c r="F369" s="24"/>
      <c r="G369" s="25"/>
      <c r="H369" s="38"/>
      <c r="I369" s="51"/>
      <c r="J369" s="57"/>
      <c r="K369" s="25"/>
      <c r="L369" s="18"/>
      <c r="M369" s="25"/>
      <c r="N369" s="38"/>
      <c r="O369" s="51"/>
      <c r="P369" s="57"/>
      <c r="Q369" s="25"/>
      <c r="R369" s="18"/>
      <c r="S369" s="25"/>
      <c r="T369" s="38"/>
      <c r="U369" s="51"/>
      <c r="V369" s="57"/>
      <c r="W369" s="25"/>
      <c r="X369" s="18"/>
      <c r="Y369" s="18"/>
      <c r="Z369" s="25"/>
      <c r="AA369" s="18"/>
      <c r="AB369" s="18"/>
      <c r="AC369" s="26"/>
    </row>
    <row r="370" spans="1:29" x14ac:dyDescent="0.2">
      <c r="A370" s="193"/>
      <c r="B370" s="157" t="s">
        <v>3</v>
      </c>
      <c r="C370" s="158" t="s">
        <v>0</v>
      </c>
      <c r="D370" s="158" t="s">
        <v>10</v>
      </c>
      <c r="E370" s="158" t="s">
        <v>4</v>
      </c>
      <c r="F370" s="158" t="s">
        <v>9</v>
      </c>
      <c r="G370" s="180" t="s">
        <v>5</v>
      </c>
      <c r="H370" s="187" t="s">
        <v>6</v>
      </c>
      <c r="I370" s="188"/>
      <c r="J370" s="188"/>
      <c r="K370" s="188"/>
      <c r="L370" s="188"/>
      <c r="M370" s="189"/>
      <c r="N370" s="187" t="s">
        <v>7</v>
      </c>
      <c r="O370" s="188"/>
      <c r="P370" s="188"/>
      <c r="Q370" s="188"/>
      <c r="R370" s="188"/>
      <c r="S370" s="189"/>
      <c r="T370" s="187" t="s">
        <v>8</v>
      </c>
      <c r="U370" s="188"/>
      <c r="V370" s="188"/>
      <c r="W370" s="188"/>
      <c r="X370" s="188"/>
      <c r="Y370" s="189"/>
      <c r="Z370" s="163" t="s">
        <v>16</v>
      </c>
      <c r="AA370" s="163" t="s">
        <v>66</v>
      </c>
      <c r="AB370" s="163" t="s">
        <v>27</v>
      </c>
      <c r="AC370" s="181" t="s">
        <v>11</v>
      </c>
    </row>
    <row r="371" spans="1:29" ht="24" x14ac:dyDescent="0.2">
      <c r="A371" s="193"/>
      <c r="B371" s="157"/>
      <c r="C371" s="158"/>
      <c r="D371" s="158"/>
      <c r="E371" s="158"/>
      <c r="F371" s="158"/>
      <c r="G371" s="180"/>
      <c r="H371" s="39" t="s">
        <v>24</v>
      </c>
      <c r="I371" s="98" t="s">
        <v>25</v>
      </c>
      <c r="J371" s="99" t="s">
        <v>28</v>
      </c>
      <c r="K371" s="100" t="s">
        <v>22</v>
      </c>
      <c r="L371" s="101" t="s">
        <v>2</v>
      </c>
      <c r="M371" s="27" t="s">
        <v>14</v>
      </c>
      <c r="N371" s="39" t="s">
        <v>24</v>
      </c>
      <c r="O371" s="98" t="s">
        <v>25</v>
      </c>
      <c r="P371" s="99" t="s">
        <v>28</v>
      </c>
      <c r="Q371" s="100" t="s">
        <v>22</v>
      </c>
      <c r="R371" s="27" t="s">
        <v>2</v>
      </c>
      <c r="S371" s="27" t="s">
        <v>14</v>
      </c>
      <c r="T371" s="39" t="s">
        <v>24</v>
      </c>
      <c r="U371" s="98" t="s">
        <v>25</v>
      </c>
      <c r="V371" s="99" t="s">
        <v>28</v>
      </c>
      <c r="W371" s="100" t="s">
        <v>22</v>
      </c>
      <c r="X371" s="27" t="s">
        <v>2</v>
      </c>
      <c r="Y371" s="27" t="s">
        <v>14</v>
      </c>
      <c r="Z371" s="164"/>
      <c r="AA371" s="165"/>
      <c r="AB371" s="165"/>
      <c r="AC371" s="182"/>
    </row>
    <row r="372" spans="1:29" x14ac:dyDescent="0.2">
      <c r="A372" s="193"/>
      <c r="B372" s="194" t="s">
        <v>42</v>
      </c>
      <c r="C372" s="196" t="s">
        <v>45</v>
      </c>
      <c r="D372" s="11">
        <v>21231</v>
      </c>
      <c r="E372" s="11" t="s">
        <v>46</v>
      </c>
      <c r="F372" s="11" t="s">
        <v>130</v>
      </c>
      <c r="G372" s="196" t="s">
        <v>1</v>
      </c>
      <c r="H372" s="34">
        <v>41.45</v>
      </c>
      <c r="I372" s="49">
        <v>2</v>
      </c>
      <c r="J372" s="28">
        <v>173</v>
      </c>
      <c r="K372" s="28">
        <v>12</v>
      </c>
      <c r="L372" s="28">
        <f t="shared" ref="L372:L377" si="152">IF(ISBLANK(J372), , J372*K372)</f>
        <v>2076</v>
      </c>
      <c r="M372" s="23">
        <f t="shared" ref="M372:M377" si="153">H381+K381+N381+Q381+T381+W381+Z381</f>
        <v>1020</v>
      </c>
      <c r="N372" s="34">
        <v>41.45</v>
      </c>
      <c r="O372" s="49">
        <v>7</v>
      </c>
      <c r="P372" s="28">
        <v>590</v>
      </c>
      <c r="Q372" s="28">
        <v>12</v>
      </c>
      <c r="R372" s="28">
        <f t="shared" ref="R372:R377" si="154">IF(ISBLANK(P372), , P372*Q372)</f>
        <v>7080</v>
      </c>
      <c r="S372" s="23">
        <f t="shared" ref="S372:S377" si="155">I381+L381+O381+R381+U381+X381+AA381</f>
        <v>50</v>
      </c>
      <c r="T372" s="34">
        <v>41.45</v>
      </c>
      <c r="U372" s="49">
        <v>8</v>
      </c>
      <c r="V372" s="28">
        <v>662</v>
      </c>
      <c r="W372" s="28">
        <v>12</v>
      </c>
      <c r="X372" s="28">
        <f t="shared" ref="X372:X377" si="156">IF(ISBLANK(V372), , V372*W372)</f>
        <v>7944</v>
      </c>
      <c r="Y372" s="23">
        <f t="shared" ref="Y372:Y377" si="157">J381+M381+P381+S381+V381+Y381+AB381</f>
        <v>100</v>
      </c>
      <c r="Z372" s="151">
        <f>SUM(L372, R372, X372)+SUM(L373, R373, X373)</f>
        <v>17100</v>
      </c>
      <c r="AA372" s="151">
        <f>SUM(M372, S372, Y372)+SUM(M373, S373, Y373)</f>
        <v>1170</v>
      </c>
      <c r="AB372" s="153">
        <f>IF($Z372=0, ,AA372/$Z372)</f>
        <v>6.8421052631578952E-2</v>
      </c>
      <c r="AC372" s="179" t="s">
        <v>126</v>
      </c>
    </row>
    <row r="373" spans="1:29" x14ac:dyDescent="0.2">
      <c r="A373" s="193"/>
      <c r="B373" s="195"/>
      <c r="C373" s="197"/>
      <c r="D373" s="11"/>
      <c r="E373" s="11"/>
      <c r="F373" s="11"/>
      <c r="G373" s="198"/>
      <c r="H373" s="34"/>
      <c r="I373" s="49"/>
      <c r="J373" s="28"/>
      <c r="K373" s="28"/>
      <c r="L373" s="28">
        <f t="shared" si="152"/>
        <v>0</v>
      </c>
      <c r="M373" s="23">
        <f t="shared" si="153"/>
        <v>0</v>
      </c>
      <c r="N373" s="34"/>
      <c r="O373" s="49"/>
      <c r="P373" s="28"/>
      <c r="Q373" s="28"/>
      <c r="R373" s="28">
        <f t="shared" si="154"/>
        <v>0</v>
      </c>
      <c r="S373" s="23">
        <f t="shared" si="155"/>
        <v>0</v>
      </c>
      <c r="T373" s="34"/>
      <c r="U373" s="49"/>
      <c r="V373" s="28"/>
      <c r="W373" s="28"/>
      <c r="X373" s="28">
        <f t="shared" si="156"/>
        <v>0</v>
      </c>
      <c r="Y373" s="23">
        <f t="shared" si="157"/>
        <v>0</v>
      </c>
      <c r="Z373" s="152"/>
      <c r="AA373" s="152"/>
      <c r="AB373" s="154"/>
      <c r="AC373" s="155"/>
    </row>
    <row r="374" spans="1:29" x14ac:dyDescent="0.2">
      <c r="A374" s="193"/>
      <c r="B374" s="175" t="s">
        <v>43</v>
      </c>
      <c r="C374" s="177" t="s">
        <v>65</v>
      </c>
      <c r="D374" s="10">
        <v>21234</v>
      </c>
      <c r="E374" s="10" t="s">
        <v>46</v>
      </c>
      <c r="F374" s="10" t="s">
        <v>130</v>
      </c>
      <c r="G374" s="177" t="s">
        <v>1</v>
      </c>
      <c r="H374" s="35">
        <v>41.6</v>
      </c>
      <c r="I374" s="52">
        <v>7.45</v>
      </c>
      <c r="J374" s="64">
        <v>666</v>
      </c>
      <c r="K374" s="64">
        <v>12</v>
      </c>
      <c r="L374" s="64">
        <f t="shared" si="152"/>
        <v>7992</v>
      </c>
      <c r="M374" s="65">
        <f t="shared" si="153"/>
        <v>154</v>
      </c>
      <c r="N374" s="66">
        <v>41.6</v>
      </c>
      <c r="O374" s="67">
        <v>8</v>
      </c>
      <c r="P374" s="64">
        <v>696</v>
      </c>
      <c r="Q374" s="64">
        <v>12</v>
      </c>
      <c r="R374" s="64">
        <f t="shared" si="154"/>
        <v>8352</v>
      </c>
      <c r="S374" s="65">
        <f t="shared" si="155"/>
        <v>5</v>
      </c>
      <c r="T374" s="66">
        <v>41.6</v>
      </c>
      <c r="U374" s="67">
        <v>8</v>
      </c>
      <c r="V374" s="64">
        <v>692</v>
      </c>
      <c r="W374" s="64">
        <v>12</v>
      </c>
      <c r="X374" s="64">
        <f t="shared" si="156"/>
        <v>8304</v>
      </c>
      <c r="Y374" s="65">
        <f t="shared" si="157"/>
        <v>10</v>
      </c>
      <c r="Z374" s="183">
        <f>SUM(L374, R374, X374)+SUM(L375, R375, X375)</f>
        <v>24648</v>
      </c>
      <c r="AA374" s="185">
        <f>SUM(M374, S374, Y374)+SUM(M375, S375, Y375)</f>
        <v>169</v>
      </c>
      <c r="AB374" s="190">
        <f>IF($Z374=0, ,AA374/$Z374)</f>
        <v>6.8565400843881861E-3</v>
      </c>
      <c r="AC374" s="192" t="s">
        <v>127</v>
      </c>
    </row>
    <row r="375" spans="1:29" x14ac:dyDescent="0.2">
      <c r="A375" s="193"/>
      <c r="B375" s="176"/>
      <c r="C375" s="178"/>
      <c r="D375" s="10"/>
      <c r="E375" s="10"/>
      <c r="F375" s="10"/>
      <c r="G375" s="178"/>
      <c r="H375" s="35"/>
      <c r="I375" s="52"/>
      <c r="J375" s="64"/>
      <c r="K375" s="64"/>
      <c r="L375" s="64">
        <f t="shared" si="152"/>
        <v>0</v>
      </c>
      <c r="M375" s="65">
        <f t="shared" si="153"/>
        <v>0</v>
      </c>
      <c r="N375" s="66"/>
      <c r="O375" s="67"/>
      <c r="P375" s="64"/>
      <c r="Q375" s="64"/>
      <c r="R375" s="64">
        <f t="shared" si="154"/>
        <v>0</v>
      </c>
      <c r="S375" s="65">
        <f t="shared" si="155"/>
        <v>0</v>
      </c>
      <c r="T375" s="66"/>
      <c r="U375" s="67"/>
      <c r="V375" s="64"/>
      <c r="W375" s="64"/>
      <c r="X375" s="64">
        <f t="shared" si="156"/>
        <v>0</v>
      </c>
      <c r="Y375" s="65">
        <f t="shared" si="157"/>
        <v>0</v>
      </c>
      <c r="Z375" s="184"/>
      <c r="AA375" s="186"/>
      <c r="AB375" s="191"/>
      <c r="AC375" s="192"/>
    </row>
    <row r="376" spans="1:29" x14ac:dyDescent="0.2">
      <c r="A376" s="193"/>
      <c r="B376" s="161" t="s">
        <v>44</v>
      </c>
      <c r="C376" s="149" t="s">
        <v>67</v>
      </c>
      <c r="D376" s="9">
        <v>21231</v>
      </c>
      <c r="E376" s="9" t="s">
        <v>46</v>
      </c>
      <c r="F376" s="9" t="s">
        <v>130</v>
      </c>
      <c r="G376" s="149" t="s">
        <v>1</v>
      </c>
      <c r="H376" s="36">
        <v>41.35</v>
      </c>
      <c r="I376" s="53">
        <v>8</v>
      </c>
      <c r="J376" s="29">
        <v>682</v>
      </c>
      <c r="K376" s="29">
        <v>12</v>
      </c>
      <c r="L376" s="29">
        <f t="shared" si="152"/>
        <v>8184</v>
      </c>
      <c r="M376" s="30">
        <f t="shared" si="153"/>
        <v>20</v>
      </c>
      <c r="N376" s="36">
        <v>41.35</v>
      </c>
      <c r="O376" s="53">
        <v>8</v>
      </c>
      <c r="P376" s="29">
        <v>696</v>
      </c>
      <c r="Q376" s="29">
        <v>12</v>
      </c>
      <c r="R376" s="29">
        <f t="shared" si="154"/>
        <v>8352</v>
      </c>
      <c r="S376" s="30">
        <f t="shared" si="155"/>
        <v>10</v>
      </c>
      <c r="T376" s="36">
        <v>41.35</v>
      </c>
      <c r="U376" s="53">
        <v>8</v>
      </c>
      <c r="V376" s="29">
        <v>700</v>
      </c>
      <c r="W376" s="29">
        <v>12</v>
      </c>
      <c r="X376" s="29">
        <f t="shared" si="156"/>
        <v>8400</v>
      </c>
      <c r="Y376" s="30">
        <f t="shared" si="157"/>
        <v>45</v>
      </c>
      <c r="Z376" s="151">
        <f>SUM(L376, R376, X376)+SUM(L377, R377, X377)</f>
        <v>24936</v>
      </c>
      <c r="AA376" s="151">
        <f>SUM(M376, S376, Y376)+SUM(M377, S377, Y377)</f>
        <v>75</v>
      </c>
      <c r="AB376" s="153">
        <f>IF($Z376=0, ,AA376/$Z376)</f>
        <v>3.0076997112608275E-3</v>
      </c>
      <c r="AC376" s="155"/>
    </row>
    <row r="377" spans="1:29" x14ac:dyDescent="0.2">
      <c r="A377" s="193"/>
      <c r="B377" s="162"/>
      <c r="C377" s="150"/>
      <c r="D377" s="9"/>
      <c r="E377" s="9"/>
      <c r="F377" s="9"/>
      <c r="G377" s="150"/>
      <c r="H377" s="36"/>
      <c r="I377" s="53"/>
      <c r="J377" s="29"/>
      <c r="K377" s="29"/>
      <c r="L377" s="29">
        <f t="shared" si="152"/>
        <v>0</v>
      </c>
      <c r="M377" s="30">
        <f t="shared" si="153"/>
        <v>0</v>
      </c>
      <c r="N377" s="36"/>
      <c r="O377" s="53"/>
      <c r="P377" s="29"/>
      <c r="Q377" s="29"/>
      <c r="R377" s="29">
        <f t="shared" si="154"/>
        <v>0</v>
      </c>
      <c r="S377" s="30">
        <f t="shared" si="155"/>
        <v>0</v>
      </c>
      <c r="T377" s="36"/>
      <c r="U377" s="53"/>
      <c r="V377" s="29"/>
      <c r="W377" s="29"/>
      <c r="X377" s="29">
        <f t="shared" si="156"/>
        <v>0</v>
      </c>
      <c r="Y377" s="30">
        <f t="shared" si="157"/>
        <v>0</v>
      </c>
      <c r="Z377" s="152"/>
      <c r="AA377" s="152"/>
      <c r="AB377" s="154"/>
      <c r="AC377" s="156"/>
    </row>
    <row r="378" spans="1:29" x14ac:dyDescent="0.2">
      <c r="A378" s="193"/>
      <c r="B378" s="42"/>
      <c r="C378" s="42"/>
      <c r="D378" s="42"/>
      <c r="E378" s="42"/>
      <c r="F378" s="42"/>
      <c r="G378" s="42"/>
      <c r="H378" s="59"/>
      <c r="I378" s="60"/>
      <c r="J378" s="61"/>
      <c r="K378" s="61"/>
      <c r="L378" s="61"/>
      <c r="M378" s="62"/>
      <c r="N378" s="59"/>
      <c r="O378" s="60"/>
      <c r="P378" s="61"/>
      <c r="Q378" s="61"/>
      <c r="R378" s="61"/>
      <c r="S378" s="62"/>
      <c r="T378" s="59"/>
      <c r="U378" s="60"/>
      <c r="V378" s="61"/>
      <c r="W378" s="61"/>
      <c r="X378" s="61"/>
      <c r="Y378" s="62"/>
      <c r="Z378" s="62"/>
      <c r="AA378" s="62"/>
      <c r="AB378" s="63"/>
      <c r="AC378" s="45"/>
    </row>
    <row r="379" spans="1:29" x14ac:dyDescent="0.2">
      <c r="A379" s="193"/>
      <c r="B379" s="157" t="s">
        <v>32</v>
      </c>
      <c r="C379" s="158"/>
      <c r="D379" s="158"/>
      <c r="E379" s="158"/>
      <c r="F379" s="158"/>
      <c r="G379" s="77" t="s">
        <v>33</v>
      </c>
      <c r="H379" s="159" t="s">
        <v>29</v>
      </c>
      <c r="I379" s="159"/>
      <c r="J379" s="159"/>
      <c r="K379" s="159" t="s">
        <v>41</v>
      </c>
      <c r="L379" s="159"/>
      <c r="M379" s="159"/>
      <c r="N379" s="160" t="s">
        <v>63</v>
      </c>
      <c r="O379" s="159"/>
      <c r="P379" s="159"/>
      <c r="Q379" s="160" t="s">
        <v>62</v>
      </c>
      <c r="R379" s="159"/>
      <c r="S379" s="159"/>
      <c r="T379" s="160" t="s">
        <v>61</v>
      </c>
      <c r="U379" s="159"/>
      <c r="V379" s="159"/>
      <c r="W379" s="159" t="s">
        <v>39</v>
      </c>
      <c r="X379" s="159"/>
      <c r="Y379" s="159"/>
      <c r="Z379" s="159" t="s">
        <v>40</v>
      </c>
      <c r="AA379" s="159"/>
      <c r="AB379" s="159"/>
      <c r="AC379" s="166"/>
    </row>
    <row r="380" spans="1:29" x14ac:dyDescent="0.2">
      <c r="A380" s="193"/>
      <c r="B380" s="157"/>
      <c r="C380" s="158"/>
      <c r="D380" s="158"/>
      <c r="E380" s="158"/>
      <c r="F380" s="158"/>
      <c r="G380" s="77" t="s">
        <v>34</v>
      </c>
      <c r="H380" s="78" t="s">
        <v>35</v>
      </c>
      <c r="I380" s="78" t="s">
        <v>36</v>
      </c>
      <c r="J380" s="79" t="s">
        <v>37</v>
      </c>
      <c r="K380" s="78" t="s">
        <v>35</v>
      </c>
      <c r="L380" s="78" t="s">
        <v>36</v>
      </c>
      <c r="M380" s="79" t="s">
        <v>37</v>
      </c>
      <c r="N380" s="78" t="s">
        <v>35</v>
      </c>
      <c r="O380" s="78" t="s">
        <v>36</v>
      </c>
      <c r="P380" s="79" t="s">
        <v>37</v>
      </c>
      <c r="Q380" s="78" t="s">
        <v>35</v>
      </c>
      <c r="R380" s="78" t="s">
        <v>36</v>
      </c>
      <c r="S380" s="79" t="s">
        <v>37</v>
      </c>
      <c r="T380" s="78" t="s">
        <v>35</v>
      </c>
      <c r="U380" s="78" t="s">
        <v>36</v>
      </c>
      <c r="V380" s="79" t="s">
        <v>37</v>
      </c>
      <c r="W380" s="78" t="s">
        <v>35</v>
      </c>
      <c r="X380" s="78" t="s">
        <v>36</v>
      </c>
      <c r="Y380" s="79" t="s">
        <v>37</v>
      </c>
      <c r="Z380" s="78" t="s">
        <v>35</v>
      </c>
      <c r="AA380" s="78" t="s">
        <v>36</v>
      </c>
      <c r="AB380" s="79" t="s">
        <v>37</v>
      </c>
      <c r="AC380" s="167"/>
    </row>
    <row r="381" spans="1:29" x14ac:dyDescent="0.2">
      <c r="A381" s="193"/>
      <c r="B381" s="168" t="str">
        <f t="shared" ref="B381:C386" si="158">IF(ISBLANK(B372), "-", B372)</f>
        <v>2A</v>
      </c>
      <c r="C381" s="169" t="str">
        <f t="shared" si="158"/>
        <v>JAR-007B</v>
      </c>
      <c r="D381" s="73">
        <v>21231</v>
      </c>
      <c r="E381" s="73" t="str">
        <f t="shared" ref="E381:F386" si="159">IF(ISBLANK(E372), "-", E372)</f>
        <v>White</v>
      </c>
      <c r="F381" s="73" t="str">
        <f t="shared" si="159"/>
        <v>RPET</v>
      </c>
      <c r="G381" s="170"/>
      <c r="H381" s="74">
        <v>1020</v>
      </c>
      <c r="I381" s="74"/>
      <c r="J381" s="74"/>
      <c r="K381" s="74"/>
      <c r="L381" s="74"/>
      <c r="M381" s="74"/>
      <c r="N381" s="75"/>
      <c r="O381" s="75"/>
      <c r="P381" s="75"/>
      <c r="Q381" s="75"/>
      <c r="R381" s="75"/>
      <c r="S381" s="74"/>
      <c r="T381" s="75"/>
      <c r="U381" s="75"/>
      <c r="V381" s="75"/>
      <c r="W381" s="75"/>
      <c r="X381" s="75"/>
      <c r="Y381" s="74"/>
      <c r="Z381" s="74"/>
      <c r="AA381" s="74">
        <v>50</v>
      </c>
      <c r="AB381" s="76">
        <v>100</v>
      </c>
      <c r="AC381" s="167"/>
    </row>
    <row r="382" spans="1:29" x14ac:dyDescent="0.2">
      <c r="A382" s="193"/>
      <c r="B382" s="168" t="str">
        <f t="shared" si="158"/>
        <v>-</v>
      </c>
      <c r="C382" s="169" t="str">
        <f t="shared" si="158"/>
        <v>-</v>
      </c>
      <c r="D382" s="73" t="str">
        <f>IF(ISBLANK(D373), "-", D373)</f>
        <v>-</v>
      </c>
      <c r="E382" s="73" t="str">
        <f t="shared" si="159"/>
        <v>-</v>
      </c>
      <c r="F382" s="73" t="str">
        <f t="shared" si="159"/>
        <v>-</v>
      </c>
      <c r="G382" s="171"/>
      <c r="H382" s="75"/>
      <c r="I382" s="75"/>
      <c r="J382" s="75"/>
      <c r="K382" s="75"/>
      <c r="L382" s="75"/>
      <c r="M382" s="74"/>
      <c r="N382" s="75"/>
      <c r="O382" s="75"/>
      <c r="P382" s="75"/>
      <c r="Q382" s="75"/>
      <c r="R382" s="75"/>
      <c r="S382" s="74"/>
      <c r="T382" s="75"/>
      <c r="U382" s="75"/>
      <c r="V382" s="75"/>
      <c r="W382" s="75"/>
      <c r="X382" s="75"/>
      <c r="Y382" s="74"/>
      <c r="Z382" s="74"/>
      <c r="AA382" s="74"/>
      <c r="AB382" s="76"/>
      <c r="AC382" s="167"/>
    </row>
    <row r="383" spans="1:29" x14ac:dyDescent="0.2">
      <c r="A383" s="193"/>
      <c r="B383" s="173" t="str">
        <f t="shared" si="158"/>
        <v>3A</v>
      </c>
      <c r="C383" s="174" t="str">
        <f t="shared" si="158"/>
        <v>JAR-014</v>
      </c>
      <c r="D383" s="102">
        <f>IF(ISBLANK(D374), "-", D374)</f>
        <v>21234</v>
      </c>
      <c r="E383" s="102" t="str">
        <f t="shared" si="159"/>
        <v>White</v>
      </c>
      <c r="F383" s="102" t="str">
        <f t="shared" si="159"/>
        <v>RPET</v>
      </c>
      <c r="G383" s="171"/>
      <c r="H383" s="94">
        <v>154</v>
      </c>
      <c r="I383" s="94"/>
      <c r="J383" s="94"/>
      <c r="K383" s="94"/>
      <c r="L383" s="94"/>
      <c r="M383" s="94"/>
      <c r="N383" s="95"/>
      <c r="O383" s="95"/>
      <c r="P383" s="95"/>
      <c r="Q383" s="95"/>
      <c r="R383" s="95"/>
      <c r="S383" s="94"/>
      <c r="T383" s="95"/>
      <c r="U383" s="95"/>
      <c r="V383" s="95"/>
      <c r="W383" s="95"/>
      <c r="X383" s="95"/>
      <c r="Y383" s="94"/>
      <c r="Z383" s="94"/>
      <c r="AA383" s="94">
        <v>5</v>
      </c>
      <c r="AB383" s="96">
        <v>10</v>
      </c>
      <c r="AC383" s="167"/>
    </row>
    <row r="384" spans="1:29" x14ac:dyDescent="0.2">
      <c r="A384" s="193"/>
      <c r="B384" s="173" t="str">
        <f t="shared" si="158"/>
        <v>-</v>
      </c>
      <c r="C384" s="174" t="str">
        <f t="shared" si="158"/>
        <v>-</v>
      </c>
      <c r="D384" s="102" t="str">
        <f>IF(ISBLANK(D375), "-", D375)</f>
        <v>-</v>
      </c>
      <c r="E384" s="102" t="str">
        <f t="shared" si="159"/>
        <v>-</v>
      </c>
      <c r="F384" s="102" t="str">
        <f t="shared" si="159"/>
        <v>-</v>
      </c>
      <c r="G384" s="171"/>
      <c r="H384" s="95"/>
      <c r="I384" s="95"/>
      <c r="J384" s="95"/>
      <c r="K384" s="95"/>
      <c r="L384" s="95"/>
      <c r="M384" s="94"/>
      <c r="N384" s="95"/>
      <c r="O384" s="95"/>
      <c r="P384" s="95"/>
      <c r="Q384" s="95"/>
      <c r="R384" s="95"/>
      <c r="S384" s="94"/>
      <c r="T384" s="95"/>
      <c r="U384" s="95"/>
      <c r="V384" s="95"/>
      <c r="W384" s="95"/>
      <c r="X384" s="95"/>
      <c r="Y384" s="94"/>
      <c r="Z384" s="94"/>
      <c r="AA384" s="94"/>
      <c r="AB384" s="96"/>
      <c r="AC384" s="167"/>
    </row>
    <row r="385" spans="1:29" x14ac:dyDescent="0.2">
      <c r="A385" s="193"/>
      <c r="B385" s="168" t="str">
        <f t="shared" si="158"/>
        <v>4A</v>
      </c>
      <c r="C385" s="169" t="str">
        <f t="shared" si="158"/>
        <v>JAR-007A</v>
      </c>
      <c r="D385" s="73">
        <f>IF(ISBLANK(D376), "-", D376)</f>
        <v>21231</v>
      </c>
      <c r="E385" s="73" t="str">
        <f t="shared" si="159"/>
        <v>White</v>
      </c>
      <c r="F385" s="73" t="str">
        <f t="shared" si="159"/>
        <v>RPET</v>
      </c>
      <c r="G385" s="171"/>
      <c r="H385" s="75">
        <v>20</v>
      </c>
      <c r="I385" s="75"/>
      <c r="J385" s="75"/>
      <c r="K385" s="75"/>
      <c r="L385" s="75"/>
      <c r="M385" s="74"/>
      <c r="N385" s="75"/>
      <c r="O385" s="75"/>
      <c r="P385" s="75"/>
      <c r="Q385" s="75"/>
      <c r="R385" s="75"/>
      <c r="S385" s="74"/>
      <c r="T385" s="75"/>
      <c r="U385" s="75"/>
      <c r="V385" s="75"/>
      <c r="W385" s="75"/>
      <c r="X385" s="75"/>
      <c r="Y385" s="74"/>
      <c r="Z385" s="74"/>
      <c r="AA385" s="74">
        <v>10</v>
      </c>
      <c r="AB385" s="76">
        <v>45</v>
      </c>
      <c r="AC385" s="167"/>
    </row>
    <row r="386" spans="1:29" x14ac:dyDescent="0.2">
      <c r="A386" s="193"/>
      <c r="B386" s="168" t="str">
        <f t="shared" si="158"/>
        <v>-</v>
      </c>
      <c r="C386" s="169" t="str">
        <f t="shared" si="158"/>
        <v>-</v>
      </c>
      <c r="D386" s="73" t="str">
        <f>IF(ISBLANK(D377), "-", D377)</f>
        <v>-</v>
      </c>
      <c r="E386" s="73" t="str">
        <f t="shared" si="159"/>
        <v>-</v>
      </c>
      <c r="F386" s="73" t="str">
        <f t="shared" si="159"/>
        <v>-</v>
      </c>
      <c r="G386" s="172"/>
      <c r="H386" s="75"/>
      <c r="I386" s="75"/>
      <c r="J386" s="75"/>
      <c r="K386" s="75"/>
      <c r="L386" s="75"/>
      <c r="M386" s="74"/>
      <c r="N386" s="75"/>
      <c r="O386" s="75"/>
      <c r="P386" s="75"/>
      <c r="Q386" s="75"/>
      <c r="R386" s="75"/>
      <c r="S386" s="74"/>
      <c r="T386" s="75"/>
      <c r="U386" s="75"/>
      <c r="V386" s="75"/>
      <c r="W386" s="75"/>
      <c r="X386" s="75"/>
      <c r="Y386" s="74"/>
      <c r="Z386" s="74"/>
      <c r="AA386" s="74"/>
      <c r="AB386" s="76"/>
      <c r="AC386" s="167"/>
    </row>
    <row r="388" spans="1:29" x14ac:dyDescent="0.2">
      <c r="A388" s="193">
        <v>44733</v>
      </c>
      <c r="B388" s="16" t="s">
        <v>20</v>
      </c>
      <c r="C388" s="17"/>
      <c r="D388" s="18" t="s">
        <v>21</v>
      </c>
      <c r="E388" s="17">
        <v>0</v>
      </c>
      <c r="F388" s="24"/>
      <c r="G388" s="25"/>
      <c r="H388" s="38"/>
      <c r="I388" s="51"/>
      <c r="J388" s="57"/>
      <c r="K388" s="25"/>
      <c r="L388" s="18"/>
      <c r="M388" s="25"/>
      <c r="N388" s="38"/>
      <c r="O388" s="51"/>
      <c r="P388" s="57"/>
      <c r="Q388" s="25"/>
      <c r="R388" s="18"/>
      <c r="S388" s="25"/>
      <c r="T388" s="38"/>
      <c r="U388" s="51"/>
      <c r="V388" s="57"/>
      <c r="W388" s="25"/>
      <c r="X388" s="18"/>
      <c r="Y388" s="18"/>
      <c r="Z388" s="25"/>
      <c r="AA388" s="18"/>
      <c r="AB388" s="18"/>
      <c r="AC388" s="26"/>
    </row>
    <row r="389" spans="1:29" x14ac:dyDescent="0.2">
      <c r="A389" s="193"/>
      <c r="B389" s="157" t="s">
        <v>3</v>
      </c>
      <c r="C389" s="158" t="s">
        <v>0</v>
      </c>
      <c r="D389" s="158" t="s">
        <v>10</v>
      </c>
      <c r="E389" s="158" t="s">
        <v>4</v>
      </c>
      <c r="F389" s="158" t="s">
        <v>9</v>
      </c>
      <c r="G389" s="180" t="s">
        <v>5</v>
      </c>
      <c r="H389" s="187" t="s">
        <v>6</v>
      </c>
      <c r="I389" s="188"/>
      <c r="J389" s="188"/>
      <c r="K389" s="188"/>
      <c r="L389" s="188"/>
      <c r="M389" s="189"/>
      <c r="N389" s="187" t="s">
        <v>7</v>
      </c>
      <c r="O389" s="188"/>
      <c r="P389" s="188"/>
      <c r="Q389" s="188"/>
      <c r="R389" s="188"/>
      <c r="S389" s="189"/>
      <c r="T389" s="187" t="s">
        <v>8</v>
      </c>
      <c r="U389" s="188"/>
      <c r="V389" s="188"/>
      <c r="W389" s="188"/>
      <c r="X389" s="188"/>
      <c r="Y389" s="189"/>
      <c r="Z389" s="163" t="s">
        <v>16</v>
      </c>
      <c r="AA389" s="163" t="s">
        <v>66</v>
      </c>
      <c r="AB389" s="163" t="s">
        <v>27</v>
      </c>
      <c r="AC389" s="181" t="s">
        <v>11</v>
      </c>
    </row>
    <row r="390" spans="1:29" ht="24" x14ac:dyDescent="0.2">
      <c r="A390" s="193"/>
      <c r="B390" s="157"/>
      <c r="C390" s="158"/>
      <c r="D390" s="158"/>
      <c r="E390" s="158"/>
      <c r="F390" s="158"/>
      <c r="G390" s="180"/>
      <c r="H390" s="39" t="s">
        <v>24</v>
      </c>
      <c r="I390" s="98" t="s">
        <v>25</v>
      </c>
      <c r="J390" s="99" t="s">
        <v>28</v>
      </c>
      <c r="K390" s="100" t="s">
        <v>22</v>
      </c>
      <c r="L390" s="101" t="s">
        <v>2</v>
      </c>
      <c r="M390" s="27" t="s">
        <v>14</v>
      </c>
      <c r="N390" s="39" t="s">
        <v>24</v>
      </c>
      <c r="O390" s="98" t="s">
        <v>25</v>
      </c>
      <c r="P390" s="99" t="s">
        <v>28</v>
      </c>
      <c r="Q390" s="100" t="s">
        <v>22</v>
      </c>
      <c r="R390" s="27" t="s">
        <v>2</v>
      </c>
      <c r="S390" s="27" t="s">
        <v>14</v>
      </c>
      <c r="T390" s="39" t="s">
        <v>24</v>
      </c>
      <c r="U390" s="98" t="s">
        <v>25</v>
      </c>
      <c r="V390" s="99" t="s">
        <v>28</v>
      </c>
      <c r="W390" s="100" t="s">
        <v>22</v>
      </c>
      <c r="X390" s="27" t="s">
        <v>2</v>
      </c>
      <c r="Y390" s="27" t="s">
        <v>14</v>
      </c>
      <c r="Z390" s="164"/>
      <c r="AA390" s="165"/>
      <c r="AB390" s="165"/>
      <c r="AC390" s="182"/>
    </row>
    <row r="391" spans="1:29" x14ac:dyDescent="0.2">
      <c r="A391" s="193"/>
      <c r="B391" s="194" t="s">
        <v>42</v>
      </c>
      <c r="C391" s="196" t="s">
        <v>45</v>
      </c>
      <c r="D391" s="11">
        <v>21231</v>
      </c>
      <c r="E391" s="11" t="s">
        <v>46</v>
      </c>
      <c r="F391" s="11" t="s">
        <v>130</v>
      </c>
      <c r="G391" s="196" t="s">
        <v>1</v>
      </c>
      <c r="H391" s="34">
        <v>41.45</v>
      </c>
      <c r="I391" s="49">
        <v>0</v>
      </c>
      <c r="J391" s="28">
        <v>0</v>
      </c>
      <c r="K391" s="28">
        <v>12</v>
      </c>
      <c r="L391" s="28">
        <f t="shared" ref="L391:L396" si="160">IF(ISBLANK(J391), , J391*K391)</f>
        <v>0</v>
      </c>
      <c r="M391" s="23">
        <f t="shared" ref="M391:M396" si="161">H400+K400+N400+Q400+T400+W400+Z400</f>
        <v>0</v>
      </c>
      <c r="N391" s="34">
        <v>41.45</v>
      </c>
      <c r="O391" s="49">
        <v>0</v>
      </c>
      <c r="P391" s="28">
        <v>0</v>
      </c>
      <c r="Q391" s="28">
        <v>12</v>
      </c>
      <c r="R391" s="28">
        <f t="shared" ref="R391:R396" si="162">IF(ISBLANK(P391), , P391*Q391)</f>
        <v>0</v>
      </c>
      <c r="S391" s="23">
        <f t="shared" ref="S391:S396" si="163">I400+L400+O400+R400+U400+X400+AA400</f>
        <v>0</v>
      </c>
      <c r="T391" s="34">
        <v>41.45</v>
      </c>
      <c r="U391" s="49">
        <v>0</v>
      </c>
      <c r="V391" s="28">
        <v>0</v>
      </c>
      <c r="W391" s="28">
        <v>12</v>
      </c>
      <c r="X391" s="28">
        <f t="shared" ref="X391:X396" si="164">IF(ISBLANK(V391), , V391*W391)</f>
        <v>0</v>
      </c>
      <c r="Y391" s="23">
        <f t="shared" ref="Y391:Y396" si="165">J400+M400+P400+S400+V400+Y400+AB400</f>
        <v>0</v>
      </c>
      <c r="Z391" s="151">
        <f>SUM(L391, R391, X391)+SUM(L392, R392, X392)</f>
        <v>0</v>
      </c>
      <c r="AA391" s="151">
        <f>SUM(M391, S391, Y391)+SUM(M392, S392, Y392)</f>
        <v>0</v>
      </c>
      <c r="AB391" s="153">
        <f>IF($Z391=0, ,AA391/$Z391)</f>
        <v>0</v>
      </c>
      <c r="AC391" s="179"/>
    </row>
    <row r="392" spans="1:29" x14ac:dyDescent="0.2">
      <c r="A392" s="193"/>
      <c r="B392" s="195"/>
      <c r="C392" s="197"/>
      <c r="D392" s="11"/>
      <c r="E392" s="11"/>
      <c r="F392" s="11"/>
      <c r="G392" s="198"/>
      <c r="H392" s="34"/>
      <c r="I392" s="49"/>
      <c r="J392" s="28"/>
      <c r="K392" s="28"/>
      <c r="L392" s="28">
        <f t="shared" si="160"/>
        <v>0</v>
      </c>
      <c r="M392" s="23">
        <f t="shared" si="161"/>
        <v>0</v>
      </c>
      <c r="N392" s="34"/>
      <c r="O392" s="49"/>
      <c r="P392" s="28"/>
      <c r="Q392" s="28"/>
      <c r="R392" s="28">
        <f t="shared" si="162"/>
        <v>0</v>
      </c>
      <c r="S392" s="23">
        <f t="shared" si="163"/>
        <v>0</v>
      </c>
      <c r="T392" s="34"/>
      <c r="U392" s="49"/>
      <c r="V392" s="28"/>
      <c r="W392" s="28"/>
      <c r="X392" s="28">
        <f t="shared" si="164"/>
        <v>0</v>
      </c>
      <c r="Y392" s="23">
        <f t="shared" si="165"/>
        <v>0</v>
      </c>
      <c r="Z392" s="152"/>
      <c r="AA392" s="152"/>
      <c r="AB392" s="154"/>
      <c r="AC392" s="155"/>
    </row>
    <row r="393" spans="1:29" x14ac:dyDescent="0.2">
      <c r="A393" s="193"/>
      <c r="B393" s="175" t="s">
        <v>43</v>
      </c>
      <c r="C393" s="177" t="s">
        <v>65</v>
      </c>
      <c r="D393" s="10">
        <v>21234</v>
      </c>
      <c r="E393" s="10" t="s">
        <v>46</v>
      </c>
      <c r="F393" s="10" t="s">
        <v>130</v>
      </c>
      <c r="G393" s="177" t="s">
        <v>1</v>
      </c>
      <c r="H393" s="35">
        <v>41.6</v>
      </c>
      <c r="I393" s="52">
        <v>0</v>
      </c>
      <c r="J393" s="64">
        <v>0</v>
      </c>
      <c r="K393" s="64">
        <v>12</v>
      </c>
      <c r="L393" s="64">
        <f t="shared" si="160"/>
        <v>0</v>
      </c>
      <c r="M393" s="65">
        <f t="shared" si="161"/>
        <v>0</v>
      </c>
      <c r="N393" s="66">
        <v>41.6</v>
      </c>
      <c r="O393" s="67">
        <v>0</v>
      </c>
      <c r="P393" s="64">
        <v>0</v>
      </c>
      <c r="Q393" s="64">
        <v>12</v>
      </c>
      <c r="R393" s="64">
        <f t="shared" si="162"/>
        <v>0</v>
      </c>
      <c r="S393" s="65">
        <f t="shared" si="163"/>
        <v>0</v>
      </c>
      <c r="T393" s="66">
        <v>41.6</v>
      </c>
      <c r="U393" s="67">
        <v>0</v>
      </c>
      <c r="V393" s="64">
        <v>0</v>
      </c>
      <c r="W393" s="64">
        <v>12</v>
      </c>
      <c r="X393" s="64">
        <f t="shared" si="164"/>
        <v>0</v>
      </c>
      <c r="Y393" s="65">
        <f t="shared" si="165"/>
        <v>0</v>
      </c>
      <c r="Z393" s="183">
        <f>SUM(L393, R393, X393)+SUM(L394, R394, X394)</f>
        <v>0</v>
      </c>
      <c r="AA393" s="185">
        <f>SUM(M393, S393, Y393)+SUM(M394, S394, Y394)</f>
        <v>0</v>
      </c>
      <c r="AB393" s="190">
        <f>IF($Z393=0, ,AA393/$Z393)</f>
        <v>0</v>
      </c>
      <c r="AC393" s="192"/>
    </row>
    <row r="394" spans="1:29" x14ac:dyDescent="0.2">
      <c r="A394" s="193"/>
      <c r="B394" s="176"/>
      <c r="C394" s="178"/>
      <c r="D394" s="10"/>
      <c r="E394" s="10"/>
      <c r="F394" s="10"/>
      <c r="G394" s="178"/>
      <c r="H394" s="35"/>
      <c r="I394" s="52"/>
      <c r="J394" s="64"/>
      <c r="K394" s="64"/>
      <c r="L394" s="64">
        <f t="shared" si="160"/>
        <v>0</v>
      </c>
      <c r="M394" s="65">
        <f t="shared" si="161"/>
        <v>0</v>
      </c>
      <c r="N394" s="66"/>
      <c r="O394" s="67"/>
      <c r="P394" s="64"/>
      <c r="Q394" s="64"/>
      <c r="R394" s="64">
        <f t="shared" si="162"/>
        <v>0</v>
      </c>
      <c r="S394" s="65">
        <f t="shared" si="163"/>
        <v>0</v>
      </c>
      <c r="T394" s="66"/>
      <c r="U394" s="67"/>
      <c r="V394" s="64"/>
      <c r="W394" s="64"/>
      <c r="X394" s="64">
        <f t="shared" si="164"/>
        <v>0</v>
      </c>
      <c r="Y394" s="65">
        <f t="shared" si="165"/>
        <v>0</v>
      </c>
      <c r="Z394" s="184"/>
      <c r="AA394" s="186"/>
      <c r="AB394" s="191"/>
      <c r="AC394" s="192"/>
    </row>
    <row r="395" spans="1:29" x14ac:dyDescent="0.2">
      <c r="A395" s="193"/>
      <c r="B395" s="161" t="s">
        <v>44</v>
      </c>
      <c r="C395" s="149" t="s">
        <v>67</v>
      </c>
      <c r="D395" s="9">
        <v>21231</v>
      </c>
      <c r="E395" s="9" t="s">
        <v>46</v>
      </c>
      <c r="F395" s="9" t="s">
        <v>130</v>
      </c>
      <c r="G395" s="149" t="s">
        <v>1</v>
      </c>
      <c r="H395" s="36">
        <v>41.35</v>
      </c>
      <c r="I395" s="53">
        <v>0</v>
      </c>
      <c r="J395" s="29">
        <v>0</v>
      </c>
      <c r="K395" s="29">
        <v>12</v>
      </c>
      <c r="L395" s="29">
        <f t="shared" si="160"/>
        <v>0</v>
      </c>
      <c r="M395" s="30">
        <f t="shared" si="161"/>
        <v>0</v>
      </c>
      <c r="N395" s="36">
        <v>41.35</v>
      </c>
      <c r="O395" s="53">
        <v>0</v>
      </c>
      <c r="P395" s="29">
        <v>0</v>
      </c>
      <c r="Q395" s="29">
        <v>12</v>
      </c>
      <c r="R395" s="29">
        <f t="shared" si="162"/>
        <v>0</v>
      </c>
      <c r="S395" s="30">
        <f t="shared" si="163"/>
        <v>0</v>
      </c>
      <c r="T395" s="36">
        <v>41.35</v>
      </c>
      <c r="U395" s="53">
        <v>0</v>
      </c>
      <c r="V395" s="29">
        <v>0</v>
      </c>
      <c r="W395" s="29">
        <v>12</v>
      </c>
      <c r="X395" s="29">
        <f t="shared" si="164"/>
        <v>0</v>
      </c>
      <c r="Y395" s="30">
        <f t="shared" si="165"/>
        <v>0</v>
      </c>
      <c r="Z395" s="151">
        <f>SUM(L395, R395, X395)+SUM(L396, R396, X396)</f>
        <v>0</v>
      </c>
      <c r="AA395" s="151">
        <f>SUM(M395, S395, Y395)+SUM(M396, S396, Y396)</f>
        <v>0</v>
      </c>
      <c r="AB395" s="153">
        <f>IF($Z395=0, ,AA395/$Z395)</f>
        <v>0</v>
      </c>
      <c r="AC395" s="155"/>
    </row>
    <row r="396" spans="1:29" x14ac:dyDescent="0.2">
      <c r="A396" s="193"/>
      <c r="B396" s="162"/>
      <c r="C396" s="150"/>
      <c r="D396" s="9"/>
      <c r="E396" s="9"/>
      <c r="F396" s="9"/>
      <c r="G396" s="150"/>
      <c r="H396" s="36"/>
      <c r="I396" s="53"/>
      <c r="J396" s="29"/>
      <c r="K396" s="29"/>
      <c r="L396" s="29">
        <f t="shared" si="160"/>
        <v>0</v>
      </c>
      <c r="M396" s="30">
        <f t="shared" si="161"/>
        <v>0</v>
      </c>
      <c r="N396" s="36"/>
      <c r="O396" s="53"/>
      <c r="P396" s="29"/>
      <c r="Q396" s="29"/>
      <c r="R396" s="29">
        <f t="shared" si="162"/>
        <v>0</v>
      </c>
      <c r="S396" s="30">
        <f t="shared" si="163"/>
        <v>0</v>
      </c>
      <c r="T396" s="36"/>
      <c r="U396" s="53"/>
      <c r="V396" s="29"/>
      <c r="W396" s="29"/>
      <c r="X396" s="29">
        <f t="shared" si="164"/>
        <v>0</v>
      </c>
      <c r="Y396" s="30">
        <f t="shared" si="165"/>
        <v>0</v>
      </c>
      <c r="Z396" s="152"/>
      <c r="AA396" s="152"/>
      <c r="AB396" s="154"/>
      <c r="AC396" s="156"/>
    </row>
    <row r="397" spans="1:29" x14ac:dyDescent="0.2">
      <c r="A397" s="193"/>
      <c r="B397" s="42"/>
      <c r="C397" s="42"/>
      <c r="D397" s="42"/>
      <c r="E397" s="42"/>
      <c r="F397" s="42"/>
      <c r="G397" s="42"/>
      <c r="H397" s="59"/>
      <c r="I397" s="60"/>
      <c r="J397" s="61"/>
      <c r="K397" s="61"/>
      <c r="L397" s="61"/>
      <c r="M397" s="62"/>
      <c r="N397" s="59"/>
      <c r="O397" s="60"/>
      <c r="P397" s="61"/>
      <c r="Q397" s="61"/>
      <c r="R397" s="61"/>
      <c r="S397" s="62"/>
      <c r="T397" s="59"/>
      <c r="U397" s="60"/>
      <c r="V397" s="61"/>
      <c r="W397" s="61"/>
      <c r="X397" s="61"/>
      <c r="Y397" s="62"/>
      <c r="Z397" s="62"/>
      <c r="AA397" s="62"/>
      <c r="AB397" s="63"/>
      <c r="AC397" s="45"/>
    </row>
    <row r="398" spans="1:29" x14ac:dyDescent="0.2">
      <c r="A398" s="193"/>
      <c r="B398" s="157" t="s">
        <v>32</v>
      </c>
      <c r="C398" s="158"/>
      <c r="D398" s="158"/>
      <c r="E398" s="158"/>
      <c r="F398" s="158"/>
      <c r="G398" s="77" t="s">
        <v>33</v>
      </c>
      <c r="H398" s="159" t="s">
        <v>29</v>
      </c>
      <c r="I398" s="159"/>
      <c r="J398" s="159"/>
      <c r="K398" s="159" t="s">
        <v>41</v>
      </c>
      <c r="L398" s="159"/>
      <c r="M398" s="159"/>
      <c r="N398" s="160" t="s">
        <v>63</v>
      </c>
      <c r="O398" s="159"/>
      <c r="P398" s="159"/>
      <c r="Q398" s="160" t="s">
        <v>62</v>
      </c>
      <c r="R398" s="159"/>
      <c r="S398" s="159"/>
      <c r="T398" s="160" t="s">
        <v>61</v>
      </c>
      <c r="U398" s="159"/>
      <c r="V398" s="159"/>
      <c r="W398" s="159" t="s">
        <v>39</v>
      </c>
      <c r="X398" s="159"/>
      <c r="Y398" s="159"/>
      <c r="Z398" s="159" t="s">
        <v>40</v>
      </c>
      <c r="AA398" s="159"/>
      <c r="AB398" s="159"/>
      <c r="AC398" s="166"/>
    </row>
    <row r="399" spans="1:29" x14ac:dyDescent="0.2">
      <c r="A399" s="193"/>
      <c r="B399" s="157"/>
      <c r="C399" s="158"/>
      <c r="D399" s="158"/>
      <c r="E399" s="158"/>
      <c r="F399" s="158"/>
      <c r="G399" s="77" t="s">
        <v>34</v>
      </c>
      <c r="H399" s="78" t="s">
        <v>35</v>
      </c>
      <c r="I399" s="78" t="s">
        <v>36</v>
      </c>
      <c r="J399" s="79" t="s">
        <v>37</v>
      </c>
      <c r="K399" s="78" t="s">
        <v>35</v>
      </c>
      <c r="L399" s="78" t="s">
        <v>36</v>
      </c>
      <c r="M399" s="79" t="s">
        <v>37</v>
      </c>
      <c r="N399" s="78" t="s">
        <v>35</v>
      </c>
      <c r="O399" s="78" t="s">
        <v>36</v>
      </c>
      <c r="P399" s="79" t="s">
        <v>37</v>
      </c>
      <c r="Q399" s="78" t="s">
        <v>35</v>
      </c>
      <c r="R399" s="78" t="s">
        <v>36</v>
      </c>
      <c r="S399" s="79" t="s">
        <v>37</v>
      </c>
      <c r="T399" s="78" t="s">
        <v>35</v>
      </c>
      <c r="U399" s="78" t="s">
        <v>36</v>
      </c>
      <c r="V399" s="79" t="s">
        <v>37</v>
      </c>
      <c r="W399" s="78" t="s">
        <v>35</v>
      </c>
      <c r="X399" s="78" t="s">
        <v>36</v>
      </c>
      <c r="Y399" s="79" t="s">
        <v>37</v>
      </c>
      <c r="Z399" s="78" t="s">
        <v>35</v>
      </c>
      <c r="AA399" s="78" t="s">
        <v>36</v>
      </c>
      <c r="AB399" s="79" t="s">
        <v>37</v>
      </c>
      <c r="AC399" s="167"/>
    </row>
    <row r="400" spans="1:29" x14ac:dyDescent="0.2">
      <c r="A400" s="193"/>
      <c r="B400" s="168" t="str">
        <f t="shared" ref="B400:C405" si="166">IF(ISBLANK(B391), "-", B391)</f>
        <v>2A</v>
      </c>
      <c r="C400" s="169" t="str">
        <f t="shared" si="166"/>
        <v>JAR-007B</v>
      </c>
      <c r="D400" s="73">
        <v>21231</v>
      </c>
      <c r="E400" s="73" t="str">
        <f t="shared" ref="E400:F405" si="167">IF(ISBLANK(E391), "-", E391)</f>
        <v>White</v>
      </c>
      <c r="F400" s="73" t="str">
        <f t="shared" si="167"/>
        <v>RPET</v>
      </c>
      <c r="G400" s="170"/>
      <c r="H400" s="74"/>
      <c r="I400" s="74"/>
      <c r="J400" s="74"/>
      <c r="K400" s="74"/>
      <c r="L400" s="74"/>
      <c r="M400" s="74"/>
      <c r="N400" s="75"/>
      <c r="O400" s="75"/>
      <c r="P400" s="75"/>
      <c r="Q400" s="75"/>
      <c r="R400" s="75"/>
      <c r="S400" s="74"/>
      <c r="T400" s="75"/>
      <c r="U400" s="75"/>
      <c r="V400" s="75"/>
      <c r="W400" s="75"/>
      <c r="X400" s="75"/>
      <c r="Y400" s="74"/>
      <c r="Z400" s="74"/>
      <c r="AA400" s="74"/>
      <c r="AB400" s="76"/>
      <c r="AC400" s="167"/>
    </row>
    <row r="401" spans="1:29" x14ac:dyDescent="0.2">
      <c r="A401" s="193"/>
      <c r="B401" s="168" t="str">
        <f t="shared" si="166"/>
        <v>-</v>
      </c>
      <c r="C401" s="169" t="str">
        <f t="shared" si="166"/>
        <v>-</v>
      </c>
      <c r="D401" s="73" t="str">
        <f>IF(ISBLANK(D392), "-", D392)</f>
        <v>-</v>
      </c>
      <c r="E401" s="73" t="str">
        <f t="shared" si="167"/>
        <v>-</v>
      </c>
      <c r="F401" s="73" t="str">
        <f t="shared" si="167"/>
        <v>-</v>
      </c>
      <c r="G401" s="171"/>
      <c r="H401" s="75"/>
      <c r="I401" s="75"/>
      <c r="J401" s="75"/>
      <c r="K401" s="75"/>
      <c r="L401" s="75"/>
      <c r="M401" s="74"/>
      <c r="N401" s="75"/>
      <c r="O401" s="75"/>
      <c r="P401" s="75"/>
      <c r="Q401" s="75"/>
      <c r="R401" s="75"/>
      <c r="S401" s="74"/>
      <c r="T401" s="75"/>
      <c r="U401" s="75"/>
      <c r="V401" s="75"/>
      <c r="W401" s="75"/>
      <c r="X401" s="75"/>
      <c r="Y401" s="74"/>
      <c r="Z401" s="74"/>
      <c r="AA401" s="74"/>
      <c r="AB401" s="76"/>
      <c r="AC401" s="167"/>
    </row>
    <row r="402" spans="1:29" x14ac:dyDescent="0.2">
      <c r="A402" s="193"/>
      <c r="B402" s="173" t="str">
        <f t="shared" si="166"/>
        <v>3A</v>
      </c>
      <c r="C402" s="174" t="str">
        <f t="shared" si="166"/>
        <v>JAR-014</v>
      </c>
      <c r="D402" s="102">
        <f>IF(ISBLANK(D393), "-", D393)</f>
        <v>21234</v>
      </c>
      <c r="E402" s="102" t="str">
        <f t="shared" si="167"/>
        <v>White</v>
      </c>
      <c r="F402" s="102" t="str">
        <f t="shared" si="167"/>
        <v>RPET</v>
      </c>
      <c r="G402" s="171"/>
      <c r="H402" s="94"/>
      <c r="I402" s="94"/>
      <c r="J402" s="94"/>
      <c r="K402" s="94"/>
      <c r="L402" s="94"/>
      <c r="M402" s="94"/>
      <c r="N402" s="95"/>
      <c r="O402" s="95"/>
      <c r="P402" s="95"/>
      <c r="Q402" s="95"/>
      <c r="R402" s="95"/>
      <c r="S402" s="94"/>
      <c r="T402" s="95"/>
      <c r="U402" s="95"/>
      <c r="V402" s="95"/>
      <c r="W402" s="95"/>
      <c r="X402" s="95"/>
      <c r="Y402" s="94"/>
      <c r="Z402" s="94"/>
      <c r="AA402" s="94"/>
      <c r="AB402" s="96"/>
      <c r="AC402" s="167"/>
    </row>
    <row r="403" spans="1:29" x14ac:dyDescent="0.2">
      <c r="A403" s="193"/>
      <c r="B403" s="173" t="str">
        <f t="shared" si="166"/>
        <v>-</v>
      </c>
      <c r="C403" s="174" t="str">
        <f t="shared" si="166"/>
        <v>-</v>
      </c>
      <c r="D403" s="102" t="str">
        <f>IF(ISBLANK(D394), "-", D394)</f>
        <v>-</v>
      </c>
      <c r="E403" s="102" t="str">
        <f t="shared" si="167"/>
        <v>-</v>
      </c>
      <c r="F403" s="102" t="str">
        <f t="shared" si="167"/>
        <v>-</v>
      </c>
      <c r="G403" s="171"/>
      <c r="H403" s="95"/>
      <c r="I403" s="95"/>
      <c r="J403" s="95"/>
      <c r="K403" s="95"/>
      <c r="L403" s="95"/>
      <c r="M403" s="94"/>
      <c r="N403" s="95"/>
      <c r="O403" s="95"/>
      <c r="P403" s="95"/>
      <c r="Q403" s="95"/>
      <c r="R403" s="95"/>
      <c r="S403" s="94"/>
      <c r="T403" s="95"/>
      <c r="U403" s="95"/>
      <c r="V403" s="95"/>
      <c r="W403" s="95"/>
      <c r="X403" s="95"/>
      <c r="Y403" s="94"/>
      <c r="Z403" s="94"/>
      <c r="AA403" s="94"/>
      <c r="AB403" s="96"/>
      <c r="AC403" s="167"/>
    </row>
    <row r="404" spans="1:29" x14ac:dyDescent="0.2">
      <c r="A404" s="193"/>
      <c r="B404" s="168" t="str">
        <f t="shared" si="166"/>
        <v>4A</v>
      </c>
      <c r="C404" s="169" t="str">
        <f t="shared" si="166"/>
        <v>JAR-007A</v>
      </c>
      <c r="D404" s="73">
        <f>IF(ISBLANK(D395), "-", D395)</f>
        <v>21231</v>
      </c>
      <c r="E404" s="73" t="str">
        <f t="shared" si="167"/>
        <v>White</v>
      </c>
      <c r="F404" s="73" t="str">
        <f t="shared" si="167"/>
        <v>RPET</v>
      </c>
      <c r="G404" s="171"/>
      <c r="H404" s="75"/>
      <c r="I404" s="75"/>
      <c r="J404" s="75"/>
      <c r="K404" s="75"/>
      <c r="L404" s="75"/>
      <c r="M404" s="74"/>
      <c r="N404" s="75"/>
      <c r="O404" s="75"/>
      <c r="P404" s="75"/>
      <c r="Q404" s="75"/>
      <c r="R404" s="75"/>
      <c r="S404" s="74"/>
      <c r="T404" s="75"/>
      <c r="U404" s="75"/>
      <c r="V404" s="75"/>
      <c r="W404" s="75"/>
      <c r="X404" s="75"/>
      <c r="Y404" s="74"/>
      <c r="Z404" s="74"/>
      <c r="AA404" s="74"/>
      <c r="AB404" s="76"/>
      <c r="AC404" s="167"/>
    </row>
    <row r="405" spans="1:29" x14ac:dyDescent="0.2">
      <c r="A405" s="193"/>
      <c r="B405" s="168" t="str">
        <f t="shared" si="166"/>
        <v>-</v>
      </c>
      <c r="C405" s="169" t="str">
        <f t="shared" si="166"/>
        <v>-</v>
      </c>
      <c r="D405" s="73" t="str">
        <f>IF(ISBLANK(D396), "-", D396)</f>
        <v>-</v>
      </c>
      <c r="E405" s="73" t="str">
        <f t="shared" si="167"/>
        <v>-</v>
      </c>
      <c r="F405" s="73" t="str">
        <f t="shared" si="167"/>
        <v>-</v>
      </c>
      <c r="G405" s="172"/>
      <c r="H405" s="75"/>
      <c r="I405" s="75"/>
      <c r="J405" s="75"/>
      <c r="K405" s="75"/>
      <c r="L405" s="75"/>
      <c r="M405" s="74"/>
      <c r="N405" s="75"/>
      <c r="O405" s="75"/>
      <c r="P405" s="75"/>
      <c r="Q405" s="75"/>
      <c r="R405" s="75"/>
      <c r="S405" s="74"/>
      <c r="T405" s="75"/>
      <c r="U405" s="75"/>
      <c r="V405" s="75"/>
      <c r="W405" s="75"/>
      <c r="X405" s="75"/>
      <c r="Y405" s="74"/>
      <c r="Z405" s="74"/>
      <c r="AA405" s="74"/>
      <c r="AB405" s="76"/>
      <c r="AC405" s="167"/>
    </row>
  </sheetData>
  <mergeCells count="1072">
    <mergeCell ref="AC398:AC405"/>
    <mergeCell ref="B400:B401"/>
    <mergeCell ref="C400:C401"/>
    <mergeCell ref="G400:G405"/>
    <mergeCell ref="B402:B403"/>
    <mergeCell ref="C402:C403"/>
    <mergeCell ref="B404:B405"/>
    <mergeCell ref="C404:C405"/>
    <mergeCell ref="AB395:AB396"/>
    <mergeCell ref="AC395:AC396"/>
    <mergeCell ref="B398:F399"/>
    <mergeCell ref="H398:J398"/>
    <mergeCell ref="K398:M398"/>
    <mergeCell ref="N398:P398"/>
    <mergeCell ref="Q398:S398"/>
    <mergeCell ref="T398:V398"/>
    <mergeCell ref="W398:Y398"/>
    <mergeCell ref="Z398:AB398"/>
    <mergeCell ref="Z313:Z314"/>
    <mergeCell ref="AA313:AA314"/>
    <mergeCell ref="AC313:AC314"/>
    <mergeCell ref="AB317:AB318"/>
    <mergeCell ref="AC317:AC318"/>
    <mergeCell ref="G393:G394"/>
    <mergeCell ref="Z393:Z394"/>
    <mergeCell ref="AA393:AA394"/>
    <mergeCell ref="AB393:AB394"/>
    <mergeCell ref="AC393:AC394"/>
    <mergeCell ref="B395:B396"/>
    <mergeCell ref="C395:C396"/>
    <mergeCell ref="G395:G396"/>
    <mergeCell ref="Z395:Z396"/>
    <mergeCell ref="AA395:AA396"/>
    <mergeCell ref="AB389:AB390"/>
    <mergeCell ref="AC389:AC390"/>
    <mergeCell ref="B391:B392"/>
    <mergeCell ref="C391:C392"/>
    <mergeCell ref="G391:G392"/>
    <mergeCell ref="Z391:Z392"/>
    <mergeCell ref="AA391:AA392"/>
    <mergeCell ref="AB391:AB392"/>
    <mergeCell ref="AC391:AC392"/>
    <mergeCell ref="G389:G390"/>
    <mergeCell ref="H389:M389"/>
    <mergeCell ref="N389:S389"/>
    <mergeCell ref="T389:Y389"/>
    <mergeCell ref="Z389:Z390"/>
    <mergeCell ref="AA389:AA390"/>
    <mergeCell ref="AC319:AC320"/>
    <mergeCell ref="N322:P322"/>
    <mergeCell ref="AC303:AC310"/>
    <mergeCell ref="B305:B306"/>
    <mergeCell ref="C305:C306"/>
    <mergeCell ref="G305:G310"/>
    <mergeCell ref="B307:B308"/>
    <mergeCell ref="C307:C308"/>
    <mergeCell ref="B309:B310"/>
    <mergeCell ref="C309:C310"/>
    <mergeCell ref="AB300:AB301"/>
    <mergeCell ref="AC300:AC301"/>
    <mergeCell ref="B303:F304"/>
    <mergeCell ref="H303:J303"/>
    <mergeCell ref="K303:M303"/>
    <mergeCell ref="N303:P303"/>
    <mergeCell ref="Q303:S303"/>
    <mergeCell ref="T303:V303"/>
    <mergeCell ref="W303:Y303"/>
    <mergeCell ref="Z303:AB303"/>
    <mergeCell ref="H294:M294"/>
    <mergeCell ref="B294:B295"/>
    <mergeCell ref="C294:C295"/>
    <mergeCell ref="D294:D295"/>
    <mergeCell ref="E294:E295"/>
    <mergeCell ref="F294:F295"/>
    <mergeCell ref="B298:B299"/>
    <mergeCell ref="C298:C299"/>
    <mergeCell ref="B300:B301"/>
    <mergeCell ref="C300:C301"/>
    <mergeCell ref="A388:A405"/>
    <mergeCell ref="B389:B390"/>
    <mergeCell ref="C389:C390"/>
    <mergeCell ref="D389:D390"/>
    <mergeCell ref="E389:E390"/>
    <mergeCell ref="F389:F390"/>
    <mergeCell ref="B393:B394"/>
    <mergeCell ref="C393:C394"/>
    <mergeCell ref="A293:A310"/>
    <mergeCell ref="A369:A386"/>
    <mergeCell ref="B370:B371"/>
    <mergeCell ref="C370:C371"/>
    <mergeCell ref="D370:D371"/>
    <mergeCell ref="E351:E352"/>
    <mergeCell ref="F351:F352"/>
    <mergeCell ref="B355:B356"/>
    <mergeCell ref="B353:B354"/>
    <mergeCell ref="C353:C354"/>
    <mergeCell ref="G353:G354"/>
    <mergeCell ref="B372:B373"/>
    <mergeCell ref="C372:C373"/>
    <mergeCell ref="G372:G373"/>
    <mergeCell ref="C250:C251"/>
    <mergeCell ref="B252:B253"/>
    <mergeCell ref="C252:C253"/>
    <mergeCell ref="B246:F247"/>
    <mergeCell ref="H246:J246"/>
    <mergeCell ref="K246:M246"/>
    <mergeCell ref="N246:P246"/>
    <mergeCell ref="Q246:S246"/>
    <mergeCell ref="T246:V246"/>
    <mergeCell ref="G241:G242"/>
    <mergeCell ref="Z241:Z242"/>
    <mergeCell ref="AA241:AA242"/>
    <mergeCell ref="AB241:AB242"/>
    <mergeCell ref="AC241:AC242"/>
    <mergeCell ref="G243:G244"/>
    <mergeCell ref="Z243:Z244"/>
    <mergeCell ref="AA243:AA244"/>
    <mergeCell ref="AB243:AB244"/>
    <mergeCell ref="AC243:AC244"/>
    <mergeCell ref="AB237:AB238"/>
    <mergeCell ref="N237:S237"/>
    <mergeCell ref="T237:Y237"/>
    <mergeCell ref="Z237:Z238"/>
    <mergeCell ref="AA237:AA238"/>
    <mergeCell ref="AC237:AC238"/>
    <mergeCell ref="B239:B240"/>
    <mergeCell ref="C239:C240"/>
    <mergeCell ref="G239:G240"/>
    <mergeCell ref="Z239:Z240"/>
    <mergeCell ref="AA239:AA240"/>
    <mergeCell ref="AB239:AB240"/>
    <mergeCell ref="AC239:AC240"/>
    <mergeCell ref="G237:G238"/>
    <mergeCell ref="H237:M237"/>
    <mergeCell ref="A236:A253"/>
    <mergeCell ref="B237:B238"/>
    <mergeCell ref="C237:C238"/>
    <mergeCell ref="D237:D238"/>
    <mergeCell ref="E237:E238"/>
    <mergeCell ref="F237:F238"/>
    <mergeCell ref="B241:B242"/>
    <mergeCell ref="C241:C242"/>
    <mergeCell ref="B243:B244"/>
    <mergeCell ref="C243:C244"/>
    <mergeCell ref="W246:Y246"/>
    <mergeCell ref="Z246:AB246"/>
    <mergeCell ref="AC246:AC253"/>
    <mergeCell ref="B248:B249"/>
    <mergeCell ref="C248:C249"/>
    <mergeCell ref="G248:G253"/>
    <mergeCell ref="B250:B251"/>
    <mergeCell ref="C231:C232"/>
    <mergeCell ref="B233:B234"/>
    <mergeCell ref="C233:C234"/>
    <mergeCell ref="B227:F228"/>
    <mergeCell ref="H227:J227"/>
    <mergeCell ref="K227:M227"/>
    <mergeCell ref="N227:P227"/>
    <mergeCell ref="Q227:S227"/>
    <mergeCell ref="T227:V227"/>
    <mergeCell ref="G222:G223"/>
    <mergeCell ref="Z222:Z223"/>
    <mergeCell ref="AA222:AA223"/>
    <mergeCell ref="AB222:AB223"/>
    <mergeCell ref="AC222:AC223"/>
    <mergeCell ref="G224:G225"/>
    <mergeCell ref="Z224:Z225"/>
    <mergeCell ref="AA224:AA225"/>
    <mergeCell ref="AB224:AB225"/>
    <mergeCell ref="AC224:AC225"/>
    <mergeCell ref="AB218:AB219"/>
    <mergeCell ref="N218:S218"/>
    <mergeCell ref="T218:Y218"/>
    <mergeCell ref="Z218:Z219"/>
    <mergeCell ref="AA218:AA219"/>
    <mergeCell ref="AC218:AC219"/>
    <mergeCell ref="B220:B221"/>
    <mergeCell ref="C220:C221"/>
    <mergeCell ref="G220:G221"/>
    <mergeCell ref="Z220:Z221"/>
    <mergeCell ref="AA220:AA221"/>
    <mergeCell ref="AB220:AB221"/>
    <mergeCell ref="AC220:AC221"/>
    <mergeCell ref="G218:G219"/>
    <mergeCell ref="H218:M218"/>
    <mergeCell ref="A217:A234"/>
    <mergeCell ref="B218:B219"/>
    <mergeCell ref="C218:C219"/>
    <mergeCell ref="D218:D219"/>
    <mergeCell ref="E218:E219"/>
    <mergeCell ref="F218:F219"/>
    <mergeCell ref="B222:B223"/>
    <mergeCell ref="C222:C223"/>
    <mergeCell ref="B224:B225"/>
    <mergeCell ref="C224:C225"/>
    <mergeCell ref="W227:Y227"/>
    <mergeCell ref="Z227:AB227"/>
    <mergeCell ref="AC227:AC234"/>
    <mergeCell ref="B229:B230"/>
    <mergeCell ref="C229:C230"/>
    <mergeCell ref="G229:G234"/>
    <mergeCell ref="B231:B232"/>
    <mergeCell ref="AC208:AC215"/>
    <mergeCell ref="B210:B211"/>
    <mergeCell ref="C210:C211"/>
    <mergeCell ref="G210:G215"/>
    <mergeCell ref="B212:B213"/>
    <mergeCell ref="C212:C213"/>
    <mergeCell ref="B214:B215"/>
    <mergeCell ref="C214:C215"/>
    <mergeCell ref="AB205:AB206"/>
    <mergeCell ref="AC205:AC206"/>
    <mergeCell ref="B208:F209"/>
    <mergeCell ref="H208:J208"/>
    <mergeCell ref="K208:M208"/>
    <mergeCell ref="N208:P208"/>
    <mergeCell ref="Q208:S208"/>
    <mergeCell ref="T208:V208"/>
    <mergeCell ref="W208:Y208"/>
    <mergeCell ref="Z208:AB208"/>
    <mergeCell ref="AB203:AB204"/>
    <mergeCell ref="AC203:AC204"/>
    <mergeCell ref="G205:G206"/>
    <mergeCell ref="Z205:Z206"/>
    <mergeCell ref="AA205:AA206"/>
    <mergeCell ref="AB199:AB200"/>
    <mergeCell ref="N199:S199"/>
    <mergeCell ref="T199:Y199"/>
    <mergeCell ref="Z199:Z200"/>
    <mergeCell ref="AA199:AA200"/>
    <mergeCell ref="AC199:AC200"/>
    <mergeCell ref="B201:B202"/>
    <mergeCell ref="C201:C202"/>
    <mergeCell ref="G201:G202"/>
    <mergeCell ref="Z201:Z202"/>
    <mergeCell ref="AA201:AA202"/>
    <mergeCell ref="AB201:AB202"/>
    <mergeCell ref="AC201:AC202"/>
    <mergeCell ref="G199:G200"/>
    <mergeCell ref="H199:M199"/>
    <mergeCell ref="A198:A215"/>
    <mergeCell ref="B199:B200"/>
    <mergeCell ref="C199:C200"/>
    <mergeCell ref="D199:D200"/>
    <mergeCell ref="E199:E200"/>
    <mergeCell ref="F199:F200"/>
    <mergeCell ref="B203:B204"/>
    <mergeCell ref="C203:C204"/>
    <mergeCell ref="B205:B206"/>
    <mergeCell ref="C205:C206"/>
    <mergeCell ref="W189:Y189"/>
    <mergeCell ref="Z189:AB189"/>
    <mergeCell ref="AC189:AC196"/>
    <mergeCell ref="B191:B192"/>
    <mergeCell ref="C191:C192"/>
    <mergeCell ref="G191:G196"/>
    <mergeCell ref="B193:B194"/>
    <mergeCell ref="C193:C194"/>
    <mergeCell ref="B195:B196"/>
    <mergeCell ref="C195:C196"/>
    <mergeCell ref="B189:F190"/>
    <mergeCell ref="H189:J189"/>
    <mergeCell ref="K189:M189"/>
    <mergeCell ref="N189:P189"/>
    <mergeCell ref="Q189:S189"/>
    <mergeCell ref="T189:V189"/>
    <mergeCell ref="A179:A196"/>
    <mergeCell ref="B186:B187"/>
    <mergeCell ref="C186:C187"/>
    <mergeCell ref="G203:G204"/>
    <mergeCell ref="Z203:Z204"/>
    <mergeCell ref="AA203:AA204"/>
    <mergeCell ref="G184:G185"/>
    <mergeCell ref="Z184:Z185"/>
    <mergeCell ref="AA184:AA185"/>
    <mergeCell ref="AB184:AB185"/>
    <mergeCell ref="AC184:AC185"/>
    <mergeCell ref="G186:G187"/>
    <mergeCell ref="Z186:Z187"/>
    <mergeCell ref="AA186:AA187"/>
    <mergeCell ref="AB186:AB187"/>
    <mergeCell ref="AC186:AC187"/>
    <mergeCell ref="AB180:AB181"/>
    <mergeCell ref="N180:S180"/>
    <mergeCell ref="T180:Y180"/>
    <mergeCell ref="Z180:Z181"/>
    <mergeCell ref="AA180:AA181"/>
    <mergeCell ref="AC180:AC181"/>
    <mergeCell ref="B182:B183"/>
    <mergeCell ref="C182:C183"/>
    <mergeCell ref="G182:G183"/>
    <mergeCell ref="Z182:Z183"/>
    <mergeCell ref="AA182:AA183"/>
    <mergeCell ref="AB182:AB183"/>
    <mergeCell ref="AC182:AC183"/>
    <mergeCell ref="G180:G181"/>
    <mergeCell ref="H180:M180"/>
    <mergeCell ref="B180:B181"/>
    <mergeCell ref="C180:C181"/>
    <mergeCell ref="D180:D181"/>
    <mergeCell ref="E180:E181"/>
    <mergeCell ref="F180:F181"/>
    <mergeCell ref="B184:B185"/>
    <mergeCell ref="C184:C185"/>
    <mergeCell ref="AC170:AC177"/>
    <mergeCell ref="B172:B173"/>
    <mergeCell ref="C172:C173"/>
    <mergeCell ref="G172:G177"/>
    <mergeCell ref="B174:B175"/>
    <mergeCell ref="C174:C175"/>
    <mergeCell ref="B176:B177"/>
    <mergeCell ref="C176:C177"/>
    <mergeCell ref="AB167:AB168"/>
    <mergeCell ref="AC167:AC168"/>
    <mergeCell ref="B170:F171"/>
    <mergeCell ref="H170:J170"/>
    <mergeCell ref="K170:M170"/>
    <mergeCell ref="N170:P170"/>
    <mergeCell ref="Q170:S170"/>
    <mergeCell ref="T170:V170"/>
    <mergeCell ref="W170:Y170"/>
    <mergeCell ref="Z170:AB170"/>
    <mergeCell ref="AB165:AB166"/>
    <mergeCell ref="AC165:AC166"/>
    <mergeCell ref="G167:G168"/>
    <mergeCell ref="Z167:Z168"/>
    <mergeCell ref="AA167:AA168"/>
    <mergeCell ref="AB161:AB162"/>
    <mergeCell ref="N161:S161"/>
    <mergeCell ref="T161:Y161"/>
    <mergeCell ref="Z161:Z162"/>
    <mergeCell ref="AA161:AA162"/>
    <mergeCell ref="AC161:AC162"/>
    <mergeCell ref="B163:B164"/>
    <mergeCell ref="C163:C164"/>
    <mergeCell ref="G163:G164"/>
    <mergeCell ref="Z163:Z164"/>
    <mergeCell ref="AA163:AA164"/>
    <mergeCell ref="AB163:AB164"/>
    <mergeCell ref="AC163:AC164"/>
    <mergeCell ref="G161:G162"/>
    <mergeCell ref="H161:M161"/>
    <mergeCell ref="A160:A177"/>
    <mergeCell ref="B161:B162"/>
    <mergeCell ref="C161:C162"/>
    <mergeCell ref="D161:D162"/>
    <mergeCell ref="E161:E162"/>
    <mergeCell ref="F161:F162"/>
    <mergeCell ref="B165:B166"/>
    <mergeCell ref="C165:C166"/>
    <mergeCell ref="B167:B168"/>
    <mergeCell ref="C167:C168"/>
    <mergeCell ref="W151:Y151"/>
    <mergeCell ref="Z151:AB151"/>
    <mergeCell ref="AC151:AC158"/>
    <mergeCell ref="B153:B154"/>
    <mergeCell ref="C153:C154"/>
    <mergeCell ref="G153:G158"/>
    <mergeCell ref="B155:B156"/>
    <mergeCell ref="C155:C156"/>
    <mergeCell ref="B157:B158"/>
    <mergeCell ref="C157:C158"/>
    <mergeCell ref="B151:F152"/>
    <mergeCell ref="H151:J151"/>
    <mergeCell ref="K151:M151"/>
    <mergeCell ref="N151:P151"/>
    <mergeCell ref="Q151:S151"/>
    <mergeCell ref="T151:V151"/>
    <mergeCell ref="A141:A158"/>
    <mergeCell ref="B148:B149"/>
    <mergeCell ref="C148:C149"/>
    <mergeCell ref="G165:G166"/>
    <mergeCell ref="Z165:Z166"/>
    <mergeCell ref="AA165:AA166"/>
    <mergeCell ref="G146:G147"/>
    <mergeCell ref="Z146:Z147"/>
    <mergeCell ref="AA146:AA147"/>
    <mergeCell ref="AB146:AB147"/>
    <mergeCell ref="AC146:AC147"/>
    <mergeCell ref="G148:G149"/>
    <mergeCell ref="Z148:Z149"/>
    <mergeCell ref="AA148:AA149"/>
    <mergeCell ref="AB148:AB149"/>
    <mergeCell ref="AC148:AC149"/>
    <mergeCell ref="AB142:AB143"/>
    <mergeCell ref="N142:S142"/>
    <mergeCell ref="T142:Y142"/>
    <mergeCell ref="Z142:Z143"/>
    <mergeCell ref="AA142:AA143"/>
    <mergeCell ref="AC142:AC143"/>
    <mergeCell ref="B144:B145"/>
    <mergeCell ref="C144:C145"/>
    <mergeCell ref="G144:G145"/>
    <mergeCell ref="Z144:Z145"/>
    <mergeCell ref="AA144:AA145"/>
    <mergeCell ref="AB144:AB145"/>
    <mergeCell ref="AC144:AC145"/>
    <mergeCell ref="G142:G143"/>
    <mergeCell ref="H142:M142"/>
    <mergeCell ref="B142:B143"/>
    <mergeCell ref="C142:C143"/>
    <mergeCell ref="D142:D143"/>
    <mergeCell ref="E142:E143"/>
    <mergeCell ref="F142:F143"/>
    <mergeCell ref="B146:B147"/>
    <mergeCell ref="C146:C147"/>
    <mergeCell ref="C136:C137"/>
    <mergeCell ref="B138:B139"/>
    <mergeCell ref="C138:C139"/>
    <mergeCell ref="B132:F133"/>
    <mergeCell ref="H132:J132"/>
    <mergeCell ref="K132:M132"/>
    <mergeCell ref="N132:P132"/>
    <mergeCell ref="Q132:S132"/>
    <mergeCell ref="T132:V132"/>
    <mergeCell ref="G127:G128"/>
    <mergeCell ref="Z127:Z128"/>
    <mergeCell ref="AA127:AA128"/>
    <mergeCell ref="AB127:AB128"/>
    <mergeCell ref="AC127:AC128"/>
    <mergeCell ref="G129:G130"/>
    <mergeCell ref="Z129:Z130"/>
    <mergeCell ref="AA129:AA130"/>
    <mergeCell ref="AB129:AB130"/>
    <mergeCell ref="AC129:AC130"/>
    <mergeCell ref="AB123:AB124"/>
    <mergeCell ref="N123:S123"/>
    <mergeCell ref="T123:Y123"/>
    <mergeCell ref="Z123:Z124"/>
    <mergeCell ref="AA123:AA12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A122:A139"/>
    <mergeCell ref="B123:B124"/>
    <mergeCell ref="C123:C124"/>
    <mergeCell ref="D123:D124"/>
    <mergeCell ref="E123:E124"/>
    <mergeCell ref="F123:F124"/>
    <mergeCell ref="B127:B128"/>
    <mergeCell ref="C127:C128"/>
    <mergeCell ref="B129:B130"/>
    <mergeCell ref="C129:C130"/>
    <mergeCell ref="W132:Y132"/>
    <mergeCell ref="Z132:AB132"/>
    <mergeCell ref="AC132:AC139"/>
    <mergeCell ref="B134:B135"/>
    <mergeCell ref="C134:C135"/>
    <mergeCell ref="G134:G139"/>
    <mergeCell ref="B136:B137"/>
    <mergeCell ref="AC113:AC120"/>
    <mergeCell ref="B115:B116"/>
    <mergeCell ref="C115:C116"/>
    <mergeCell ref="G115:G120"/>
    <mergeCell ref="B117:B118"/>
    <mergeCell ref="C117:C118"/>
    <mergeCell ref="B119:B120"/>
    <mergeCell ref="C119:C120"/>
    <mergeCell ref="AB110:AB111"/>
    <mergeCell ref="AC110:AC111"/>
    <mergeCell ref="B113:F114"/>
    <mergeCell ref="H113:J113"/>
    <mergeCell ref="K113:M113"/>
    <mergeCell ref="N113:P113"/>
    <mergeCell ref="Q113:S113"/>
    <mergeCell ref="T113:V113"/>
    <mergeCell ref="W113:Y113"/>
    <mergeCell ref="Z113:AB113"/>
    <mergeCell ref="AB108:AB109"/>
    <mergeCell ref="AC108:AC109"/>
    <mergeCell ref="G110:G111"/>
    <mergeCell ref="Z110:Z111"/>
    <mergeCell ref="AA110:AA111"/>
    <mergeCell ref="AB104:AB105"/>
    <mergeCell ref="N104:S104"/>
    <mergeCell ref="T104:Y104"/>
    <mergeCell ref="Z104:Z105"/>
    <mergeCell ref="AA104:AA105"/>
    <mergeCell ref="AC104:AC105"/>
    <mergeCell ref="B106:B107"/>
    <mergeCell ref="C106:C107"/>
    <mergeCell ref="G106:G107"/>
    <mergeCell ref="Z106:Z107"/>
    <mergeCell ref="AA106:AA107"/>
    <mergeCell ref="AB106:AB107"/>
    <mergeCell ref="AC106:AC107"/>
    <mergeCell ref="G104:G105"/>
    <mergeCell ref="H104:M104"/>
    <mergeCell ref="A103:A120"/>
    <mergeCell ref="B104:B105"/>
    <mergeCell ref="C104:C105"/>
    <mergeCell ref="D104:D105"/>
    <mergeCell ref="E104:E105"/>
    <mergeCell ref="F104:F105"/>
    <mergeCell ref="B108:B109"/>
    <mergeCell ref="C108:C109"/>
    <mergeCell ref="B110:B111"/>
    <mergeCell ref="C110:C111"/>
    <mergeCell ref="W94:Y94"/>
    <mergeCell ref="Z94:AB94"/>
    <mergeCell ref="AC94:AC101"/>
    <mergeCell ref="B96:B97"/>
    <mergeCell ref="C96:C97"/>
    <mergeCell ref="G96:G101"/>
    <mergeCell ref="B98:B99"/>
    <mergeCell ref="C98:C99"/>
    <mergeCell ref="B100:B101"/>
    <mergeCell ref="C100:C101"/>
    <mergeCell ref="B94:F95"/>
    <mergeCell ref="H94:J94"/>
    <mergeCell ref="K94:M94"/>
    <mergeCell ref="N94:P94"/>
    <mergeCell ref="Q94:S94"/>
    <mergeCell ref="T94:V94"/>
    <mergeCell ref="A84:A101"/>
    <mergeCell ref="B91:B92"/>
    <mergeCell ref="C91:C92"/>
    <mergeCell ref="G108:G109"/>
    <mergeCell ref="Z108:Z109"/>
    <mergeCell ref="AA108:AA109"/>
    <mergeCell ref="G89:G90"/>
    <mergeCell ref="Z89:Z90"/>
    <mergeCell ref="AA89:AA90"/>
    <mergeCell ref="AB89:AB90"/>
    <mergeCell ref="AC89:AC90"/>
    <mergeCell ref="G91:G92"/>
    <mergeCell ref="Z91:Z92"/>
    <mergeCell ref="AA91:AA92"/>
    <mergeCell ref="AB91:AB92"/>
    <mergeCell ref="AC91:AC92"/>
    <mergeCell ref="AB85:AB86"/>
    <mergeCell ref="N85:S85"/>
    <mergeCell ref="T85:Y85"/>
    <mergeCell ref="Z85:Z86"/>
    <mergeCell ref="AA85:AA86"/>
    <mergeCell ref="AC85:AC86"/>
    <mergeCell ref="B87:B88"/>
    <mergeCell ref="C87:C88"/>
    <mergeCell ref="G87:G88"/>
    <mergeCell ref="Z87:Z88"/>
    <mergeCell ref="AA87:AA88"/>
    <mergeCell ref="AB87:AB88"/>
    <mergeCell ref="AC87:AC88"/>
    <mergeCell ref="G85:G86"/>
    <mergeCell ref="H85:M85"/>
    <mergeCell ref="B85:B86"/>
    <mergeCell ref="C85:C86"/>
    <mergeCell ref="D85:D86"/>
    <mergeCell ref="E85:E86"/>
    <mergeCell ref="F85:F86"/>
    <mergeCell ref="B89:B90"/>
    <mergeCell ref="C89:C90"/>
    <mergeCell ref="AC75:AC82"/>
    <mergeCell ref="B77:B78"/>
    <mergeCell ref="C77:C78"/>
    <mergeCell ref="G77:G82"/>
    <mergeCell ref="B79:B80"/>
    <mergeCell ref="C79:C80"/>
    <mergeCell ref="B81:B82"/>
    <mergeCell ref="C81:C82"/>
    <mergeCell ref="AB72:AB73"/>
    <mergeCell ref="AC72:AC73"/>
    <mergeCell ref="B75:F76"/>
    <mergeCell ref="H75:J75"/>
    <mergeCell ref="K75:M75"/>
    <mergeCell ref="N75:P75"/>
    <mergeCell ref="Q75:S75"/>
    <mergeCell ref="T75:V75"/>
    <mergeCell ref="W75:Y75"/>
    <mergeCell ref="Z75:AB75"/>
    <mergeCell ref="G70:G71"/>
    <mergeCell ref="Z70:Z71"/>
    <mergeCell ref="AA70:AA71"/>
    <mergeCell ref="AB70:AB71"/>
    <mergeCell ref="AC70:AC71"/>
    <mergeCell ref="G72:G73"/>
    <mergeCell ref="Z72:Z73"/>
    <mergeCell ref="AA72:AA73"/>
    <mergeCell ref="AB66:AB67"/>
    <mergeCell ref="N66:S66"/>
    <mergeCell ref="T66:Y66"/>
    <mergeCell ref="Z66:Z67"/>
    <mergeCell ref="AA66:AA67"/>
    <mergeCell ref="AC66:AC67"/>
    <mergeCell ref="B68:B69"/>
    <mergeCell ref="C68:C69"/>
    <mergeCell ref="G68:G69"/>
    <mergeCell ref="Z68:Z69"/>
    <mergeCell ref="AA68:AA69"/>
    <mergeCell ref="AB68:AB69"/>
    <mergeCell ref="AC68:AC69"/>
    <mergeCell ref="G66:G67"/>
    <mergeCell ref="H66:M66"/>
    <mergeCell ref="A65:A82"/>
    <mergeCell ref="B66:B67"/>
    <mergeCell ref="C66:C67"/>
    <mergeCell ref="D66:D67"/>
    <mergeCell ref="E66:E67"/>
    <mergeCell ref="F66:F67"/>
    <mergeCell ref="B70:B71"/>
    <mergeCell ref="C70:C71"/>
    <mergeCell ref="B72:B73"/>
    <mergeCell ref="C72:C73"/>
    <mergeCell ref="AC18:AC25"/>
    <mergeCell ref="B20:B21"/>
    <mergeCell ref="C20:C21"/>
    <mergeCell ref="G20:G25"/>
    <mergeCell ref="B22:B23"/>
    <mergeCell ref="C22:C23"/>
    <mergeCell ref="B24:B25"/>
    <mergeCell ref="AB28:AB29"/>
    <mergeCell ref="N28:S28"/>
    <mergeCell ref="T28:Y28"/>
    <mergeCell ref="Z28:Z29"/>
    <mergeCell ref="AA28:AA29"/>
    <mergeCell ref="AC28:AC29"/>
    <mergeCell ref="AB32:AB33"/>
    <mergeCell ref="AC32:AC33"/>
    <mergeCell ref="G34:G35"/>
    <mergeCell ref="Z34:Z35"/>
    <mergeCell ref="AA34:AA35"/>
    <mergeCell ref="AB34:AB35"/>
    <mergeCell ref="AC34:AC35"/>
    <mergeCell ref="N37:P37"/>
    <mergeCell ref="Q37:S37"/>
    <mergeCell ref="AC13:AC14"/>
    <mergeCell ref="C24:C25"/>
    <mergeCell ref="AB15:AB16"/>
    <mergeCell ref="AC15:AC16"/>
    <mergeCell ref="B18:F19"/>
    <mergeCell ref="H18:J18"/>
    <mergeCell ref="K18:M18"/>
    <mergeCell ref="N18:P18"/>
    <mergeCell ref="Q18:S18"/>
    <mergeCell ref="T18:V18"/>
    <mergeCell ref="Z9:Z10"/>
    <mergeCell ref="AA9:AA10"/>
    <mergeCell ref="Z18:AB18"/>
    <mergeCell ref="G13:G14"/>
    <mergeCell ref="Z13:Z14"/>
    <mergeCell ref="AA13:AA14"/>
    <mergeCell ref="AB13:AB14"/>
    <mergeCell ref="W18:Y18"/>
    <mergeCell ref="AC11:AC12"/>
    <mergeCell ref="G9:G10"/>
    <mergeCell ref="H9:M9"/>
    <mergeCell ref="C15:C16"/>
    <mergeCell ref="G15:G16"/>
    <mergeCell ref="Z15:Z16"/>
    <mergeCell ref="AA15:AA16"/>
    <mergeCell ref="AB9:AB10"/>
    <mergeCell ref="N9:S9"/>
    <mergeCell ref="T9:Y9"/>
    <mergeCell ref="B13:B14"/>
    <mergeCell ref="C13:C14"/>
    <mergeCell ref="B15:B16"/>
    <mergeCell ref="AC9:AC10"/>
    <mergeCell ref="B11:B12"/>
    <mergeCell ref="C11:C12"/>
    <mergeCell ref="G11:G12"/>
    <mergeCell ref="Z11:Z12"/>
    <mergeCell ref="AA11:AA12"/>
    <mergeCell ref="AB11:AB12"/>
    <mergeCell ref="C32:C33"/>
    <mergeCell ref="B34:B35"/>
    <mergeCell ref="C34:C35"/>
    <mergeCell ref="M2:R2"/>
    <mergeCell ref="A8:A25"/>
    <mergeCell ref="B9:B10"/>
    <mergeCell ref="C9:C10"/>
    <mergeCell ref="D9:D10"/>
    <mergeCell ref="E9:E10"/>
    <mergeCell ref="F9:F10"/>
    <mergeCell ref="AC30:AC31"/>
    <mergeCell ref="G28:G29"/>
    <mergeCell ref="H28:M28"/>
    <mergeCell ref="A27:A44"/>
    <mergeCell ref="B28:B29"/>
    <mergeCell ref="C28:C29"/>
    <mergeCell ref="D28:D29"/>
    <mergeCell ref="E28:E29"/>
    <mergeCell ref="F28:F29"/>
    <mergeCell ref="B32:B33"/>
    <mergeCell ref="B30:B31"/>
    <mergeCell ref="C30:C31"/>
    <mergeCell ref="G30:G31"/>
    <mergeCell ref="Z30:Z31"/>
    <mergeCell ref="AA30:AA31"/>
    <mergeCell ref="AB30:AB31"/>
    <mergeCell ref="C62:C63"/>
    <mergeCell ref="T37:V37"/>
    <mergeCell ref="G32:G33"/>
    <mergeCell ref="Z32:Z33"/>
    <mergeCell ref="AA32:AA33"/>
    <mergeCell ref="C41:C42"/>
    <mergeCell ref="B43:B44"/>
    <mergeCell ref="C43:C44"/>
    <mergeCell ref="B37:F38"/>
    <mergeCell ref="H37:J37"/>
    <mergeCell ref="K37:M37"/>
    <mergeCell ref="C51:C52"/>
    <mergeCell ref="B53:B54"/>
    <mergeCell ref="C53:C54"/>
    <mergeCell ref="W37:Y37"/>
    <mergeCell ref="Z37:AB37"/>
    <mergeCell ref="AC37:AC44"/>
    <mergeCell ref="B39:B40"/>
    <mergeCell ref="C39:C40"/>
    <mergeCell ref="G39:G44"/>
    <mergeCell ref="B41:B42"/>
    <mergeCell ref="AC49:AC50"/>
    <mergeCell ref="G47:G48"/>
    <mergeCell ref="H47:M47"/>
    <mergeCell ref="AC47:AC48"/>
    <mergeCell ref="AC51:AC52"/>
    <mergeCell ref="AC53:AC54"/>
    <mergeCell ref="T256:Y256"/>
    <mergeCell ref="A46:A63"/>
    <mergeCell ref="B47:B48"/>
    <mergeCell ref="C47:C48"/>
    <mergeCell ref="D47:D48"/>
    <mergeCell ref="E47:E48"/>
    <mergeCell ref="F47:F48"/>
    <mergeCell ref="B51:B52"/>
    <mergeCell ref="B49:B50"/>
    <mergeCell ref="C49:C50"/>
    <mergeCell ref="G49:G50"/>
    <mergeCell ref="Z49:Z50"/>
    <mergeCell ref="AA49:AA50"/>
    <mergeCell ref="AB49:AB50"/>
    <mergeCell ref="AB47:AB48"/>
    <mergeCell ref="N47:S47"/>
    <mergeCell ref="T47:Y47"/>
    <mergeCell ref="Z47:Z48"/>
    <mergeCell ref="AA47:AA48"/>
    <mergeCell ref="AB51:AB52"/>
    <mergeCell ref="G53:G54"/>
    <mergeCell ref="Z53:Z54"/>
    <mergeCell ref="AA53:AA54"/>
    <mergeCell ref="AB53:AB54"/>
    <mergeCell ref="N56:P56"/>
    <mergeCell ref="Q56:S56"/>
    <mergeCell ref="T56:V56"/>
    <mergeCell ref="G51:G52"/>
    <mergeCell ref="Z51:Z52"/>
    <mergeCell ref="AA51:AA52"/>
    <mergeCell ref="C60:C61"/>
    <mergeCell ref="B62:B63"/>
    <mergeCell ref="B265:F266"/>
    <mergeCell ref="H265:J265"/>
    <mergeCell ref="K265:M265"/>
    <mergeCell ref="B56:F57"/>
    <mergeCell ref="H56:J56"/>
    <mergeCell ref="K56:M56"/>
    <mergeCell ref="C260:C261"/>
    <mergeCell ref="B262:B263"/>
    <mergeCell ref="C262:C263"/>
    <mergeCell ref="W56:Y56"/>
    <mergeCell ref="Z56:AB56"/>
    <mergeCell ref="AC56:AC63"/>
    <mergeCell ref="B58:B59"/>
    <mergeCell ref="C58:C59"/>
    <mergeCell ref="G58:G63"/>
    <mergeCell ref="B60:B61"/>
    <mergeCell ref="AC258:AC259"/>
    <mergeCell ref="G256:G257"/>
    <mergeCell ref="H256:M256"/>
    <mergeCell ref="B256:B257"/>
    <mergeCell ref="C256:C257"/>
    <mergeCell ref="D256:D257"/>
    <mergeCell ref="E256:E257"/>
    <mergeCell ref="F256:F257"/>
    <mergeCell ref="B260:B261"/>
    <mergeCell ref="B258:B259"/>
    <mergeCell ref="C258:C259"/>
    <mergeCell ref="G258:G259"/>
    <mergeCell ref="Z258:Z259"/>
    <mergeCell ref="AA258:AA259"/>
    <mergeCell ref="AB258:AB259"/>
    <mergeCell ref="AB256:AB257"/>
    <mergeCell ref="W265:Y265"/>
    <mergeCell ref="Z265:AB265"/>
    <mergeCell ref="AC265:AC272"/>
    <mergeCell ref="B267:B268"/>
    <mergeCell ref="C267:C268"/>
    <mergeCell ref="G267:G272"/>
    <mergeCell ref="B269:B270"/>
    <mergeCell ref="AC277:AC278"/>
    <mergeCell ref="G275:G276"/>
    <mergeCell ref="H275:M275"/>
    <mergeCell ref="AC275:AC276"/>
    <mergeCell ref="AC279:AC280"/>
    <mergeCell ref="AC281:AC282"/>
    <mergeCell ref="Z275:Z276"/>
    <mergeCell ref="AA275:AA276"/>
    <mergeCell ref="Z256:Z257"/>
    <mergeCell ref="AA256:AA257"/>
    <mergeCell ref="AC256:AC257"/>
    <mergeCell ref="AB260:AB261"/>
    <mergeCell ref="AC260:AC261"/>
    <mergeCell ref="G262:G263"/>
    <mergeCell ref="Z262:Z263"/>
    <mergeCell ref="AA262:AA263"/>
    <mergeCell ref="AB262:AB263"/>
    <mergeCell ref="AC262:AC263"/>
    <mergeCell ref="N265:P265"/>
    <mergeCell ref="Q265:S265"/>
    <mergeCell ref="T265:V265"/>
    <mergeCell ref="G260:G261"/>
    <mergeCell ref="Z260:Z261"/>
    <mergeCell ref="AA260:AA261"/>
    <mergeCell ref="C269:C270"/>
    <mergeCell ref="G281:G282"/>
    <mergeCell ref="Z281:Z282"/>
    <mergeCell ref="AA281:AA282"/>
    <mergeCell ref="C290:C291"/>
    <mergeCell ref="AB281:AB282"/>
    <mergeCell ref="B284:F285"/>
    <mergeCell ref="H284:J284"/>
    <mergeCell ref="K284:M284"/>
    <mergeCell ref="N284:P284"/>
    <mergeCell ref="B271:B272"/>
    <mergeCell ref="C271:C272"/>
    <mergeCell ref="A312:A329"/>
    <mergeCell ref="B313:B314"/>
    <mergeCell ref="C313:C314"/>
    <mergeCell ref="D313:D314"/>
    <mergeCell ref="E313:E314"/>
    <mergeCell ref="F313:F314"/>
    <mergeCell ref="B317:B318"/>
    <mergeCell ref="B315:B316"/>
    <mergeCell ref="C315:C316"/>
    <mergeCell ref="G315:G316"/>
    <mergeCell ref="Z315:Z316"/>
    <mergeCell ref="AA315:AA316"/>
    <mergeCell ref="AB315:AB316"/>
    <mergeCell ref="AB313:AB314"/>
    <mergeCell ref="N313:S313"/>
    <mergeCell ref="T313:Y313"/>
    <mergeCell ref="C279:C280"/>
    <mergeCell ref="B281:B282"/>
    <mergeCell ref="C281:C282"/>
    <mergeCell ref="A255:A272"/>
    <mergeCell ref="N256:S256"/>
    <mergeCell ref="A274:A291"/>
    <mergeCell ref="B275:B276"/>
    <mergeCell ref="C275:C276"/>
    <mergeCell ref="D275:D276"/>
    <mergeCell ref="E275:E276"/>
    <mergeCell ref="F275:F276"/>
    <mergeCell ref="B279:B280"/>
    <mergeCell ref="B277:B278"/>
    <mergeCell ref="C277:C278"/>
    <mergeCell ref="G277:G278"/>
    <mergeCell ref="Z277:Z278"/>
    <mergeCell ref="AA277:AA278"/>
    <mergeCell ref="AB277:AB278"/>
    <mergeCell ref="AB275:AB276"/>
    <mergeCell ref="N275:S275"/>
    <mergeCell ref="T275:Y275"/>
    <mergeCell ref="C338:C339"/>
    <mergeCell ref="Q284:S284"/>
    <mergeCell ref="T284:V284"/>
    <mergeCell ref="W284:Y284"/>
    <mergeCell ref="C317:C318"/>
    <mergeCell ref="B319:B320"/>
    <mergeCell ref="C319:C320"/>
    <mergeCell ref="G319:G320"/>
    <mergeCell ref="Z319:Z320"/>
    <mergeCell ref="AA319:AA320"/>
    <mergeCell ref="AB319:AB320"/>
    <mergeCell ref="Z284:AB284"/>
    <mergeCell ref="G279:G280"/>
    <mergeCell ref="Z279:Z280"/>
    <mergeCell ref="AA279:AA280"/>
    <mergeCell ref="AB279:AB280"/>
    <mergeCell ref="AC284:AC291"/>
    <mergeCell ref="B286:B287"/>
    <mergeCell ref="C286:C287"/>
    <mergeCell ref="G286:G291"/>
    <mergeCell ref="B288:B289"/>
    <mergeCell ref="C288:C289"/>
    <mergeCell ref="B290:B291"/>
    <mergeCell ref="AC315:AC316"/>
    <mergeCell ref="G313:G314"/>
    <mergeCell ref="H313:M313"/>
    <mergeCell ref="G298:G299"/>
    <mergeCell ref="Z298:Z299"/>
    <mergeCell ref="AA298:AA299"/>
    <mergeCell ref="AB298:AB299"/>
    <mergeCell ref="AC298:AC299"/>
    <mergeCell ref="G300:G301"/>
    <mergeCell ref="Z300:Z301"/>
    <mergeCell ref="AA300:AA301"/>
    <mergeCell ref="AB294:AB295"/>
    <mergeCell ref="N294:S294"/>
    <mergeCell ref="T294:Y294"/>
    <mergeCell ref="Z294:Z295"/>
    <mergeCell ref="AA294:AA295"/>
    <mergeCell ref="AC294:AC295"/>
    <mergeCell ref="B296:B297"/>
    <mergeCell ref="C296:C297"/>
    <mergeCell ref="G296:G297"/>
    <mergeCell ref="Z296:Z297"/>
    <mergeCell ref="AA296:AA297"/>
    <mergeCell ref="AB296:AB297"/>
    <mergeCell ref="AC296:AC297"/>
    <mergeCell ref="G294:G295"/>
    <mergeCell ref="Q322:S322"/>
    <mergeCell ref="T322:V322"/>
    <mergeCell ref="G317:G318"/>
    <mergeCell ref="Z317:Z318"/>
    <mergeCell ref="AA317:AA318"/>
    <mergeCell ref="C326:C327"/>
    <mergeCell ref="B328:B329"/>
    <mergeCell ref="C328:C329"/>
    <mergeCell ref="B322:F323"/>
    <mergeCell ref="H322:J322"/>
    <mergeCell ref="K322:M322"/>
    <mergeCell ref="W322:Y322"/>
    <mergeCell ref="Z322:AB322"/>
    <mergeCell ref="AC322:AC329"/>
    <mergeCell ref="B324:B325"/>
    <mergeCell ref="C324:C325"/>
    <mergeCell ref="G324:G329"/>
    <mergeCell ref="B326:B327"/>
    <mergeCell ref="A350:A367"/>
    <mergeCell ref="B351:B352"/>
    <mergeCell ref="C351:C352"/>
    <mergeCell ref="D351:D352"/>
    <mergeCell ref="AC341:AC348"/>
    <mergeCell ref="B343:B344"/>
    <mergeCell ref="C343:C344"/>
    <mergeCell ref="G343:G348"/>
    <mergeCell ref="B345:B346"/>
    <mergeCell ref="C345:C346"/>
    <mergeCell ref="B347:B348"/>
    <mergeCell ref="Z341:AB341"/>
    <mergeCell ref="G351:G352"/>
    <mergeCell ref="H351:M351"/>
    <mergeCell ref="AC355:AC356"/>
    <mergeCell ref="AC353:AC354"/>
    <mergeCell ref="AC334:AC335"/>
    <mergeCell ref="B336:B337"/>
    <mergeCell ref="B334:B335"/>
    <mergeCell ref="C334:C335"/>
    <mergeCell ref="G334:G335"/>
    <mergeCell ref="Z334:Z335"/>
    <mergeCell ref="AA334:AA335"/>
    <mergeCell ref="AB334:AB335"/>
    <mergeCell ref="AB338:AB339"/>
    <mergeCell ref="C336:C337"/>
    <mergeCell ref="B338:B339"/>
    <mergeCell ref="AC338:AC339"/>
    <mergeCell ref="B341:F342"/>
    <mergeCell ref="H341:J341"/>
    <mergeCell ref="K341:M341"/>
    <mergeCell ref="N341:P341"/>
    <mergeCell ref="Q341:S341"/>
    <mergeCell ref="T341:V341"/>
    <mergeCell ref="W341:Y341"/>
    <mergeCell ref="A331:A348"/>
    <mergeCell ref="T332:Y332"/>
    <mergeCell ref="Z332:Z333"/>
    <mergeCell ref="AA332:AA333"/>
    <mergeCell ref="AC332:AC333"/>
    <mergeCell ref="G336:G337"/>
    <mergeCell ref="Z336:Z337"/>
    <mergeCell ref="AA336:AA337"/>
    <mergeCell ref="AB336:AB337"/>
    <mergeCell ref="AC336:AC337"/>
    <mergeCell ref="G338:G339"/>
    <mergeCell ref="Z338:Z339"/>
    <mergeCell ref="AA338:AA339"/>
    <mergeCell ref="C347:C348"/>
    <mergeCell ref="G332:G333"/>
    <mergeCell ref="H332:M332"/>
    <mergeCell ref="B332:B333"/>
    <mergeCell ref="C332:C333"/>
    <mergeCell ref="D332:D333"/>
    <mergeCell ref="E332:E333"/>
    <mergeCell ref="F332:F333"/>
    <mergeCell ref="AB332:AB333"/>
    <mergeCell ref="N332:S332"/>
    <mergeCell ref="Z351:Z352"/>
    <mergeCell ref="AA351:AA352"/>
    <mergeCell ref="AB355:AB356"/>
    <mergeCell ref="G357:G358"/>
    <mergeCell ref="Z357:Z358"/>
    <mergeCell ref="AA357:AA358"/>
    <mergeCell ref="C366:C367"/>
    <mergeCell ref="H360:J360"/>
    <mergeCell ref="E370:E371"/>
    <mergeCell ref="AB370:AB371"/>
    <mergeCell ref="AC370:AC371"/>
    <mergeCell ref="Q360:S360"/>
    <mergeCell ref="T360:V360"/>
    <mergeCell ref="W360:Y360"/>
    <mergeCell ref="C355:C356"/>
    <mergeCell ref="B357:B358"/>
    <mergeCell ref="C357:C358"/>
    <mergeCell ref="Z372:Z373"/>
    <mergeCell ref="AA372:AA373"/>
    <mergeCell ref="AB372:AB373"/>
    <mergeCell ref="AC372:AC373"/>
    <mergeCell ref="G370:G371"/>
    <mergeCell ref="G374:G375"/>
    <mergeCell ref="AC351:AC352"/>
    <mergeCell ref="Z360:AB360"/>
    <mergeCell ref="G355:G356"/>
    <mergeCell ref="Z355:Z356"/>
    <mergeCell ref="AA355:AA356"/>
    <mergeCell ref="B362:B363"/>
    <mergeCell ref="C362:C363"/>
    <mergeCell ref="G362:G367"/>
    <mergeCell ref="B364:B365"/>
    <mergeCell ref="C364:C365"/>
    <mergeCell ref="B366:B367"/>
    <mergeCell ref="H370:M370"/>
    <mergeCell ref="N370:S370"/>
    <mergeCell ref="T370:Y370"/>
    <mergeCell ref="K360:M360"/>
    <mergeCell ref="N360:P360"/>
    <mergeCell ref="Z374:Z375"/>
    <mergeCell ref="AA374:AA375"/>
    <mergeCell ref="AB374:AB375"/>
    <mergeCell ref="AC374:AC375"/>
    <mergeCell ref="Z353:Z354"/>
    <mergeCell ref="AA353:AA354"/>
    <mergeCell ref="AB353:AB354"/>
    <mergeCell ref="AB351:AB352"/>
    <mergeCell ref="N351:S351"/>
    <mergeCell ref="T351:Y351"/>
    <mergeCell ref="C376:C377"/>
    <mergeCell ref="G376:G377"/>
    <mergeCell ref="Z376:Z377"/>
    <mergeCell ref="AA376:AA377"/>
    <mergeCell ref="AB376:AB377"/>
    <mergeCell ref="AC376:AC377"/>
    <mergeCell ref="B379:F380"/>
    <mergeCell ref="H379:J379"/>
    <mergeCell ref="K379:M379"/>
    <mergeCell ref="N379:P379"/>
    <mergeCell ref="Q379:S379"/>
    <mergeCell ref="B376:B377"/>
    <mergeCell ref="Z370:Z371"/>
    <mergeCell ref="AA370:AA371"/>
    <mergeCell ref="AB357:AB358"/>
    <mergeCell ref="AC357:AC358"/>
    <mergeCell ref="B360:F361"/>
    <mergeCell ref="T379:V379"/>
    <mergeCell ref="W379:Y379"/>
    <mergeCell ref="Z379:AB379"/>
    <mergeCell ref="AC379:AC386"/>
    <mergeCell ref="B381:B382"/>
    <mergeCell ref="C381:C382"/>
    <mergeCell ref="G381:G386"/>
    <mergeCell ref="B383:B384"/>
    <mergeCell ref="C383:C384"/>
    <mergeCell ref="B385:B386"/>
    <mergeCell ref="C385:C386"/>
    <mergeCell ref="F370:F371"/>
    <mergeCell ref="B374:B375"/>
    <mergeCell ref="C374:C375"/>
    <mergeCell ref="AC360:AC367"/>
  </mergeCells>
  <phoneticPr fontId="10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AB377"/>
  <sheetViews>
    <sheetView zoomScale="70" zoomScaleNormal="70" workbookViewId="0">
      <selection activeCell="M380" sqref="M380"/>
    </sheetView>
  </sheetViews>
  <sheetFormatPr defaultRowHeight="12.75" x14ac:dyDescent="0.2"/>
  <cols>
    <col min="1" max="1" width="11.7109375" customWidth="1"/>
    <col min="3" max="3" width="9.28515625" bestFit="1" customWidth="1"/>
    <col min="4" max="4" width="15.42578125" customWidth="1"/>
    <col min="5" max="5" width="9.28515625" customWidth="1"/>
    <col min="6" max="6" width="11.85546875" customWidth="1"/>
    <col min="7" max="7" width="11.28515625" customWidth="1"/>
    <col min="8" max="8" width="13" customWidth="1"/>
    <col min="9" max="9" width="13.28515625" customWidth="1"/>
    <col min="10" max="10" width="13" customWidth="1"/>
    <col min="11" max="11" width="11.28515625" customWidth="1"/>
    <col min="12" max="12" width="11" customWidth="1"/>
    <col min="13" max="13" width="13" customWidth="1"/>
    <col min="14" max="14" width="12.85546875" customWidth="1"/>
    <col min="15" max="15" width="12" customWidth="1"/>
    <col min="16" max="17" width="11.28515625" customWidth="1"/>
    <col min="18" max="18" width="14.140625" customWidth="1"/>
    <col min="19" max="19" width="12.5703125" customWidth="1"/>
    <col min="20" max="20" width="12.7109375" customWidth="1"/>
    <col min="21" max="21" width="11.28515625" customWidth="1"/>
    <col min="22" max="22" width="13.7109375" customWidth="1"/>
    <col min="23" max="23" width="17.42578125" customWidth="1"/>
    <col min="24" max="24" width="14.5703125" customWidth="1"/>
    <col min="25" max="25" width="12.7109375" customWidth="1"/>
    <col min="26" max="26" width="14.28515625" customWidth="1"/>
    <col min="27" max="27" width="14.140625" customWidth="1"/>
    <col min="28" max="28" width="62.28515625" customWidth="1"/>
    <col min="31" max="31" width="11.85546875" customWidth="1"/>
  </cols>
  <sheetData>
    <row r="2" spans="1:28" ht="28.5" thickBot="1" x14ac:dyDescent="0.45">
      <c r="A2" s="83" t="s">
        <v>59</v>
      </c>
      <c r="B2" s="84"/>
      <c r="C2" s="85"/>
      <c r="D2" s="86"/>
      <c r="E2" s="87"/>
      <c r="F2" s="88"/>
      <c r="G2" s="88"/>
      <c r="H2" s="5"/>
      <c r="I2" s="89" t="s">
        <v>18</v>
      </c>
      <c r="J2" s="199" t="s">
        <v>72</v>
      </c>
      <c r="K2" s="199"/>
      <c r="L2" s="199"/>
      <c r="M2" s="199"/>
      <c r="N2" s="19"/>
      <c r="O2" s="6"/>
      <c r="P2" s="6"/>
      <c r="Q2" s="6"/>
      <c r="R2" s="5"/>
      <c r="S2" s="19"/>
      <c r="T2" s="7"/>
      <c r="U2" s="7"/>
      <c r="V2" s="6"/>
      <c r="W2" s="6"/>
    </row>
    <row r="3" spans="1:28" ht="12.6" customHeight="1" thickTop="1" x14ac:dyDescent="0.25">
      <c r="B3" s="1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7" spans="1:28" ht="12.75" customHeight="1" x14ac:dyDescent="0.2">
      <c r="A7" s="193">
        <v>44713</v>
      </c>
      <c r="B7" s="16"/>
      <c r="C7" s="16" t="s">
        <v>20</v>
      </c>
      <c r="D7" s="17">
        <v>1</v>
      </c>
      <c r="E7" s="18"/>
      <c r="F7" s="18" t="s">
        <v>19</v>
      </c>
      <c r="G7" s="17">
        <v>0</v>
      </c>
      <c r="H7" s="17"/>
      <c r="I7" s="18"/>
      <c r="J7" s="18"/>
      <c r="K7" s="25"/>
      <c r="L7" s="25"/>
      <c r="M7" s="17"/>
      <c r="N7" s="18"/>
      <c r="O7" s="18"/>
      <c r="P7" s="25"/>
      <c r="Q7" s="25"/>
      <c r="R7" s="17"/>
      <c r="S7" s="18"/>
      <c r="T7" s="18"/>
      <c r="U7" s="31">
        <v>19140</v>
      </c>
      <c r="V7" s="32" t="s">
        <v>48</v>
      </c>
      <c r="W7" s="32"/>
      <c r="X7" s="33"/>
      <c r="Y7" s="24"/>
      <c r="Z7" s="24"/>
      <c r="AA7" s="24"/>
      <c r="AB7" s="26"/>
    </row>
    <row r="8" spans="1:28" ht="12.75" customHeight="1" x14ac:dyDescent="0.2">
      <c r="A8" s="193"/>
      <c r="B8" s="157" t="s">
        <v>3</v>
      </c>
      <c r="C8" s="158" t="s">
        <v>10</v>
      </c>
      <c r="D8" s="158" t="s">
        <v>12</v>
      </c>
      <c r="E8" s="180" t="s">
        <v>5</v>
      </c>
      <c r="F8" s="211" t="s">
        <v>6</v>
      </c>
      <c r="G8" s="212"/>
      <c r="H8" s="212"/>
      <c r="I8" s="212"/>
      <c r="J8" s="213"/>
      <c r="K8" s="211" t="s">
        <v>7</v>
      </c>
      <c r="L8" s="212"/>
      <c r="M8" s="212"/>
      <c r="N8" s="212"/>
      <c r="O8" s="213"/>
      <c r="P8" s="211" t="s">
        <v>8</v>
      </c>
      <c r="Q8" s="212"/>
      <c r="R8" s="212"/>
      <c r="S8" s="212"/>
      <c r="T8" s="213"/>
      <c r="U8" s="214" t="s">
        <v>15</v>
      </c>
      <c r="V8" s="214" t="s">
        <v>52</v>
      </c>
      <c r="W8" s="214" t="s">
        <v>53</v>
      </c>
      <c r="X8" s="214" t="s">
        <v>54</v>
      </c>
      <c r="Y8" s="214" t="s">
        <v>55</v>
      </c>
      <c r="Z8" s="214" t="s">
        <v>56</v>
      </c>
      <c r="AA8" s="214" t="s">
        <v>57</v>
      </c>
      <c r="AB8" s="214" t="s">
        <v>17</v>
      </c>
    </row>
    <row r="9" spans="1:28" ht="38.25" x14ac:dyDescent="0.2">
      <c r="A9" s="193"/>
      <c r="B9" s="157"/>
      <c r="C9" s="158"/>
      <c r="D9" s="158"/>
      <c r="E9" s="180"/>
      <c r="F9" s="15" t="s">
        <v>23</v>
      </c>
      <c r="G9" s="15" t="s">
        <v>47</v>
      </c>
      <c r="H9" s="15" t="s">
        <v>50</v>
      </c>
      <c r="I9" s="15" t="s">
        <v>49</v>
      </c>
      <c r="J9" s="15" t="s">
        <v>51</v>
      </c>
      <c r="K9" s="15" t="s">
        <v>23</v>
      </c>
      <c r="L9" s="15" t="s">
        <v>13</v>
      </c>
      <c r="M9" s="15" t="s">
        <v>50</v>
      </c>
      <c r="N9" s="15" t="s">
        <v>49</v>
      </c>
      <c r="O9" s="15" t="s">
        <v>51</v>
      </c>
      <c r="P9" s="15" t="s">
        <v>23</v>
      </c>
      <c r="Q9" s="15" t="s">
        <v>13</v>
      </c>
      <c r="R9" s="15" t="s">
        <v>50</v>
      </c>
      <c r="S9" s="15" t="s">
        <v>49</v>
      </c>
      <c r="T9" s="15" t="s">
        <v>51</v>
      </c>
      <c r="U9" s="214"/>
      <c r="V9" s="214"/>
      <c r="W9" s="214"/>
      <c r="X9" s="214"/>
      <c r="Y9" s="214"/>
      <c r="Z9" s="214"/>
      <c r="AA9" s="214"/>
      <c r="AB9" s="214"/>
    </row>
    <row r="10" spans="1:28" ht="12.75" customHeight="1" x14ac:dyDescent="0.2">
      <c r="A10" s="193"/>
      <c r="B10" s="194" t="s">
        <v>64</v>
      </c>
      <c r="C10" s="11">
        <v>21234</v>
      </c>
      <c r="D10" s="11" t="s">
        <v>71</v>
      </c>
      <c r="E10" s="196" t="s">
        <v>1</v>
      </c>
      <c r="F10" s="12">
        <v>8069</v>
      </c>
      <c r="G10" s="20">
        <f>F10/$U7</f>
        <v>0.42157784743991639</v>
      </c>
      <c r="H10" s="12"/>
      <c r="I10" s="12"/>
      <c r="J10" s="12"/>
      <c r="K10" s="12">
        <v>7812</v>
      </c>
      <c r="L10" s="20">
        <f>K10/$U7</f>
        <v>0.40815047021943573</v>
      </c>
      <c r="M10" s="12"/>
      <c r="N10" s="12"/>
      <c r="O10" s="12"/>
      <c r="P10" s="12">
        <v>8130</v>
      </c>
      <c r="Q10" s="20">
        <f>P10/$U7</f>
        <v>0.42476489028213166</v>
      </c>
      <c r="R10" s="12"/>
      <c r="S10" s="12"/>
      <c r="T10" s="12"/>
      <c r="U10" s="151">
        <f>SUM(F10, K10, P10, F11, K11, P11)</f>
        <v>24011</v>
      </c>
      <c r="V10" s="151">
        <f>SUM(H10, M10, R10, H11, M11, R11)</f>
        <v>0</v>
      </c>
      <c r="W10" s="205">
        <f>IF($U10=0, ,V10/$U10)</f>
        <v>0</v>
      </c>
      <c r="X10" s="151">
        <f>SUM(I10, N10, S10, I11, N11, S11)</f>
        <v>0</v>
      </c>
      <c r="Y10" s="205">
        <f>IF($U10=0, ,X10/$U10)</f>
        <v>0</v>
      </c>
      <c r="Z10" s="151">
        <f>SUM(J10, O10, T10, J11, O11, T11)</f>
        <v>0</v>
      </c>
      <c r="AA10" s="205">
        <f>IF($U10=0, ,Z10/$U10)</f>
        <v>0</v>
      </c>
      <c r="AB10" s="179" t="s">
        <v>73</v>
      </c>
    </row>
    <row r="11" spans="1:28" ht="12.75" customHeight="1" x14ac:dyDescent="0.2">
      <c r="A11" s="193"/>
      <c r="B11" s="204"/>
      <c r="C11" s="11"/>
      <c r="D11" s="11"/>
      <c r="E11" s="198"/>
      <c r="F11" s="12"/>
      <c r="G11" s="20">
        <f>F11/$U7</f>
        <v>0</v>
      </c>
      <c r="H11" s="12"/>
      <c r="I11" s="12"/>
      <c r="J11" s="12"/>
      <c r="K11" s="12"/>
      <c r="L11" s="20">
        <f>K11/$U7</f>
        <v>0</v>
      </c>
      <c r="M11" s="12"/>
      <c r="N11" s="12"/>
      <c r="O11" s="12"/>
      <c r="P11" s="12"/>
      <c r="Q11" s="20">
        <f>P11/$U7</f>
        <v>0</v>
      </c>
      <c r="R11" s="12"/>
      <c r="S11" s="12"/>
      <c r="T11" s="12"/>
      <c r="U11" s="152"/>
      <c r="V11" s="152"/>
      <c r="W11" s="206"/>
      <c r="X11" s="152"/>
      <c r="Y11" s="206"/>
      <c r="Z11" s="152"/>
      <c r="AA11" s="206"/>
      <c r="AB11" s="156"/>
    </row>
    <row r="12" spans="1:28" ht="12.75" customHeight="1" x14ac:dyDescent="0.2">
      <c r="A12" s="193"/>
      <c r="B12" s="175" t="s">
        <v>69</v>
      </c>
      <c r="C12" s="10">
        <v>21231</v>
      </c>
      <c r="D12" s="10" t="s">
        <v>70</v>
      </c>
      <c r="E12" s="177" t="s">
        <v>1</v>
      </c>
      <c r="F12" s="13">
        <v>8434</v>
      </c>
      <c r="G12" s="21">
        <f>F12/$U7</f>
        <v>0.44064785788923722</v>
      </c>
      <c r="H12" s="13"/>
      <c r="I12" s="13"/>
      <c r="J12" s="13"/>
      <c r="K12" s="13">
        <v>8727</v>
      </c>
      <c r="L12" s="21">
        <f>K12/$U7</f>
        <v>0.45595611285266457</v>
      </c>
      <c r="M12" s="13"/>
      <c r="N12" s="13"/>
      <c r="O12" s="13"/>
      <c r="P12" s="13">
        <v>8800</v>
      </c>
      <c r="Q12" s="21">
        <f>P12/$U7</f>
        <v>0.45977011494252873</v>
      </c>
      <c r="R12" s="13"/>
      <c r="S12" s="13"/>
      <c r="T12" s="13"/>
      <c r="U12" s="185">
        <f>SUM(F12, K12, P12, F13, K13, P13)</f>
        <v>25961</v>
      </c>
      <c r="V12" s="185">
        <f>SUM(H12, M12, R12, H13, M13, R13)</f>
        <v>0</v>
      </c>
      <c r="W12" s="200">
        <f>IF($U12=0, ,V12/$U12)</f>
        <v>0</v>
      </c>
      <c r="X12" s="185">
        <f>SUM(I12, N12, S12, I13, N13, S13)</f>
        <v>0</v>
      </c>
      <c r="Y12" s="200">
        <f>IF($U12=0, ,X12/$U12)</f>
        <v>0</v>
      </c>
      <c r="Z12" s="185">
        <f>SUM(J12, O12, T12, J13, O13, T13)</f>
        <v>0</v>
      </c>
      <c r="AA12" s="200">
        <f>IF($U12=0, ,Z12/$U12)</f>
        <v>0</v>
      </c>
      <c r="AB12" s="202" t="s">
        <v>74</v>
      </c>
    </row>
    <row r="13" spans="1:28" ht="12.75" customHeight="1" x14ac:dyDescent="0.2">
      <c r="A13" s="193"/>
      <c r="B13" s="176"/>
      <c r="C13" s="10"/>
      <c r="D13" s="10"/>
      <c r="E13" s="178"/>
      <c r="F13" s="13"/>
      <c r="G13" s="21">
        <f>F13/$U7</f>
        <v>0</v>
      </c>
      <c r="H13" s="13"/>
      <c r="I13" s="13"/>
      <c r="J13" s="13"/>
      <c r="K13" s="13"/>
      <c r="L13" s="21">
        <f>K13/$U7</f>
        <v>0</v>
      </c>
      <c r="M13" s="13"/>
      <c r="N13" s="13"/>
      <c r="O13" s="13"/>
      <c r="P13" s="13"/>
      <c r="Q13" s="21">
        <f>P13/$U7</f>
        <v>0</v>
      </c>
      <c r="R13" s="13"/>
      <c r="S13" s="13"/>
      <c r="T13" s="13"/>
      <c r="U13" s="186"/>
      <c r="V13" s="186"/>
      <c r="W13" s="201"/>
      <c r="X13" s="186"/>
      <c r="Y13" s="201"/>
      <c r="Z13" s="186"/>
      <c r="AA13" s="201"/>
      <c r="AB13" s="203"/>
    </row>
    <row r="14" spans="1:28" ht="12.75" customHeight="1" x14ac:dyDescent="0.2">
      <c r="A14" s="193"/>
      <c r="B14" s="194" t="s">
        <v>68</v>
      </c>
      <c r="C14" s="9">
        <v>21231</v>
      </c>
      <c r="D14" s="9" t="s">
        <v>70</v>
      </c>
      <c r="E14" s="149" t="s">
        <v>1</v>
      </c>
      <c r="F14" s="14">
        <v>8758</v>
      </c>
      <c r="G14" s="22">
        <f>F14/$U7</f>
        <v>0.45757575757575758</v>
      </c>
      <c r="H14" s="14"/>
      <c r="I14" s="14"/>
      <c r="J14" s="14"/>
      <c r="K14" s="14">
        <v>8933</v>
      </c>
      <c r="L14" s="22">
        <f>K14/$U7</f>
        <v>0.46671891327063741</v>
      </c>
      <c r="M14" s="14"/>
      <c r="N14" s="14"/>
      <c r="O14" s="14"/>
      <c r="P14" s="14">
        <v>8558</v>
      </c>
      <c r="Q14" s="22">
        <f>P14/$U7</f>
        <v>0.44712643678160918</v>
      </c>
      <c r="R14" s="14"/>
      <c r="S14" s="14"/>
      <c r="T14" s="14"/>
      <c r="U14" s="151">
        <f>SUM(F14, K14, P14, F15, K15, P15)</f>
        <v>26249</v>
      </c>
      <c r="V14" s="151">
        <f>SUM(H14, M14, R14, H15, M15, R15)</f>
        <v>0</v>
      </c>
      <c r="W14" s="205">
        <f>IF($U14=0, ,V14/$U14)</f>
        <v>0</v>
      </c>
      <c r="X14" s="151">
        <f>SUM(I14, N14, S14, I15, N15, S15)</f>
        <v>0</v>
      </c>
      <c r="Y14" s="205">
        <f>IF($U14=0, ,X14/$U14)</f>
        <v>0</v>
      </c>
      <c r="Z14" s="151">
        <f>SUM(J14, O14, T14, J15, O15, T15)</f>
        <v>0</v>
      </c>
      <c r="AA14" s="205">
        <f>IF($U14=0, ,Z14/$U14)</f>
        <v>0</v>
      </c>
      <c r="AB14" s="179"/>
    </row>
    <row r="15" spans="1:28" ht="12.75" customHeight="1" x14ac:dyDescent="0.2">
      <c r="A15" s="193"/>
      <c r="B15" s="204"/>
      <c r="C15" s="9"/>
      <c r="D15" s="9"/>
      <c r="E15" s="150"/>
      <c r="F15" s="14"/>
      <c r="G15" s="22">
        <f>F15/$U7</f>
        <v>0</v>
      </c>
      <c r="H15" s="14"/>
      <c r="I15" s="14"/>
      <c r="J15" s="14"/>
      <c r="K15" s="14"/>
      <c r="L15" s="22">
        <f>K15/$U7</f>
        <v>0</v>
      </c>
      <c r="M15" s="14"/>
      <c r="N15" s="14"/>
      <c r="O15" s="14"/>
      <c r="P15" s="14"/>
      <c r="Q15" s="22">
        <f>P15/$U7</f>
        <v>0</v>
      </c>
      <c r="R15" s="14"/>
      <c r="S15" s="14"/>
      <c r="T15" s="14"/>
      <c r="U15" s="152"/>
      <c r="V15" s="152"/>
      <c r="W15" s="206"/>
      <c r="X15" s="152"/>
      <c r="Y15" s="206"/>
      <c r="Z15" s="152"/>
      <c r="AA15" s="206"/>
      <c r="AB15" s="156"/>
    </row>
    <row r="16" spans="1:28" ht="13.5" customHeight="1" thickBot="1" x14ac:dyDescent="0.25">
      <c r="A16" s="193"/>
      <c r="B16" s="42"/>
      <c r="C16" s="42"/>
      <c r="D16" s="42"/>
      <c r="E16" s="42"/>
      <c r="F16" s="43"/>
      <c r="G16" s="44"/>
      <c r="H16" s="43"/>
      <c r="I16" s="43"/>
      <c r="J16" s="43"/>
      <c r="K16" s="43"/>
      <c r="L16" s="44"/>
      <c r="M16" s="43"/>
      <c r="N16" s="43"/>
      <c r="O16" s="43"/>
      <c r="P16" s="43"/>
      <c r="Q16" s="44"/>
      <c r="R16" s="43"/>
      <c r="S16" s="43"/>
      <c r="T16" s="46" t="s">
        <v>26</v>
      </c>
      <c r="U16" s="47">
        <f>SUM(U10:U15)</f>
        <v>76221</v>
      </c>
      <c r="V16" s="47">
        <f>SUM(V10:V15)</f>
        <v>0</v>
      </c>
      <c r="W16" s="48">
        <f>IF($U16=0, ,V16/$U16)</f>
        <v>0</v>
      </c>
      <c r="X16" s="47">
        <f>SUM(X10:X15)</f>
        <v>0</v>
      </c>
      <c r="Y16" s="48">
        <f>IF($U16=0, ,X16/$U16)</f>
        <v>0</v>
      </c>
      <c r="Z16" s="47">
        <f>SUM(Z10:Z15)</f>
        <v>0</v>
      </c>
      <c r="AA16" s="48">
        <f>IF($U16=0, ,Z16/$U16)</f>
        <v>0</v>
      </c>
      <c r="AB16" s="45"/>
    </row>
    <row r="17" spans="1:28" ht="13.5" customHeight="1" thickTop="1" x14ac:dyDescent="0.2">
      <c r="A17" s="193"/>
      <c r="B17" s="42"/>
      <c r="C17" s="42"/>
      <c r="D17" s="42"/>
      <c r="E17" s="42"/>
      <c r="F17" s="68"/>
      <c r="G17" s="68"/>
      <c r="H17" s="68"/>
      <c r="I17" s="68"/>
      <c r="J17" s="68"/>
      <c r="K17" s="68"/>
      <c r="L17" s="68"/>
      <c r="M17" s="68"/>
      <c r="N17" s="68"/>
      <c r="O17" s="69"/>
      <c r="P17" s="69"/>
      <c r="Q17" s="70"/>
      <c r="R17" s="69"/>
      <c r="S17" s="70"/>
      <c r="T17" s="71"/>
      <c r="U17" s="71"/>
      <c r="V17" s="71"/>
      <c r="W17" s="71"/>
      <c r="X17" s="71"/>
      <c r="Y17" s="71"/>
      <c r="Z17" s="71"/>
      <c r="AA17" s="71"/>
      <c r="AB17" s="72"/>
    </row>
    <row r="18" spans="1:28" ht="12.75" customHeight="1" x14ac:dyDescent="0.2">
      <c r="A18" s="193"/>
      <c r="B18" s="207" t="s">
        <v>32</v>
      </c>
      <c r="C18" s="207"/>
      <c r="D18" s="208"/>
      <c r="E18" s="77" t="s">
        <v>33</v>
      </c>
      <c r="F18" s="159" t="s">
        <v>29</v>
      </c>
      <c r="G18" s="159"/>
      <c r="H18" s="159"/>
      <c r="I18" s="159" t="s">
        <v>41</v>
      </c>
      <c r="J18" s="159"/>
      <c r="K18" s="159"/>
      <c r="L18" s="159" t="s">
        <v>30</v>
      </c>
      <c r="M18" s="159"/>
      <c r="N18" s="159"/>
      <c r="O18" s="159" t="s">
        <v>31</v>
      </c>
      <c r="P18" s="159"/>
      <c r="Q18" s="159"/>
      <c r="R18" s="159" t="s">
        <v>38</v>
      </c>
      <c r="S18" s="159"/>
      <c r="T18" s="159"/>
      <c r="U18" s="159" t="s">
        <v>60</v>
      </c>
      <c r="V18" s="159"/>
      <c r="W18" s="159"/>
      <c r="X18" s="159" t="s">
        <v>40</v>
      </c>
      <c r="Y18" s="159"/>
      <c r="Z18" s="159"/>
      <c r="AA18" s="215"/>
      <c r="AB18" s="216"/>
    </row>
    <row r="19" spans="1:28" ht="12.75" customHeight="1" x14ac:dyDescent="0.2">
      <c r="A19" s="193"/>
      <c r="B19" s="209"/>
      <c r="C19" s="209"/>
      <c r="D19" s="210"/>
      <c r="E19" s="82" t="s">
        <v>34</v>
      </c>
      <c r="F19" s="78" t="s">
        <v>35</v>
      </c>
      <c r="G19" s="78" t="s">
        <v>36</v>
      </c>
      <c r="H19" s="79" t="s">
        <v>37</v>
      </c>
      <c r="I19" s="78" t="s">
        <v>35</v>
      </c>
      <c r="J19" s="78" t="s">
        <v>36</v>
      </c>
      <c r="K19" s="79" t="s">
        <v>37</v>
      </c>
      <c r="L19" s="78" t="s">
        <v>35</v>
      </c>
      <c r="M19" s="78" t="s">
        <v>36</v>
      </c>
      <c r="N19" s="79" t="s">
        <v>37</v>
      </c>
      <c r="O19" s="78" t="s">
        <v>35</v>
      </c>
      <c r="P19" s="78" t="s">
        <v>36</v>
      </c>
      <c r="Q19" s="79" t="s">
        <v>37</v>
      </c>
      <c r="R19" s="78" t="s">
        <v>35</v>
      </c>
      <c r="S19" s="78" t="s">
        <v>36</v>
      </c>
      <c r="T19" s="79" t="s">
        <v>37</v>
      </c>
      <c r="U19" s="78" t="s">
        <v>35</v>
      </c>
      <c r="V19" s="78" t="s">
        <v>36</v>
      </c>
      <c r="W19" s="79" t="s">
        <v>37</v>
      </c>
      <c r="X19" s="78" t="s">
        <v>35</v>
      </c>
      <c r="Y19" s="78" t="s">
        <v>36</v>
      </c>
      <c r="Z19" s="79" t="s">
        <v>37</v>
      </c>
      <c r="AA19" s="216"/>
      <c r="AB19" s="216"/>
    </row>
    <row r="20" spans="1:28" ht="12.75" customHeight="1" x14ac:dyDescent="0.2">
      <c r="A20" s="193"/>
      <c r="B20" s="80" t="str">
        <f xml:space="preserve"> IF(ISBLANK(B10), "-",B10)</f>
        <v>HTL-01</v>
      </c>
      <c r="C20" s="80">
        <f xml:space="preserve"> IF(ISBLANK(C10), "-",C10)</f>
        <v>21234</v>
      </c>
      <c r="D20" s="80" t="str">
        <f xml:space="preserve"> IF(ISBLANK(D10), "-",D10)</f>
        <v>14ml    L’Oreal</v>
      </c>
      <c r="E20" s="170"/>
      <c r="F20" s="81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5">
        <v>30</v>
      </c>
      <c r="M20" s="75">
        <v>35</v>
      </c>
      <c r="N20" s="75">
        <v>16</v>
      </c>
      <c r="O20" s="75">
        <v>0</v>
      </c>
      <c r="P20" s="75">
        <v>0</v>
      </c>
      <c r="Q20" s="74">
        <v>0</v>
      </c>
      <c r="R20" s="75">
        <v>0</v>
      </c>
      <c r="S20" s="75">
        <v>0</v>
      </c>
      <c r="T20" s="75">
        <v>0</v>
      </c>
      <c r="U20" s="75">
        <v>18</v>
      </c>
      <c r="V20" s="75">
        <v>2</v>
      </c>
      <c r="W20" s="74">
        <v>10</v>
      </c>
      <c r="X20" s="74">
        <v>2</v>
      </c>
      <c r="Y20" s="74">
        <v>0</v>
      </c>
      <c r="Z20" s="76">
        <v>0</v>
      </c>
      <c r="AA20" s="216"/>
      <c r="AB20" s="216"/>
    </row>
    <row r="21" spans="1:28" ht="12.75" customHeight="1" x14ac:dyDescent="0.2">
      <c r="A21" s="193"/>
      <c r="B21" s="80" t="str">
        <f xml:space="preserve"> IF(ISBLANK(B12), "-",B12)</f>
        <v>HTL-02</v>
      </c>
      <c r="C21" s="80">
        <f xml:space="preserve"> IF(ISBLANK(C12), "-",C12)</f>
        <v>21231</v>
      </c>
      <c r="D21" s="80" t="str">
        <f xml:space="preserve"> IF(ISBLANK(D12), "-",D12)</f>
        <v>7ml   L’Oreal</v>
      </c>
      <c r="E21" s="171"/>
      <c r="F21" s="81">
        <v>0</v>
      </c>
      <c r="G21" s="74">
        <v>0</v>
      </c>
      <c r="H21" s="74">
        <v>0</v>
      </c>
      <c r="I21" s="74">
        <v>0</v>
      </c>
      <c r="J21" s="74">
        <v>0</v>
      </c>
      <c r="K21" s="74">
        <v>0</v>
      </c>
      <c r="L21" s="75">
        <v>14</v>
      </c>
      <c r="M21" s="75">
        <v>0</v>
      </c>
      <c r="N21" s="75">
        <v>7</v>
      </c>
      <c r="O21" s="75">
        <v>0</v>
      </c>
      <c r="P21" s="75">
        <v>0</v>
      </c>
      <c r="Q21" s="74">
        <v>0</v>
      </c>
      <c r="R21" s="75">
        <v>0</v>
      </c>
      <c r="S21" s="75">
        <v>0</v>
      </c>
      <c r="T21" s="75">
        <v>0</v>
      </c>
      <c r="U21" s="75">
        <v>6</v>
      </c>
      <c r="V21" s="75">
        <v>5</v>
      </c>
      <c r="W21" s="74">
        <v>0</v>
      </c>
      <c r="X21" s="74">
        <v>1</v>
      </c>
      <c r="Y21" s="74">
        <v>7</v>
      </c>
      <c r="Z21" s="97">
        <v>20</v>
      </c>
      <c r="AA21" s="216"/>
      <c r="AB21" s="216"/>
    </row>
    <row r="22" spans="1:28" ht="12.75" customHeight="1" x14ac:dyDescent="0.2">
      <c r="A22" s="193"/>
      <c r="B22" s="80" t="str">
        <f xml:space="preserve"> IF(ISBLANK(B14), "-",B14)</f>
        <v>HTL-03</v>
      </c>
      <c r="C22" s="80">
        <f xml:space="preserve"> IF(ISBLANK(C14), "-",C14)</f>
        <v>21231</v>
      </c>
      <c r="D22" s="80" t="str">
        <f xml:space="preserve"> IF(ISBLANK(D14), "-",D14)</f>
        <v>7ml   L’Oreal</v>
      </c>
      <c r="E22" s="172"/>
      <c r="F22" s="81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5">
        <v>25</v>
      </c>
      <c r="M22" s="75">
        <v>22</v>
      </c>
      <c r="N22" s="75">
        <v>25</v>
      </c>
      <c r="O22" s="75">
        <v>0</v>
      </c>
      <c r="P22" s="75">
        <v>0</v>
      </c>
      <c r="Q22" s="74">
        <v>0</v>
      </c>
      <c r="R22" s="75">
        <v>0</v>
      </c>
      <c r="S22" s="75">
        <v>0</v>
      </c>
      <c r="T22" s="75">
        <v>0</v>
      </c>
      <c r="U22" s="75">
        <v>10</v>
      </c>
      <c r="V22" s="75">
        <v>9</v>
      </c>
      <c r="W22" s="74">
        <v>11</v>
      </c>
      <c r="X22" s="74">
        <v>0</v>
      </c>
      <c r="Y22" s="74">
        <v>1</v>
      </c>
      <c r="Z22" s="76">
        <v>1</v>
      </c>
      <c r="AA22" s="216"/>
      <c r="AB22" s="216"/>
    </row>
    <row r="24" spans="1:28" x14ac:dyDescent="0.2">
      <c r="A24" s="193">
        <v>44714</v>
      </c>
      <c r="B24" s="16"/>
      <c r="C24" s="16" t="s">
        <v>20</v>
      </c>
      <c r="D24" s="17">
        <v>1</v>
      </c>
      <c r="E24" s="18"/>
      <c r="F24" s="18" t="s">
        <v>19</v>
      </c>
      <c r="G24" s="17">
        <v>0</v>
      </c>
      <c r="H24" s="17"/>
      <c r="I24" s="18"/>
      <c r="J24" s="18"/>
      <c r="K24" s="25"/>
      <c r="L24" s="25"/>
      <c r="M24" s="17"/>
      <c r="N24" s="18"/>
      <c r="O24" s="18"/>
      <c r="P24" s="25"/>
      <c r="Q24" s="25"/>
      <c r="R24" s="17"/>
      <c r="S24" s="18"/>
      <c r="T24" s="18"/>
      <c r="U24" s="31">
        <v>19140</v>
      </c>
      <c r="V24" s="32" t="s">
        <v>48</v>
      </c>
      <c r="W24" s="32"/>
      <c r="X24" s="33"/>
      <c r="Y24" s="24"/>
      <c r="Z24" s="24"/>
      <c r="AA24" s="24"/>
      <c r="AB24" s="26"/>
    </row>
    <row r="25" spans="1:28" x14ac:dyDescent="0.2">
      <c r="A25" s="193"/>
      <c r="B25" s="157" t="s">
        <v>3</v>
      </c>
      <c r="C25" s="158" t="s">
        <v>10</v>
      </c>
      <c r="D25" s="158" t="s">
        <v>12</v>
      </c>
      <c r="E25" s="180" t="s">
        <v>5</v>
      </c>
      <c r="F25" s="211" t="s">
        <v>6</v>
      </c>
      <c r="G25" s="212"/>
      <c r="H25" s="212"/>
      <c r="I25" s="212"/>
      <c r="J25" s="213"/>
      <c r="K25" s="211" t="s">
        <v>7</v>
      </c>
      <c r="L25" s="212"/>
      <c r="M25" s="212"/>
      <c r="N25" s="212"/>
      <c r="O25" s="213"/>
      <c r="P25" s="211" t="s">
        <v>8</v>
      </c>
      <c r="Q25" s="212"/>
      <c r="R25" s="212"/>
      <c r="S25" s="212"/>
      <c r="T25" s="213"/>
      <c r="U25" s="214" t="s">
        <v>15</v>
      </c>
      <c r="V25" s="214" t="s">
        <v>52</v>
      </c>
      <c r="W25" s="214" t="s">
        <v>53</v>
      </c>
      <c r="X25" s="214" t="s">
        <v>54</v>
      </c>
      <c r="Y25" s="214" t="s">
        <v>55</v>
      </c>
      <c r="Z25" s="214" t="s">
        <v>56</v>
      </c>
      <c r="AA25" s="214" t="s">
        <v>57</v>
      </c>
      <c r="AB25" s="214" t="s">
        <v>17</v>
      </c>
    </row>
    <row r="26" spans="1:28" ht="38.25" x14ac:dyDescent="0.2">
      <c r="A26" s="193"/>
      <c r="B26" s="157"/>
      <c r="C26" s="158"/>
      <c r="D26" s="158"/>
      <c r="E26" s="180"/>
      <c r="F26" s="15" t="s">
        <v>23</v>
      </c>
      <c r="G26" s="15" t="s">
        <v>47</v>
      </c>
      <c r="H26" s="15" t="s">
        <v>50</v>
      </c>
      <c r="I26" s="15" t="s">
        <v>49</v>
      </c>
      <c r="J26" s="15" t="s">
        <v>51</v>
      </c>
      <c r="K26" s="15" t="s">
        <v>23</v>
      </c>
      <c r="L26" s="15" t="s">
        <v>13</v>
      </c>
      <c r="M26" s="15" t="s">
        <v>50</v>
      </c>
      <c r="N26" s="15" t="s">
        <v>49</v>
      </c>
      <c r="O26" s="15" t="s">
        <v>51</v>
      </c>
      <c r="P26" s="15" t="s">
        <v>23</v>
      </c>
      <c r="Q26" s="15" t="s">
        <v>13</v>
      </c>
      <c r="R26" s="15" t="s">
        <v>50</v>
      </c>
      <c r="S26" s="15" t="s">
        <v>49</v>
      </c>
      <c r="T26" s="15" t="s">
        <v>51</v>
      </c>
      <c r="U26" s="214"/>
      <c r="V26" s="214"/>
      <c r="W26" s="214"/>
      <c r="X26" s="214"/>
      <c r="Y26" s="214"/>
      <c r="Z26" s="214"/>
      <c r="AA26" s="214"/>
      <c r="AB26" s="214"/>
    </row>
    <row r="27" spans="1:28" x14ac:dyDescent="0.2">
      <c r="A27" s="193"/>
      <c r="B27" s="194" t="s">
        <v>64</v>
      </c>
      <c r="C27" s="11">
        <v>21234</v>
      </c>
      <c r="D27" s="11" t="s">
        <v>71</v>
      </c>
      <c r="E27" s="196" t="s">
        <v>1</v>
      </c>
      <c r="F27" s="12">
        <v>5775</v>
      </c>
      <c r="G27" s="20">
        <f>F27/$U24</f>
        <v>0.30172413793103448</v>
      </c>
      <c r="H27" s="12"/>
      <c r="I27" s="12"/>
      <c r="J27" s="12"/>
      <c r="K27" s="12">
        <v>7606</v>
      </c>
      <c r="L27" s="20">
        <f>K27/$U24</f>
        <v>0.39738766980146289</v>
      </c>
      <c r="M27" s="12"/>
      <c r="N27" s="12"/>
      <c r="O27" s="12"/>
      <c r="P27" s="12">
        <v>8116</v>
      </c>
      <c r="Q27" s="20">
        <f>P27/$U24</f>
        <v>0.42403343782654129</v>
      </c>
      <c r="R27" s="12"/>
      <c r="S27" s="12"/>
      <c r="T27" s="12"/>
      <c r="U27" s="151">
        <f>SUM(F27, K27, P27, F28, K28, P28)</f>
        <v>21497</v>
      </c>
      <c r="V27" s="151">
        <f>SUM(H27, M27, R27, H28, M28, R28)</f>
        <v>0</v>
      </c>
      <c r="W27" s="205">
        <f>IF($U27=0, ,V27/$U27)</f>
        <v>0</v>
      </c>
      <c r="X27" s="151">
        <f>SUM(I27, N27, S27, I28, N28, S28)</f>
        <v>0</v>
      </c>
      <c r="Y27" s="205">
        <f>IF($U27=0, ,X27/$U27)</f>
        <v>0</v>
      </c>
      <c r="Z27" s="151">
        <f>SUM(J27, O27, T27, J28, O28, T28)</f>
        <v>0</v>
      </c>
      <c r="AA27" s="205">
        <f>IF($U27=0, ,Z27/$U27)</f>
        <v>0</v>
      </c>
      <c r="AB27" s="179" t="s">
        <v>77</v>
      </c>
    </row>
    <row r="28" spans="1:28" x14ac:dyDescent="0.2">
      <c r="A28" s="193"/>
      <c r="B28" s="204"/>
      <c r="C28" s="11"/>
      <c r="D28" s="11"/>
      <c r="E28" s="198"/>
      <c r="F28" s="12"/>
      <c r="G28" s="20">
        <f>F28/$U24</f>
        <v>0</v>
      </c>
      <c r="H28" s="12"/>
      <c r="I28" s="12"/>
      <c r="J28" s="12"/>
      <c r="K28" s="12"/>
      <c r="L28" s="20">
        <f>K28/$U24</f>
        <v>0</v>
      </c>
      <c r="M28" s="12"/>
      <c r="N28" s="12"/>
      <c r="O28" s="12"/>
      <c r="P28" s="12"/>
      <c r="Q28" s="20">
        <f>P28/$U24</f>
        <v>0</v>
      </c>
      <c r="R28" s="12"/>
      <c r="S28" s="12"/>
      <c r="T28" s="12"/>
      <c r="U28" s="152"/>
      <c r="V28" s="152"/>
      <c r="W28" s="206"/>
      <c r="X28" s="152"/>
      <c r="Y28" s="206"/>
      <c r="Z28" s="152"/>
      <c r="AA28" s="206"/>
      <c r="AB28" s="156"/>
    </row>
    <row r="29" spans="1:28" x14ac:dyDescent="0.2">
      <c r="A29" s="193"/>
      <c r="B29" s="175" t="s">
        <v>69</v>
      </c>
      <c r="C29" s="10">
        <v>21231</v>
      </c>
      <c r="D29" s="10" t="s">
        <v>70</v>
      </c>
      <c r="E29" s="177" t="s">
        <v>1</v>
      </c>
      <c r="F29" s="13">
        <v>8868</v>
      </c>
      <c r="G29" s="21">
        <f>F29/$U24</f>
        <v>0.46332288401253918</v>
      </c>
      <c r="H29" s="13"/>
      <c r="I29" s="13"/>
      <c r="J29" s="13"/>
      <c r="K29" s="13">
        <v>8913</v>
      </c>
      <c r="L29" s="21">
        <f>K29/$U24</f>
        <v>0.46567398119122255</v>
      </c>
      <c r="M29" s="13"/>
      <c r="N29" s="13"/>
      <c r="O29" s="13"/>
      <c r="P29" s="13">
        <v>8738</v>
      </c>
      <c r="Q29" s="21">
        <f>P29/$U24</f>
        <v>0.45653082549634272</v>
      </c>
      <c r="R29" s="13"/>
      <c r="S29" s="13"/>
      <c r="T29" s="13"/>
      <c r="U29" s="185">
        <f>SUM(F29, K29, P29, F30, K30, P30)</f>
        <v>26519</v>
      </c>
      <c r="V29" s="185">
        <f>SUM(H29, M29, R29, H30, M30, R30)</f>
        <v>0</v>
      </c>
      <c r="W29" s="200">
        <f>IF($U29=0, ,V29/$U29)</f>
        <v>0</v>
      </c>
      <c r="X29" s="185">
        <f>SUM(I29, N29, S29, I30, N30, S30)</f>
        <v>0</v>
      </c>
      <c r="Y29" s="200">
        <f>IF($U29=0, ,X29/$U29)</f>
        <v>0</v>
      </c>
      <c r="Z29" s="185">
        <f>SUM(J29, O29, T29, J30, O30, T30)</f>
        <v>0</v>
      </c>
      <c r="AA29" s="200">
        <f>IF($U29=0, ,Z29/$U29)</f>
        <v>0</v>
      </c>
      <c r="AB29" s="202"/>
    </row>
    <row r="30" spans="1:28" x14ac:dyDescent="0.2">
      <c r="A30" s="193"/>
      <c r="B30" s="176"/>
      <c r="C30" s="10"/>
      <c r="D30" s="10"/>
      <c r="E30" s="178"/>
      <c r="F30" s="13"/>
      <c r="G30" s="21">
        <f>F30/$U24</f>
        <v>0</v>
      </c>
      <c r="H30" s="13"/>
      <c r="I30" s="13"/>
      <c r="J30" s="13"/>
      <c r="K30" s="13"/>
      <c r="L30" s="21">
        <f>K30/$U24</f>
        <v>0</v>
      </c>
      <c r="M30" s="13"/>
      <c r="N30" s="13"/>
      <c r="O30" s="13"/>
      <c r="P30" s="13"/>
      <c r="Q30" s="21">
        <f>P30/$U24</f>
        <v>0</v>
      </c>
      <c r="R30" s="13"/>
      <c r="S30" s="13"/>
      <c r="T30" s="13"/>
      <c r="U30" s="186"/>
      <c r="V30" s="186"/>
      <c r="W30" s="201"/>
      <c r="X30" s="186"/>
      <c r="Y30" s="201"/>
      <c r="Z30" s="186"/>
      <c r="AA30" s="201"/>
      <c r="AB30" s="203"/>
    </row>
    <row r="31" spans="1:28" x14ac:dyDescent="0.2">
      <c r="A31" s="193"/>
      <c r="B31" s="194" t="s">
        <v>68</v>
      </c>
      <c r="C31" s="9">
        <v>21231</v>
      </c>
      <c r="D31" s="9" t="s">
        <v>70</v>
      </c>
      <c r="E31" s="149" t="s">
        <v>1</v>
      </c>
      <c r="F31" s="14">
        <v>8557</v>
      </c>
      <c r="G31" s="22">
        <f>F31/$U24</f>
        <v>0.44707419017763844</v>
      </c>
      <c r="H31" s="14"/>
      <c r="I31" s="14"/>
      <c r="J31" s="14"/>
      <c r="K31" s="14">
        <v>8880</v>
      </c>
      <c r="L31" s="22">
        <f>K31/$U24</f>
        <v>0.46394984326018807</v>
      </c>
      <c r="M31" s="14"/>
      <c r="N31" s="14"/>
      <c r="O31" s="14"/>
      <c r="P31" s="14">
        <v>8600</v>
      </c>
      <c r="Q31" s="22">
        <f>P31/$U24</f>
        <v>0.44932079414838033</v>
      </c>
      <c r="R31" s="14"/>
      <c r="S31" s="14"/>
      <c r="T31" s="14"/>
      <c r="U31" s="151">
        <f>SUM(F31, K31, P31, F32, K32, P32)</f>
        <v>26037</v>
      </c>
      <c r="V31" s="151">
        <f>SUM(H31, M31, R31, H32, M32, R32)</f>
        <v>0</v>
      </c>
      <c r="W31" s="205">
        <f>IF($U31=0, ,V31/$U31)</f>
        <v>0</v>
      </c>
      <c r="X31" s="151">
        <f>SUM(I31, N31, S31, I32, N32, S32)</f>
        <v>0</v>
      </c>
      <c r="Y31" s="205">
        <f>IF($U31=0, ,X31/$U31)</f>
        <v>0</v>
      </c>
      <c r="Z31" s="151">
        <f>SUM(J31, O31, T31, J32, O32, T32)</f>
        <v>0</v>
      </c>
      <c r="AA31" s="205">
        <f>IF($U31=0, ,Z31/$U31)</f>
        <v>0</v>
      </c>
      <c r="AB31" s="179"/>
    </row>
    <row r="32" spans="1:28" x14ac:dyDescent="0.2">
      <c r="A32" s="193"/>
      <c r="B32" s="204"/>
      <c r="C32" s="9"/>
      <c r="D32" s="9"/>
      <c r="E32" s="150"/>
      <c r="F32" s="14"/>
      <c r="G32" s="22">
        <f>F32/$U24</f>
        <v>0</v>
      </c>
      <c r="H32" s="14"/>
      <c r="I32" s="14"/>
      <c r="J32" s="14"/>
      <c r="K32" s="14"/>
      <c r="L32" s="22">
        <f>K32/$U24</f>
        <v>0</v>
      </c>
      <c r="M32" s="14"/>
      <c r="N32" s="14"/>
      <c r="O32" s="14"/>
      <c r="P32" s="14"/>
      <c r="Q32" s="22">
        <f>P32/$U24</f>
        <v>0</v>
      </c>
      <c r="R32" s="14"/>
      <c r="S32" s="14"/>
      <c r="T32" s="14"/>
      <c r="U32" s="152"/>
      <c r="V32" s="152"/>
      <c r="W32" s="206"/>
      <c r="X32" s="152"/>
      <c r="Y32" s="206"/>
      <c r="Z32" s="152"/>
      <c r="AA32" s="206"/>
      <c r="AB32" s="156"/>
    </row>
    <row r="33" spans="1:28" ht="13.5" thickBot="1" x14ac:dyDescent="0.25">
      <c r="A33" s="193"/>
      <c r="B33" s="42"/>
      <c r="C33" s="42"/>
      <c r="D33" s="42"/>
      <c r="E33" s="42"/>
      <c r="F33" s="43"/>
      <c r="G33" s="44"/>
      <c r="H33" s="43"/>
      <c r="I33" s="43"/>
      <c r="J33" s="43"/>
      <c r="K33" s="43"/>
      <c r="L33" s="44"/>
      <c r="M33" s="43"/>
      <c r="N33" s="43"/>
      <c r="O33" s="43"/>
      <c r="P33" s="43"/>
      <c r="Q33" s="44"/>
      <c r="R33" s="43"/>
      <c r="S33" s="43"/>
      <c r="T33" s="46" t="s">
        <v>26</v>
      </c>
      <c r="U33" s="47">
        <f>SUM(U27:U32)</f>
        <v>74053</v>
      </c>
      <c r="V33" s="47">
        <f>SUM(V27:V32)</f>
        <v>0</v>
      </c>
      <c r="W33" s="48">
        <f>IF($U33=0, ,V33/$U33)</f>
        <v>0</v>
      </c>
      <c r="X33" s="47">
        <f>SUM(X27:X32)</f>
        <v>0</v>
      </c>
      <c r="Y33" s="48">
        <f>IF($U33=0, ,X33/$U33)</f>
        <v>0</v>
      </c>
      <c r="Z33" s="47">
        <f>SUM(Z27:Z32)</f>
        <v>0</v>
      </c>
      <c r="AA33" s="48">
        <f>IF($U33=0, ,Z33/$U33)</f>
        <v>0</v>
      </c>
      <c r="AB33" s="45"/>
    </row>
    <row r="34" spans="1:28" ht="13.5" thickTop="1" x14ac:dyDescent="0.2">
      <c r="A34" s="193"/>
      <c r="B34" s="42"/>
      <c r="C34" s="42"/>
      <c r="D34" s="42"/>
      <c r="E34" s="42"/>
      <c r="F34" s="68"/>
      <c r="G34" s="68"/>
      <c r="H34" s="68"/>
      <c r="I34" s="68"/>
      <c r="J34" s="68"/>
      <c r="K34" s="68"/>
      <c r="L34" s="68"/>
      <c r="M34" s="68"/>
      <c r="N34" s="68"/>
      <c r="O34" s="69"/>
      <c r="P34" s="69"/>
      <c r="Q34" s="70"/>
      <c r="R34" s="69"/>
      <c r="S34" s="70"/>
      <c r="T34" s="71"/>
      <c r="U34" s="71"/>
      <c r="V34" s="71"/>
      <c r="W34" s="71"/>
      <c r="X34" s="71"/>
      <c r="Y34" s="71"/>
      <c r="Z34" s="71"/>
      <c r="AA34" s="71"/>
      <c r="AB34" s="72"/>
    </row>
    <row r="35" spans="1:28" x14ac:dyDescent="0.2">
      <c r="A35" s="193"/>
      <c r="B35" s="207" t="s">
        <v>32</v>
      </c>
      <c r="C35" s="207"/>
      <c r="D35" s="208"/>
      <c r="E35" s="77" t="s">
        <v>33</v>
      </c>
      <c r="F35" s="159" t="s">
        <v>29</v>
      </c>
      <c r="G35" s="159"/>
      <c r="H35" s="159"/>
      <c r="I35" s="159" t="s">
        <v>41</v>
      </c>
      <c r="J35" s="159"/>
      <c r="K35" s="159"/>
      <c r="L35" s="159" t="s">
        <v>30</v>
      </c>
      <c r="M35" s="159"/>
      <c r="N35" s="159"/>
      <c r="O35" s="159" t="s">
        <v>31</v>
      </c>
      <c r="P35" s="159"/>
      <c r="Q35" s="159"/>
      <c r="R35" s="159" t="s">
        <v>38</v>
      </c>
      <c r="S35" s="159"/>
      <c r="T35" s="159"/>
      <c r="U35" s="159" t="s">
        <v>60</v>
      </c>
      <c r="V35" s="159"/>
      <c r="W35" s="159"/>
      <c r="X35" s="159" t="s">
        <v>40</v>
      </c>
      <c r="Y35" s="159"/>
      <c r="Z35" s="159"/>
      <c r="AA35" s="215"/>
      <c r="AB35" s="216"/>
    </row>
    <row r="36" spans="1:28" x14ac:dyDescent="0.2">
      <c r="A36" s="193"/>
      <c r="B36" s="209"/>
      <c r="C36" s="209"/>
      <c r="D36" s="210"/>
      <c r="E36" s="82" t="s">
        <v>34</v>
      </c>
      <c r="F36" s="78" t="s">
        <v>35</v>
      </c>
      <c r="G36" s="78" t="s">
        <v>36</v>
      </c>
      <c r="H36" s="79" t="s">
        <v>37</v>
      </c>
      <c r="I36" s="78" t="s">
        <v>35</v>
      </c>
      <c r="J36" s="78" t="s">
        <v>36</v>
      </c>
      <c r="K36" s="79" t="s">
        <v>37</v>
      </c>
      <c r="L36" s="78" t="s">
        <v>35</v>
      </c>
      <c r="M36" s="78" t="s">
        <v>36</v>
      </c>
      <c r="N36" s="79" t="s">
        <v>37</v>
      </c>
      <c r="O36" s="78" t="s">
        <v>35</v>
      </c>
      <c r="P36" s="78" t="s">
        <v>36</v>
      </c>
      <c r="Q36" s="79" t="s">
        <v>37</v>
      </c>
      <c r="R36" s="78" t="s">
        <v>35</v>
      </c>
      <c r="S36" s="78" t="s">
        <v>36</v>
      </c>
      <c r="T36" s="79" t="s">
        <v>37</v>
      </c>
      <c r="U36" s="78" t="s">
        <v>35</v>
      </c>
      <c r="V36" s="78" t="s">
        <v>36</v>
      </c>
      <c r="W36" s="79" t="s">
        <v>37</v>
      </c>
      <c r="X36" s="78" t="s">
        <v>35</v>
      </c>
      <c r="Y36" s="78" t="s">
        <v>36</v>
      </c>
      <c r="Z36" s="79" t="s">
        <v>37</v>
      </c>
      <c r="AA36" s="216"/>
      <c r="AB36" s="216"/>
    </row>
    <row r="37" spans="1:28" x14ac:dyDescent="0.2">
      <c r="A37" s="193"/>
      <c r="B37" s="80" t="str">
        <f xml:space="preserve"> IF(ISBLANK(B27), "-",B27)</f>
        <v>HTL-01</v>
      </c>
      <c r="C37" s="80">
        <f xml:space="preserve"> IF(ISBLANK(C27), "-",C27)</f>
        <v>21234</v>
      </c>
      <c r="D37" s="80" t="str">
        <f xml:space="preserve"> IF(ISBLANK(D27), "-",D27)</f>
        <v>14ml    L’Oreal</v>
      </c>
      <c r="E37" s="170"/>
      <c r="F37" s="81">
        <v>0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75">
        <v>22</v>
      </c>
      <c r="M37" s="75">
        <v>24</v>
      </c>
      <c r="N37" s="75">
        <v>18</v>
      </c>
      <c r="O37" s="75">
        <v>0</v>
      </c>
      <c r="P37" s="75">
        <v>0</v>
      </c>
      <c r="Q37" s="74">
        <v>0</v>
      </c>
      <c r="R37" s="75">
        <v>0</v>
      </c>
      <c r="S37" s="75">
        <v>0</v>
      </c>
      <c r="T37" s="75">
        <v>0</v>
      </c>
      <c r="U37" s="75">
        <v>1</v>
      </c>
      <c r="V37" s="75">
        <v>1</v>
      </c>
      <c r="W37" s="74">
        <v>0</v>
      </c>
      <c r="X37" s="74">
        <v>0</v>
      </c>
      <c r="Y37" s="74">
        <v>0</v>
      </c>
      <c r="Z37" s="76">
        <v>0</v>
      </c>
      <c r="AA37" s="216"/>
      <c r="AB37" s="216"/>
    </row>
    <row r="38" spans="1:28" x14ac:dyDescent="0.2">
      <c r="A38" s="193"/>
      <c r="B38" s="80" t="str">
        <f xml:space="preserve"> IF(ISBLANK(B29), "-",B29)</f>
        <v>HTL-02</v>
      </c>
      <c r="C38" s="80">
        <f xml:space="preserve"> IF(ISBLANK(C29), "-",C29)</f>
        <v>21231</v>
      </c>
      <c r="D38" s="80" t="str">
        <f xml:space="preserve"> IF(ISBLANK(D29), "-",D29)</f>
        <v>7ml   L’Oreal</v>
      </c>
      <c r="E38" s="171"/>
      <c r="F38" s="81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5">
        <v>10</v>
      </c>
      <c r="M38" s="75">
        <v>0</v>
      </c>
      <c r="N38" s="75">
        <v>20</v>
      </c>
      <c r="O38" s="75">
        <v>0</v>
      </c>
      <c r="P38" s="75">
        <v>0</v>
      </c>
      <c r="Q38" s="74">
        <v>0</v>
      </c>
      <c r="R38" s="75">
        <v>0</v>
      </c>
      <c r="S38" s="75">
        <v>0</v>
      </c>
      <c r="T38" s="75">
        <v>0</v>
      </c>
      <c r="U38" s="75">
        <v>9</v>
      </c>
      <c r="V38" s="75">
        <v>0</v>
      </c>
      <c r="W38" s="74">
        <v>0</v>
      </c>
      <c r="X38" s="74">
        <v>0</v>
      </c>
      <c r="Y38" s="74">
        <v>1</v>
      </c>
      <c r="Z38" s="97">
        <v>10</v>
      </c>
      <c r="AA38" s="216"/>
      <c r="AB38" s="216"/>
    </row>
    <row r="39" spans="1:28" x14ac:dyDescent="0.2">
      <c r="A39" s="193"/>
      <c r="B39" s="80" t="str">
        <f xml:space="preserve"> IF(ISBLANK(B31), "-",B31)</f>
        <v>HTL-03</v>
      </c>
      <c r="C39" s="80">
        <f xml:space="preserve"> IF(ISBLANK(C31), "-",C31)</f>
        <v>21231</v>
      </c>
      <c r="D39" s="80" t="str">
        <f xml:space="preserve"> IF(ISBLANK(D31), "-",D31)</f>
        <v>7ml   L’Oreal</v>
      </c>
      <c r="E39" s="172"/>
      <c r="F39" s="81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5">
        <v>29</v>
      </c>
      <c r="M39" s="75">
        <v>14</v>
      </c>
      <c r="N39" s="75">
        <v>30</v>
      </c>
      <c r="O39" s="75">
        <v>0</v>
      </c>
      <c r="P39" s="75">
        <v>0</v>
      </c>
      <c r="Q39" s="74">
        <v>0</v>
      </c>
      <c r="R39" s="75">
        <v>0</v>
      </c>
      <c r="S39" s="75">
        <v>0</v>
      </c>
      <c r="T39" s="75">
        <v>0</v>
      </c>
      <c r="U39" s="75">
        <v>3</v>
      </c>
      <c r="V39" s="75">
        <v>7</v>
      </c>
      <c r="W39" s="74">
        <v>10</v>
      </c>
      <c r="X39" s="74">
        <v>0</v>
      </c>
      <c r="Y39" s="74">
        <v>4</v>
      </c>
      <c r="Z39" s="76">
        <v>4</v>
      </c>
      <c r="AA39" s="216"/>
      <c r="AB39" s="216"/>
    </row>
    <row r="41" spans="1:28" x14ac:dyDescent="0.2">
      <c r="A41" s="193">
        <v>44715</v>
      </c>
      <c r="B41" s="16"/>
      <c r="C41" s="16" t="s">
        <v>20</v>
      </c>
      <c r="D41" s="17">
        <v>1</v>
      </c>
      <c r="E41" s="18"/>
      <c r="F41" s="18" t="s">
        <v>19</v>
      </c>
      <c r="G41" s="17">
        <v>0</v>
      </c>
      <c r="H41" s="17"/>
      <c r="I41" s="18"/>
      <c r="J41" s="18"/>
      <c r="K41" s="25"/>
      <c r="L41" s="25"/>
      <c r="M41" s="17"/>
      <c r="N41" s="18"/>
      <c r="O41" s="18"/>
      <c r="P41" s="25"/>
      <c r="Q41" s="25"/>
      <c r="R41" s="17"/>
      <c r="S41" s="18"/>
      <c r="T41" s="18"/>
      <c r="U41" s="31">
        <v>19140</v>
      </c>
      <c r="V41" s="32" t="s">
        <v>48</v>
      </c>
      <c r="W41" s="32"/>
      <c r="X41" s="33"/>
      <c r="Y41" s="24"/>
      <c r="Z41" s="24"/>
      <c r="AA41" s="24"/>
      <c r="AB41" s="26"/>
    </row>
    <row r="42" spans="1:28" x14ac:dyDescent="0.2">
      <c r="A42" s="193"/>
      <c r="B42" s="157" t="s">
        <v>3</v>
      </c>
      <c r="C42" s="158" t="s">
        <v>10</v>
      </c>
      <c r="D42" s="158" t="s">
        <v>12</v>
      </c>
      <c r="E42" s="180" t="s">
        <v>5</v>
      </c>
      <c r="F42" s="211" t="s">
        <v>6</v>
      </c>
      <c r="G42" s="212"/>
      <c r="H42" s="212"/>
      <c r="I42" s="212"/>
      <c r="J42" s="213"/>
      <c r="K42" s="211" t="s">
        <v>7</v>
      </c>
      <c r="L42" s="212"/>
      <c r="M42" s="212"/>
      <c r="N42" s="212"/>
      <c r="O42" s="213"/>
      <c r="P42" s="211" t="s">
        <v>8</v>
      </c>
      <c r="Q42" s="212"/>
      <c r="R42" s="212"/>
      <c r="S42" s="212"/>
      <c r="T42" s="213"/>
      <c r="U42" s="214" t="s">
        <v>15</v>
      </c>
      <c r="V42" s="214" t="s">
        <v>52</v>
      </c>
      <c r="W42" s="214" t="s">
        <v>53</v>
      </c>
      <c r="X42" s="214" t="s">
        <v>54</v>
      </c>
      <c r="Y42" s="214" t="s">
        <v>55</v>
      </c>
      <c r="Z42" s="214" t="s">
        <v>56</v>
      </c>
      <c r="AA42" s="214" t="s">
        <v>57</v>
      </c>
      <c r="AB42" s="214" t="s">
        <v>17</v>
      </c>
    </row>
    <row r="43" spans="1:28" ht="38.25" x14ac:dyDescent="0.2">
      <c r="A43" s="193"/>
      <c r="B43" s="157"/>
      <c r="C43" s="158"/>
      <c r="D43" s="158"/>
      <c r="E43" s="180"/>
      <c r="F43" s="15" t="s">
        <v>23</v>
      </c>
      <c r="G43" s="15" t="s">
        <v>47</v>
      </c>
      <c r="H43" s="15" t="s">
        <v>50</v>
      </c>
      <c r="I43" s="15" t="s">
        <v>49</v>
      </c>
      <c r="J43" s="15" t="s">
        <v>51</v>
      </c>
      <c r="K43" s="15" t="s">
        <v>23</v>
      </c>
      <c r="L43" s="15" t="s">
        <v>13</v>
      </c>
      <c r="M43" s="15" t="s">
        <v>50</v>
      </c>
      <c r="N43" s="15" t="s">
        <v>49</v>
      </c>
      <c r="O43" s="15" t="s">
        <v>51</v>
      </c>
      <c r="P43" s="15" t="s">
        <v>23</v>
      </c>
      <c r="Q43" s="15" t="s">
        <v>13</v>
      </c>
      <c r="R43" s="15" t="s">
        <v>50</v>
      </c>
      <c r="S43" s="15" t="s">
        <v>49</v>
      </c>
      <c r="T43" s="15" t="s">
        <v>51</v>
      </c>
      <c r="U43" s="214"/>
      <c r="V43" s="214"/>
      <c r="W43" s="214"/>
      <c r="X43" s="214"/>
      <c r="Y43" s="214"/>
      <c r="Z43" s="214"/>
      <c r="AA43" s="214"/>
      <c r="AB43" s="214"/>
    </row>
    <row r="44" spans="1:28" x14ac:dyDescent="0.2">
      <c r="A44" s="193"/>
      <c r="B44" s="194" t="s">
        <v>64</v>
      </c>
      <c r="C44" s="11">
        <v>21234</v>
      </c>
      <c r="D44" s="11" t="s">
        <v>71</v>
      </c>
      <c r="E44" s="196" t="s">
        <v>1</v>
      </c>
      <c r="F44" s="12">
        <v>8352</v>
      </c>
      <c r="G44" s="20">
        <f>F44/$U41</f>
        <v>0.43636363636363634</v>
      </c>
      <c r="H44" s="12"/>
      <c r="I44" s="12"/>
      <c r="J44" s="12"/>
      <c r="K44" s="12">
        <v>8193</v>
      </c>
      <c r="L44" s="20">
        <f>K44/$U41</f>
        <v>0.42805642633228841</v>
      </c>
      <c r="M44" s="12"/>
      <c r="N44" s="12"/>
      <c r="O44" s="12"/>
      <c r="P44" s="12">
        <v>8385</v>
      </c>
      <c r="Q44" s="20">
        <f>P44/$U41</f>
        <v>0.43808777429467083</v>
      </c>
      <c r="R44" s="12"/>
      <c r="S44" s="12"/>
      <c r="T44" s="12"/>
      <c r="U44" s="151">
        <f>SUM(F44, K44, P44, F45, K45, P45)</f>
        <v>24930</v>
      </c>
      <c r="V44" s="151">
        <f>SUM(H44, M44, R44, H45, M45, R45)</f>
        <v>0</v>
      </c>
      <c r="W44" s="205">
        <f>IF($U44=0, ,V44/$U44)</f>
        <v>0</v>
      </c>
      <c r="X44" s="151">
        <f>SUM(I44, N44, S44, I45, N45, S45)</f>
        <v>0</v>
      </c>
      <c r="Y44" s="205">
        <f>IF($U44=0, ,X44/$U44)</f>
        <v>0</v>
      </c>
      <c r="Z44" s="151">
        <f>SUM(J44, O44, T44, J45, O45, T45)</f>
        <v>0</v>
      </c>
      <c r="AA44" s="205">
        <f>IF($U44=0, ,Z44/$U44)</f>
        <v>0</v>
      </c>
      <c r="AB44" s="179"/>
    </row>
    <row r="45" spans="1:28" x14ac:dyDescent="0.2">
      <c r="A45" s="193"/>
      <c r="B45" s="204"/>
      <c r="C45" s="11"/>
      <c r="D45" s="11"/>
      <c r="E45" s="198"/>
      <c r="F45" s="12"/>
      <c r="G45" s="20">
        <f>F45/$U41</f>
        <v>0</v>
      </c>
      <c r="H45" s="12"/>
      <c r="I45" s="12"/>
      <c r="J45" s="12"/>
      <c r="K45" s="12"/>
      <c r="L45" s="20">
        <f>K45/$U41</f>
        <v>0</v>
      </c>
      <c r="M45" s="12"/>
      <c r="N45" s="12"/>
      <c r="O45" s="12"/>
      <c r="P45" s="12"/>
      <c r="Q45" s="20">
        <f>P45/$U41</f>
        <v>0</v>
      </c>
      <c r="R45" s="12"/>
      <c r="S45" s="12"/>
      <c r="T45" s="12"/>
      <c r="U45" s="152"/>
      <c r="V45" s="152"/>
      <c r="W45" s="206"/>
      <c r="X45" s="152"/>
      <c r="Y45" s="206"/>
      <c r="Z45" s="152"/>
      <c r="AA45" s="206"/>
      <c r="AB45" s="156"/>
    </row>
    <row r="46" spans="1:28" x14ac:dyDescent="0.2">
      <c r="A46" s="193"/>
      <c r="B46" s="175" t="s">
        <v>69</v>
      </c>
      <c r="C46" s="10">
        <v>21231</v>
      </c>
      <c r="D46" s="10" t="s">
        <v>70</v>
      </c>
      <c r="E46" s="177" t="s">
        <v>1</v>
      </c>
      <c r="F46" s="13">
        <v>8829</v>
      </c>
      <c r="G46" s="21">
        <f>F46/$U41</f>
        <v>0.46128526645768025</v>
      </c>
      <c r="H46" s="13"/>
      <c r="I46" s="13"/>
      <c r="J46" s="13"/>
      <c r="K46" s="13">
        <v>8942</v>
      </c>
      <c r="L46" s="21">
        <f>K46/$U41</f>
        <v>0.46718913270637408</v>
      </c>
      <c r="M46" s="13"/>
      <c r="N46" s="13"/>
      <c r="O46" s="13"/>
      <c r="P46" s="13">
        <v>8757</v>
      </c>
      <c r="Q46" s="21">
        <f>P46/$U41</f>
        <v>0.45752351097178684</v>
      </c>
      <c r="R46" s="13"/>
      <c r="S46" s="13"/>
      <c r="T46" s="13"/>
      <c r="U46" s="185">
        <f>SUM(F46, K46, P46, F47, K47, P47)</f>
        <v>26528</v>
      </c>
      <c r="V46" s="185">
        <f>SUM(H46, M46, R46, H47, M47, R47)</f>
        <v>0</v>
      </c>
      <c r="W46" s="200">
        <f>IF($U46=0, ,V46/$U46)</f>
        <v>0</v>
      </c>
      <c r="X46" s="185">
        <f>SUM(I46, N46, S46, I47, N47, S47)</f>
        <v>0</v>
      </c>
      <c r="Y46" s="200">
        <f>IF($U46=0, ,X46/$U46)</f>
        <v>0</v>
      </c>
      <c r="Z46" s="185">
        <f>SUM(J46, O46, T46, J47, O47, T47)</f>
        <v>0</v>
      </c>
      <c r="AA46" s="200">
        <f>IF($U46=0, ,Z46/$U46)</f>
        <v>0</v>
      </c>
      <c r="AB46" s="202"/>
    </row>
    <row r="47" spans="1:28" x14ac:dyDescent="0.2">
      <c r="A47" s="193"/>
      <c r="B47" s="176"/>
      <c r="C47" s="10"/>
      <c r="D47" s="10"/>
      <c r="E47" s="178"/>
      <c r="F47" s="13"/>
      <c r="G47" s="21">
        <f>F47/$U41</f>
        <v>0</v>
      </c>
      <c r="H47" s="13"/>
      <c r="I47" s="13"/>
      <c r="J47" s="13"/>
      <c r="K47" s="13"/>
      <c r="L47" s="21">
        <f>K47/$U41</f>
        <v>0</v>
      </c>
      <c r="M47" s="13"/>
      <c r="N47" s="13"/>
      <c r="O47" s="13"/>
      <c r="P47" s="13"/>
      <c r="Q47" s="21">
        <f>P47/$U41</f>
        <v>0</v>
      </c>
      <c r="R47" s="13"/>
      <c r="S47" s="13"/>
      <c r="T47" s="13"/>
      <c r="U47" s="186"/>
      <c r="V47" s="186"/>
      <c r="W47" s="201"/>
      <c r="X47" s="186"/>
      <c r="Y47" s="201"/>
      <c r="Z47" s="186"/>
      <c r="AA47" s="201"/>
      <c r="AB47" s="203"/>
    </row>
    <row r="48" spans="1:28" x14ac:dyDescent="0.2">
      <c r="A48" s="193"/>
      <c r="B48" s="194" t="s">
        <v>68</v>
      </c>
      <c r="C48" s="9">
        <v>21231</v>
      </c>
      <c r="D48" s="9" t="s">
        <v>70</v>
      </c>
      <c r="E48" s="149" t="s">
        <v>1</v>
      </c>
      <c r="F48" s="14">
        <v>8547</v>
      </c>
      <c r="G48" s="22">
        <f>F48/$U41</f>
        <v>0.44655172413793104</v>
      </c>
      <c r="H48" s="14"/>
      <c r="I48" s="14"/>
      <c r="J48" s="14"/>
      <c r="K48" s="14">
        <v>8866</v>
      </c>
      <c r="L48" s="22">
        <f>K48/$U41</f>
        <v>0.4632183908045977</v>
      </c>
      <c r="M48" s="14"/>
      <c r="N48" s="14"/>
      <c r="O48" s="14"/>
      <c r="P48" s="14">
        <v>8079</v>
      </c>
      <c r="Q48" s="22">
        <f>P48/$U41</f>
        <v>0.42210031347962385</v>
      </c>
      <c r="R48" s="14"/>
      <c r="S48" s="14"/>
      <c r="T48" s="14"/>
      <c r="U48" s="151">
        <f>SUM(F48, K48, P48, F49, K49, P49)</f>
        <v>25492</v>
      </c>
      <c r="V48" s="151">
        <f>SUM(H48, M48, R48, H49, M49, R49)</f>
        <v>0</v>
      </c>
      <c r="W48" s="205">
        <f>IF($U48=0, ,V48/$U48)</f>
        <v>0</v>
      </c>
      <c r="X48" s="151">
        <f>SUM(I48, N48, S48, I49, N49, S49)</f>
        <v>0</v>
      </c>
      <c r="Y48" s="205">
        <f>IF($U48=0, ,X48/$U48)</f>
        <v>0</v>
      </c>
      <c r="Z48" s="151">
        <f>SUM(J48, O48, T48, J49, O49, T49)</f>
        <v>0</v>
      </c>
      <c r="AA48" s="205">
        <f>IF($U48=0, ,Z48/$U48)</f>
        <v>0</v>
      </c>
      <c r="AB48" s="179" t="s">
        <v>82</v>
      </c>
    </row>
    <row r="49" spans="1:28" x14ac:dyDescent="0.2">
      <c r="A49" s="193"/>
      <c r="B49" s="204"/>
      <c r="C49" s="9"/>
      <c r="D49" s="9"/>
      <c r="E49" s="150"/>
      <c r="F49" s="14"/>
      <c r="G49" s="22">
        <f>F49/$U41</f>
        <v>0</v>
      </c>
      <c r="H49" s="14"/>
      <c r="I49" s="14"/>
      <c r="J49" s="14"/>
      <c r="K49" s="14"/>
      <c r="L49" s="22">
        <f>K49/$U41</f>
        <v>0</v>
      </c>
      <c r="M49" s="14"/>
      <c r="N49" s="14"/>
      <c r="O49" s="14"/>
      <c r="P49" s="14"/>
      <c r="Q49" s="22">
        <f>P49/$U41</f>
        <v>0</v>
      </c>
      <c r="R49" s="14"/>
      <c r="S49" s="14"/>
      <c r="T49" s="14"/>
      <c r="U49" s="152"/>
      <c r="V49" s="152"/>
      <c r="W49" s="206"/>
      <c r="X49" s="152"/>
      <c r="Y49" s="206"/>
      <c r="Z49" s="152"/>
      <c r="AA49" s="206"/>
      <c r="AB49" s="156"/>
    </row>
    <row r="50" spans="1:28" ht="13.5" thickBot="1" x14ac:dyDescent="0.25">
      <c r="A50" s="193"/>
      <c r="B50" s="42"/>
      <c r="C50" s="42"/>
      <c r="D50" s="42"/>
      <c r="E50" s="42"/>
      <c r="F50" s="43"/>
      <c r="G50" s="44"/>
      <c r="H50" s="43"/>
      <c r="I50" s="43"/>
      <c r="J50" s="43"/>
      <c r="K50" s="43"/>
      <c r="L50" s="44"/>
      <c r="M50" s="43"/>
      <c r="N50" s="43"/>
      <c r="O50" s="43"/>
      <c r="P50" s="43"/>
      <c r="Q50" s="44"/>
      <c r="R50" s="43"/>
      <c r="S50" s="43"/>
      <c r="T50" s="46" t="s">
        <v>26</v>
      </c>
      <c r="U50" s="47">
        <f>SUM(U44:U49)</f>
        <v>76950</v>
      </c>
      <c r="V50" s="47">
        <f>SUM(V44:V49)</f>
        <v>0</v>
      </c>
      <c r="W50" s="48">
        <f>IF($U50=0, ,V50/$U50)</f>
        <v>0</v>
      </c>
      <c r="X50" s="47">
        <f>SUM(X44:X49)</f>
        <v>0</v>
      </c>
      <c r="Y50" s="48">
        <f>IF($U50=0, ,X50/$U50)</f>
        <v>0</v>
      </c>
      <c r="Z50" s="47">
        <f>SUM(Z44:Z49)</f>
        <v>0</v>
      </c>
      <c r="AA50" s="48">
        <f>IF($U50=0, ,Z50/$U50)</f>
        <v>0</v>
      </c>
      <c r="AB50" s="45"/>
    </row>
    <row r="51" spans="1:28" ht="13.5" thickTop="1" x14ac:dyDescent="0.2">
      <c r="A51" s="193"/>
      <c r="B51" s="42"/>
      <c r="C51" s="42"/>
      <c r="D51" s="42"/>
      <c r="E51" s="42"/>
      <c r="F51" s="68"/>
      <c r="G51" s="68"/>
      <c r="H51" s="68"/>
      <c r="I51" s="68"/>
      <c r="J51" s="68"/>
      <c r="K51" s="68"/>
      <c r="L51" s="68"/>
      <c r="M51" s="68"/>
      <c r="N51" s="68"/>
      <c r="O51" s="69"/>
      <c r="P51" s="69"/>
      <c r="Q51" s="70"/>
      <c r="R51" s="69"/>
      <c r="S51" s="70"/>
      <c r="T51" s="71"/>
      <c r="U51" s="71"/>
      <c r="V51" s="71"/>
      <c r="W51" s="71"/>
      <c r="X51" s="71"/>
      <c r="Y51" s="71"/>
      <c r="Z51" s="71"/>
      <c r="AA51" s="71"/>
      <c r="AB51" s="72"/>
    </row>
    <row r="52" spans="1:28" x14ac:dyDescent="0.2">
      <c r="A52" s="193"/>
      <c r="B52" s="207" t="s">
        <v>32</v>
      </c>
      <c r="C52" s="207"/>
      <c r="D52" s="208"/>
      <c r="E52" s="77" t="s">
        <v>33</v>
      </c>
      <c r="F52" s="159" t="s">
        <v>29</v>
      </c>
      <c r="G52" s="159"/>
      <c r="H52" s="159"/>
      <c r="I52" s="159" t="s">
        <v>41</v>
      </c>
      <c r="J52" s="159"/>
      <c r="K52" s="159"/>
      <c r="L52" s="159" t="s">
        <v>30</v>
      </c>
      <c r="M52" s="159"/>
      <c r="N52" s="159"/>
      <c r="O52" s="159" t="s">
        <v>31</v>
      </c>
      <c r="P52" s="159"/>
      <c r="Q52" s="159"/>
      <c r="R52" s="159" t="s">
        <v>38</v>
      </c>
      <c r="S52" s="159"/>
      <c r="T52" s="159"/>
      <c r="U52" s="159" t="s">
        <v>60</v>
      </c>
      <c r="V52" s="159"/>
      <c r="W52" s="159"/>
      <c r="X52" s="159" t="s">
        <v>40</v>
      </c>
      <c r="Y52" s="159"/>
      <c r="Z52" s="159"/>
      <c r="AA52" s="215"/>
      <c r="AB52" s="216"/>
    </row>
    <row r="53" spans="1:28" x14ac:dyDescent="0.2">
      <c r="A53" s="193"/>
      <c r="B53" s="209"/>
      <c r="C53" s="209"/>
      <c r="D53" s="210"/>
      <c r="E53" s="82" t="s">
        <v>34</v>
      </c>
      <c r="F53" s="78" t="s">
        <v>35</v>
      </c>
      <c r="G53" s="78" t="s">
        <v>36</v>
      </c>
      <c r="H53" s="79" t="s">
        <v>37</v>
      </c>
      <c r="I53" s="78" t="s">
        <v>35</v>
      </c>
      <c r="J53" s="78" t="s">
        <v>36</v>
      </c>
      <c r="K53" s="79" t="s">
        <v>37</v>
      </c>
      <c r="L53" s="78" t="s">
        <v>35</v>
      </c>
      <c r="M53" s="78" t="s">
        <v>36</v>
      </c>
      <c r="N53" s="79" t="s">
        <v>37</v>
      </c>
      <c r="O53" s="78" t="s">
        <v>35</v>
      </c>
      <c r="P53" s="78" t="s">
        <v>36</v>
      </c>
      <c r="Q53" s="79" t="s">
        <v>37</v>
      </c>
      <c r="R53" s="78" t="s">
        <v>35</v>
      </c>
      <c r="S53" s="78" t="s">
        <v>36</v>
      </c>
      <c r="T53" s="79" t="s">
        <v>37</v>
      </c>
      <c r="U53" s="78" t="s">
        <v>35</v>
      </c>
      <c r="V53" s="78" t="s">
        <v>36</v>
      </c>
      <c r="W53" s="79" t="s">
        <v>37</v>
      </c>
      <c r="X53" s="78" t="s">
        <v>35</v>
      </c>
      <c r="Y53" s="78" t="s">
        <v>36</v>
      </c>
      <c r="Z53" s="79" t="s">
        <v>37</v>
      </c>
      <c r="AA53" s="216"/>
      <c r="AB53" s="216"/>
    </row>
    <row r="54" spans="1:28" x14ac:dyDescent="0.2">
      <c r="A54" s="193"/>
      <c r="B54" s="80" t="str">
        <f xml:space="preserve"> IF(ISBLANK(B44), "-",B44)</f>
        <v>HTL-01</v>
      </c>
      <c r="C54" s="80">
        <f xml:space="preserve"> IF(ISBLANK(C44), "-",C44)</f>
        <v>21234</v>
      </c>
      <c r="D54" s="80" t="str">
        <f xml:space="preserve"> IF(ISBLANK(D44), "-",D44)</f>
        <v>14ml    L’Oreal</v>
      </c>
      <c r="E54" s="170"/>
      <c r="F54" s="81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5">
        <v>19</v>
      </c>
      <c r="M54" s="75">
        <v>18</v>
      </c>
      <c r="N54" s="75">
        <v>16</v>
      </c>
      <c r="O54" s="75">
        <v>0</v>
      </c>
      <c r="P54" s="75">
        <v>0</v>
      </c>
      <c r="Q54" s="74">
        <v>0</v>
      </c>
      <c r="R54" s="75">
        <v>0</v>
      </c>
      <c r="S54" s="75">
        <v>0</v>
      </c>
      <c r="T54" s="75">
        <v>0</v>
      </c>
      <c r="U54" s="75">
        <v>6</v>
      </c>
      <c r="V54" s="75">
        <v>8</v>
      </c>
      <c r="W54" s="74">
        <v>15</v>
      </c>
      <c r="X54" s="74">
        <v>3</v>
      </c>
      <c r="Y54" s="74">
        <v>4</v>
      </c>
      <c r="Z54" s="76">
        <v>0</v>
      </c>
      <c r="AA54" s="216"/>
      <c r="AB54" s="216"/>
    </row>
    <row r="55" spans="1:28" x14ac:dyDescent="0.2">
      <c r="A55" s="193"/>
      <c r="B55" s="80" t="str">
        <f xml:space="preserve"> IF(ISBLANK(B46), "-",B46)</f>
        <v>HTL-02</v>
      </c>
      <c r="C55" s="80">
        <f xml:space="preserve"> IF(ISBLANK(C46), "-",C46)</f>
        <v>21231</v>
      </c>
      <c r="D55" s="80" t="str">
        <f xml:space="preserve"> IF(ISBLANK(D46), "-",D46)</f>
        <v>7ml   L’Oreal</v>
      </c>
      <c r="E55" s="171"/>
      <c r="F55" s="81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5">
        <v>19</v>
      </c>
      <c r="M55" s="75">
        <v>19</v>
      </c>
      <c r="N55" s="75">
        <v>9</v>
      </c>
      <c r="O55" s="75">
        <v>0</v>
      </c>
      <c r="P55" s="75">
        <v>0</v>
      </c>
      <c r="Q55" s="74">
        <v>0</v>
      </c>
      <c r="R55" s="75">
        <v>0</v>
      </c>
      <c r="S55" s="75">
        <v>0</v>
      </c>
      <c r="T55" s="75">
        <v>0</v>
      </c>
      <c r="U55" s="75">
        <v>6</v>
      </c>
      <c r="V55" s="75">
        <v>2</v>
      </c>
      <c r="W55" s="74">
        <v>5</v>
      </c>
      <c r="X55" s="74">
        <v>0</v>
      </c>
      <c r="Y55" s="74">
        <v>2</v>
      </c>
      <c r="Z55" s="97">
        <v>6</v>
      </c>
      <c r="AA55" s="216"/>
      <c r="AB55" s="216"/>
    </row>
    <row r="56" spans="1:28" x14ac:dyDescent="0.2">
      <c r="A56" s="193"/>
      <c r="B56" s="80" t="str">
        <f xml:space="preserve"> IF(ISBLANK(B48), "-",B48)</f>
        <v>HTL-03</v>
      </c>
      <c r="C56" s="80">
        <f xml:space="preserve"> IF(ISBLANK(C48), "-",C48)</f>
        <v>21231</v>
      </c>
      <c r="D56" s="80" t="str">
        <f xml:space="preserve"> IF(ISBLANK(D48), "-",D48)</f>
        <v>7ml   L’Oreal</v>
      </c>
      <c r="E56" s="172"/>
      <c r="F56" s="81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5">
        <v>22</v>
      </c>
      <c r="M56" s="75">
        <v>21</v>
      </c>
      <c r="N56" s="75">
        <v>23</v>
      </c>
      <c r="O56" s="75">
        <v>0</v>
      </c>
      <c r="P56" s="75">
        <v>0</v>
      </c>
      <c r="Q56" s="74">
        <v>0</v>
      </c>
      <c r="R56" s="75">
        <v>0</v>
      </c>
      <c r="S56" s="75">
        <v>0</v>
      </c>
      <c r="T56" s="75">
        <v>0</v>
      </c>
      <c r="U56" s="75">
        <v>1</v>
      </c>
      <c r="V56" s="75">
        <v>4</v>
      </c>
      <c r="W56" s="74">
        <v>9</v>
      </c>
      <c r="X56" s="74">
        <v>1</v>
      </c>
      <c r="Y56" s="74">
        <v>10</v>
      </c>
      <c r="Z56" s="76">
        <v>0</v>
      </c>
      <c r="AA56" s="216"/>
      <c r="AB56" s="216"/>
    </row>
    <row r="58" spans="1:28" x14ac:dyDescent="0.2">
      <c r="A58" s="193">
        <v>44716</v>
      </c>
      <c r="B58" s="16"/>
      <c r="C58" s="16" t="s">
        <v>20</v>
      </c>
      <c r="D58" s="17">
        <v>1</v>
      </c>
      <c r="E58" s="18"/>
      <c r="F58" s="18" t="s">
        <v>19</v>
      </c>
      <c r="G58" s="17">
        <v>0</v>
      </c>
      <c r="H58" s="17"/>
      <c r="I58" s="18"/>
      <c r="J58" s="18"/>
      <c r="K58" s="25"/>
      <c r="L58" s="25"/>
      <c r="M58" s="17"/>
      <c r="N58" s="18"/>
      <c r="O58" s="18"/>
      <c r="P58" s="25"/>
      <c r="Q58" s="25"/>
      <c r="R58" s="17"/>
      <c r="S58" s="18"/>
      <c r="T58" s="18"/>
      <c r="U58" s="31">
        <v>19140</v>
      </c>
      <c r="V58" s="32" t="s">
        <v>48</v>
      </c>
      <c r="W58" s="32"/>
      <c r="X58" s="33"/>
      <c r="Y58" s="24"/>
      <c r="Z58" s="24"/>
      <c r="AA58" s="24"/>
      <c r="AB58" s="26"/>
    </row>
    <row r="59" spans="1:28" x14ac:dyDescent="0.2">
      <c r="A59" s="193"/>
      <c r="B59" s="157" t="s">
        <v>3</v>
      </c>
      <c r="C59" s="158" t="s">
        <v>10</v>
      </c>
      <c r="D59" s="158" t="s">
        <v>12</v>
      </c>
      <c r="E59" s="180" t="s">
        <v>5</v>
      </c>
      <c r="F59" s="211" t="s">
        <v>6</v>
      </c>
      <c r="G59" s="212"/>
      <c r="H59" s="212"/>
      <c r="I59" s="212"/>
      <c r="J59" s="213"/>
      <c r="K59" s="211" t="s">
        <v>7</v>
      </c>
      <c r="L59" s="212"/>
      <c r="M59" s="212"/>
      <c r="N59" s="212"/>
      <c r="O59" s="213"/>
      <c r="P59" s="211" t="s">
        <v>8</v>
      </c>
      <c r="Q59" s="212"/>
      <c r="R59" s="212"/>
      <c r="S59" s="212"/>
      <c r="T59" s="213"/>
      <c r="U59" s="214" t="s">
        <v>15</v>
      </c>
      <c r="V59" s="214" t="s">
        <v>52</v>
      </c>
      <c r="W59" s="214" t="s">
        <v>53</v>
      </c>
      <c r="X59" s="214" t="s">
        <v>54</v>
      </c>
      <c r="Y59" s="214" t="s">
        <v>55</v>
      </c>
      <c r="Z59" s="214" t="s">
        <v>56</v>
      </c>
      <c r="AA59" s="214" t="s">
        <v>57</v>
      </c>
      <c r="AB59" s="214" t="s">
        <v>17</v>
      </c>
    </row>
    <row r="60" spans="1:28" ht="38.25" x14ac:dyDescent="0.2">
      <c r="A60" s="193"/>
      <c r="B60" s="157"/>
      <c r="C60" s="158"/>
      <c r="D60" s="158"/>
      <c r="E60" s="180"/>
      <c r="F60" s="15" t="s">
        <v>23</v>
      </c>
      <c r="G60" s="15" t="s">
        <v>47</v>
      </c>
      <c r="H60" s="15" t="s">
        <v>50</v>
      </c>
      <c r="I60" s="15" t="s">
        <v>49</v>
      </c>
      <c r="J60" s="15" t="s">
        <v>51</v>
      </c>
      <c r="K60" s="15" t="s">
        <v>23</v>
      </c>
      <c r="L60" s="15" t="s">
        <v>13</v>
      </c>
      <c r="M60" s="15" t="s">
        <v>50</v>
      </c>
      <c r="N60" s="15" t="s">
        <v>49</v>
      </c>
      <c r="O60" s="15" t="s">
        <v>51</v>
      </c>
      <c r="P60" s="15" t="s">
        <v>23</v>
      </c>
      <c r="Q60" s="15" t="s">
        <v>13</v>
      </c>
      <c r="R60" s="15" t="s">
        <v>50</v>
      </c>
      <c r="S60" s="15" t="s">
        <v>49</v>
      </c>
      <c r="T60" s="15" t="s">
        <v>51</v>
      </c>
      <c r="U60" s="214"/>
      <c r="V60" s="214"/>
      <c r="W60" s="214"/>
      <c r="X60" s="214"/>
      <c r="Y60" s="214"/>
      <c r="Z60" s="214"/>
      <c r="AA60" s="214"/>
      <c r="AB60" s="214"/>
    </row>
    <row r="61" spans="1:28" x14ac:dyDescent="0.2">
      <c r="A61" s="193"/>
      <c r="B61" s="194" t="s">
        <v>64</v>
      </c>
      <c r="C61" s="11">
        <v>21234</v>
      </c>
      <c r="D61" s="11" t="s">
        <v>71</v>
      </c>
      <c r="E61" s="196" t="s">
        <v>1</v>
      </c>
      <c r="F61" s="12">
        <v>8897</v>
      </c>
      <c r="G61" s="20">
        <f>F61/$U58</f>
        <v>0.46483803552769071</v>
      </c>
      <c r="H61" s="12"/>
      <c r="I61" s="12"/>
      <c r="J61" s="12"/>
      <c r="K61" s="12">
        <v>8809</v>
      </c>
      <c r="L61" s="20">
        <f>K61/$U58</f>
        <v>0.46024033437826539</v>
      </c>
      <c r="M61" s="12"/>
      <c r="N61" s="12"/>
      <c r="O61" s="12"/>
      <c r="P61" s="12">
        <v>8893</v>
      </c>
      <c r="Q61" s="20">
        <f>P61/$U58</f>
        <v>0.46462904911180775</v>
      </c>
      <c r="R61" s="12"/>
      <c r="S61" s="12"/>
      <c r="T61" s="12"/>
      <c r="U61" s="151">
        <f>SUM(F61, K61, P61, F62, K62, P62)</f>
        <v>26599</v>
      </c>
      <c r="V61" s="151">
        <f>SUM(H61, M61, R61, H62, M62, R62)</f>
        <v>0</v>
      </c>
      <c r="W61" s="205">
        <f>IF($U61=0, ,V61/$U61)</f>
        <v>0</v>
      </c>
      <c r="X61" s="151">
        <f>SUM(I61, N61, S61, I62, N62, S62)</f>
        <v>0</v>
      </c>
      <c r="Y61" s="205">
        <f>IF($U61=0, ,X61/$U61)</f>
        <v>0</v>
      </c>
      <c r="Z61" s="151">
        <f>SUM(J61, O61, T61, J62, O62, T62)</f>
        <v>0</v>
      </c>
      <c r="AA61" s="205">
        <f>IF($U61=0, ,Z61/$U61)</f>
        <v>0</v>
      </c>
      <c r="AB61" s="179"/>
    </row>
    <row r="62" spans="1:28" x14ac:dyDescent="0.2">
      <c r="A62" s="193"/>
      <c r="B62" s="204"/>
      <c r="C62" s="11"/>
      <c r="D62" s="11"/>
      <c r="E62" s="198"/>
      <c r="F62" s="12"/>
      <c r="G62" s="20">
        <f>F62/$U58</f>
        <v>0</v>
      </c>
      <c r="H62" s="12"/>
      <c r="I62" s="12"/>
      <c r="J62" s="12"/>
      <c r="K62" s="12"/>
      <c r="L62" s="20">
        <f>K62/$U58</f>
        <v>0</v>
      </c>
      <c r="M62" s="12"/>
      <c r="N62" s="12"/>
      <c r="O62" s="12"/>
      <c r="P62" s="12"/>
      <c r="Q62" s="20">
        <f>P62/$U58</f>
        <v>0</v>
      </c>
      <c r="R62" s="12"/>
      <c r="S62" s="12"/>
      <c r="T62" s="12"/>
      <c r="U62" s="152"/>
      <c r="V62" s="152"/>
      <c r="W62" s="206"/>
      <c r="X62" s="152"/>
      <c r="Y62" s="206"/>
      <c r="Z62" s="152"/>
      <c r="AA62" s="206"/>
      <c r="AB62" s="156"/>
    </row>
    <row r="63" spans="1:28" x14ac:dyDescent="0.2">
      <c r="A63" s="193"/>
      <c r="B63" s="175" t="s">
        <v>69</v>
      </c>
      <c r="C63" s="10">
        <v>21231</v>
      </c>
      <c r="D63" s="10" t="s">
        <v>70</v>
      </c>
      <c r="E63" s="177" t="s">
        <v>1</v>
      </c>
      <c r="F63" s="13">
        <v>8879</v>
      </c>
      <c r="G63" s="21">
        <f>F63/$U58</f>
        <v>0.46389759665621733</v>
      </c>
      <c r="H63" s="13"/>
      <c r="I63" s="13"/>
      <c r="J63" s="13"/>
      <c r="K63" s="13">
        <v>8817</v>
      </c>
      <c r="L63" s="21">
        <f>K63/$U58</f>
        <v>0.46065830721003137</v>
      </c>
      <c r="M63" s="13"/>
      <c r="N63" s="13"/>
      <c r="O63" s="13"/>
      <c r="P63" s="13">
        <v>8711</v>
      </c>
      <c r="Q63" s="21">
        <f>P63/$U58</f>
        <v>0.45512016718913273</v>
      </c>
      <c r="R63" s="13"/>
      <c r="S63" s="13"/>
      <c r="T63" s="13"/>
      <c r="U63" s="185">
        <f>SUM(F63, K63, P63, F64, K64, P64)</f>
        <v>26407</v>
      </c>
      <c r="V63" s="185">
        <f>SUM(H63, M63, R63, H64, M64, R64)</f>
        <v>0</v>
      </c>
      <c r="W63" s="200">
        <f>IF($U63=0, ,V63/$U63)</f>
        <v>0</v>
      </c>
      <c r="X63" s="185">
        <f>SUM(I63, N63, S63, I64, N64, S64)</f>
        <v>0</v>
      </c>
      <c r="Y63" s="200">
        <f>IF($U63=0, ,X63/$U63)</f>
        <v>0</v>
      </c>
      <c r="Z63" s="185">
        <f>SUM(J63, O63, T63, J64, O64, T64)</f>
        <v>0</v>
      </c>
      <c r="AA63" s="200">
        <f>IF($U63=0, ,Z63/$U63)</f>
        <v>0</v>
      </c>
      <c r="AB63" s="202"/>
    </row>
    <row r="64" spans="1:28" x14ac:dyDescent="0.2">
      <c r="A64" s="193"/>
      <c r="B64" s="176"/>
      <c r="C64" s="10"/>
      <c r="D64" s="10"/>
      <c r="E64" s="178"/>
      <c r="F64" s="13"/>
      <c r="G64" s="21">
        <f>F64/$U58</f>
        <v>0</v>
      </c>
      <c r="H64" s="13"/>
      <c r="I64" s="13"/>
      <c r="J64" s="13"/>
      <c r="K64" s="13"/>
      <c r="L64" s="21">
        <f>K64/$U58</f>
        <v>0</v>
      </c>
      <c r="M64" s="13"/>
      <c r="N64" s="13"/>
      <c r="O64" s="13"/>
      <c r="P64" s="13"/>
      <c r="Q64" s="21">
        <f>P64/$U58</f>
        <v>0</v>
      </c>
      <c r="R64" s="13"/>
      <c r="S64" s="13"/>
      <c r="T64" s="13"/>
      <c r="U64" s="186"/>
      <c r="V64" s="186"/>
      <c r="W64" s="201"/>
      <c r="X64" s="186"/>
      <c r="Y64" s="201"/>
      <c r="Z64" s="186"/>
      <c r="AA64" s="201"/>
      <c r="AB64" s="203"/>
    </row>
    <row r="65" spans="1:28" x14ac:dyDescent="0.2">
      <c r="A65" s="193"/>
      <c r="B65" s="194" t="s">
        <v>68</v>
      </c>
      <c r="C65" s="9">
        <v>21231</v>
      </c>
      <c r="D65" s="9" t="s">
        <v>70</v>
      </c>
      <c r="E65" s="149" t="s">
        <v>1</v>
      </c>
      <c r="F65" s="14">
        <v>8421</v>
      </c>
      <c r="G65" s="22">
        <f>F65/$U58</f>
        <v>0.43996865203761754</v>
      </c>
      <c r="H65" s="14"/>
      <c r="I65" s="14"/>
      <c r="J65" s="14"/>
      <c r="K65" s="14">
        <v>8221</v>
      </c>
      <c r="L65" s="22">
        <f>K65/$U58</f>
        <v>0.42951933124346919</v>
      </c>
      <c r="M65" s="14"/>
      <c r="N65" s="14"/>
      <c r="O65" s="14"/>
      <c r="P65" s="14">
        <v>8248</v>
      </c>
      <c r="Q65" s="22">
        <f>P65/$U58</f>
        <v>0.43092998955067918</v>
      </c>
      <c r="R65" s="14"/>
      <c r="S65" s="14"/>
      <c r="T65" s="14"/>
      <c r="U65" s="151">
        <f>SUM(F65, K65, P65, F66, K66, P66)</f>
        <v>24890</v>
      </c>
      <c r="V65" s="151">
        <f>SUM(H65, M65, R65, H66, M66, R66)</f>
        <v>0</v>
      </c>
      <c r="W65" s="205">
        <f>IF($U65=0, ,V65/$U65)</f>
        <v>0</v>
      </c>
      <c r="X65" s="151">
        <f>SUM(I65, N65, S65, I66, N66, S66)</f>
        <v>0</v>
      </c>
      <c r="Y65" s="205">
        <f>IF($U65=0, ,X65/$U65)</f>
        <v>0</v>
      </c>
      <c r="Z65" s="151">
        <f>SUM(J65, O65, T65, J66, O66, T66)</f>
        <v>0</v>
      </c>
      <c r="AA65" s="205">
        <f>IF($U65=0, ,Z65/$U65)</f>
        <v>0</v>
      </c>
      <c r="AB65" s="179"/>
    </row>
    <row r="66" spans="1:28" x14ac:dyDescent="0.2">
      <c r="A66" s="193"/>
      <c r="B66" s="204"/>
      <c r="C66" s="9"/>
      <c r="D66" s="9"/>
      <c r="E66" s="150"/>
      <c r="F66" s="14"/>
      <c r="G66" s="22">
        <f>F66/$U58</f>
        <v>0</v>
      </c>
      <c r="H66" s="14"/>
      <c r="I66" s="14"/>
      <c r="J66" s="14"/>
      <c r="K66" s="14"/>
      <c r="L66" s="22">
        <f>K66/$U58</f>
        <v>0</v>
      </c>
      <c r="M66" s="14"/>
      <c r="N66" s="14"/>
      <c r="O66" s="14"/>
      <c r="P66" s="14"/>
      <c r="Q66" s="22">
        <f>P66/$U58</f>
        <v>0</v>
      </c>
      <c r="R66" s="14"/>
      <c r="S66" s="14"/>
      <c r="T66" s="14"/>
      <c r="U66" s="152"/>
      <c r="V66" s="152"/>
      <c r="W66" s="206"/>
      <c r="X66" s="152"/>
      <c r="Y66" s="206"/>
      <c r="Z66" s="152"/>
      <c r="AA66" s="206"/>
      <c r="AB66" s="156"/>
    </row>
    <row r="67" spans="1:28" ht="13.5" thickBot="1" x14ac:dyDescent="0.25">
      <c r="A67" s="193"/>
      <c r="B67" s="42"/>
      <c r="C67" s="42"/>
      <c r="D67" s="42"/>
      <c r="E67" s="42"/>
      <c r="F67" s="43"/>
      <c r="G67" s="44"/>
      <c r="H67" s="43"/>
      <c r="I67" s="43"/>
      <c r="J67" s="43"/>
      <c r="K67" s="43"/>
      <c r="L67" s="44"/>
      <c r="M67" s="43"/>
      <c r="N67" s="43"/>
      <c r="O67" s="43"/>
      <c r="P67" s="43"/>
      <c r="Q67" s="44"/>
      <c r="R67" s="43"/>
      <c r="S67" s="43"/>
      <c r="T67" s="46" t="s">
        <v>26</v>
      </c>
      <c r="U67" s="47">
        <f>SUM(U61:U66)</f>
        <v>77896</v>
      </c>
      <c r="V67" s="47">
        <f>SUM(V61:V66)</f>
        <v>0</v>
      </c>
      <c r="W67" s="48">
        <f>IF($U67=0, ,V67/$U67)</f>
        <v>0</v>
      </c>
      <c r="X67" s="47">
        <f>SUM(X61:X66)</f>
        <v>0</v>
      </c>
      <c r="Y67" s="48">
        <f>IF($U67=0, ,X67/$U67)</f>
        <v>0</v>
      </c>
      <c r="Z67" s="47">
        <f>SUM(Z61:Z66)</f>
        <v>0</v>
      </c>
      <c r="AA67" s="48">
        <f>IF($U67=0, ,Z67/$U67)</f>
        <v>0</v>
      </c>
      <c r="AB67" s="45"/>
    </row>
    <row r="68" spans="1:28" ht="13.5" thickTop="1" x14ac:dyDescent="0.2">
      <c r="A68" s="193"/>
      <c r="B68" s="42"/>
      <c r="C68" s="42"/>
      <c r="D68" s="42"/>
      <c r="E68" s="42"/>
      <c r="F68" s="68"/>
      <c r="G68" s="68"/>
      <c r="H68" s="68"/>
      <c r="I68" s="68"/>
      <c r="J68" s="68"/>
      <c r="K68" s="68"/>
      <c r="L68" s="68"/>
      <c r="M68" s="68"/>
      <c r="N68" s="68"/>
      <c r="O68" s="69"/>
      <c r="P68" s="69"/>
      <c r="Q68" s="70"/>
      <c r="R68" s="69"/>
      <c r="S68" s="70"/>
      <c r="T68" s="71"/>
      <c r="U68" s="71"/>
      <c r="V68" s="71"/>
      <c r="W68" s="71"/>
      <c r="X68" s="71"/>
      <c r="Y68" s="71"/>
      <c r="Z68" s="71"/>
      <c r="AA68" s="71"/>
      <c r="AB68" s="72"/>
    </row>
    <row r="69" spans="1:28" x14ac:dyDescent="0.2">
      <c r="A69" s="193"/>
      <c r="B69" s="207" t="s">
        <v>32</v>
      </c>
      <c r="C69" s="207"/>
      <c r="D69" s="208"/>
      <c r="E69" s="77" t="s">
        <v>33</v>
      </c>
      <c r="F69" s="159" t="s">
        <v>29</v>
      </c>
      <c r="G69" s="159"/>
      <c r="H69" s="159"/>
      <c r="I69" s="159" t="s">
        <v>41</v>
      </c>
      <c r="J69" s="159"/>
      <c r="K69" s="159"/>
      <c r="L69" s="159" t="s">
        <v>30</v>
      </c>
      <c r="M69" s="159"/>
      <c r="N69" s="159"/>
      <c r="O69" s="159" t="s">
        <v>31</v>
      </c>
      <c r="P69" s="159"/>
      <c r="Q69" s="159"/>
      <c r="R69" s="159" t="s">
        <v>38</v>
      </c>
      <c r="S69" s="159"/>
      <c r="T69" s="159"/>
      <c r="U69" s="159" t="s">
        <v>60</v>
      </c>
      <c r="V69" s="159"/>
      <c r="W69" s="159"/>
      <c r="X69" s="159" t="s">
        <v>40</v>
      </c>
      <c r="Y69" s="159"/>
      <c r="Z69" s="159"/>
      <c r="AA69" s="215" t="s">
        <v>81</v>
      </c>
      <c r="AB69" s="216"/>
    </row>
    <row r="70" spans="1:28" x14ac:dyDescent="0.2">
      <c r="A70" s="193"/>
      <c r="B70" s="209"/>
      <c r="C70" s="209"/>
      <c r="D70" s="210"/>
      <c r="E70" s="82" t="s">
        <v>34</v>
      </c>
      <c r="F70" s="78" t="s">
        <v>35</v>
      </c>
      <c r="G70" s="78" t="s">
        <v>36</v>
      </c>
      <c r="H70" s="79" t="s">
        <v>37</v>
      </c>
      <c r="I70" s="78" t="s">
        <v>35</v>
      </c>
      <c r="J70" s="78" t="s">
        <v>36</v>
      </c>
      <c r="K70" s="79" t="s">
        <v>37</v>
      </c>
      <c r="L70" s="78" t="s">
        <v>35</v>
      </c>
      <c r="M70" s="78" t="s">
        <v>36</v>
      </c>
      <c r="N70" s="79" t="s">
        <v>37</v>
      </c>
      <c r="O70" s="78" t="s">
        <v>35</v>
      </c>
      <c r="P70" s="78" t="s">
        <v>36</v>
      </c>
      <c r="Q70" s="79" t="s">
        <v>37</v>
      </c>
      <c r="R70" s="78" t="s">
        <v>35</v>
      </c>
      <c r="S70" s="78" t="s">
        <v>36</v>
      </c>
      <c r="T70" s="79" t="s">
        <v>37</v>
      </c>
      <c r="U70" s="78" t="s">
        <v>35</v>
      </c>
      <c r="V70" s="78" t="s">
        <v>36</v>
      </c>
      <c r="W70" s="79" t="s">
        <v>37</v>
      </c>
      <c r="X70" s="78" t="s">
        <v>35</v>
      </c>
      <c r="Y70" s="78" t="s">
        <v>36</v>
      </c>
      <c r="Z70" s="79" t="s">
        <v>37</v>
      </c>
      <c r="AA70" s="216"/>
      <c r="AB70" s="216"/>
    </row>
    <row r="71" spans="1:28" x14ac:dyDescent="0.2">
      <c r="A71" s="193"/>
      <c r="B71" s="80" t="str">
        <f xml:space="preserve"> IF(ISBLANK(B61), "-",B61)</f>
        <v>HTL-01</v>
      </c>
      <c r="C71" s="80">
        <f xml:space="preserve"> IF(ISBLANK(C61), "-",C61)</f>
        <v>21234</v>
      </c>
      <c r="D71" s="80" t="str">
        <f xml:space="preserve"> IF(ISBLANK(D61), "-",D61)</f>
        <v>14ml    L’Oreal</v>
      </c>
      <c r="E71" s="170"/>
      <c r="F71" s="81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5">
        <v>15</v>
      </c>
      <c r="M71" s="75">
        <v>0</v>
      </c>
      <c r="N71" s="75">
        <v>15</v>
      </c>
      <c r="O71" s="75">
        <v>0</v>
      </c>
      <c r="P71" s="75">
        <v>0</v>
      </c>
      <c r="Q71" s="74">
        <v>0</v>
      </c>
      <c r="R71" s="75">
        <v>0</v>
      </c>
      <c r="S71" s="75">
        <v>0</v>
      </c>
      <c r="T71" s="75">
        <v>0</v>
      </c>
      <c r="U71" s="75">
        <v>0</v>
      </c>
      <c r="V71" s="75">
        <v>2</v>
      </c>
      <c r="W71" s="74">
        <v>5</v>
      </c>
      <c r="X71" s="74">
        <v>0</v>
      </c>
      <c r="Y71" s="74">
        <v>6</v>
      </c>
      <c r="Z71" s="76">
        <v>25</v>
      </c>
      <c r="AA71" s="216"/>
      <c r="AB71" s="216"/>
    </row>
    <row r="72" spans="1:28" x14ac:dyDescent="0.2">
      <c r="A72" s="193"/>
      <c r="B72" s="80" t="str">
        <f xml:space="preserve"> IF(ISBLANK(B63), "-",B63)</f>
        <v>HTL-02</v>
      </c>
      <c r="C72" s="80">
        <f xml:space="preserve"> IF(ISBLANK(C63), "-",C63)</f>
        <v>21231</v>
      </c>
      <c r="D72" s="80" t="str">
        <f xml:space="preserve"> IF(ISBLANK(D63), "-",D63)</f>
        <v>7ml   L’Oreal</v>
      </c>
      <c r="E72" s="171"/>
      <c r="F72" s="81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5">
        <v>9</v>
      </c>
      <c r="M72" s="75">
        <v>29</v>
      </c>
      <c r="N72" s="75">
        <v>27</v>
      </c>
      <c r="O72" s="75">
        <v>0</v>
      </c>
      <c r="P72" s="75">
        <v>0</v>
      </c>
      <c r="Q72" s="74">
        <v>0</v>
      </c>
      <c r="R72" s="75">
        <v>0</v>
      </c>
      <c r="S72" s="75">
        <v>0</v>
      </c>
      <c r="T72" s="75">
        <v>0</v>
      </c>
      <c r="U72" s="75">
        <v>5</v>
      </c>
      <c r="V72" s="75">
        <v>0</v>
      </c>
      <c r="W72" s="74">
        <v>7</v>
      </c>
      <c r="X72" s="74">
        <v>0</v>
      </c>
      <c r="Y72" s="74">
        <v>8</v>
      </c>
      <c r="Z72" s="97">
        <v>0</v>
      </c>
      <c r="AA72" s="216"/>
      <c r="AB72" s="216"/>
    </row>
    <row r="73" spans="1:28" x14ac:dyDescent="0.2">
      <c r="A73" s="193"/>
      <c r="B73" s="80" t="str">
        <f xml:space="preserve"> IF(ISBLANK(B65), "-",B65)</f>
        <v>HTL-03</v>
      </c>
      <c r="C73" s="80">
        <f xml:space="preserve"> IF(ISBLANK(C65), "-",C65)</f>
        <v>21231</v>
      </c>
      <c r="D73" s="80" t="str">
        <f xml:space="preserve"> IF(ISBLANK(D65), "-",D65)</f>
        <v>7ml   L’Oreal</v>
      </c>
      <c r="E73" s="172"/>
      <c r="F73" s="81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5">
        <v>12</v>
      </c>
      <c r="M73" s="75">
        <v>0</v>
      </c>
      <c r="N73" s="75">
        <v>9</v>
      </c>
      <c r="O73" s="75">
        <v>0</v>
      </c>
      <c r="P73" s="75">
        <v>0</v>
      </c>
      <c r="Q73" s="74">
        <v>0</v>
      </c>
      <c r="R73" s="75">
        <v>0</v>
      </c>
      <c r="S73" s="75">
        <v>0</v>
      </c>
      <c r="T73" s="75">
        <v>0</v>
      </c>
      <c r="U73" s="75">
        <v>4</v>
      </c>
      <c r="V73" s="75">
        <v>5</v>
      </c>
      <c r="W73" s="74">
        <v>22</v>
      </c>
      <c r="X73" s="74">
        <v>7</v>
      </c>
      <c r="Y73" s="74">
        <v>3</v>
      </c>
      <c r="Z73" s="76">
        <v>0</v>
      </c>
      <c r="AA73" s="216"/>
      <c r="AB73" s="216"/>
    </row>
    <row r="75" spans="1:28" x14ac:dyDescent="0.2">
      <c r="A75" s="193">
        <v>44717</v>
      </c>
      <c r="B75" s="16"/>
      <c r="C75" s="16" t="s">
        <v>20</v>
      </c>
      <c r="D75" s="17">
        <v>1</v>
      </c>
      <c r="E75" s="18"/>
      <c r="F75" s="18" t="s">
        <v>19</v>
      </c>
      <c r="G75" s="17">
        <v>0</v>
      </c>
      <c r="H75" s="17"/>
      <c r="I75" s="18"/>
      <c r="J75" s="18"/>
      <c r="K75" s="25"/>
      <c r="L75" s="25"/>
      <c r="M75" s="17"/>
      <c r="N75" s="18"/>
      <c r="O75" s="18"/>
      <c r="P75" s="25"/>
      <c r="Q75" s="25"/>
      <c r="R75" s="17"/>
      <c r="S75" s="18"/>
      <c r="T75" s="18"/>
      <c r="U75" s="31">
        <v>19140</v>
      </c>
      <c r="V75" s="32" t="s">
        <v>48</v>
      </c>
      <c r="W75" s="32"/>
      <c r="X75" s="33"/>
      <c r="Y75" s="24"/>
      <c r="Z75" s="24"/>
      <c r="AA75" s="24"/>
      <c r="AB75" s="26"/>
    </row>
    <row r="76" spans="1:28" x14ac:dyDescent="0.2">
      <c r="A76" s="193"/>
      <c r="B76" s="157" t="s">
        <v>3</v>
      </c>
      <c r="C76" s="158" t="s">
        <v>10</v>
      </c>
      <c r="D76" s="158" t="s">
        <v>12</v>
      </c>
      <c r="E76" s="180" t="s">
        <v>5</v>
      </c>
      <c r="F76" s="211" t="s">
        <v>6</v>
      </c>
      <c r="G76" s="212"/>
      <c r="H76" s="212"/>
      <c r="I76" s="212"/>
      <c r="J76" s="213"/>
      <c r="K76" s="211" t="s">
        <v>7</v>
      </c>
      <c r="L76" s="212"/>
      <c r="M76" s="212"/>
      <c r="N76" s="212"/>
      <c r="O76" s="213"/>
      <c r="P76" s="211" t="s">
        <v>8</v>
      </c>
      <c r="Q76" s="212"/>
      <c r="R76" s="212"/>
      <c r="S76" s="212"/>
      <c r="T76" s="213"/>
      <c r="U76" s="214" t="s">
        <v>15</v>
      </c>
      <c r="V76" s="214" t="s">
        <v>52</v>
      </c>
      <c r="W76" s="214" t="s">
        <v>53</v>
      </c>
      <c r="X76" s="214" t="s">
        <v>54</v>
      </c>
      <c r="Y76" s="214" t="s">
        <v>55</v>
      </c>
      <c r="Z76" s="214" t="s">
        <v>56</v>
      </c>
      <c r="AA76" s="214" t="s">
        <v>57</v>
      </c>
      <c r="AB76" s="214" t="s">
        <v>17</v>
      </c>
    </row>
    <row r="77" spans="1:28" ht="38.25" x14ac:dyDescent="0.2">
      <c r="A77" s="193"/>
      <c r="B77" s="157"/>
      <c r="C77" s="158"/>
      <c r="D77" s="158"/>
      <c r="E77" s="180"/>
      <c r="F77" s="15" t="s">
        <v>23</v>
      </c>
      <c r="G77" s="15" t="s">
        <v>47</v>
      </c>
      <c r="H77" s="15" t="s">
        <v>50</v>
      </c>
      <c r="I77" s="15" t="s">
        <v>49</v>
      </c>
      <c r="J77" s="15" t="s">
        <v>51</v>
      </c>
      <c r="K77" s="15" t="s">
        <v>23</v>
      </c>
      <c r="L77" s="15" t="s">
        <v>13</v>
      </c>
      <c r="M77" s="15" t="s">
        <v>50</v>
      </c>
      <c r="N77" s="15" t="s">
        <v>49</v>
      </c>
      <c r="O77" s="15" t="s">
        <v>51</v>
      </c>
      <c r="P77" s="15" t="s">
        <v>23</v>
      </c>
      <c r="Q77" s="15" t="s">
        <v>13</v>
      </c>
      <c r="R77" s="15" t="s">
        <v>50</v>
      </c>
      <c r="S77" s="15" t="s">
        <v>49</v>
      </c>
      <c r="T77" s="15" t="s">
        <v>51</v>
      </c>
      <c r="U77" s="214"/>
      <c r="V77" s="214"/>
      <c r="W77" s="214"/>
      <c r="X77" s="214"/>
      <c r="Y77" s="214"/>
      <c r="Z77" s="214"/>
      <c r="AA77" s="214"/>
      <c r="AB77" s="214"/>
    </row>
    <row r="78" spans="1:28" x14ac:dyDescent="0.2">
      <c r="A78" s="193"/>
      <c r="B78" s="194" t="s">
        <v>64</v>
      </c>
      <c r="C78" s="11">
        <v>21234</v>
      </c>
      <c r="D78" s="11" t="s">
        <v>71</v>
      </c>
      <c r="E78" s="196" t="s">
        <v>1</v>
      </c>
      <c r="F78" s="12">
        <v>8305</v>
      </c>
      <c r="G78" s="20">
        <f>F78/$U75</f>
        <v>0.43390804597701149</v>
      </c>
      <c r="H78" s="12"/>
      <c r="I78" s="12"/>
      <c r="J78" s="12"/>
      <c r="K78" s="12">
        <v>8377</v>
      </c>
      <c r="L78" s="20">
        <f>K78/$U75</f>
        <v>0.43766980146290491</v>
      </c>
      <c r="M78" s="12"/>
      <c r="N78" s="12"/>
      <c r="O78" s="12"/>
      <c r="P78" s="12">
        <v>8160</v>
      </c>
      <c r="Q78" s="20">
        <f>P78/$U75</f>
        <v>0.42633228840125392</v>
      </c>
      <c r="R78" s="12"/>
      <c r="S78" s="12"/>
      <c r="T78" s="12"/>
      <c r="U78" s="151">
        <f>SUM(F78, K78, P78, F79, K79, P79)</f>
        <v>24842</v>
      </c>
      <c r="V78" s="151">
        <f>SUM(H78, M78, R78, H79, M79, R79)</f>
        <v>0</v>
      </c>
      <c r="W78" s="205">
        <f>IF($U78=0, ,V78/$U78)</f>
        <v>0</v>
      </c>
      <c r="X78" s="151">
        <f>SUM(I78, N78, S78, I79, N79, S79)</f>
        <v>0</v>
      </c>
      <c r="Y78" s="205">
        <f>IF($U78=0, ,X78/$U78)</f>
        <v>0</v>
      </c>
      <c r="Z78" s="151">
        <f>SUM(J78, O78, T78, J79, O79, T79)</f>
        <v>0</v>
      </c>
      <c r="AA78" s="205">
        <f>IF($U78=0, ,Z78/$U78)</f>
        <v>0</v>
      </c>
      <c r="AB78" s="179" t="s">
        <v>80</v>
      </c>
    </row>
    <row r="79" spans="1:28" x14ac:dyDescent="0.2">
      <c r="A79" s="193"/>
      <c r="B79" s="204"/>
      <c r="C79" s="11"/>
      <c r="D79" s="11"/>
      <c r="E79" s="198"/>
      <c r="F79" s="12"/>
      <c r="G79" s="20">
        <f>F79/$U75</f>
        <v>0</v>
      </c>
      <c r="H79" s="12"/>
      <c r="I79" s="12"/>
      <c r="J79" s="12"/>
      <c r="K79" s="12"/>
      <c r="L79" s="20">
        <f>K79/$U75</f>
        <v>0</v>
      </c>
      <c r="M79" s="12"/>
      <c r="N79" s="12"/>
      <c r="O79" s="12"/>
      <c r="P79" s="12"/>
      <c r="Q79" s="20">
        <f>P79/$U75</f>
        <v>0</v>
      </c>
      <c r="R79" s="12"/>
      <c r="S79" s="12"/>
      <c r="T79" s="12"/>
      <c r="U79" s="152"/>
      <c r="V79" s="152"/>
      <c r="W79" s="206"/>
      <c r="X79" s="152"/>
      <c r="Y79" s="206"/>
      <c r="Z79" s="152"/>
      <c r="AA79" s="206"/>
      <c r="AB79" s="156"/>
    </row>
    <row r="80" spans="1:28" x14ac:dyDescent="0.2">
      <c r="A80" s="193"/>
      <c r="B80" s="175" t="s">
        <v>69</v>
      </c>
      <c r="C80" s="10">
        <v>21231</v>
      </c>
      <c r="D80" s="10" t="s">
        <v>70</v>
      </c>
      <c r="E80" s="177" t="s">
        <v>1</v>
      </c>
      <c r="F80" s="13">
        <v>8802</v>
      </c>
      <c r="G80" s="21">
        <f>F80/$U75</f>
        <v>0.45987460815047021</v>
      </c>
      <c r="H80" s="13"/>
      <c r="I80" s="13"/>
      <c r="J80" s="13"/>
      <c r="K80" s="13">
        <v>8767</v>
      </c>
      <c r="L80" s="21">
        <f>K80/$U75</f>
        <v>0.45804597701149424</v>
      </c>
      <c r="M80" s="13"/>
      <c r="N80" s="13"/>
      <c r="O80" s="13"/>
      <c r="P80" s="13">
        <v>8717</v>
      </c>
      <c r="Q80" s="21">
        <f>P80/$U75</f>
        <v>0.45543364681295717</v>
      </c>
      <c r="R80" s="13"/>
      <c r="S80" s="13"/>
      <c r="T80" s="13"/>
      <c r="U80" s="185">
        <f>SUM(F80, K80, P80, F81, K81, P81)</f>
        <v>26286</v>
      </c>
      <c r="V80" s="185">
        <f>SUM(H80, M80, R80, H81, M81, R81)</f>
        <v>0</v>
      </c>
      <c r="W80" s="200">
        <f>IF($U80=0, ,V80/$U80)</f>
        <v>0</v>
      </c>
      <c r="X80" s="185">
        <f>SUM(I80, N80, S80, I81, N81, S81)</f>
        <v>0</v>
      </c>
      <c r="Y80" s="200">
        <f>IF($U80=0, ,X80/$U80)</f>
        <v>0</v>
      </c>
      <c r="Z80" s="185">
        <f>SUM(J80, O80, T80, J81, O81, T81)</f>
        <v>0</v>
      </c>
      <c r="AA80" s="200">
        <f>IF($U80=0, ,Z80/$U80)</f>
        <v>0</v>
      </c>
      <c r="AB80" s="202"/>
    </row>
    <row r="81" spans="1:28" x14ac:dyDescent="0.2">
      <c r="A81" s="193"/>
      <c r="B81" s="176"/>
      <c r="C81" s="10"/>
      <c r="D81" s="10"/>
      <c r="E81" s="178"/>
      <c r="F81" s="13"/>
      <c r="G81" s="21">
        <f>F81/$U75</f>
        <v>0</v>
      </c>
      <c r="H81" s="13"/>
      <c r="I81" s="13"/>
      <c r="J81" s="13"/>
      <c r="K81" s="13"/>
      <c r="L81" s="21">
        <f>K81/$U75</f>
        <v>0</v>
      </c>
      <c r="M81" s="13"/>
      <c r="N81" s="13"/>
      <c r="O81" s="13"/>
      <c r="P81" s="13"/>
      <c r="Q81" s="21">
        <f>P81/$U75</f>
        <v>0</v>
      </c>
      <c r="R81" s="13"/>
      <c r="S81" s="13"/>
      <c r="T81" s="13"/>
      <c r="U81" s="186"/>
      <c r="V81" s="186"/>
      <c r="W81" s="201"/>
      <c r="X81" s="186"/>
      <c r="Y81" s="201"/>
      <c r="Z81" s="186"/>
      <c r="AA81" s="201"/>
      <c r="AB81" s="203"/>
    </row>
    <row r="82" spans="1:28" x14ac:dyDescent="0.2">
      <c r="A82" s="193"/>
      <c r="B82" s="194" t="s">
        <v>68</v>
      </c>
      <c r="C82" s="9">
        <v>21231</v>
      </c>
      <c r="D82" s="9" t="s">
        <v>70</v>
      </c>
      <c r="E82" s="149" t="s">
        <v>1</v>
      </c>
      <c r="F82" s="14"/>
      <c r="G82" s="22">
        <f>F82/$U75</f>
        <v>0</v>
      </c>
      <c r="H82" s="14"/>
      <c r="I82" s="14"/>
      <c r="J82" s="14"/>
      <c r="K82" s="14"/>
      <c r="L82" s="22">
        <f>K82/$U75</f>
        <v>0</v>
      </c>
      <c r="M82" s="14"/>
      <c r="N82" s="14"/>
      <c r="O82" s="14"/>
      <c r="P82" s="14"/>
      <c r="Q82" s="22">
        <f>P82/$U75</f>
        <v>0</v>
      </c>
      <c r="R82" s="14"/>
      <c r="S82" s="14"/>
      <c r="T82" s="14"/>
      <c r="U82" s="151">
        <f>SUM(F82, K82, P82, F83, K83, P83)</f>
        <v>0</v>
      </c>
      <c r="V82" s="151">
        <f>SUM(H82, M82, R82, H83, M83, R83)</f>
        <v>0</v>
      </c>
      <c r="W82" s="205">
        <f>IF($U82=0, ,V82/$U82)</f>
        <v>0</v>
      </c>
      <c r="X82" s="151">
        <f>SUM(I82, N82, S82, I83, N83, S83)</f>
        <v>0</v>
      </c>
      <c r="Y82" s="205">
        <f>IF($U82=0, ,X82/$U82)</f>
        <v>0</v>
      </c>
      <c r="Z82" s="151">
        <f>SUM(J82, O82, T82, J83, O83, T83)</f>
        <v>0</v>
      </c>
      <c r="AA82" s="205">
        <f>IF($U82=0, ,Z82/$U82)</f>
        <v>0</v>
      </c>
      <c r="AB82" s="179"/>
    </row>
    <row r="83" spans="1:28" x14ac:dyDescent="0.2">
      <c r="A83" s="193"/>
      <c r="B83" s="204"/>
      <c r="C83" s="9"/>
      <c r="D83" s="9"/>
      <c r="E83" s="150"/>
      <c r="F83" s="14"/>
      <c r="G83" s="22">
        <f>F83/$U75</f>
        <v>0</v>
      </c>
      <c r="H83" s="14"/>
      <c r="I83" s="14"/>
      <c r="J83" s="14"/>
      <c r="K83" s="14"/>
      <c r="L83" s="22">
        <f>K83/$U75</f>
        <v>0</v>
      </c>
      <c r="M83" s="14"/>
      <c r="N83" s="14"/>
      <c r="O83" s="14"/>
      <c r="P83" s="14"/>
      <c r="Q83" s="22">
        <f>P83/$U75</f>
        <v>0</v>
      </c>
      <c r="R83" s="14"/>
      <c r="S83" s="14"/>
      <c r="T83" s="14"/>
      <c r="U83" s="152"/>
      <c r="V83" s="152"/>
      <c r="W83" s="206"/>
      <c r="X83" s="152"/>
      <c r="Y83" s="206"/>
      <c r="Z83" s="152"/>
      <c r="AA83" s="206"/>
      <c r="AB83" s="156"/>
    </row>
    <row r="84" spans="1:28" ht="13.5" thickBot="1" x14ac:dyDescent="0.25">
      <c r="A84" s="193"/>
      <c r="B84" s="42"/>
      <c r="C84" s="42"/>
      <c r="D84" s="42"/>
      <c r="E84" s="42"/>
      <c r="F84" s="43"/>
      <c r="G84" s="44"/>
      <c r="H84" s="43"/>
      <c r="I84" s="43"/>
      <c r="J84" s="43"/>
      <c r="K84" s="43"/>
      <c r="L84" s="44"/>
      <c r="M84" s="43"/>
      <c r="N84" s="43"/>
      <c r="O84" s="43"/>
      <c r="P84" s="43"/>
      <c r="Q84" s="44"/>
      <c r="R84" s="43"/>
      <c r="S84" s="43"/>
      <c r="T84" s="46" t="s">
        <v>26</v>
      </c>
      <c r="U84" s="47">
        <f>SUM(U78:U83)</f>
        <v>51128</v>
      </c>
      <c r="V84" s="47">
        <f>SUM(V78:V83)</f>
        <v>0</v>
      </c>
      <c r="W84" s="48">
        <f>IF($U84=0, ,V84/$U84)</f>
        <v>0</v>
      </c>
      <c r="X84" s="47">
        <f>SUM(X78:X83)</f>
        <v>0</v>
      </c>
      <c r="Y84" s="48">
        <f>IF($U84=0, ,X84/$U84)</f>
        <v>0</v>
      </c>
      <c r="Z84" s="47">
        <f>SUM(Z78:Z83)</f>
        <v>0</v>
      </c>
      <c r="AA84" s="48">
        <f>IF($U84=0, ,Z84/$U84)</f>
        <v>0</v>
      </c>
      <c r="AB84" s="45"/>
    </row>
    <row r="85" spans="1:28" ht="13.5" thickTop="1" x14ac:dyDescent="0.2">
      <c r="A85" s="193"/>
      <c r="B85" s="42"/>
      <c r="C85" s="42"/>
      <c r="D85" s="42"/>
      <c r="E85" s="42"/>
      <c r="F85" s="68"/>
      <c r="G85" s="68"/>
      <c r="H85" s="68"/>
      <c r="I85" s="68"/>
      <c r="J85" s="68"/>
      <c r="K85" s="68"/>
      <c r="L85" s="68"/>
      <c r="M85" s="68"/>
      <c r="N85" s="68"/>
      <c r="O85" s="69"/>
      <c r="P85" s="69"/>
      <c r="Q85" s="70"/>
      <c r="R85" s="69"/>
      <c r="S85" s="70"/>
      <c r="T85" s="71"/>
      <c r="U85" s="71"/>
      <c r="V85" s="71"/>
      <c r="W85" s="71"/>
      <c r="X85" s="71"/>
      <c r="Y85" s="71"/>
      <c r="Z85" s="71"/>
      <c r="AA85" s="71"/>
      <c r="AB85" s="72"/>
    </row>
    <row r="86" spans="1:28" x14ac:dyDescent="0.2">
      <c r="A86" s="193"/>
      <c r="B86" s="207" t="s">
        <v>32</v>
      </c>
      <c r="C86" s="207"/>
      <c r="D86" s="208"/>
      <c r="E86" s="77" t="s">
        <v>33</v>
      </c>
      <c r="F86" s="159" t="s">
        <v>29</v>
      </c>
      <c r="G86" s="159"/>
      <c r="H86" s="159"/>
      <c r="I86" s="159" t="s">
        <v>41</v>
      </c>
      <c r="J86" s="159"/>
      <c r="K86" s="159"/>
      <c r="L86" s="159" t="s">
        <v>30</v>
      </c>
      <c r="M86" s="159"/>
      <c r="N86" s="159"/>
      <c r="O86" s="159" t="s">
        <v>31</v>
      </c>
      <c r="P86" s="159"/>
      <c r="Q86" s="159"/>
      <c r="R86" s="159" t="s">
        <v>38</v>
      </c>
      <c r="S86" s="159"/>
      <c r="T86" s="159"/>
      <c r="U86" s="159" t="s">
        <v>60</v>
      </c>
      <c r="V86" s="159"/>
      <c r="W86" s="159"/>
      <c r="X86" s="159" t="s">
        <v>40</v>
      </c>
      <c r="Y86" s="159"/>
      <c r="Z86" s="159"/>
      <c r="AA86" s="215"/>
      <c r="AB86" s="216"/>
    </row>
    <row r="87" spans="1:28" x14ac:dyDescent="0.2">
      <c r="A87" s="193"/>
      <c r="B87" s="209"/>
      <c r="C87" s="209"/>
      <c r="D87" s="210"/>
      <c r="E87" s="82" t="s">
        <v>34</v>
      </c>
      <c r="F87" s="78" t="s">
        <v>35</v>
      </c>
      <c r="G87" s="78" t="s">
        <v>36</v>
      </c>
      <c r="H87" s="79" t="s">
        <v>37</v>
      </c>
      <c r="I87" s="78" t="s">
        <v>35</v>
      </c>
      <c r="J87" s="78" t="s">
        <v>36</v>
      </c>
      <c r="K87" s="79" t="s">
        <v>37</v>
      </c>
      <c r="L87" s="78" t="s">
        <v>35</v>
      </c>
      <c r="M87" s="78" t="s">
        <v>36</v>
      </c>
      <c r="N87" s="79" t="s">
        <v>37</v>
      </c>
      <c r="O87" s="78" t="s">
        <v>35</v>
      </c>
      <c r="P87" s="78" t="s">
        <v>36</v>
      </c>
      <c r="Q87" s="79" t="s">
        <v>37</v>
      </c>
      <c r="R87" s="78" t="s">
        <v>35</v>
      </c>
      <c r="S87" s="78" t="s">
        <v>36</v>
      </c>
      <c r="T87" s="79" t="s">
        <v>37</v>
      </c>
      <c r="U87" s="78" t="s">
        <v>35</v>
      </c>
      <c r="V87" s="78" t="s">
        <v>36</v>
      </c>
      <c r="W87" s="79" t="s">
        <v>37</v>
      </c>
      <c r="X87" s="78" t="s">
        <v>35</v>
      </c>
      <c r="Y87" s="78" t="s">
        <v>36</v>
      </c>
      <c r="Z87" s="79" t="s">
        <v>37</v>
      </c>
      <c r="AA87" s="216"/>
      <c r="AB87" s="216"/>
    </row>
    <row r="88" spans="1:28" x14ac:dyDescent="0.2">
      <c r="A88" s="193"/>
      <c r="B88" s="80" t="str">
        <f xml:space="preserve"> IF(ISBLANK(B78), "-",B78)</f>
        <v>HTL-01</v>
      </c>
      <c r="C88" s="80">
        <f xml:space="preserve"> IF(ISBLANK(C78), "-",C78)</f>
        <v>21234</v>
      </c>
      <c r="D88" s="80" t="str">
        <f xml:space="preserve"> IF(ISBLANK(D78), "-",D78)</f>
        <v>14ml    L’Oreal</v>
      </c>
      <c r="E88" s="170"/>
      <c r="F88" s="81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5"/>
      <c r="M88" s="75">
        <v>30</v>
      </c>
      <c r="N88" s="75">
        <v>30</v>
      </c>
      <c r="O88" s="75">
        <v>0</v>
      </c>
      <c r="P88" s="75">
        <v>0</v>
      </c>
      <c r="Q88" s="74">
        <v>0</v>
      </c>
      <c r="R88" s="75">
        <v>0</v>
      </c>
      <c r="S88" s="75">
        <v>0</v>
      </c>
      <c r="T88" s="75">
        <v>0</v>
      </c>
      <c r="U88" s="75">
        <v>11</v>
      </c>
      <c r="V88" s="75">
        <v>7</v>
      </c>
      <c r="W88" s="74">
        <v>5</v>
      </c>
      <c r="X88" s="74">
        <v>0</v>
      </c>
      <c r="Y88" s="74">
        <v>1</v>
      </c>
      <c r="Z88" s="76">
        <v>2</v>
      </c>
      <c r="AA88" s="216"/>
      <c r="AB88" s="216"/>
    </row>
    <row r="89" spans="1:28" x14ac:dyDescent="0.2">
      <c r="A89" s="193"/>
      <c r="B89" s="80" t="str">
        <f xml:space="preserve"> IF(ISBLANK(B80), "-",B80)</f>
        <v>HTL-02</v>
      </c>
      <c r="C89" s="80">
        <f xml:space="preserve"> IF(ISBLANK(C80), "-",C80)</f>
        <v>21231</v>
      </c>
      <c r="D89" s="80" t="str">
        <f xml:space="preserve"> IF(ISBLANK(D80), "-",D80)</f>
        <v>7ml   L’Oreal</v>
      </c>
      <c r="E89" s="171"/>
      <c r="F89" s="81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5">
        <v>25</v>
      </c>
      <c r="M89" s="75">
        <v>0</v>
      </c>
      <c r="N89" s="75">
        <v>91</v>
      </c>
      <c r="O89" s="75">
        <v>0</v>
      </c>
      <c r="P89" s="75">
        <v>0</v>
      </c>
      <c r="Q89" s="74">
        <v>0</v>
      </c>
      <c r="R89" s="75">
        <v>0</v>
      </c>
      <c r="S89" s="75">
        <v>0</v>
      </c>
      <c r="T89" s="75">
        <v>0</v>
      </c>
      <c r="U89" s="75">
        <v>2</v>
      </c>
      <c r="V89" s="75">
        <v>2</v>
      </c>
      <c r="W89" s="74">
        <v>4</v>
      </c>
      <c r="X89" s="74">
        <v>0</v>
      </c>
      <c r="Y89" s="74">
        <v>3</v>
      </c>
      <c r="Z89" s="97">
        <v>18</v>
      </c>
      <c r="AA89" s="216"/>
      <c r="AB89" s="216"/>
    </row>
    <row r="90" spans="1:28" x14ac:dyDescent="0.2">
      <c r="A90" s="193"/>
      <c r="B90" s="80" t="str">
        <f xml:space="preserve"> IF(ISBLANK(B82), "-",B82)</f>
        <v>HTL-03</v>
      </c>
      <c r="C90" s="80">
        <f xml:space="preserve"> IF(ISBLANK(C82), "-",C82)</f>
        <v>21231</v>
      </c>
      <c r="D90" s="80" t="str">
        <f xml:space="preserve"> IF(ISBLANK(D82), "-",D82)</f>
        <v>7ml   L’Oreal</v>
      </c>
      <c r="E90" s="172"/>
      <c r="F90" s="81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5">
        <v>0</v>
      </c>
      <c r="M90" s="75">
        <v>0</v>
      </c>
      <c r="N90" s="75">
        <v>0</v>
      </c>
      <c r="O90" s="75">
        <v>0</v>
      </c>
      <c r="P90" s="75">
        <v>0</v>
      </c>
      <c r="Q90" s="74">
        <v>0</v>
      </c>
      <c r="R90" s="75">
        <v>0</v>
      </c>
      <c r="S90" s="75">
        <v>0</v>
      </c>
      <c r="T90" s="75">
        <v>0</v>
      </c>
      <c r="U90" s="75">
        <v>0</v>
      </c>
      <c r="V90" s="75">
        <v>0</v>
      </c>
      <c r="W90" s="74">
        <v>0</v>
      </c>
      <c r="X90" s="74">
        <v>0</v>
      </c>
      <c r="Y90" s="74">
        <v>0</v>
      </c>
      <c r="Z90" s="76">
        <v>0</v>
      </c>
      <c r="AA90" s="216"/>
      <c r="AB90" s="216"/>
    </row>
    <row r="92" spans="1:28" x14ac:dyDescent="0.2">
      <c r="A92" s="193">
        <v>44718</v>
      </c>
      <c r="B92" s="16"/>
      <c r="C92" s="16" t="s">
        <v>20</v>
      </c>
      <c r="D92" s="17">
        <v>1</v>
      </c>
      <c r="E92" s="18"/>
      <c r="F92" s="18" t="s">
        <v>19</v>
      </c>
      <c r="G92" s="17">
        <v>0</v>
      </c>
      <c r="H92" s="17"/>
      <c r="I92" s="18"/>
      <c r="J92" s="18"/>
      <c r="K92" s="25"/>
      <c r="L92" s="25"/>
      <c r="M92" s="17"/>
      <c r="N92" s="18"/>
      <c r="O92" s="18"/>
      <c r="P92" s="25"/>
      <c r="Q92" s="25"/>
      <c r="R92" s="17"/>
      <c r="S92" s="18"/>
      <c r="T92" s="18"/>
      <c r="U92" s="31">
        <v>19140</v>
      </c>
      <c r="V92" s="32" t="s">
        <v>48</v>
      </c>
      <c r="W92" s="32"/>
      <c r="X92" s="33"/>
      <c r="Y92" s="24"/>
      <c r="Z92" s="24"/>
      <c r="AA92" s="24"/>
      <c r="AB92" s="26"/>
    </row>
    <row r="93" spans="1:28" x14ac:dyDescent="0.2">
      <c r="A93" s="193"/>
      <c r="B93" s="157" t="s">
        <v>3</v>
      </c>
      <c r="C93" s="158" t="s">
        <v>10</v>
      </c>
      <c r="D93" s="158" t="s">
        <v>12</v>
      </c>
      <c r="E93" s="180" t="s">
        <v>5</v>
      </c>
      <c r="F93" s="211" t="s">
        <v>6</v>
      </c>
      <c r="G93" s="212"/>
      <c r="H93" s="212"/>
      <c r="I93" s="212"/>
      <c r="J93" s="213"/>
      <c r="K93" s="211" t="s">
        <v>7</v>
      </c>
      <c r="L93" s="212"/>
      <c r="M93" s="212"/>
      <c r="N93" s="212"/>
      <c r="O93" s="213"/>
      <c r="P93" s="211" t="s">
        <v>8</v>
      </c>
      <c r="Q93" s="212"/>
      <c r="R93" s="212"/>
      <c r="S93" s="212"/>
      <c r="T93" s="213"/>
      <c r="U93" s="214" t="s">
        <v>15</v>
      </c>
      <c r="V93" s="214" t="s">
        <v>52</v>
      </c>
      <c r="W93" s="214" t="s">
        <v>53</v>
      </c>
      <c r="X93" s="214" t="s">
        <v>54</v>
      </c>
      <c r="Y93" s="214" t="s">
        <v>55</v>
      </c>
      <c r="Z93" s="214" t="s">
        <v>56</v>
      </c>
      <c r="AA93" s="214" t="s">
        <v>57</v>
      </c>
      <c r="AB93" s="214" t="s">
        <v>17</v>
      </c>
    </row>
    <row r="94" spans="1:28" ht="38.25" x14ac:dyDescent="0.2">
      <c r="A94" s="193"/>
      <c r="B94" s="157"/>
      <c r="C94" s="158"/>
      <c r="D94" s="158"/>
      <c r="E94" s="180"/>
      <c r="F94" s="15" t="s">
        <v>23</v>
      </c>
      <c r="G94" s="15" t="s">
        <v>47</v>
      </c>
      <c r="H94" s="15" t="s">
        <v>50</v>
      </c>
      <c r="I94" s="15" t="s">
        <v>49</v>
      </c>
      <c r="J94" s="15" t="s">
        <v>51</v>
      </c>
      <c r="K94" s="15" t="s">
        <v>23</v>
      </c>
      <c r="L94" s="15" t="s">
        <v>13</v>
      </c>
      <c r="M94" s="15" t="s">
        <v>50</v>
      </c>
      <c r="N94" s="15" t="s">
        <v>49</v>
      </c>
      <c r="O94" s="15" t="s">
        <v>51</v>
      </c>
      <c r="P94" s="15" t="s">
        <v>23</v>
      </c>
      <c r="Q94" s="15" t="s">
        <v>13</v>
      </c>
      <c r="R94" s="15" t="s">
        <v>50</v>
      </c>
      <c r="S94" s="15" t="s">
        <v>49</v>
      </c>
      <c r="T94" s="15" t="s">
        <v>51</v>
      </c>
      <c r="U94" s="214"/>
      <c r="V94" s="214"/>
      <c r="W94" s="214"/>
      <c r="X94" s="214"/>
      <c r="Y94" s="214"/>
      <c r="Z94" s="214"/>
      <c r="AA94" s="214"/>
      <c r="AB94" s="214"/>
    </row>
    <row r="95" spans="1:28" x14ac:dyDescent="0.2">
      <c r="A95" s="193"/>
      <c r="B95" s="194" t="s">
        <v>64</v>
      </c>
      <c r="C95" s="11">
        <v>21234</v>
      </c>
      <c r="D95" s="11" t="s">
        <v>71</v>
      </c>
      <c r="E95" s="196" t="s">
        <v>1</v>
      </c>
      <c r="F95" s="12">
        <v>7313</v>
      </c>
      <c r="G95" s="20">
        <f>F95/$U92</f>
        <v>0.38207941483803554</v>
      </c>
      <c r="H95" s="12"/>
      <c r="I95" s="12"/>
      <c r="J95" s="12"/>
      <c r="K95" s="12">
        <v>8108</v>
      </c>
      <c r="L95" s="20">
        <f>K95/$U92</f>
        <v>0.42361546499477531</v>
      </c>
      <c r="M95" s="12"/>
      <c r="N95" s="12"/>
      <c r="O95" s="12"/>
      <c r="P95" s="12">
        <v>8033</v>
      </c>
      <c r="Q95" s="20">
        <f>P95/$U92</f>
        <v>0.41969696969696968</v>
      </c>
      <c r="R95" s="12"/>
      <c r="S95" s="12"/>
      <c r="T95" s="12"/>
      <c r="U95" s="151">
        <f>SUM(F95, K95, P95, F96, K96, P96)</f>
        <v>23454</v>
      </c>
      <c r="V95" s="151">
        <f>SUM(H95, M95, R95, H96, M96, R96)</f>
        <v>0</v>
      </c>
      <c r="W95" s="205">
        <f>IF($U95=0, ,V95/$U95)</f>
        <v>0</v>
      </c>
      <c r="X95" s="151">
        <f>SUM(I95, N95, S95, I96, N96, S96)</f>
        <v>0</v>
      </c>
      <c r="Y95" s="205">
        <f>IF($U95=0, ,X95/$U95)</f>
        <v>0</v>
      </c>
      <c r="Z95" s="151">
        <f>SUM(J95, O95, T95, J96, O96, T96)</f>
        <v>0</v>
      </c>
      <c r="AA95" s="205">
        <f>IF($U95=0, ,Z95/$U95)</f>
        <v>0</v>
      </c>
      <c r="AB95" s="179" t="s">
        <v>84</v>
      </c>
    </row>
    <row r="96" spans="1:28" x14ac:dyDescent="0.2">
      <c r="A96" s="193"/>
      <c r="B96" s="204"/>
      <c r="C96" s="11"/>
      <c r="D96" s="11"/>
      <c r="E96" s="198"/>
      <c r="F96" s="12"/>
      <c r="G96" s="20">
        <f>F96/$U92</f>
        <v>0</v>
      </c>
      <c r="H96" s="12"/>
      <c r="I96" s="12"/>
      <c r="J96" s="12"/>
      <c r="K96" s="12"/>
      <c r="L96" s="20">
        <f>K96/$U92</f>
        <v>0</v>
      </c>
      <c r="M96" s="12"/>
      <c r="N96" s="12"/>
      <c r="O96" s="12"/>
      <c r="P96" s="12"/>
      <c r="Q96" s="20">
        <f>P96/$U92</f>
        <v>0</v>
      </c>
      <c r="R96" s="12"/>
      <c r="S96" s="12"/>
      <c r="T96" s="12"/>
      <c r="U96" s="152"/>
      <c r="V96" s="152"/>
      <c r="W96" s="206"/>
      <c r="X96" s="152"/>
      <c r="Y96" s="206"/>
      <c r="Z96" s="152"/>
      <c r="AA96" s="206"/>
      <c r="AB96" s="156"/>
    </row>
    <row r="97" spans="1:28" x14ac:dyDescent="0.2">
      <c r="A97" s="193"/>
      <c r="B97" s="175" t="s">
        <v>69</v>
      </c>
      <c r="C97" s="10">
        <v>21231</v>
      </c>
      <c r="D97" s="10" t="s">
        <v>70</v>
      </c>
      <c r="E97" s="177" t="s">
        <v>1</v>
      </c>
      <c r="F97" s="13">
        <v>8606</v>
      </c>
      <c r="G97" s="21">
        <f>F97/$U92</f>
        <v>0.44963427377220483</v>
      </c>
      <c r="H97" s="13"/>
      <c r="I97" s="13"/>
      <c r="J97" s="13"/>
      <c r="K97" s="13">
        <v>8531</v>
      </c>
      <c r="L97" s="21">
        <f>K97/$U92</f>
        <v>0.44571577847439914</v>
      </c>
      <c r="M97" s="13"/>
      <c r="N97" s="13"/>
      <c r="O97" s="13"/>
      <c r="P97" s="13">
        <v>8774</v>
      </c>
      <c r="Q97" s="21">
        <f>P97/$U92</f>
        <v>0.45841170323928943</v>
      </c>
      <c r="R97" s="13"/>
      <c r="S97" s="13"/>
      <c r="T97" s="13"/>
      <c r="U97" s="185">
        <f>SUM(F97, K97, P97, F98, K98, P98)</f>
        <v>25911</v>
      </c>
      <c r="V97" s="185">
        <f>SUM(H97, M97, R97, H98, M98, R98)</f>
        <v>0</v>
      </c>
      <c r="W97" s="200">
        <f>IF($U97=0, ,V97/$U97)</f>
        <v>0</v>
      </c>
      <c r="X97" s="185">
        <f>SUM(I97, N97, S97, I98, N98, S98)</f>
        <v>0</v>
      </c>
      <c r="Y97" s="200">
        <f>IF($U97=0, ,X97/$U97)</f>
        <v>0</v>
      </c>
      <c r="Z97" s="185">
        <f>SUM(J97, O97, T97, J98, O98, T98)</f>
        <v>0</v>
      </c>
      <c r="AA97" s="200">
        <f>IF($U97=0, ,Z97/$U97)</f>
        <v>0</v>
      </c>
      <c r="AB97" s="202" t="s">
        <v>85</v>
      </c>
    </row>
    <row r="98" spans="1:28" x14ac:dyDescent="0.2">
      <c r="A98" s="193"/>
      <c r="B98" s="176"/>
      <c r="C98" s="10"/>
      <c r="D98" s="10"/>
      <c r="E98" s="178"/>
      <c r="F98" s="13"/>
      <c r="G98" s="21">
        <f>F98/$U92</f>
        <v>0</v>
      </c>
      <c r="H98" s="13"/>
      <c r="I98" s="13"/>
      <c r="J98" s="13"/>
      <c r="K98" s="13"/>
      <c r="L98" s="21">
        <f>K98/$U92</f>
        <v>0</v>
      </c>
      <c r="M98" s="13"/>
      <c r="N98" s="13"/>
      <c r="O98" s="13"/>
      <c r="P98" s="13"/>
      <c r="Q98" s="21">
        <f>P98/$U92</f>
        <v>0</v>
      </c>
      <c r="R98" s="13"/>
      <c r="S98" s="13"/>
      <c r="T98" s="13"/>
      <c r="U98" s="186"/>
      <c r="V98" s="186"/>
      <c r="W98" s="201"/>
      <c r="X98" s="186"/>
      <c r="Y98" s="201"/>
      <c r="Z98" s="186"/>
      <c r="AA98" s="201"/>
      <c r="AB98" s="203"/>
    </row>
    <row r="99" spans="1:28" x14ac:dyDescent="0.2">
      <c r="A99" s="193"/>
      <c r="B99" s="194" t="s">
        <v>68</v>
      </c>
      <c r="C99" s="9">
        <v>21231</v>
      </c>
      <c r="D99" s="9" t="s">
        <v>70</v>
      </c>
      <c r="E99" s="149" t="s">
        <v>1</v>
      </c>
      <c r="F99" s="14">
        <v>0</v>
      </c>
      <c r="G99" s="22">
        <f>F99/$U92</f>
        <v>0</v>
      </c>
      <c r="H99" s="14"/>
      <c r="I99" s="14"/>
      <c r="J99" s="14"/>
      <c r="K99" s="14">
        <v>2633</v>
      </c>
      <c r="L99" s="22">
        <f>K99/$U92</f>
        <v>0.13756530825496344</v>
      </c>
      <c r="M99" s="14"/>
      <c r="N99" s="14"/>
      <c r="O99" s="14"/>
      <c r="P99" s="14"/>
      <c r="Q99" s="22">
        <f>P99/$U92</f>
        <v>0</v>
      </c>
      <c r="R99" s="14"/>
      <c r="S99" s="14"/>
      <c r="T99" s="14"/>
      <c r="U99" s="151">
        <f>SUM(F99, K99, P99, F100, K100, P100)</f>
        <v>2633</v>
      </c>
      <c r="V99" s="151">
        <f>SUM(H99, M99, R99, H100, M100, R100)</f>
        <v>0</v>
      </c>
      <c r="W99" s="205">
        <f>IF($U99=0, ,V99/$U99)</f>
        <v>0</v>
      </c>
      <c r="X99" s="151">
        <f>SUM(I99, N99, S99, I100, N100, S100)</f>
        <v>0</v>
      </c>
      <c r="Y99" s="205">
        <f>IF($U99=0, ,X99/$U99)</f>
        <v>0</v>
      </c>
      <c r="Z99" s="151">
        <f>SUM(J99, O99, T99, J100, O100, T100)</f>
        <v>0</v>
      </c>
      <c r="AA99" s="205">
        <f>IF($U99=0, ,Z99/$U99)</f>
        <v>0</v>
      </c>
      <c r="AB99" s="179"/>
    </row>
    <row r="100" spans="1:28" x14ac:dyDescent="0.2">
      <c r="A100" s="193"/>
      <c r="B100" s="204"/>
      <c r="C100" s="9"/>
      <c r="D100" s="9"/>
      <c r="E100" s="150"/>
      <c r="F100" s="14"/>
      <c r="G100" s="22">
        <f>F100/$U92</f>
        <v>0</v>
      </c>
      <c r="H100" s="14"/>
      <c r="I100" s="14"/>
      <c r="J100" s="14"/>
      <c r="K100" s="14"/>
      <c r="L100" s="22">
        <f>K100/$U92</f>
        <v>0</v>
      </c>
      <c r="M100" s="14"/>
      <c r="N100" s="14"/>
      <c r="O100" s="14"/>
      <c r="P100" s="14"/>
      <c r="Q100" s="22">
        <f>P100/$U92</f>
        <v>0</v>
      </c>
      <c r="R100" s="14"/>
      <c r="S100" s="14"/>
      <c r="T100" s="14"/>
      <c r="U100" s="152"/>
      <c r="V100" s="152"/>
      <c r="W100" s="206"/>
      <c r="X100" s="152"/>
      <c r="Y100" s="206"/>
      <c r="Z100" s="152"/>
      <c r="AA100" s="206"/>
      <c r="AB100" s="156"/>
    </row>
    <row r="101" spans="1:28" ht="13.5" thickBot="1" x14ac:dyDescent="0.25">
      <c r="A101" s="193"/>
      <c r="B101" s="42"/>
      <c r="C101" s="42"/>
      <c r="D101" s="42"/>
      <c r="E101" s="42"/>
      <c r="F101" s="43"/>
      <c r="G101" s="44"/>
      <c r="H101" s="43"/>
      <c r="I101" s="43"/>
      <c r="J101" s="43"/>
      <c r="K101" s="43"/>
      <c r="L101" s="44"/>
      <c r="M101" s="43"/>
      <c r="N101" s="43"/>
      <c r="O101" s="43"/>
      <c r="P101" s="43"/>
      <c r="Q101" s="44"/>
      <c r="R101" s="43"/>
      <c r="S101" s="43"/>
      <c r="T101" s="46" t="s">
        <v>26</v>
      </c>
      <c r="U101" s="47">
        <f>SUM(U95:U100)</f>
        <v>51998</v>
      </c>
      <c r="V101" s="47">
        <f>SUM(V95:V100)</f>
        <v>0</v>
      </c>
      <c r="W101" s="48">
        <f>IF($U101=0, ,V101/$U101)</f>
        <v>0</v>
      </c>
      <c r="X101" s="47">
        <f>SUM(X95:X100)</f>
        <v>0</v>
      </c>
      <c r="Y101" s="48">
        <f>IF($U101=0, ,X101/$U101)</f>
        <v>0</v>
      </c>
      <c r="Z101" s="47">
        <f>SUM(Z95:Z100)</f>
        <v>0</v>
      </c>
      <c r="AA101" s="48">
        <f>IF($U101=0, ,Z101/$U101)</f>
        <v>0</v>
      </c>
      <c r="AB101" s="45"/>
    </row>
    <row r="102" spans="1:28" ht="13.5" thickTop="1" x14ac:dyDescent="0.2">
      <c r="A102" s="193"/>
      <c r="B102" s="42"/>
      <c r="C102" s="42"/>
      <c r="D102" s="42"/>
      <c r="E102" s="42"/>
      <c r="F102" s="68"/>
      <c r="G102" s="68"/>
      <c r="H102" s="68"/>
      <c r="I102" s="68"/>
      <c r="J102" s="68"/>
      <c r="K102" s="68"/>
      <c r="L102" s="68"/>
      <c r="M102" s="68"/>
      <c r="N102" s="68"/>
      <c r="O102" s="69"/>
      <c r="P102" s="69"/>
      <c r="Q102" s="70"/>
      <c r="R102" s="69"/>
      <c r="S102" s="70"/>
      <c r="T102" s="71"/>
      <c r="U102" s="71"/>
      <c r="V102" s="71"/>
      <c r="W102" s="71"/>
      <c r="X102" s="71"/>
      <c r="Y102" s="71"/>
      <c r="Z102" s="71"/>
      <c r="AA102" s="71"/>
      <c r="AB102" s="72"/>
    </row>
    <row r="103" spans="1:28" x14ac:dyDescent="0.2">
      <c r="A103" s="193"/>
      <c r="B103" s="207" t="s">
        <v>32</v>
      </c>
      <c r="C103" s="207"/>
      <c r="D103" s="208"/>
      <c r="E103" s="77" t="s">
        <v>33</v>
      </c>
      <c r="F103" s="159" t="s">
        <v>29</v>
      </c>
      <c r="G103" s="159"/>
      <c r="H103" s="159"/>
      <c r="I103" s="159" t="s">
        <v>41</v>
      </c>
      <c r="J103" s="159"/>
      <c r="K103" s="159"/>
      <c r="L103" s="159" t="s">
        <v>30</v>
      </c>
      <c r="M103" s="159"/>
      <c r="N103" s="159"/>
      <c r="O103" s="159" t="s">
        <v>31</v>
      </c>
      <c r="P103" s="159"/>
      <c r="Q103" s="159"/>
      <c r="R103" s="159" t="s">
        <v>38</v>
      </c>
      <c r="S103" s="159"/>
      <c r="T103" s="159"/>
      <c r="U103" s="159" t="s">
        <v>60</v>
      </c>
      <c r="V103" s="159"/>
      <c r="W103" s="159"/>
      <c r="X103" s="159" t="s">
        <v>40</v>
      </c>
      <c r="Y103" s="159"/>
      <c r="Z103" s="159"/>
      <c r="AA103" s="215"/>
      <c r="AB103" s="216"/>
    </row>
    <row r="104" spans="1:28" x14ac:dyDescent="0.2">
      <c r="A104" s="193"/>
      <c r="B104" s="209"/>
      <c r="C104" s="209"/>
      <c r="D104" s="210"/>
      <c r="E104" s="82" t="s">
        <v>34</v>
      </c>
      <c r="F104" s="78" t="s">
        <v>35</v>
      </c>
      <c r="G104" s="78" t="s">
        <v>36</v>
      </c>
      <c r="H104" s="79" t="s">
        <v>37</v>
      </c>
      <c r="I104" s="78" t="s">
        <v>35</v>
      </c>
      <c r="J104" s="78" t="s">
        <v>36</v>
      </c>
      <c r="K104" s="79" t="s">
        <v>37</v>
      </c>
      <c r="L104" s="78" t="s">
        <v>35</v>
      </c>
      <c r="M104" s="78" t="s">
        <v>36</v>
      </c>
      <c r="N104" s="79" t="s">
        <v>37</v>
      </c>
      <c r="O104" s="78" t="s">
        <v>35</v>
      </c>
      <c r="P104" s="78" t="s">
        <v>36</v>
      </c>
      <c r="Q104" s="79" t="s">
        <v>37</v>
      </c>
      <c r="R104" s="78" t="s">
        <v>35</v>
      </c>
      <c r="S104" s="78" t="s">
        <v>36</v>
      </c>
      <c r="T104" s="79" t="s">
        <v>37</v>
      </c>
      <c r="U104" s="78" t="s">
        <v>35</v>
      </c>
      <c r="V104" s="78" t="s">
        <v>36</v>
      </c>
      <c r="W104" s="79" t="s">
        <v>37</v>
      </c>
      <c r="X104" s="78" t="s">
        <v>35</v>
      </c>
      <c r="Y104" s="78" t="s">
        <v>36</v>
      </c>
      <c r="Z104" s="79" t="s">
        <v>37</v>
      </c>
      <c r="AA104" s="216"/>
      <c r="AB104" s="216"/>
    </row>
    <row r="105" spans="1:28" x14ac:dyDescent="0.2">
      <c r="A105" s="193"/>
      <c r="B105" s="80" t="str">
        <f xml:space="preserve"> IF(ISBLANK(B95), "-",B95)</f>
        <v>HTL-01</v>
      </c>
      <c r="C105" s="80">
        <v>21234</v>
      </c>
      <c r="D105" s="80" t="str">
        <f xml:space="preserve"> IF(ISBLANK(D95), "-",D95)</f>
        <v>14ml    L’Oreal</v>
      </c>
      <c r="E105" s="170"/>
      <c r="F105" s="81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5">
        <v>24</v>
      </c>
      <c r="M105" s="75">
        <v>11</v>
      </c>
      <c r="N105" s="75">
        <v>26</v>
      </c>
      <c r="O105" s="75">
        <v>0</v>
      </c>
      <c r="P105" s="75">
        <v>0</v>
      </c>
      <c r="Q105" s="74">
        <v>0</v>
      </c>
      <c r="R105" s="75">
        <v>0</v>
      </c>
      <c r="S105" s="75">
        <v>0</v>
      </c>
      <c r="T105" s="75">
        <v>0</v>
      </c>
      <c r="U105" s="75">
        <v>4</v>
      </c>
      <c r="V105" s="75">
        <v>10</v>
      </c>
      <c r="W105" s="74">
        <v>12</v>
      </c>
      <c r="X105" s="74">
        <v>2</v>
      </c>
      <c r="Y105" s="74">
        <v>7</v>
      </c>
      <c r="Z105" s="76">
        <v>5</v>
      </c>
      <c r="AA105" s="216"/>
      <c r="AB105" s="216"/>
    </row>
    <row r="106" spans="1:28" x14ac:dyDescent="0.2">
      <c r="A106" s="193"/>
      <c r="B106" s="80" t="str">
        <f xml:space="preserve"> IF(ISBLANK(B97), "-",B97)</f>
        <v>HTL-02</v>
      </c>
      <c r="C106" s="80">
        <v>21231</v>
      </c>
      <c r="D106" s="80" t="str">
        <f xml:space="preserve"> IF(ISBLANK(D97), "-",D97)</f>
        <v>7ml   L’Oreal</v>
      </c>
      <c r="E106" s="171"/>
      <c r="F106" s="81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5">
        <v>28</v>
      </c>
      <c r="M106" s="75">
        <v>0</v>
      </c>
      <c r="N106" s="75">
        <v>25</v>
      </c>
      <c r="O106" s="75">
        <v>0</v>
      </c>
      <c r="P106" s="75">
        <v>0</v>
      </c>
      <c r="Q106" s="74">
        <v>0</v>
      </c>
      <c r="R106" s="75">
        <v>0</v>
      </c>
      <c r="S106" s="75">
        <v>0</v>
      </c>
      <c r="T106" s="75">
        <v>0</v>
      </c>
      <c r="U106" s="75">
        <v>4</v>
      </c>
      <c r="V106" s="75">
        <v>3</v>
      </c>
      <c r="W106" s="74">
        <v>0</v>
      </c>
      <c r="X106" s="74">
        <v>0</v>
      </c>
      <c r="Y106" s="74">
        <v>0</v>
      </c>
      <c r="Z106" s="97">
        <v>18</v>
      </c>
      <c r="AA106" s="216"/>
      <c r="AB106" s="216"/>
    </row>
    <row r="107" spans="1:28" x14ac:dyDescent="0.2">
      <c r="A107" s="193"/>
      <c r="B107" s="80" t="str">
        <f xml:space="preserve"> IF(ISBLANK(B99), "-",B99)</f>
        <v>HTL-03</v>
      </c>
      <c r="C107" s="80">
        <v>21231</v>
      </c>
      <c r="D107" s="80" t="str">
        <f xml:space="preserve"> IF(ISBLANK(D99), "-",D99)</f>
        <v>7ml   L’Oreal</v>
      </c>
      <c r="E107" s="172"/>
      <c r="F107" s="81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5">
        <v>0</v>
      </c>
      <c r="M107" s="75">
        <v>3</v>
      </c>
      <c r="N107" s="75">
        <v>0</v>
      </c>
      <c r="O107" s="75">
        <v>0</v>
      </c>
      <c r="P107" s="75">
        <v>0</v>
      </c>
      <c r="Q107" s="74">
        <v>0</v>
      </c>
      <c r="R107" s="75">
        <v>0</v>
      </c>
      <c r="S107" s="75">
        <v>0</v>
      </c>
      <c r="T107" s="75">
        <v>0</v>
      </c>
      <c r="U107" s="75">
        <v>0</v>
      </c>
      <c r="V107" s="75">
        <v>0</v>
      </c>
      <c r="W107" s="74">
        <v>0</v>
      </c>
      <c r="X107" s="74">
        <v>0</v>
      </c>
      <c r="Y107" s="74">
        <v>0</v>
      </c>
      <c r="Z107" s="76">
        <v>0</v>
      </c>
      <c r="AA107" s="216"/>
      <c r="AB107" s="216"/>
    </row>
    <row r="109" spans="1:28" x14ac:dyDescent="0.2">
      <c r="A109" s="193">
        <v>44719</v>
      </c>
      <c r="B109" s="16"/>
      <c r="C109" s="16" t="s">
        <v>20</v>
      </c>
      <c r="D109" s="17">
        <v>1</v>
      </c>
      <c r="E109" s="18"/>
      <c r="F109" s="18" t="s">
        <v>19</v>
      </c>
      <c r="G109" s="17">
        <v>0</v>
      </c>
      <c r="H109" s="17"/>
      <c r="I109" s="18"/>
      <c r="J109" s="18"/>
      <c r="K109" s="25"/>
      <c r="L109" s="25"/>
      <c r="M109" s="17"/>
      <c r="N109" s="18"/>
      <c r="O109" s="18"/>
      <c r="P109" s="25"/>
      <c r="Q109" s="25"/>
      <c r="R109" s="17"/>
      <c r="S109" s="18"/>
      <c r="T109" s="18"/>
      <c r="U109" s="31">
        <v>19140</v>
      </c>
      <c r="V109" s="32" t="s">
        <v>48</v>
      </c>
      <c r="W109" s="32"/>
      <c r="X109" s="33"/>
      <c r="Y109" s="24"/>
      <c r="Z109" s="24"/>
      <c r="AA109" s="24"/>
      <c r="AB109" s="26"/>
    </row>
    <row r="110" spans="1:28" x14ac:dyDescent="0.2">
      <c r="A110" s="193"/>
      <c r="B110" s="157" t="s">
        <v>3</v>
      </c>
      <c r="C110" s="158" t="s">
        <v>10</v>
      </c>
      <c r="D110" s="158" t="s">
        <v>12</v>
      </c>
      <c r="E110" s="180" t="s">
        <v>5</v>
      </c>
      <c r="F110" s="211" t="s">
        <v>6</v>
      </c>
      <c r="G110" s="212"/>
      <c r="H110" s="212"/>
      <c r="I110" s="212"/>
      <c r="J110" s="213"/>
      <c r="K110" s="211" t="s">
        <v>7</v>
      </c>
      <c r="L110" s="212"/>
      <c r="M110" s="212"/>
      <c r="N110" s="212"/>
      <c r="O110" s="213"/>
      <c r="P110" s="211" t="s">
        <v>8</v>
      </c>
      <c r="Q110" s="212"/>
      <c r="R110" s="212"/>
      <c r="S110" s="212"/>
      <c r="T110" s="213"/>
      <c r="U110" s="214" t="s">
        <v>15</v>
      </c>
      <c r="V110" s="214" t="s">
        <v>52</v>
      </c>
      <c r="W110" s="214" t="s">
        <v>53</v>
      </c>
      <c r="X110" s="214" t="s">
        <v>54</v>
      </c>
      <c r="Y110" s="214" t="s">
        <v>55</v>
      </c>
      <c r="Z110" s="214" t="s">
        <v>56</v>
      </c>
      <c r="AA110" s="214" t="s">
        <v>57</v>
      </c>
      <c r="AB110" s="214" t="s">
        <v>17</v>
      </c>
    </row>
    <row r="111" spans="1:28" ht="38.25" x14ac:dyDescent="0.2">
      <c r="A111" s="193"/>
      <c r="B111" s="157"/>
      <c r="C111" s="158"/>
      <c r="D111" s="158"/>
      <c r="E111" s="180"/>
      <c r="F111" s="15" t="s">
        <v>23</v>
      </c>
      <c r="G111" s="15" t="s">
        <v>47</v>
      </c>
      <c r="H111" s="15" t="s">
        <v>50</v>
      </c>
      <c r="I111" s="15" t="s">
        <v>49</v>
      </c>
      <c r="J111" s="15" t="s">
        <v>51</v>
      </c>
      <c r="K111" s="15" t="s">
        <v>23</v>
      </c>
      <c r="L111" s="15" t="s">
        <v>13</v>
      </c>
      <c r="M111" s="15" t="s">
        <v>50</v>
      </c>
      <c r="N111" s="15" t="s">
        <v>49</v>
      </c>
      <c r="O111" s="15" t="s">
        <v>51</v>
      </c>
      <c r="P111" s="15" t="s">
        <v>23</v>
      </c>
      <c r="Q111" s="15" t="s">
        <v>13</v>
      </c>
      <c r="R111" s="15" t="s">
        <v>50</v>
      </c>
      <c r="S111" s="15" t="s">
        <v>49</v>
      </c>
      <c r="T111" s="15" t="s">
        <v>51</v>
      </c>
      <c r="U111" s="214"/>
      <c r="V111" s="214"/>
      <c r="W111" s="214"/>
      <c r="X111" s="214"/>
      <c r="Y111" s="214"/>
      <c r="Z111" s="214"/>
      <c r="AA111" s="214"/>
      <c r="AB111" s="214"/>
    </row>
    <row r="112" spans="1:28" x14ac:dyDescent="0.2">
      <c r="A112" s="193"/>
      <c r="B112" s="194" t="s">
        <v>64</v>
      </c>
      <c r="C112" s="11">
        <v>21234</v>
      </c>
      <c r="D112" s="11" t="s">
        <v>71</v>
      </c>
      <c r="E112" s="196" t="s">
        <v>1</v>
      </c>
      <c r="F112" s="12">
        <v>8200</v>
      </c>
      <c r="G112" s="20">
        <f>F112/$U109</f>
        <v>0.42842215256008359</v>
      </c>
      <c r="H112" s="12"/>
      <c r="I112" s="12"/>
      <c r="J112" s="12"/>
      <c r="K112" s="12">
        <v>8135</v>
      </c>
      <c r="L112" s="20">
        <f>K112/$U109</f>
        <v>0.42502612330198536</v>
      </c>
      <c r="M112" s="12"/>
      <c r="N112" s="12"/>
      <c r="O112" s="12"/>
      <c r="P112" s="12">
        <v>8165</v>
      </c>
      <c r="Q112" s="20">
        <f>P112/$U109</f>
        <v>0.42659352142110762</v>
      </c>
      <c r="R112" s="12"/>
      <c r="S112" s="12"/>
      <c r="T112" s="12"/>
      <c r="U112" s="151">
        <f>SUM(F112, K112, P112, F113, K113, P113)</f>
        <v>24500</v>
      </c>
      <c r="V112" s="151">
        <f>SUM(H112, M112, R112, H113, M113, R113)</f>
        <v>0</v>
      </c>
      <c r="W112" s="205">
        <f>IF($U112=0, ,V112/$U112)</f>
        <v>0</v>
      </c>
      <c r="X112" s="151">
        <f>SUM(I112, N112, S112, I113, N113, S113)</f>
        <v>0</v>
      </c>
      <c r="Y112" s="205">
        <f>IF($U112=0, ,X112/$U112)</f>
        <v>0</v>
      </c>
      <c r="Z112" s="151">
        <f>SUM(J112, O112, T112, J113, O113, T113)</f>
        <v>0</v>
      </c>
      <c r="AA112" s="205">
        <f>IF($U112=0, ,Z112/$U112)</f>
        <v>0</v>
      </c>
      <c r="AB112" s="179" t="s">
        <v>86</v>
      </c>
    </row>
    <row r="113" spans="1:28" x14ac:dyDescent="0.2">
      <c r="A113" s="193"/>
      <c r="B113" s="204"/>
      <c r="C113" s="11"/>
      <c r="D113" s="11"/>
      <c r="E113" s="198"/>
      <c r="F113" s="12"/>
      <c r="G113" s="20">
        <f>F113/$U109</f>
        <v>0</v>
      </c>
      <c r="H113" s="12"/>
      <c r="I113" s="12"/>
      <c r="J113" s="12"/>
      <c r="K113" s="12"/>
      <c r="L113" s="20">
        <f>K113/$U109</f>
        <v>0</v>
      </c>
      <c r="M113" s="12"/>
      <c r="N113" s="12"/>
      <c r="O113" s="12"/>
      <c r="P113" s="12"/>
      <c r="Q113" s="20">
        <f>P113/$U109</f>
        <v>0</v>
      </c>
      <c r="R113" s="12"/>
      <c r="S113" s="12"/>
      <c r="T113" s="12"/>
      <c r="U113" s="152"/>
      <c r="V113" s="152"/>
      <c r="W113" s="206"/>
      <c r="X113" s="152"/>
      <c r="Y113" s="206"/>
      <c r="Z113" s="152"/>
      <c r="AA113" s="206"/>
      <c r="AB113" s="156"/>
    </row>
    <row r="114" spans="1:28" x14ac:dyDescent="0.2">
      <c r="A114" s="193"/>
      <c r="B114" s="175" t="s">
        <v>69</v>
      </c>
      <c r="C114" s="10">
        <v>23231</v>
      </c>
      <c r="D114" s="10" t="s">
        <v>70</v>
      </c>
      <c r="E114" s="177" t="s">
        <v>1</v>
      </c>
      <c r="F114" s="13">
        <v>6593</v>
      </c>
      <c r="G114" s="21">
        <f>F114/$U109</f>
        <v>0.34446185997910134</v>
      </c>
      <c r="H114" s="13"/>
      <c r="I114" s="13"/>
      <c r="J114" s="13"/>
      <c r="K114" s="13">
        <v>8928</v>
      </c>
      <c r="L114" s="21">
        <f>K114/$U109</f>
        <v>0.46645768025078371</v>
      </c>
      <c r="M114" s="13"/>
      <c r="N114" s="13"/>
      <c r="O114" s="13"/>
      <c r="P114" s="13">
        <v>8506</v>
      </c>
      <c r="Q114" s="21">
        <f>P114/$U109</f>
        <v>0.44440961337513063</v>
      </c>
      <c r="R114" s="13"/>
      <c r="S114" s="13"/>
      <c r="T114" s="13"/>
      <c r="U114" s="185">
        <f>SUM(F114, K114, P114, F115, K115, P115)</f>
        <v>24027</v>
      </c>
      <c r="V114" s="185">
        <f>SUM(H114, M114, R114, H115, M115, R115)</f>
        <v>0</v>
      </c>
      <c r="W114" s="200">
        <f>IF($U114=0, ,V114/$U114)</f>
        <v>0</v>
      </c>
      <c r="X114" s="185">
        <f>SUM(I114, N114, S114, I115, N115, S115)</f>
        <v>0</v>
      </c>
      <c r="Y114" s="200">
        <f>IF($U114=0, ,X114/$U114)</f>
        <v>0</v>
      </c>
      <c r="Z114" s="185">
        <f>SUM(J114, O114, T114, J115, O115, T115)</f>
        <v>0</v>
      </c>
      <c r="AA114" s="200">
        <f>IF($U114=0, ,Z114/$U114)</f>
        <v>0</v>
      </c>
      <c r="AB114" s="202" t="s">
        <v>87</v>
      </c>
    </row>
    <row r="115" spans="1:28" x14ac:dyDescent="0.2">
      <c r="A115" s="193"/>
      <c r="B115" s="176"/>
      <c r="C115" s="10"/>
      <c r="D115" s="10"/>
      <c r="E115" s="178"/>
      <c r="F115" s="13"/>
      <c r="G115" s="21">
        <f>F115/$U109</f>
        <v>0</v>
      </c>
      <c r="H115" s="13"/>
      <c r="I115" s="13"/>
      <c r="J115" s="13"/>
      <c r="K115" s="13"/>
      <c r="L115" s="21">
        <f>K115/$U109</f>
        <v>0</v>
      </c>
      <c r="M115" s="13"/>
      <c r="N115" s="13"/>
      <c r="O115" s="13"/>
      <c r="P115" s="13"/>
      <c r="Q115" s="21">
        <f>P115/$U109</f>
        <v>0</v>
      </c>
      <c r="R115" s="13"/>
      <c r="S115" s="13"/>
      <c r="T115" s="13"/>
      <c r="U115" s="186"/>
      <c r="V115" s="186"/>
      <c r="W115" s="201"/>
      <c r="X115" s="186"/>
      <c r="Y115" s="201"/>
      <c r="Z115" s="186"/>
      <c r="AA115" s="201"/>
      <c r="AB115" s="203"/>
    </row>
    <row r="116" spans="1:28" x14ac:dyDescent="0.2">
      <c r="A116" s="193"/>
      <c r="B116" s="194" t="s">
        <v>68</v>
      </c>
      <c r="C116" s="9">
        <v>21231</v>
      </c>
      <c r="D116" s="9" t="s">
        <v>70</v>
      </c>
      <c r="E116" s="149" t="s">
        <v>1</v>
      </c>
      <c r="F116" s="14">
        <v>8608</v>
      </c>
      <c r="G116" s="22">
        <f>F116/$U109</f>
        <v>0.44973876698014631</v>
      </c>
      <c r="H116" s="14"/>
      <c r="I116" s="14"/>
      <c r="J116" s="14"/>
      <c r="K116" s="14">
        <v>8676</v>
      </c>
      <c r="L116" s="22">
        <f>K116/$U109</f>
        <v>0.45329153605015676</v>
      </c>
      <c r="M116" s="14"/>
      <c r="N116" s="14"/>
      <c r="O116" s="14"/>
      <c r="P116" s="14">
        <v>8410</v>
      </c>
      <c r="Q116" s="22">
        <f>P116/$U109</f>
        <v>0.43939393939393939</v>
      </c>
      <c r="R116" s="14"/>
      <c r="S116" s="14"/>
      <c r="T116" s="14"/>
      <c r="U116" s="151">
        <f>SUM(F116, K116, P116, F117, K117, P117)</f>
        <v>25694</v>
      </c>
      <c r="V116" s="151">
        <f>SUM(H116, M116, R116, H117, M117, R117)</f>
        <v>0</v>
      </c>
      <c r="W116" s="205">
        <f>IF($U116=0, ,V116/$U116)</f>
        <v>0</v>
      </c>
      <c r="X116" s="151">
        <f>SUM(I116, N116, S116, I117, N117, S117)</f>
        <v>0</v>
      </c>
      <c r="Y116" s="205">
        <f>IF($U116=0, ,X116/$U116)</f>
        <v>0</v>
      </c>
      <c r="Z116" s="151">
        <f>SUM(J116, O116, T116, J117, O117, T117)</f>
        <v>0</v>
      </c>
      <c r="AA116" s="205">
        <f>IF($U116=0, ,Z116/$U116)</f>
        <v>0</v>
      </c>
      <c r="AB116" s="179" t="s">
        <v>88</v>
      </c>
    </row>
    <row r="117" spans="1:28" x14ac:dyDescent="0.2">
      <c r="A117" s="193"/>
      <c r="B117" s="204"/>
      <c r="C117" s="9"/>
      <c r="D117" s="9"/>
      <c r="E117" s="150"/>
      <c r="F117" s="14"/>
      <c r="G117" s="22">
        <f>F117/$U109</f>
        <v>0</v>
      </c>
      <c r="H117" s="14"/>
      <c r="I117" s="14"/>
      <c r="J117" s="14"/>
      <c r="K117" s="14"/>
      <c r="L117" s="22">
        <f>K117/$U109</f>
        <v>0</v>
      </c>
      <c r="M117" s="14"/>
      <c r="N117" s="14"/>
      <c r="O117" s="14"/>
      <c r="P117" s="14"/>
      <c r="Q117" s="22">
        <f>P117/$U109</f>
        <v>0</v>
      </c>
      <c r="R117" s="14"/>
      <c r="S117" s="14"/>
      <c r="T117" s="14"/>
      <c r="U117" s="152"/>
      <c r="V117" s="152"/>
      <c r="W117" s="206"/>
      <c r="X117" s="152"/>
      <c r="Y117" s="206"/>
      <c r="Z117" s="152"/>
      <c r="AA117" s="206"/>
      <c r="AB117" s="156"/>
    </row>
    <row r="118" spans="1:28" ht="13.5" thickBot="1" x14ac:dyDescent="0.25">
      <c r="A118" s="193"/>
      <c r="B118" s="42"/>
      <c r="C118" s="42"/>
      <c r="D118" s="42"/>
      <c r="E118" s="42"/>
      <c r="F118" s="43"/>
      <c r="G118" s="44"/>
      <c r="H118" s="43"/>
      <c r="I118" s="43"/>
      <c r="J118" s="43"/>
      <c r="K118" s="43"/>
      <c r="L118" s="44"/>
      <c r="M118" s="43"/>
      <c r="N118" s="43"/>
      <c r="O118" s="43"/>
      <c r="P118" s="43"/>
      <c r="Q118" s="44"/>
      <c r="R118" s="43"/>
      <c r="S118" s="43"/>
      <c r="T118" s="46" t="s">
        <v>26</v>
      </c>
      <c r="U118" s="47">
        <f>SUM(U112:U117)</f>
        <v>74221</v>
      </c>
      <c r="V118" s="47">
        <f>SUM(V112:V117)</f>
        <v>0</v>
      </c>
      <c r="W118" s="48">
        <f>IF($U118=0, ,V118/$U118)</f>
        <v>0</v>
      </c>
      <c r="X118" s="47">
        <f>SUM(X112:X117)</f>
        <v>0</v>
      </c>
      <c r="Y118" s="48">
        <f>IF($U118=0, ,X118/$U118)</f>
        <v>0</v>
      </c>
      <c r="Z118" s="47">
        <f>SUM(Z112:Z117)</f>
        <v>0</v>
      </c>
      <c r="AA118" s="48">
        <f>IF($U118=0, ,Z118/$U118)</f>
        <v>0</v>
      </c>
      <c r="AB118" s="45"/>
    </row>
    <row r="119" spans="1:28" ht="13.5" thickTop="1" x14ac:dyDescent="0.2">
      <c r="A119" s="193"/>
      <c r="B119" s="42"/>
      <c r="C119" s="42"/>
      <c r="D119" s="42"/>
      <c r="E119" s="42"/>
      <c r="F119" s="68"/>
      <c r="G119" s="68"/>
      <c r="H119" s="68"/>
      <c r="I119" s="68"/>
      <c r="J119" s="68"/>
      <c r="K119" s="68"/>
      <c r="L119" s="68"/>
      <c r="M119" s="68"/>
      <c r="N119" s="68"/>
      <c r="O119" s="69"/>
      <c r="P119" s="69"/>
      <c r="Q119" s="70"/>
      <c r="R119" s="69"/>
      <c r="S119" s="70"/>
      <c r="T119" s="71"/>
      <c r="U119" s="71"/>
      <c r="V119" s="71"/>
      <c r="W119" s="71"/>
      <c r="X119" s="71"/>
      <c r="Y119" s="71"/>
      <c r="Z119" s="71"/>
      <c r="AA119" s="71"/>
      <c r="AB119" s="72"/>
    </row>
    <row r="120" spans="1:28" x14ac:dyDescent="0.2">
      <c r="A120" s="193"/>
      <c r="B120" s="207" t="s">
        <v>32</v>
      </c>
      <c r="C120" s="207"/>
      <c r="D120" s="208"/>
      <c r="E120" s="77" t="s">
        <v>33</v>
      </c>
      <c r="F120" s="159" t="s">
        <v>29</v>
      </c>
      <c r="G120" s="159"/>
      <c r="H120" s="159"/>
      <c r="I120" s="159" t="s">
        <v>41</v>
      </c>
      <c r="J120" s="159"/>
      <c r="K120" s="159"/>
      <c r="L120" s="159" t="s">
        <v>30</v>
      </c>
      <c r="M120" s="159"/>
      <c r="N120" s="159"/>
      <c r="O120" s="159" t="s">
        <v>31</v>
      </c>
      <c r="P120" s="159"/>
      <c r="Q120" s="159"/>
      <c r="R120" s="159" t="s">
        <v>38</v>
      </c>
      <c r="S120" s="159"/>
      <c r="T120" s="159"/>
      <c r="U120" s="159" t="s">
        <v>60</v>
      </c>
      <c r="V120" s="159"/>
      <c r="W120" s="159"/>
      <c r="X120" s="159" t="s">
        <v>40</v>
      </c>
      <c r="Y120" s="159"/>
      <c r="Z120" s="159"/>
      <c r="AA120" s="215"/>
      <c r="AB120" s="216"/>
    </row>
    <row r="121" spans="1:28" x14ac:dyDescent="0.2">
      <c r="A121" s="193"/>
      <c r="B121" s="209"/>
      <c r="C121" s="209"/>
      <c r="D121" s="210"/>
      <c r="E121" s="82" t="s">
        <v>34</v>
      </c>
      <c r="F121" s="78" t="s">
        <v>35</v>
      </c>
      <c r="G121" s="78" t="s">
        <v>36</v>
      </c>
      <c r="H121" s="79" t="s">
        <v>37</v>
      </c>
      <c r="I121" s="78" t="s">
        <v>35</v>
      </c>
      <c r="J121" s="78" t="s">
        <v>36</v>
      </c>
      <c r="K121" s="79" t="s">
        <v>37</v>
      </c>
      <c r="L121" s="78" t="s">
        <v>35</v>
      </c>
      <c r="M121" s="78" t="s">
        <v>36</v>
      </c>
      <c r="N121" s="79" t="s">
        <v>37</v>
      </c>
      <c r="O121" s="78" t="s">
        <v>35</v>
      </c>
      <c r="P121" s="78" t="s">
        <v>36</v>
      </c>
      <c r="Q121" s="79" t="s">
        <v>37</v>
      </c>
      <c r="R121" s="78" t="s">
        <v>35</v>
      </c>
      <c r="S121" s="78" t="s">
        <v>36</v>
      </c>
      <c r="T121" s="79" t="s">
        <v>37</v>
      </c>
      <c r="U121" s="78" t="s">
        <v>35</v>
      </c>
      <c r="V121" s="78" t="s">
        <v>36</v>
      </c>
      <c r="W121" s="79" t="s">
        <v>37</v>
      </c>
      <c r="X121" s="78" t="s">
        <v>35</v>
      </c>
      <c r="Y121" s="78" t="s">
        <v>36</v>
      </c>
      <c r="Z121" s="79" t="s">
        <v>37</v>
      </c>
      <c r="AA121" s="216"/>
      <c r="AB121" s="216"/>
    </row>
    <row r="122" spans="1:28" x14ac:dyDescent="0.2">
      <c r="A122" s="193"/>
      <c r="B122" s="80" t="str">
        <f xml:space="preserve"> IF(ISBLANK(B112), "-",B112)</f>
        <v>HTL-01</v>
      </c>
      <c r="C122" s="80">
        <v>21234</v>
      </c>
      <c r="D122" s="80" t="str">
        <f xml:space="preserve"> IF(ISBLANK(D112), "-",D112)</f>
        <v>14ml    L’Oreal</v>
      </c>
      <c r="E122" s="170"/>
      <c r="F122" s="81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5">
        <v>23</v>
      </c>
      <c r="M122" s="75">
        <v>39</v>
      </c>
      <c r="N122" s="75">
        <v>36</v>
      </c>
      <c r="O122" s="75">
        <v>0</v>
      </c>
      <c r="P122" s="75">
        <v>0</v>
      </c>
      <c r="Q122" s="74">
        <v>0</v>
      </c>
      <c r="R122" s="75">
        <v>0</v>
      </c>
      <c r="S122" s="75">
        <v>0</v>
      </c>
      <c r="T122" s="75">
        <v>0</v>
      </c>
      <c r="U122" s="75">
        <v>5</v>
      </c>
      <c r="V122" s="75">
        <v>4</v>
      </c>
      <c r="W122" s="74">
        <v>5</v>
      </c>
      <c r="X122" s="74">
        <v>4</v>
      </c>
      <c r="Y122" s="74">
        <v>0</v>
      </c>
      <c r="Z122" s="76">
        <v>0</v>
      </c>
      <c r="AA122" s="216"/>
      <c r="AB122" s="216"/>
    </row>
    <row r="123" spans="1:28" x14ac:dyDescent="0.2">
      <c r="A123" s="193"/>
      <c r="B123" s="80" t="str">
        <f xml:space="preserve"> IF(ISBLANK(B114), "-",B114)</f>
        <v>HTL-02</v>
      </c>
      <c r="C123" s="80">
        <v>21231</v>
      </c>
      <c r="D123" s="80" t="str">
        <f xml:space="preserve"> IF(ISBLANK(D114), "-",D114)</f>
        <v>7ml   L’Oreal</v>
      </c>
      <c r="E123" s="171"/>
      <c r="F123" s="81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5">
        <v>21</v>
      </c>
      <c r="M123" s="75">
        <v>0</v>
      </c>
      <c r="N123" s="75">
        <v>27</v>
      </c>
      <c r="O123" s="75">
        <v>0</v>
      </c>
      <c r="P123" s="75">
        <v>0</v>
      </c>
      <c r="Q123" s="74">
        <v>0</v>
      </c>
      <c r="R123" s="75">
        <v>0</v>
      </c>
      <c r="S123" s="75">
        <v>0</v>
      </c>
      <c r="T123" s="75">
        <v>0</v>
      </c>
      <c r="U123" s="75">
        <v>4</v>
      </c>
      <c r="V123" s="75">
        <v>0</v>
      </c>
      <c r="W123" s="74">
        <v>5</v>
      </c>
      <c r="X123" s="74">
        <v>1</v>
      </c>
      <c r="Y123" s="74">
        <v>9</v>
      </c>
      <c r="Z123" s="97">
        <v>8</v>
      </c>
      <c r="AA123" s="216"/>
      <c r="AB123" s="216"/>
    </row>
    <row r="124" spans="1:28" x14ac:dyDescent="0.2">
      <c r="A124" s="193"/>
      <c r="B124" s="80" t="str">
        <f xml:space="preserve"> IF(ISBLANK(B116), "-",B116)</f>
        <v>HTL-03</v>
      </c>
      <c r="C124" s="80">
        <v>21231</v>
      </c>
      <c r="D124" s="80" t="str">
        <f xml:space="preserve"> IF(ISBLANK(D116), "-",D116)</f>
        <v>7ml   L’Oreal</v>
      </c>
      <c r="E124" s="172"/>
      <c r="F124" s="81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5">
        <v>25</v>
      </c>
      <c r="M124" s="75">
        <v>12</v>
      </c>
      <c r="N124" s="75">
        <v>22</v>
      </c>
      <c r="O124" s="75">
        <v>0</v>
      </c>
      <c r="P124" s="75">
        <v>0</v>
      </c>
      <c r="Q124" s="74">
        <v>0</v>
      </c>
      <c r="R124" s="75">
        <v>0</v>
      </c>
      <c r="S124" s="75">
        <v>0</v>
      </c>
      <c r="T124" s="75">
        <v>0</v>
      </c>
      <c r="U124" s="75">
        <v>0</v>
      </c>
      <c r="V124" s="75">
        <v>18</v>
      </c>
      <c r="W124" s="74">
        <v>19</v>
      </c>
      <c r="X124" s="74">
        <v>0</v>
      </c>
      <c r="Y124" s="74">
        <v>6</v>
      </c>
      <c r="Z124" s="76">
        <v>5</v>
      </c>
      <c r="AA124" s="216"/>
      <c r="AB124" s="216"/>
    </row>
    <row r="126" spans="1:28" x14ac:dyDescent="0.2">
      <c r="A126" s="193">
        <v>44720</v>
      </c>
      <c r="B126" s="16"/>
      <c r="C126" s="16" t="s">
        <v>20</v>
      </c>
      <c r="D126" s="17">
        <v>1</v>
      </c>
      <c r="E126" s="18"/>
      <c r="F126" s="18" t="s">
        <v>19</v>
      </c>
      <c r="G126" s="17">
        <v>0</v>
      </c>
      <c r="H126" s="17"/>
      <c r="I126" s="18"/>
      <c r="J126" s="18"/>
      <c r="K126" s="25"/>
      <c r="L126" s="25"/>
      <c r="M126" s="17"/>
      <c r="N126" s="18"/>
      <c r="O126" s="18"/>
      <c r="P126" s="25"/>
      <c r="Q126" s="25"/>
      <c r="R126" s="17"/>
      <c r="S126" s="18"/>
      <c r="T126" s="18"/>
      <c r="U126" s="31">
        <v>19140</v>
      </c>
      <c r="V126" s="32" t="s">
        <v>48</v>
      </c>
      <c r="W126" s="32"/>
      <c r="X126" s="33"/>
      <c r="Y126" s="24"/>
      <c r="Z126" s="24"/>
      <c r="AA126" s="24"/>
      <c r="AB126" s="26"/>
    </row>
    <row r="127" spans="1:28" x14ac:dyDescent="0.2">
      <c r="A127" s="193"/>
      <c r="B127" s="157" t="s">
        <v>3</v>
      </c>
      <c r="C127" s="158" t="s">
        <v>10</v>
      </c>
      <c r="D127" s="158" t="s">
        <v>12</v>
      </c>
      <c r="E127" s="180" t="s">
        <v>5</v>
      </c>
      <c r="F127" s="211" t="s">
        <v>6</v>
      </c>
      <c r="G127" s="212"/>
      <c r="H127" s="212"/>
      <c r="I127" s="212"/>
      <c r="J127" s="213"/>
      <c r="K127" s="211" t="s">
        <v>7</v>
      </c>
      <c r="L127" s="212"/>
      <c r="M127" s="212"/>
      <c r="N127" s="212"/>
      <c r="O127" s="213"/>
      <c r="P127" s="211" t="s">
        <v>8</v>
      </c>
      <c r="Q127" s="212"/>
      <c r="R127" s="212"/>
      <c r="S127" s="212"/>
      <c r="T127" s="213"/>
      <c r="U127" s="214" t="s">
        <v>15</v>
      </c>
      <c r="V127" s="214" t="s">
        <v>52</v>
      </c>
      <c r="W127" s="214" t="s">
        <v>53</v>
      </c>
      <c r="X127" s="214" t="s">
        <v>54</v>
      </c>
      <c r="Y127" s="214" t="s">
        <v>55</v>
      </c>
      <c r="Z127" s="214" t="s">
        <v>56</v>
      </c>
      <c r="AA127" s="214" t="s">
        <v>57</v>
      </c>
      <c r="AB127" s="214" t="s">
        <v>17</v>
      </c>
    </row>
    <row r="128" spans="1:28" ht="38.25" x14ac:dyDescent="0.2">
      <c r="A128" s="193"/>
      <c r="B128" s="157"/>
      <c r="C128" s="158"/>
      <c r="D128" s="158"/>
      <c r="E128" s="180"/>
      <c r="F128" s="15" t="s">
        <v>23</v>
      </c>
      <c r="G128" s="15" t="s">
        <v>47</v>
      </c>
      <c r="H128" s="15" t="s">
        <v>50</v>
      </c>
      <c r="I128" s="15" t="s">
        <v>49</v>
      </c>
      <c r="J128" s="15" t="s">
        <v>51</v>
      </c>
      <c r="K128" s="15" t="s">
        <v>23</v>
      </c>
      <c r="L128" s="15" t="s">
        <v>13</v>
      </c>
      <c r="M128" s="15" t="s">
        <v>50</v>
      </c>
      <c r="N128" s="15" t="s">
        <v>49</v>
      </c>
      <c r="O128" s="15" t="s">
        <v>51</v>
      </c>
      <c r="P128" s="15" t="s">
        <v>23</v>
      </c>
      <c r="Q128" s="15" t="s">
        <v>13</v>
      </c>
      <c r="R128" s="15" t="s">
        <v>50</v>
      </c>
      <c r="S128" s="15" t="s">
        <v>49</v>
      </c>
      <c r="T128" s="15" t="s">
        <v>51</v>
      </c>
      <c r="U128" s="214"/>
      <c r="V128" s="214"/>
      <c r="W128" s="214"/>
      <c r="X128" s="214"/>
      <c r="Y128" s="214"/>
      <c r="Z128" s="214"/>
      <c r="AA128" s="214"/>
      <c r="AB128" s="214"/>
    </row>
    <row r="129" spans="1:28" x14ac:dyDescent="0.2">
      <c r="A129" s="193"/>
      <c r="B129" s="194" t="s">
        <v>64</v>
      </c>
      <c r="C129" s="11">
        <v>21234</v>
      </c>
      <c r="D129" s="11" t="s">
        <v>71</v>
      </c>
      <c r="E129" s="196" t="s">
        <v>1</v>
      </c>
      <c r="F129" s="12">
        <v>8180</v>
      </c>
      <c r="G129" s="20">
        <f>F129/$U126</f>
        <v>0.42737722048066873</v>
      </c>
      <c r="H129" s="12"/>
      <c r="I129" s="12"/>
      <c r="J129" s="12"/>
      <c r="K129" s="12">
        <v>8290</v>
      </c>
      <c r="L129" s="20">
        <f>K129/$U126</f>
        <v>0.43312434691745039</v>
      </c>
      <c r="M129" s="12"/>
      <c r="N129" s="12"/>
      <c r="O129" s="12"/>
      <c r="P129" s="12">
        <v>8138</v>
      </c>
      <c r="Q129" s="20">
        <f>P129/$U126</f>
        <v>0.42518286311389758</v>
      </c>
      <c r="R129" s="12"/>
      <c r="S129" s="12"/>
      <c r="T129" s="12"/>
      <c r="U129" s="151">
        <f>SUM(F129, K129, P129, F130, K130, P130)</f>
        <v>24608</v>
      </c>
      <c r="V129" s="151">
        <f>SUM(H129, M129, R129, H130, M130, R130)</f>
        <v>0</v>
      </c>
      <c r="W129" s="205">
        <f>IF($U129=0, ,V129/$U129)</f>
        <v>0</v>
      </c>
      <c r="X129" s="151">
        <f>SUM(I129, N129, S129, I130, N130, S130)</f>
        <v>0</v>
      </c>
      <c r="Y129" s="205">
        <f>IF($U129=0, ,X129/$U129)</f>
        <v>0</v>
      </c>
      <c r="Z129" s="151">
        <f>SUM(J129, O129, T129, J130, O130, T130)</f>
        <v>0</v>
      </c>
      <c r="AA129" s="205">
        <f>IF($U129=0, ,Z129/$U129)</f>
        <v>0</v>
      </c>
      <c r="AB129" s="179" t="s">
        <v>92</v>
      </c>
    </row>
    <row r="130" spans="1:28" x14ac:dyDescent="0.2">
      <c r="A130" s="193"/>
      <c r="B130" s="204"/>
      <c r="C130" s="11"/>
      <c r="D130" s="11"/>
      <c r="E130" s="198"/>
      <c r="F130" s="12"/>
      <c r="G130" s="20">
        <f>F130/$U126</f>
        <v>0</v>
      </c>
      <c r="H130" s="12"/>
      <c r="I130" s="12"/>
      <c r="J130" s="12"/>
      <c r="K130" s="12"/>
      <c r="L130" s="20">
        <f>K130/$U126</f>
        <v>0</v>
      </c>
      <c r="M130" s="12"/>
      <c r="N130" s="12"/>
      <c r="O130" s="12"/>
      <c r="P130" s="12"/>
      <c r="Q130" s="20">
        <f>P130/$U126</f>
        <v>0</v>
      </c>
      <c r="R130" s="12"/>
      <c r="S130" s="12"/>
      <c r="T130" s="12"/>
      <c r="U130" s="152"/>
      <c r="V130" s="152"/>
      <c r="W130" s="206"/>
      <c r="X130" s="152"/>
      <c r="Y130" s="206"/>
      <c r="Z130" s="152"/>
      <c r="AA130" s="206"/>
      <c r="AB130" s="156"/>
    </row>
    <row r="131" spans="1:28" x14ac:dyDescent="0.2">
      <c r="A131" s="193"/>
      <c r="B131" s="175" t="s">
        <v>69</v>
      </c>
      <c r="C131" s="10">
        <v>21231</v>
      </c>
      <c r="D131" s="10" t="s">
        <v>70</v>
      </c>
      <c r="E131" s="177" t="s">
        <v>1</v>
      </c>
      <c r="F131" s="13">
        <v>8681</v>
      </c>
      <c r="G131" s="21">
        <f>F131/$U126</f>
        <v>0.45355276907001046</v>
      </c>
      <c r="H131" s="13"/>
      <c r="I131" s="13"/>
      <c r="J131" s="13"/>
      <c r="K131" s="13">
        <v>8837</v>
      </c>
      <c r="L131" s="21">
        <f>K131/$U126</f>
        <v>0.46170323928944618</v>
      </c>
      <c r="M131" s="13"/>
      <c r="N131" s="13"/>
      <c r="O131" s="13"/>
      <c r="P131" s="13">
        <v>8450</v>
      </c>
      <c r="Q131" s="21">
        <f>P131/$U126</f>
        <v>0.44148380355276906</v>
      </c>
      <c r="R131" s="13"/>
      <c r="S131" s="13"/>
      <c r="T131" s="13"/>
      <c r="U131" s="185">
        <f>SUM(F131, K131, P131, F132, K132, P132)</f>
        <v>25968</v>
      </c>
      <c r="V131" s="185">
        <f>SUM(H131, M131, R131, H132, M132, R132)</f>
        <v>0</v>
      </c>
      <c r="W131" s="200">
        <f>IF($U131=0, ,V131/$U131)</f>
        <v>0</v>
      </c>
      <c r="X131" s="185">
        <f>SUM(I131, N131, S131, I132, N132, S132)</f>
        <v>0</v>
      </c>
      <c r="Y131" s="200">
        <f>IF($U131=0, ,X131/$U131)</f>
        <v>0</v>
      </c>
      <c r="Z131" s="185">
        <f>SUM(J131, O131, T131, J132, O132, T132)</f>
        <v>0</v>
      </c>
      <c r="AA131" s="200">
        <f>IF($U131=0, ,Z131/$U131)</f>
        <v>0</v>
      </c>
      <c r="AB131" s="202" t="s">
        <v>93</v>
      </c>
    </row>
    <row r="132" spans="1:28" x14ac:dyDescent="0.2">
      <c r="A132" s="193"/>
      <c r="B132" s="176"/>
      <c r="C132" s="10"/>
      <c r="D132" s="10"/>
      <c r="E132" s="178"/>
      <c r="F132" s="13"/>
      <c r="G132" s="21">
        <f>F132/$U126</f>
        <v>0</v>
      </c>
      <c r="H132" s="13"/>
      <c r="I132" s="13"/>
      <c r="J132" s="13"/>
      <c r="K132" s="13"/>
      <c r="L132" s="21">
        <f>K132/$U126</f>
        <v>0</v>
      </c>
      <c r="M132" s="13"/>
      <c r="N132" s="13"/>
      <c r="O132" s="13"/>
      <c r="P132" s="13"/>
      <c r="Q132" s="21">
        <f>P132/$U126</f>
        <v>0</v>
      </c>
      <c r="R132" s="13"/>
      <c r="S132" s="13"/>
      <c r="T132" s="13"/>
      <c r="U132" s="186"/>
      <c r="V132" s="186"/>
      <c r="W132" s="201"/>
      <c r="X132" s="186"/>
      <c r="Y132" s="201"/>
      <c r="Z132" s="186"/>
      <c r="AA132" s="201"/>
      <c r="AB132" s="203"/>
    </row>
    <row r="133" spans="1:28" x14ac:dyDescent="0.2">
      <c r="A133" s="193"/>
      <c r="B133" s="194" t="s">
        <v>68</v>
      </c>
      <c r="C133" s="9">
        <v>21231</v>
      </c>
      <c r="D133" s="9" t="s">
        <v>70</v>
      </c>
      <c r="E133" s="149" t="s">
        <v>1</v>
      </c>
      <c r="F133" s="14">
        <v>8818</v>
      </c>
      <c r="G133" s="22">
        <f>F133/$U126</f>
        <v>0.46071055381400211</v>
      </c>
      <c r="H133" s="14"/>
      <c r="I133" s="14"/>
      <c r="J133" s="14"/>
      <c r="K133" s="14">
        <v>9030</v>
      </c>
      <c r="L133" s="22">
        <f>K133/$U126</f>
        <v>0.47178683385579939</v>
      </c>
      <c r="M133" s="14"/>
      <c r="N133" s="14"/>
      <c r="O133" s="14"/>
      <c r="P133" s="14">
        <v>8352</v>
      </c>
      <c r="Q133" s="22">
        <f>P133/$U126</f>
        <v>0.43636363636363634</v>
      </c>
      <c r="R133" s="14"/>
      <c r="S133" s="14"/>
      <c r="T133" s="14"/>
      <c r="U133" s="151">
        <f>SUM(F133, K133, P133, F134, K134, P134)</f>
        <v>26200</v>
      </c>
      <c r="V133" s="151">
        <f>SUM(H133, M133, R133, H134, M134, R134)</f>
        <v>0</v>
      </c>
      <c r="W133" s="205">
        <f>IF($U133=0, ,V133/$U133)</f>
        <v>0</v>
      </c>
      <c r="X133" s="151">
        <f>SUM(I133, N133, S133, I134, N134, S134)</f>
        <v>0</v>
      </c>
      <c r="Y133" s="205">
        <f>IF($U133=0, ,X133/$U133)</f>
        <v>0</v>
      </c>
      <c r="Z133" s="151">
        <f>SUM(J133, O133, T133, J134, O134, T134)</f>
        <v>0</v>
      </c>
      <c r="AA133" s="205">
        <f>IF($U133=0, ,Z133/$U133)</f>
        <v>0</v>
      </c>
      <c r="AB133" s="179" t="s">
        <v>94</v>
      </c>
    </row>
    <row r="134" spans="1:28" x14ac:dyDescent="0.2">
      <c r="A134" s="193"/>
      <c r="B134" s="204"/>
      <c r="C134" s="9"/>
      <c r="D134" s="9"/>
      <c r="E134" s="150"/>
      <c r="F134" s="14"/>
      <c r="G134" s="22">
        <f>F134/$U126</f>
        <v>0</v>
      </c>
      <c r="H134" s="14"/>
      <c r="I134" s="14"/>
      <c r="J134" s="14"/>
      <c r="K134" s="14"/>
      <c r="L134" s="22">
        <f>K134/$U126</f>
        <v>0</v>
      </c>
      <c r="M134" s="14"/>
      <c r="N134" s="14"/>
      <c r="O134" s="14"/>
      <c r="P134" s="14"/>
      <c r="Q134" s="22">
        <f>P134/$U126</f>
        <v>0</v>
      </c>
      <c r="R134" s="14"/>
      <c r="S134" s="14"/>
      <c r="T134" s="14"/>
      <c r="U134" s="152"/>
      <c r="V134" s="152"/>
      <c r="W134" s="206"/>
      <c r="X134" s="152"/>
      <c r="Y134" s="206"/>
      <c r="Z134" s="152"/>
      <c r="AA134" s="206"/>
      <c r="AB134" s="156"/>
    </row>
    <row r="135" spans="1:28" ht="13.5" thickBot="1" x14ac:dyDescent="0.25">
      <c r="A135" s="193"/>
      <c r="B135" s="42"/>
      <c r="C135" s="42"/>
      <c r="D135" s="42"/>
      <c r="E135" s="42"/>
      <c r="F135" s="43"/>
      <c r="G135" s="44"/>
      <c r="H135" s="43"/>
      <c r="I135" s="43"/>
      <c r="J135" s="43"/>
      <c r="K135" s="43"/>
      <c r="L135" s="44"/>
      <c r="M135" s="43"/>
      <c r="N135" s="43"/>
      <c r="O135" s="43"/>
      <c r="P135" s="43"/>
      <c r="Q135" s="44"/>
      <c r="R135" s="43"/>
      <c r="S135" s="43"/>
      <c r="T135" s="46" t="s">
        <v>26</v>
      </c>
      <c r="U135" s="47">
        <f>SUM(U129:U134)</f>
        <v>76776</v>
      </c>
      <c r="V135" s="47">
        <f>SUM(V129:V134)</f>
        <v>0</v>
      </c>
      <c r="W135" s="48">
        <f>IF($U135=0, ,V135/$U135)</f>
        <v>0</v>
      </c>
      <c r="X135" s="47">
        <f>SUM(X129:X134)</f>
        <v>0</v>
      </c>
      <c r="Y135" s="48">
        <f>IF($U135=0, ,X135/$U135)</f>
        <v>0</v>
      </c>
      <c r="Z135" s="47">
        <f>SUM(Z129:Z134)</f>
        <v>0</v>
      </c>
      <c r="AA135" s="48">
        <f>IF($U135=0, ,Z135/$U135)</f>
        <v>0</v>
      </c>
      <c r="AB135" s="45"/>
    </row>
    <row r="136" spans="1:28" ht="13.5" thickTop="1" x14ac:dyDescent="0.2">
      <c r="A136" s="193"/>
      <c r="B136" s="42"/>
      <c r="C136" s="42"/>
      <c r="D136" s="42"/>
      <c r="E136" s="42"/>
      <c r="F136" s="68"/>
      <c r="G136" s="68"/>
      <c r="H136" s="68"/>
      <c r="I136" s="68"/>
      <c r="J136" s="68"/>
      <c r="K136" s="68"/>
      <c r="L136" s="68"/>
      <c r="M136" s="68"/>
      <c r="N136" s="68"/>
      <c r="O136" s="69"/>
      <c r="P136" s="69"/>
      <c r="Q136" s="70"/>
      <c r="R136" s="69"/>
      <c r="S136" s="70"/>
      <c r="T136" s="71"/>
      <c r="U136" s="71"/>
      <c r="V136" s="71"/>
      <c r="W136" s="71"/>
      <c r="X136" s="71"/>
      <c r="Y136" s="71"/>
      <c r="Z136" s="71"/>
      <c r="AA136" s="71"/>
      <c r="AB136" s="72"/>
    </row>
    <row r="137" spans="1:28" x14ac:dyDescent="0.2">
      <c r="A137" s="193"/>
      <c r="B137" s="207" t="s">
        <v>32</v>
      </c>
      <c r="C137" s="207"/>
      <c r="D137" s="208"/>
      <c r="E137" s="77" t="s">
        <v>33</v>
      </c>
      <c r="F137" s="159" t="s">
        <v>29</v>
      </c>
      <c r="G137" s="159"/>
      <c r="H137" s="159"/>
      <c r="I137" s="159" t="s">
        <v>41</v>
      </c>
      <c r="J137" s="159"/>
      <c r="K137" s="159"/>
      <c r="L137" s="159" t="s">
        <v>30</v>
      </c>
      <c r="M137" s="159"/>
      <c r="N137" s="159"/>
      <c r="O137" s="159" t="s">
        <v>31</v>
      </c>
      <c r="P137" s="159"/>
      <c r="Q137" s="159"/>
      <c r="R137" s="159" t="s">
        <v>38</v>
      </c>
      <c r="S137" s="159"/>
      <c r="T137" s="159"/>
      <c r="U137" s="159" t="s">
        <v>60</v>
      </c>
      <c r="V137" s="159"/>
      <c r="W137" s="159"/>
      <c r="X137" s="159" t="s">
        <v>40</v>
      </c>
      <c r="Y137" s="159"/>
      <c r="Z137" s="159"/>
      <c r="AA137" s="215"/>
      <c r="AB137" s="216"/>
    </row>
    <row r="138" spans="1:28" x14ac:dyDescent="0.2">
      <c r="A138" s="193"/>
      <c r="B138" s="209"/>
      <c r="C138" s="209"/>
      <c r="D138" s="210"/>
      <c r="E138" s="82" t="s">
        <v>34</v>
      </c>
      <c r="F138" s="78" t="s">
        <v>35</v>
      </c>
      <c r="G138" s="78" t="s">
        <v>36</v>
      </c>
      <c r="H138" s="79" t="s">
        <v>37</v>
      </c>
      <c r="I138" s="78" t="s">
        <v>35</v>
      </c>
      <c r="J138" s="78" t="s">
        <v>36</v>
      </c>
      <c r="K138" s="79" t="s">
        <v>37</v>
      </c>
      <c r="L138" s="78" t="s">
        <v>35</v>
      </c>
      <c r="M138" s="78" t="s">
        <v>36</v>
      </c>
      <c r="N138" s="79" t="s">
        <v>37</v>
      </c>
      <c r="O138" s="78" t="s">
        <v>35</v>
      </c>
      <c r="P138" s="78" t="s">
        <v>36</v>
      </c>
      <c r="Q138" s="79" t="s">
        <v>37</v>
      </c>
      <c r="R138" s="78" t="s">
        <v>35</v>
      </c>
      <c r="S138" s="78" t="s">
        <v>36</v>
      </c>
      <c r="T138" s="79" t="s">
        <v>37</v>
      </c>
      <c r="U138" s="78" t="s">
        <v>35</v>
      </c>
      <c r="V138" s="78" t="s">
        <v>36</v>
      </c>
      <c r="W138" s="79" t="s">
        <v>37</v>
      </c>
      <c r="X138" s="78" t="s">
        <v>35</v>
      </c>
      <c r="Y138" s="78" t="s">
        <v>36</v>
      </c>
      <c r="Z138" s="79" t="s">
        <v>37</v>
      </c>
      <c r="AA138" s="216"/>
      <c r="AB138" s="216"/>
    </row>
    <row r="139" spans="1:28" x14ac:dyDescent="0.2">
      <c r="A139" s="193"/>
      <c r="B139" s="80" t="str">
        <f xml:space="preserve"> IF(ISBLANK(B129), "-",B129)</f>
        <v>HTL-01</v>
      </c>
      <c r="C139" s="80">
        <f xml:space="preserve"> IF(ISBLANK(C129), "-",C129)</f>
        <v>21234</v>
      </c>
      <c r="D139" s="80" t="str">
        <f xml:space="preserve"> IF(ISBLANK(D129), "-",D129)</f>
        <v>14ml    L’Oreal</v>
      </c>
      <c r="E139" s="170"/>
      <c r="F139" s="81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5">
        <v>0</v>
      </c>
      <c r="M139" s="75">
        <v>41</v>
      </c>
      <c r="N139" s="75">
        <v>54</v>
      </c>
      <c r="O139" s="75">
        <v>0</v>
      </c>
      <c r="P139" s="75">
        <v>0</v>
      </c>
      <c r="Q139" s="74">
        <v>0</v>
      </c>
      <c r="R139" s="75">
        <v>0</v>
      </c>
      <c r="S139" s="75">
        <v>0</v>
      </c>
      <c r="T139" s="75">
        <v>0</v>
      </c>
      <c r="U139" s="75">
        <v>7</v>
      </c>
      <c r="V139" s="75">
        <v>7</v>
      </c>
      <c r="W139" s="74">
        <v>6</v>
      </c>
      <c r="X139" s="74">
        <v>2</v>
      </c>
      <c r="Y139" s="74">
        <v>0</v>
      </c>
      <c r="Z139" s="76">
        <v>0</v>
      </c>
      <c r="AA139" s="216"/>
      <c r="AB139" s="216"/>
    </row>
    <row r="140" spans="1:28" x14ac:dyDescent="0.2">
      <c r="A140" s="193"/>
      <c r="B140" s="80" t="str">
        <f xml:space="preserve"> IF(ISBLANK(B131), "-",B131)</f>
        <v>HTL-02</v>
      </c>
      <c r="C140" s="80">
        <f xml:space="preserve"> IF(ISBLANK(C131), "-",C131)</f>
        <v>21231</v>
      </c>
      <c r="D140" s="80" t="str">
        <f xml:space="preserve"> IF(ISBLANK(D131), "-",D131)</f>
        <v>7ml   L’Oreal</v>
      </c>
      <c r="E140" s="171"/>
      <c r="F140" s="81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5">
        <v>35</v>
      </c>
      <c r="M140" s="75">
        <v>0</v>
      </c>
      <c r="N140" s="75">
        <v>17</v>
      </c>
      <c r="O140" s="75">
        <v>0</v>
      </c>
      <c r="P140" s="75">
        <v>0</v>
      </c>
      <c r="Q140" s="74">
        <v>0</v>
      </c>
      <c r="R140" s="75">
        <v>0</v>
      </c>
      <c r="S140" s="75">
        <v>0</v>
      </c>
      <c r="T140" s="75">
        <v>0</v>
      </c>
      <c r="U140" s="75">
        <v>10</v>
      </c>
      <c r="V140" s="75">
        <v>0</v>
      </c>
      <c r="W140" s="74">
        <v>7</v>
      </c>
      <c r="X140" s="74">
        <v>3</v>
      </c>
      <c r="Y140" s="74">
        <v>1</v>
      </c>
      <c r="Z140" s="97">
        <v>1</v>
      </c>
      <c r="AA140" s="216"/>
      <c r="AB140" s="216"/>
    </row>
    <row r="141" spans="1:28" x14ac:dyDescent="0.2">
      <c r="A141" s="193"/>
      <c r="B141" s="80" t="str">
        <f xml:space="preserve"> IF(ISBLANK(B133), "-",B133)</f>
        <v>HTL-03</v>
      </c>
      <c r="C141" s="80">
        <f xml:space="preserve"> IF(ISBLANK(C133), "-",C133)</f>
        <v>21231</v>
      </c>
      <c r="D141" s="80" t="str">
        <f xml:space="preserve"> IF(ISBLANK(D133), "-",D133)</f>
        <v>7ml   L’Oreal</v>
      </c>
      <c r="E141" s="172"/>
      <c r="F141" s="81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5">
        <v>34</v>
      </c>
      <c r="M141" s="75">
        <v>18</v>
      </c>
      <c r="N141" s="75">
        <v>39</v>
      </c>
      <c r="O141" s="75">
        <v>0</v>
      </c>
      <c r="P141" s="75">
        <v>0</v>
      </c>
      <c r="Q141" s="74">
        <v>0</v>
      </c>
      <c r="R141" s="75">
        <v>0</v>
      </c>
      <c r="S141" s="75">
        <v>0</v>
      </c>
      <c r="T141" s="75">
        <v>0</v>
      </c>
      <c r="U141" s="75">
        <v>5</v>
      </c>
      <c r="V141" s="75">
        <v>6</v>
      </c>
      <c r="W141" s="74">
        <v>20</v>
      </c>
      <c r="X141" s="74">
        <v>0</v>
      </c>
      <c r="Y141" s="74">
        <v>4</v>
      </c>
      <c r="Z141" s="76">
        <v>10</v>
      </c>
      <c r="AA141" s="216"/>
      <c r="AB141" s="216"/>
    </row>
    <row r="143" spans="1:28" x14ac:dyDescent="0.2">
      <c r="A143" s="193">
        <v>44721</v>
      </c>
      <c r="B143" s="16"/>
      <c r="C143" s="16" t="s">
        <v>20</v>
      </c>
      <c r="D143" s="17">
        <v>1</v>
      </c>
      <c r="E143" s="18"/>
      <c r="F143" s="18" t="s">
        <v>19</v>
      </c>
      <c r="G143" s="17">
        <v>0</v>
      </c>
      <c r="H143" s="17"/>
      <c r="I143" s="18"/>
      <c r="J143" s="18"/>
      <c r="K143" s="25"/>
      <c r="L143" s="25"/>
      <c r="M143" s="17"/>
      <c r="N143" s="18"/>
      <c r="O143" s="18"/>
      <c r="P143" s="25"/>
      <c r="Q143" s="25"/>
      <c r="R143" s="17"/>
      <c r="S143" s="18"/>
      <c r="T143" s="18"/>
      <c r="U143" s="31">
        <v>19140</v>
      </c>
      <c r="V143" s="32" t="s">
        <v>48</v>
      </c>
      <c r="W143" s="32"/>
      <c r="X143" s="33"/>
      <c r="Y143" s="24"/>
      <c r="Z143" s="24"/>
      <c r="AA143" s="24"/>
      <c r="AB143" s="26"/>
    </row>
    <row r="144" spans="1:28" x14ac:dyDescent="0.2">
      <c r="A144" s="193"/>
      <c r="B144" s="157" t="s">
        <v>3</v>
      </c>
      <c r="C144" s="158" t="s">
        <v>10</v>
      </c>
      <c r="D144" s="158" t="s">
        <v>12</v>
      </c>
      <c r="E144" s="180" t="s">
        <v>5</v>
      </c>
      <c r="F144" s="211" t="s">
        <v>6</v>
      </c>
      <c r="G144" s="212"/>
      <c r="H144" s="212"/>
      <c r="I144" s="212"/>
      <c r="J144" s="213"/>
      <c r="K144" s="211" t="s">
        <v>7</v>
      </c>
      <c r="L144" s="212"/>
      <c r="M144" s="212"/>
      <c r="N144" s="212"/>
      <c r="O144" s="213"/>
      <c r="P144" s="211" t="s">
        <v>8</v>
      </c>
      <c r="Q144" s="212"/>
      <c r="R144" s="212"/>
      <c r="S144" s="212"/>
      <c r="T144" s="213"/>
      <c r="U144" s="214" t="s">
        <v>15</v>
      </c>
      <c r="V144" s="214" t="s">
        <v>52</v>
      </c>
      <c r="W144" s="214" t="s">
        <v>53</v>
      </c>
      <c r="X144" s="214" t="s">
        <v>54</v>
      </c>
      <c r="Y144" s="214" t="s">
        <v>55</v>
      </c>
      <c r="Z144" s="214" t="s">
        <v>56</v>
      </c>
      <c r="AA144" s="214" t="s">
        <v>57</v>
      </c>
      <c r="AB144" s="214" t="s">
        <v>17</v>
      </c>
    </row>
    <row r="145" spans="1:28" ht="38.25" x14ac:dyDescent="0.2">
      <c r="A145" s="193"/>
      <c r="B145" s="157"/>
      <c r="C145" s="158"/>
      <c r="D145" s="158"/>
      <c r="E145" s="180"/>
      <c r="F145" s="15" t="s">
        <v>23</v>
      </c>
      <c r="G145" s="15" t="s">
        <v>47</v>
      </c>
      <c r="H145" s="15" t="s">
        <v>50</v>
      </c>
      <c r="I145" s="15" t="s">
        <v>49</v>
      </c>
      <c r="J145" s="15" t="s">
        <v>51</v>
      </c>
      <c r="K145" s="15" t="s">
        <v>23</v>
      </c>
      <c r="L145" s="15" t="s">
        <v>13</v>
      </c>
      <c r="M145" s="15" t="s">
        <v>50</v>
      </c>
      <c r="N145" s="15" t="s">
        <v>49</v>
      </c>
      <c r="O145" s="15" t="s">
        <v>51</v>
      </c>
      <c r="P145" s="15" t="s">
        <v>23</v>
      </c>
      <c r="Q145" s="15" t="s">
        <v>13</v>
      </c>
      <c r="R145" s="15" t="s">
        <v>50</v>
      </c>
      <c r="S145" s="15" t="s">
        <v>49</v>
      </c>
      <c r="T145" s="15" t="s">
        <v>51</v>
      </c>
      <c r="U145" s="214"/>
      <c r="V145" s="214"/>
      <c r="W145" s="214"/>
      <c r="X145" s="214"/>
      <c r="Y145" s="214"/>
      <c r="Z145" s="214"/>
      <c r="AA145" s="214"/>
      <c r="AB145" s="214"/>
    </row>
    <row r="146" spans="1:28" x14ac:dyDescent="0.2">
      <c r="A146" s="193"/>
      <c r="B146" s="194" t="s">
        <v>64</v>
      </c>
      <c r="C146" s="11">
        <v>21234</v>
      </c>
      <c r="D146" s="11" t="s">
        <v>71</v>
      </c>
      <c r="E146" s="196" t="s">
        <v>1</v>
      </c>
      <c r="F146" s="12">
        <v>8255</v>
      </c>
      <c r="G146" s="20">
        <f>F146/$U143</f>
        <v>0.43129571577847442</v>
      </c>
      <c r="H146" s="12"/>
      <c r="I146" s="12"/>
      <c r="J146" s="12"/>
      <c r="K146" s="12">
        <v>8101</v>
      </c>
      <c r="L146" s="20">
        <f>K146/$U143</f>
        <v>0.42324973876698013</v>
      </c>
      <c r="M146" s="12"/>
      <c r="N146" s="12"/>
      <c r="O146" s="12"/>
      <c r="P146" s="12">
        <v>7903</v>
      </c>
      <c r="Q146" s="20">
        <f>P146/$U143</f>
        <v>0.41290491118077327</v>
      </c>
      <c r="R146" s="12"/>
      <c r="S146" s="12"/>
      <c r="T146" s="12"/>
      <c r="U146" s="151">
        <f>SUM(F146, K146, P146, F147, K147, P147)</f>
        <v>24259</v>
      </c>
      <c r="V146" s="151">
        <f>SUM(H146, M146, R146, H147, M147, R147)</f>
        <v>0</v>
      </c>
      <c r="W146" s="205">
        <f>IF($U146=0, ,V146/$U146)</f>
        <v>0</v>
      </c>
      <c r="X146" s="151">
        <f>SUM(I146, N146, S146, I147, N147, S147)</f>
        <v>0</v>
      </c>
      <c r="Y146" s="205">
        <f>IF($U146=0, ,X146/$U146)</f>
        <v>0</v>
      </c>
      <c r="Z146" s="151">
        <f>SUM(J146, O146, T146, J147, O147, T147)</f>
        <v>0</v>
      </c>
      <c r="AA146" s="205">
        <f>IF($U146=0, ,Z146/$U146)</f>
        <v>0</v>
      </c>
      <c r="AB146" s="179" t="s">
        <v>92</v>
      </c>
    </row>
    <row r="147" spans="1:28" x14ac:dyDescent="0.2">
      <c r="A147" s="193"/>
      <c r="B147" s="204"/>
      <c r="C147" s="11"/>
      <c r="D147" s="11"/>
      <c r="E147" s="198"/>
      <c r="F147" s="12"/>
      <c r="G147" s="20">
        <f>F147/$U143</f>
        <v>0</v>
      </c>
      <c r="H147" s="12"/>
      <c r="I147" s="12"/>
      <c r="J147" s="12"/>
      <c r="K147" s="12"/>
      <c r="L147" s="20">
        <f>K147/$U143</f>
        <v>0</v>
      </c>
      <c r="M147" s="12"/>
      <c r="N147" s="12"/>
      <c r="O147" s="12"/>
      <c r="P147" s="12"/>
      <c r="Q147" s="20">
        <f>P147/$U143</f>
        <v>0</v>
      </c>
      <c r="R147" s="12"/>
      <c r="S147" s="12"/>
      <c r="T147" s="12"/>
      <c r="U147" s="152"/>
      <c r="V147" s="152"/>
      <c r="W147" s="206"/>
      <c r="X147" s="152"/>
      <c r="Y147" s="206"/>
      <c r="Z147" s="152"/>
      <c r="AA147" s="206"/>
      <c r="AB147" s="156"/>
    </row>
    <row r="148" spans="1:28" x14ac:dyDescent="0.2">
      <c r="A148" s="193"/>
      <c r="B148" s="175" t="s">
        <v>69</v>
      </c>
      <c r="C148" s="10">
        <v>21231</v>
      </c>
      <c r="D148" s="10" t="s">
        <v>70</v>
      </c>
      <c r="E148" s="177" t="s">
        <v>1</v>
      </c>
      <c r="F148" s="13">
        <v>8730</v>
      </c>
      <c r="G148" s="21">
        <f>F148/$U143</f>
        <v>0.4561128526645768</v>
      </c>
      <c r="H148" s="13"/>
      <c r="I148" s="13"/>
      <c r="J148" s="13"/>
      <c r="K148" s="13">
        <v>8695</v>
      </c>
      <c r="L148" s="21">
        <f>K148/$U143</f>
        <v>0.45428422152560083</v>
      </c>
      <c r="M148" s="13"/>
      <c r="N148" s="13"/>
      <c r="O148" s="13"/>
      <c r="P148" s="13">
        <v>8818</v>
      </c>
      <c r="Q148" s="21">
        <f>P148/$U143</f>
        <v>0.46071055381400211</v>
      </c>
      <c r="R148" s="13"/>
      <c r="S148" s="13"/>
      <c r="T148" s="13"/>
      <c r="U148" s="185">
        <f>SUM(F148, K148, P148, F149, K149, P149)</f>
        <v>26243</v>
      </c>
      <c r="V148" s="185">
        <f>SUM(H148, M148, R148, H149, M149, R149)</f>
        <v>0</v>
      </c>
      <c r="W148" s="200">
        <f>IF($U148=0, ,V148/$U148)</f>
        <v>0</v>
      </c>
      <c r="X148" s="185">
        <f>SUM(I148, N148, S148, I149, N149, S149)</f>
        <v>0</v>
      </c>
      <c r="Y148" s="200">
        <f>IF($U148=0, ,X148/$U148)</f>
        <v>0</v>
      </c>
      <c r="Z148" s="185">
        <f>SUM(J148, O148, T148, J149, O149, T149)</f>
        <v>0</v>
      </c>
      <c r="AA148" s="200">
        <f>IF($U148=0, ,Z148/$U148)</f>
        <v>0</v>
      </c>
      <c r="AB148" s="202"/>
    </row>
    <row r="149" spans="1:28" x14ac:dyDescent="0.2">
      <c r="A149" s="193"/>
      <c r="B149" s="176"/>
      <c r="C149" s="10"/>
      <c r="D149" s="10"/>
      <c r="E149" s="178"/>
      <c r="F149" s="13"/>
      <c r="G149" s="21">
        <f>F149/$U143</f>
        <v>0</v>
      </c>
      <c r="H149" s="13"/>
      <c r="I149" s="13"/>
      <c r="J149" s="13"/>
      <c r="K149" s="13"/>
      <c r="L149" s="21">
        <f>K149/$U143</f>
        <v>0</v>
      </c>
      <c r="M149" s="13"/>
      <c r="N149" s="13"/>
      <c r="O149" s="13"/>
      <c r="P149" s="13"/>
      <c r="Q149" s="21">
        <f>P149/$U143</f>
        <v>0</v>
      </c>
      <c r="R149" s="13"/>
      <c r="S149" s="13"/>
      <c r="T149" s="13"/>
      <c r="U149" s="186"/>
      <c r="V149" s="186"/>
      <c r="W149" s="201"/>
      <c r="X149" s="186"/>
      <c r="Y149" s="201"/>
      <c r="Z149" s="186"/>
      <c r="AA149" s="201"/>
      <c r="AB149" s="203"/>
    </row>
    <row r="150" spans="1:28" x14ac:dyDescent="0.2">
      <c r="A150" s="193"/>
      <c r="B150" s="194" t="s">
        <v>68</v>
      </c>
      <c r="C150" s="9">
        <v>21231</v>
      </c>
      <c r="D150" s="9" t="s">
        <v>70</v>
      </c>
      <c r="E150" s="149" t="s">
        <v>1</v>
      </c>
      <c r="F150" s="14">
        <v>8100</v>
      </c>
      <c r="G150" s="22">
        <f>F150/$U143</f>
        <v>0.42319749216300939</v>
      </c>
      <c r="H150" s="14"/>
      <c r="I150" s="14"/>
      <c r="J150" s="14"/>
      <c r="K150" s="14">
        <v>8542</v>
      </c>
      <c r="L150" s="22">
        <f>K150/$U143</f>
        <v>0.44629049111807734</v>
      </c>
      <c r="M150" s="14"/>
      <c r="N150" s="14"/>
      <c r="O150" s="14"/>
      <c r="P150" s="14"/>
      <c r="Q150" s="22">
        <f>P150/$U143</f>
        <v>0</v>
      </c>
      <c r="R150" s="14"/>
      <c r="S150" s="14"/>
      <c r="T150" s="14"/>
      <c r="U150" s="151">
        <f>SUM(F150, K150, P150, F151, K151, P151)</f>
        <v>16642</v>
      </c>
      <c r="V150" s="151">
        <f>SUM(H150, M150, R150, H151, M151, R151)</f>
        <v>0</v>
      </c>
      <c r="W150" s="205">
        <f>IF($U150=0, ,V150/$U150)</f>
        <v>0</v>
      </c>
      <c r="X150" s="151">
        <f>SUM(I150, N150, S150, I151, N151, S151)</f>
        <v>0</v>
      </c>
      <c r="Y150" s="205">
        <f>IF($U150=0, ,X150/$U150)</f>
        <v>0</v>
      </c>
      <c r="Z150" s="151">
        <f>SUM(J150, O150, T150, J151, O151, T151)</f>
        <v>0</v>
      </c>
      <c r="AA150" s="205">
        <f>IF($U150=0, ,Z150/$U150)</f>
        <v>0</v>
      </c>
      <c r="AB150" s="179"/>
    </row>
    <row r="151" spans="1:28" x14ac:dyDescent="0.2">
      <c r="A151" s="193"/>
      <c r="B151" s="204"/>
      <c r="C151" s="9"/>
      <c r="D151" s="9"/>
      <c r="E151" s="150"/>
      <c r="F151" s="14"/>
      <c r="G151" s="22">
        <f>F151/$U143</f>
        <v>0</v>
      </c>
      <c r="H151" s="14"/>
      <c r="I151" s="14"/>
      <c r="J151" s="14"/>
      <c r="K151" s="14"/>
      <c r="L151" s="22">
        <f>K151/$U143</f>
        <v>0</v>
      </c>
      <c r="M151" s="14"/>
      <c r="N151" s="14"/>
      <c r="O151" s="14"/>
      <c r="P151" s="14"/>
      <c r="Q151" s="22">
        <f>P151/$U143</f>
        <v>0</v>
      </c>
      <c r="R151" s="14"/>
      <c r="S151" s="14"/>
      <c r="T151" s="14"/>
      <c r="U151" s="152"/>
      <c r="V151" s="152"/>
      <c r="W151" s="206"/>
      <c r="X151" s="152"/>
      <c r="Y151" s="206"/>
      <c r="Z151" s="152"/>
      <c r="AA151" s="206"/>
      <c r="AB151" s="156"/>
    </row>
    <row r="152" spans="1:28" ht="13.5" thickBot="1" x14ac:dyDescent="0.25">
      <c r="A152" s="193"/>
      <c r="B152" s="42"/>
      <c r="C152" s="42"/>
      <c r="D152" s="42"/>
      <c r="E152" s="42"/>
      <c r="F152" s="43"/>
      <c r="G152" s="44"/>
      <c r="H152" s="43"/>
      <c r="I152" s="43"/>
      <c r="J152" s="43"/>
      <c r="K152" s="43"/>
      <c r="L152" s="44"/>
      <c r="M152" s="43"/>
      <c r="N152" s="43"/>
      <c r="O152" s="43"/>
      <c r="P152" s="43"/>
      <c r="Q152" s="44"/>
      <c r="R152" s="43"/>
      <c r="S152" s="43"/>
      <c r="T152" s="46" t="s">
        <v>26</v>
      </c>
      <c r="U152" s="47">
        <f>SUM(U146:U151)</f>
        <v>67144</v>
      </c>
      <c r="V152" s="47">
        <f>SUM(V146:V151)</f>
        <v>0</v>
      </c>
      <c r="W152" s="48">
        <f>IF($U152=0, ,V152/$U152)</f>
        <v>0</v>
      </c>
      <c r="X152" s="47">
        <f>SUM(X146:X151)</f>
        <v>0</v>
      </c>
      <c r="Y152" s="48">
        <f>IF($U152=0, ,X152/$U152)</f>
        <v>0</v>
      </c>
      <c r="Z152" s="47">
        <f>SUM(Z146:Z151)</f>
        <v>0</v>
      </c>
      <c r="AA152" s="48">
        <f>IF($U152=0, ,Z152/$U152)</f>
        <v>0</v>
      </c>
      <c r="AB152" s="45"/>
    </row>
    <row r="153" spans="1:28" ht="13.5" thickTop="1" x14ac:dyDescent="0.2">
      <c r="A153" s="193"/>
      <c r="B153" s="42"/>
      <c r="C153" s="42"/>
      <c r="D153" s="42"/>
      <c r="E153" s="42"/>
      <c r="F153" s="68"/>
      <c r="G153" s="68"/>
      <c r="H153" s="68"/>
      <c r="I153" s="68"/>
      <c r="J153" s="68"/>
      <c r="K153" s="68"/>
      <c r="L153" s="68"/>
      <c r="M153" s="68"/>
      <c r="N153" s="68"/>
      <c r="O153" s="69"/>
      <c r="P153" s="69"/>
      <c r="Q153" s="70"/>
      <c r="R153" s="69"/>
      <c r="S153" s="70"/>
      <c r="T153" s="71"/>
      <c r="U153" s="71"/>
      <c r="V153" s="71"/>
      <c r="W153" s="71"/>
      <c r="X153" s="71"/>
      <c r="Y153" s="71"/>
      <c r="Z153" s="71"/>
      <c r="AA153" s="71"/>
      <c r="AB153" s="72"/>
    </row>
    <row r="154" spans="1:28" x14ac:dyDescent="0.2">
      <c r="A154" s="193"/>
      <c r="B154" s="207" t="s">
        <v>32</v>
      </c>
      <c r="C154" s="207"/>
      <c r="D154" s="208"/>
      <c r="E154" s="77" t="s">
        <v>33</v>
      </c>
      <c r="F154" s="159" t="s">
        <v>29</v>
      </c>
      <c r="G154" s="159"/>
      <c r="H154" s="159"/>
      <c r="I154" s="159" t="s">
        <v>41</v>
      </c>
      <c r="J154" s="159"/>
      <c r="K154" s="159"/>
      <c r="L154" s="159" t="s">
        <v>30</v>
      </c>
      <c r="M154" s="159"/>
      <c r="N154" s="159"/>
      <c r="O154" s="159" t="s">
        <v>31</v>
      </c>
      <c r="P154" s="159"/>
      <c r="Q154" s="159"/>
      <c r="R154" s="159" t="s">
        <v>38</v>
      </c>
      <c r="S154" s="159"/>
      <c r="T154" s="159"/>
      <c r="U154" s="159" t="s">
        <v>60</v>
      </c>
      <c r="V154" s="159"/>
      <c r="W154" s="159"/>
      <c r="X154" s="159" t="s">
        <v>40</v>
      </c>
      <c r="Y154" s="159"/>
      <c r="Z154" s="159"/>
      <c r="AA154" s="215"/>
      <c r="AB154" s="216"/>
    </row>
    <row r="155" spans="1:28" x14ac:dyDescent="0.2">
      <c r="A155" s="193"/>
      <c r="B155" s="209"/>
      <c r="C155" s="209"/>
      <c r="D155" s="210"/>
      <c r="E155" s="82" t="s">
        <v>34</v>
      </c>
      <c r="F155" s="78" t="s">
        <v>35</v>
      </c>
      <c r="G155" s="78" t="s">
        <v>36</v>
      </c>
      <c r="H155" s="79" t="s">
        <v>37</v>
      </c>
      <c r="I155" s="78" t="s">
        <v>35</v>
      </c>
      <c r="J155" s="78" t="s">
        <v>36</v>
      </c>
      <c r="K155" s="79" t="s">
        <v>37</v>
      </c>
      <c r="L155" s="78" t="s">
        <v>35</v>
      </c>
      <c r="M155" s="78" t="s">
        <v>36</v>
      </c>
      <c r="N155" s="79" t="s">
        <v>37</v>
      </c>
      <c r="O155" s="78" t="s">
        <v>35</v>
      </c>
      <c r="P155" s="78" t="s">
        <v>36</v>
      </c>
      <c r="Q155" s="79" t="s">
        <v>37</v>
      </c>
      <c r="R155" s="78" t="s">
        <v>35</v>
      </c>
      <c r="S155" s="78" t="s">
        <v>36</v>
      </c>
      <c r="T155" s="79" t="s">
        <v>37</v>
      </c>
      <c r="U155" s="78" t="s">
        <v>35</v>
      </c>
      <c r="V155" s="78" t="s">
        <v>36</v>
      </c>
      <c r="W155" s="79" t="s">
        <v>37</v>
      </c>
      <c r="X155" s="78" t="s">
        <v>35</v>
      </c>
      <c r="Y155" s="78" t="s">
        <v>36</v>
      </c>
      <c r="Z155" s="79" t="s">
        <v>37</v>
      </c>
      <c r="AA155" s="216"/>
      <c r="AB155" s="216"/>
    </row>
    <row r="156" spans="1:28" x14ac:dyDescent="0.2">
      <c r="A156" s="193"/>
      <c r="B156" s="80" t="str">
        <f xml:space="preserve"> IF(ISBLANK(B146), "-",B146)</f>
        <v>HTL-01</v>
      </c>
      <c r="C156" s="80">
        <f xml:space="preserve"> IF(ISBLANK(C146), "-",C146)</f>
        <v>21234</v>
      </c>
      <c r="D156" s="80" t="str">
        <f xml:space="preserve"> IF(ISBLANK(D146), "-",D146)</f>
        <v>14ml    L’Oreal</v>
      </c>
      <c r="E156" s="170"/>
      <c r="F156" s="81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5">
        <v>65</v>
      </c>
      <c r="M156" s="75">
        <v>85</v>
      </c>
      <c r="N156" s="75">
        <v>61</v>
      </c>
      <c r="O156" s="75">
        <v>0</v>
      </c>
      <c r="P156" s="75">
        <v>0</v>
      </c>
      <c r="Q156" s="74">
        <v>0</v>
      </c>
      <c r="R156" s="75">
        <v>0</v>
      </c>
      <c r="S156" s="75">
        <v>0</v>
      </c>
      <c r="T156" s="75">
        <v>0</v>
      </c>
      <c r="U156" s="75">
        <v>1</v>
      </c>
      <c r="V156" s="75">
        <v>14</v>
      </c>
      <c r="W156" s="74">
        <v>23</v>
      </c>
      <c r="X156" s="74">
        <v>0</v>
      </c>
      <c r="Y156" s="74">
        <v>0</v>
      </c>
      <c r="Z156" s="76">
        <v>21</v>
      </c>
      <c r="AA156" s="216"/>
      <c r="AB156" s="216"/>
    </row>
    <row r="157" spans="1:28" x14ac:dyDescent="0.2">
      <c r="A157" s="193"/>
      <c r="B157" s="80" t="str">
        <f xml:space="preserve"> IF(ISBLANK(B148), "-",B148)</f>
        <v>HTL-02</v>
      </c>
      <c r="C157" s="80">
        <f xml:space="preserve"> IF(ISBLANK(C148), "-",C148)</f>
        <v>21231</v>
      </c>
      <c r="D157" s="80" t="str">
        <f xml:space="preserve"> IF(ISBLANK(D148), "-",D148)</f>
        <v>7ml   L’Oreal</v>
      </c>
      <c r="E157" s="171"/>
      <c r="F157" s="81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5">
        <v>10</v>
      </c>
      <c r="M157" s="75">
        <v>0</v>
      </c>
      <c r="N157" s="75">
        <v>26</v>
      </c>
      <c r="O157" s="75">
        <v>0</v>
      </c>
      <c r="P157" s="75">
        <v>0</v>
      </c>
      <c r="Q157" s="74">
        <v>0</v>
      </c>
      <c r="R157" s="75">
        <v>0</v>
      </c>
      <c r="S157" s="75">
        <v>0</v>
      </c>
      <c r="T157" s="75">
        <v>0</v>
      </c>
      <c r="U157" s="75">
        <v>25</v>
      </c>
      <c r="V157" s="75">
        <v>0</v>
      </c>
      <c r="W157" s="74">
        <v>3</v>
      </c>
      <c r="X157" s="74">
        <v>8</v>
      </c>
      <c r="Y157" s="74">
        <v>8</v>
      </c>
      <c r="Z157" s="97">
        <v>20</v>
      </c>
      <c r="AA157" s="216"/>
      <c r="AB157" s="216"/>
    </row>
    <row r="158" spans="1:28" x14ac:dyDescent="0.2">
      <c r="A158" s="193"/>
      <c r="B158" s="80" t="str">
        <f xml:space="preserve"> IF(ISBLANK(B150), "-",B150)</f>
        <v>HTL-03</v>
      </c>
      <c r="C158" s="80">
        <f xml:space="preserve"> IF(ISBLANK(C150), "-",C150)</f>
        <v>21231</v>
      </c>
      <c r="D158" s="80" t="str">
        <f xml:space="preserve"> IF(ISBLANK(D150), "-",D150)</f>
        <v>7ml   L’Oreal</v>
      </c>
      <c r="E158" s="172"/>
      <c r="F158" s="81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5">
        <v>14</v>
      </c>
      <c r="M158" s="75">
        <v>0</v>
      </c>
      <c r="N158" s="75">
        <v>0</v>
      </c>
      <c r="O158" s="75">
        <v>0</v>
      </c>
      <c r="P158" s="75">
        <v>0</v>
      </c>
      <c r="Q158" s="74">
        <v>0</v>
      </c>
      <c r="R158" s="75">
        <v>0</v>
      </c>
      <c r="S158" s="75">
        <v>0</v>
      </c>
      <c r="T158" s="75">
        <v>0</v>
      </c>
      <c r="U158" s="75">
        <v>2</v>
      </c>
      <c r="V158" s="75">
        <v>29</v>
      </c>
      <c r="W158" s="74">
        <v>0</v>
      </c>
      <c r="X158" s="74">
        <v>0</v>
      </c>
      <c r="Y158" s="74">
        <v>3</v>
      </c>
      <c r="Z158" s="76">
        <v>0</v>
      </c>
      <c r="AA158" s="216"/>
      <c r="AB158" s="216"/>
    </row>
    <row r="160" spans="1:28" x14ac:dyDescent="0.2">
      <c r="A160" s="193">
        <v>44722</v>
      </c>
      <c r="B160" s="16"/>
      <c r="C160" s="16" t="s">
        <v>20</v>
      </c>
      <c r="D160" s="17">
        <v>1</v>
      </c>
      <c r="E160" s="18"/>
      <c r="F160" s="18" t="s">
        <v>19</v>
      </c>
      <c r="G160" s="17">
        <v>0</v>
      </c>
      <c r="H160" s="17"/>
      <c r="I160" s="18"/>
      <c r="J160" s="18"/>
      <c r="K160" s="25"/>
      <c r="L160" s="25"/>
      <c r="M160" s="17"/>
      <c r="N160" s="18"/>
      <c r="O160" s="18"/>
      <c r="P160" s="25"/>
      <c r="Q160" s="25"/>
      <c r="R160" s="17"/>
      <c r="S160" s="18"/>
      <c r="T160" s="18"/>
      <c r="U160" s="31">
        <v>19140</v>
      </c>
      <c r="V160" s="32" t="s">
        <v>48</v>
      </c>
      <c r="W160" s="32"/>
      <c r="X160" s="33"/>
      <c r="Y160" s="24"/>
      <c r="Z160" s="24"/>
      <c r="AA160" s="24"/>
      <c r="AB160" s="26"/>
    </row>
    <row r="161" spans="1:28" x14ac:dyDescent="0.2">
      <c r="A161" s="193"/>
      <c r="B161" s="157" t="s">
        <v>3</v>
      </c>
      <c r="C161" s="158" t="s">
        <v>10</v>
      </c>
      <c r="D161" s="158" t="s">
        <v>12</v>
      </c>
      <c r="E161" s="180" t="s">
        <v>5</v>
      </c>
      <c r="F161" s="211" t="s">
        <v>6</v>
      </c>
      <c r="G161" s="212"/>
      <c r="H161" s="212"/>
      <c r="I161" s="212"/>
      <c r="J161" s="213"/>
      <c r="K161" s="211" t="s">
        <v>7</v>
      </c>
      <c r="L161" s="212"/>
      <c r="M161" s="212"/>
      <c r="N161" s="212"/>
      <c r="O161" s="213"/>
      <c r="P161" s="211" t="s">
        <v>8</v>
      </c>
      <c r="Q161" s="212"/>
      <c r="R161" s="212"/>
      <c r="S161" s="212"/>
      <c r="T161" s="213"/>
      <c r="U161" s="214" t="s">
        <v>15</v>
      </c>
      <c r="V161" s="214" t="s">
        <v>52</v>
      </c>
      <c r="W161" s="214" t="s">
        <v>53</v>
      </c>
      <c r="X161" s="214" t="s">
        <v>54</v>
      </c>
      <c r="Y161" s="214" t="s">
        <v>55</v>
      </c>
      <c r="Z161" s="214" t="s">
        <v>56</v>
      </c>
      <c r="AA161" s="214" t="s">
        <v>57</v>
      </c>
      <c r="AB161" s="214" t="s">
        <v>17</v>
      </c>
    </row>
    <row r="162" spans="1:28" ht="38.25" x14ac:dyDescent="0.2">
      <c r="A162" s="193"/>
      <c r="B162" s="157"/>
      <c r="C162" s="158"/>
      <c r="D162" s="158"/>
      <c r="E162" s="180"/>
      <c r="F162" s="15" t="s">
        <v>23</v>
      </c>
      <c r="G162" s="15" t="s">
        <v>47</v>
      </c>
      <c r="H162" s="15" t="s">
        <v>50</v>
      </c>
      <c r="I162" s="15" t="s">
        <v>49</v>
      </c>
      <c r="J162" s="15" t="s">
        <v>51</v>
      </c>
      <c r="K162" s="15" t="s">
        <v>23</v>
      </c>
      <c r="L162" s="15" t="s">
        <v>13</v>
      </c>
      <c r="M162" s="15" t="s">
        <v>50</v>
      </c>
      <c r="N162" s="15" t="s">
        <v>49</v>
      </c>
      <c r="O162" s="15" t="s">
        <v>51</v>
      </c>
      <c r="P162" s="15" t="s">
        <v>23</v>
      </c>
      <c r="Q162" s="15" t="s">
        <v>13</v>
      </c>
      <c r="R162" s="15" t="s">
        <v>50</v>
      </c>
      <c r="S162" s="15" t="s">
        <v>49</v>
      </c>
      <c r="T162" s="15" t="s">
        <v>51</v>
      </c>
      <c r="U162" s="214"/>
      <c r="V162" s="214"/>
      <c r="W162" s="214"/>
      <c r="X162" s="214"/>
      <c r="Y162" s="214"/>
      <c r="Z162" s="214"/>
      <c r="AA162" s="214"/>
      <c r="AB162" s="214"/>
    </row>
    <row r="163" spans="1:28" x14ac:dyDescent="0.2">
      <c r="A163" s="193"/>
      <c r="B163" s="194" t="s">
        <v>64</v>
      </c>
      <c r="C163" s="11">
        <v>21234</v>
      </c>
      <c r="D163" s="11" t="s">
        <v>71</v>
      </c>
      <c r="E163" s="196" t="s">
        <v>1</v>
      </c>
      <c r="F163" s="12">
        <v>8282</v>
      </c>
      <c r="G163" s="20">
        <f>F163/$U160</f>
        <v>0.43270637408568441</v>
      </c>
      <c r="H163" s="12"/>
      <c r="I163" s="12"/>
      <c r="J163" s="12"/>
      <c r="K163" s="12">
        <v>7914</v>
      </c>
      <c r="L163" s="20">
        <f>K163/$U160</f>
        <v>0.41347962382445141</v>
      </c>
      <c r="M163" s="12"/>
      <c r="N163" s="12"/>
      <c r="O163" s="12"/>
      <c r="P163" s="12">
        <v>7870</v>
      </c>
      <c r="Q163" s="20">
        <f>P163/$U160</f>
        <v>0.41118077324973878</v>
      </c>
      <c r="R163" s="12"/>
      <c r="S163" s="12"/>
      <c r="T163" s="12"/>
      <c r="U163" s="151">
        <f>SUM(F163, K163, P163, F164, K164, P164)</f>
        <v>24066</v>
      </c>
      <c r="V163" s="151">
        <f>SUM(H163, M163, R163, H164, M164, R164)</f>
        <v>0</v>
      </c>
      <c r="W163" s="205">
        <f>IF($U163=0, ,V163/$U163)</f>
        <v>0</v>
      </c>
      <c r="X163" s="151">
        <f>SUM(I163, N163, S163, I164, N164, S164)</f>
        <v>0</v>
      </c>
      <c r="Y163" s="205">
        <f>IF($U163=0, ,X163/$U163)</f>
        <v>0</v>
      </c>
      <c r="Z163" s="151">
        <f>SUM(J163, O163, T163, J164, O164, T164)</f>
        <v>0</v>
      </c>
      <c r="AA163" s="205">
        <f>IF($U163=0, ,Z163/$U163)</f>
        <v>0</v>
      </c>
      <c r="AB163" s="179" t="s">
        <v>95</v>
      </c>
    </row>
    <row r="164" spans="1:28" x14ac:dyDescent="0.2">
      <c r="A164" s="193"/>
      <c r="B164" s="204"/>
      <c r="C164" s="11"/>
      <c r="D164" s="11"/>
      <c r="E164" s="198"/>
      <c r="F164" s="12"/>
      <c r="G164" s="20">
        <f>F164/$U160</f>
        <v>0</v>
      </c>
      <c r="H164" s="12"/>
      <c r="I164" s="12"/>
      <c r="J164" s="12"/>
      <c r="K164" s="12"/>
      <c r="L164" s="20">
        <f>K164/$U160</f>
        <v>0</v>
      </c>
      <c r="M164" s="12"/>
      <c r="N164" s="12"/>
      <c r="O164" s="12"/>
      <c r="P164" s="12"/>
      <c r="Q164" s="20">
        <f>P164/$U160</f>
        <v>0</v>
      </c>
      <c r="R164" s="12"/>
      <c r="S164" s="12"/>
      <c r="T164" s="12"/>
      <c r="U164" s="152"/>
      <c r="V164" s="152"/>
      <c r="W164" s="206"/>
      <c r="X164" s="152"/>
      <c r="Y164" s="206"/>
      <c r="Z164" s="152"/>
      <c r="AA164" s="206"/>
      <c r="AB164" s="156"/>
    </row>
    <row r="165" spans="1:28" x14ac:dyDescent="0.2">
      <c r="A165" s="193"/>
      <c r="B165" s="175" t="s">
        <v>69</v>
      </c>
      <c r="C165" s="10">
        <v>21231</v>
      </c>
      <c r="D165" s="10" t="s">
        <v>70</v>
      </c>
      <c r="E165" s="177" t="s">
        <v>1</v>
      </c>
      <c r="F165" s="13">
        <v>7890</v>
      </c>
      <c r="G165" s="21">
        <f>F165/$U160</f>
        <v>0.41222570532915359</v>
      </c>
      <c r="H165" s="13"/>
      <c r="I165" s="13"/>
      <c r="J165" s="13"/>
      <c r="K165" s="13">
        <v>8225</v>
      </c>
      <c r="L165" s="21">
        <f>K165/$U160</f>
        <v>0.42972831765935215</v>
      </c>
      <c r="M165" s="13"/>
      <c r="N165" s="13"/>
      <c r="O165" s="13"/>
      <c r="P165" s="13">
        <v>7982</v>
      </c>
      <c r="Q165" s="21">
        <f>P165/$U160</f>
        <v>0.41703239289446187</v>
      </c>
      <c r="R165" s="13"/>
      <c r="S165" s="13"/>
      <c r="T165" s="13"/>
      <c r="U165" s="185">
        <f>SUM(F165, K165, P165, F166, K166, P166)</f>
        <v>24097</v>
      </c>
      <c r="V165" s="185">
        <f>SUM(H165, M165, R165, H166, M166, R166)</f>
        <v>0</v>
      </c>
      <c r="W165" s="200">
        <f>IF($U165=0, ,V165/$U165)</f>
        <v>0</v>
      </c>
      <c r="X165" s="185">
        <f>SUM(I165, N165, S165, I166, N166, S166)</f>
        <v>0</v>
      </c>
      <c r="Y165" s="200">
        <f>IF($U165=0, ,X165/$U165)</f>
        <v>0</v>
      </c>
      <c r="Z165" s="185">
        <f>SUM(J165, O165, T165, J166, O166, T166)</f>
        <v>0</v>
      </c>
      <c r="AA165" s="200">
        <f>IF($U165=0, ,Z165/$U165)</f>
        <v>0</v>
      </c>
      <c r="AB165" s="202" t="s">
        <v>92</v>
      </c>
    </row>
    <row r="166" spans="1:28" x14ac:dyDescent="0.2">
      <c r="A166" s="193"/>
      <c r="B166" s="176"/>
      <c r="C166" s="10"/>
      <c r="D166" s="10"/>
      <c r="E166" s="178"/>
      <c r="F166" s="13"/>
      <c r="G166" s="21">
        <f>F166/$U160</f>
        <v>0</v>
      </c>
      <c r="H166" s="13"/>
      <c r="I166" s="13"/>
      <c r="J166" s="13"/>
      <c r="K166" s="13"/>
      <c r="L166" s="21">
        <f>K166/$U160</f>
        <v>0</v>
      </c>
      <c r="M166" s="13"/>
      <c r="N166" s="13"/>
      <c r="O166" s="13"/>
      <c r="P166" s="13"/>
      <c r="Q166" s="21">
        <f>P166/$U160</f>
        <v>0</v>
      </c>
      <c r="R166" s="13"/>
      <c r="S166" s="13"/>
      <c r="T166" s="13"/>
      <c r="U166" s="186"/>
      <c r="V166" s="186"/>
      <c r="W166" s="201"/>
      <c r="X166" s="186"/>
      <c r="Y166" s="201"/>
      <c r="Z166" s="186"/>
      <c r="AA166" s="201"/>
      <c r="AB166" s="203"/>
    </row>
    <row r="167" spans="1:28" x14ac:dyDescent="0.2">
      <c r="A167" s="193"/>
      <c r="B167" s="194" t="s">
        <v>68</v>
      </c>
      <c r="C167" s="9">
        <v>21231</v>
      </c>
      <c r="D167" s="9" t="s">
        <v>70</v>
      </c>
      <c r="E167" s="149" t="s">
        <v>1</v>
      </c>
      <c r="F167" s="14">
        <v>7602</v>
      </c>
      <c r="G167" s="22">
        <f>F167/$U160</f>
        <v>0.39717868338557993</v>
      </c>
      <c r="H167" s="14"/>
      <c r="I167" s="14"/>
      <c r="J167" s="14"/>
      <c r="K167" s="14"/>
      <c r="L167" s="22">
        <f>K167/$U160</f>
        <v>0</v>
      </c>
      <c r="M167" s="14"/>
      <c r="N167" s="14"/>
      <c r="O167" s="14"/>
      <c r="P167" s="14"/>
      <c r="Q167" s="22">
        <f>P167/$U160</f>
        <v>0</v>
      </c>
      <c r="R167" s="14"/>
      <c r="S167" s="14"/>
      <c r="T167" s="14"/>
      <c r="U167" s="151">
        <f>SUM(F167, K167, P167, F168, K168, P168)</f>
        <v>7602</v>
      </c>
      <c r="V167" s="151">
        <f>SUM(H167, M167, R167, H168, M168, R168)</f>
        <v>0</v>
      </c>
      <c r="W167" s="205">
        <f>IF($U167=0, ,V167/$U167)</f>
        <v>0</v>
      </c>
      <c r="X167" s="151">
        <f>SUM(I167, N167, S167, I168, N168, S168)</f>
        <v>0</v>
      </c>
      <c r="Y167" s="205">
        <f>IF($U167=0, ,X167/$U167)</f>
        <v>0</v>
      </c>
      <c r="Z167" s="151">
        <f>SUM(J167, O167, T167, J168, O168, T168)</f>
        <v>0</v>
      </c>
      <c r="AA167" s="205">
        <f>IF($U167=0, ,Z167/$U167)</f>
        <v>0</v>
      </c>
      <c r="AB167" s="179"/>
    </row>
    <row r="168" spans="1:28" x14ac:dyDescent="0.2">
      <c r="A168" s="193"/>
      <c r="B168" s="204"/>
      <c r="C168" s="9"/>
      <c r="D168" s="9"/>
      <c r="E168" s="150"/>
      <c r="F168" s="14"/>
      <c r="G168" s="22">
        <f>F168/$U160</f>
        <v>0</v>
      </c>
      <c r="H168" s="14"/>
      <c r="I168" s="14"/>
      <c r="J168" s="14"/>
      <c r="K168" s="14"/>
      <c r="L168" s="22">
        <f>K168/$U160</f>
        <v>0</v>
      </c>
      <c r="M168" s="14"/>
      <c r="N168" s="14"/>
      <c r="O168" s="14"/>
      <c r="P168" s="14"/>
      <c r="Q168" s="22">
        <f>P168/$U160</f>
        <v>0</v>
      </c>
      <c r="R168" s="14"/>
      <c r="S168" s="14"/>
      <c r="T168" s="14"/>
      <c r="U168" s="152"/>
      <c r="V168" s="152"/>
      <c r="W168" s="206"/>
      <c r="X168" s="152"/>
      <c r="Y168" s="206"/>
      <c r="Z168" s="152"/>
      <c r="AA168" s="206"/>
      <c r="AB168" s="156"/>
    </row>
    <row r="169" spans="1:28" ht="13.5" thickBot="1" x14ac:dyDescent="0.25">
      <c r="A169" s="193"/>
      <c r="B169" s="42"/>
      <c r="C169" s="42"/>
      <c r="D169" s="42"/>
      <c r="E169" s="42"/>
      <c r="F169" s="43"/>
      <c r="G169" s="44"/>
      <c r="H169" s="43"/>
      <c r="I169" s="43"/>
      <c r="J169" s="43"/>
      <c r="K169" s="43"/>
      <c r="L169" s="44"/>
      <c r="M169" s="43"/>
      <c r="N169" s="43"/>
      <c r="O169" s="43"/>
      <c r="P169" s="43"/>
      <c r="Q169" s="44"/>
      <c r="R169" s="43"/>
      <c r="S169" s="43"/>
      <c r="T169" s="46" t="s">
        <v>26</v>
      </c>
      <c r="U169" s="47">
        <f>SUM(U163:U168)</f>
        <v>55765</v>
      </c>
      <c r="V169" s="47">
        <f>SUM(V163:V168)</f>
        <v>0</v>
      </c>
      <c r="W169" s="48">
        <f>IF($U169=0, ,V169/$U169)</f>
        <v>0</v>
      </c>
      <c r="X169" s="47">
        <f>SUM(X163:X168)</f>
        <v>0</v>
      </c>
      <c r="Y169" s="48">
        <f>IF($U169=0, ,X169/$U169)</f>
        <v>0</v>
      </c>
      <c r="Z169" s="47">
        <f>SUM(Z163:Z168)</f>
        <v>0</v>
      </c>
      <c r="AA169" s="48">
        <f>IF($U169=0, ,Z169/$U169)</f>
        <v>0</v>
      </c>
      <c r="AB169" s="45"/>
    </row>
    <row r="170" spans="1:28" ht="13.5" thickTop="1" x14ac:dyDescent="0.2">
      <c r="A170" s="193"/>
      <c r="B170" s="42"/>
      <c r="C170" s="42"/>
      <c r="D170" s="42"/>
      <c r="E170" s="42"/>
      <c r="F170" s="68"/>
      <c r="G170" s="68"/>
      <c r="H170" s="68"/>
      <c r="I170" s="68"/>
      <c r="J170" s="68"/>
      <c r="K170" s="68"/>
      <c r="L170" s="68"/>
      <c r="M170" s="68"/>
      <c r="N170" s="68"/>
      <c r="O170" s="69"/>
      <c r="P170" s="69"/>
      <c r="Q170" s="70"/>
      <c r="R170" s="69"/>
      <c r="S170" s="70"/>
      <c r="T170" s="71"/>
      <c r="U170" s="71"/>
      <c r="V170" s="71"/>
      <c r="W170" s="71"/>
      <c r="X170" s="71"/>
      <c r="Y170" s="71"/>
      <c r="Z170" s="71"/>
      <c r="AA170" s="71"/>
      <c r="AB170" s="72"/>
    </row>
    <row r="171" spans="1:28" x14ac:dyDescent="0.2">
      <c r="A171" s="193"/>
      <c r="B171" s="207" t="s">
        <v>32</v>
      </c>
      <c r="C171" s="207"/>
      <c r="D171" s="208"/>
      <c r="E171" s="77" t="s">
        <v>33</v>
      </c>
      <c r="F171" s="159" t="s">
        <v>29</v>
      </c>
      <c r="G171" s="159"/>
      <c r="H171" s="159"/>
      <c r="I171" s="159" t="s">
        <v>41</v>
      </c>
      <c r="J171" s="159"/>
      <c r="K171" s="159"/>
      <c r="L171" s="159" t="s">
        <v>30</v>
      </c>
      <c r="M171" s="159"/>
      <c r="N171" s="159"/>
      <c r="O171" s="159" t="s">
        <v>31</v>
      </c>
      <c r="P171" s="159"/>
      <c r="Q171" s="159"/>
      <c r="R171" s="159" t="s">
        <v>38</v>
      </c>
      <c r="S171" s="159"/>
      <c r="T171" s="159"/>
      <c r="U171" s="159" t="s">
        <v>60</v>
      </c>
      <c r="V171" s="159"/>
      <c r="W171" s="159"/>
      <c r="X171" s="159" t="s">
        <v>40</v>
      </c>
      <c r="Y171" s="159"/>
      <c r="Z171" s="159"/>
      <c r="AA171" s="215"/>
      <c r="AB171" s="216"/>
    </row>
    <row r="172" spans="1:28" x14ac:dyDescent="0.2">
      <c r="A172" s="193"/>
      <c r="B172" s="209"/>
      <c r="C172" s="209"/>
      <c r="D172" s="210"/>
      <c r="E172" s="82" t="s">
        <v>34</v>
      </c>
      <c r="F172" s="78" t="s">
        <v>35</v>
      </c>
      <c r="G172" s="78" t="s">
        <v>36</v>
      </c>
      <c r="H172" s="79" t="s">
        <v>37</v>
      </c>
      <c r="I172" s="78" t="s">
        <v>35</v>
      </c>
      <c r="J172" s="78" t="s">
        <v>36</v>
      </c>
      <c r="K172" s="79" t="s">
        <v>37</v>
      </c>
      <c r="L172" s="78" t="s">
        <v>35</v>
      </c>
      <c r="M172" s="78" t="s">
        <v>36</v>
      </c>
      <c r="N172" s="79" t="s">
        <v>37</v>
      </c>
      <c r="O172" s="78" t="s">
        <v>35</v>
      </c>
      <c r="P172" s="78" t="s">
        <v>36</v>
      </c>
      <c r="Q172" s="79" t="s">
        <v>37</v>
      </c>
      <c r="R172" s="78" t="s">
        <v>35</v>
      </c>
      <c r="S172" s="78" t="s">
        <v>36</v>
      </c>
      <c r="T172" s="79" t="s">
        <v>37</v>
      </c>
      <c r="U172" s="78" t="s">
        <v>35</v>
      </c>
      <c r="V172" s="78" t="s">
        <v>36</v>
      </c>
      <c r="W172" s="79" t="s">
        <v>37</v>
      </c>
      <c r="X172" s="78" t="s">
        <v>35</v>
      </c>
      <c r="Y172" s="78" t="s">
        <v>36</v>
      </c>
      <c r="Z172" s="79" t="s">
        <v>37</v>
      </c>
      <c r="AA172" s="216"/>
      <c r="AB172" s="216"/>
    </row>
    <row r="173" spans="1:28" x14ac:dyDescent="0.2">
      <c r="A173" s="193"/>
      <c r="B173" s="80" t="str">
        <f xml:space="preserve"> IF(ISBLANK(B163), "-",B163)</f>
        <v>HTL-01</v>
      </c>
      <c r="C173" s="80">
        <f xml:space="preserve"> IF(ISBLANK(C163), "-",C163)</f>
        <v>21234</v>
      </c>
      <c r="D173" s="80" t="str">
        <f xml:space="preserve"> IF(ISBLANK(D163), "-",D163)</f>
        <v>14ml    L’Oreal</v>
      </c>
      <c r="E173" s="170"/>
      <c r="F173" s="81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5">
        <v>90</v>
      </c>
      <c r="M173" s="75">
        <v>66</v>
      </c>
      <c r="N173" s="75">
        <v>59</v>
      </c>
      <c r="O173" s="75">
        <v>0</v>
      </c>
      <c r="P173" s="75">
        <v>0</v>
      </c>
      <c r="Q173" s="74">
        <v>0</v>
      </c>
      <c r="R173" s="75">
        <v>0</v>
      </c>
      <c r="S173" s="75">
        <v>0</v>
      </c>
      <c r="T173" s="75">
        <v>0</v>
      </c>
      <c r="U173" s="75">
        <v>15</v>
      </c>
      <c r="V173" s="75">
        <v>23</v>
      </c>
      <c r="W173" s="74">
        <v>25</v>
      </c>
      <c r="X173" s="74">
        <v>14</v>
      </c>
      <c r="Y173" s="74">
        <v>0</v>
      </c>
      <c r="Z173" s="76">
        <v>22</v>
      </c>
      <c r="AA173" s="216"/>
      <c r="AB173" s="216"/>
    </row>
    <row r="174" spans="1:28" x14ac:dyDescent="0.2">
      <c r="A174" s="193"/>
      <c r="B174" s="80" t="str">
        <f xml:space="preserve"> IF(ISBLANK(B165), "-",B165)</f>
        <v>HTL-02</v>
      </c>
      <c r="C174" s="80">
        <f xml:space="preserve"> IF(ISBLANK(C165), "-",C165)</f>
        <v>21231</v>
      </c>
      <c r="D174" s="80" t="str">
        <f xml:space="preserve"> IF(ISBLANK(D165), "-",D165)</f>
        <v>7ml   L’Oreal</v>
      </c>
      <c r="E174" s="171"/>
      <c r="F174" s="81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5">
        <v>26</v>
      </c>
      <c r="M174" s="75">
        <v>0</v>
      </c>
      <c r="N174" s="75">
        <v>36</v>
      </c>
      <c r="O174" s="75">
        <v>0</v>
      </c>
      <c r="P174" s="75">
        <v>0</v>
      </c>
      <c r="Q174" s="74">
        <v>0</v>
      </c>
      <c r="R174" s="75">
        <v>0</v>
      </c>
      <c r="S174" s="75">
        <v>0</v>
      </c>
      <c r="T174" s="75">
        <v>0</v>
      </c>
      <c r="U174" s="75">
        <v>3</v>
      </c>
      <c r="V174" s="75">
        <v>2</v>
      </c>
      <c r="W174" s="74">
        <v>16</v>
      </c>
      <c r="X174" s="74">
        <v>0</v>
      </c>
      <c r="Y174" s="74">
        <v>3</v>
      </c>
      <c r="Z174" s="97">
        <v>0</v>
      </c>
      <c r="AA174" s="216"/>
      <c r="AB174" s="216"/>
    </row>
    <row r="175" spans="1:28" x14ac:dyDescent="0.2">
      <c r="A175" s="193"/>
      <c r="B175" s="80" t="str">
        <f xml:space="preserve"> IF(ISBLANK(B167), "-",B167)</f>
        <v>HTL-03</v>
      </c>
      <c r="C175" s="80">
        <f xml:space="preserve"> IF(ISBLANK(C167), "-",C167)</f>
        <v>21231</v>
      </c>
      <c r="D175" s="80" t="str">
        <f xml:space="preserve"> IF(ISBLANK(D167), "-",D167)</f>
        <v>7ml   L’Oreal</v>
      </c>
      <c r="E175" s="172"/>
      <c r="F175" s="81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5">
        <v>12</v>
      </c>
      <c r="M175" s="75">
        <v>0</v>
      </c>
      <c r="N175" s="75">
        <v>0</v>
      </c>
      <c r="O175" s="75">
        <v>0</v>
      </c>
      <c r="P175" s="75">
        <v>0</v>
      </c>
      <c r="Q175" s="74">
        <v>0</v>
      </c>
      <c r="R175" s="75">
        <v>0</v>
      </c>
      <c r="S175" s="75">
        <v>0</v>
      </c>
      <c r="T175" s="75">
        <v>0</v>
      </c>
      <c r="U175" s="75">
        <v>48</v>
      </c>
      <c r="V175" s="75">
        <v>0</v>
      </c>
      <c r="W175" s="74">
        <v>0</v>
      </c>
      <c r="X175" s="74">
        <v>0</v>
      </c>
      <c r="Y175" s="74">
        <v>0</v>
      </c>
      <c r="Z175" s="76">
        <v>0</v>
      </c>
      <c r="AA175" s="216"/>
      <c r="AB175" s="216"/>
    </row>
    <row r="177" spans="1:28" x14ac:dyDescent="0.2">
      <c r="A177" s="193">
        <v>44723</v>
      </c>
      <c r="B177" s="16"/>
      <c r="C177" s="16" t="s">
        <v>20</v>
      </c>
      <c r="D177" s="17">
        <v>1</v>
      </c>
      <c r="E177" s="18"/>
      <c r="F177" s="18" t="s">
        <v>19</v>
      </c>
      <c r="G177" s="17">
        <v>0</v>
      </c>
      <c r="H177" s="17"/>
      <c r="I177" s="18"/>
      <c r="J177" s="18"/>
      <c r="K177" s="25"/>
      <c r="L177" s="25"/>
      <c r="M177" s="17"/>
      <c r="N177" s="18"/>
      <c r="O177" s="18"/>
      <c r="P177" s="25"/>
      <c r="Q177" s="25"/>
      <c r="R177" s="17"/>
      <c r="S177" s="18"/>
      <c r="T177" s="18"/>
      <c r="U177" s="31">
        <v>19140</v>
      </c>
      <c r="V177" s="32" t="s">
        <v>48</v>
      </c>
      <c r="W177" s="32"/>
      <c r="X177" s="33"/>
      <c r="Y177" s="24"/>
      <c r="Z177" s="24"/>
      <c r="AA177" s="24"/>
      <c r="AB177" s="26"/>
    </row>
    <row r="178" spans="1:28" x14ac:dyDescent="0.2">
      <c r="A178" s="193"/>
      <c r="B178" s="157" t="s">
        <v>3</v>
      </c>
      <c r="C178" s="158" t="s">
        <v>10</v>
      </c>
      <c r="D178" s="158" t="s">
        <v>12</v>
      </c>
      <c r="E178" s="180" t="s">
        <v>5</v>
      </c>
      <c r="F178" s="211" t="s">
        <v>6</v>
      </c>
      <c r="G178" s="212"/>
      <c r="H178" s="212"/>
      <c r="I178" s="212"/>
      <c r="J178" s="213"/>
      <c r="K178" s="211" t="s">
        <v>7</v>
      </c>
      <c r="L178" s="212"/>
      <c r="M178" s="212"/>
      <c r="N178" s="212"/>
      <c r="O178" s="213"/>
      <c r="P178" s="211" t="s">
        <v>8</v>
      </c>
      <c r="Q178" s="212"/>
      <c r="R178" s="212"/>
      <c r="S178" s="212"/>
      <c r="T178" s="213"/>
      <c r="U178" s="214" t="s">
        <v>15</v>
      </c>
      <c r="V178" s="214" t="s">
        <v>52</v>
      </c>
      <c r="W178" s="214" t="s">
        <v>53</v>
      </c>
      <c r="X178" s="214" t="s">
        <v>54</v>
      </c>
      <c r="Y178" s="214" t="s">
        <v>55</v>
      </c>
      <c r="Z178" s="214" t="s">
        <v>56</v>
      </c>
      <c r="AA178" s="214" t="s">
        <v>57</v>
      </c>
      <c r="AB178" s="214" t="s">
        <v>17</v>
      </c>
    </row>
    <row r="179" spans="1:28" ht="38.25" x14ac:dyDescent="0.2">
      <c r="A179" s="193"/>
      <c r="B179" s="157"/>
      <c r="C179" s="158"/>
      <c r="D179" s="158"/>
      <c r="E179" s="180"/>
      <c r="F179" s="15" t="s">
        <v>23</v>
      </c>
      <c r="G179" s="15" t="s">
        <v>47</v>
      </c>
      <c r="H179" s="15" t="s">
        <v>50</v>
      </c>
      <c r="I179" s="15" t="s">
        <v>49</v>
      </c>
      <c r="J179" s="15" t="s">
        <v>51</v>
      </c>
      <c r="K179" s="15" t="s">
        <v>23</v>
      </c>
      <c r="L179" s="15" t="s">
        <v>13</v>
      </c>
      <c r="M179" s="15" t="s">
        <v>50</v>
      </c>
      <c r="N179" s="15" t="s">
        <v>49</v>
      </c>
      <c r="O179" s="15" t="s">
        <v>51</v>
      </c>
      <c r="P179" s="15" t="s">
        <v>23</v>
      </c>
      <c r="Q179" s="15" t="s">
        <v>13</v>
      </c>
      <c r="R179" s="15" t="s">
        <v>50</v>
      </c>
      <c r="S179" s="15" t="s">
        <v>49</v>
      </c>
      <c r="T179" s="15" t="s">
        <v>51</v>
      </c>
      <c r="U179" s="214"/>
      <c r="V179" s="214"/>
      <c r="W179" s="214"/>
      <c r="X179" s="214"/>
      <c r="Y179" s="214"/>
      <c r="Z179" s="214"/>
      <c r="AA179" s="214"/>
      <c r="AB179" s="214"/>
    </row>
    <row r="180" spans="1:28" x14ac:dyDescent="0.2">
      <c r="A180" s="193"/>
      <c r="B180" s="194" t="s">
        <v>64</v>
      </c>
      <c r="C180" s="11">
        <v>21234</v>
      </c>
      <c r="D180" s="11" t="s">
        <v>71</v>
      </c>
      <c r="E180" s="196" t="s">
        <v>1</v>
      </c>
      <c r="F180" s="12">
        <v>8112</v>
      </c>
      <c r="G180" s="20">
        <f>F180/$U177</f>
        <v>0.42382445141065833</v>
      </c>
      <c r="H180" s="12"/>
      <c r="I180" s="12"/>
      <c r="J180" s="12"/>
      <c r="K180" s="12">
        <v>7127</v>
      </c>
      <c r="L180" s="20">
        <f>K180/$U177</f>
        <v>0.37236154649947756</v>
      </c>
      <c r="M180" s="12"/>
      <c r="N180" s="12"/>
      <c r="O180" s="12"/>
      <c r="P180" s="12">
        <v>7520</v>
      </c>
      <c r="Q180" s="20">
        <f>P180/$U177</f>
        <v>0.39289446185997912</v>
      </c>
      <c r="R180" s="12"/>
      <c r="S180" s="12"/>
      <c r="T180" s="12"/>
      <c r="U180" s="151">
        <f>SUM(F180, K180, P180, F181, K181, P181)</f>
        <v>22759</v>
      </c>
      <c r="V180" s="151">
        <f>SUM(H180, M180, R180, H181, M181, R181)</f>
        <v>0</v>
      </c>
      <c r="W180" s="205">
        <f>IF($U180=0, ,V180/$U180)</f>
        <v>0</v>
      </c>
      <c r="X180" s="151">
        <f>SUM(I180, N180, S180, I181, N181, S181)</f>
        <v>0</v>
      </c>
      <c r="Y180" s="205">
        <f>IF($U180=0, ,X180/$U180)</f>
        <v>0</v>
      </c>
      <c r="Z180" s="151">
        <f>SUM(J180, O180, T180, J181, O181, T181)</f>
        <v>0</v>
      </c>
      <c r="AA180" s="205">
        <f>IF($U180=0, ,Z180/$U180)</f>
        <v>0</v>
      </c>
      <c r="AB180" s="179" t="s">
        <v>92</v>
      </c>
    </row>
    <row r="181" spans="1:28" x14ac:dyDescent="0.2">
      <c r="A181" s="193"/>
      <c r="B181" s="204"/>
      <c r="C181" s="11"/>
      <c r="D181" s="11"/>
      <c r="E181" s="198"/>
      <c r="F181" s="12"/>
      <c r="G181" s="20">
        <f>F181/$U177</f>
        <v>0</v>
      </c>
      <c r="H181" s="12"/>
      <c r="I181" s="12"/>
      <c r="J181" s="12"/>
      <c r="K181" s="12"/>
      <c r="L181" s="20">
        <f>K181/$U177</f>
        <v>0</v>
      </c>
      <c r="M181" s="12"/>
      <c r="N181" s="12"/>
      <c r="O181" s="12"/>
      <c r="P181" s="12"/>
      <c r="Q181" s="20">
        <f>P181/$U177</f>
        <v>0</v>
      </c>
      <c r="R181" s="12"/>
      <c r="S181" s="12"/>
      <c r="T181" s="12"/>
      <c r="U181" s="152"/>
      <c r="V181" s="152"/>
      <c r="W181" s="206"/>
      <c r="X181" s="152"/>
      <c r="Y181" s="206"/>
      <c r="Z181" s="152"/>
      <c r="AA181" s="206"/>
      <c r="AB181" s="156"/>
    </row>
    <row r="182" spans="1:28" x14ac:dyDescent="0.2">
      <c r="A182" s="193"/>
      <c r="B182" s="175" t="s">
        <v>69</v>
      </c>
      <c r="C182" s="10">
        <v>21231</v>
      </c>
      <c r="D182" s="10" t="s">
        <v>70</v>
      </c>
      <c r="E182" s="177" t="s">
        <v>1</v>
      </c>
      <c r="F182" s="13">
        <v>8030</v>
      </c>
      <c r="G182" s="21">
        <f>F182/$U177</f>
        <v>0.41954022988505746</v>
      </c>
      <c r="H182" s="13"/>
      <c r="I182" s="13"/>
      <c r="J182" s="13"/>
      <c r="K182" s="13">
        <v>7845</v>
      </c>
      <c r="L182" s="21">
        <f>K182/$U177</f>
        <v>0.40987460815047022</v>
      </c>
      <c r="M182" s="13"/>
      <c r="N182" s="13"/>
      <c r="O182" s="13"/>
      <c r="P182" s="13">
        <v>7757</v>
      </c>
      <c r="Q182" s="21">
        <f>P182/$U177</f>
        <v>0.40527690700104491</v>
      </c>
      <c r="R182" s="13"/>
      <c r="S182" s="13"/>
      <c r="T182" s="13"/>
      <c r="U182" s="185">
        <f>SUM(F182, K182, P182, F183, K183, P183)</f>
        <v>23632</v>
      </c>
      <c r="V182" s="185">
        <f>SUM(H182, M182, R182, H183, M183, R183)</f>
        <v>0</v>
      </c>
      <c r="W182" s="200">
        <f>IF($U182=0, ,V182/$U182)</f>
        <v>0</v>
      </c>
      <c r="X182" s="185">
        <f>SUM(I182, N182, S182, I183, N183, S183)</f>
        <v>0</v>
      </c>
      <c r="Y182" s="200">
        <f>IF($U182=0, ,X182/$U182)</f>
        <v>0</v>
      </c>
      <c r="Z182" s="185">
        <f>SUM(J182, O182, T182, J183, O183, T183)</f>
        <v>0</v>
      </c>
      <c r="AA182" s="200">
        <f>IF($U182=0, ,Z182/$U182)</f>
        <v>0</v>
      </c>
      <c r="AB182" s="202"/>
    </row>
    <row r="183" spans="1:28" x14ac:dyDescent="0.2">
      <c r="A183" s="193"/>
      <c r="B183" s="176"/>
      <c r="C183" s="10"/>
      <c r="D183" s="10"/>
      <c r="E183" s="178"/>
      <c r="F183" s="13"/>
      <c r="G183" s="21">
        <f>F183/$U177</f>
        <v>0</v>
      </c>
      <c r="H183" s="13"/>
      <c r="I183" s="13"/>
      <c r="J183" s="13"/>
      <c r="K183" s="13"/>
      <c r="L183" s="21">
        <f>K183/$U177</f>
        <v>0</v>
      </c>
      <c r="M183" s="13"/>
      <c r="N183" s="13"/>
      <c r="O183" s="13"/>
      <c r="P183" s="13"/>
      <c r="Q183" s="21">
        <f>P183/$U177</f>
        <v>0</v>
      </c>
      <c r="R183" s="13"/>
      <c r="S183" s="13"/>
      <c r="T183" s="13"/>
      <c r="U183" s="186"/>
      <c r="V183" s="186"/>
      <c r="W183" s="201"/>
      <c r="X183" s="186"/>
      <c r="Y183" s="201"/>
      <c r="Z183" s="186"/>
      <c r="AA183" s="201"/>
      <c r="AB183" s="203"/>
    </row>
    <row r="184" spans="1:28" x14ac:dyDescent="0.2">
      <c r="A184" s="193"/>
      <c r="B184" s="194" t="s">
        <v>68</v>
      </c>
      <c r="C184" s="9">
        <v>21231</v>
      </c>
      <c r="D184" s="9" t="s">
        <v>70</v>
      </c>
      <c r="E184" s="149" t="s">
        <v>1</v>
      </c>
      <c r="F184" s="14"/>
      <c r="G184" s="22">
        <f>F184/$U177</f>
        <v>0</v>
      </c>
      <c r="H184" s="14"/>
      <c r="I184" s="14"/>
      <c r="J184" s="14"/>
      <c r="K184" s="14"/>
      <c r="L184" s="22">
        <f>K184/$U177</f>
        <v>0</v>
      </c>
      <c r="M184" s="14"/>
      <c r="N184" s="14"/>
      <c r="O184" s="14"/>
      <c r="P184" s="14"/>
      <c r="Q184" s="22">
        <f>P184/$U177</f>
        <v>0</v>
      </c>
      <c r="R184" s="14"/>
      <c r="S184" s="14"/>
      <c r="T184" s="14"/>
      <c r="U184" s="151">
        <f>SUM(F184, K184, P184, F185, K185, P185)</f>
        <v>0</v>
      </c>
      <c r="V184" s="151">
        <f>SUM(H184, M184, R184, H185, M185, R185)</f>
        <v>0</v>
      </c>
      <c r="W184" s="205">
        <f>IF($U184=0, ,V184/$U184)</f>
        <v>0</v>
      </c>
      <c r="X184" s="151">
        <f>SUM(I184, N184, S184, I185, N185, S185)</f>
        <v>0</v>
      </c>
      <c r="Y184" s="205">
        <f>IF($U184=0, ,X184/$U184)</f>
        <v>0</v>
      </c>
      <c r="Z184" s="151">
        <f>SUM(J184, O184, T184, J185, O185, T185)</f>
        <v>0</v>
      </c>
      <c r="AA184" s="205">
        <f>IF($U184=0, ,Z184/$U184)</f>
        <v>0</v>
      </c>
      <c r="AB184" s="179"/>
    </row>
    <row r="185" spans="1:28" x14ac:dyDescent="0.2">
      <c r="A185" s="193"/>
      <c r="B185" s="204"/>
      <c r="C185" s="9"/>
      <c r="D185" s="9"/>
      <c r="E185" s="150"/>
      <c r="F185" s="14"/>
      <c r="G185" s="22">
        <f>F185/$U177</f>
        <v>0</v>
      </c>
      <c r="H185" s="14"/>
      <c r="I185" s="14"/>
      <c r="J185" s="14"/>
      <c r="K185" s="14"/>
      <c r="L185" s="22">
        <f>K185/$U177</f>
        <v>0</v>
      </c>
      <c r="M185" s="14"/>
      <c r="N185" s="14"/>
      <c r="O185" s="14"/>
      <c r="P185" s="14"/>
      <c r="Q185" s="22">
        <f>P185/$U177</f>
        <v>0</v>
      </c>
      <c r="R185" s="14"/>
      <c r="S185" s="14"/>
      <c r="T185" s="14"/>
      <c r="U185" s="152"/>
      <c r="V185" s="152"/>
      <c r="W185" s="206"/>
      <c r="X185" s="152"/>
      <c r="Y185" s="206"/>
      <c r="Z185" s="152"/>
      <c r="AA185" s="206"/>
      <c r="AB185" s="156"/>
    </row>
    <row r="186" spans="1:28" ht="13.5" thickBot="1" x14ac:dyDescent="0.25">
      <c r="A186" s="193"/>
      <c r="B186" s="42"/>
      <c r="C186" s="42"/>
      <c r="D186" s="42"/>
      <c r="E186" s="42"/>
      <c r="F186" s="43"/>
      <c r="G186" s="44"/>
      <c r="H186" s="43"/>
      <c r="I186" s="43"/>
      <c r="J186" s="43"/>
      <c r="K186" s="43"/>
      <c r="L186" s="44"/>
      <c r="M186" s="43"/>
      <c r="N186" s="43"/>
      <c r="O186" s="43"/>
      <c r="P186" s="43"/>
      <c r="Q186" s="44"/>
      <c r="R186" s="43"/>
      <c r="S186" s="43"/>
      <c r="T186" s="46" t="s">
        <v>26</v>
      </c>
      <c r="U186" s="47">
        <f>SUM(U180:U185)</f>
        <v>46391</v>
      </c>
      <c r="V186" s="47">
        <f>SUM(V180:V185)</f>
        <v>0</v>
      </c>
      <c r="W186" s="48">
        <f>IF($U186=0, ,V186/$U186)</f>
        <v>0</v>
      </c>
      <c r="X186" s="47">
        <f>SUM(X180:X185)</f>
        <v>0</v>
      </c>
      <c r="Y186" s="48">
        <f>IF($U186=0, ,X186/$U186)</f>
        <v>0</v>
      </c>
      <c r="Z186" s="47">
        <f>SUM(Z180:Z185)</f>
        <v>0</v>
      </c>
      <c r="AA186" s="48">
        <f>IF($U186=0, ,Z186/$U186)</f>
        <v>0</v>
      </c>
      <c r="AB186" s="45"/>
    </row>
    <row r="187" spans="1:28" ht="13.5" thickTop="1" x14ac:dyDescent="0.2">
      <c r="A187" s="193"/>
      <c r="B187" s="42"/>
      <c r="C187" s="42"/>
      <c r="D187" s="42"/>
      <c r="E187" s="42"/>
      <c r="F187" s="68"/>
      <c r="G187" s="68"/>
      <c r="H187" s="68"/>
      <c r="I187" s="68"/>
      <c r="J187" s="68"/>
      <c r="K187" s="68"/>
      <c r="L187" s="68"/>
      <c r="M187" s="68"/>
      <c r="N187" s="68"/>
      <c r="O187" s="69"/>
      <c r="P187" s="69"/>
      <c r="Q187" s="70"/>
      <c r="R187" s="69"/>
      <c r="S187" s="70"/>
      <c r="T187" s="71"/>
      <c r="U187" s="71"/>
      <c r="V187" s="71"/>
      <c r="W187" s="71"/>
      <c r="X187" s="71"/>
      <c r="Y187" s="71"/>
      <c r="Z187" s="71"/>
      <c r="AA187" s="71"/>
      <c r="AB187" s="72"/>
    </row>
    <row r="188" spans="1:28" x14ac:dyDescent="0.2">
      <c r="A188" s="193"/>
      <c r="B188" s="207" t="s">
        <v>32</v>
      </c>
      <c r="C188" s="207"/>
      <c r="D188" s="208"/>
      <c r="E188" s="77" t="s">
        <v>33</v>
      </c>
      <c r="F188" s="159" t="s">
        <v>29</v>
      </c>
      <c r="G188" s="159"/>
      <c r="H188" s="159"/>
      <c r="I188" s="159" t="s">
        <v>41</v>
      </c>
      <c r="J188" s="159"/>
      <c r="K188" s="159"/>
      <c r="L188" s="159" t="s">
        <v>30</v>
      </c>
      <c r="M188" s="159"/>
      <c r="N188" s="159"/>
      <c r="O188" s="159" t="s">
        <v>31</v>
      </c>
      <c r="P188" s="159"/>
      <c r="Q188" s="159"/>
      <c r="R188" s="159" t="s">
        <v>38</v>
      </c>
      <c r="S188" s="159"/>
      <c r="T188" s="159"/>
      <c r="U188" s="159" t="s">
        <v>60</v>
      </c>
      <c r="V188" s="159"/>
      <c r="W188" s="159"/>
      <c r="X188" s="159" t="s">
        <v>40</v>
      </c>
      <c r="Y188" s="159"/>
      <c r="Z188" s="159"/>
      <c r="AA188" s="215"/>
      <c r="AB188" s="216"/>
    </row>
    <row r="189" spans="1:28" x14ac:dyDescent="0.2">
      <c r="A189" s="193"/>
      <c r="B189" s="209"/>
      <c r="C189" s="209"/>
      <c r="D189" s="210"/>
      <c r="E189" s="82" t="s">
        <v>34</v>
      </c>
      <c r="F189" s="78" t="s">
        <v>35</v>
      </c>
      <c r="G189" s="78" t="s">
        <v>36</v>
      </c>
      <c r="H189" s="79" t="s">
        <v>37</v>
      </c>
      <c r="I189" s="78" t="s">
        <v>35</v>
      </c>
      <c r="J189" s="78" t="s">
        <v>36</v>
      </c>
      <c r="K189" s="79" t="s">
        <v>37</v>
      </c>
      <c r="L189" s="78" t="s">
        <v>35</v>
      </c>
      <c r="M189" s="78" t="s">
        <v>36</v>
      </c>
      <c r="N189" s="79" t="s">
        <v>37</v>
      </c>
      <c r="O189" s="78" t="s">
        <v>35</v>
      </c>
      <c r="P189" s="78" t="s">
        <v>36</v>
      </c>
      <c r="Q189" s="79" t="s">
        <v>37</v>
      </c>
      <c r="R189" s="78" t="s">
        <v>35</v>
      </c>
      <c r="S189" s="78" t="s">
        <v>36</v>
      </c>
      <c r="T189" s="79" t="s">
        <v>37</v>
      </c>
      <c r="U189" s="78" t="s">
        <v>35</v>
      </c>
      <c r="V189" s="78" t="s">
        <v>36</v>
      </c>
      <c r="W189" s="79" t="s">
        <v>37</v>
      </c>
      <c r="X189" s="78" t="s">
        <v>35</v>
      </c>
      <c r="Y189" s="78" t="s">
        <v>36</v>
      </c>
      <c r="Z189" s="79" t="s">
        <v>37</v>
      </c>
      <c r="AA189" s="216"/>
      <c r="AB189" s="216"/>
    </row>
    <row r="190" spans="1:28" x14ac:dyDescent="0.2">
      <c r="A190" s="193"/>
      <c r="B190" s="80" t="str">
        <f xml:space="preserve"> IF(ISBLANK(B180), "-",B180)</f>
        <v>HTL-01</v>
      </c>
      <c r="C190" s="80">
        <f xml:space="preserve"> IF(ISBLANK(C180), "-",C180)</f>
        <v>21234</v>
      </c>
      <c r="D190" s="80" t="str">
        <f xml:space="preserve"> IF(ISBLANK(D180), "-",D180)</f>
        <v>14ml    L’Oreal</v>
      </c>
      <c r="E190" s="170"/>
      <c r="F190" s="81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5">
        <v>46</v>
      </c>
      <c r="M190" s="75">
        <v>109</v>
      </c>
      <c r="N190" s="75">
        <v>50</v>
      </c>
      <c r="O190" s="75">
        <v>0</v>
      </c>
      <c r="P190" s="75">
        <v>0</v>
      </c>
      <c r="Q190" s="74">
        <v>0</v>
      </c>
      <c r="R190" s="75">
        <v>0</v>
      </c>
      <c r="S190" s="75">
        <v>0</v>
      </c>
      <c r="T190" s="75">
        <v>0</v>
      </c>
      <c r="U190" s="75">
        <v>6</v>
      </c>
      <c r="V190" s="75">
        <v>30</v>
      </c>
      <c r="W190" s="74">
        <v>39</v>
      </c>
      <c r="X190" s="74">
        <v>0</v>
      </c>
      <c r="Y190" s="74">
        <v>0</v>
      </c>
      <c r="Z190" s="76">
        <v>11</v>
      </c>
      <c r="AA190" s="216"/>
      <c r="AB190" s="216"/>
    </row>
    <row r="191" spans="1:28" x14ac:dyDescent="0.2">
      <c r="A191" s="193"/>
      <c r="B191" s="80" t="str">
        <f xml:space="preserve"> IF(ISBLANK(B182), "-",B182)</f>
        <v>HTL-02</v>
      </c>
      <c r="C191" s="80">
        <f xml:space="preserve"> IF(ISBLANK(C182), "-",C182)</f>
        <v>21231</v>
      </c>
      <c r="D191" s="80" t="str">
        <f xml:space="preserve"> IF(ISBLANK(D182), "-",D182)</f>
        <v>7ml   L’Oreal</v>
      </c>
      <c r="E191" s="171"/>
      <c r="F191" s="81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5">
        <v>18</v>
      </c>
      <c r="M191" s="75">
        <v>0</v>
      </c>
      <c r="N191" s="75">
        <v>57</v>
      </c>
      <c r="O191" s="75">
        <v>0</v>
      </c>
      <c r="P191" s="75">
        <v>0</v>
      </c>
      <c r="Q191" s="74">
        <v>0</v>
      </c>
      <c r="R191" s="75">
        <v>0</v>
      </c>
      <c r="S191" s="75">
        <v>0</v>
      </c>
      <c r="T191" s="75">
        <v>0</v>
      </c>
      <c r="U191" s="75">
        <v>1</v>
      </c>
      <c r="V191" s="75">
        <v>3</v>
      </c>
      <c r="W191" s="74">
        <v>15</v>
      </c>
      <c r="X191" s="74">
        <v>0</v>
      </c>
      <c r="Y191" s="74">
        <v>5</v>
      </c>
      <c r="Z191" s="97">
        <v>0</v>
      </c>
      <c r="AA191" s="216"/>
      <c r="AB191" s="216"/>
    </row>
    <row r="192" spans="1:28" x14ac:dyDescent="0.2">
      <c r="A192" s="193"/>
      <c r="B192" s="80" t="str">
        <f xml:space="preserve"> IF(ISBLANK(B184), "-",B184)</f>
        <v>HTL-03</v>
      </c>
      <c r="C192" s="80">
        <f xml:space="preserve"> IF(ISBLANK(C184), "-",C184)</f>
        <v>21231</v>
      </c>
      <c r="D192" s="80" t="str">
        <f xml:space="preserve"> IF(ISBLANK(D184), "-",D184)</f>
        <v>7ml   L’Oreal</v>
      </c>
      <c r="E192" s="172"/>
      <c r="F192" s="81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5">
        <v>0</v>
      </c>
      <c r="M192" s="75">
        <v>0</v>
      </c>
      <c r="N192" s="75">
        <v>0</v>
      </c>
      <c r="O192" s="75">
        <v>0</v>
      </c>
      <c r="P192" s="75">
        <v>0</v>
      </c>
      <c r="Q192" s="74">
        <v>0</v>
      </c>
      <c r="R192" s="75">
        <v>0</v>
      </c>
      <c r="S192" s="75">
        <v>0</v>
      </c>
      <c r="T192" s="75">
        <v>0</v>
      </c>
      <c r="U192" s="75">
        <v>0</v>
      </c>
      <c r="V192" s="75">
        <v>0</v>
      </c>
      <c r="W192" s="74">
        <v>0</v>
      </c>
      <c r="X192" s="74">
        <v>0</v>
      </c>
      <c r="Y192" s="74">
        <v>0</v>
      </c>
      <c r="Z192" s="76">
        <v>0</v>
      </c>
      <c r="AA192" s="216"/>
      <c r="AB192" s="216"/>
    </row>
    <row r="194" spans="1:28" x14ac:dyDescent="0.2">
      <c r="A194" s="193">
        <v>44724</v>
      </c>
      <c r="B194" s="16"/>
      <c r="C194" s="16" t="s">
        <v>20</v>
      </c>
      <c r="D194" s="17">
        <v>1</v>
      </c>
      <c r="E194" s="18"/>
      <c r="F194" s="18" t="s">
        <v>19</v>
      </c>
      <c r="G194" s="17">
        <v>0</v>
      </c>
      <c r="H194" s="17"/>
      <c r="I194" s="18"/>
      <c r="J194" s="18"/>
      <c r="K194" s="25"/>
      <c r="L194" s="25"/>
      <c r="M194" s="17"/>
      <c r="N194" s="18"/>
      <c r="O194" s="18"/>
      <c r="P194" s="25"/>
      <c r="Q194" s="25"/>
      <c r="R194" s="17"/>
      <c r="S194" s="18"/>
      <c r="T194" s="18"/>
      <c r="U194" s="31">
        <v>19140</v>
      </c>
      <c r="V194" s="32" t="s">
        <v>48</v>
      </c>
      <c r="W194" s="32"/>
      <c r="X194" s="33"/>
      <c r="Y194" s="24"/>
      <c r="Z194" s="24"/>
      <c r="AA194" s="24"/>
      <c r="AB194" s="26"/>
    </row>
    <row r="195" spans="1:28" x14ac:dyDescent="0.2">
      <c r="A195" s="193"/>
      <c r="B195" s="157" t="s">
        <v>3</v>
      </c>
      <c r="C195" s="158" t="s">
        <v>10</v>
      </c>
      <c r="D195" s="158" t="s">
        <v>12</v>
      </c>
      <c r="E195" s="180" t="s">
        <v>5</v>
      </c>
      <c r="F195" s="211" t="s">
        <v>6</v>
      </c>
      <c r="G195" s="212"/>
      <c r="H195" s="212"/>
      <c r="I195" s="212"/>
      <c r="J195" s="213"/>
      <c r="K195" s="211" t="s">
        <v>7</v>
      </c>
      <c r="L195" s="212"/>
      <c r="M195" s="212"/>
      <c r="N195" s="212"/>
      <c r="O195" s="213"/>
      <c r="P195" s="211" t="s">
        <v>8</v>
      </c>
      <c r="Q195" s="212"/>
      <c r="R195" s="212"/>
      <c r="S195" s="212"/>
      <c r="T195" s="213"/>
      <c r="U195" s="214" t="s">
        <v>15</v>
      </c>
      <c r="V195" s="214" t="s">
        <v>52</v>
      </c>
      <c r="W195" s="214" t="s">
        <v>53</v>
      </c>
      <c r="X195" s="214" t="s">
        <v>54</v>
      </c>
      <c r="Y195" s="214" t="s">
        <v>55</v>
      </c>
      <c r="Z195" s="214" t="s">
        <v>56</v>
      </c>
      <c r="AA195" s="214" t="s">
        <v>57</v>
      </c>
      <c r="AB195" s="214" t="s">
        <v>17</v>
      </c>
    </row>
    <row r="196" spans="1:28" ht="38.25" x14ac:dyDescent="0.2">
      <c r="A196" s="193"/>
      <c r="B196" s="157"/>
      <c r="C196" s="158"/>
      <c r="D196" s="158"/>
      <c r="E196" s="180"/>
      <c r="F196" s="15" t="s">
        <v>23</v>
      </c>
      <c r="G196" s="15" t="s">
        <v>47</v>
      </c>
      <c r="H196" s="15" t="s">
        <v>50</v>
      </c>
      <c r="I196" s="15" t="s">
        <v>49</v>
      </c>
      <c r="J196" s="15" t="s">
        <v>51</v>
      </c>
      <c r="K196" s="15" t="s">
        <v>23</v>
      </c>
      <c r="L196" s="15" t="s">
        <v>13</v>
      </c>
      <c r="M196" s="15" t="s">
        <v>50</v>
      </c>
      <c r="N196" s="15" t="s">
        <v>49</v>
      </c>
      <c r="O196" s="15" t="s">
        <v>51</v>
      </c>
      <c r="P196" s="15" t="s">
        <v>23</v>
      </c>
      <c r="Q196" s="15" t="s">
        <v>13</v>
      </c>
      <c r="R196" s="15" t="s">
        <v>50</v>
      </c>
      <c r="S196" s="15" t="s">
        <v>49</v>
      </c>
      <c r="T196" s="15" t="s">
        <v>51</v>
      </c>
      <c r="U196" s="214"/>
      <c r="V196" s="214"/>
      <c r="W196" s="214"/>
      <c r="X196" s="214"/>
      <c r="Y196" s="214"/>
      <c r="Z196" s="214"/>
      <c r="AA196" s="214"/>
      <c r="AB196" s="214"/>
    </row>
    <row r="197" spans="1:28" x14ac:dyDescent="0.2">
      <c r="A197" s="193"/>
      <c r="B197" s="194" t="s">
        <v>64</v>
      </c>
      <c r="C197" s="11">
        <v>21234</v>
      </c>
      <c r="D197" s="11" t="s">
        <v>71</v>
      </c>
      <c r="E197" s="196" t="s">
        <v>1</v>
      </c>
      <c r="F197" s="12">
        <v>7993</v>
      </c>
      <c r="G197" s="20">
        <f>F197/$U194</f>
        <v>0.41760710553814001</v>
      </c>
      <c r="H197" s="12"/>
      <c r="I197" s="12"/>
      <c r="J197" s="12"/>
      <c r="K197" s="12">
        <v>1775</v>
      </c>
      <c r="L197" s="20">
        <f>K197/$U194</f>
        <v>9.2737722048066878E-2</v>
      </c>
      <c r="M197" s="12"/>
      <c r="N197" s="12"/>
      <c r="O197" s="12"/>
      <c r="P197" s="12"/>
      <c r="Q197" s="20">
        <f>P197/$U194</f>
        <v>0</v>
      </c>
      <c r="R197" s="12"/>
      <c r="S197" s="12"/>
      <c r="T197" s="12"/>
      <c r="U197" s="151">
        <f>SUM(F197, K197, P197, F198, K198, P198)</f>
        <v>9768</v>
      </c>
      <c r="V197" s="151">
        <f>SUM(H197, M197, R197, H198, M198, R198)</f>
        <v>0</v>
      </c>
      <c r="W197" s="205">
        <f>IF($U197=0, ,V197/$U197)</f>
        <v>0</v>
      </c>
      <c r="X197" s="151">
        <f>SUM(I197, N197, S197, I198, N198, S198)</f>
        <v>0</v>
      </c>
      <c r="Y197" s="205">
        <f>IF($U197=0, ,X197/$U197)</f>
        <v>0</v>
      </c>
      <c r="Z197" s="151">
        <f>SUM(J197, O197, T197, J198, O198, T198)</f>
        <v>0</v>
      </c>
      <c r="AA197" s="205">
        <f>IF($U197=0, ,Z197/$U197)</f>
        <v>0</v>
      </c>
      <c r="AB197" s="179" t="s">
        <v>106</v>
      </c>
    </row>
    <row r="198" spans="1:28" x14ac:dyDescent="0.2">
      <c r="A198" s="193"/>
      <c r="B198" s="204"/>
      <c r="C198" s="11"/>
      <c r="D198" s="11"/>
      <c r="E198" s="198"/>
      <c r="F198" s="12"/>
      <c r="G198" s="20">
        <f>F198/$U194</f>
        <v>0</v>
      </c>
      <c r="H198" s="12"/>
      <c r="I198" s="12"/>
      <c r="J198" s="12"/>
      <c r="K198" s="12"/>
      <c r="L198" s="20">
        <f>K198/$U194</f>
        <v>0</v>
      </c>
      <c r="M198" s="12"/>
      <c r="N198" s="12"/>
      <c r="O198" s="12"/>
      <c r="P198" s="12"/>
      <c r="Q198" s="20">
        <f>P198/$U194</f>
        <v>0</v>
      </c>
      <c r="R198" s="12"/>
      <c r="S198" s="12"/>
      <c r="T198" s="12"/>
      <c r="U198" s="152"/>
      <c r="V198" s="152"/>
      <c r="W198" s="206"/>
      <c r="X198" s="152"/>
      <c r="Y198" s="206"/>
      <c r="Z198" s="152"/>
      <c r="AA198" s="206"/>
      <c r="AB198" s="156"/>
    </row>
    <row r="199" spans="1:28" x14ac:dyDescent="0.2">
      <c r="A199" s="193"/>
      <c r="B199" s="175" t="s">
        <v>69</v>
      </c>
      <c r="C199" s="10">
        <v>21231</v>
      </c>
      <c r="D199" s="10" t="s">
        <v>70</v>
      </c>
      <c r="E199" s="177" t="s">
        <v>1</v>
      </c>
      <c r="F199" s="13">
        <v>8130</v>
      </c>
      <c r="G199" s="21">
        <f>F199/$U194</f>
        <v>0.42476489028213166</v>
      </c>
      <c r="H199" s="13"/>
      <c r="I199" s="13"/>
      <c r="J199" s="13"/>
      <c r="K199" s="13">
        <v>7081</v>
      </c>
      <c r="L199" s="21">
        <f>K199/$U194</f>
        <v>0.36995820271682339</v>
      </c>
      <c r="M199" s="13"/>
      <c r="N199" s="13"/>
      <c r="O199" s="13"/>
      <c r="P199" s="13">
        <v>5270</v>
      </c>
      <c r="Q199" s="21">
        <f>P199/$U194</f>
        <v>0.27533960292580983</v>
      </c>
      <c r="R199" s="13"/>
      <c r="S199" s="13"/>
      <c r="T199" s="13"/>
      <c r="U199" s="185">
        <f>SUM(F199, K199, P199, F200, K200, P200)</f>
        <v>20481</v>
      </c>
      <c r="V199" s="185">
        <f>SUM(H199, M199, R199, H200, M200, R200)</f>
        <v>0</v>
      </c>
      <c r="W199" s="200">
        <f>IF($U199=0, ,V199/$U199)</f>
        <v>0</v>
      </c>
      <c r="X199" s="185">
        <f>SUM(I199, N199, S199, I200, N200, S200)</f>
        <v>0</v>
      </c>
      <c r="Y199" s="200">
        <f>IF($U199=0, ,X199/$U199)</f>
        <v>0</v>
      </c>
      <c r="Z199" s="185">
        <f>SUM(J199, O199, T199, J200, O200, T200)</f>
        <v>0</v>
      </c>
      <c r="AA199" s="200">
        <f>IF($U199=0, ,Z199/$U199)</f>
        <v>0</v>
      </c>
      <c r="AB199" s="202" t="s">
        <v>97</v>
      </c>
    </row>
    <row r="200" spans="1:28" x14ac:dyDescent="0.2">
      <c r="A200" s="193"/>
      <c r="B200" s="176"/>
      <c r="C200" s="10"/>
      <c r="D200" s="10"/>
      <c r="E200" s="178"/>
      <c r="F200" s="13"/>
      <c r="G200" s="21">
        <f>F200/$U194</f>
        <v>0</v>
      </c>
      <c r="H200" s="13"/>
      <c r="I200" s="13"/>
      <c r="J200" s="13"/>
      <c r="K200" s="13"/>
      <c r="L200" s="21">
        <f>K200/$U194</f>
        <v>0</v>
      </c>
      <c r="M200" s="13"/>
      <c r="N200" s="13"/>
      <c r="O200" s="13"/>
      <c r="P200" s="13"/>
      <c r="Q200" s="21">
        <f>P200/$U194</f>
        <v>0</v>
      </c>
      <c r="R200" s="13"/>
      <c r="S200" s="13"/>
      <c r="T200" s="13"/>
      <c r="U200" s="186"/>
      <c r="V200" s="186"/>
      <c r="W200" s="201"/>
      <c r="X200" s="186"/>
      <c r="Y200" s="201"/>
      <c r="Z200" s="186"/>
      <c r="AA200" s="201"/>
      <c r="AB200" s="203"/>
    </row>
    <row r="201" spans="1:28" x14ac:dyDescent="0.2">
      <c r="A201" s="193"/>
      <c r="B201" s="194" t="s">
        <v>68</v>
      </c>
      <c r="C201" s="9">
        <v>21231</v>
      </c>
      <c r="D201" s="9" t="s">
        <v>70</v>
      </c>
      <c r="E201" s="149" t="s">
        <v>1</v>
      </c>
      <c r="F201" s="14"/>
      <c r="G201" s="22">
        <f>F201/$U194</f>
        <v>0</v>
      </c>
      <c r="H201" s="14"/>
      <c r="I201" s="14"/>
      <c r="J201" s="14"/>
      <c r="K201" s="14"/>
      <c r="L201" s="22">
        <f>K201/$U194</f>
        <v>0</v>
      </c>
      <c r="M201" s="14"/>
      <c r="N201" s="14"/>
      <c r="O201" s="14"/>
      <c r="P201" s="14"/>
      <c r="Q201" s="22">
        <f>P201/$U194</f>
        <v>0</v>
      </c>
      <c r="R201" s="14"/>
      <c r="S201" s="14"/>
      <c r="T201" s="14"/>
      <c r="U201" s="151">
        <f>SUM(F201, K201, P201, F202, K202, P202)</f>
        <v>0</v>
      </c>
      <c r="V201" s="151">
        <f>SUM(H201, M201, R201, H202, M202, R202)</f>
        <v>0</v>
      </c>
      <c r="W201" s="205">
        <f>IF($U201=0, ,V201/$U201)</f>
        <v>0</v>
      </c>
      <c r="X201" s="151">
        <f>SUM(I201, N201, S201, I202, N202, S202)</f>
        <v>0</v>
      </c>
      <c r="Y201" s="205">
        <f>IF($U201=0, ,X201/$U201)</f>
        <v>0</v>
      </c>
      <c r="Z201" s="151">
        <f>SUM(J201, O201, T201, J202, O202, T202)</f>
        <v>0</v>
      </c>
      <c r="AA201" s="205">
        <f>IF($U201=0, ,Z201/$U201)</f>
        <v>0</v>
      </c>
      <c r="AB201" s="179"/>
    </row>
    <row r="202" spans="1:28" x14ac:dyDescent="0.2">
      <c r="A202" s="193"/>
      <c r="B202" s="204"/>
      <c r="C202" s="9"/>
      <c r="D202" s="9"/>
      <c r="E202" s="150"/>
      <c r="F202" s="14"/>
      <c r="G202" s="22">
        <f>F202/$U194</f>
        <v>0</v>
      </c>
      <c r="H202" s="14"/>
      <c r="I202" s="14"/>
      <c r="J202" s="14"/>
      <c r="K202" s="14"/>
      <c r="L202" s="22">
        <f>K202/$U194</f>
        <v>0</v>
      </c>
      <c r="M202" s="14"/>
      <c r="N202" s="14"/>
      <c r="O202" s="14"/>
      <c r="P202" s="14"/>
      <c r="Q202" s="22">
        <f>P202/$U194</f>
        <v>0</v>
      </c>
      <c r="R202" s="14"/>
      <c r="S202" s="14"/>
      <c r="T202" s="14"/>
      <c r="U202" s="152"/>
      <c r="V202" s="152"/>
      <c r="W202" s="206"/>
      <c r="X202" s="152"/>
      <c r="Y202" s="206"/>
      <c r="Z202" s="152"/>
      <c r="AA202" s="206"/>
      <c r="AB202" s="156"/>
    </row>
    <row r="203" spans="1:28" ht="13.5" thickBot="1" x14ac:dyDescent="0.25">
      <c r="A203" s="193"/>
      <c r="B203" s="42"/>
      <c r="C203" s="42"/>
      <c r="D203" s="42"/>
      <c r="E203" s="42"/>
      <c r="F203" s="43"/>
      <c r="G203" s="44"/>
      <c r="H203" s="43"/>
      <c r="I203" s="43"/>
      <c r="J203" s="43"/>
      <c r="K203" s="43"/>
      <c r="L203" s="44"/>
      <c r="M203" s="43"/>
      <c r="N203" s="43"/>
      <c r="O203" s="43"/>
      <c r="P203" s="43"/>
      <c r="Q203" s="44"/>
      <c r="R203" s="43"/>
      <c r="S203" s="43"/>
      <c r="T203" s="46" t="s">
        <v>26</v>
      </c>
      <c r="U203" s="47">
        <f>SUM(U197:U202)</f>
        <v>30249</v>
      </c>
      <c r="V203" s="47">
        <f>SUM(V197:V202)</f>
        <v>0</v>
      </c>
      <c r="W203" s="48">
        <f>IF($U203=0, ,V203/$U203)</f>
        <v>0</v>
      </c>
      <c r="X203" s="47">
        <f>SUM(X197:X202)</f>
        <v>0</v>
      </c>
      <c r="Y203" s="48">
        <f>IF($U203=0, ,X203/$U203)</f>
        <v>0</v>
      </c>
      <c r="Z203" s="47">
        <f>SUM(Z197:Z202)</f>
        <v>0</v>
      </c>
      <c r="AA203" s="48">
        <f>IF($U203=0, ,Z203/$U203)</f>
        <v>0</v>
      </c>
      <c r="AB203" s="45"/>
    </row>
    <row r="204" spans="1:28" ht="13.5" thickTop="1" x14ac:dyDescent="0.2">
      <c r="A204" s="193"/>
      <c r="B204" s="42"/>
      <c r="C204" s="42"/>
      <c r="D204" s="42"/>
      <c r="E204" s="42"/>
      <c r="F204" s="68"/>
      <c r="G204" s="68"/>
      <c r="H204" s="68"/>
      <c r="I204" s="68"/>
      <c r="J204" s="68"/>
      <c r="K204" s="68"/>
      <c r="L204" s="68"/>
      <c r="M204" s="68"/>
      <c r="N204" s="68"/>
      <c r="O204" s="69"/>
      <c r="P204" s="69"/>
      <c r="Q204" s="70"/>
      <c r="R204" s="69"/>
      <c r="S204" s="70"/>
      <c r="T204" s="71"/>
      <c r="U204" s="71"/>
      <c r="V204" s="71"/>
      <c r="W204" s="71"/>
      <c r="X204" s="71"/>
      <c r="Y204" s="71"/>
      <c r="Z204" s="71"/>
      <c r="AA204" s="71"/>
      <c r="AB204" s="72"/>
    </row>
    <row r="205" spans="1:28" x14ac:dyDescent="0.2">
      <c r="A205" s="193"/>
      <c r="B205" s="207" t="s">
        <v>32</v>
      </c>
      <c r="C205" s="207"/>
      <c r="D205" s="208"/>
      <c r="E205" s="77" t="s">
        <v>33</v>
      </c>
      <c r="F205" s="159" t="s">
        <v>29</v>
      </c>
      <c r="G205" s="159"/>
      <c r="H205" s="159"/>
      <c r="I205" s="159" t="s">
        <v>41</v>
      </c>
      <c r="J205" s="159"/>
      <c r="K205" s="159"/>
      <c r="L205" s="159" t="s">
        <v>30</v>
      </c>
      <c r="M205" s="159"/>
      <c r="N205" s="159"/>
      <c r="O205" s="159" t="s">
        <v>31</v>
      </c>
      <c r="P205" s="159"/>
      <c r="Q205" s="159"/>
      <c r="R205" s="159" t="s">
        <v>38</v>
      </c>
      <c r="S205" s="159"/>
      <c r="T205" s="159"/>
      <c r="U205" s="159" t="s">
        <v>60</v>
      </c>
      <c r="V205" s="159"/>
      <c r="W205" s="159"/>
      <c r="X205" s="159" t="s">
        <v>40</v>
      </c>
      <c r="Y205" s="159"/>
      <c r="Z205" s="159"/>
      <c r="AA205" s="215"/>
      <c r="AB205" s="216"/>
    </row>
    <row r="206" spans="1:28" x14ac:dyDescent="0.2">
      <c r="A206" s="193"/>
      <c r="B206" s="209"/>
      <c r="C206" s="209"/>
      <c r="D206" s="210"/>
      <c r="E206" s="82" t="s">
        <v>34</v>
      </c>
      <c r="F206" s="78" t="s">
        <v>35</v>
      </c>
      <c r="G206" s="78" t="s">
        <v>36</v>
      </c>
      <c r="H206" s="79" t="s">
        <v>37</v>
      </c>
      <c r="I206" s="78" t="s">
        <v>35</v>
      </c>
      <c r="J206" s="78" t="s">
        <v>36</v>
      </c>
      <c r="K206" s="79" t="s">
        <v>37</v>
      </c>
      <c r="L206" s="78" t="s">
        <v>35</v>
      </c>
      <c r="M206" s="78" t="s">
        <v>36</v>
      </c>
      <c r="N206" s="79" t="s">
        <v>37</v>
      </c>
      <c r="O206" s="78" t="s">
        <v>35</v>
      </c>
      <c r="P206" s="78" t="s">
        <v>36</v>
      </c>
      <c r="Q206" s="79" t="s">
        <v>37</v>
      </c>
      <c r="R206" s="78" t="s">
        <v>35</v>
      </c>
      <c r="S206" s="78" t="s">
        <v>36</v>
      </c>
      <c r="T206" s="79" t="s">
        <v>37</v>
      </c>
      <c r="U206" s="78" t="s">
        <v>35</v>
      </c>
      <c r="V206" s="78" t="s">
        <v>36</v>
      </c>
      <c r="W206" s="79" t="s">
        <v>37</v>
      </c>
      <c r="X206" s="78" t="s">
        <v>35</v>
      </c>
      <c r="Y206" s="78" t="s">
        <v>36</v>
      </c>
      <c r="Z206" s="79" t="s">
        <v>37</v>
      </c>
      <c r="AA206" s="216"/>
      <c r="AB206" s="216"/>
    </row>
    <row r="207" spans="1:28" x14ac:dyDescent="0.2">
      <c r="A207" s="193"/>
      <c r="B207" s="80" t="str">
        <f xml:space="preserve"> IF(ISBLANK(B197), "-",B197)</f>
        <v>HTL-01</v>
      </c>
      <c r="C207" s="80">
        <f xml:space="preserve"> IF(ISBLANK(C197), "-",C197)</f>
        <v>21234</v>
      </c>
      <c r="D207" s="80" t="str">
        <f xml:space="preserve"> IF(ISBLANK(D197), "-",D197)</f>
        <v>14ml    L’Oreal</v>
      </c>
      <c r="E207" s="170"/>
      <c r="F207" s="81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5">
        <v>56</v>
      </c>
      <c r="M207" s="75">
        <v>30</v>
      </c>
      <c r="N207" s="75">
        <v>0</v>
      </c>
      <c r="O207" s="75">
        <v>0</v>
      </c>
      <c r="P207" s="75">
        <v>0</v>
      </c>
      <c r="Q207" s="74">
        <v>0</v>
      </c>
      <c r="R207" s="75">
        <v>0</v>
      </c>
      <c r="S207" s="75">
        <v>0</v>
      </c>
      <c r="T207" s="75">
        <v>0</v>
      </c>
      <c r="U207" s="75">
        <v>1</v>
      </c>
      <c r="V207" s="75">
        <v>18</v>
      </c>
      <c r="W207" s="74">
        <v>0</v>
      </c>
      <c r="X207" s="74">
        <v>0</v>
      </c>
      <c r="Y207" s="74">
        <v>0</v>
      </c>
      <c r="Z207" s="76">
        <v>0</v>
      </c>
      <c r="AA207" s="216"/>
      <c r="AB207" s="216"/>
    </row>
    <row r="208" spans="1:28" x14ac:dyDescent="0.2">
      <c r="A208" s="193"/>
      <c r="B208" s="80" t="str">
        <f xml:space="preserve"> IF(ISBLANK(B199), "-",B199)</f>
        <v>HTL-02</v>
      </c>
      <c r="C208" s="80">
        <f xml:space="preserve"> IF(ISBLANK(C199), "-",C199)</f>
        <v>21231</v>
      </c>
      <c r="D208" s="80" t="str">
        <f xml:space="preserve"> IF(ISBLANK(D199), "-",D199)</f>
        <v>7ml   L’Oreal</v>
      </c>
      <c r="E208" s="171"/>
      <c r="F208" s="81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5">
        <v>22</v>
      </c>
      <c r="M208" s="75">
        <v>0</v>
      </c>
      <c r="N208" s="75">
        <v>25</v>
      </c>
      <c r="O208" s="75">
        <v>0</v>
      </c>
      <c r="P208" s="75">
        <v>0</v>
      </c>
      <c r="Q208" s="74">
        <v>0</v>
      </c>
      <c r="R208" s="75">
        <v>0</v>
      </c>
      <c r="S208" s="75">
        <v>0</v>
      </c>
      <c r="T208" s="75">
        <v>0</v>
      </c>
      <c r="U208" s="75">
        <v>5</v>
      </c>
      <c r="V208" s="75">
        <v>0</v>
      </c>
      <c r="W208" s="74">
        <v>20</v>
      </c>
      <c r="X208" s="74">
        <v>14</v>
      </c>
      <c r="Y208" s="74">
        <v>4</v>
      </c>
      <c r="Z208" s="97">
        <v>0</v>
      </c>
      <c r="AA208" s="216"/>
      <c r="AB208" s="216"/>
    </row>
    <row r="209" spans="1:28" x14ac:dyDescent="0.2">
      <c r="A209" s="193"/>
      <c r="B209" s="80" t="str">
        <f xml:space="preserve"> IF(ISBLANK(B201), "-",B201)</f>
        <v>HTL-03</v>
      </c>
      <c r="C209" s="80">
        <f xml:space="preserve"> IF(ISBLANK(C201), "-",C201)</f>
        <v>21231</v>
      </c>
      <c r="D209" s="80" t="str">
        <f xml:space="preserve"> IF(ISBLANK(D201), "-",D201)</f>
        <v>7ml   L’Oreal</v>
      </c>
      <c r="E209" s="172"/>
      <c r="F209" s="81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5">
        <v>0</v>
      </c>
      <c r="M209" s="75">
        <v>0</v>
      </c>
      <c r="N209" s="75">
        <v>0</v>
      </c>
      <c r="O209" s="75">
        <v>0</v>
      </c>
      <c r="P209" s="75">
        <v>0</v>
      </c>
      <c r="Q209" s="74">
        <v>0</v>
      </c>
      <c r="R209" s="75">
        <v>0</v>
      </c>
      <c r="S209" s="75">
        <v>0</v>
      </c>
      <c r="T209" s="75">
        <v>0</v>
      </c>
      <c r="U209" s="75">
        <v>0</v>
      </c>
      <c r="V209" s="75">
        <v>0</v>
      </c>
      <c r="W209" s="74">
        <v>0</v>
      </c>
      <c r="X209" s="74">
        <v>0</v>
      </c>
      <c r="Y209" s="74">
        <v>0</v>
      </c>
      <c r="Z209" s="76">
        <v>0</v>
      </c>
      <c r="AA209" s="216"/>
      <c r="AB209" s="216"/>
    </row>
    <row r="211" spans="1:28" x14ac:dyDescent="0.2">
      <c r="A211" s="193">
        <v>44725</v>
      </c>
      <c r="B211" s="16"/>
      <c r="C211" s="16" t="s">
        <v>20</v>
      </c>
      <c r="D211" s="17">
        <v>1</v>
      </c>
      <c r="E211" s="18"/>
      <c r="F211" s="18" t="s">
        <v>19</v>
      </c>
      <c r="G211" s="17">
        <v>0</v>
      </c>
      <c r="H211" s="17"/>
      <c r="I211" s="18"/>
      <c r="J211" s="18"/>
      <c r="K211" s="25"/>
      <c r="L211" s="25"/>
      <c r="M211" s="17"/>
      <c r="N211" s="18"/>
      <c r="O211" s="18"/>
      <c r="P211" s="25"/>
      <c r="Q211" s="25"/>
      <c r="R211" s="17"/>
      <c r="S211" s="18"/>
      <c r="T211" s="18"/>
      <c r="U211" s="31">
        <v>19140</v>
      </c>
      <c r="V211" s="32" t="s">
        <v>48</v>
      </c>
      <c r="W211" s="32"/>
      <c r="X211" s="33"/>
      <c r="Y211" s="24"/>
      <c r="Z211" s="24"/>
      <c r="AA211" s="24"/>
      <c r="AB211" s="26"/>
    </row>
    <row r="212" spans="1:28" x14ac:dyDescent="0.2">
      <c r="A212" s="193"/>
      <c r="B212" s="157" t="s">
        <v>3</v>
      </c>
      <c r="C212" s="158" t="s">
        <v>10</v>
      </c>
      <c r="D212" s="158" t="s">
        <v>12</v>
      </c>
      <c r="E212" s="180" t="s">
        <v>5</v>
      </c>
      <c r="F212" s="211" t="s">
        <v>6</v>
      </c>
      <c r="G212" s="212"/>
      <c r="H212" s="212"/>
      <c r="I212" s="212"/>
      <c r="J212" s="213"/>
      <c r="K212" s="211" t="s">
        <v>7</v>
      </c>
      <c r="L212" s="212"/>
      <c r="M212" s="212"/>
      <c r="N212" s="212"/>
      <c r="O212" s="213"/>
      <c r="P212" s="211" t="s">
        <v>8</v>
      </c>
      <c r="Q212" s="212"/>
      <c r="R212" s="212"/>
      <c r="S212" s="212"/>
      <c r="T212" s="213"/>
      <c r="U212" s="214" t="s">
        <v>15</v>
      </c>
      <c r="V212" s="214" t="s">
        <v>52</v>
      </c>
      <c r="W212" s="214" t="s">
        <v>53</v>
      </c>
      <c r="X212" s="214" t="s">
        <v>54</v>
      </c>
      <c r="Y212" s="214" t="s">
        <v>55</v>
      </c>
      <c r="Z212" s="214" t="s">
        <v>56</v>
      </c>
      <c r="AA212" s="214" t="s">
        <v>57</v>
      </c>
      <c r="AB212" s="214" t="s">
        <v>17</v>
      </c>
    </row>
    <row r="213" spans="1:28" ht="38.25" x14ac:dyDescent="0.2">
      <c r="A213" s="193"/>
      <c r="B213" s="157"/>
      <c r="C213" s="158"/>
      <c r="D213" s="158"/>
      <c r="E213" s="180"/>
      <c r="F213" s="15" t="s">
        <v>23</v>
      </c>
      <c r="G213" s="15" t="s">
        <v>47</v>
      </c>
      <c r="H213" s="15" t="s">
        <v>50</v>
      </c>
      <c r="I213" s="15" t="s">
        <v>49</v>
      </c>
      <c r="J213" s="15" t="s">
        <v>51</v>
      </c>
      <c r="K213" s="15" t="s">
        <v>23</v>
      </c>
      <c r="L213" s="15" t="s">
        <v>13</v>
      </c>
      <c r="M213" s="15" t="s">
        <v>50</v>
      </c>
      <c r="N213" s="15" t="s">
        <v>49</v>
      </c>
      <c r="O213" s="15" t="s">
        <v>51</v>
      </c>
      <c r="P213" s="15" t="s">
        <v>23</v>
      </c>
      <c r="Q213" s="15" t="s">
        <v>13</v>
      </c>
      <c r="R213" s="15" t="s">
        <v>50</v>
      </c>
      <c r="S213" s="15" t="s">
        <v>49</v>
      </c>
      <c r="T213" s="15" t="s">
        <v>51</v>
      </c>
      <c r="U213" s="214"/>
      <c r="V213" s="214"/>
      <c r="W213" s="214"/>
      <c r="X213" s="214"/>
      <c r="Y213" s="214"/>
      <c r="Z213" s="214"/>
      <c r="AA213" s="214"/>
      <c r="AB213" s="214"/>
    </row>
    <row r="214" spans="1:28" x14ac:dyDescent="0.2">
      <c r="A214" s="193"/>
      <c r="B214" s="194" t="s">
        <v>64</v>
      </c>
      <c r="C214" s="11">
        <v>21234</v>
      </c>
      <c r="D214" s="11" t="s">
        <v>71</v>
      </c>
      <c r="E214" s="196" t="s">
        <v>1</v>
      </c>
      <c r="F214" s="12"/>
      <c r="G214" s="20">
        <f>F214/$U211</f>
        <v>0</v>
      </c>
      <c r="H214" s="12"/>
      <c r="I214" s="12"/>
      <c r="J214" s="12"/>
      <c r="K214" s="12"/>
      <c r="L214" s="20">
        <f>K214/$U211</f>
        <v>0</v>
      </c>
      <c r="M214" s="12"/>
      <c r="N214" s="12"/>
      <c r="O214" s="12"/>
      <c r="P214" s="12"/>
      <c r="Q214" s="20">
        <f>P214/$U211</f>
        <v>0</v>
      </c>
      <c r="R214" s="12"/>
      <c r="S214" s="12"/>
      <c r="T214" s="12"/>
      <c r="U214" s="151">
        <f>SUM(F214, K214, P214, F215, K215, P215)</f>
        <v>0</v>
      </c>
      <c r="V214" s="151">
        <f>SUM(H214, M214, R214, H215, M215, R215)</f>
        <v>0</v>
      </c>
      <c r="W214" s="205">
        <f>IF($U214=0, ,V214/$U214)</f>
        <v>0</v>
      </c>
      <c r="X214" s="151">
        <f>SUM(I214, N214, S214, I215, N215, S215)</f>
        <v>0</v>
      </c>
      <c r="Y214" s="205">
        <f>IF($U214=0, ,X214/$U214)</f>
        <v>0</v>
      </c>
      <c r="Z214" s="151">
        <f>SUM(J214, O214, T214, J215, O215, T215)</f>
        <v>0</v>
      </c>
      <c r="AA214" s="205">
        <f>IF($U214=0, ,Z214/$U214)</f>
        <v>0</v>
      </c>
      <c r="AB214" s="179" t="s">
        <v>106</v>
      </c>
    </row>
    <row r="215" spans="1:28" x14ac:dyDescent="0.2">
      <c r="A215" s="193"/>
      <c r="B215" s="204"/>
      <c r="C215" s="11"/>
      <c r="D215" s="11"/>
      <c r="E215" s="198"/>
      <c r="F215" s="12"/>
      <c r="G215" s="20">
        <f>F215/$U211</f>
        <v>0</v>
      </c>
      <c r="H215" s="12"/>
      <c r="I215" s="12"/>
      <c r="J215" s="12"/>
      <c r="K215" s="12"/>
      <c r="L215" s="20">
        <f>K215/$U211</f>
        <v>0</v>
      </c>
      <c r="M215" s="12"/>
      <c r="N215" s="12"/>
      <c r="O215" s="12"/>
      <c r="P215" s="12"/>
      <c r="Q215" s="20">
        <f>P215/$U211</f>
        <v>0</v>
      </c>
      <c r="R215" s="12"/>
      <c r="S215" s="12"/>
      <c r="T215" s="12"/>
      <c r="U215" s="152"/>
      <c r="V215" s="152"/>
      <c r="W215" s="206"/>
      <c r="X215" s="152"/>
      <c r="Y215" s="206"/>
      <c r="Z215" s="152"/>
      <c r="AA215" s="206"/>
      <c r="AB215" s="156"/>
    </row>
    <row r="216" spans="1:28" x14ac:dyDescent="0.2">
      <c r="A216" s="193"/>
      <c r="B216" s="175" t="s">
        <v>69</v>
      </c>
      <c r="C216" s="10">
        <v>21231</v>
      </c>
      <c r="D216" s="10" t="s">
        <v>70</v>
      </c>
      <c r="E216" s="177" t="s">
        <v>1</v>
      </c>
      <c r="F216" s="13">
        <v>5248</v>
      </c>
      <c r="G216" s="21">
        <f>F216/$U211</f>
        <v>0.27419017763845349</v>
      </c>
      <c r="H216" s="13"/>
      <c r="I216" s="13"/>
      <c r="J216" s="13"/>
      <c r="K216" s="13"/>
      <c r="L216" s="21">
        <f>K216/$U211</f>
        <v>0</v>
      </c>
      <c r="M216" s="13"/>
      <c r="N216" s="13"/>
      <c r="O216" s="13"/>
      <c r="P216" s="13"/>
      <c r="Q216" s="21">
        <f>P216/$U211</f>
        <v>0</v>
      </c>
      <c r="R216" s="13"/>
      <c r="S216" s="13"/>
      <c r="T216" s="13"/>
      <c r="U216" s="185">
        <f>SUM(F216, K216, P216, F217, K217, P217)</f>
        <v>5248</v>
      </c>
      <c r="V216" s="185">
        <f>SUM(H216, M216, R216, H217, M217, R217)</f>
        <v>0</v>
      </c>
      <c r="W216" s="200">
        <f>IF($U216=0, ,V216/$U216)</f>
        <v>0</v>
      </c>
      <c r="X216" s="185">
        <f>SUM(I216, N216, S216, I217, N217, S217)</f>
        <v>0</v>
      </c>
      <c r="Y216" s="200">
        <f>IF($U216=0, ,X216/$U216)</f>
        <v>0</v>
      </c>
      <c r="Z216" s="185">
        <f>SUM(J216, O216, T216, J217, O217, T217)</f>
        <v>0</v>
      </c>
      <c r="AA216" s="200">
        <f>IF($U216=0, ,Z216/$U216)</f>
        <v>0</v>
      </c>
      <c r="AB216" s="202" t="s">
        <v>106</v>
      </c>
    </row>
    <row r="217" spans="1:28" x14ac:dyDescent="0.2">
      <c r="A217" s="193"/>
      <c r="B217" s="176"/>
      <c r="C217" s="10"/>
      <c r="D217" s="10"/>
      <c r="E217" s="178"/>
      <c r="F217" s="13"/>
      <c r="G217" s="21">
        <f>F217/$U211</f>
        <v>0</v>
      </c>
      <c r="H217" s="13"/>
      <c r="I217" s="13"/>
      <c r="J217" s="13"/>
      <c r="K217" s="13"/>
      <c r="L217" s="21">
        <f>K217/$U211</f>
        <v>0</v>
      </c>
      <c r="M217" s="13"/>
      <c r="N217" s="13"/>
      <c r="O217" s="13"/>
      <c r="P217" s="13"/>
      <c r="Q217" s="21">
        <f>P217/$U211</f>
        <v>0</v>
      </c>
      <c r="R217" s="13"/>
      <c r="S217" s="13"/>
      <c r="T217" s="13"/>
      <c r="U217" s="186"/>
      <c r="V217" s="186"/>
      <c r="W217" s="201"/>
      <c r="X217" s="186"/>
      <c r="Y217" s="201"/>
      <c r="Z217" s="186"/>
      <c r="AA217" s="201"/>
      <c r="AB217" s="203"/>
    </row>
    <row r="218" spans="1:28" x14ac:dyDescent="0.2">
      <c r="A218" s="193"/>
      <c r="B218" s="194" t="s">
        <v>68</v>
      </c>
      <c r="C218" s="9">
        <v>21231</v>
      </c>
      <c r="D218" s="9" t="s">
        <v>70</v>
      </c>
      <c r="E218" s="149" t="s">
        <v>1</v>
      </c>
      <c r="F218" s="14"/>
      <c r="G218" s="22">
        <f>F218/$U211</f>
        <v>0</v>
      </c>
      <c r="H218" s="14"/>
      <c r="I218" s="14"/>
      <c r="J218" s="14"/>
      <c r="K218" s="14"/>
      <c r="L218" s="22">
        <f>K218/$U211</f>
        <v>0</v>
      </c>
      <c r="M218" s="14"/>
      <c r="N218" s="14"/>
      <c r="O218" s="14"/>
      <c r="P218" s="14"/>
      <c r="Q218" s="22">
        <f>P218/$U211</f>
        <v>0</v>
      </c>
      <c r="R218" s="14"/>
      <c r="S218" s="14"/>
      <c r="T218" s="14"/>
      <c r="U218" s="151">
        <f>SUM(F218, K218, P218, F219, K219, P219)</f>
        <v>0</v>
      </c>
      <c r="V218" s="151">
        <f>SUM(H218, M218, R218, H219, M219, R219)</f>
        <v>0</v>
      </c>
      <c r="W218" s="205">
        <f>IF($U218=0, ,V218/$U218)</f>
        <v>0</v>
      </c>
      <c r="X218" s="151">
        <f>SUM(I218, N218, S218, I219, N219, S219)</f>
        <v>0</v>
      </c>
      <c r="Y218" s="205">
        <f>IF($U218=0, ,X218/$U218)</f>
        <v>0</v>
      </c>
      <c r="Z218" s="151">
        <f>SUM(J218, O218, T218, J219, O219, T219)</f>
        <v>0</v>
      </c>
      <c r="AA218" s="205">
        <f>IF($U218=0, ,Z218/$U218)</f>
        <v>0</v>
      </c>
      <c r="AB218" s="179" t="s">
        <v>106</v>
      </c>
    </row>
    <row r="219" spans="1:28" x14ac:dyDescent="0.2">
      <c r="A219" s="193"/>
      <c r="B219" s="204"/>
      <c r="C219" s="9"/>
      <c r="D219" s="9"/>
      <c r="E219" s="150"/>
      <c r="F219" s="14"/>
      <c r="G219" s="22">
        <f>F219/$U211</f>
        <v>0</v>
      </c>
      <c r="H219" s="14"/>
      <c r="I219" s="14"/>
      <c r="J219" s="14"/>
      <c r="K219" s="14"/>
      <c r="L219" s="22">
        <f>K219/$U211</f>
        <v>0</v>
      </c>
      <c r="M219" s="14"/>
      <c r="N219" s="14"/>
      <c r="O219" s="14"/>
      <c r="P219" s="14"/>
      <c r="Q219" s="22">
        <f>P219/$U211</f>
        <v>0</v>
      </c>
      <c r="R219" s="14"/>
      <c r="S219" s="14"/>
      <c r="T219" s="14"/>
      <c r="U219" s="152"/>
      <c r="V219" s="152"/>
      <c r="W219" s="206"/>
      <c r="X219" s="152"/>
      <c r="Y219" s="206"/>
      <c r="Z219" s="152"/>
      <c r="AA219" s="206"/>
      <c r="AB219" s="156"/>
    </row>
    <row r="220" spans="1:28" ht="13.5" thickBot="1" x14ac:dyDescent="0.25">
      <c r="A220" s="193"/>
      <c r="B220" s="42"/>
      <c r="C220" s="42"/>
      <c r="D220" s="42"/>
      <c r="E220" s="42"/>
      <c r="F220" s="43"/>
      <c r="G220" s="44"/>
      <c r="H220" s="43"/>
      <c r="I220" s="43"/>
      <c r="J220" s="43"/>
      <c r="K220" s="43"/>
      <c r="L220" s="44"/>
      <c r="M220" s="43"/>
      <c r="N220" s="43"/>
      <c r="O220" s="43"/>
      <c r="P220" s="43"/>
      <c r="Q220" s="44"/>
      <c r="R220" s="43"/>
      <c r="S220" s="43"/>
      <c r="T220" s="46" t="s">
        <v>26</v>
      </c>
      <c r="U220" s="47">
        <f>SUM(U214:U219)</f>
        <v>5248</v>
      </c>
      <c r="V220" s="47">
        <f>SUM(V214:V219)</f>
        <v>0</v>
      </c>
      <c r="W220" s="48">
        <f>IF($U220=0, ,V220/$U220)</f>
        <v>0</v>
      </c>
      <c r="X220" s="47">
        <f>SUM(X214:X219)</f>
        <v>0</v>
      </c>
      <c r="Y220" s="48">
        <f>IF($U220=0, ,X220/$U220)</f>
        <v>0</v>
      </c>
      <c r="Z220" s="47">
        <f>SUM(Z214:Z219)</f>
        <v>0</v>
      </c>
      <c r="AA220" s="48">
        <f>IF($U220=0, ,Z220/$U220)</f>
        <v>0</v>
      </c>
      <c r="AB220" s="45"/>
    </row>
    <row r="221" spans="1:28" ht="13.5" thickTop="1" x14ac:dyDescent="0.2">
      <c r="A221" s="193"/>
      <c r="B221" s="42"/>
      <c r="C221" s="42"/>
      <c r="D221" s="42"/>
      <c r="E221" s="42"/>
      <c r="F221" s="68"/>
      <c r="G221" s="68"/>
      <c r="H221" s="68"/>
      <c r="I221" s="68"/>
      <c r="J221" s="68"/>
      <c r="K221" s="68"/>
      <c r="L221" s="68"/>
      <c r="M221" s="68"/>
      <c r="N221" s="68"/>
      <c r="O221" s="69"/>
      <c r="P221" s="69"/>
      <c r="Q221" s="70"/>
      <c r="R221" s="69"/>
      <c r="S221" s="70"/>
      <c r="T221" s="71"/>
      <c r="U221" s="71"/>
      <c r="V221" s="71"/>
      <c r="W221" s="71"/>
      <c r="X221" s="71"/>
      <c r="Y221" s="71"/>
      <c r="Z221" s="71"/>
      <c r="AA221" s="71"/>
      <c r="AB221" s="72"/>
    </row>
    <row r="222" spans="1:28" x14ac:dyDescent="0.2">
      <c r="A222" s="193"/>
      <c r="B222" s="207" t="s">
        <v>32</v>
      </c>
      <c r="C222" s="207"/>
      <c r="D222" s="208"/>
      <c r="E222" s="77" t="s">
        <v>33</v>
      </c>
      <c r="F222" s="159" t="s">
        <v>29</v>
      </c>
      <c r="G222" s="159"/>
      <c r="H222" s="159"/>
      <c r="I222" s="159" t="s">
        <v>41</v>
      </c>
      <c r="J222" s="159"/>
      <c r="K222" s="159"/>
      <c r="L222" s="159" t="s">
        <v>30</v>
      </c>
      <c r="M222" s="159"/>
      <c r="N222" s="159"/>
      <c r="O222" s="159" t="s">
        <v>31</v>
      </c>
      <c r="P222" s="159"/>
      <c r="Q222" s="159"/>
      <c r="R222" s="159" t="s">
        <v>38</v>
      </c>
      <c r="S222" s="159"/>
      <c r="T222" s="159"/>
      <c r="U222" s="159" t="s">
        <v>60</v>
      </c>
      <c r="V222" s="159"/>
      <c r="W222" s="159"/>
      <c r="X222" s="159" t="s">
        <v>40</v>
      </c>
      <c r="Y222" s="159"/>
      <c r="Z222" s="159"/>
      <c r="AA222" s="215"/>
      <c r="AB222" s="216"/>
    </row>
    <row r="223" spans="1:28" x14ac:dyDescent="0.2">
      <c r="A223" s="193"/>
      <c r="B223" s="209"/>
      <c r="C223" s="209"/>
      <c r="D223" s="210"/>
      <c r="E223" s="82" t="s">
        <v>34</v>
      </c>
      <c r="F223" s="78" t="s">
        <v>35</v>
      </c>
      <c r="G223" s="78" t="s">
        <v>36</v>
      </c>
      <c r="H223" s="79" t="s">
        <v>37</v>
      </c>
      <c r="I223" s="78" t="s">
        <v>35</v>
      </c>
      <c r="J223" s="78" t="s">
        <v>36</v>
      </c>
      <c r="K223" s="79" t="s">
        <v>37</v>
      </c>
      <c r="L223" s="78" t="s">
        <v>35</v>
      </c>
      <c r="M223" s="78" t="s">
        <v>36</v>
      </c>
      <c r="N223" s="79" t="s">
        <v>37</v>
      </c>
      <c r="O223" s="78" t="s">
        <v>35</v>
      </c>
      <c r="P223" s="78" t="s">
        <v>36</v>
      </c>
      <c r="Q223" s="79" t="s">
        <v>37</v>
      </c>
      <c r="R223" s="78" t="s">
        <v>35</v>
      </c>
      <c r="S223" s="78" t="s">
        <v>36</v>
      </c>
      <c r="T223" s="79" t="s">
        <v>37</v>
      </c>
      <c r="U223" s="78" t="s">
        <v>35</v>
      </c>
      <c r="V223" s="78" t="s">
        <v>36</v>
      </c>
      <c r="W223" s="79" t="s">
        <v>37</v>
      </c>
      <c r="X223" s="78" t="s">
        <v>35</v>
      </c>
      <c r="Y223" s="78" t="s">
        <v>36</v>
      </c>
      <c r="Z223" s="79" t="s">
        <v>37</v>
      </c>
      <c r="AA223" s="216"/>
      <c r="AB223" s="216"/>
    </row>
    <row r="224" spans="1:28" x14ac:dyDescent="0.2">
      <c r="A224" s="193"/>
      <c r="B224" s="80" t="str">
        <f xml:space="preserve"> IF(ISBLANK(B214), "-",B214)</f>
        <v>HTL-01</v>
      </c>
      <c r="C224" s="80">
        <f xml:space="preserve"> IF(ISBLANK(C214), "-",C214)</f>
        <v>21234</v>
      </c>
      <c r="D224" s="80" t="str">
        <f xml:space="preserve"> IF(ISBLANK(D214), "-",D214)</f>
        <v>14ml    L’Oreal</v>
      </c>
      <c r="E224" s="170"/>
      <c r="F224" s="81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5"/>
      <c r="M224" s="75"/>
      <c r="N224" s="75">
        <v>0</v>
      </c>
      <c r="O224" s="75">
        <v>0</v>
      </c>
      <c r="P224" s="75">
        <v>0</v>
      </c>
      <c r="Q224" s="74">
        <v>0</v>
      </c>
      <c r="R224" s="75">
        <v>0</v>
      </c>
      <c r="S224" s="75">
        <v>0</v>
      </c>
      <c r="T224" s="75">
        <v>0</v>
      </c>
      <c r="U224" s="75">
        <v>0</v>
      </c>
      <c r="V224" s="75">
        <v>0</v>
      </c>
      <c r="W224" s="74">
        <v>0</v>
      </c>
      <c r="X224" s="74">
        <v>0</v>
      </c>
      <c r="Y224" s="74">
        <v>0</v>
      </c>
      <c r="Z224" s="76">
        <v>0</v>
      </c>
      <c r="AA224" s="216"/>
      <c r="AB224" s="216"/>
    </row>
    <row r="225" spans="1:28" x14ac:dyDescent="0.2">
      <c r="A225" s="193"/>
      <c r="B225" s="80" t="str">
        <f xml:space="preserve"> IF(ISBLANK(B216), "-",B216)</f>
        <v>HTL-02</v>
      </c>
      <c r="C225" s="80">
        <f xml:space="preserve"> IF(ISBLANK(C216), "-",C216)</f>
        <v>21231</v>
      </c>
      <c r="D225" s="80" t="str">
        <f xml:space="preserve"> IF(ISBLANK(D216), "-",D216)</f>
        <v>7ml   L’Oreal</v>
      </c>
      <c r="E225" s="171"/>
      <c r="F225" s="81">
        <v>0</v>
      </c>
      <c r="G225" s="74">
        <v>0</v>
      </c>
      <c r="H225" s="74">
        <v>0</v>
      </c>
      <c r="I225" s="74">
        <v>0</v>
      </c>
      <c r="J225" s="74">
        <v>0</v>
      </c>
      <c r="K225" s="74">
        <v>0</v>
      </c>
      <c r="L225" s="75">
        <v>35</v>
      </c>
      <c r="M225" s="75">
        <v>30</v>
      </c>
      <c r="N225" s="75">
        <v>40</v>
      </c>
      <c r="O225" s="75">
        <v>0</v>
      </c>
      <c r="P225" s="75">
        <v>0</v>
      </c>
      <c r="Q225" s="74">
        <v>0</v>
      </c>
      <c r="R225" s="75">
        <v>0</v>
      </c>
      <c r="S225" s="75">
        <v>0</v>
      </c>
      <c r="T225" s="75">
        <v>0</v>
      </c>
      <c r="U225" s="75">
        <v>20</v>
      </c>
      <c r="V225" s="75">
        <v>19</v>
      </c>
      <c r="W225" s="74">
        <v>21</v>
      </c>
      <c r="X225" s="74">
        <v>0</v>
      </c>
      <c r="Y225" s="74">
        <v>0</v>
      </c>
      <c r="Z225" s="97">
        <v>0</v>
      </c>
      <c r="AA225" s="216"/>
      <c r="AB225" s="216"/>
    </row>
    <row r="226" spans="1:28" x14ac:dyDescent="0.2">
      <c r="A226" s="193"/>
      <c r="B226" s="80" t="str">
        <f xml:space="preserve"> IF(ISBLANK(B218), "-",B218)</f>
        <v>HTL-03</v>
      </c>
      <c r="C226" s="80">
        <f xml:space="preserve"> IF(ISBLANK(C218), "-",C218)</f>
        <v>21231</v>
      </c>
      <c r="D226" s="80" t="str">
        <f xml:space="preserve"> IF(ISBLANK(D218), "-",D218)</f>
        <v>7ml   L’Oreal</v>
      </c>
      <c r="E226" s="172"/>
      <c r="F226" s="81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5">
        <v>0</v>
      </c>
      <c r="M226" s="75">
        <v>0</v>
      </c>
      <c r="N226" s="75"/>
      <c r="O226" s="75">
        <v>0</v>
      </c>
      <c r="P226" s="75">
        <v>0</v>
      </c>
      <c r="Q226" s="74">
        <v>0</v>
      </c>
      <c r="R226" s="75">
        <v>0</v>
      </c>
      <c r="S226" s="75">
        <v>0</v>
      </c>
      <c r="T226" s="75">
        <v>0</v>
      </c>
      <c r="U226" s="75">
        <v>0</v>
      </c>
      <c r="V226" s="75">
        <v>0</v>
      </c>
      <c r="W226" s="74">
        <v>0</v>
      </c>
      <c r="X226" s="74">
        <v>0</v>
      </c>
      <c r="Y226" s="74">
        <v>0</v>
      </c>
      <c r="Z226" s="76">
        <v>0</v>
      </c>
      <c r="AA226" s="216"/>
      <c r="AB226" s="216"/>
    </row>
    <row r="228" spans="1:28" x14ac:dyDescent="0.2">
      <c r="A228" s="193">
        <v>44726</v>
      </c>
      <c r="B228" s="16"/>
      <c r="C228" s="16" t="s">
        <v>20</v>
      </c>
      <c r="D228" s="17">
        <v>1</v>
      </c>
      <c r="E228" s="18"/>
      <c r="F228" s="18" t="s">
        <v>19</v>
      </c>
      <c r="G228" s="17">
        <v>0</v>
      </c>
      <c r="H228" s="17"/>
      <c r="I228" s="18"/>
      <c r="J228" s="18"/>
      <c r="K228" s="25"/>
      <c r="L228" s="25"/>
      <c r="M228" s="17"/>
      <c r="N228" s="18"/>
      <c r="O228" s="18"/>
      <c r="P228" s="25"/>
      <c r="Q228" s="25"/>
      <c r="R228" s="17"/>
      <c r="S228" s="18"/>
      <c r="T228" s="18"/>
      <c r="U228" s="31">
        <v>19140</v>
      </c>
      <c r="V228" s="32" t="s">
        <v>48</v>
      </c>
      <c r="W228" s="32"/>
      <c r="X228" s="33"/>
      <c r="Y228" s="24"/>
      <c r="Z228" s="24"/>
      <c r="AA228" s="24"/>
      <c r="AB228" s="26"/>
    </row>
    <row r="229" spans="1:28" x14ac:dyDescent="0.2">
      <c r="A229" s="193"/>
      <c r="B229" s="157" t="s">
        <v>3</v>
      </c>
      <c r="C229" s="158" t="s">
        <v>10</v>
      </c>
      <c r="D229" s="158" t="s">
        <v>12</v>
      </c>
      <c r="E229" s="180" t="s">
        <v>5</v>
      </c>
      <c r="F229" s="211" t="s">
        <v>6</v>
      </c>
      <c r="G229" s="212"/>
      <c r="H229" s="212"/>
      <c r="I229" s="212"/>
      <c r="J229" s="213"/>
      <c r="K229" s="211" t="s">
        <v>7</v>
      </c>
      <c r="L229" s="212"/>
      <c r="M229" s="212"/>
      <c r="N229" s="212"/>
      <c r="O229" s="213"/>
      <c r="P229" s="211" t="s">
        <v>8</v>
      </c>
      <c r="Q229" s="212"/>
      <c r="R229" s="212"/>
      <c r="S229" s="212"/>
      <c r="T229" s="213"/>
      <c r="U229" s="214" t="s">
        <v>15</v>
      </c>
      <c r="V229" s="214" t="s">
        <v>52</v>
      </c>
      <c r="W229" s="214" t="s">
        <v>53</v>
      </c>
      <c r="X229" s="214" t="s">
        <v>54</v>
      </c>
      <c r="Y229" s="214" t="s">
        <v>55</v>
      </c>
      <c r="Z229" s="214" t="s">
        <v>56</v>
      </c>
      <c r="AA229" s="214" t="s">
        <v>57</v>
      </c>
      <c r="AB229" s="214" t="s">
        <v>17</v>
      </c>
    </row>
    <row r="230" spans="1:28" ht="38.25" x14ac:dyDescent="0.2">
      <c r="A230" s="193"/>
      <c r="B230" s="157"/>
      <c r="C230" s="158"/>
      <c r="D230" s="158"/>
      <c r="E230" s="180"/>
      <c r="F230" s="15" t="s">
        <v>23</v>
      </c>
      <c r="G230" s="15" t="s">
        <v>47</v>
      </c>
      <c r="H230" s="15" t="s">
        <v>50</v>
      </c>
      <c r="I230" s="15" t="s">
        <v>49</v>
      </c>
      <c r="J230" s="15" t="s">
        <v>51</v>
      </c>
      <c r="K230" s="15" t="s">
        <v>23</v>
      </c>
      <c r="L230" s="15" t="s">
        <v>13</v>
      </c>
      <c r="M230" s="15" t="s">
        <v>50</v>
      </c>
      <c r="N230" s="15" t="s">
        <v>49</v>
      </c>
      <c r="O230" s="15" t="s">
        <v>51</v>
      </c>
      <c r="P230" s="15" t="s">
        <v>23</v>
      </c>
      <c r="Q230" s="15" t="s">
        <v>13</v>
      </c>
      <c r="R230" s="15" t="s">
        <v>50</v>
      </c>
      <c r="S230" s="15" t="s">
        <v>49</v>
      </c>
      <c r="T230" s="15" t="s">
        <v>51</v>
      </c>
      <c r="U230" s="214"/>
      <c r="V230" s="214"/>
      <c r="W230" s="214"/>
      <c r="X230" s="214"/>
      <c r="Y230" s="214"/>
      <c r="Z230" s="214"/>
      <c r="AA230" s="214"/>
      <c r="AB230" s="214"/>
    </row>
    <row r="231" spans="1:28" x14ac:dyDescent="0.2">
      <c r="A231" s="193"/>
      <c r="B231" s="194" t="s">
        <v>64</v>
      </c>
      <c r="C231" s="11">
        <v>21234</v>
      </c>
      <c r="D231" s="11" t="s">
        <v>71</v>
      </c>
      <c r="E231" s="196" t="s">
        <v>1</v>
      </c>
      <c r="F231" s="12"/>
      <c r="G231" s="20">
        <f>F231/$U228</f>
        <v>0</v>
      </c>
      <c r="H231" s="12"/>
      <c r="I231" s="12"/>
      <c r="J231" s="12"/>
      <c r="K231" s="12"/>
      <c r="L231" s="20">
        <f>K231/$U228</f>
        <v>0</v>
      </c>
      <c r="M231" s="12"/>
      <c r="N231" s="12"/>
      <c r="O231" s="12"/>
      <c r="P231" s="12"/>
      <c r="Q231" s="20">
        <f>P231/$U228</f>
        <v>0</v>
      </c>
      <c r="R231" s="12"/>
      <c r="S231" s="12"/>
      <c r="T231" s="12"/>
      <c r="U231" s="151">
        <f>SUM(F231, K231, P231, F232, K232, P232)</f>
        <v>0</v>
      </c>
      <c r="V231" s="151">
        <f>SUM(H231, M231, R231, H232, M232, R232)</f>
        <v>0</v>
      </c>
      <c r="W231" s="205">
        <f>IF($U231=0, ,V231/$U231)</f>
        <v>0</v>
      </c>
      <c r="X231" s="151">
        <f>SUM(I231, N231, S231, I232, N232, S232)</f>
        <v>0</v>
      </c>
      <c r="Y231" s="205">
        <f>IF($U231=0, ,X231/$U231)</f>
        <v>0</v>
      </c>
      <c r="Z231" s="151">
        <f>SUM(J231, O231, T231, J232, O232, T232)</f>
        <v>0</v>
      </c>
      <c r="AA231" s="205">
        <f>IF($U231=0, ,Z231/$U231)</f>
        <v>0</v>
      </c>
      <c r="AB231" s="179" t="s">
        <v>106</v>
      </c>
    </row>
    <row r="232" spans="1:28" x14ac:dyDescent="0.2">
      <c r="A232" s="193"/>
      <c r="B232" s="204"/>
      <c r="C232" s="11"/>
      <c r="D232" s="11"/>
      <c r="E232" s="198"/>
      <c r="F232" s="12"/>
      <c r="G232" s="20">
        <f>F232/$U228</f>
        <v>0</v>
      </c>
      <c r="H232" s="12"/>
      <c r="I232" s="12"/>
      <c r="J232" s="12"/>
      <c r="K232" s="12"/>
      <c r="L232" s="20">
        <f>K232/$U228</f>
        <v>0</v>
      </c>
      <c r="M232" s="12"/>
      <c r="N232" s="12"/>
      <c r="O232" s="12"/>
      <c r="P232" s="12"/>
      <c r="Q232" s="20">
        <f>P232/$U228</f>
        <v>0</v>
      </c>
      <c r="R232" s="12"/>
      <c r="S232" s="12"/>
      <c r="T232" s="12"/>
      <c r="U232" s="152"/>
      <c r="V232" s="152"/>
      <c r="W232" s="206"/>
      <c r="X232" s="152"/>
      <c r="Y232" s="206"/>
      <c r="Z232" s="152"/>
      <c r="AA232" s="206"/>
      <c r="AB232" s="156"/>
    </row>
    <row r="233" spans="1:28" x14ac:dyDescent="0.2">
      <c r="A233" s="193"/>
      <c r="B233" s="175" t="s">
        <v>69</v>
      </c>
      <c r="C233" s="10">
        <v>21231</v>
      </c>
      <c r="D233" s="10" t="s">
        <v>70</v>
      </c>
      <c r="E233" s="177" t="s">
        <v>1</v>
      </c>
      <c r="F233" s="13">
        <v>5050</v>
      </c>
      <c r="G233" s="21">
        <f>F233/$U228</f>
        <v>0.26384535005224663</v>
      </c>
      <c r="H233" s="13"/>
      <c r="I233" s="13"/>
      <c r="J233" s="13"/>
      <c r="K233" s="13"/>
      <c r="L233" s="21">
        <f>K233/$U228</f>
        <v>0</v>
      </c>
      <c r="M233" s="13"/>
      <c r="N233" s="13"/>
      <c r="O233" s="13"/>
      <c r="P233" s="13"/>
      <c r="Q233" s="21">
        <f>P233/$U228</f>
        <v>0</v>
      </c>
      <c r="R233" s="13"/>
      <c r="S233" s="13"/>
      <c r="T233" s="13"/>
      <c r="U233" s="185">
        <f>SUM(F233, K233, P233, F234, K234, P234)</f>
        <v>5050</v>
      </c>
      <c r="V233" s="185">
        <f>SUM(H233, M233, R233, H234, M234, R234)</f>
        <v>0</v>
      </c>
      <c r="W233" s="200">
        <f>IF($U233=0, ,V233/$U233)</f>
        <v>0</v>
      </c>
      <c r="X233" s="185">
        <f>SUM(I233, N233, S233, I234, N234, S234)</f>
        <v>0</v>
      </c>
      <c r="Y233" s="200">
        <f>IF($U233=0, ,X233/$U233)</f>
        <v>0</v>
      </c>
      <c r="Z233" s="185">
        <f>SUM(J233, O233, T233, J234, O234, T234)</f>
        <v>0</v>
      </c>
      <c r="AA233" s="200">
        <f>IF($U233=0, ,Z233/$U233)</f>
        <v>0</v>
      </c>
      <c r="AB233" s="202"/>
    </row>
    <row r="234" spans="1:28" x14ac:dyDescent="0.2">
      <c r="A234" s="193"/>
      <c r="B234" s="176"/>
      <c r="C234" s="10"/>
      <c r="D234" s="10"/>
      <c r="E234" s="178"/>
      <c r="F234" s="13"/>
      <c r="G234" s="21">
        <f>F234/$U228</f>
        <v>0</v>
      </c>
      <c r="H234" s="13"/>
      <c r="I234" s="13"/>
      <c r="J234" s="13"/>
      <c r="K234" s="13"/>
      <c r="L234" s="21">
        <f>K234/$U228</f>
        <v>0</v>
      </c>
      <c r="M234" s="13"/>
      <c r="N234" s="13"/>
      <c r="O234" s="13"/>
      <c r="P234" s="13"/>
      <c r="Q234" s="21">
        <f>P234/$U228</f>
        <v>0</v>
      </c>
      <c r="R234" s="13"/>
      <c r="S234" s="13"/>
      <c r="T234" s="13"/>
      <c r="U234" s="186"/>
      <c r="V234" s="186"/>
      <c r="W234" s="201"/>
      <c r="X234" s="186"/>
      <c r="Y234" s="201"/>
      <c r="Z234" s="186"/>
      <c r="AA234" s="201"/>
      <c r="AB234" s="203"/>
    </row>
    <row r="235" spans="1:28" x14ac:dyDescent="0.2">
      <c r="A235" s="193"/>
      <c r="B235" s="194" t="s">
        <v>68</v>
      </c>
      <c r="C235" s="9">
        <v>21231</v>
      </c>
      <c r="D235" s="9" t="s">
        <v>70</v>
      </c>
      <c r="E235" s="149" t="s">
        <v>1</v>
      </c>
      <c r="F235" s="14"/>
      <c r="G235" s="22">
        <f>F235/$U228</f>
        <v>0</v>
      </c>
      <c r="H235" s="14"/>
      <c r="I235" s="14"/>
      <c r="J235" s="14"/>
      <c r="K235" s="14"/>
      <c r="L235" s="22">
        <f>K235/$U228</f>
        <v>0</v>
      </c>
      <c r="M235" s="14"/>
      <c r="N235" s="14"/>
      <c r="O235" s="14"/>
      <c r="P235" s="14"/>
      <c r="Q235" s="22">
        <f>P235/$U228</f>
        <v>0</v>
      </c>
      <c r="R235" s="14"/>
      <c r="S235" s="14"/>
      <c r="T235" s="14"/>
      <c r="U235" s="151">
        <f>SUM(F235, K235, P235, F236, K236, P236)</f>
        <v>0</v>
      </c>
      <c r="V235" s="151">
        <f>SUM(H235, M235, R235, H236, M236, R236)</f>
        <v>0</v>
      </c>
      <c r="W235" s="205">
        <f>IF($U235=0, ,V235/$U235)</f>
        <v>0</v>
      </c>
      <c r="X235" s="151">
        <f>SUM(I235, N235, S235, I236, N236, S236)</f>
        <v>0</v>
      </c>
      <c r="Y235" s="205">
        <f>IF($U235=0, ,X235/$U235)</f>
        <v>0</v>
      </c>
      <c r="Z235" s="151">
        <f>SUM(J235, O235, T235, J236, O236, T236)</f>
        <v>0</v>
      </c>
      <c r="AA235" s="205">
        <f>IF($U235=0, ,Z235/$U235)</f>
        <v>0</v>
      </c>
      <c r="AB235" s="179" t="s">
        <v>106</v>
      </c>
    </row>
    <row r="236" spans="1:28" x14ac:dyDescent="0.2">
      <c r="A236" s="193"/>
      <c r="B236" s="204"/>
      <c r="C236" s="9"/>
      <c r="D236" s="9"/>
      <c r="E236" s="150"/>
      <c r="F236" s="14"/>
      <c r="G236" s="22">
        <f>F236/$U228</f>
        <v>0</v>
      </c>
      <c r="H236" s="14"/>
      <c r="I236" s="14"/>
      <c r="J236" s="14"/>
      <c r="K236" s="14"/>
      <c r="L236" s="22">
        <f>K236/$U228</f>
        <v>0</v>
      </c>
      <c r="M236" s="14"/>
      <c r="N236" s="14"/>
      <c r="O236" s="14"/>
      <c r="P236" s="14"/>
      <c r="Q236" s="22">
        <f>P236/$U228</f>
        <v>0</v>
      </c>
      <c r="R236" s="14"/>
      <c r="S236" s="14"/>
      <c r="T236" s="14"/>
      <c r="U236" s="152"/>
      <c r="V236" s="152"/>
      <c r="W236" s="206"/>
      <c r="X236" s="152"/>
      <c r="Y236" s="206"/>
      <c r="Z236" s="152"/>
      <c r="AA236" s="206"/>
      <c r="AB236" s="156"/>
    </row>
    <row r="237" spans="1:28" ht="13.5" thickBot="1" x14ac:dyDescent="0.25">
      <c r="A237" s="193"/>
      <c r="B237" s="42"/>
      <c r="C237" s="42"/>
      <c r="D237" s="42"/>
      <c r="E237" s="42"/>
      <c r="F237" s="43"/>
      <c r="G237" s="44"/>
      <c r="H237" s="43"/>
      <c r="I237" s="43"/>
      <c r="J237" s="43"/>
      <c r="K237" s="43"/>
      <c r="L237" s="44"/>
      <c r="M237" s="43"/>
      <c r="N237" s="43"/>
      <c r="O237" s="43"/>
      <c r="P237" s="43"/>
      <c r="Q237" s="44"/>
      <c r="R237" s="43"/>
      <c r="S237" s="43"/>
      <c r="T237" s="46" t="s">
        <v>26</v>
      </c>
      <c r="U237" s="47">
        <f>SUM(U231:U236)</f>
        <v>5050</v>
      </c>
      <c r="V237" s="47">
        <f>SUM(V231:V236)</f>
        <v>0</v>
      </c>
      <c r="W237" s="48">
        <f>IF($U237=0, ,V237/$U237)</f>
        <v>0</v>
      </c>
      <c r="X237" s="47">
        <f>SUM(X231:X236)</f>
        <v>0</v>
      </c>
      <c r="Y237" s="48">
        <f>IF($U237=0, ,X237/$U237)</f>
        <v>0</v>
      </c>
      <c r="Z237" s="47">
        <f>SUM(Z231:Z236)</f>
        <v>0</v>
      </c>
      <c r="AA237" s="48">
        <f>IF($U237=0, ,Z237/$U237)</f>
        <v>0</v>
      </c>
      <c r="AB237" s="45"/>
    </row>
    <row r="238" spans="1:28" ht="13.5" thickTop="1" x14ac:dyDescent="0.2">
      <c r="A238" s="193"/>
      <c r="B238" s="42"/>
      <c r="C238" s="42"/>
      <c r="D238" s="42"/>
      <c r="E238" s="42"/>
      <c r="F238" s="68"/>
      <c r="G238" s="68"/>
      <c r="H238" s="68"/>
      <c r="I238" s="68"/>
      <c r="J238" s="68"/>
      <c r="K238" s="68"/>
      <c r="L238" s="68"/>
      <c r="M238" s="68"/>
      <c r="N238" s="68"/>
      <c r="O238" s="69"/>
      <c r="P238" s="69"/>
      <c r="Q238" s="70"/>
      <c r="R238" s="69"/>
      <c r="S238" s="70"/>
      <c r="T238" s="71"/>
      <c r="U238" s="71"/>
      <c r="V238" s="71"/>
      <c r="W238" s="71"/>
      <c r="X238" s="71"/>
      <c r="Y238" s="71"/>
      <c r="Z238" s="71"/>
      <c r="AA238" s="71"/>
      <c r="AB238" s="72"/>
    </row>
    <row r="239" spans="1:28" x14ac:dyDescent="0.2">
      <c r="A239" s="193"/>
      <c r="B239" s="207" t="s">
        <v>32</v>
      </c>
      <c r="C239" s="207"/>
      <c r="D239" s="208"/>
      <c r="E239" s="77" t="s">
        <v>33</v>
      </c>
      <c r="F239" s="159" t="s">
        <v>29</v>
      </c>
      <c r="G239" s="159"/>
      <c r="H239" s="159"/>
      <c r="I239" s="159" t="s">
        <v>41</v>
      </c>
      <c r="J239" s="159"/>
      <c r="K239" s="159"/>
      <c r="L239" s="159" t="s">
        <v>30</v>
      </c>
      <c r="M239" s="159"/>
      <c r="N239" s="159"/>
      <c r="O239" s="159" t="s">
        <v>31</v>
      </c>
      <c r="P239" s="159"/>
      <c r="Q239" s="159"/>
      <c r="R239" s="159" t="s">
        <v>38</v>
      </c>
      <c r="S239" s="159"/>
      <c r="T239" s="159"/>
      <c r="U239" s="159" t="s">
        <v>60</v>
      </c>
      <c r="V239" s="159"/>
      <c r="W239" s="159"/>
      <c r="X239" s="159" t="s">
        <v>40</v>
      </c>
      <c r="Y239" s="159"/>
      <c r="Z239" s="159"/>
      <c r="AA239" s="215"/>
      <c r="AB239" s="216"/>
    </row>
    <row r="240" spans="1:28" x14ac:dyDescent="0.2">
      <c r="A240" s="193"/>
      <c r="B240" s="209"/>
      <c r="C240" s="209"/>
      <c r="D240" s="210"/>
      <c r="E240" s="82" t="s">
        <v>34</v>
      </c>
      <c r="F240" s="78" t="s">
        <v>35</v>
      </c>
      <c r="G240" s="78" t="s">
        <v>36</v>
      </c>
      <c r="H240" s="79" t="s">
        <v>37</v>
      </c>
      <c r="I240" s="78" t="s">
        <v>35</v>
      </c>
      <c r="J240" s="78" t="s">
        <v>36</v>
      </c>
      <c r="K240" s="79" t="s">
        <v>37</v>
      </c>
      <c r="L240" s="78" t="s">
        <v>35</v>
      </c>
      <c r="M240" s="78" t="s">
        <v>36</v>
      </c>
      <c r="N240" s="79" t="s">
        <v>37</v>
      </c>
      <c r="O240" s="78" t="s">
        <v>35</v>
      </c>
      <c r="P240" s="78" t="s">
        <v>36</v>
      </c>
      <c r="Q240" s="79" t="s">
        <v>37</v>
      </c>
      <c r="R240" s="78" t="s">
        <v>35</v>
      </c>
      <c r="S240" s="78" t="s">
        <v>36</v>
      </c>
      <c r="T240" s="79" t="s">
        <v>37</v>
      </c>
      <c r="U240" s="78" t="s">
        <v>35</v>
      </c>
      <c r="V240" s="78" t="s">
        <v>36</v>
      </c>
      <c r="W240" s="79" t="s">
        <v>37</v>
      </c>
      <c r="X240" s="78" t="s">
        <v>35</v>
      </c>
      <c r="Y240" s="78" t="s">
        <v>36</v>
      </c>
      <c r="Z240" s="79" t="s">
        <v>37</v>
      </c>
      <c r="AA240" s="216"/>
      <c r="AB240" s="216"/>
    </row>
    <row r="241" spans="1:28" x14ac:dyDescent="0.2">
      <c r="A241" s="193"/>
      <c r="B241" s="80" t="str">
        <f xml:space="preserve"> IF(ISBLANK(B231), "-",B231)</f>
        <v>HTL-01</v>
      </c>
      <c r="C241" s="80">
        <f xml:space="preserve"> IF(ISBLANK(C231), "-",C231)</f>
        <v>21234</v>
      </c>
      <c r="D241" s="80" t="str">
        <f xml:space="preserve"> IF(ISBLANK(D231), "-",D231)</f>
        <v>14ml    L’Oreal</v>
      </c>
      <c r="E241" s="170"/>
      <c r="F241" s="81">
        <v>0</v>
      </c>
      <c r="G241" s="74">
        <v>0</v>
      </c>
      <c r="H241" s="74">
        <v>0</v>
      </c>
      <c r="I241" s="74">
        <v>0</v>
      </c>
      <c r="J241" s="74">
        <v>0</v>
      </c>
      <c r="K241" s="74">
        <v>0</v>
      </c>
      <c r="L241" s="75">
        <v>0</v>
      </c>
      <c r="M241" s="75">
        <v>0</v>
      </c>
      <c r="N241" s="75">
        <v>0</v>
      </c>
      <c r="O241" s="75">
        <v>0</v>
      </c>
      <c r="P241" s="75">
        <v>0</v>
      </c>
      <c r="Q241" s="74">
        <v>0</v>
      </c>
      <c r="R241" s="75">
        <v>0</v>
      </c>
      <c r="S241" s="75">
        <v>0</v>
      </c>
      <c r="T241" s="75">
        <v>0</v>
      </c>
      <c r="U241" s="75">
        <v>0</v>
      </c>
      <c r="V241" s="75">
        <v>0</v>
      </c>
      <c r="W241" s="74">
        <v>0</v>
      </c>
      <c r="X241" s="74">
        <v>0</v>
      </c>
      <c r="Y241" s="74">
        <v>0</v>
      </c>
      <c r="Z241" s="76">
        <v>0</v>
      </c>
      <c r="AA241" s="216"/>
      <c r="AB241" s="216"/>
    </row>
    <row r="242" spans="1:28" x14ac:dyDescent="0.2">
      <c r="A242" s="193"/>
      <c r="B242" s="80" t="str">
        <f xml:space="preserve"> IF(ISBLANK(B233), "-",B233)</f>
        <v>HTL-02</v>
      </c>
      <c r="C242" s="80">
        <f xml:space="preserve"> IF(ISBLANK(C233), "-",C233)</f>
        <v>21231</v>
      </c>
      <c r="D242" s="80" t="str">
        <f xml:space="preserve"> IF(ISBLANK(D233), "-",D233)</f>
        <v>7ml   L’Oreal</v>
      </c>
      <c r="E242" s="171"/>
      <c r="F242" s="81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5">
        <v>53</v>
      </c>
      <c r="M242" s="75">
        <v>0</v>
      </c>
      <c r="N242" s="75">
        <v>0</v>
      </c>
      <c r="O242" s="75">
        <v>0</v>
      </c>
      <c r="P242" s="75">
        <v>0</v>
      </c>
      <c r="Q242" s="74">
        <v>0</v>
      </c>
      <c r="R242" s="75">
        <v>0</v>
      </c>
      <c r="S242" s="75">
        <v>0</v>
      </c>
      <c r="T242" s="75">
        <v>0</v>
      </c>
      <c r="U242" s="75">
        <v>15</v>
      </c>
      <c r="V242" s="75">
        <v>0</v>
      </c>
      <c r="W242" s="74">
        <v>0</v>
      </c>
      <c r="X242" s="74">
        <v>2</v>
      </c>
      <c r="Y242" s="74">
        <v>0</v>
      </c>
      <c r="Z242" s="97">
        <v>0</v>
      </c>
      <c r="AA242" s="216"/>
      <c r="AB242" s="216"/>
    </row>
    <row r="243" spans="1:28" x14ac:dyDescent="0.2">
      <c r="A243" s="193"/>
      <c r="B243" s="80" t="str">
        <f xml:space="preserve"> IF(ISBLANK(B235), "-",B235)</f>
        <v>HTL-03</v>
      </c>
      <c r="C243" s="80">
        <f xml:space="preserve"> IF(ISBLANK(C235), "-",C235)</f>
        <v>21231</v>
      </c>
      <c r="D243" s="80" t="str">
        <f xml:space="preserve"> IF(ISBLANK(D235), "-",D235)</f>
        <v>7ml   L’Oreal</v>
      </c>
      <c r="E243" s="172"/>
      <c r="F243" s="81">
        <v>0</v>
      </c>
      <c r="G243" s="74">
        <v>0</v>
      </c>
      <c r="H243" s="74">
        <v>0</v>
      </c>
      <c r="I243" s="74">
        <v>0</v>
      </c>
      <c r="J243" s="74">
        <v>0</v>
      </c>
      <c r="K243" s="74">
        <v>0</v>
      </c>
      <c r="L243" s="75">
        <v>0</v>
      </c>
      <c r="M243" s="75">
        <v>0</v>
      </c>
      <c r="N243" s="75">
        <v>0</v>
      </c>
      <c r="O243" s="75">
        <v>0</v>
      </c>
      <c r="P243" s="75">
        <v>0</v>
      </c>
      <c r="Q243" s="74">
        <v>0</v>
      </c>
      <c r="R243" s="75">
        <v>0</v>
      </c>
      <c r="S243" s="75">
        <v>0</v>
      </c>
      <c r="T243" s="75">
        <v>0</v>
      </c>
      <c r="U243" s="75">
        <v>0</v>
      </c>
      <c r="V243" s="75">
        <v>0</v>
      </c>
      <c r="W243" s="74">
        <v>0</v>
      </c>
      <c r="X243" s="74">
        <v>0</v>
      </c>
      <c r="Y243" s="74">
        <v>0</v>
      </c>
      <c r="Z243" s="76">
        <v>0</v>
      </c>
      <c r="AA243" s="216"/>
      <c r="AB243" s="216"/>
    </row>
    <row r="245" spans="1:28" x14ac:dyDescent="0.2">
      <c r="A245" s="193">
        <v>44727</v>
      </c>
      <c r="B245" s="16"/>
      <c r="C245" s="16" t="s">
        <v>20</v>
      </c>
      <c r="D245" s="17">
        <v>1</v>
      </c>
      <c r="E245" s="18"/>
      <c r="F245" s="18" t="s">
        <v>19</v>
      </c>
      <c r="G245" s="17">
        <v>0</v>
      </c>
      <c r="H245" s="17"/>
      <c r="I245" s="18"/>
      <c r="J245" s="18"/>
      <c r="K245" s="25"/>
      <c r="L245" s="25"/>
      <c r="M245" s="17"/>
      <c r="N245" s="18"/>
      <c r="O245" s="18"/>
      <c r="P245" s="25"/>
      <c r="Q245" s="25"/>
      <c r="R245" s="17"/>
      <c r="S245" s="18"/>
      <c r="T245" s="18"/>
      <c r="U245" s="31">
        <v>19140</v>
      </c>
      <c r="V245" s="32" t="s">
        <v>48</v>
      </c>
      <c r="W245" s="32"/>
      <c r="X245" s="33"/>
      <c r="Y245" s="24"/>
      <c r="Z245" s="24"/>
      <c r="AA245" s="24"/>
      <c r="AB245" s="26"/>
    </row>
    <row r="246" spans="1:28" x14ac:dyDescent="0.2">
      <c r="A246" s="193"/>
      <c r="B246" s="157" t="s">
        <v>3</v>
      </c>
      <c r="C246" s="158" t="s">
        <v>10</v>
      </c>
      <c r="D246" s="158" t="s">
        <v>12</v>
      </c>
      <c r="E246" s="180" t="s">
        <v>5</v>
      </c>
      <c r="F246" s="211" t="s">
        <v>6</v>
      </c>
      <c r="G246" s="212"/>
      <c r="H246" s="212"/>
      <c r="I246" s="212"/>
      <c r="J246" s="213"/>
      <c r="K246" s="211" t="s">
        <v>7</v>
      </c>
      <c r="L246" s="212"/>
      <c r="M246" s="212"/>
      <c r="N246" s="212"/>
      <c r="O246" s="213"/>
      <c r="P246" s="211" t="s">
        <v>8</v>
      </c>
      <c r="Q246" s="212"/>
      <c r="R246" s="212"/>
      <c r="S246" s="212"/>
      <c r="T246" s="213"/>
      <c r="U246" s="214" t="s">
        <v>15</v>
      </c>
      <c r="V246" s="214" t="s">
        <v>52</v>
      </c>
      <c r="W246" s="214" t="s">
        <v>53</v>
      </c>
      <c r="X246" s="214" t="s">
        <v>54</v>
      </c>
      <c r="Y246" s="214" t="s">
        <v>55</v>
      </c>
      <c r="Z246" s="214" t="s">
        <v>56</v>
      </c>
      <c r="AA246" s="214" t="s">
        <v>57</v>
      </c>
      <c r="AB246" s="214" t="s">
        <v>17</v>
      </c>
    </row>
    <row r="247" spans="1:28" ht="38.25" x14ac:dyDescent="0.2">
      <c r="A247" s="193"/>
      <c r="B247" s="157"/>
      <c r="C247" s="158"/>
      <c r="D247" s="158"/>
      <c r="E247" s="180"/>
      <c r="F247" s="15" t="s">
        <v>23</v>
      </c>
      <c r="G247" s="15" t="s">
        <v>47</v>
      </c>
      <c r="H247" s="15" t="s">
        <v>50</v>
      </c>
      <c r="I247" s="15" t="s">
        <v>49</v>
      </c>
      <c r="J247" s="15" t="s">
        <v>51</v>
      </c>
      <c r="K247" s="15" t="s">
        <v>23</v>
      </c>
      <c r="L247" s="15" t="s">
        <v>13</v>
      </c>
      <c r="M247" s="15" t="s">
        <v>50</v>
      </c>
      <c r="N247" s="15" t="s">
        <v>49</v>
      </c>
      <c r="O247" s="15" t="s">
        <v>51</v>
      </c>
      <c r="P247" s="15" t="s">
        <v>23</v>
      </c>
      <c r="Q247" s="15" t="s">
        <v>13</v>
      </c>
      <c r="R247" s="15" t="s">
        <v>50</v>
      </c>
      <c r="S247" s="15" t="s">
        <v>49</v>
      </c>
      <c r="T247" s="15" t="s">
        <v>51</v>
      </c>
      <c r="U247" s="214"/>
      <c r="V247" s="214"/>
      <c r="W247" s="214"/>
      <c r="X247" s="214"/>
      <c r="Y247" s="214"/>
      <c r="Z247" s="214"/>
      <c r="AA247" s="214"/>
      <c r="AB247" s="214"/>
    </row>
    <row r="248" spans="1:28" x14ac:dyDescent="0.2">
      <c r="A248" s="193"/>
      <c r="B248" s="194" t="s">
        <v>64</v>
      </c>
      <c r="C248" s="11">
        <v>21234</v>
      </c>
      <c r="D248" s="11" t="s">
        <v>71</v>
      </c>
      <c r="E248" s="196" t="s">
        <v>1</v>
      </c>
      <c r="F248" s="12">
        <v>0</v>
      </c>
      <c r="G248" s="20">
        <f>F248/$U245</f>
        <v>0</v>
      </c>
      <c r="H248" s="12"/>
      <c r="I248" s="12"/>
      <c r="J248" s="12"/>
      <c r="K248" s="12"/>
      <c r="L248" s="20">
        <f>K248/$U245</f>
        <v>0</v>
      </c>
      <c r="M248" s="12"/>
      <c r="N248" s="12"/>
      <c r="O248" s="12"/>
      <c r="P248" s="12"/>
      <c r="Q248" s="20">
        <f>P248/$U245</f>
        <v>0</v>
      </c>
      <c r="R248" s="12"/>
      <c r="S248" s="12"/>
      <c r="T248" s="12"/>
      <c r="U248" s="151">
        <f>SUM(F248, K248, P248, F249, K249, P249)</f>
        <v>0</v>
      </c>
      <c r="V248" s="151">
        <f>SUM(H248, M248, R248, H249, M249, R249)</f>
        <v>0</v>
      </c>
      <c r="W248" s="205">
        <f>IF($U248=0, ,V248/$U248)</f>
        <v>0</v>
      </c>
      <c r="X248" s="151">
        <f>SUM(I248, N248, S248, I249, N249, S249)</f>
        <v>0</v>
      </c>
      <c r="Y248" s="205">
        <f>IF($U248=0, ,X248/$U248)</f>
        <v>0</v>
      </c>
      <c r="Z248" s="151">
        <f>SUM(J248, O248, T248, J249, O249, T249)</f>
        <v>0</v>
      </c>
      <c r="AA248" s="205">
        <f>IF($U248=0, ,Z248/$U248)</f>
        <v>0</v>
      </c>
      <c r="AB248" s="179" t="s">
        <v>106</v>
      </c>
    </row>
    <row r="249" spans="1:28" x14ac:dyDescent="0.2">
      <c r="A249" s="193"/>
      <c r="B249" s="204"/>
      <c r="C249" s="11"/>
      <c r="D249" s="11"/>
      <c r="E249" s="198"/>
      <c r="F249" s="12"/>
      <c r="G249" s="20">
        <f>F249/$U245</f>
        <v>0</v>
      </c>
      <c r="H249" s="12"/>
      <c r="I249" s="12"/>
      <c r="J249" s="12"/>
      <c r="K249" s="12"/>
      <c r="L249" s="20">
        <f>K249/$U245</f>
        <v>0</v>
      </c>
      <c r="M249" s="12"/>
      <c r="N249" s="12"/>
      <c r="O249" s="12"/>
      <c r="P249" s="12"/>
      <c r="Q249" s="20">
        <f>P249/$U245</f>
        <v>0</v>
      </c>
      <c r="R249" s="12"/>
      <c r="S249" s="12"/>
      <c r="T249" s="12"/>
      <c r="U249" s="152"/>
      <c r="V249" s="152"/>
      <c r="W249" s="206"/>
      <c r="X249" s="152"/>
      <c r="Y249" s="206"/>
      <c r="Z249" s="152"/>
      <c r="AA249" s="206"/>
      <c r="AB249" s="156"/>
    </row>
    <row r="250" spans="1:28" x14ac:dyDescent="0.2">
      <c r="A250" s="193"/>
      <c r="B250" s="175" t="s">
        <v>69</v>
      </c>
      <c r="C250" s="10">
        <v>21231</v>
      </c>
      <c r="D250" s="10" t="s">
        <v>70</v>
      </c>
      <c r="E250" s="177" t="s">
        <v>1</v>
      </c>
      <c r="F250" s="13">
        <v>0</v>
      </c>
      <c r="G250" s="21">
        <f>F250/$U245</f>
        <v>0</v>
      </c>
      <c r="H250" s="13"/>
      <c r="I250" s="13"/>
      <c r="J250" s="13"/>
      <c r="K250" s="13"/>
      <c r="L250" s="21">
        <f>K250/$U245</f>
        <v>0</v>
      </c>
      <c r="M250" s="13"/>
      <c r="N250" s="13"/>
      <c r="O250" s="13"/>
      <c r="P250" s="13"/>
      <c r="Q250" s="21">
        <f>P250/$U245</f>
        <v>0</v>
      </c>
      <c r="R250" s="13"/>
      <c r="S250" s="13"/>
      <c r="T250" s="13"/>
      <c r="U250" s="185">
        <f>SUM(F250, K250, P250, F251, K251, P251)</f>
        <v>0</v>
      </c>
      <c r="V250" s="185">
        <f>SUM(H250, M250, R250, H251, M251, R251)</f>
        <v>0</v>
      </c>
      <c r="W250" s="200">
        <f>IF($U250=0, ,V250/$U250)</f>
        <v>0</v>
      </c>
      <c r="X250" s="185">
        <f>SUM(I250, N250, S250, I251, N251, S251)</f>
        <v>0</v>
      </c>
      <c r="Y250" s="200">
        <f>IF($U250=0, ,X250/$U250)</f>
        <v>0</v>
      </c>
      <c r="Z250" s="185">
        <f>SUM(J250, O250, T250, J251, O251, T251)</f>
        <v>0</v>
      </c>
      <c r="AA250" s="200">
        <f>IF($U250=0, ,Z250/$U250)</f>
        <v>0</v>
      </c>
      <c r="AB250" s="202" t="s">
        <v>106</v>
      </c>
    </row>
    <row r="251" spans="1:28" x14ac:dyDescent="0.2">
      <c r="A251" s="193"/>
      <c r="B251" s="176"/>
      <c r="C251" s="10"/>
      <c r="D251" s="10"/>
      <c r="E251" s="178"/>
      <c r="F251" s="13"/>
      <c r="G251" s="21">
        <f>F251/$U245</f>
        <v>0</v>
      </c>
      <c r="H251" s="13"/>
      <c r="I251" s="13"/>
      <c r="J251" s="13"/>
      <c r="K251" s="13"/>
      <c r="L251" s="21">
        <f>K251/$U245</f>
        <v>0</v>
      </c>
      <c r="M251" s="13"/>
      <c r="N251" s="13"/>
      <c r="O251" s="13"/>
      <c r="P251" s="13"/>
      <c r="Q251" s="21">
        <f>P251/$U245</f>
        <v>0</v>
      </c>
      <c r="R251" s="13"/>
      <c r="S251" s="13"/>
      <c r="T251" s="13"/>
      <c r="U251" s="186"/>
      <c r="V251" s="186"/>
      <c r="W251" s="201"/>
      <c r="X251" s="186"/>
      <c r="Y251" s="201"/>
      <c r="Z251" s="186"/>
      <c r="AA251" s="201"/>
      <c r="AB251" s="203"/>
    </row>
    <row r="252" spans="1:28" x14ac:dyDescent="0.2">
      <c r="A252" s="193"/>
      <c r="B252" s="194" t="s">
        <v>68</v>
      </c>
      <c r="C252" s="9">
        <v>21231</v>
      </c>
      <c r="D252" s="9" t="s">
        <v>70</v>
      </c>
      <c r="E252" s="149" t="s">
        <v>1</v>
      </c>
      <c r="F252" s="14">
        <v>0</v>
      </c>
      <c r="G252" s="22">
        <f>F252/$U245</f>
        <v>0</v>
      </c>
      <c r="H252" s="14"/>
      <c r="I252" s="14"/>
      <c r="J252" s="14"/>
      <c r="K252" s="14"/>
      <c r="L252" s="22">
        <f>K252/$U245</f>
        <v>0</v>
      </c>
      <c r="M252" s="14"/>
      <c r="N252" s="14"/>
      <c r="O252" s="14"/>
      <c r="P252" s="14"/>
      <c r="Q252" s="22">
        <f>P252/$U245</f>
        <v>0</v>
      </c>
      <c r="R252" s="14"/>
      <c r="S252" s="14"/>
      <c r="T252" s="14"/>
      <c r="U252" s="151">
        <f>SUM(F252, K252, P252, F253, K253, P253)</f>
        <v>0</v>
      </c>
      <c r="V252" s="151">
        <f>SUM(H252, M252, R252, H253, M253, R253)</f>
        <v>0</v>
      </c>
      <c r="W252" s="205">
        <f>IF($U252=0, ,V252/$U252)</f>
        <v>0</v>
      </c>
      <c r="X252" s="151">
        <f>SUM(I252, N252, S252, I253, N253, S253)</f>
        <v>0</v>
      </c>
      <c r="Y252" s="205">
        <f>IF($U252=0, ,X252/$U252)</f>
        <v>0</v>
      </c>
      <c r="Z252" s="151">
        <f>SUM(J252, O252, T252, J253, O253, T253)</f>
        <v>0</v>
      </c>
      <c r="AA252" s="205">
        <f>IF($U252=0, ,Z252/$U252)</f>
        <v>0</v>
      </c>
      <c r="AB252" s="179" t="s">
        <v>106</v>
      </c>
    </row>
    <row r="253" spans="1:28" x14ac:dyDescent="0.2">
      <c r="A253" s="193"/>
      <c r="B253" s="204"/>
      <c r="C253" s="9"/>
      <c r="D253" s="9"/>
      <c r="E253" s="150"/>
      <c r="F253" s="14"/>
      <c r="G253" s="22">
        <f>F253/$U245</f>
        <v>0</v>
      </c>
      <c r="H253" s="14"/>
      <c r="I253" s="14"/>
      <c r="J253" s="14"/>
      <c r="K253" s="14"/>
      <c r="L253" s="22">
        <f>K253/$U245</f>
        <v>0</v>
      </c>
      <c r="M253" s="14"/>
      <c r="N253" s="14"/>
      <c r="O253" s="14"/>
      <c r="P253" s="14"/>
      <c r="Q253" s="22">
        <f>P253/$U245</f>
        <v>0</v>
      </c>
      <c r="R253" s="14"/>
      <c r="S253" s="14"/>
      <c r="T253" s="14"/>
      <c r="U253" s="152"/>
      <c r="V253" s="152"/>
      <c r="W253" s="206"/>
      <c r="X253" s="152"/>
      <c r="Y253" s="206"/>
      <c r="Z253" s="152"/>
      <c r="AA253" s="206"/>
      <c r="AB253" s="156"/>
    </row>
    <row r="254" spans="1:28" ht="13.5" thickBot="1" x14ac:dyDescent="0.25">
      <c r="A254" s="193"/>
      <c r="B254" s="42"/>
      <c r="C254" s="42"/>
      <c r="D254" s="42"/>
      <c r="E254" s="42"/>
      <c r="F254" s="43"/>
      <c r="G254" s="44"/>
      <c r="H254" s="43"/>
      <c r="I254" s="43"/>
      <c r="J254" s="43"/>
      <c r="K254" s="43"/>
      <c r="L254" s="44"/>
      <c r="M254" s="43"/>
      <c r="N254" s="43"/>
      <c r="O254" s="43"/>
      <c r="P254" s="43"/>
      <c r="Q254" s="44"/>
      <c r="R254" s="43"/>
      <c r="S254" s="43"/>
      <c r="T254" s="46" t="s">
        <v>26</v>
      </c>
      <c r="U254" s="47">
        <f>SUM(U248:U253)</f>
        <v>0</v>
      </c>
      <c r="V254" s="47">
        <f>SUM(V248:V253)</f>
        <v>0</v>
      </c>
      <c r="W254" s="48">
        <f>IF($U254=0, ,V254/$U254)</f>
        <v>0</v>
      </c>
      <c r="X254" s="47">
        <f>SUM(X248:X253)</f>
        <v>0</v>
      </c>
      <c r="Y254" s="48">
        <f>IF($U254=0, ,X254/$U254)</f>
        <v>0</v>
      </c>
      <c r="Z254" s="47">
        <f>SUM(Z248:Z253)</f>
        <v>0</v>
      </c>
      <c r="AA254" s="48">
        <f>IF($U254=0, ,Z254/$U254)</f>
        <v>0</v>
      </c>
      <c r="AB254" s="45"/>
    </row>
    <row r="255" spans="1:28" ht="13.5" thickTop="1" x14ac:dyDescent="0.2">
      <c r="A255" s="193"/>
      <c r="B255" s="42"/>
      <c r="C255" s="42"/>
      <c r="D255" s="42"/>
      <c r="E255" s="42"/>
      <c r="F255" s="68"/>
      <c r="G255" s="68"/>
      <c r="H255" s="68"/>
      <c r="I255" s="68"/>
      <c r="J255" s="68"/>
      <c r="K255" s="68"/>
      <c r="L255" s="68"/>
      <c r="M255" s="68"/>
      <c r="N255" s="68"/>
      <c r="O255" s="69"/>
      <c r="P255" s="69"/>
      <c r="Q255" s="70"/>
      <c r="R255" s="69"/>
      <c r="S255" s="70"/>
      <c r="T255" s="71"/>
      <c r="U255" s="71"/>
      <c r="V255" s="71"/>
      <c r="W255" s="71"/>
      <c r="X255" s="71"/>
      <c r="Y255" s="71"/>
      <c r="Z255" s="71"/>
      <c r="AA255" s="71"/>
      <c r="AB255" s="72"/>
    </row>
    <row r="256" spans="1:28" x14ac:dyDescent="0.2">
      <c r="A256" s="193"/>
      <c r="B256" s="207" t="s">
        <v>32</v>
      </c>
      <c r="C256" s="207"/>
      <c r="D256" s="208"/>
      <c r="E256" s="77" t="s">
        <v>33</v>
      </c>
      <c r="F256" s="159" t="s">
        <v>29</v>
      </c>
      <c r="G256" s="159"/>
      <c r="H256" s="159"/>
      <c r="I256" s="159" t="s">
        <v>41</v>
      </c>
      <c r="J256" s="159"/>
      <c r="K256" s="159"/>
      <c r="L256" s="159" t="s">
        <v>30</v>
      </c>
      <c r="M256" s="159"/>
      <c r="N256" s="159"/>
      <c r="O256" s="159" t="s">
        <v>31</v>
      </c>
      <c r="P256" s="159"/>
      <c r="Q256" s="159"/>
      <c r="R256" s="159" t="s">
        <v>38</v>
      </c>
      <c r="S256" s="159"/>
      <c r="T256" s="159"/>
      <c r="U256" s="159" t="s">
        <v>60</v>
      </c>
      <c r="V256" s="159"/>
      <c r="W256" s="159"/>
      <c r="X256" s="159" t="s">
        <v>40</v>
      </c>
      <c r="Y256" s="159"/>
      <c r="Z256" s="159"/>
      <c r="AA256" s="215"/>
      <c r="AB256" s="216"/>
    </row>
    <row r="257" spans="1:28" x14ac:dyDescent="0.2">
      <c r="A257" s="193"/>
      <c r="B257" s="209"/>
      <c r="C257" s="209"/>
      <c r="D257" s="210"/>
      <c r="E257" s="82" t="s">
        <v>34</v>
      </c>
      <c r="F257" s="78" t="s">
        <v>35</v>
      </c>
      <c r="G257" s="78" t="s">
        <v>36</v>
      </c>
      <c r="H257" s="79" t="s">
        <v>37</v>
      </c>
      <c r="I257" s="78" t="s">
        <v>35</v>
      </c>
      <c r="J257" s="78" t="s">
        <v>36</v>
      </c>
      <c r="K257" s="79" t="s">
        <v>37</v>
      </c>
      <c r="L257" s="78" t="s">
        <v>35</v>
      </c>
      <c r="M257" s="78" t="s">
        <v>36</v>
      </c>
      <c r="N257" s="79" t="s">
        <v>37</v>
      </c>
      <c r="O257" s="78" t="s">
        <v>35</v>
      </c>
      <c r="P257" s="78" t="s">
        <v>36</v>
      </c>
      <c r="Q257" s="79" t="s">
        <v>37</v>
      </c>
      <c r="R257" s="78" t="s">
        <v>35</v>
      </c>
      <c r="S257" s="78" t="s">
        <v>36</v>
      </c>
      <c r="T257" s="79" t="s">
        <v>37</v>
      </c>
      <c r="U257" s="78" t="s">
        <v>35</v>
      </c>
      <c r="V257" s="78" t="s">
        <v>36</v>
      </c>
      <c r="W257" s="79" t="s">
        <v>37</v>
      </c>
      <c r="X257" s="78" t="s">
        <v>35</v>
      </c>
      <c r="Y257" s="78" t="s">
        <v>36</v>
      </c>
      <c r="Z257" s="79" t="s">
        <v>37</v>
      </c>
      <c r="AA257" s="216"/>
      <c r="AB257" s="216"/>
    </row>
    <row r="258" spans="1:28" x14ac:dyDescent="0.2">
      <c r="A258" s="193"/>
      <c r="B258" s="80" t="str">
        <f xml:space="preserve"> IF(ISBLANK(B248), "-",B248)</f>
        <v>HTL-01</v>
      </c>
      <c r="C258" s="80">
        <f xml:space="preserve"> IF(ISBLANK(C248), "-",C248)</f>
        <v>21234</v>
      </c>
      <c r="D258" s="80" t="str">
        <f xml:space="preserve"> IF(ISBLANK(D248), "-",D248)</f>
        <v>14ml    L’Oreal</v>
      </c>
      <c r="E258" s="170"/>
      <c r="F258" s="81">
        <v>0</v>
      </c>
      <c r="G258" s="74">
        <v>0</v>
      </c>
      <c r="H258" s="74">
        <v>0</v>
      </c>
      <c r="I258" s="74">
        <v>0</v>
      </c>
      <c r="J258" s="74">
        <v>0</v>
      </c>
      <c r="K258" s="74">
        <v>0</v>
      </c>
      <c r="L258" s="75">
        <v>0</v>
      </c>
      <c r="M258" s="75">
        <v>0</v>
      </c>
      <c r="N258" s="75">
        <v>0</v>
      </c>
      <c r="O258" s="75">
        <v>0</v>
      </c>
      <c r="P258" s="75">
        <v>0</v>
      </c>
      <c r="Q258" s="74">
        <v>0</v>
      </c>
      <c r="R258" s="75">
        <v>0</v>
      </c>
      <c r="S258" s="75">
        <v>0</v>
      </c>
      <c r="T258" s="75">
        <v>0</v>
      </c>
      <c r="U258" s="75">
        <v>0</v>
      </c>
      <c r="V258" s="75">
        <v>0</v>
      </c>
      <c r="W258" s="74">
        <v>0</v>
      </c>
      <c r="X258" s="74">
        <v>0</v>
      </c>
      <c r="Y258" s="74">
        <v>0</v>
      </c>
      <c r="Z258" s="76">
        <v>0</v>
      </c>
      <c r="AA258" s="216"/>
      <c r="AB258" s="216"/>
    </row>
    <row r="259" spans="1:28" x14ac:dyDescent="0.2">
      <c r="A259" s="193"/>
      <c r="B259" s="80" t="str">
        <f xml:space="preserve"> IF(ISBLANK(B250), "-",B250)</f>
        <v>HTL-02</v>
      </c>
      <c r="C259" s="80">
        <f xml:space="preserve"> IF(ISBLANK(C250), "-",C250)</f>
        <v>21231</v>
      </c>
      <c r="D259" s="80" t="str">
        <f xml:space="preserve"> IF(ISBLANK(D250), "-",D250)</f>
        <v>7ml   L’Oreal</v>
      </c>
      <c r="E259" s="171"/>
      <c r="F259" s="81">
        <v>0</v>
      </c>
      <c r="G259" s="74">
        <v>0</v>
      </c>
      <c r="H259" s="74">
        <v>0</v>
      </c>
      <c r="I259" s="74">
        <v>0</v>
      </c>
      <c r="J259" s="74">
        <v>0</v>
      </c>
      <c r="K259" s="74">
        <v>0</v>
      </c>
      <c r="L259" s="75">
        <v>0</v>
      </c>
      <c r="M259" s="75">
        <v>0</v>
      </c>
      <c r="N259" s="75">
        <v>0</v>
      </c>
      <c r="O259" s="75">
        <v>0</v>
      </c>
      <c r="P259" s="75">
        <v>0</v>
      </c>
      <c r="Q259" s="74">
        <v>0</v>
      </c>
      <c r="R259" s="75">
        <v>0</v>
      </c>
      <c r="S259" s="75">
        <v>0</v>
      </c>
      <c r="T259" s="75">
        <v>0</v>
      </c>
      <c r="U259" s="75">
        <v>0</v>
      </c>
      <c r="V259" s="75">
        <v>0</v>
      </c>
      <c r="W259" s="74">
        <v>0</v>
      </c>
      <c r="X259" s="74">
        <v>0</v>
      </c>
      <c r="Y259" s="74">
        <v>0</v>
      </c>
      <c r="Z259" s="97">
        <v>0</v>
      </c>
      <c r="AA259" s="216"/>
      <c r="AB259" s="216"/>
    </row>
    <row r="260" spans="1:28" x14ac:dyDescent="0.2">
      <c r="A260" s="193"/>
      <c r="B260" s="80" t="str">
        <f xml:space="preserve"> IF(ISBLANK(B252), "-",B252)</f>
        <v>HTL-03</v>
      </c>
      <c r="C260" s="80">
        <f xml:space="preserve"> IF(ISBLANK(C252), "-",C252)</f>
        <v>21231</v>
      </c>
      <c r="D260" s="80" t="str">
        <f xml:space="preserve"> IF(ISBLANK(D252), "-",D252)</f>
        <v>7ml   L’Oreal</v>
      </c>
      <c r="E260" s="172"/>
      <c r="F260" s="81">
        <v>0</v>
      </c>
      <c r="G260" s="74">
        <v>0</v>
      </c>
      <c r="H260" s="74">
        <v>0</v>
      </c>
      <c r="I260" s="74">
        <v>0</v>
      </c>
      <c r="J260" s="74">
        <v>0</v>
      </c>
      <c r="K260" s="74">
        <v>0</v>
      </c>
      <c r="L260" s="75">
        <v>0</v>
      </c>
      <c r="M260" s="75">
        <v>0</v>
      </c>
      <c r="N260" s="75">
        <v>0</v>
      </c>
      <c r="O260" s="75">
        <v>0</v>
      </c>
      <c r="P260" s="75">
        <v>0</v>
      </c>
      <c r="Q260" s="74">
        <v>0</v>
      </c>
      <c r="R260" s="75">
        <v>0</v>
      </c>
      <c r="S260" s="75">
        <v>0</v>
      </c>
      <c r="T260" s="75">
        <v>0</v>
      </c>
      <c r="U260" s="75">
        <v>0</v>
      </c>
      <c r="V260" s="75">
        <v>0</v>
      </c>
      <c r="W260" s="74">
        <v>0</v>
      </c>
      <c r="X260" s="74">
        <v>0</v>
      </c>
      <c r="Y260" s="74">
        <v>0</v>
      </c>
      <c r="Z260" s="76">
        <v>0</v>
      </c>
      <c r="AA260" s="216"/>
      <c r="AB260" s="216"/>
    </row>
    <row r="262" spans="1:28" x14ac:dyDescent="0.2">
      <c r="A262" s="193">
        <v>44728</v>
      </c>
      <c r="B262" s="16"/>
      <c r="C262" s="16" t="s">
        <v>20</v>
      </c>
      <c r="D262" s="17">
        <v>1</v>
      </c>
      <c r="E262" s="18"/>
      <c r="F262" s="18" t="s">
        <v>19</v>
      </c>
      <c r="G262" s="17">
        <v>0</v>
      </c>
      <c r="H262" s="17"/>
      <c r="I262" s="18"/>
      <c r="J262" s="18"/>
      <c r="K262" s="25"/>
      <c r="L262" s="25"/>
      <c r="M262" s="17"/>
      <c r="N262" s="18"/>
      <c r="O262" s="18"/>
      <c r="P262" s="25"/>
      <c r="Q262" s="25"/>
      <c r="R262" s="17"/>
      <c r="S262" s="18"/>
      <c r="T262" s="18"/>
      <c r="U262" s="31">
        <v>19140</v>
      </c>
      <c r="V262" s="32" t="s">
        <v>48</v>
      </c>
      <c r="W262" s="32"/>
      <c r="X262" s="33"/>
      <c r="Y262" s="24"/>
      <c r="Z262" s="24"/>
      <c r="AA262" s="24"/>
      <c r="AB262" s="26"/>
    </row>
    <row r="263" spans="1:28" x14ac:dyDescent="0.2">
      <c r="A263" s="193"/>
      <c r="B263" s="157" t="s">
        <v>3</v>
      </c>
      <c r="C263" s="158" t="s">
        <v>10</v>
      </c>
      <c r="D263" s="158" t="s">
        <v>12</v>
      </c>
      <c r="E263" s="180" t="s">
        <v>5</v>
      </c>
      <c r="F263" s="211" t="s">
        <v>6</v>
      </c>
      <c r="G263" s="212"/>
      <c r="H263" s="212"/>
      <c r="I263" s="212"/>
      <c r="J263" s="213"/>
      <c r="K263" s="211" t="s">
        <v>7</v>
      </c>
      <c r="L263" s="212"/>
      <c r="M263" s="212"/>
      <c r="N263" s="212"/>
      <c r="O263" s="213"/>
      <c r="P263" s="211" t="s">
        <v>8</v>
      </c>
      <c r="Q263" s="212"/>
      <c r="R263" s="212"/>
      <c r="S263" s="212"/>
      <c r="T263" s="213"/>
      <c r="U263" s="214" t="s">
        <v>15</v>
      </c>
      <c r="V263" s="214" t="s">
        <v>52</v>
      </c>
      <c r="W263" s="214" t="s">
        <v>53</v>
      </c>
      <c r="X263" s="214" t="s">
        <v>54</v>
      </c>
      <c r="Y263" s="214" t="s">
        <v>55</v>
      </c>
      <c r="Z263" s="214" t="s">
        <v>56</v>
      </c>
      <c r="AA263" s="214" t="s">
        <v>57</v>
      </c>
      <c r="AB263" s="214" t="s">
        <v>17</v>
      </c>
    </row>
    <row r="264" spans="1:28" ht="38.25" x14ac:dyDescent="0.2">
      <c r="A264" s="193"/>
      <c r="B264" s="157"/>
      <c r="C264" s="158"/>
      <c r="D264" s="158"/>
      <c r="E264" s="180"/>
      <c r="F264" s="15" t="s">
        <v>23</v>
      </c>
      <c r="G264" s="15" t="s">
        <v>47</v>
      </c>
      <c r="H264" s="15" t="s">
        <v>50</v>
      </c>
      <c r="I264" s="15" t="s">
        <v>49</v>
      </c>
      <c r="J264" s="15" t="s">
        <v>51</v>
      </c>
      <c r="K264" s="15" t="s">
        <v>23</v>
      </c>
      <c r="L264" s="15" t="s">
        <v>13</v>
      </c>
      <c r="M264" s="15" t="s">
        <v>50</v>
      </c>
      <c r="N264" s="15" t="s">
        <v>49</v>
      </c>
      <c r="O264" s="15" t="s">
        <v>51</v>
      </c>
      <c r="P264" s="15" t="s">
        <v>23</v>
      </c>
      <c r="Q264" s="15" t="s">
        <v>13</v>
      </c>
      <c r="R264" s="15" t="s">
        <v>50</v>
      </c>
      <c r="S264" s="15" t="s">
        <v>49</v>
      </c>
      <c r="T264" s="15" t="s">
        <v>51</v>
      </c>
      <c r="U264" s="214"/>
      <c r="V264" s="214"/>
      <c r="W264" s="214"/>
      <c r="X264" s="214"/>
      <c r="Y264" s="214"/>
      <c r="Z264" s="214"/>
      <c r="AA264" s="214"/>
      <c r="AB264" s="214"/>
    </row>
    <row r="265" spans="1:28" x14ac:dyDescent="0.2">
      <c r="A265" s="193"/>
      <c r="B265" s="194" t="s">
        <v>64</v>
      </c>
      <c r="C265" s="11">
        <v>21234</v>
      </c>
      <c r="D265" s="11" t="s">
        <v>71</v>
      </c>
      <c r="E265" s="196" t="s">
        <v>1</v>
      </c>
      <c r="F265" s="12">
        <v>0</v>
      </c>
      <c r="G265" s="20">
        <f>F265/$U262</f>
        <v>0</v>
      </c>
      <c r="H265" s="12"/>
      <c r="I265" s="12"/>
      <c r="J265" s="12"/>
      <c r="K265" s="12"/>
      <c r="L265" s="20">
        <f>K265/$U262</f>
        <v>0</v>
      </c>
      <c r="M265" s="12"/>
      <c r="N265" s="12"/>
      <c r="O265" s="12"/>
      <c r="P265" s="12"/>
      <c r="Q265" s="20">
        <f>P265/$U262</f>
        <v>0</v>
      </c>
      <c r="R265" s="12"/>
      <c r="S265" s="12"/>
      <c r="T265" s="12"/>
      <c r="U265" s="151">
        <f>SUM(F265, K265, P265, F266, K266, P266)</f>
        <v>0</v>
      </c>
      <c r="V265" s="151">
        <f>SUM(H265, M265, R265, H266, M266, R266)</f>
        <v>0</v>
      </c>
      <c r="W265" s="205">
        <f>IF($U265=0, ,V265/$U265)</f>
        <v>0</v>
      </c>
      <c r="X265" s="151">
        <f>SUM(I265, N265, S265, I266, N266, S266)</f>
        <v>0</v>
      </c>
      <c r="Y265" s="205">
        <f>IF($U265=0, ,X265/$U265)</f>
        <v>0</v>
      </c>
      <c r="Z265" s="151">
        <f>SUM(J265, O265, T265, J266, O266, T266)</f>
        <v>0</v>
      </c>
      <c r="AA265" s="205">
        <f>IF($U265=0, ,Z265/$U265)</f>
        <v>0</v>
      </c>
      <c r="AB265" s="179" t="s">
        <v>106</v>
      </c>
    </row>
    <row r="266" spans="1:28" x14ac:dyDescent="0.2">
      <c r="A266" s="193"/>
      <c r="B266" s="204"/>
      <c r="C266" s="11"/>
      <c r="D266" s="11"/>
      <c r="E266" s="198"/>
      <c r="F266" s="12"/>
      <c r="G266" s="20">
        <f>F266/$U262</f>
        <v>0</v>
      </c>
      <c r="H266" s="12"/>
      <c r="I266" s="12"/>
      <c r="J266" s="12"/>
      <c r="K266" s="12"/>
      <c r="L266" s="20">
        <f>K266/$U262</f>
        <v>0</v>
      </c>
      <c r="M266" s="12"/>
      <c r="N266" s="12"/>
      <c r="O266" s="12"/>
      <c r="P266" s="12"/>
      <c r="Q266" s="20">
        <f>P266/$U262</f>
        <v>0</v>
      </c>
      <c r="R266" s="12"/>
      <c r="S266" s="12"/>
      <c r="T266" s="12"/>
      <c r="U266" s="152"/>
      <c r="V266" s="152"/>
      <c r="W266" s="206"/>
      <c r="X266" s="152"/>
      <c r="Y266" s="206"/>
      <c r="Z266" s="152"/>
      <c r="AA266" s="206"/>
      <c r="AB266" s="156"/>
    </row>
    <row r="267" spans="1:28" x14ac:dyDescent="0.2">
      <c r="A267" s="193"/>
      <c r="B267" s="175" t="s">
        <v>69</v>
      </c>
      <c r="C267" s="10">
        <v>21231</v>
      </c>
      <c r="D267" s="10" t="s">
        <v>70</v>
      </c>
      <c r="E267" s="177" t="s">
        <v>1</v>
      </c>
      <c r="F267" s="13">
        <v>0</v>
      </c>
      <c r="G267" s="21">
        <f>F267/$U262</f>
        <v>0</v>
      </c>
      <c r="H267" s="13"/>
      <c r="I267" s="13"/>
      <c r="J267" s="13"/>
      <c r="K267" s="13"/>
      <c r="L267" s="21">
        <f>K267/$U262</f>
        <v>0</v>
      </c>
      <c r="M267" s="13"/>
      <c r="N267" s="13"/>
      <c r="O267" s="13"/>
      <c r="P267" s="13"/>
      <c r="Q267" s="21">
        <f>P267/$U262</f>
        <v>0</v>
      </c>
      <c r="R267" s="13"/>
      <c r="S267" s="13"/>
      <c r="T267" s="13"/>
      <c r="U267" s="185">
        <f>SUM(F267, K267, P267, F268, K268, P268)</f>
        <v>0</v>
      </c>
      <c r="V267" s="185">
        <f>SUM(H267, M267, R267, H268, M268, R268)</f>
        <v>0</v>
      </c>
      <c r="W267" s="200">
        <f>IF($U267=0, ,V267/$U267)</f>
        <v>0</v>
      </c>
      <c r="X267" s="185">
        <f>SUM(I267, N267, S267, I268, N268, S268)</f>
        <v>0</v>
      </c>
      <c r="Y267" s="200">
        <f>IF($U267=0, ,X267/$U267)</f>
        <v>0</v>
      </c>
      <c r="Z267" s="185">
        <f>SUM(J267, O267, T267, J268, O268, T268)</f>
        <v>0</v>
      </c>
      <c r="AA267" s="200">
        <f>IF($U267=0, ,Z267/$U267)</f>
        <v>0</v>
      </c>
      <c r="AB267" s="202" t="s">
        <v>106</v>
      </c>
    </row>
    <row r="268" spans="1:28" x14ac:dyDescent="0.2">
      <c r="A268" s="193"/>
      <c r="B268" s="176"/>
      <c r="C268" s="10"/>
      <c r="D268" s="10"/>
      <c r="E268" s="178"/>
      <c r="F268" s="13"/>
      <c r="G268" s="21">
        <f>F268/$U262</f>
        <v>0</v>
      </c>
      <c r="H268" s="13"/>
      <c r="I268" s="13"/>
      <c r="J268" s="13"/>
      <c r="K268" s="13"/>
      <c r="L268" s="21">
        <f>K268/$U262</f>
        <v>0</v>
      </c>
      <c r="M268" s="13"/>
      <c r="N268" s="13"/>
      <c r="O268" s="13"/>
      <c r="P268" s="13"/>
      <c r="Q268" s="21">
        <f>P268/$U262</f>
        <v>0</v>
      </c>
      <c r="R268" s="13"/>
      <c r="S268" s="13"/>
      <c r="T268" s="13"/>
      <c r="U268" s="186"/>
      <c r="V268" s="186"/>
      <c r="W268" s="201"/>
      <c r="X268" s="186"/>
      <c r="Y268" s="201"/>
      <c r="Z268" s="186"/>
      <c r="AA268" s="201"/>
      <c r="AB268" s="203"/>
    </row>
    <row r="269" spans="1:28" x14ac:dyDescent="0.2">
      <c r="A269" s="193"/>
      <c r="B269" s="194" t="s">
        <v>68</v>
      </c>
      <c r="C269" s="9">
        <v>21231</v>
      </c>
      <c r="D269" s="9" t="s">
        <v>70</v>
      </c>
      <c r="E269" s="149" t="s">
        <v>1</v>
      </c>
      <c r="F269" s="14">
        <v>0</v>
      </c>
      <c r="G269" s="22">
        <f>F269/$U262</f>
        <v>0</v>
      </c>
      <c r="H269" s="14"/>
      <c r="I269" s="14"/>
      <c r="J269" s="14"/>
      <c r="K269" s="14"/>
      <c r="L269" s="22">
        <f>K269/$U262</f>
        <v>0</v>
      </c>
      <c r="M269" s="14"/>
      <c r="N269" s="14"/>
      <c r="O269" s="14"/>
      <c r="P269" s="14"/>
      <c r="Q269" s="22">
        <f>P269/$U262</f>
        <v>0</v>
      </c>
      <c r="R269" s="14"/>
      <c r="S269" s="14"/>
      <c r="T269" s="14"/>
      <c r="U269" s="151">
        <f>SUM(F269, K269, P269, F270, K270, P270)</f>
        <v>0</v>
      </c>
      <c r="V269" s="151">
        <f>SUM(H269, M269, R269, H270, M270, R270)</f>
        <v>0</v>
      </c>
      <c r="W269" s="205">
        <f>IF($U269=0, ,V269/$U269)</f>
        <v>0</v>
      </c>
      <c r="X269" s="151">
        <f>SUM(I269, N269, S269, I270, N270, S270)</f>
        <v>0</v>
      </c>
      <c r="Y269" s="205">
        <f>IF($U269=0, ,X269/$U269)</f>
        <v>0</v>
      </c>
      <c r="Z269" s="151">
        <f>SUM(J269, O269, T269, J270, O270, T270)</f>
        <v>0</v>
      </c>
      <c r="AA269" s="205">
        <f>IF($U269=0, ,Z269/$U269)</f>
        <v>0</v>
      </c>
      <c r="AB269" s="179" t="s">
        <v>106</v>
      </c>
    </row>
    <row r="270" spans="1:28" x14ac:dyDescent="0.2">
      <c r="A270" s="193"/>
      <c r="B270" s="204"/>
      <c r="C270" s="9"/>
      <c r="D270" s="9"/>
      <c r="E270" s="150"/>
      <c r="F270" s="14"/>
      <c r="G270" s="22">
        <f>F270/$U262</f>
        <v>0</v>
      </c>
      <c r="H270" s="14"/>
      <c r="I270" s="14"/>
      <c r="J270" s="14"/>
      <c r="K270" s="14"/>
      <c r="L270" s="22">
        <f>K270/$U262</f>
        <v>0</v>
      </c>
      <c r="M270" s="14"/>
      <c r="N270" s="14"/>
      <c r="O270" s="14"/>
      <c r="P270" s="14"/>
      <c r="Q270" s="22">
        <f>P270/$U262</f>
        <v>0</v>
      </c>
      <c r="R270" s="14"/>
      <c r="S270" s="14"/>
      <c r="T270" s="14"/>
      <c r="U270" s="152"/>
      <c r="V270" s="152"/>
      <c r="W270" s="206"/>
      <c r="X270" s="152"/>
      <c r="Y270" s="206"/>
      <c r="Z270" s="152"/>
      <c r="AA270" s="206"/>
      <c r="AB270" s="156"/>
    </row>
    <row r="271" spans="1:28" ht="13.5" thickBot="1" x14ac:dyDescent="0.25">
      <c r="A271" s="193"/>
      <c r="B271" s="42"/>
      <c r="C271" s="42"/>
      <c r="D271" s="42"/>
      <c r="E271" s="42"/>
      <c r="F271" s="43"/>
      <c r="G271" s="44"/>
      <c r="H271" s="43"/>
      <c r="I271" s="43"/>
      <c r="J271" s="43"/>
      <c r="K271" s="43"/>
      <c r="L271" s="44"/>
      <c r="M271" s="43"/>
      <c r="N271" s="43"/>
      <c r="O271" s="43"/>
      <c r="P271" s="43"/>
      <c r="Q271" s="44"/>
      <c r="R271" s="43"/>
      <c r="S271" s="43"/>
      <c r="T271" s="46" t="s">
        <v>26</v>
      </c>
      <c r="U271" s="47">
        <f>SUM(U265:U270)</f>
        <v>0</v>
      </c>
      <c r="V271" s="47">
        <f>SUM(V265:V270)</f>
        <v>0</v>
      </c>
      <c r="W271" s="48">
        <f>IF($U271=0, ,V271/$U271)</f>
        <v>0</v>
      </c>
      <c r="X271" s="47">
        <f>SUM(X265:X270)</f>
        <v>0</v>
      </c>
      <c r="Y271" s="48">
        <f>IF($U271=0, ,X271/$U271)</f>
        <v>0</v>
      </c>
      <c r="Z271" s="47">
        <f>SUM(Z265:Z270)</f>
        <v>0</v>
      </c>
      <c r="AA271" s="48">
        <f>IF($U271=0, ,Z271/$U271)</f>
        <v>0</v>
      </c>
      <c r="AB271" s="45"/>
    </row>
    <row r="272" spans="1:28" ht="13.5" thickTop="1" x14ac:dyDescent="0.2">
      <c r="A272" s="193"/>
      <c r="B272" s="42"/>
      <c r="C272" s="42"/>
      <c r="D272" s="42"/>
      <c r="E272" s="42"/>
      <c r="F272" s="68"/>
      <c r="G272" s="68"/>
      <c r="H272" s="68"/>
      <c r="I272" s="68"/>
      <c r="J272" s="68"/>
      <c r="K272" s="68"/>
      <c r="L272" s="68"/>
      <c r="M272" s="68"/>
      <c r="N272" s="68"/>
      <c r="O272" s="69"/>
      <c r="P272" s="69"/>
      <c r="Q272" s="70"/>
      <c r="R272" s="69"/>
      <c r="S272" s="70"/>
      <c r="T272" s="71"/>
      <c r="U272" s="71"/>
      <c r="V272" s="71"/>
      <c r="W272" s="71"/>
      <c r="X272" s="71"/>
      <c r="Y272" s="71"/>
      <c r="Z272" s="71"/>
      <c r="AA272" s="71"/>
      <c r="AB272" s="72"/>
    </row>
    <row r="273" spans="1:28" x14ac:dyDescent="0.2">
      <c r="A273" s="193"/>
      <c r="B273" s="207" t="s">
        <v>32</v>
      </c>
      <c r="C273" s="207"/>
      <c r="D273" s="208"/>
      <c r="E273" s="77" t="s">
        <v>33</v>
      </c>
      <c r="F273" s="159" t="s">
        <v>29</v>
      </c>
      <c r="G273" s="159"/>
      <c r="H273" s="159"/>
      <c r="I273" s="159" t="s">
        <v>41</v>
      </c>
      <c r="J273" s="159"/>
      <c r="K273" s="159"/>
      <c r="L273" s="159" t="s">
        <v>30</v>
      </c>
      <c r="M273" s="159"/>
      <c r="N273" s="159"/>
      <c r="O273" s="159" t="s">
        <v>31</v>
      </c>
      <c r="P273" s="159"/>
      <c r="Q273" s="159"/>
      <c r="R273" s="159" t="s">
        <v>38</v>
      </c>
      <c r="S273" s="159"/>
      <c r="T273" s="159"/>
      <c r="U273" s="159" t="s">
        <v>60</v>
      </c>
      <c r="V273" s="159"/>
      <c r="W273" s="159"/>
      <c r="X273" s="159" t="s">
        <v>40</v>
      </c>
      <c r="Y273" s="159"/>
      <c r="Z273" s="159"/>
      <c r="AA273" s="215"/>
      <c r="AB273" s="216"/>
    </row>
    <row r="274" spans="1:28" x14ac:dyDescent="0.2">
      <c r="A274" s="193"/>
      <c r="B274" s="209"/>
      <c r="C274" s="209"/>
      <c r="D274" s="210"/>
      <c r="E274" s="82" t="s">
        <v>34</v>
      </c>
      <c r="F274" s="78" t="s">
        <v>35</v>
      </c>
      <c r="G274" s="78" t="s">
        <v>36</v>
      </c>
      <c r="H274" s="79" t="s">
        <v>37</v>
      </c>
      <c r="I274" s="78" t="s">
        <v>35</v>
      </c>
      <c r="J274" s="78" t="s">
        <v>36</v>
      </c>
      <c r="K274" s="79" t="s">
        <v>37</v>
      </c>
      <c r="L274" s="78" t="s">
        <v>35</v>
      </c>
      <c r="M274" s="78" t="s">
        <v>36</v>
      </c>
      <c r="N274" s="79" t="s">
        <v>37</v>
      </c>
      <c r="O274" s="78" t="s">
        <v>35</v>
      </c>
      <c r="P274" s="78" t="s">
        <v>36</v>
      </c>
      <c r="Q274" s="79" t="s">
        <v>37</v>
      </c>
      <c r="R274" s="78" t="s">
        <v>35</v>
      </c>
      <c r="S274" s="78" t="s">
        <v>36</v>
      </c>
      <c r="T274" s="79" t="s">
        <v>37</v>
      </c>
      <c r="U274" s="78" t="s">
        <v>35</v>
      </c>
      <c r="V274" s="78" t="s">
        <v>36</v>
      </c>
      <c r="W274" s="79" t="s">
        <v>37</v>
      </c>
      <c r="X274" s="78" t="s">
        <v>35</v>
      </c>
      <c r="Y274" s="78" t="s">
        <v>36</v>
      </c>
      <c r="Z274" s="79" t="s">
        <v>37</v>
      </c>
      <c r="AA274" s="216"/>
      <c r="AB274" s="216"/>
    </row>
    <row r="275" spans="1:28" x14ac:dyDescent="0.2">
      <c r="A275" s="193"/>
      <c r="B275" s="80" t="str">
        <f xml:space="preserve"> IF(ISBLANK(B265), "-",B265)</f>
        <v>HTL-01</v>
      </c>
      <c r="C275" s="80">
        <f xml:space="preserve"> IF(ISBLANK(C265), "-",C265)</f>
        <v>21234</v>
      </c>
      <c r="D275" s="80" t="str">
        <f xml:space="preserve"> IF(ISBLANK(D265), "-",D265)</f>
        <v>14ml    L’Oreal</v>
      </c>
      <c r="E275" s="170"/>
      <c r="F275" s="81">
        <v>0</v>
      </c>
      <c r="G275" s="74">
        <v>0</v>
      </c>
      <c r="H275" s="74">
        <v>0</v>
      </c>
      <c r="I275" s="74">
        <v>0</v>
      </c>
      <c r="J275" s="74">
        <v>0</v>
      </c>
      <c r="K275" s="74">
        <v>0</v>
      </c>
      <c r="L275" s="75">
        <v>0</v>
      </c>
      <c r="M275" s="75">
        <v>0</v>
      </c>
      <c r="N275" s="75">
        <v>0</v>
      </c>
      <c r="O275" s="75">
        <v>0</v>
      </c>
      <c r="P275" s="75">
        <v>0</v>
      </c>
      <c r="Q275" s="74">
        <v>0</v>
      </c>
      <c r="R275" s="75">
        <v>0</v>
      </c>
      <c r="S275" s="75">
        <v>0</v>
      </c>
      <c r="T275" s="75">
        <v>0</v>
      </c>
      <c r="U275" s="75">
        <v>0</v>
      </c>
      <c r="V275" s="75">
        <v>0</v>
      </c>
      <c r="W275" s="74">
        <v>0</v>
      </c>
      <c r="X275" s="74">
        <v>0</v>
      </c>
      <c r="Y275" s="74">
        <v>0</v>
      </c>
      <c r="Z275" s="76">
        <v>0</v>
      </c>
      <c r="AA275" s="216"/>
      <c r="AB275" s="216"/>
    </row>
    <row r="276" spans="1:28" x14ac:dyDescent="0.2">
      <c r="A276" s="193"/>
      <c r="B276" s="80" t="str">
        <f xml:space="preserve"> IF(ISBLANK(B267), "-",B267)</f>
        <v>HTL-02</v>
      </c>
      <c r="C276" s="80">
        <f xml:space="preserve"> IF(ISBLANK(C267), "-",C267)</f>
        <v>21231</v>
      </c>
      <c r="D276" s="80" t="str">
        <f xml:space="preserve"> IF(ISBLANK(D267), "-",D267)</f>
        <v>7ml   L’Oreal</v>
      </c>
      <c r="E276" s="171"/>
      <c r="F276" s="81">
        <v>0</v>
      </c>
      <c r="G276" s="74">
        <v>0</v>
      </c>
      <c r="H276" s="74">
        <v>0</v>
      </c>
      <c r="I276" s="74">
        <v>0</v>
      </c>
      <c r="J276" s="74">
        <v>0</v>
      </c>
      <c r="K276" s="74">
        <v>0</v>
      </c>
      <c r="L276" s="75">
        <v>0</v>
      </c>
      <c r="M276" s="75">
        <v>0</v>
      </c>
      <c r="N276" s="75">
        <v>0</v>
      </c>
      <c r="O276" s="75">
        <v>0</v>
      </c>
      <c r="P276" s="75">
        <v>0</v>
      </c>
      <c r="Q276" s="74">
        <v>0</v>
      </c>
      <c r="R276" s="75">
        <v>0</v>
      </c>
      <c r="S276" s="75">
        <v>0</v>
      </c>
      <c r="T276" s="75">
        <v>0</v>
      </c>
      <c r="U276" s="75">
        <v>0</v>
      </c>
      <c r="V276" s="75">
        <v>0</v>
      </c>
      <c r="W276" s="74">
        <v>0</v>
      </c>
      <c r="X276" s="74">
        <v>0</v>
      </c>
      <c r="Y276" s="74">
        <v>0</v>
      </c>
      <c r="Z276" s="97">
        <v>0</v>
      </c>
      <c r="AA276" s="216"/>
      <c r="AB276" s="216"/>
    </row>
    <row r="277" spans="1:28" x14ac:dyDescent="0.2">
      <c r="A277" s="193"/>
      <c r="B277" s="80" t="str">
        <f xml:space="preserve"> IF(ISBLANK(B269), "-",B269)</f>
        <v>HTL-03</v>
      </c>
      <c r="C277" s="80">
        <f xml:space="preserve"> IF(ISBLANK(C269), "-",C269)</f>
        <v>21231</v>
      </c>
      <c r="D277" s="80" t="str">
        <f xml:space="preserve"> IF(ISBLANK(D269), "-",D269)</f>
        <v>7ml   L’Oreal</v>
      </c>
      <c r="E277" s="172"/>
      <c r="F277" s="81">
        <v>0</v>
      </c>
      <c r="G277" s="74">
        <v>0</v>
      </c>
      <c r="H277" s="74">
        <v>0</v>
      </c>
      <c r="I277" s="74">
        <v>0</v>
      </c>
      <c r="J277" s="74">
        <v>0</v>
      </c>
      <c r="K277" s="74">
        <v>0</v>
      </c>
      <c r="L277" s="75">
        <v>0</v>
      </c>
      <c r="M277" s="75">
        <v>0</v>
      </c>
      <c r="N277" s="75">
        <v>0</v>
      </c>
      <c r="O277" s="75">
        <v>0</v>
      </c>
      <c r="P277" s="75">
        <v>0</v>
      </c>
      <c r="Q277" s="74">
        <v>0</v>
      </c>
      <c r="R277" s="75">
        <v>0</v>
      </c>
      <c r="S277" s="75">
        <v>0</v>
      </c>
      <c r="T277" s="75">
        <v>0</v>
      </c>
      <c r="U277" s="75">
        <v>0</v>
      </c>
      <c r="V277" s="75">
        <v>0</v>
      </c>
      <c r="W277" s="74">
        <v>0</v>
      </c>
      <c r="X277" s="74">
        <v>0</v>
      </c>
      <c r="Y277" s="74">
        <v>0</v>
      </c>
      <c r="Z277" s="76">
        <v>0</v>
      </c>
      <c r="AA277" s="216"/>
      <c r="AB277" s="216"/>
    </row>
    <row r="279" spans="1:28" ht="12.75" customHeight="1" x14ac:dyDescent="0.2">
      <c r="A279" s="223">
        <v>44729</v>
      </c>
      <c r="B279" s="16"/>
      <c r="C279" s="16" t="s">
        <v>20</v>
      </c>
      <c r="D279" s="17">
        <v>1</v>
      </c>
      <c r="E279" s="18"/>
      <c r="F279" s="18" t="s">
        <v>19</v>
      </c>
      <c r="G279" s="17">
        <v>0</v>
      </c>
      <c r="H279" s="17"/>
      <c r="I279" s="18"/>
      <c r="J279" s="18"/>
      <c r="K279" s="25"/>
      <c r="L279" s="25"/>
      <c r="M279" s="17"/>
      <c r="N279" s="18"/>
      <c r="O279" s="18"/>
      <c r="P279" s="25"/>
      <c r="Q279" s="25"/>
      <c r="R279" s="17"/>
      <c r="S279" s="18"/>
      <c r="T279" s="18"/>
      <c r="U279" s="31">
        <v>19140</v>
      </c>
      <c r="V279" s="32" t="s">
        <v>48</v>
      </c>
      <c r="W279" s="32"/>
      <c r="X279" s="33"/>
      <c r="Y279" s="24"/>
      <c r="Z279" s="24"/>
      <c r="AA279" s="24"/>
      <c r="AB279" s="26"/>
    </row>
    <row r="280" spans="1:28" ht="12.75" customHeight="1" x14ac:dyDescent="0.2">
      <c r="A280" s="224"/>
      <c r="B280" s="157" t="s">
        <v>3</v>
      </c>
      <c r="C280" s="158" t="s">
        <v>10</v>
      </c>
      <c r="D280" s="158" t="s">
        <v>12</v>
      </c>
      <c r="E280" s="180" t="s">
        <v>5</v>
      </c>
      <c r="F280" s="211" t="s">
        <v>6</v>
      </c>
      <c r="G280" s="212"/>
      <c r="H280" s="212"/>
      <c r="I280" s="212"/>
      <c r="J280" s="213"/>
      <c r="K280" s="211" t="s">
        <v>7</v>
      </c>
      <c r="L280" s="212"/>
      <c r="M280" s="212"/>
      <c r="N280" s="212"/>
      <c r="O280" s="213"/>
      <c r="P280" s="211" t="s">
        <v>8</v>
      </c>
      <c r="Q280" s="212"/>
      <c r="R280" s="212"/>
      <c r="S280" s="212"/>
      <c r="T280" s="213"/>
      <c r="U280" s="214" t="s">
        <v>15</v>
      </c>
      <c r="V280" s="214" t="s">
        <v>52</v>
      </c>
      <c r="W280" s="214" t="s">
        <v>53</v>
      </c>
      <c r="X280" s="214" t="s">
        <v>54</v>
      </c>
      <c r="Y280" s="214" t="s">
        <v>55</v>
      </c>
      <c r="Z280" s="214" t="s">
        <v>56</v>
      </c>
      <c r="AA280" s="214" t="s">
        <v>57</v>
      </c>
      <c r="AB280" s="214" t="s">
        <v>17</v>
      </c>
    </row>
    <row r="281" spans="1:28" ht="38.25" x14ac:dyDescent="0.2">
      <c r="A281" s="224"/>
      <c r="B281" s="157"/>
      <c r="C281" s="158"/>
      <c r="D281" s="158"/>
      <c r="E281" s="180"/>
      <c r="F281" s="15" t="s">
        <v>23</v>
      </c>
      <c r="G281" s="15" t="s">
        <v>47</v>
      </c>
      <c r="H281" s="15" t="s">
        <v>50</v>
      </c>
      <c r="I281" s="15" t="s">
        <v>49</v>
      </c>
      <c r="J281" s="15" t="s">
        <v>51</v>
      </c>
      <c r="K281" s="15" t="s">
        <v>23</v>
      </c>
      <c r="L281" s="15" t="s">
        <v>13</v>
      </c>
      <c r="M281" s="15" t="s">
        <v>50</v>
      </c>
      <c r="N281" s="15" t="s">
        <v>49</v>
      </c>
      <c r="O281" s="15" t="s">
        <v>51</v>
      </c>
      <c r="P281" s="15" t="s">
        <v>23</v>
      </c>
      <c r="Q281" s="15" t="s">
        <v>13</v>
      </c>
      <c r="R281" s="15" t="s">
        <v>50</v>
      </c>
      <c r="S281" s="15" t="s">
        <v>49</v>
      </c>
      <c r="T281" s="15" t="s">
        <v>51</v>
      </c>
      <c r="U281" s="214"/>
      <c r="V281" s="214"/>
      <c r="W281" s="214"/>
      <c r="X281" s="214"/>
      <c r="Y281" s="214"/>
      <c r="Z281" s="214"/>
      <c r="AA281" s="214"/>
      <c r="AB281" s="214"/>
    </row>
    <row r="282" spans="1:28" ht="12.75" customHeight="1" x14ac:dyDescent="0.2">
      <c r="A282" s="224"/>
      <c r="B282" s="194" t="s">
        <v>64</v>
      </c>
      <c r="C282" s="11">
        <v>21234</v>
      </c>
      <c r="D282" s="11" t="s">
        <v>71</v>
      </c>
      <c r="E282" s="196" t="s">
        <v>1</v>
      </c>
      <c r="F282" s="12">
        <v>6335</v>
      </c>
      <c r="G282" s="20">
        <f t="shared" ref="G282:G289" si="0">F282/$U$279</f>
        <v>0.33098223615464994</v>
      </c>
      <c r="H282" s="12"/>
      <c r="I282" s="12"/>
      <c r="J282" s="12"/>
      <c r="K282" s="12">
        <v>8187</v>
      </c>
      <c r="L282" s="20">
        <f t="shared" ref="L282:L289" si="1">K282/$U$279</f>
        <v>0.42774294670846397</v>
      </c>
      <c r="M282" s="12"/>
      <c r="N282" s="12"/>
      <c r="O282" s="12"/>
      <c r="P282" s="12">
        <v>8122</v>
      </c>
      <c r="Q282" s="20">
        <f t="shared" ref="Q282:Q289" si="2">P282/$U$279</f>
        <v>0.42434691745036573</v>
      </c>
      <c r="R282" s="12"/>
      <c r="S282" s="12"/>
      <c r="T282" s="12"/>
      <c r="U282" s="151">
        <f>SUM(F282, K282, P282, F283, K283, P283)</f>
        <v>22644</v>
      </c>
      <c r="V282" s="151">
        <f>SUM(H282, M282, R282, H283, M283, R283)</f>
        <v>0</v>
      </c>
      <c r="W282" s="205">
        <f>IF($U282=0, ,V282/$U282)</f>
        <v>0</v>
      </c>
      <c r="X282" s="151">
        <f>SUM(I282, N282, S282, I283, N283, S283)</f>
        <v>0</v>
      </c>
      <c r="Y282" s="205">
        <f>IF($U282=0, ,X282/$U282)</f>
        <v>0</v>
      </c>
      <c r="Z282" s="151">
        <f>SUM(J282, O282, T282, J283, O283, T283)</f>
        <v>0</v>
      </c>
      <c r="AA282" s="205">
        <f>IF($U282=0, ,Z282/$U282)</f>
        <v>0</v>
      </c>
      <c r="AB282" s="179" t="s">
        <v>117</v>
      </c>
    </row>
    <row r="283" spans="1:28" ht="12.75" customHeight="1" x14ac:dyDescent="0.2">
      <c r="A283" s="224"/>
      <c r="B283" s="204"/>
      <c r="C283" s="11"/>
      <c r="D283" s="11"/>
      <c r="E283" s="198"/>
      <c r="F283" s="12"/>
      <c r="G283" s="20">
        <f t="shared" si="0"/>
        <v>0</v>
      </c>
      <c r="H283" s="12"/>
      <c r="I283" s="12"/>
      <c r="J283" s="12"/>
      <c r="K283" s="12"/>
      <c r="L283" s="20">
        <f t="shared" si="1"/>
        <v>0</v>
      </c>
      <c r="M283" s="12"/>
      <c r="N283" s="12"/>
      <c r="O283" s="12"/>
      <c r="P283" s="12"/>
      <c r="Q283" s="20">
        <f t="shared" si="2"/>
        <v>0</v>
      </c>
      <c r="R283" s="12"/>
      <c r="S283" s="12"/>
      <c r="T283" s="12"/>
      <c r="U283" s="152"/>
      <c r="V283" s="152"/>
      <c r="W283" s="206"/>
      <c r="X283" s="152"/>
      <c r="Y283" s="206"/>
      <c r="Z283" s="152"/>
      <c r="AA283" s="206"/>
      <c r="AB283" s="156"/>
    </row>
    <row r="284" spans="1:28" ht="12.75" customHeight="1" x14ac:dyDescent="0.2">
      <c r="A284" s="224"/>
      <c r="B284" s="175" t="s">
        <v>69</v>
      </c>
      <c r="C284" s="10">
        <v>21231</v>
      </c>
      <c r="D284" s="10" t="s">
        <v>70</v>
      </c>
      <c r="E284" s="177" t="s">
        <v>1</v>
      </c>
      <c r="F284" s="13">
        <v>0</v>
      </c>
      <c r="G284" s="21">
        <f t="shared" si="0"/>
        <v>0</v>
      </c>
      <c r="H284" s="13"/>
      <c r="I284" s="13"/>
      <c r="J284" s="13"/>
      <c r="K284" s="13"/>
      <c r="L284" s="21">
        <f t="shared" si="1"/>
        <v>0</v>
      </c>
      <c r="M284" s="13"/>
      <c r="N284" s="13"/>
      <c r="O284" s="13"/>
      <c r="P284" s="13"/>
      <c r="Q284" s="21">
        <f t="shared" si="2"/>
        <v>0</v>
      </c>
      <c r="R284" s="13"/>
      <c r="S284" s="13"/>
      <c r="T284" s="13"/>
      <c r="U284" s="185">
        <f>SUM(F284, K284, P284, F285, K285, P285)</f>
        <v>0</v>
      </c>
      <c r="V284" s="185">
        <f>SUM(H284, M284, R284, H285, M285, R285)</f>
        <v>0</v>
      </c>
      <c r="W284" s="200">
        <f>IF($U284=0, ,V284/$U284)</f>
        <v>0</v>
      </c>
      <c r="X284" s="185">
        <f>SUM(I284, N284, S284, I285, N285, S285)</f>
        <v>0</v>
      </c>
      <c r="Y284" s="200">
        <f>IF($U284=0, ,X284/$U284)</f>
        <v>0</v>
      </c>
      <c r="Z284" s="185">
        <f>SUM(J284, O284, T284, J285, O285, T285)</f>
        <v>0</v>
      </c>
      <c r="AA284" s="200">
        <f>IF($U284=0, ,Z284/$U284)</f>
        <v>0</v>
      </c>
      <c r="AB284" s="202" t="s">
        <v>124</v>
      </c>
    </row>
    <row r="285" spans="1:28" ht="12.75" customHeight="1" x14ac:dyDescent="0.2">
      <c r="A285" s="224"/>
      <c r="B285" s="176"/>
      <c r="C285" s="10"/>
      <c r="D285" s="10"/>
      <c r="E285" s="178"/>
      <c r="F285" s="13"/>
      <c r="G285" s="21">
        <f t="shared" si="0"/>
        <v>0</v>
      </c>
      <c r="H285" s="13"/>
      <c r="I285" s="13"/>
      <c r="J285" s="13"/>
      <c r="K285" s="13"/>
      <c r="L285" s="21">
        <f t="shared" si="1"/>
        <v>0</v>
      </c>
      <c r="M285" s="13"/>
      <c r="N285" s="13"/>
      <c r="O285" s="13"/>
      <c r="P285" s="13"/>
      <c r="Q285" s="21">
        <f t="shared" si="2"/>
        <v>0</v>
      </c>
      <c r="R285" s="13"/>
      <c r="S285" s="13"/>
      <c r="T285" s="13"/>
      <c r="U285" s="186"/>
      <c r="V285" s="186"/>
      <c r="W285" s="201"/>
      <c r="X285" s="186"/>
      <c r="Y285" s="201"/>
      <c r="Z285" s="186"/>
      <c r="AA285" s="201"/>
      <c r="AB285" s="203"/>
    </row>
    <row r="286" spans="1:28" ht="12.75" customHeight="1" x14ac:dyDescent="0.2">
      <c r="A286" s="224"/>
      <c r="B286" s="194" t="s">
        <v>68</v>
      </c>
      <c r="C286" s="9">
        <v>21231</v>
      </c>
      <c r="D286" s="9" t="s">
        <v>70</v>
      </c>
      <c r="E286" s="149" t="s">
        <v>1</v>
      </c>
      <c r="F286" s="14">
        <v>0</v>
      </c>
      <c r="G286" s="22">
        <f t="shared" si="0"/>
        <v>0</v>
      </c>
      <c r="H286" s="14"/>
      <c r="I286" s="14"/>
      <c r="J286" s="14"/>
      <c r="K286" s="14"/>
      <c r="L286" s="22">
        <f t="shared" si="1"/>
        <v>0</v>
      </c>
      <c r="M286" s="14"/>
      <c r="N286" s="14"/>
      <c r="O286" s="14"/>
      <c r="P286" s="14"/>
      <c r="Q286" s="22">
        <f t="shared" si="2"/>
        <v>0</v>
      </c>
      <c r="R286" s="14"/>
      <c r="S286" s="14"/>
      <c r="T286" s="14"/>
      <c r="U286" s="151">
        <f>SUM(F286, K286, P286, F287, K287, P287)</f>
        <v>0</v>
      </c>
      <c r="V286" s="151">
        <f>SUM(H286, M286, R286, H287, M287, R287)</f>
        <v>0</v>
      </c>
      <c r="W286" s="205">
        <f>IF($U286=0, ,V286/$U286)</f>
        <v>0</v>
      </c>
      <c r="X286" s="151">
        <f>SUM(I286, N286, S286, I287, N287, S287)</f>
        <v>0</v>
      </c>
      <c r="Y286" s="205">
        <f>IF($U286=0, ,X286/$U286)</f>
        <v>0</v>
      </c>
      <c r="Z286" s="151">
        <f>SUM(J286, O286, T286, J287, O287, T287)</f>
        <v>0</v>
      </c>
      <c r="AA286" s="205">
        <f>IF($U286=0, ,Z286/$U286)</f>
        <v>0</v>
      </c>
      <c r="AB286" s="179" t="s">
        <v>125</v>
      </c>
    </row>
    <row r="287" spans="1:28" ht="12.75" customHeight="1" x14ac:dyDescent="0.2">
      <c r="A287" s="224"/>
      <c r="B287" s="204"/>
      <c r="C287" s="9"/>
      <c r="D287" s="9"/>
      <c r="E287" s="150"/>
      <c r="F287" s="14"/>
      <c r="G287" s="22">
        <f t="shared" si="0"/>
        <v>0</v>
      </c>
      <c r="H287" s="14"/>
      <c r="I287" s="14"/>
      <c r="J287" s="14"/>
      <c r="K287" s="14"/>
      <c r="L287" s="22">
        <f t="shared" si="1"/>
        <v>0</v>
      </c>
      <c r="M287" s="14"/>
      <c r="N287" s="14"/>
      <c r="O287" s="14"/>
      <c r="P287" s="14"/>
      <c r="Q287" s="22">
        <f t="shared" si="2"/>
        <v>0</v>
      </c>
      <c r="R287" s="14"/>
      <c r="S287" s="14"/>
      <c r="T287" s="14"/>
      <c r="U287" s="152"/>
      <c r="V287" s="152"/>
      <c r="W287" s="206"/>
      <c r="X287" s="152"/>
      <c r="Y287" s="206"/>
      <c r="Z287" s="152"/>
      <c r="AA287" s="206"/>
      <c r="AB287" s="156"/>
    </row>
    <row r="288" spans="1:28" ht="13.5" customHeight="1" x14ac:dyDescent="0.2">
      <c r="A288" s="224"/>
      <c r="B288" s="175" t="s">
        <v>115</v>
      </c>
      <c r="C288" s="10">
        <v>21234</v>
      </c>
      <c r="D288" s="10" t="s">
        <v>116</v>
      </c>
      <c r="E288" s="177" t="s">
        <v>1</v>
      </c>
      <c r="F288" s="13">
        <v>3400</v>
      </c>
      <c r="G288" s="21">
        <f t="shared" si="0"/>
        <v>0.17763845350052246</v>
      </c>
      <c r="H288" s="13"/>
      <c r="I288" s="13"/>
      <c r="J288" s="13"/>
      <c r="K288" s="13">
        <v>8084</v>
      </c>
      <c r="L288" s="21">
        <f t="shared" si="1"/>
        <v>0.42236154649947755</v>
      </c>
      <c r="M288" s="13"/>
      <c r="N288" s="13"/>
      <c r="O288" s="13"/>
      <c r="P288" s="13">
        <v>8134</v>
      </c>
      <c r="Q288" s="21">
        <f t="shared" si="2"/>
        <v>0.42497387669801462</v>
      </c>
      <c r="R288" s="13"/>
      <c r="S288" s="13"/>
      <c r="T288" s="13"/>
      <c r="U288" s="185">
        <f>SUM(F288, K288, P288, F289, K289, P289)</f>
        <v>19618</v>
      </c>
      <c r="V288" s="185">
        <f>SUM(H288, M288, R288, H289, M289, R289)</f>
        <v>0</v>
      </c>
      <c r="W288" s="200">
        <f>IF($U288=0, ,V288/$U288)</f>
        <v>0</v>
      </c>
      <c r="X288" s="185">
        <f>SUM(I288, N288, S288, I289, N289, S289)</f>
        <v>0</v>
      </c>
      <c r="Y288" s="200">
        <f>IF($U288=0, ,X288/$U288)</f>
        <v>0</v>
      </c>
      <c r="Z288" s="185">
        <f>SUM(J288, O288, T288, J289, O289, T289)</f>
        <v>0</v>
      </c>
      <c r="AA288" s="200">
        <f>IF($U288=0, ,Z288/$U288)</f>
        <v>0</v>
      </c>
      <c r="AB288" s="202" t="s">
        <v>118</v>
      </c>
    </row>
    <row r="289" spans="1:28" ht="13.5" customHeight="1" x14ac:dyDescent="0.2">
      <c r="A289" s="224"/>
      <c r="B289" s="176"/>
      <c r="C289" s="10"/>
      <c r="D289" s="10"/>
      <c r="E289" s="178"/>
      <c r="F289" s="13"/>
      <c r="G289" s="21">
        <f t="shared" si="0"/>
        <v>0</v>
      </c>
      <c r="H289" s="13"/>
      <c r="I289" s="13"/>
      <c r="J289" s="13"/>
      <c r="K289" s="13"/>
      <c r="L289" s="21">
        <f t="shared" si="1"/>
        <v>0</v>
      </c>
      <c r="M289" s="13"/>
      <c r="N289" s="13"/>
      <c r="O289" s="13"/>
      <c r="P289" s="13"/>
      <c r="Q289" s="21">
        <f t="shared" si="2"/>
        <v>0</v>
      </c>
      <c r="R289" s="13"/>
      <c r="S289" s="13"/>
      <c r="T289" s="13"/>
      <c r="U289" s="186"/>
      <c r="V289" s="186"/>
      <c r="W289" s="201"/>
      <c r="X289" s="186"/>
      <c r="Y289" s="201"/>
      <c r="Z289" s="186"/>
      <c r="AA289" s="201"/>
      <c r="AB289" s="203"/>
    </row>
    <row r="290" spans="1:28" ht="12.75" customHeight="1" thickBot="1" x14ac:dyDescent="0.25">
      <c r="A290" s="224"/>
      <c r="B290" s="42"/>
      <c r="C290" s="42"/>
      <c r="D290" s="42"/>
      <c r="E290" s="42"/>
      <c r="F290" s="43"/>
      <c r="G290" s="44"/>
      <c r="H290" s="43"/>
      <c r="I290" s="43"/>
      <c r="J290" s="43"/>
      <c r="K290" s="43"/>
      <c r="L290" s="44"/>
      <c r="M290" s="43"/>
      <c r="N290" s="43"/>
      <c r="O290" s="43"/>
      <c r="P290" s="43"/>
      <c r="Q290" s="44"/>
      <c r="R290" s="43"/>
      <c r="S290" s="43"/>
      <c r="T290" s="46" t="s">
        <v>26</v>
      </c>
      <c r="U290" s="47">
        <f>SUM(U282:U289)</f>
        <v>42262</v>
      </c>
      <c r="V290" s="47">
        <f>SUM(V282:V289)</f>
        <v>0</v>
      </c>
      <c r="W290" s="48">
        <f>IF($U290=0, ,V290/$U290)</f>
        <v>0</v>
      </c>
      <c r="X290" s="47">
        <f>SUM(X282:X289)</f>
        <v>0</v>
      </c>
      <c r="Y290" s="48">
        <f>IF($U290=0, ,X290/$U290)</f>
        <v>0</v>
      </c>
      <c r="Z290" s="47">
        <f>SUM(Z282:Z289)</f>
        <v>0</v>
      </c>
      <c r="AA290" s="48">
        <f>IF($U290=0, ,Z290/$U290)</f>
        <v>0</v>
      </c>
      <c r="AB290" s="45"/>
    </row>
    <row r="291" spans="1:28" ht="12.75" customHeight="1" thickTop="1" x14ac:dyDescent="0.2">
      <c r="A291" s="224"/>
      <c r="B291" s="42"/>
      <c r="C291" s="42"/>
      <c r="D291" s="42"/>
      <c r="E291" s="42"/>
      <c r="F291" s="68"/>
      <c r="G291" s="68"/>
      <c r="H291" s="68"/>
      <c r="I291" s="68"/>
      <c r="J291" s="68"/>
      <c r="K291" s="68"/>
      <c r="L291" s="68"/>
      <c r="M291" s="68"/>
      <c r="N291" s="68"/>
      <c r="O291" s="69"/>
      <c r="P291" s="69"/>
      <c r="Q291" s="70"/>
      <c r="R291" s="69"/>
      <c r="S291" s="70"/>
      <c r="T291" s="71"/>
      <c r="U291" s="71"/>
      <c r="V291" s="71"/>
      <c r="W291" s="71"/>
      <c r="X291" s="71"/>
      <c r="Y291" s="71"/>
      <c r="Z291" s="71"/>
      <c r="AA291" s="71"/>
      <c r="AB291" s="72"/>
    </row>
    <row r="292" spans="1:28" ht="12.75" customHeight="1" x14ac:dyDescent="0.2">
      <c r="A292" s="224"/>
      <c r="B292" s="207" t="s">
        <v>32</v>
      </c>
      <c r="C292" s="207"/>
      <c r="D292" s="208"/>
      <c r="E292" s="77" t="s">
        <v>33</v>
      </c>
      <c r="F292" s="159" t="s">
        <v>29</v>
      </c>
      <c r="G292" s="159"/>
      <c r="H292" s="159"/>
      <c r="I292" s="159" t="s">
        <v>41</v>
      </c>
      <c r="J292" s="159"/>
      <c r="K292" s="159"/>
      <c r="L292" s="159" t="s">
        <v>30</v>
      </c>
      <c r="M292" s="159"/>
      <c r="N292" s="159"/>
      <c r="O292" s="159" t="s">
        <v>31</v>
      </c>
      <c r="P292" s="159"/>
      <c r="Q292" s="159"/>
      <c r="R292" s="159" t="s">
        <v>38</v>
      </c>
      <c r="S292" s="159"/>
      <c r="T292" s="159"/>
      <c r="U292" s="159" t="s">
        <v>60</v>
      </c>
      <c r="V292" s="159"/>
      <c r="W292" s="159"/>
      <c r="X292" s="159" t="s">
        <v>40</v>
      </c>
      <c r="Y292" s="159"/>
      <c r="Z292" s="159"/>
      <c r="AA292" s="217"/>
      <c r="AB292" s="218"/>
    </row>
    <row r="293" spans="1:28" ht="12.75" customHeight="1" x14ac:dyDescent="0.2">
      <c r="A293" s="224"/>
      <c r="B293" s="209"/>
      <c r="C293" s="209"/>
      <c r="D293" s="210"/>
      <c r="E293" s="82" t="s">
        <v>34</v>
      </c>
      <c r="F293" s="78" t="s">
        <v>35</v>
      </c>
      <c r="G293" s="78" t="s">
        <v>36</v>
      </c>
      <c r="H293" s="79" t="s">
        <v>37</v>
      </c>
      <c r="I293" s="78" t="s">
        <v>35</v>
      </c>
      <c r="J293" s="78" t="s">
        <v>36</v>
      </c>
      <c r="K293" s="79" t="s">
        <v>37</v>
      </c>
      <c r="L293" s="78" t="s">
        <v>35</v>
      </c>
      <c r="M293" s="78" t="s">
        <v>36</v>
      </c>
      <c r="N293" s="79" t="s">
        <v>37</v>
      </c>
      <c r="O293" s="78" t="s">
        <v>35</v>
      </c>
      <c r="P293" s="78" t="s">
        <v>36</v>
      </c>
      <c r="Q293" s="79" t="s">
        <v>37</v>
      </c>
      <c r="R293" s="78" t="s">
        <v>35</v>
      </c>
      <c r="S293" s="78" t="s">
        <v>36</v>
      </c>
      <c r="T293" s="79" t="s">
        <v>37</v>
      </c>
      <c r="U293" s="78" t="s">
        <v>35</v>
      </c>
      <c r="V293" s="78" t="s">
        <v>36</v>
      </c>
      <c r="W293" s="79" t="s">
        <v>37</v>
      </c>
      <c r="X293" s="78" t="s">
        <v>35</v>
      </c>
      <c r="Y293" s="78" t="s">
        <v>36</v>
      </c>
      <c r="Z293" s="79" t="s">
        <v>37</v>
      </c>
      <c r="AA293" s="219"/>
      <c r="AB293" s="220"/>
    </row>
    <row r="294" spans="1:28" ht="12.75" customHeight="1" x14ac:dyDescent="0.2">
      <c r="A294" s="224"/>
      <c r="B294" s="80" t="str">
        <f xml:space="preserve"> IF(ISBLANK(B282), "-",B282)</f>
        <v>HTL-01</v>
      </c>
      <c r="C294" s="80">
        <f xml:space="preserve"> IF(ISBLANK(C282), "-",C282)</f>
        <v>21234</v>
      </c>
      <c r="D294" s="80" t="str">
        <f xml:space="preserve"> IF(ISBLANK(D282), "-",D282)</f>
        <v>14ml    L’Oreal</v>
      </c>
      <c r="E294" s="170"/>
      <c r="F294" s="81">
        <v>0</v>
      </c>
      <c r="G294" s="74">
        <v>0</v>
      </c>
      <c r="H294" s="74">
        <v>0</v>
      </c>
      <c r="I294" s="74">
        <v>0</v>
      </c>
      <c r="J294" s="74">
        <v>0</v>
      </c>
      <c r="K294" s="74">
        <v>0</v>
      </c>
      <c r="L294" s="75">
        <v>36</v>
      </c>
      <c r="M294" s="75">
        <v>0</v>
      </c>
      <c r="N294" s="75">
        <v>3</v>
      </c>
      <c r="O294" s="75">
        <v>0</v>
      </c>
      <c r="P294" s="75">
        <v>0</v>
      </c>
      <c r="Q294" s="74">
        <v>0</v>
      </c>
      <c r="R294" s="75">
        <v>0</v>
      </c>
      <c r="S294" s="75">
        <v>0</v>
      </c>
      <c r="T294" s="75">
        <v>0</v>
      </c>
      <c r="U294" s="75">
        <v>15</v>
      </c>
      <c r="V294" s="75">
        <v>2</v>
      </c>
      <c r="W294" s="74">
        <v>8</v>
      </c>
      <c r="X294" s="74">
        <v>9</v>
      </c>
      <c r="Y294" s="74">
        <v>0</v>
      </c>
      <c r="Z294" s="76">
        <v>3</v>
      </c>
      <c r="AA294" s="219"/>
      <c r="AB294" s="220"/>
    </row>
    <row r="295" spans="1:28" ht="15" customHeight="1" x14ac:dyDescent="0.2">
      <c r="A295" s="224"/>
      <c r="B295" s="80" t="str">
        <f xml:space="preserve"> IF(ISBLANK(B284), "-",B284)</f>
        <v>HTL-02</v>
      </c>
      <c r="C295" s="80">
        <f xml:space="preserve"> IF(ISBLANK(C284), "-",C284)</f>
        <v>21231</v>
      </c>
      <c r="D295" s="80" t="str">
        <f xml:space="preserve"> IF(ISBLANK(D284), "-",D284)</f>
        <v>7ml   L’Oreal</v>
      </c>
      <c r="E295" s="171"/>
      <c r="F295" s="81">
        <v>0</v>
      </c>
      <c r="G295" s="74">
        <v>0</v>
      </c>
      <c r="H295" s="74">
        <v>0</v>
      </c>
      <c r="I295" s="74">
        <v>0</v>
      </c>
      <c r="J295" s="74">
        <v>0</v>
      </c>
      <c r="K295" s="74">
        <v>0</v>
      </c>
      <c r="L295" s="75">
        <v>0</v>
      </c>
      <c r="M295" s="75">
        <v>0</v>
      </c>
      <c r="N295" s="75">
        <v>0</v>
      </c>
      <c r="O295" s="75">
        <v>0</v>
      </c>
      <c r="P295" s="75">
        <v>0</v>
      </c>
      <c r="Q295" s="74">
        <v>0</v>
      </c>
      <c r="R295" s="75">
        <v>0</v>
      </c>
      <c r="S295" s="75">
        <v>0</v>
      </c>
      <c r="T295" s="75">
        <v>0</v>
      </c>
      <c r="U295" s="75">
        <v>0</v>
      </c>
      <c r="V295" s="75">
        <v>0</v>
      </c>
      <c r="W295" s="74">
        <v>0</v>
      </c>
      <c r="X295" s="74">
        <v>0</v>
      </c>
      <c r="Y295" s="74">
        <v>0</v>
      </c>
      <c r="Z295" s="97">
        <v>0</v>
      </c>
      <c r="AA295" s="219"/>
      <c r="AB295" s="220"/>
    </row>
    <row r="296" spans="1:28" ht="12.75" customHeight="1" x14ac:dyDescent="0.2">
      <c r="A296" s="224"/>
      <c r="B296" s="80" t="str">
        <f xml:space="preserve"> IF(ISBLANK(B286), "-",B286)</f>
        <v>HTL-03</v>
      </c>
      <c r="C296" s="80">
        <f xml:space="preserve"> IF(ISBLANK(C286), "-",C286)</f>
        <v>21231</v>
      </c>
      <c r="D296" s="80" t="str">
        <f xml:space="preserve"> IF(ISBLANK(D286), "-",D286)</f>
        <v>7ml   L’Oreal</v>
      </c>
      <c r="E296" s="171"/>
      <c r="F296" s="81">
        <v>0</v>
      </c>
      <c r="G296" s="74">
        <v>0</v>
      </c>
      <c r="H296" s="74">
        <v>0</v>
      </c>
      <c r="I296" s="74">
        <v>0</v>
      </c>
      <c r="J296" s="74">
        <v>0</v>
      </c>
      <c r="K296" s="74">
        <v>0</v>
      </c>
      <c r="L296" s="75">
        <v>0</v>
      </c>
      <c r="M296" s="75">
        <v>0</v>
      </c>
      <c r="N296" s="75">
        <v>0</v>
      </c>
      <c r="O296" s="75">
        <v>0</v>
      </c>
      <c r="P296" s="75">
        <v>0</v>
      </c>
      <c r="Q296" s="74">
        <v>0</v>
      </c>
      <c r="R296" s="75">
        <v>0</v>
      </c>
      <c r="S296" s="75">
        <v>0</v>
      </c>
      <c r="T296" s="75">
        <v>0</v>
      </c>
      <c r="U296" s="75">
        <v>0</v>
      </c>
      <c r="V296" s="75">
        <v>0</v>
      </c>
      <c r="W296" s="74">
        <v>0</v>
      </c>
      <c r="X296" s="74">
        <v>0</v>
      </c>
      <c r="Y296" s="74">
        <v>0</v>
      </c>
      <c r="Z296" s="97">
        <v>0</v>
      </c>
      <c r="AA296" s="219"/>
      <c r="AB296" s="220"/>
    </row>
    <row r="297" spans="1:28" ht="12.75" customHeight="1" x14ac:dyDescent="0.2">
      <c r="A297" s="225"/>
      <c r="B297" s="80" t="str">
        <f xml:space="preserve"> IF(ISBLANK(B288), "-",B288)</f>
        <v>HTL-04</v>
      </c>
      <c r="C297" s="80">
        <f xml:space="preserve"> IF(ISBLANK(C288), "-",C288)</f>
        <v>21234</v>
      </c>
      <c r="D297" s="80" t="str">
        <f xml:space="preserve"> IF(ISBLANK(D288), "-",D288)</f>
        <v>14ml   L’Oreal</v>
      </c>
      <c r="E297" s="172"/>
      <c r="F297" s="81">
        <v>0</v>
      </c>
      <c r="G297" s="74">
        <v>0</v>
      </c>
      <c r="H297" s="74">
        <v>0</v>
      </c>
      <c r="I297" s="74">
        <v>0</v>
      </c>
      <c r="J297" s="74">
        <v>0</v>
      </c>
      <c r="K297" s="74">
        <v>0</v>
      </c>
      <c r="L297" s="75">
        <v>40</v>
      </c>
      <c r="M297" s="75">
        <v>28</v>
      </c>
      <c r="N297" s="75">
        <v>2</v>
      </c>
      <c r="O297" s="75">
        <v>0</v>
      </c>
      <c r="P297" s="75">
        <v>0</v>
      </c>
      <c r="Q297" s="74">
        <v>0</v>
      </c>
      <c r="R297" s="75">
        <v>0</v>
      </c>
      <c r="S297" s="75">
        <v>0</v>
      </c>
      <c r="T297" s="75">
        <v>0</v>
      </c>
      <c r="U297" s="75">
        <v>0</v>
      </c>
      <c r="V297" s="75">
        <v>9</v>
      </c>
      <c r="W297" s="74">
        <v>31</v>
      </c>
      <c r="X297" s="74">
        <v>5</v>
      </c>
      <c r="Y297" s="74">
        <v>0</v>
      </c>
      <c r="Z297" s="76">
        <v>4</v>
      </c>
      <c r="AA297" s="221"/>
      <c r="AB297" s="222"/>
    </row>
    <row r="299" spans="1:28" x14ac:dyDescent="0.2">
      <c r="A299" s="223">
        <v>44730</v>
      </c>
      <c r="B299" s="16"/>
      <c r="C299" s="16" t="s">
        <v>20</v>
      </c>
      <c r="D299" s="17">
        <v>1</v>
      </c>
      <c r="E299" s="18"/>
      <c r="F299" s="18" t="s">
        <v>19</v>
      </c>
      <c r="G299" s="17">
        <v>0</v>
      </c>
      <c r="H299" s="17"/>
      <c r="I299" s="18"/>
      <c r="J299" s="18"/>
      <c r="K299" s="25"/>
      <c r="L299" s="25"/>
      <c r="M299" s="17"/>
      <c r="N299" s="18"/>
      <c r="O299" s="18"/>
      <c r="P299" s="25"/>
      <c r="Q299" s="25"/>
      <c r="R299" s="17"/>
      <c r="S299" s="18"/>
      <c r="T299" s="18"/>
      <c r="U299" s="31">
        <v>19140</v>
      </c>
      <c r="V299" s="32" t="s">
        <v>48</v>
      </c>
      <c r="W299" s="32"/>
      <c r="X299" s="33"/>
      <c r="Y299" s="24"/>
      <c r="Z299" s="24"/>
      <c r="AA299" s="24"/>
      <c r="AB299" s="26"/>
    </row>
    <row r="300" spans="1:28" x14ac:dyDescent="0.2">
      <c r="A300" s="224"/>
      <c r="B300" s="157" t="s">
        <v>3</v>
      </c>
      <c r="C300" s="158" t="s">
        <v>10</v>
      </c>
      <c r="D300" s="158" t="s">
        <v>12</v>
      </c>
      <c r="E300" s="180" t="s">
        <v>5</v>
      </c>
      <c r="F300" s="211" t="s">
        <v>6</v>
      </c>
      <c r="G300" s="212"/>
      <c r="H300" s="212"/>
      <c r="I300" s="212"/>
      <c r="J300" s="213"/>
      <c r="K300" s="211" t="s">
        <v>7</v>
      </c>
      <c r="L300" s="212"/>
      <c r="M300" s="212"/>
      <c r="N300" s="212"/>
      <c r="O300" s="213"/>
      <c r="P300" s="211" t="s">
        <v>8</v>
      </c>
      <c r="Q300" s="212"/>
      <c r="R300" s="212"/>
      <c r="S300" s="212"/>
      <c r="T300" s="213"/>
      <c r="U300" s="214" t="s">
        <v>15</v>
      </c>
      <c r="V300" s="214" t="s">
        <v>52</v>
      </c>
      <c r="W300" s="214" t="s">
        <v>53</v>
      </c>
      <c r="X300" s="214" t="s">
        <v>54</v>
      </c>
      <c r="Y300" s="214" t="s">
        <v>55</v>
      </c>
      <c r="Z300" s="214" t="s">
        <v>56</v>
      </c>
      <c r="AA300" s="214" t="s">
        <v>57</v>
      </c>
      <c r="AB300" s="214" t="s">
        <v>17</v>
      </c>
    </row>
    <row r="301" spans="1:28" ht="38.25" x14ac:dyDescent="0.2">
      <c r="A301" s="224"/>
      <c r="B301" s="157"/>
      <c r="C301" s="158"/>
      <c r="D301" s="158"/>
      <c r="E301" s="180"/>
      <c r="F301" s="15" t="s">
        <v>23</v>
      </c>
      <c r="G301" s="15" t="s">
        <v>47</v>
      </c>
      <c r="H301" s="15" t="s">
        <v>50</v>
      </c>
      <c r="I301" s="15" t="s">
        <v>49</v>
      </c>
      <c r="J301" s="15" t="s">
        <v>51</v>
      </c>
      <c r="K301" s="15" t="s">
        <v>23</v>
      </c>
      <c r="L301" s="15" t="s">
        <v>13</v>
      </c>
      <c r="M301" s="15" t="s">
        <v>50</v>
      </c>
      <c r="N301" s="15" t="s">
        <v>49</v>
      </c>
      <c r="O301" s="15" t="s">
        <v>51</v>
      </c>
      <c r="P301" s="15" t="s">
        <v>23</v>
      </c>
      <c r="Q301" s="15" t="s">
        <v>13</v>
      </c>
      <c r="R301" s="15" t="s">
        <v>50</v>
      </c>
      <c r="S301" s="15" t="s">
        <v>49</v>
      </c>
      <c r="T301" s="15" t="s">
        <v>51</v>
      </c>
      <c r="U301" s="214"/>
      <c r="V301" s="214"/>
      <c r="W301" s="214"/>
      <c r="X301" s="214"/>
      <c r="Y301" s="214"/>
      <c r="Z301" s="214"/>
      <c r="AA301" s="214"/>
      <c r="AB301" s="214"/>
    </row>
    <row r="302" spans="1:28" x14ac:dyDescent="0.2">
      <c r="A302" s="224"/>
      <c r="B302" s="194" t="s">
        <v>64</v>
      </c>
      <c r="C302" s="11">
        <v>21234</v>
      </c>
      <c r="D302" s="11" t="s">
        <v>71</v>
      </c>
      <c r="E302" s="196" t="s">
        <v>1</v>
      </c>
      <c r="F302" s="12">
        <v>8386</v>
      </c>
      <c r="G302" s="20">
        <f t="shared" ref="G302:G309" si="3">F302/$U$279</f>
        <v>0.43814002089864157</v>
      </c>
      <c r="H302" s="12"/>
      <c r="I302" s="12"/>
      <c r="J302" s="12"/>
      <c r="K302" s="12">
        <v>8428</v>
      </c>
      <c r="L302" s="20">
        <f t="shared" ref="L302:L309" si="4">K302/$U$279</f>
        <v>0.44033437826541277</v>
      </c>
      <c r="M302" s="12"/>
      <c r="N302" s="12"/>
      <c r="O302" s="12"/>
      <c r="P302" s="12">
        <v>8218</v>
      </c>
      <c r="Q302" s="20">
        <f t="shared" ref="Q302:Q309" si="5">P302/$U$279</f>
        <v>0.42936259143155697</v>
      </c>
      <c r="R302" s="12"/>
      <c r="S302" s="12"/>
      <c r="T302" s="12"/>
      <c r="U302" s="151">
        <f>SUM(F302, K302, P302, F303, K303, P303)</f>
        <v>25032</v>
      </c>
      <c r="V302" s="151">
        <f>SUM(H302, M302, R302, H303, M303, R303)</f>
        <v>0</v>
      </c>
      <c r="W302" s="205">
        <f>IF($U302=0, ,V302/$U302)</f>
        <v>0</v>
      </c>
      <c r="X302" s="151">
        <f>SUM(I302, N302, S302, I303, N303, S303)</f>
        <v>0</v>
      </c>
      <c r="Y302" s="205">
        <f>IF($U302=0, ,X302/$U302)</f>
        <v>0</v>
      </c>
      <c r="Z302" s="151">
        <f>SUM(J302, O302, T302, J303, O303, T303)</f>
        <v>0</v>
      </c>
      <c r="AA302" s="205">
        <f>IF($U302=0, ,Z302/$U302)</f>
        <v>0</v>
      </c>
      <c r="AB302" s="179"/>
    </row>
    <row r="303" spans="1:28" x14ac:dyDescent="0.2">
      <c r="A303" s="224"/>
      <c r="B303" s="204"/>
      <c r="C303" s="11"/>
      <c r="D303" s="11"/>
      <c r="E303" s="198"/>
      <c r="F303" s="12"/>
      <c r="G303" s="20">
        <f t="shared" si="3"/>
        <v>0</v>
      </c>
      <c r="H303" s="12"/>
      <c r="I303" s="12"/>
      <c r="J303" s="12"/>
      <c r="K303" s="12"/>
      <c r="L303" s="20">
        <f t="shared" si="4"/>
        <v>0</v>
      </c>
      <c r="M303" s="12"/>
      <c r="N303" s="12"/>
      <c r="O303" s="12"/>
      <c r="P303" s="12"/>
      <c r="Q303" s="20">
        <f t="shared" si="5"/>
        <v>0</v>
      </c>
      <c r="R303" s="12"/>
      <c r="S303" s="12"/>
      <c r="T303" s="12"/>
      <c r="U303" s="152"/>
      <c r="V303" s="152"/>
      <c r="W303" s="206"/>
      <c r="X303" s="152"/>
      <c r="Y303" s="206"/>
      <c r="Z303" s="152"/>
      <c r="AA303" s="206"/>
      <c r="AB303" s="156"/>
    </row>
    <row r="304" spans="1:28" x14ac:dyDescent="0.2">
      <c r="A304" s="224"/>
      <c r="B304" s="175" t="s">
        <v>69</v>
      </c>
      <c r="C304" s="10">
        <v>21231</v>
      </c>
      <c r="D304" s="10" t="s">
        <v>70</v>
      </c>
      <c r="E304" s="177" t="s">
        <v>1</v>
      </c>
      <c r="F304" s="13">
        <v>0</v>
      </c>
      <c r="G304" s="21">
        <f t="shared" si="3"/>
        <v>0</v>
      </c>
      <c r="H304" s="13"/>
      <c r="I304" s="13"/>
      <c r="J304" s="13"/>
      <c r="K304" s="13"/>
      <c r="L304" s="21">
        <f t="shared" si="4"/>
        <v>0</v>
      </c>
      <c r="M304" s="13"/>
      <c r="N304" s="13"/>
      <c r="O304" s="13"/>
      <c r="P304" s="13"/>
      <c r="Q304" s="21">
        <f t="shared" si="5"/>
        <v>0</v>
      </c>
      <c r="R304" s="13"/>
      <c r="S304" s="13"/>
      <c r="T304" s="13"/>
      <c r="U304" s="185">
        <f>SUM(F304, K304, P304, F305, K305, P305)</f>
        <v>0</v>
      </c>
      <c r="V304" s="185">
        <f>SUM(H304, M304, R304, H305, M305, R305)</f>
        <v>0</v>
      </c>
      <c r="W304" s="200">
        <f>IF($U304=0, ,V304/$U304)</f>
        <v>0</v>
      </c>
      <c r="X304" s="185">
        <f>SUM(I304, N304, S304, I305, N305, S305)</f>
        <v>0</v>
      </c>
      <c r="Y304" s="200">
        <f>IF($U304=0, ,X304/$U304)</f>
        <v>0</v>
      </c>
      <c r="Z304" s="185">
        <f>SUM(J304, O304, T304, J305, O305, T305)</f>
        <v>0</v>
      </c>
      <c r="AA304" s="200">
        <f>IF($U304=0, ,Z304/$U304)</f>
        <v>0</v>
      </c>
      <c r="AB304" s="202" t="s">
        <v>124</v>
      </c>
    </row>
    <row r="305" spans="1:28" x14ac:dyDescent="0.2">
      <c r="A305" s="224"/>
      <c r="B305" s="176"/>
      <c r="C305" s="10"/>
      <c r="D305" s="10"/>
      <c r="E305" s="178"/>
      <c r="F305" s="13"/>
      <c r="G305" s="21">
        <f t="shared" si="3"/>
        <v>0</v>
      </c>
      <c r="H305" s="13"/>
      <c r="I305" s="13"/>
      <c r="J305" s="13"/>
      <c r="K305" s="13"/>
      <c r="L305" s="21">
        <f t="shared" si="4"/>
        <v>0</v>
      </c>
      <c r="M305" s="13"/>
      <c r="N305" s="13"/>
      <c r="O305" s="13"/>
      <c r="P305" s="13"/>
      <c r="Q305" s="21">
        <f t="shared" si="5"/>
        <v>0</v>
      </c>
      <c r="R305" s="13"/>
      <c r="S305" s="13"/>
      <c r="T305" s="13"/>
      <c r="U305" s="186"/>
      <c r="V305" s="186"/>
      <c r="W305" s="201"/>
      <c r="X305" s="186"/>
      <c r="Y305" s="201"/>
      <c r="Z305" s="186"/>
      <c r="AA305" s="201"/>
      <c r="AB305" s="203"/>
    </row>
    <row r="306" spans="1:28" x14ac:dyDescent="0.2">
      <c r="A306" s="224"/>
      <c r="B306" s="194" t="s">
        <v>68</v>
      </c>
      <c r="C306" s="9">
        <v>21231</v>
      </c>
      <c r="D306" s="9" t="s">
        <v>70</v>
      </c>
      <c r="E306" s="149" t="s">
        <v>1</v>
      </c>
      <c r="F306" s="14">
        <v>0</v>
      </c>
      <c r="G306" s="22">
        <f t="shared" si="3"/>
        <v>0</v>
      </c>
      <c r="H306" s="14"/>
      <c r="I306" s="14"/>
      <c r="J306" s="14"/>
      <c r="K306" s="14"/>
      <c r="L306" s="22">
        <f t="shared" si="4"/>
        <v>0</v>
      </c>
      <c r="M306" s="14"/>
      <c r="N306" s="14"/>
      <c r="O306" s="14"/>
      <c r="P306" s="14"/>
      <c r="Q306" s="22">
        <f t="shared" si="5"/>
        <v>0</v>
      </c>
      <c r="R306" s="14"/>
      <c r="S306" s="14"/>
      <c r="T306" s="14"/>
      <c r="U306" s="151">
        <f>SUM(F306, K306, P306, F307, K307, P307)</f>
        <v>0</v>
      </c>
      <c r="V306" s="151">
        <f>SUM(H306, M306, R306, H307, M307, R307)</f>
        <v>0</v>
      </c>
      <c r="W306" s="205">
        <f>IF($U306=0, ,V306/$U306)</f>
        <v>0</v>
      </c>
      <c r="X306" s="151">
        <f>SUM(I306, N306, S306, I307, N307, S307)</f>
        <v>0</v>
      </c>
      <c r="Y306" s="205">
        <f>IF($U306=0, ,X306/$U306)</f>
        <v>0</v>
      </c>
      <c r="Z306" s="151">
        <f>SUM(J306, O306, T306, J307, O307, T307)</f>
        <v>0</v>
      </c>
      <c r="AA306" s="205">
        <f>IF($U306=0, ,Z306/$U306)</f>
        <v>0</v>
      </c>
      <c r="AB306" s="179" t="s">
        <v>124</v>
      </c>
    </row>
    <row r="307" spans="1:28" x14ac:dyDescent="0.2">
      <c r="A307" s="224"/>
      <c r="B307" s="204"/>
      <c r="C307" s="9"/>
      <c r="D307" s="9"/>
      <c r="E307" s="150"/>
      <c r="F307" s="14"/>
      <c r="G307" s="22">
        <f t="shared" si="3"/>
        <v>0</v>
      </c>
      <c r="H307" s="14"/>
      <c r="I307" s="14"/>
      <c r="J307" s="14"/>
      <c r="K307" s="14"/>
      <c r="L307" s="22">
        <f t="shared" si="4"/>
        <v>0</v>
      </c>
      <c r="M307" s="14"/>
      <c r="N307" s="14"/>
      <c r="O307" s="14"/>
      <c r="P307" s="14"/>
      <c r="Q307" s="22">
        <f t="shared" si="5"/>
        <v>0</v>
      </c>
      <c r="R307" s="14"/>
      <c r="S307" s="14"/>
      <c r="T307" s="14"/>
      <c r="U307" s="152"/>
      <c r="V307" s="152"/>
      <c r="W307" s="206"/>
      <c r="X307" s="152"/>
      <c r="Y307" s="206"/>
      <c r="Z307" s="152"/>
      <c r="AA307" s="206"/>
      <c r="AB307" s="156"/>
    </row>
    <row r="308" spans="1:28" x14ac:dyDescent="0.2">
      <c r="A308" s="224"/>
      <c r="B308" s="175" t="s">
        <v>115</v>
      </c>
      <c r="C308" s="10">
        <v>21234</v>
      </c>
      <c r="D308" s="10" t="s">
        <v>116</v>
      </c>
      <c r="E308" s="177" t="s">
        <v>1</v>
      </c>
      <c r="F308" s="13">
        <v>7520</v>
      </c>
      <c r="G308" s="21">
        <f t="shared" si="3"/>
        <v>0.39289446185997912</v>
      </c>
      <c r="H308" s="13"/>
      <c r="I308" s="13"/>
      <c r="J308" s="13"/>
      <c r="K308" s="13">
        <v>7910</v>
      </c>
      <c r="L308" s="21">
        <f t="shared" si="4"/>
        <v>0.41327063740856845</v>
      </c>
      <c r="M308" s="13"/>
      <c r="N308" s="13"/>
      <c r="O308" s="13"/>
      <c r="P308" s="13">
        <v>8273</v>
      </c>
      <c r="Q308" s="21">
        <f t="shared" si="5"/>
        <v>0.43223615464994775</v>
      </c>
      <c r="R308" s="13"/>
      <c r="S308" s="13"/>
      <c r="T308" s="13"/>
      <c r="U308" s="185">
        <f>SUM(F308, K308, P308, F309, K309, P309)</f>
        <v>23703</v>
      </c>
      <c r="V308" s="185">
        <f>SUM(H308, M308, R308, H309, M309, R309)</f>
        <v>0</v>
      </c>
      <c r="W308" s="200">
        <f>IF($U308=0, ,V308/$U308)</f>
        <v>0</v>
      </c>
      <c r="X308" s="185">
        <f>SUM(I308, N308, S308, I309, N309, S309)</f>
        <v>0</v>
      </c>
      <c r="Y308" s="200">
        <f>IF($U308=0, ,X308/$U308)</f>
        <v>0</v>
      </c>
      <c r="Z308" s="185">
        <f>SUM(J308, O308, T308, J309, O309, T309)</f>
        <v>0</v>
      </c>
      <c r="AA308" s="200">
        <f>IF($U308=0, ,Z308/$U308)</f>
        <v>0</v>
      </c>
      <c r="AB308" s="202" t="s">
        <v>119</v>
      </c>
    </row>
    <row r="309" spans="1:28" x14ac:dyDescent="0.2">
      <c r="A309" s="224"/>
      <c r="B309" s="176"/>
      <c r="C309" s="10"/>
      <c r="D309" s="10"/>
      <c r="E309" s="178"/>
      <c r="F309" s="13"/>
      <c r="G309" s="21">
        <f t="shared" si="3"/>
        <v>0</v>
      </c>
      <c r="H309" s="13"/>
      <c r="I309" s="13"/>
      <c r="J309" s="13"/>
      <c r="K309" s="13"/>
      <c r="L309" s="21">
        <f t="shared" si="4"/>
        <v>0</v>
      </c>
      <c r="M309" s="13"/>
      <c r="N309" s="13"/>
      <c r="O309" s="13"/>
      <c r="P309" s="13"/>
      <c r="Q309" s="21">
        <f t="shared" si="5"/>
        <v>0</v>
      </c>
      <c r="R309" s="13"/>
      <c r="S309" s="13"/>
      <c r="T309" s="13"/>
      <c r="U309" s="186"/>
      <c r="V309" s="186"/>
      <c r="W309" s="201"/>
      <c r="X309" s="186"/>
      <c r="Y309" s="201"/>
      <c r="Z309" s="186"/>
      <c r="AA309" s="201"/>
      <c r="AB309" s="203"/>
    </row>
    <row r="310" spans="1:28" ht="13.5" thickBot="1" x14ac:dyDescent="0.25">
      <c r="A310" s="224"/>
      <c r="B310" s="42"/>
      <c r="C310" s="42"/>
      <c r="D310" s="42"/>
      <c r="E310" s="42"/>
      <c r="F310" s="43"/>
      <c r="G310" s="44"/>
      <c r="H310" s="43"/>
      <c r="I310" s="43"/>
      <c r="J310" s="43"/>
      <c r="K310" s="43"/>
      <c r="L310" s="44"/>
      <c r="M310" s="43"/>
      <c r="N310" s="43"/>
      <c r="O310" s="43"/>
      <c r="P310" s="43"/>
      <c r="Q310" s="44"/>
      <c r="R310" s="43"/>
      <c r="S310" s="43"/>
      <c r="T310" s="46" t="s">
        <v>26</v>
      </c>
      <c r="U310" s="47">
        <f>SUM(U302:U309)</f>
        <v>48735</v>
      </c>
      <c r="V310" s="47">
        <f>SUM(V302:V309)</f>
        <v>0</v>
      </c>
      <c r="W310" s="48">
        <f>IF($U310=0, ,V310/$U310)</f>
        <v>0</v>
      </c>
      <c r="X310" s="47">
        <f>SUM(X302:X309)</f>
        <v>0</v>
      </c>
      <c r="Y310" s="48">
        <f>IF($U310=0, ,X310/$U310)</f>
        <v>0</v>
      </c>
      <c r="Z310" s="47">
        <f>SUM(Z302:Z309)</f>
        <v>0</v>
      </c>
      <c r="AA310" s="48">
        <f>IF($U310=0, ,Z310/$U310)</f>
        <v>0</v>
      </c>
      <c r="AB310" s="45"/>
    </row>
    <row r="311" spans="1:28" ht="13.5" thickTop="1" x14ac:dyDescent="0.2">
      <c r="A311" s="224"/>
      <c r="B311" s="42"/>
      <c r="C311" s="42"/>
      <c r="D311" s="42"/>
      <c r="E311" s="42"/>
      <c r="F311" s="68"/>
      <c r="G311" s="68"/>
      <c r="H311" s="68"/>
      <c r="I311" s="68"/>
      <c r="J311" s="68"/>
      <c r="K311" s="68"/>
      <c r="L311" s="68"/>
      <c r="M311" s="68"/>
      <c r="N311" s="68"/>
      <c r="O311" s="69"/>
      <c r="P311" s="69"/>
      <c r="Q311" s="70"/>
      <c r="R311" s="69"/>
      <c r="S311" s="70"/>
      <c r="T311" s="71"/>
      <c r="U311" s="71"/>
      <c r="V311" s="71"/>
      <c r="W311" s="71"/>
      <c r="X311" s="71"/>
      <c r="Y311" s="71"/>
      <c r="Z311" s="71"/>
      <c r="AA311" s="71"/>
      <c r="AB311" s="72"/>
    </row>
    <row r="312" spans="1:28" x14ac:dyDescent="0.2">
      <c r="A312" s="224"/>
      <c r="B312" s="207" t="s">
        <v>32</v>
      </c>
      <c r="C312" s="207"/>
      <c r="D312" s="208"/>
      <c r="E312" s="77" t="s">
        <v>33</v>
      </c>
      <c r="F312" s="159" t="s">
        <v>29</v>
      </c>
      <c r="G312" s="159"/>
      <c r="H312" s="159"/>
      <c r="I312" s="159" t="s">
        <v>41</v>
      </c>
      <c r="J312" s="159"/>
      <c r="K312" s="159"/>
      <c r="L312" s="159" t="s">
        <v>30</v>
      </c>
      <c r="M312" s="159"/>
      <c r="N312" s="159"/>
      <c r="O312" s="159" t="s">
        <v>31</v>
      </c>
      <c r="P312" s="159"/>
      <c r="Q312" s="159"/>
      <c r="R312" s="159" t="s">
        <v>38</v>
      </c>
      <c r="S312" s="159"/>
      <c r="T312" s="159"/>
      <c r="U312" s="159" t="s">
        <v>60</v>
      </c>
      <c r="V312" s="159"/>
      <c r="W312" s="159"/>
      <c r="X312" s="159" t="s">
        <v>40</v>
      </c>
      <c r="Y312" s="159"/>
      <c r="Z312" s="159"/>
      <c r="AA312" s="217"/>
      <c r="AB312" s="218"/>
    </row>
    <row r="313" spans="1:28" x14ac:dyDescent="0.2">
      <c r="A313" s="224"/>
      <c r="B313" s="209"/>
      <c r="C313" s="209"/>
      <c r="D313" s="210"/>
      <c r="E313" s="82" t="s">
        <v>34</v>
      </c>
      <c r="F313" s="78" t="s">
        <v>35</v>
      </c>
      <c r="G313" s="78" t="s">
        <v>36</v>
      </c>
      <c r="H313" s="79" t="s">
        <v>37</v>
      </c>
      <c r="I313" s="78" t="s">
        <v>35</v>
      </c>
      <c r="J313" s="78" t="s">
        <v>36</v>
      </c>
      <c r="K313" s="79" t="s">
        <v>37</v>
      </c>
      <c r="L313" s="78" t="s">
        <v>35</v>
      </c>
      <c r="M313" s="78" t="s">
        <v>36</v>
      </c>
      <c r="N313" s="79" t="s">
        <v>37</v>
      </c>
      <c r="O313" s="78" t="s">
        <v>35</v>
      </c>
      <c r="P313" s="78" t="s">
        <v>36</v>
      </c>
      <c r="Q313" s="79" t="s">
        <v>37</v>
      </c>
      <c r="R313" s="78" t="s">
        <v>35</v>
      </c>
      <c r="S313" s="78" t="s">
        <v>36</v>
      </c>
      <c r="T313" s="79" t="s">
        <v>37</v>
      </c>
      <c r="U313" s="78" t="s">
        <v>35</v>
      </c>
      <c r="V313" s="78" t="s">
        <v>36</v>
      </c>
      <c r="W313" s="79" t="s">
        <v>37</v>
      </c>
      <c r="X313" s="78" t="s">
        <v>35</v>
      </c>
      <c r="Y313" s="78" t="s">
        <v>36</v>
      </c>
      <c r="Z313" s="79" t="s">
        <v>37</v>
      </c>
      <c r="AA313" s="219"/>
      <c r="AB313" s="220"/>
    </row>
    <row r="314" spans="1:28" x14ac:dyDescent="0.2">
      <c r="A314" s="224"/>
      <c r="B314" s="80" t="str">
        <f xml:space="preserve"> IF(ISBLANK(B302), "-",B302)</f>
        <v>HTL-01</v>
      </c>
      <c r="C314" s="80">
        <f xml:space="preserve"> IF(ISBLANK(C302), "-",C302)</f>
        <v>21234</v>
      </c>
      <c r="D314" s="80" t="str">
        <f xml:space="preserve"> IF(ISBLANK(D302), "-",D302)</f>
        <v>14ml    L’Oreal</v>
      </c>
      <c r="E314" s="170"/>
      <c r="F314" s="81">
        <v>0</v>
      </c>
      <c r="G314" s="74">
        <v>0</v>
      </c>
      <c r="H314" s="74">
        <v>0</v>
      </c>
      <c r="I314" s="74">
        <v>0</v>
      </c>
      <c r="J314" s="74">
        <v>0</v>
      </c>
      <c r="K314" s="74">
        <v>0</v>
      </c>
      <c r="L314" s="75">
        <v>13</v>
      </c>
      <c r="M314" s="75">
        <v>6</v>
      </c>
      <c r="N314" s="75">
        <v>18</v>
      </c>
      <c r="O314" s="75">
        <v>0</v>
      </c>
      <c r="P314" s="75">
        <v>0</v>
      </c>
      <c r="Q314" s="74">
        <v>0</v>
      </c>
      <c r="R314" s="75">
        <v>0</v>
      </c>
      <c r="S314" s="75">
        <v>0</v>
      </c>
      <c r="T314" s="75">
        <v>0</v>
      </c>
      <c r="U314" s="75">
        <v>8</v>
      </c>
      <c r="V314" s="75">
        <v>10</v>
      </c>
      <c r="W314" s="74">
        <v>16</v>
      </c>
      <c r="X314" s="74">
        <v>7</v>
      </c>
      <c r="Y314" s="74">
        <v>4</v>
      </c>
      <c r="Z314" s="76">
        <v>0</v>
      </c>
      <c r="AA314" s="219"/>
      <c r="AB314" s="220"/>
    </row>
    <row r="315" spans="1:28" x14ac:dyDescent="0.2">
      <c r="A315" s="224"/>
      <c r="B315" s="80" t="str">
        <f xml:space="preserve"> IF(ISBLANK(B304), "-",B304)</f>
        <v>HTL-02</v>
      </c>
      <c r="C315" s="80">
        <f xml:space="preserve"> IF(ISBLANK(C304), "-",C304)</f>
        <v>21231</v>
      </c>
      <c r="D315" s="80" t="str">
        <f xml:space="preserve"> IF(ISBLANK(D304), "-",D304)</f>
        <v>7ml   L’Oreal</v>
      </c>
      <c r="E315" s="171"/>
      <c r="F315" s="81">
        <v>0</v>
      </c>
      <c r="G315" s="74">
        <v>0</v>
      </c>
      <c r="H315" s="74">
        <v>0</v>
      </c>
      <c r="I315" s="74">
        <v>0</v>
      </c>
      <c r="J315" s="74">
        <v>0</v>
      </c>
      <c r="K315" s="74">
        <v>0</v>
      </c>
      <c r="L315" s="75">
        <v>0</v>
      </c>
      <c r="M315" s="75">
        <v>0</v>
      </c>
      <c r="N315" s="75">
        <v>0</v>
      </c>
      <c r="O315" s="75">
        <v>0</v>
      </c>
      <c r="P315" s="75">
        <v>0</v>
      </c>
      <c r="Q315" s="74">
        <v>0</v>
      </c>
      <c r="R315" s="75">
        <v>0</v>
      </c>
      <c r="S315" s="75">
        <v>0</v>
      </c>
      <c r="T315" s="75">
        <v>0</v>
      </c>
      <c r="U315" s="75">
        <v>0</v>
      </c>
      <c r="V315" s="75">
        <v>0</v>
      </c>
      <c r="W315" s="74">
        <v>0</v>
      </c>
      <c r="X315" s="74">
        <v>0</v>
      </c>
      <c r="Y315" s="74">
        <v>0</v>
      </c>
      <c r="Z315" s="97">
        <v>0</v>
      </c>
      <c r="AA315" s="219"/>
      <c r="AB315" s="220"/>
    </row>
    <row r="316" spans="1:28" x14ac:dyDescent="0.2">
      <c r="A316" s="224"/>
      <c r="B316" s="80" t="str">
        <f xml:space="preserve"> IF(ISBLANK(B306), "-",B306)</f>
        <v>HTL-03</v>
      </c>
      <c r="C316" s="80">
        <f xml:space="preserve"> IF(ISBLANK(C306), "-",C306)</f>
        <v>21231</v>
      </c>
      <c r="D316" s="80" t="str">
        <f xml:space="preserve"> IF(ISBLANK(D306), "-",D306)</f>
        <v>7ml   L’Oreal</v>
      </c>
      <c r="E316" s="171"/>
      <c r="F316" s="81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75">
        <v>0</v>
      </c>
      <c r="M316" s="75">
        <v>0</v>
      </c>
      <c r="N316" s="75">
        <v>0</v>
      </c>
      <c r="O316" s="75">
        <v>0</v>
      </c>
      <c r="P316" s="75">
        <v>0</v>
      </c>
      <c r="Q316" s="74">
        <v>0</v>
      </c>
      <c r="R316" s="75">
        <v>0</v>
      </c>
      <c r="S316" s="75">
        <v>0</v>
      </c>
      <c r="T316" s="75">
        <v>0</v>
      </c>
      <c r="U316" s="75">
        <v>0</v>
      </c>
      <c r="V316" s="75">
        <v>0</v>
      </c>
      <c r="W316" s="74">
        <v>0</v>
      </c>
      <c r="X316" s="74">
        <v>0</v>
      </c>
      <c r="Y316" s="74">
        <v>0</v>
      </c>
      <c r="Z316" s="97">
        <v>0</v>
      </c>
      <c r="AA316" s="219"/>
      <c r="AB316" s="220"/>
    </row>
    <row r="317" spans="1:28" x14ac:dyDescent="0.2">
      <c r="A317" s="225"/>
      <c r="B317" s="80" t="str">
        <f xml:space="preserve"> IF(ISBLANK(B308), "-",B308)</f>
        <v>HTL-04</v>
      </c>
      <c r="C317" s="80">
        <f xml:space="preserve"> IF(ISBLANK(C308), "-",C308)</f>
        <v>21234</v>
      </c>
      <c r="D317" s="80" t="str">
        <f xml:space="preserve"> IF(ISBLANK(D308), "-",D308)</f>
        <v>14ml   L’Oreal</v>
      </c>
      <c r="E317" s="172"/>
      <c r="F317" s="81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75">
        <v>0</v>
      </c>
      <c r="M317" s="75">
        <v>0</v>
      </c>
      <c r="N317" s="75">
        <v>18</v>
      </c>
      <c r="O317" s="75">
        <v>0</v>
      </c>
      <c r="P317" s="75">
        <v>0</v>
      </c>
      <c r="Q317" s="74">
        <v>0</v>
      </c>
      <c r="R317" s="75">
        <v>0</v>
      </c>
      <c r="S317" s="75">
        <v>0</v>
      </c>
      <c r="T317" s="75">
        <v>0</v>
      </c>
      <c r="U317" s="75">
        <v>10</v>
      </c>
      <c r="V317" s="75">
        <v>4</v>
      </c>
      <c r="W317" s="74">
        <v>6</v>
      </c>
      <c r="X317" s="74">
        <v>7</v>
      </c>
      <c r="Y317" s="74">
        <v>3</v>
      </c>
      <c r="Z317" s="76">
        <v>9</v>
      </c>
      <c r="AA317" s="221"/>
      <c r="AB317" s="222"/>
    </row>
    <row r="319" spans="1:28" x14ac:dyDescent="0.2">
      <c r="A319" s="223">
        <v>44731</v>
      </c>
      <c r="B319" s="16"/>
      <c r="C319" s="16" t="s">
        <v>20</v>
      </c>
      <c r="D319" s="17">
        <v>1</v>
      </c>
      <c r="E319" s="18"/>
      <c r="F319" s="18" t="s">
        <v>19</v>
      </c>
      <c r="G319" s="17">
        <v>0</v>
      </c>
      <c r="H319" s="17"/>
      <c r="I319" s="18"/>
      <c r="J319" s="18"/>
      <c r="K319" s="25"/>
      <c r="L319" s="25"/>
      <c r="M319" s="17"/>
      <c r="N319" s="18"/>
      <c r="O319" s="18"/>
      <c r="P319" s="25"/>
      <c r="Q319" s="25"/>
      <c r="R319" s="17"/>
      <c r="S319" s="18"/>
      <c r="T319" s="18"/>
      <c r="U319" s="31">
        <v>19140</v>
      </c>
      <c r="V319" s="32" t="s">
        <v>48</v>
      </c>
      <c r="W319" s="32"/>
      <c r="X319" s="33"/>
      <c r="Y319" s="24"/>
      <c r="Z319" s="24"/>
      <c r="AA319" s="24"/>
      <c r="AB319" s="26"/>
    </row>
    <row r="320" spans="1:28" x14ac:dyDescent="0.2">
      <c r="A320" s="224"/>
      <c r="B320" s="157" t="s">
        <v>3</v>
      </c>
      <c r="C320" s="158" t="s">
        <v>10</v>
      </c>
      <c r="D320" s="158" t="s">
        <v>12</v>
      </c>
      <c r="E320" s="180" t="s">
        <v>5</v>
      </c>
      <c r="F320" s="211" t="s">
        <v>6</v>
      </c>
      <c r="G320" s="212"/>
      <c r="H320" s="212"/>
      <c r="I320" s="212"/>
      <c r="J320" s="213"/>
      <c r="K320" s="211" t="s">
        <v>7</v>
      </c>
      <c r="L320" s="212"/>
      <c r="M320" s="212"/>
      <c r="N320" s="212"/>
      <c r="O320" s="213"/>
      <c r="P320" s="211" t="s">
        <v>8</v>
      </c>
      <c r="Q320" s="212"/>
      <c r="R320" s="212"/>
      <c r="S320" s="212"/>
      <c r="T320" s="213"/>
      <c r="U320" s="214" t="s">
        <v>15</v>
      </c>
      <c r="V320" s="214" t="s">
        <v>52</v>
      </c>
      <c r="W320" s="214" t="s">
        <v>53</v>
      </c>
      <c r="X320" s="214" t="s">
        <v>54</v>
      </c>
      <c r="Y320" s="214" t="s">
        <v>55</v>
      </c>
      <c r="Z320" s="214" t="s">
        <v>56</v>
      </c>
      <c r="AA320" s="214" t="s">
        <v>57</v>
      </c>
      <c r="AB320" s="214" t="s">
        <v>17</v>
      </c>
    </row>
    <row r="321" spans="1:28" ht="38.25" x14ac:dyDescent="0.2">
      <c r="A321" s="224"/>
      <c r="B321" s="157"/>
      <c r="C321" s="158"/>
      <c r="D321" s="158"/>
      <c r="E321" s="180"/>
      <c r="F321" s="15" t="s">
        <v>23</v>
      </c>
      <c r="G321" s="15" t="s">
        <v>47</v>
      </c>
      <c r="H321" s="15" t="s">
        <v>50</v>
      </c>
      <c r="I321" s="15" t="s">
        <v>49</v>
      </c>
      <c r="J321" s="15" t="s">
        <v>51</v>
      </c>
      <c r="K321" s="15" t="s">
        <v>23</v>
      </c>
      <c r="L321" s="15" t="s">
        <v>13</v>
      </c>
      <c r="M321" s="15" t="s">
        <v>50</v>
      </c>
      <c r="N321" s="15" t="s">
        <v>49</v>
      </c>
      <c r="O321" s="15" t="s">
        <v>51</v>
      </c>
      <c r="P321" s="15" t="s">
        <v>23</v>
      </c>
      <c r="Q321" s="15" t="s">
        <v>13</v>
      </c>
      <c r="R321" s="15" t="s">
        <v>50</v>
      </c>
      <c r="S321" s="15" t="s">
        <v>49</v>
      </c>
      <c r="T321" s="15" t="s">
        <v>51</v>
      </c>
      <c r="U321" s="214"/>
      <c r="V321" s="214"/>
      <c r="W321" s="214"/>
      <c r="X321" s="214"/>
      <c r="Y321" s="214"/>
      <c r="Z321" s="214"/>
      <c r="AA321" s="214"/>
      <c r="AB321" s="214"/>
    </row>
    <row r="322" spans="1:28" x14ac:dyDescent="0.2">
      <c r="A322" s="224"/>
      <c r="B322" s="194" t="s">
        <v>64</v>
      </c>
      <c r="C322" s="11">
        <v>21234</v>
      </c>
      <c r="D322" s="11" t="s">
        <v>71</v>
      </c>
      <c r="E322" s="196" t="s">
        <v>1</v>
      </c>
      <c r="F322" s="12">
        <v>8318</v>
      </c>
      <c r="G322" s="20">
        <f t="shared" ref="G322:G329" si="6">F322/$U$279</f>
        <v>0.43458725182863112</v>
      </c>
      <c r="H322" s="12"/>
      <c r="I322" s="12"/>
      <c r="J322" s="12"/>
      <c r="K322" s="12">
        <v>8400</v>
      </c>
      <c r="L322" s="20">
        <f t="shared" ref="L322:L329" si="7">K322/$U$279</f>
        <v>0.43887147335423199</v>
      </c>
      <c r="M322" s="12"/>
      <c r="N322" s="12"/>
      <c r="O322" s="12"/>
      <c r="P322" s="12">
        <v>8000</v>
      </c>
      <c r="Q322" s="20">
        <f t="shared" ref="Q322:Q329" si="8">P322/$U$279</f>
        <v>0.41797283176593519</v>
      </c>
      <c r="R322" s="12"/>
      <c r="S322" s="12"/>
      <c r="T322" s="12"/>
      <c r="U322" s="151">
        <f>SUM(F322, K322, P322, F323, K323, P323)</f>
        <v>24718</v>
      </c>
      <c r="V322" s="151">
        <f>SUM(H322, M322, R322, H323, M323, R323)</f>
        <v>0</v>
      </c>
      <c r="W322" s="205">
        <f>IF($U322=0, ,V322/$U322)</f>
        <v>0</v>
      </c>
      <c r="X322" s="151">
        <f>SUM(I322, N322, S322, I323, N323, S323)</f>
        <v>0</v>
      </c>
      <c r="Y322" s="205">
        <f>IF($U322=0, ,X322/$U322)</f>
        <v>0</v>
      </c>
      <c r="Z322" s="151">
        <f>SUM(J322, O322, T322, J323, O323, T323)</f>
        <v>0</v>
      </c>
      <c r="AA322" s="205">
        <f>IF($U322=0, ,Z322/$U322)</f>
        <v>0</v>
      </c>
      <c r="AB322" s="179" t="s">
        <v>123</v>
      </c>
    </row>
    <row r="323" spans="1:28" x14ac:dyDescent="0.2">
      <c r="A323" s="224"/>
      <c r="B323" s="204"/>
      <c r="C323" s="11"/>
      <c r="D323" s="11"/>
      <c r="E323" s="198"/>
      <c r="F323" s="12"/>
      <c r="G323" s="20">
        <f t="shared" si="6"/>
        <v>0</v>
      </c>
      <c r="H323" s="12"/>
      <c r="I323" s="12"/>
      <c r="J323" s="12"/>
      <c r="K323" s="12"/>
      <c r="L323" s="20">
        <f t="shared" si="7"/>
        <v>0</v>
      </c>
      <c r="M323" s="12"/>
      <c r="N323" s="12"/>
      <c r="O323" s="12"/>
      <c r="P323" s="12"/>
      <c r="Q323" s="20">
        <f t="shared" si="8"/>
        <v>0</v>
      </c>
      <c r="R323" s="12"/>
      <c r="S323" s="12"/>
      <c r="T323" s="12"/>
      <c r="U323" s="152"/>
      <c r="V323" s="152"/>
      <c r="W323" s="206"/>
      <c r="X323" s="152"/>
      <c r="Y323" s="206"/>
      <c r="Z323" s="152"/>
      <c r="AA323" s="206"/>
      <c r="AB323" s="156"/>
    </row>
    <row r="324" spans="1:28" x14ac:dyDescent="0.2">
      <c r="A324" s="224"/>
      <c r="B324" s="175" t="s">
        <v>69</v>
      </c>
      <c r="C324" s="10">
        <v>21231</v>
      </c>
      <c r="D324" s="10" t="s">
        <v>70</v>
      </c>
      <c r="E324" s="177" t="s">
        <v>1</v>
      </c>
      <c r="F324" s="13">
        <v>0</v>
      </c>
      <c r="G324" s="21">
        <f t="shared" si="6"/>
        <v>0</v>
      </c>
      <c r="H324" s="13"/>
      <c r="I324" s="13"/>
      <c r="J324" s="13"/>
      <c r="K324" s="13"/>
      <c r="L324" s="21">
        <f t="shared" si="7"/>
        <v>0</v>
      </c>
      <c r="M324" s="13"/>
      <c r="N324" s="13"/>
      <c r="O324" s="13"/>
      <c r="P324" s="13"/>
      <c r="Q324" s="21">
        <f t="shared" si="8"/>
        <v>0</v>
      </c>
      <c r="R324" s="13"/>
      <c r="S324" s="13"/>
      <c r="T324" s="13"/>
      <c r="U324" s="185">
        <f>SUM(F324, K324, P324, F325, K325, P325)</f>
        <v>0</v>
      </c>
      <c r="V324" s="185">
        <f>SUM(H324, M324, R324, H325, M325, R325)</f>
        <v>0</v>
      </c>
      <c r="W324" s="200">
        <f>IF($U324=0, ,V324/$U324)</f>
        <v>0</v>
      </c>
      <c r="X324" s="185">
        <f>SUM(I324, N324, S324, I325, N325, S325)</f>
        <v>0</v>
      </c>
      <c r="Y324" s="200">
        <f>IF($U324=0, ,X324/$U324)</f>
        <v>0</v>
      </c>
      <c r="Z324" s="185">
        <f>SUM(J324, O324, T324, J325, O325, T325)</f>
        <v>0</v>
      </c>
      <c r="AA324" s="200">
        <f>IF($U324=0, ,Z324/$U324)</f>
        <v>0</v>
      </c>
      <c r="AB324" s="202" t="s">
        <v>124</v>
      </c>
    </row>
    <row r="325" spans="1:28" x14ac:dyDescent="0.2">
      <c r="A325" s="224"/>
      <c r="B325" s="176"/>
      <c r="C325" s="10"/>
      <c r="D325" s="10"/>
      <c r="E325" s="178"/>
      <c r="F325" s="13"/>
      <c r="G325" s="21">
        <f t="shared" si="6"/>
        <v>0</v>
      </c>
      <c r="H325" s="13"/>
      <c r="I325" s="13"/>
      <c r="J325" s="13"/>
      <c r="K325" s="13"/>
      <c r="L325" s="21">
        <f t="shared" si="7"/>
        <v>0</v>
      </c>
      <c r="M325" s="13"/>
      <c r="N325" s="13"/>
      <c r="O325" s="13"/>
      <c r="P325" s="13"/>
      <c r="Q325" s="21">
        <f t="shared" si="8"/>
        <v>0</v>
      </c>
      <c r="R325" s="13"/>
      <c r="S325" s="13"/>
      <c r="T325" s="13"/>
      <c r="U325" s="186"/>
      <c r="V325" s="186"/>
      <c r="W325" s="201"/>
      <c r="X325" s="186"/>
      <c r="Y325" s="201"/>
      <c r="Z325" s="186"/>
      <c r="AA325" s="201"/>
      <c r="AB325" s="203"/>
    </row>
    <row r="326" spans="1:28" x14ac:dyDescent="0.2">
      <c r="A326" s="224"/>
      <c r="B326" s="194" t="s">
        <v>68</v>
      </c>
      <c r="C326" s="9">
        <v>21231</v>
      </c>
      <c r="D326" s="9" t="s">
        <v>70</v>
      </c>
      <c r="E326" s="149" t="s">
        <v>1</v>
      </c>
      <c r="F326" s="14">
        <v>0</v>
      </c>
      <c r="G326" s="22">
        <f t="shared" si="6"/>
        <v>0</v>
      </c>
      <c r="H326" s="14"/>
      <c r="I326" s="14"/>
      <c r="J326" s="14"/>
      <c r="K326" s="14"/>
      <c r="L326" s="22">
        <f t="shared" si="7"/>
        <v>0</v>
      </c>
      <c r="M326" s="14"/>
      <c r="N326" s="14"/>
      <c r="O326" s="14"/>
      <c r="P326" s="14"/>
      <c r="Q326" s="22">
        <f t="shared" si="8"/>
        <v>0</v>
      </c>
      <c r="R326" s="14"/>
      <c r="S326" s="14"/>
      <c r="T326" s="14"/>
      <c r="U326" s="151">
        <f>SUM(F326, K326, P326, F327, K327, P327)</f>
        <v>0</v>
      </c>
      <c r="V326" s="151">
        <f>SUM(H326, M326, R326, H327, M327, R327)</f>
        <v>0</v>
      </c>
      <c r="W326" s="205">
        <f>IF($U326=0, ,V326/$U326)</f>
        <v>0</v>
      </c>
      <c r="X326" s="151">
        <f>SUM(I326, N326, S326, I327, N327, S327)</f>
        <v>0</v>
      </c>
      <c r="Y326" s="205">
        <f>IF($U326=0, ,X326/$U326)</f>
        <v>0</v>
      </c>
      <c r="Z326" s="151">
        <f>SUM(J326, O326, T326, J327, O327, T327)</f>
        <v>0</v>
      </c>
      <c r="AA326" s="205">
        <f>IF($U326=0, ,Z326/$U326)</f>
        <v>0</v>
      </c>
      <c r="AB326" s="179" t="s">
        <v>124</v>
      </c>
    </row>
    <row r="327" spans="1:28" x14ac:dyDescent="0.2">
      <c r="A327" s="224"/>
      <c r="B327" s="204"/>
      <c r="C327" s="9"/>
      <c r="D327" s="9"/>
      <c r="E327" s="150"/>
      <c r="F327" s="14"/>
      <c r="G327" s="22">
        <f t="shared" si="6"/>
        <v>0</v>
      </c>
      <c r="H327" s="14"/>
      <c r="I327" s="14"/>
      <c r="J327" s="14"/>
      <c r="K327" s="14"/>
      <c r="L327" s="22">
        <f t="shared" si="7"/>
        <v>0</v>
      </c>
      <c r="M327" s="14"/>
      <c r="N327" s="14"/>
      <c r="O327" s="14"/>
      <c r="P327" s="14"/>
      <c r="Q327" s="22">
        <f t="shared" si="8"/>
        <v>0</v>
      </c>
      <c r="R327" s="14"/>
      <c r="S327" s="14"/>
      <c r="T327" s="14"/>
      <c r="U327" s="152"/>
      <c r="V327" s="152"/>
      <c r="W327" s="206"/>
      <c r="X327" s="152"/>
      <c r="Y327" s="206"/>
      <c r="Z327" s="152"/>
      <c r="AA327" s="206"/>
      <c r="AB327" s="156"/>
    </row>
    <row r="328" spans="1:28" x14ac:dyDescent="0.2">
      <c r="A328" s="224"/>
      <c r="B328" s="175" t="s">
        <v>115</v>
      </c>
      <c r="C328" s="10">
        <v>21234</v>
      </c>
      <c r="D328" s="10" t="s">
        <v>116</v>
      </c>
      <c r="E328" s="177" t="s">
        <v>1</v>
      </c>
      <c r="F328" s="13">
        <v>8352</v>
      </c>
      <c r="G328" s="21">
        <f t="shared" si="6"/>
        <v>0.43636363636363634</v>
      </c>
      <c r="H328" s="13"/>
      <c r="I328" s="13"/>
      <c r="J328" s="13"/>
      <c r="K328" s="13">
        <v>8435</v>
      </c>
      <c r="L328" s="21">
        <f t="shared" si="7"/>
        <v>0.44070010449320796</v>
      </c>
      <c r="M328" s="13"/>
      <c r="N328" s="13"/>
      <c r="O328" s="13"/>
      <c r="P328" s="13">
        <v>8152</v>
      </c>
      <c r="Q328" s="21">
        <f t="shared" si="8"/>
        <v>0.425914315569488</v>
      </c>
      <c r="R328" s="13"/>
      <c r="S328" s="13"/>
      <c r="T328" s="13"/>
      <c r="U328" s="185">
        <f>SUM(F328, K328, P328, F329, K329, P329)</f>
        <v>24939</v>
      </c>
      <c r="V328" s="185">
        <f>SUM(H328, M328, R328, H329, M329, R329)</f>
        <v>0</v>
      </c>
      <c r="W328" s="200">
        <f>IF($U328=0, ,V328/$U328)</f>
        <v>0</v>
      </c>
      <c r="X328" s="185">
        <f>SUM(I328, N328, S328, I329, N329, S329)</f>
        <v>0</v>
      </c>
      <c r="Y328" s="200">
        <f>IF($U328=0, ,X328/$U328)</f>
        <v>0</v>
      </c>
      <c r="Z328" s="185">
        <f>SUM(J328, O328, T328, J329, O329, T329)</f>
        <v>0</v>
      </c>
      <c r="AA328" s="200">
        <f>IF($U328=0, ,Z328/$U328)</f>
        <v>0</v>
      </c>
      <c r="AB328" s="202" t="s">
        <v>122</v>
      </c>
    </row>
    <row r="329" spans="1:28" x14ac:dyDescent="0.2">
      <c r="A329" s="224"/>
      <c r="B329" s="176"/>
      <c r="C329" s="10"/>
      <c r="D329" s="10"/>
      <c r="E329" s="178"/>
      <c r="F329" s="13"/>
      <c r="G329" s="21">
        <f t="shared" si="6"/>
        <v>0</v>
      </c>
      <c r="H329" s="13"/>
      <c r="I329" s="13"/>
      <c r="J329" s="13"/>
      <c r="K329" s="13"/>
      <c r="L329" s="21">
        <f t="shared" si="7"/>
        <v>0</v>
      </c>
      <c r="M329" s="13"/>
      <c r="N329" s="13"/>
      <c r="O329" s="13"/>
      <c r="P329" s="13"/>
      <c r="Q329" s="21">
        <f t="shared" si="8"/>
        <v>0</v>
      </c>
      <c r="R329" s="13"/>
      <c r="S329" s="13"/>
      <c r="T329" s="13"/>
      <c r="U329" s="186"/>
      <c r="V329" s="186"/>
      <c r="W329" s="201"/>
      <c r="X329" s="186"/>
      <c r="Y329" s="201"/>
      <c r="Z329" s="186"/>
      <c r="AA329" s="201"/>
      <c r="AB329" s="203"/>
    </row>
    <row r="330" spans="1:28" ht="13.5" thickBot="1" x14ac:dyDescent="0.25">
      <c r="A330" s="224"/>
      <c r="B330" s="42"/>
      <c r="C330" s="42"/>
      <c r="D330" s="42"/>
      <c r="E330" s="42"/>
      <c r="F330" s="43"/>
      <c r="G330" s="44"/>
      <c r="H330" s="43"/>
      <c r="I330" s="43"/>
      <c r="J330" s="43"/>
      <c r="K330" s="43"/>
      <c r="L330" s="44"/>
      <c r="M330" s="43"/>
      <c r="N330" s="43"/>
      <c r="O330" s="43"/>
      <c r="P330" s="43"/>
      <c r="Q330" s="44"/>
      <c r="R330" s="43"/>
      <c r="S330" s="43"/>
      <c r="T330" s="46" t="s">
        <v>26</v>
      </c>
      <c r="U330" s="47">
        <f>SUM(U322:U329)</f>
        <v>49657</v>
      </c>
      <c r="V330" s="47">
        <f>SUM(V322:V329)</f>
        <v>0</v>
      </c>
      <c r="W330" s="48">
        <f>IF($U330=0, ,V330/$U330)</f>
        <v>0</v>
      </c>
      <c r="X330" s="47">
        <f>SUM(X322:X329)</f>
        <v>0</v>
      </c>
      <c r="Y330" s="48">
        <f>IF($U330=0, ,X330/$U330)</f>
        <v>0</v>
      </c>
      <c r="Z330" s="47">
        <f>SUM(Z322:Z329)</f>
        <v>0</v>
      </c>
      <c r="AA330" s="48">
        <f>IF($U330=0, ,Z330/$U330)</f>
        <v>0</v>
      </c>
      <c r="AB330" s="45"/>
    </row>
    <row r="331" spans="1:28" ht="13.5" thickTop="1" x14ac:dyDescent="0.2">
      <c r="A331" s="224"/>
      <c r="B331" s="42"/>
      <c r="C331" s="42"/>
      <c r="D331" s="42"/>
      <c r="E331" s="42"/>
      <c r="F331" s="68"/>
      <c r="G331" s="68"/>
      <c r="H331" s="68"/>
      <c r="I331" s="68"/>
      <c r="J331" s="68"/>
      <c r="K331" s="68"/>
      <c r="L331" s="68"/>
      <c r="M331" s="68"/>
      <c r="N331" s="68"/>
      <c r="O331" s="69"/>
      <c r="P331" s="69"/>
      <c r="Q331" s="70"/>
      <c r="R331" s="69"/>
      <c r="S331" s="70"/>
      <c r="T331" s="71"/>
      <c r="U331" s="71"/>
      <c r="V331" s="71"/>
      <c r="W331" s="71"/>
      <c r="X331" s="71"/>
      <c r="Y331" s="71"/>
      <c r="Z331" s="71"/>
      <c r="AA331" s="71"/>
      <c r="AB331" s="72"/>
    </row>
    <row r="332" spans="1:28" x14ac:dyDescent="0.2">
      <c r="A332" s="224"/>
      <c r="B332" s="207" t="s">
        <v>32</v>
      </c>
      <c r="C332" s="207"/>
      <c r="D332" s="208"/>
      <c r="E332" s="77" t="s">
        <v>33</v>
      </c>
      <c r="F332" s="159" t="s">
        <v>29</v>
      </c>
      <c r="G332" s="159"/>
      <c r="H332" s="159"/>
      <c r="I332" s="159" t="s">
        <v>41</v>
      </c>
      <c r="J332" s="159"/>
      <c r="K332" s="159"/>
      <c r="L332" s="159" t="s">
        <v>30</v>
      </c>
      <c r="M332" s="159"/>
      <c r="N332" s="159"/>
      <c r="O332" s="159" t="s">
        <v>31</v>
      </c>
      <c r="P332" s="159"/>
      <c r="Q332" s="159"/>
      <c r="R332" s="159" t="s">
        <v>38</v>
      </c>
      <c r="S332" s="159"/>
      <c r="T332" s="159"/>
      <c r="U332" s="159" t="s">
        <v>60</v>
      </c>
      <c r="V332" s="159"/>
      <c r="W332" s="159"/>
      <c r="X332" s="159" t="s">
        <v>40</v>
      </c>
      <c r="Y332" s="159"/>
      <c r="Z332" s="159"/>
      <c r="AA332" s="217"/>
      <c r="AB332" s="218"/>
    </row>
    <row r="333" spans="1:28" x14ac:dyDescent="0.2">
      <c r="A333" s="224"/>
      <c r="B333" s="209"/>
      <c r="C333" s="209"/>
      <c r="D333" s="210"/>
      <c r="E333" s="82" t="s">
        <v>34</v>
      </c>
      <c r="F333" s="78" t="s">
        <v>35</v>
      </c>
      <c r="G333" s="78" t="s">
        <v>36</v>
      </c>
      <c r="H333" s="79" t="s">
        <v>37</v>
      </c>
      <c r="I333" s="78" t="s">
        <v>35</v>
      </c>
      <c r="J333" s="78" t="s">
        <v>36</v>
      </c>
      <c r="K333" s="79" t="s">
        <v>37</v>
      </c>
      <c r="L333" s="78" t="s">
        <v>35</v>
      </c>
      <c r="M333" s="78" t="s">
        <v>36</v>
      </c>
      <c r="N333" s="79" t="s">
        <v>37</v>
      </c>
      <c r="O333" s="78" t="s">
        <v>35</v>
      </c>
      <c r="P333" s="78" t="s">
        <v>36</v>
      </c>
      <c r="Q333" s="79" t="s">
        <v>37</v>
      </c>
      <c r="R333" s="78" t="s">
        <v>35</v>
      </c>
      <c r="S333" s="78" t="s">
        <v>36</v>
      </c>
      <c r="T333" s="79" t="s">
        <v>37</v>
      </c>
      <c r="U333" s="78" t="s">
        <v>35</v>
      </c>
      <c r="V333" s="78" t="s">
        <v>36</v>
      </c>
      <c r="W333" s="79" t="s">
        <v>37</v>
      </c>
      <c r="X333" s="78" t="s">
        <v>35</v>
      </c>
      <c r="Y333" s="78" t="s">
        <v>36</v>
      </c>
      <c r="Z333" s="79" t="s">
        <v>37</v>
      </c>
      <c r="AA333" s="219"/>
      <c r="AB333" s="220"/>
    </row>
    <row r="334" spans="1:28" x14ac:dyDescent="0.2">
      <c r="A334" s="224"/>
      <c r="B334" s="80" t="str">
        <f xml:space="preserve"> IF(ISBLANK(B322), "-",B322)</f>
        <v>HTL-01</v>
      </c>
      <c r="C334" s="80">
        <f xml:space="preserve"> IF(ISBLANK(C322), "-",C322)</f>
        <v>21234</v>
      </c>
      <c r="D334" s="80" t="str">
        <f xml:space="preserve"> IF(ISBLANK(D322), "-",D322)</f>
        <v>14ml    L’Oreal</v>
      </c>
      <c r="E334" s="170"/>
      <c r="F334" s="81">
        <v>0</v>
      </c>
      <c r="G334" s="74">
        <v>0</v>
      </c>
      <c r="H334" s="74">
        <v>0</v>
      </c>
      <c r="I334" s="74">
        <v>0</v>
      </c>
      <c r="J334" s="74">
        <v>0</v>
      </c>
      <c r="K334" s="74">
        <v>0</v>
      </c>
      <c r="L334" s="75">
        <v>46</v>
      </c>
      <c r="M334" s="75">
        <v>21</v>
      </c>
      <c r="N334" s="75">
        <v>48</v>
      </c>
      <c r="O334" s="75">
        <v>0</v>
      </c>
      <c r="P334" s="75">
        <v>0</v>
      </c>
      <c r="Q334" s="74">
        <v>0</v>
      </c>
      <c r="R334" s="75">
        <v>0</v>
      </c>
      <c r="S334" s="75">
        <v>0</v>
      </c>
      <c r="T334" s="75">
        <v>0</v>
      </c>
      <c r="U334" s="75">
        <v>3</v>
      </c>
      <c r="V334" s="75">
        <v>10</v>
      </c>
      <c r="W334" s="74">
        <v>14</v>
      </c>
      <c r="X334" s="74">
        <v>0</v>
      </c>
      <c r="Y334" s="74">
        <v>0</v>
      </c>
      <c r="Z334" s="76">
        <v>0</v>
      </c>
      <c r="AA334" s="219"/>
      <c r="AB334" s="220"/>
    </row>
    <row r="335" spans="1:28" x14ac:dyDescent="0.2">
      <c r="A335" s="224"/>
      <c r="B335" s="80" t="str">
        <f xml:space="preserve"> IF(ISBLANK(B324), "-",B324)</f>
        <v>HTL-02</v>
      </c>
      <c r="C335" s="80">
        <f xml:space="preserve"> IF(ISBLANK(C324), "-",C324)</f>
        <v>21231</v>
      </c>
      <c r="D335" s="80" t="str">
        <f xml:space="preserve"> IF(ISBLANK(D324), "-",D324)</f>
        <v>7ml   L’Oreal</v>
      </c>
      <c r="E335" s="171"/>
      <c r="F335" s="81">
        <v>0</v>
      </c>
      <c r="G335" s="74">
        <v>0</v>
      </c>
      <c r="H335" s="74">
        <v>0</v>
      </c>
      <c r="I335" s="74">
        <v>0</v>
      </c>
      <c r="J335" s="74">
        <v>0</v>
      </c>
      <c r="K335" s="74">
        <v>0</v>
      </c>
      <c r="L335" s="75">
        <v>0</v>
      </c>
      <c r="M335" s="75">
        <v>0</v>
      </c>
      <c r="N335" s="75">
        <v>0</v>
      </c>
      <c r="O335" s="75">
        <v>0</v>
      </c>
      <c r="P335" s="75">
        <v>0</v>
      </c>
      <c r="Q335" s="74">
        <v>0</v>
      </c>
      <c r="R335" s="75">
        <v>0</v>
      </c>
      <c r="S335" s="75">
        <v>0</v>
      </c>
      <c r="T335" s="75">
        <v>0</v>
      </c>
      <c r="U335" s="75">
        <v>0</v>
      </c>
      <c r="V335" s="75">
        <v>0</v>
      </c>
      <c r="W335" s="74">
        <v>0</v>
      </c>
      <c r="X335" s="74">
        <v>0</v>
      </c>
      <c r="Y335" s="74">
        <v>0</v>
      </c>
      <c r="Z335" s="97">
        <v>0</v>
      </c>
      <c r="AA335" s="219"/>
      <c r="AB335" s="220"/>
    </row>
    <row r="336" spans="1:28" x14ac:dyDescent="0.2">
      <c r="A336" s="224"/>
      <c r="B336" s="80" t="str">
        <f xml:space="preserve"> IF(ISBLANK(B326), "-",B326)</f>
        <v>HTL-03</v>
      </c>
      <c r="C336" s="80">
        <f xml:space="preserve"> IF(ISBLANK(C326), "-",C326)</f>
        <v>21231</v>
      </c>
      <c r="D336" s="80" t="str">
        <f xml:space="preserve"> IF(ISBLANK(D326), "-",D326)</f>
        <v>7ml   L’Oreal</v>
      </c>
      <c r="E336" s="171"/>
      <c r="F336" s="81">
        <v>0</v>
      </c>
      <c r="G336" s="74">
        <v>0</v>
      </c>
      <c r="H336" s="74">
        <v>0</v>
      </c>
      <c r="I336" s="74">
        <v>0</v>
      </c>
      <c r="J336" s="74">
        <v>0</v>
      </c>
      <c r="K336" s="74">
        <v>0</v>
      </c>
      <c r="L336" s="75">
        <v>0</v>
      </c>
      <c r="M336" s="75">
        <v>0</v>
      </c>
      <c r="N336" s="75">
        <v>0</v>
      </c>
      <c r="O336" s="75">
        <v>0</v>
      </c>
      <c r="P336" s="75">
        <v>0</v>
      </c>
      <c r="Q336" s="74">
        <v>0</v>
      </c>
      <c r="R336" s="75">
        <v>0</v>
      </c>
      <c r="S336" s="75">
        <v>0</v>
      </c>
      <c r="T336" s="75">
        <v>0</v>
      </c>
      <c r="U336" s="75">
        <v>0</v>
      </c>
      <c r="V336" s="75">
        <v>0</v>
      </c>
      <c r="W336" s="74">
        <v>0</v>
      </c>
      <c r="X336" s="74">
        <v>0</v>
      </c>
      <c r="Y336" s="74">
        <v>0</v>
      </c>
      <c r="Z336" s="97">
        <v>0</v>
      </c>
      <c r="AA336" s="219"/>
      <c r="AB336" s="220"/>
    </row>
    <row r="337" spans="1:28" x14ac:dyDescent="0.2">
      <c r="A337" s="225"/>
      <c r="B337" s="80" t="str">
        <f xml:space="preserve"> IF(ISBLANK(B328), "-",B328)</f>
        <v>HTL-04</v>
      </c>
      <c r="C337" s="80">
        <f xml:space="preserve"> IF(ISBLANK(C328), "-",C328)</f>
        <v>21234</v>
      </c>
      <c r="D337" s="80" t="str">
        <f xml:space="preserve"> IF(ISBLANK(D328), "-",D328)</f>
        <v>14ml   L’Oreal</v>
      </c>
      <c r="E337" s="172"/>
      <c r="F337" s="81">
        <v>0</v>
      </c>
      <c r="G337" s="74">
        <v>0</v>
      </c>
      <c r="H337" s="74">
        <v>0</v>
      </c>
      <c r="I337" s="74">
        <v>0</v>
      </c>
      <c r="J337" s="74">
        <v>0</v>
      </c>
      <c r="K337" s="74">
        <v>0</v>
      </c>
      <c r="L337" s="75">
        <v>8</v>
      </c>
      <c r="M337" s="75">
        <v>0</v>
      </c>
      <c r="N337" s="75">
        <v>9</v>
      </c>
      <c r="O337" s="75">
        <v>0</v>
      </c>
      <c r="P337" s="75">
        <v>0</v>
      </c>
      <c r="Q337" s="74">
        <v>0</v>
      </c>
      <c r="R337" s="75">
        <v>0</v>
      </c>
      <c r="S337" s="75">
        <v>0</v>
      </c>
      <c r="T337" s="75">
        <v>0</v>
      </c>
      <c r="U337" s="75">
        <v>9</v>
      </c>
      <c r="V337" s="75">
        <v>4</v>
      </c>
      <c r="W337" s="74">
        <v>4</v>
      </c>
      <c r="X337" s="74">
        <v>0</v>
      </c>
      <c r="Y337" s="74">
        <v>8</v>
      </c>
      <c r="Z337" s="76">
        <v>8</v>
      </c>
      <c r="AA337" s="221"/>
      <c r="AB337" s="222"/>
    </row>
    <row r="339" spans="1:28" x14ac:dyDescent="0.2">
      <c r="A339" s="223">
        <v>44732</v>
      </c>
      <c r="B339" s="16"/>
      <c r="C339" s="16" t="s">
        <v>20</v>
      </c>
      <c r="D339" s="17">
        <v>1</v>
      </c>
      <c r="E339" s="18"/>
      <c r="F339" s="18" t="s">
        <v>19</v>
      </c>
      <c r="G339" s="17">
        <v>0</v>
      </c>
      <c r="H339" s="17"/>
      <c r="I339" s="18"/>
      <c r="J339" s="18"/>
      <c r="K339" s="25"/>
      <c r="L339" s="25"/>
      <c r="M339" s="17"/>
      <c r="N339" s="18"/>
      <c r="O339" s="18"/>
      <c r="P339" s="25"/>
      <c r="Q339" s="25"/>
      <c r="R339" s="17"/>
      <c r="S339" s="18"/>
      <c r="T339" s="18"/>
      <c r="U339" s="31">
        <v>19140</v>
      </c>
      <c r="V339" s="32" t="s">
        <v>48</v>
      </c>
      <c r="W339" s="32"/>
      <c r="X339" s="33"/>
      <c r="Y339" s="24"/>
      <c r="Z339" s="24"/>
      <c r="AA339" s="24"/>
      <c r="AB339" s="26"/>
    </row>
    <row r="340" spans="1:28" x14ac:dyDescent="0.2">
      <c r="A340" s="224"/>
      <c r="B340" s="157" t="s">
        <v>3</v>
      </c>
      <c r="C340" s="158" t="s">
        <v>10</v>
      </c>
      <c r="D340" s="158" t="s">
        <v>12</v>
      </c>
      <c r="E340" s="180" t="s">
        <v>5</v>
      </c>
      <c r="F340" s="211" t="s">
        <v>6</v>
      </c>
      <c r="G340" s="212"/>
      <c r="H340" s="212"/>
      <c r="I340" s="212"/>
      <c r="J340" s="213"/>
      <c r="K340" s="211" t="s">
        <v>7</v>
      </c>
      <c r="L340" s="212"/>
      <c r="M340" s="212"/>
      <c r="N340" s="212"/>
      <c r="O340" s="213"/>
      <c r="P340" s="211" t="s">
        <v>8</v>
      </c>
      <c r="Q340" s="212"/>
      <c r="R340" s="212"/>
      <c r="S340" s="212"/>
      <c r="T340" s="213"/>
      <c r="U340" s="214" t="s">
        <v>15</v>
      </c>
      <c r="V340" s="214" t="s">
        <v>52</v>
      </c>
      <c r="W340" s="214" t="s">
        <v>53</v>
      </c>
      <c r="X340" s="214" t="s">
        <v>54</v>
      </c>
      <c r="Y340" s="214" t="s">
        <v>55</v>
      </c>
      <c r="Z340" s="214" t="s">
        <v>56</v>
      </c>
      <c r="AA340" s="214" t="s">
        <v>57</v>
      </c>
      <c r="AB340" s="214" t="s">
        <v>17</v>
      </c>
    </row>
    <row r="341" spans="1:28" ht="38.25" x14ac:dyDescent="0.2">
      <c r="A341" s="224"/>
      <c r="B341" s="157"/>
      <c r="C341" s="158"/>
      <c r="D341" s="158"/>
      <c r="E341" s="180"/>
      <c r="F341" s="15" t="s">
        <v>23</v>
      </c>
      <c r="G341" s="15" t="s">
        <v>47</v>
      </c>
      <c r="H341" s="15" t="s">
        <v>50</v>
      </c>
      <c r="I341" s="15" t="s">
        <v>49</v>
      </c>
      <c r="J341" s="15" t="s">
        <v>51</v>
      </c>
      <c r="K341" s="15" t="s">
        <v>23</v>
      </c>
      <c r="L341" s="15" t="s">
        <v>13</v>
      </c>
      <c r="M341" s="15" t="s">
        <v>50</v>
      </c>
      <c r="N341" s="15" t="s">
        <v>49</v>
      </c>
      <c r="O341" s="15" t="s">
        <v>51</v>
      </c>
      <c r="P341" s="15" t="s">
        <v>23</v>
      </c>
      <c r="Q341" s="15" t="s">
        <v>13</v>
      </c>
      <c r="R341" s="15" t="s">
        <v>50</v>
      </c>
      <c r="S341" s="15" t="s">
        <v>49</v>
      </c>
      <c r="T341" s="15" t="s">
        <v>51</v>
      </c>
      <c r="U341" s="214"/>
      <c r="V341" s="214"/>
      <c r="W341" s="214"/>
      <c r="X341" s="214"/>
      <c r="Y341" s="214"/>
      <c r="Z341" s="214"/>
      <c r="AA341" s="214"/>
      <c r="AB341" s="214"/>
    </row>
    <row r="342" spans="1:28" x14ac:dyDescent="0.2">
      <c r="A342" s="224"/>
      <c r="B342" s="194" t="s">
        <v>64</v>
      </c>
      <c r="C342" s="11">
        <v>21234</v>
      </c>
      <c r="D342" s="11" t="s">
        <v>71</v>
      </c>
      <c r="E342" s="196" t="s">
        <v>1</v>
      </c>
      <c r="F342" s="12">
        <v>8400</v>
      </c>
      <c r="G342" s="20">
        <f t="shared" ref="G342:G349" si="9">F342/$U$279</f>
        <v>0.43887147335423199</v>
      </c>
      <c r="H342" s="12"/>
      <c r="I342" s="12"/>
      <c r="J342" s="12"/>
      <c r="K342" s="12">
        <v>8282</v>
      </c>
      <c r="L342" s="20">
        <f t="shared" ref="L342:L349" si="10">K342/$U$279</f>
        <v>0.43270637408568441</v>
      </c>
      <c r="M342" s="12"/>
      <c r="N342" s="12"/>
      <c r="O342" s="12"/>
      <c r="P342" s="12">
        <v>8253</v>
      </c>
      <c r="Q342" s="20">
        <f t="shared" ref="Q342:Q349" si="11">P342/$U$279</f>
        <v>0.43119122257053294</v>
      </c>
      <c r="R342" s="12"/>
      <c r="S342" s="12"/>
      <c r="T342" s="12"/>
      <c r="U342" s="151">
        <f>SUM(F342, K342, P342, F343, K343, P343)</f>
        <v>24935</v>
      </c>
      <c r="V342" s="151">
        <f>SUM(H342, M342, R342, H343, M343, R343)</f>
        <v>0</v>
      </c>
      <c r="W342" s="205">
        <f>IF($U342=0, ,V342/$U342)</f>
        <v>0</v>
      </c>
      <c r="X342" s="151">
        <f>SUM(I342, N342, S342, I343, N343, S343)</f>
        <v>0</v>
      </c>
      <c r="Y342" s="205">
        <f>IF($U342=0, ,X342/$U342)</f>
        <v>0</v>
      </c>
      <c r="Z342" s="151">
        <f>SUM(J342, O342, T342, J343, O343, T343)</f>
        <v>0</v>
      </c>
      <c r="AA342" s="205">
        <f>IF($U342=0, ,Z342/$U342)</f>
        <v>0</v>
      </c>
      <c r="AB342" s="179"/>
    </row>
    <row r="343" spans="1:28" x14ac:dyDescent="0.2">
      <c r="A343" s="224"/>
      <c r="B343" s="204"/>
      <c r="C343" s="11"/>
      <c r="D343" s="11"/>
      <c r="E343" s="198"/>
      <c r="F343" s="12"/>
      <c r="G343" s="20">
        <f t="shared" si="9"/>
        <v>0</v>
      </c>
      <c r="H343" s="12"/>
      <c r="I343" s="12"/>
      <c r="J343" s="12"/>
      <c r="K343" s="12"/>
      <c r="L343" s="20">
        <f t="shared" si="10"/>
        <v>0</v>
      </c>
      <c r="M343" s="12"/>
      <c r="N343" s="12"/>
      <c r="O343" s="12"/>
      <c r="P343" s="12"/>
      <c r="Q343" s="20">
        <f t="shared" si="11"/>
        <v>0</v>
      </c>
      <c r="R343" s="12"/>
      <c r="S343" s="12"/>
      <c r="T343" s="12"/>
      <c r="U343" s="152"/>
      <c r="V343" s="152"/>
      <c r="W343" s="206"/>
      <c r="X343" s="152"/>
      <c r="Y343" s="206"/>
      <c r="Z343" s="152"/>
      <c r="AA343" s="206"/>
      <c r="AB343" s="156"/>
    </row>
    <row r="344" spans="1:28" x14ac:dyDescent="0.2">
      <c r="A344" s="224"/>
      <c r="B344" s="175" t="s">
        <v>69</v>
      </c>
      <c r="C344" s="10">
        <v>21231</v>
      </c>
      <c r="D344" s="10" t="s">
        <v>70</v>
      </c>
      <c r="E344" s="177" t="s">
        <v>1</v>
      </c>
      <c r="F344" s="13">
        <v>0</v>
      </c>
      <c r="G344" s="21">
        <f t="shared" si="9"/>
        <v>0</v>
      </c>
      <c r="H344" s="13"/>
      <c r="I344" s="13"/>
      <c r="J344" s="13"/>
      <c r="K344" s="13"/>
      <c r="L344" s="21">
        <f t="shared" si="10"/>
        <v>0</v>
      </c>
      <c r="M344" s="13"/>
      <c r="N344" s="13"/>
      <c r="O344" s="13"/>
      <c r="P344" s="13"/>
      <c r="Q344" s="21">
        <f t="shared" si="11"/>
        <v>0</v>
      </c>
      <c r="R344" s="13"/>
      <c r="S344" s="13"/>
      <c r="T344" s="13"/>
      <c r="U344" s="185">
        <f>SUM(F344, K344, P344, F345, K345, P345)</f>
        <v>0</v>
      </c>
      <c r="V344" s="185">
        <f>SUM(H344, M344, R344, H345, M345, R345)</f>
        <v>0</v>
      </c>
      <c r="W344" s="200">
        <f>IF($U344=0, ,V344/$U344)</f>
        <v>0</v>
      </c>
      <c r="X344" s="185">
        <f>SUM(I344, N344, S344, I345, N345, S345)</f>
        <v>0</v>
      </c>
      <c r="Y344" s="200">
        <f>IF($U344=0, ,X344/$U344)</f>
        <v>0</v>
      </c>
      <c r="Z344" s="185">
        <f>SUM(J344, O344, T344, J345, O345, T345)</f>
        <v>0</v>
      </c>
      <c r="AA344" s="200">
        <f>IF($U344=0, ,Z344/$U344)</f>
        <v>0</v>
      </c>
      <c r="AB344" s="202" t="s">
        <v>128</v>
      </c>
    </row>
    <row r="345" spans="1:28" x14ac:dyDescent="0.2">
      <c r="A345" s="224"/>
      <c r="B345" s="176"/>
      <c r="C345" s="10"/>
      <c r="D345" s="10"/>
      <c r="E345" s="178"/>
      <c r="F345" s="13"/>
      <c r="G345" s="21">
        <f t="shared" si="9"/>
        <v>0</v>
      </c>
      <c r="H345" s="13"/>
      <c r="I345" s="13"/>
      <c r="J345" s="13"/>
      <c r="K345" s="13"/>
      <c r="L345" s="21">
        <f t="shared" si="10"/>
        <v>0</v>
      </c>
      <c r="M345" s="13"/>
      <c r="N345" s="13"/>
      <c r="O345" s="13"/>
      <c r="P345" s="13"/>
      <c r="Q345" s="21">
        <f t="shared" si="11"/>
        <v>0</v>
      </c>
      <c r="R345" s="13"/>
      <c r="S345" s="13"/>
      <c r="T345" s="13"/>
      <c r="U345" s="186"/>
      <c r="V345" s="186"/>
      <c r="W345" s="201"/>
      <c r="X345" s="186"/>
      <c r="Y345" s="201"/>
      <c r="Z345" s="186"/>
      <c r="AA345" s="201"/>
      <c r="AB345" s="203"/>
    </row>
    <row r="346" spans="1:28" x14ac:dyDescent="0.2">
      <c r="A346" s="224"/>
      <c r="B346" s="194" t="s">
        <v>68</v>
      </c>
      <c r="C346" s="9">
        <v>21231</v>
      </c>
      <c r="D346" s="9" t="s">
        <v>70</v>
      </c>
      <c r="E346" s="149" t="s">
        <v>1</v>
      </c>
      <c r="F346" s="14">
        <v>0</v>
      </c>
      <c r="G346" s="22">
        <f t="shared" si="9"/>
        <v>0</v>
      </c>
      <c r="H346" s="14"/>
      <c r="I346" s="14"/>
      <c r="J346" s="14"/>
      <c r="K346" s="14"/>
      <c r="L346" s="22">
        <f t="shared" si="10"/>
        <v>0</v>
      </c>
      <c r="M346" s="14"/>
      <c r="N346" s="14"/>
      <c r="O346" s="14"/>
      <c r="P346" s="14"/>
      <c r="Q346" s="22">
        <f t="shared" si="11"/>
        <v>0</v>
      </c>
      <c r="R346" s="14"/>
      <c r="S346" s="14"/>
      <c r="T346" s="14"/>
      <c r="U346" s="151">
        <f>SUM(F346, K346, P346, F347, K347, P347)</f>
        <v>0</v>
      </c>
      <c r="V346" s="151">
        <f>SUM(H346, M346, R346, H347, M347, R347)</f>
        <v>0</v>
      </c>
      <c r="W346" s="205">
        <f>IF($U346=0, ,V346/$U346)</f>
        <v>0</v>
      </c>
      <c r="X346" s="151">
        <f>SUM(I346, N346, S346, I347, N347, S347)</f>
        <v>0</v>
      </c>
      <c r="Y346" s="205">
        <f>IF($U346=0, ,X346/$U346)</f>
        <v>0</v>
      </c>
      <c r="Z346" s="151">
        <f>SUM(J346, O346, T346, J347, O347, T347)</f>
        <v>0</v>
      </c>
      <c r="AA346" s="205">
        <f>IF($U346=0, ,Z346/$U346)</f>
        <v>0</v>
      </c>
      <c r="AB346" s="179" t="s">
        <v>128</v>
      </c>
    </row>
    <row r="347" spans="1:28" x14ac:dyDescent="0.2">
      <c r="A347" s="224"/>
      <c r="B347" s="204"/>
      <c r="C347" s="9"/>
      <c r="D347" s="9"/>
      <c r="E347" s="150"/>
      <c r="F347" s="14"/>
      <c r="G347" s="22">
        <f t="shared" si="9"/>
        <v>0</v>
      </c>
      <c r="H347" s="14"/>
      <c r="I347" s="14"/>
      <c r="J347" s="14"/>
      <c r="K347" s="14"/>
      <c r="L347" s="22">
        <f t="shared" si="10"/>
        <v>0</v>
      </c>
      <c r="M347" s="14"/>
      <c r="N347" s="14"/>
      <c r="O347" s="14"/>
      <c r="P347" s="14"/>
      <c r="Q347" s="22">
        <f t="shared" si="11"/>
        <v>0</v>
      </c>
      <c r="R347" s="14"/>
      <c r="S347" s="14"/>
      <c r="T347" s="14"/>
      <c r="U347" s="152"/>
      <c r="V347" s="152"/>
      <c r="W347" s="206"/>
      <c r="X347" s="152"/>
      <c r="Y347" s="206"/>
      <c r="Z347" s="152"/>
      <c r="AA347" s="206"/>
      <c r="AB347" s="156"/>
    </row>
    <row r="348" spans="1:28" x14ac:dyDescent="0.2">
      <c r="A348" s="224"/>
      <c r="B348" s="175" t="s">
        <v>115</v>
      </c>
      <c r="C348" s="10">
        <v>21234</v>
      </c>
      <c r="D348" s="10" t="s">
        <v>116</v>
      </c>
      <c r="E348" s="177" t="s">
        <v>1</v>
      </c>
      <c r="F348" s="13">
        <v>6541</v>
      </c>
      <c r="G348" s="21">
        <f t="shared" si="9"/>
        <v>0.34174503657262278</v>
      </c>
      <c r="H348" s="13"/>
      <c r="I348" s="13"/>
      <c r="J348" s="13"/>
      <c r="K348" s="13">
        <v>8124</v>
      </c>
      <c r="L348" s="21">
        <f t="shared" si="10"/>
        <v>0.42445141065830722</v>
      </c>
      <c r="M348" s="13"/>
      <c r="N348" s="13"/>
      <c r="O348" s="13"/>
      <c r="P348" s="13">
        <v>7623</v>
      </c>
      <c r="Q348" s="21">
        <f t="shared" si="11"/>
        <v>0.39827586206896554</v>
      </c>
      <c r="R348" s="13"/>
      <c r="S348" s="13"/>
      <c r="T348" s="13"/>
      <c r="U348" s="185">
        <f>SUM(F348, K348, P348, F349, K349, P349)</f>
        <v>22288</v>
      </c>
      <c r="V348" s="185">
        <f>SUM(H348, M348, R348, H349, M349, R349)</f>
        <v>0</v>
      </c>
      <c r="W348" s="200">
        <f>IF($U348=0, ,V348/$U348)</f>
        <v>0</v>
      </c>
      <c r="X348" s="185">
        <f>SUM(I348, N348, S348, I349, N349, S349)</f>
        <v>0</v>
      </c>
      <c r="Y348" s="200">
        <f>IF($U348=0, ,X348/$U348)</f>
        <v>0</v>
      </c>
      <c r="Z348" s="185">
        <f>SUM(J348, O348, T348, J349, O349, T349)</f>
        <v>0</v>
      </c>
      <c r="AA348" s="200">
        <f>IF($U348=0, ,Z348/$U348)</f>
        <v>0</v>
      </c>
      <c r="AB348" s="202" t="s">
        <v>129</v>
      </c>
    </row>
    <row r="349" spans="1:28" x14ac:dyDescent="0.2">
      <c r="A349" s="224"/>
      <c r="B349" s="176"/>
      <c r="C349" s="10"/>
      <c r="D349" s="10"/>
      <c r="E349" s="178"/>
      <c r="F349" s="13"/>
      <c r="G349" s="21">
        <f t="shared" si="9"/>
        <v>0</v>
      </c>
      <c r="H349" s="13"/>
      <c r="I349" s="13"/>
      <c r="J349" s="13"/>
      <c r="K349" s="13"/>
      <c r="L349" s="21">
        <f t="shared" si="10"/>
        <v>0</v>
      </c>
      <c r="M349" s="13"/>
      <c r="N349" s="13"/>
      <c r="O349" s="13"/>
      <c r="P349" s="13"/>
      <c r="Q349" s="21">
        <f t="shared" si="11"/>
        <v>0</v>
      </c>
      <c r="R349" s="13"/>
      <c r="S349" s="13"/>
      <c r="T349" s="13"/>
      <c r="U349" s="186"/>
      <c r="V349" s="186"/>
      <c r="W349" s="201"/>
      <c r="X349" s="186"/>
      <c r="Y349" s="201"/>
      <c r="Z349" s="186"/>
      <c r="AA349" s="201"/>
      <c r="AB349" s="203"/>
    </row>
    <row r="350" spans="1:28" ht="13.5" thickBot="1" x14ac:dyDescent="0.25">
      <c r="A350" s="224"/>
      <c r="B350" s="42"/>
      <c r="C350" s="42"/>
      <c r="D350" s="42"/>
      <c r="E350" s="42"/>
      <c r="F350" s="43"/>
      <c r="G350" s="44"/>
      <c r="H350" s="43"/>
      <c r="I350" s="43"/>
      <c r="J350" s="43"/>
      <c r="K350" s="43"/>
      <c r="L350" s="44"/>
      <c r="M350" s="43"/>
      <c r="N350" s="43"/>
      <c r="O350" s="43"/>
      <c r="P350" s="43"/>
      <c r="Q350" s="44"/>
      <c r="R350" s="43"/>
      <c r="S350" s="43"/>
      <c r="T350" s="46" t="s">
        <v>26</v>
      </c>
      <c r="U350" s="47">
        <f>SUM(U342:U349)</f>
        <v>47223</v>
      </c>
      <c r="V350" s="47">
        <f>SUM(V342:V349)</f>
        <v>0</v>
      </c>
      <c r="W350" s="48">
        <f>IF($U350=0, ,V350/$U350)</f>
        <v>0</v>
      </c>
      <c r="X350" s="47">
        <f>SUM(X342:X349)</f>
        <v>0</v>
      </c>
      <c r="Y350" s="48">
        <f>IF($U350=0, ,X350/$U350)</f>
        <v>0</v>
      </c>
      <c r="Z350" s="47">
        <f>SUM(Z342:Z349)</f>
        <v>0</v>
      </c>
      <c r="AA350" s="48">
        <f>IF($U350=0, ,Z350/$U350)</f>
        <v>0</v>
      </c>
      <c r="AB350" s="45"/>
    </row>
    <row r="351" spans="1:28" ht="13.5" thickTop="1" x14ac:dyDescent="0.2">
      <c r="A351" s="224"/>
      <c r="B351" s="42"/>
      <c r="C351" s="42"/>
      <c r="D351" s="42"/>
      <c r="E351" s="42"/>
      <c r="F351" s="68"/>
      <c r="G351" s="68"/>
      <c r="H351" s="68"/>
      <c r="I351" s="68"/>
      <c r="J351" s="68"/>
      <c r="K351" s="68"/>
      <c r="L351" s="68"/>
      <c r="M351" s="68"/>
      <c r="N351" s="68"/>
      <c r="O351" s="69"/>
      <c r="P351" s="69"/>
      <c r="Q351" s="70"/>
      <c r="R351" s="69"/>
      <c r="S351" s="70"/>
      <c r="T351" s="71"/>
      <c r="U351" s="71"/>
      <c r="V351" s="71"/>
      <c r="W351" s="71"/>
      <c r="X351" s="71"/>
      <c r="Y351" s="71"/>
      <c r="Z351" s="71"/>
      <c r="AA351" s="71"/>
      <c r="AB351" s="72"/>
    </row>
    <row r="352" spans="1:28" x14ac:dyDescent="0.2">
      <c r="A352" s="224"/>
      <c r="B352" s="207" t="s">
        <v>32</v>
      </c>
      <c r="C352" s="207"/>
      <c r="D352" s="208"/>
      <c r="E352" s="77" t="s">
        <v>33</v>
      </c>
      <c r="F352" s="159" t="s">
        <v>29</v>
      </c>
      <c r="G352" s="159"/>
      <c r="H352" s="159"/>
      <c r="I352" s="159" t="s">
        <v>41</v>
      </c>
      <c r="J352" s="159"/>
      <c r="K352" s="159"/>
      <c r="L352" s="159" t="s">
        <v>30</v>
      </c>
      <c r="M352" s="159"/>
      <c r="N352" s="159"/>
      <c r="O352" s="159" t="s">
        <v>31</v>
      </c>
      <c r="P352" s="159"/>
      <c r="Q352" s="159"/>
      <c r="R352" s="159" t="s">
        <v>38</v>
      </c>
      <c r="S352" s="159"/>
      <c r="T352" s="159"/>
      <c r="U352" s="159" t="s">
        <v>60</v>
      </c>
      <c r="V352" s="159"/>
      <c r="W352" s="159"/>
      <c r="X352" s="159" t="s">
        <v>40</v>
      </c>
      <c r="Y352" s="159"/>
      <c r="Z352" s="159"/>
      <c r="AA352" s="217"/>
      <c r="AB352" s="218"/>
    </row>
    <row r="353" spans="1:28" x14ac:dyDescent="0.2">
      <c r="A353" s="224"/>
      <c r="B353" s="209"/>
      <c r="C353" s="209"/>
      <c r="D353" s="210"/>
      <c r="E353" s="82" t="s">
        <v>34</v>
      </c>
      <c r="F353" s="78" t="s">
        <v>35</v>
      </c>
      <c r="G353" s="78" t="s">
        <v>36</v>
      </c>
      <c r="H353" s="79" t="s">
        <v>37</v>
      </c>
      <c r="I353" s="78" t="s">
        <v>35</v>
      </c>
      <c r="J353" s="78" t="s">
        <v>36</v>
      </c>
      <c r="K353" s="79" t="s">
        <v>37</v>
      </c>
      <c r="L353" s="78" t="s">
        <v>35</v>
      </c>
      <c r="M353" s="78" t="s">
        <v>36</v>
      </c>
      <c r="N353" s="79" t="s">
        <v>37</v>
      </c>
      <c r="O353" s="78" t="s">
        <v>35</v>
      </c>
      <c r="P353" s="78" t="s">
        <v>36</v>
      </c>
      <c r="Q353" s="79" t="s">
        <v>37</v>
      </c>
      <c r="R353" s="78" t="s">
        <v>35</v>
      </c>
      <c r="S353" s="78" t="s">
        <v>36</v>
      </c>
      <c r="T353" s="79" t="s">
        <v>37</v>
      </c>
      <c r="U353" s="78" t="s">
        <v>35</v>
      </c>
      <c r="V353" s="78" t="s">
        <v>36</v>
      </c>
      <c r="W353" s="79" t="s">
        <v>37</v>
      </c>
      <c r="X353" s="78" t="s">
        <v>35</v>
      </c>
      <c r="Y353" s="78" t="s">
        <v>36</v>
      </c>
      <c r="Z353" s="79" t="s">
        <v>37</v>
      </c>
      <c r="AA353" s="219"/>
      <c r="AB353" s="220"/>
    </row>
    <row r="354" spans="1:28" x14ac:dyDescent="0.2">
      <c r="A354" s="224"/>
      <c r="B354" s="80" t="str">
        <f xml:space="preserve"> IF(ISBLANK(B342), "-",B342)</f>
        <v>HTL-01</v>
      </c>
      <c r="C354" s="80">
        <f xml:space="preserve"> IF(ISBLANK(C342), "-",C342)</f>
        <v>21234</v>
      </c>
      <c r="D354" s="80" t="str">
        <f xml:space="preserve"> IF(ISBLANK(D342), "-",D342)</f>
        <v>14ml    L’Oreal</v>
      </c>
      <c r="E354" s="170"/>
      <c r="F354" s="81">
        <v>0</v>
      </c>
      <c r="G354" s="74">
        <v>0</v>
      </c>
      <c r="H354" s="74">
        <v>0</v>
      </c>
      <c r="I354" s="74">
        <v>0</v>
      </c>
      <c r="J354" s="74">
        <v>0</v>
      </c>
      <c r="K354" s="74">
        <v>0</v>
      </c>
      <c r="L354" s="75">
        <v>19</v>
      </c>
      <c r="M354" s="75">
        <v>24</v>
      </c>
      <c r="N354" s="75">
        <v>22</v>
      </c>
      <c r="O354" s="75">
        <v>0</v>
      </c>
      <c r="P354" s="75">
        <v>0</v>
      </c>
      <c r="Q354" s="74">
        <v>0</v>
      </c>
      <c r="R354" s="75">
        <v>0</v>
      </c>
      <c r="S354" s="75">
        <v>0</v>
      </c>
      <c r="T354" s="75">
        <v>0</v>
      </c>
      <c r="U354" s="75">
        <v>5</v>
      </c>
      <c r="V354" s="75">
        <v>6</v>
      </c>
      <c r="W354" s="74">
        <v>5</v>
      </c>
      <c r="X354" s="74">
        <v>0</v>
      </c>
      <c r="Y354" s="74">
        <v>0</v>
      </c>
      <c r="Z354" s="76">
        <v>0</v>
      </c>
      <c r="AA354" s="219"/>
      <c r="AB354" s="220"/>
    </row>
    <row r="355" spans="1:28" x14ac:dyDescent="0.2">
      <c r="A355" s="224"/>
      <c r="B355" s="80" t="str">
        <f xml:space="preserve"> IF(ISBLANK(B344), "-",B344)</f>
        <v>HTL-02</v>
      </c>
      <c r="C355" s="80">
        <f xml:space="preserve"> IF(ISBLANK(C344), "-",C344)</f>
        <v>21231</v>
      </c>
      <c r="D355" s="80" t="str">
        <f xml:space="preserve"> IF(ISBLANK(D344), "-",D344)</f>
        <v>7ml   L’Oreal</v>
      </c>
      <c r="E355" s="171"/>
      <c r="F355" s="81">
        <v>0</v>
      </c>
      <c r="G355" s="74">
        <v>0</v>
      </c>
      <c r="H355" s="74">
        <v>0</v>
      </c>
      <c r="I355" s="74">
        <v>0</v>
      </c>
      <c r="J355" s="74">
        <v>0</v>
      </c>
      <c r="K355" s="74">
        <v>0</v>
      </c>
      <c r="L355" s="75">
        <v>0</v>
      </c>
      <c r="M355" s="75">
        <v>0</v>
      </c>
      <c r="N355" s="75">
        <v>0</v>
      </c>
      <c r="O355" s="75">
        <v>0</v>
      </c>
      <c r="P355" s="75">
        <v>0</v>
      </c>
      <c r="Q355" s="74">
        <v>0</v>
      </c>
      <c r="R355" s="75">
        <v>0</v>
      </c>
      <c r="S355" s="75">
        <v>0</v>
      </c>
      <c r="T355" s="75">
        <v>0</v>
      </c>
      <c r="U355" s="75">
        <v>0</v>
      </c>
      <c r="V355" s="75">
        <v>0</v>
      </c>
      <c r="W355" s="74">
        <v>0</v>
      </c>
      <c r="X355" s="74">
        <v>0</v>
      </c>
      <c r="Y355" s="74">
        <v>0</v>
      </c>
      <c r="Z355" s="97">
        <v>0</v>
      </c>
      <c r="AA355" s="219"/>
      <c r="AB355" s="220"/>
    </row>
    <row r="356" spans="1:28" x14ac:dyDescent="0.2">
      <c r="A356" s="224"/>
      <c r="B356" s="80" t="str">
        <f xml:space="preserve"> IF(ISBLANK(B346), "-",B346)</f>
        <v>HTL-03</v>
      </c>
      <c r="C356" s="80">
        <f xml:space="preserve"> IF(ISBLANK(C346), "-",C346)</f>
        <v>21231</v>
      </c>
      <c r="D356" s="80" t="str">
        <f xml:space="preserve"> IF(ISBLANK(D346), "-",D346)</f>
        <v>7ml   L’Oreal</v>
      </c>
      <c r="E356" s="171"/>
      <c r="F356" s="81">
        <v>0</v>
      </c>
      <c r="G356" s="74">
        <v>0</v>
      </c>
      <c r="H356" s="74">
        <v>0</v>
      </c>
      <c r="I356" s="74">
        <v>0</v>
      </c>
      <c r="J356" s="74">
        <v>0</v>
      </c>
      <c r="K356" s="74">
        <v>0</v>
      </c>
      <c r="L356" s="75">
        <v>0</v>
      </c>
      <c r="M356" s="75">
        <v>0</v>
      </c>
      <c r="N356" s="75">
        <v>0</v>
      </c>
      <c r="O356" s="75">
        <v>0</v>
      </c>
      <c r="P356" s="75">
        <v>0</v>
      </c>
      <c r="Q356" s="74">
        <v>0</v>
      </c>
      <c r="R356" s="75">
        <v>0</v>
      </c>
      <c r="S356" s="75">
        <v>0</v>
      </c>
      <c r="T356" s="75">
        <v>0</v>
      </c>
      <c r="U356" s="75">
        <v>0</v>
      </c>
      <c r="V356" s="75">
        <v>0</v>
      </c>
      <c r="W356" s="74">
        <v>0</v>
      </c>
      <c r="X356" s="74">
        <v>0</v>
      </c>
      <c r="Y356" s="74">
        <v>0</v>
      </c>
      <c r="Z356" s="97">
        <v>0</v>
      </c>
      <c r="AA356" s="219"/>
      <c r="AB356" s="220"/>
    </row>
    <row r="357" spans="1:28" x14ac:dyDescent="0.2">
      <c r="A357" s="225"/>
      <c r="B357" s="80" t="str">
        <f xml:space="preserve"> IF(ISBLANK(B348), "-",B348)</f>
        <v>HTL-04</v>
      </c>
      <c r="C357" s="80">
        <f xml:space="preserve"> IF(ISBLANK(C348), "-",C348)</f>
        <v>21234</v>
      </c>
      <c r="D357" s="80" t="str">
        <f xml:space="preserve"> IF(ISBLANK(D348), "-",D348)</f>
        <v>14ml   L’Oreal</v>
      </c>
      <c r="E357" s="172"/>
      <c r="F357" s="81">
        <v>0</v>
      </c>
      <c r="G357" s="74">
        <v>0</v>
      </c>
      <c r="H357" s="74">
        <v>0</v>
      </c>
      <c r="I357" s="74">
        <v>0</v>
      </c>
      <c r="J357" s="74">
        <v>0</v>
      </c>
      <c r="K357" s="74">
        <v>0</v>
      </c>
      <c r="L357" s="75">
        <v>34</v>
      </c>
      <c r="M357" s="75">
        <v>9</v>
      </c>
      <c r="N357" s="75">
        <v>13</v>
      </c>
      <c r="O357" s="75">
        <v>0</v>
      </c>
      <c r="P357" s="75">
        <v>0</v>
      </c>
      <c r="Q357" s="74">
        <v>0</v>
      </c>
      <c r="R357" s="75">
        <v>0</v>
      </c>
      <c r="S357" s="75">
        <v>0</v>
      </c>
      <c r="T357" s="75">
        <v>0</v>
      </c>
      <c r="U357" s="75">
        <v>1</v>
      </c>
      <c r="V357" s="75">
        <v>12</v>
      </c>
      <c r="W357" s="74">
        <v>27</v>
      </c>
      <c r="X357" s="74">
        <v>2</v>
      </c>
      <c r="Y357" s="74">
        <v>8</v>
      </c>
      <c r="Z357" s="76">
        <v>6</v>
      </c>
      <c r="AA357" s="221"/>
      <c r="AB357" s="222"/>
    </row>
    <row r="359" spans="1:28" x14ac:dyDescent="0.2">
      <c r="A359" s="223">
        <v>44733</v>
      </c>
      <c r="B359" s="16"/>
      <c r="C359" s="16" t="s">
        <v>20</v>
      </c>
      <c r="D359" s="17">
        <v>1</v>
      </c>
      <c r="E359" s="18"/>
      <c r="F359" s="18" t="s">
        <v>19</v>
      </c>
      <c r="G359" s="17">
        <v>0</v>
      </c>
      <c r="H359" s="17"/>
      <c r="I359" s="18"/>
      <c r="J359" s="18"/>
      <c r="K359" s="25"/>
      <c r="L359" s="25"/>
      <c r="M359" s="17"/>
      <c r="N359" s="18"/>
      <c r="O359" s="18"/>
      <c r="P359" s="25"/>
      <c r="Q359" s="25"/>
      <c r="R359" s="17"/>
      <c r="S359" s="18"/>
      <c r="T359" s="18"/>
      <c r="U359" s="31">
        <v>19140</v>
      </c>
      <c r="V359" s="32" t="s">
        <v>48</v>
      </c>
      <c r="W359" s="32"/>
      <c r="X359" s="33"/>
      <c r="Y359" s="24"/>
      <c r="Z359" s="24"/>
      <c r="AA359" s="24"/>
      <c r="AB359" s="26"/>
    </row>
    <row r="360" spans="1:28" x14ac:dyDescent="0.2">
      <c r="A360" s="224"/>
      <c r="B360" s="157" t="s">
        <v>3</v>
      </c>
      <c r="C360" s="158" t="s">
        <v>10</v>
      </c>
      <c r="D360" s="158" t="s">
        <v>12</v>
      </c>
      <c r="E360" s="180" t="s">
        <v>5</v>
      </c>
      <c r="F360" s="211" t="s">
        <v>6</v>
      </c>
      <c r="G360" s="212"/>
      <c r="H360" s="212"/>
      <c r="I360" s="212"/>
      <c r="J360" s="213"/>
      <c r="K360" s="211" t="s">
        <v>7</v>
      </c>
      <c r="L360" s="212"/>
      <c r="M360" s="212"/>
      <c r="N360" s="212"/>
      <c r="O360" s="213"/>
      <c r="P360" s="211" t="s">
        <v>8</v>
      </c>
      <c r="Q360" s="212"/>
      <c r="R360" s="212"/>
      <c r="S360" s="212"/>
      <c r="T360" s="213"/>
      <c r="U360" s="214" t="s">
        <v>15</v>
      </c>
      <c r="V360" s="214" t="s">
        <v>52</v>
      </c>
      <c r="W360" s="214" t="s">
        <v>53</v>
      </c>
      <c r="X360" s="214" t="s">
        <v>54</v>
      </c>
      <c r="Y360" s="214" t="s">
        <v>55</v>
      </c>
      <c r="Z360" s="214" t="s">
        <v>56</v>
      </c>
      <c r="AA360" s="214" t="s">
        <v>57</v>
      </c>
      <c r="AB360" s="214" t="s">
        <v>17</v>
      </c>
    </row>
    <row r="361" spans="1:28" ht="38.25" x14ac:dyDescent="0.2">
      <c r="A361" s="224"/>
      <c r="B361" s="157"/>
      <c r="C361" s="158"/>
      <c r="D361" s="158"/>
      <c r="E361" s="180"/>
      <c r="F361" s="15" t="s">
        <v>23</v>
      </c>
      <c r="G361" s="15" t="s">
        <v>47</v>
      </c>
      <c r="H361" s="15" t="s">
        <v>50</v>
      </c>
      <c r="I361" s="15" t="s">
        <v>49</v>
      </c>
      <c r="J361" s="15" t="s">
        <v>51</v>
      </c>
      <c r="K361" s="15" t="s">
        <v>23</v>
      </c>
      <c r="L361" s="15" t="s">
        <v>13</v>
      </c>
      <c r="M361" s="15" t="s">
        <v>50</v>
      </c>
      <c r="N361" s="15" t="s">
        <v>49</v>
      </c>
      <c r="O361" s="15" t="s">
        <v>51</v>
      </c>
      <c r="P361" s="15" t="s">
        <v>23</v>
      </c>
      <c r="Q361" s="15" t="s">
        <v>13</v>
      </c>
      <c r="R361" s="15" t="s">
        <v>50</v>
      </c>
      <c r="S361" s="15" t="s">
        <v>49</v>
      </c>
      <c r="T361" s="15" t="s">
        <v>51</v>
      </c>
      <c r="U361" s="214"/>
      <c r="V361" s="214"/>
      <c r="W361" s="214"/>
      <c r="X361" s="214"/>
      <c r="Y361" s="214"/>
      <c r="Z361" s="214"/>
      <c r="AA361" s="214"/>
      <c r="AB361" s="214"/>
    </row>
    <row r="362" spans="1:28" x14ac:dyDescent="0.2">
      <c r="A362" s="224"/>
      <c r="B362" s="194" t="s">
        <v>64</v>
      </c>
      <c r="C362" s="11">
        <v>21234</v>
      </c>
      <c r="D362" s="11" t="s">
        <v>71</v>
      </c>
      <c r="E362" s="196" t="s">
        <v>1</v>
      </c>
      <c r="F362" s="12">
        <v>0</v>
      </c>
      <c r="G362" s="20">
        <f t="shared" ref="G362:G369" si="12">F362/$U$279</f>
        <v>0</v>
      </c>
      <c r="H362" s="12"/>
      <c r="I362" s="12"/>
      <c r="J362" s="12"/>
      <c r="K362" s="12">
        <v>0</v>
      </c>
      <c r="L362" s="20">
        <f t="shared" ref="L362:L369" si="13">K362/$U$279</f>
        <v>0</v>
      </c>
      <c r="M362" s="12"/>
      <c r="N362" s="12"/>
      <c r="O362" s="12"/>
      <c r="P362" s="12">
        <v>0</v>
      </c>
      <c r="Q362" s="20">
        <f t="shared" ref="Q362:Q369" si="14">P362/$U$279</f>
        <v>0</v>
      </c>
      <c r="R362" s="12"/>
      <c r="S362" s="12"/>
      <c r="T362" s="12"/>
      <c r="U362" s="151">
        <f>SUM(F362, K362, P362, F363, K363, P363)</f>
        <v>0</v>
      </c>
      <c r="V362" s="151">
        <f>SUM(H362, M362, R362, H363, M363, R363)</f>
        <v>0</v>
      </c>
      <c r="W362" s="205">
        <f>IF($U362=0, ,V362/$U362)</f>
        <v>0</v>
      </c>
      <c r="X362" s="151">
        <f>SUM(I362, N362, S362, I363, N363, S363)</f>
        <v>0</v>
      </c>
      <c r="Y362" s="205">
        <f>IF($U362=0, ,X362/$U362)</f>
        <v>0</v>
      </c>
      <c r="Z362" s="151">
        <f>SUM(J362, O362, T362, J363, O363, T363)</f>
        <v>0</v>
      </c>
      <c r="AA362" s="205">
        <f>IF($U362=0, ,Z362/$U362)</f>
        <v>0</v>
      </c>
      <c r="AB362" s="179"/>
    </row>
    <row r="363" spans="1:28" x14ac:dyDescent="0.2">
      <c r="A363" s="224"/>
      <c r="B363" s="204"/>
      <c r="C363" s="11"/>
      <c r="D363" s="11"/>
      <c r="E363" s="198"/>
      <c r="F363" s="12"/>
      <c r="G363" s="20">
        <f t="shared" si="12"/>
        <v>0</v>
      </c>
      <c r="H363" s="12"/>
      <c r="I363" s="12"/>
      <c r="J363" s="12"/>
      <c r="K363" s="12"/>
      <c r="L363" s="20">
        <f t="shared" si="13"/>
        <v>0</v>
      </c>
      <c r="M363" s="12"/>
      <c r="N363" s="12"/>
      <c r="O363" s="12"/>
      <c r="P363" s="12"/>
      <c r="Q363" s="20">
        <f t="shared" si="14"/>
        <v>0</v>
      </c>
      <c r="R363" s="12"/>
      <c r="S363" s="12"/>
      <c r="T363" s="12"/>
      <c r="U363" s="152"/>
      <c r="V363" s="152"/>
      <c r="W363" s="206"/>
      <c r="X363" s="152"/>
      <c r="Y363" s="206"/>
      <c r="Z363" s="152"/>
      <c r="AA363" s="206"/>
      <c r="AB363" s="156"/>
    </row>
    <row r="364" spans="1:28" x14ac:dyDescent="0.2">
      <c r="A364" s="224"/>
      <c r="B364" s="175" t="s">
        <v>69</v>
      </c>
      <c r="C364" s="10">
        <v>21231</v>
      </c>
      <c r="D364" s="10" t="s">
        <v>70</v>
      </c>
      <c r="E364" s="177" t="s">
        <v>1</v>
      </c>
      <c r="F364" s="13">
        <v>0</v>
      </c>
      <c r="G364" s="21">
        <f t="shared" si="12"/>
        <v>0</v>
      </c>
      <c r="H364" s="13"/>
      <c r="I364" s="13"/>
      <c r="J364" s="13"/>
      <c r="K364" s="13"/>
      <c r="L364" s="21">
        <f t="shared" si="13"/>
        <v>0</v>
      </c>
      <c r="M364" s="13"/>
      <c r="N364" s="13"/>
      <c r="O364" s="13"/>
      <c r="P364" s="13"/>
      <c r="Q364" s="21">
        <f t="shared" si="14"/>
        <v>0</v>
      </c>
      <c r="R364" s="13"/>
      <c r="S364" s="13"/>
      <c r="T364" s="13"/>
      <c r="U364" s="185">
        <f>SUM(F364, K364, P364, F365, K365, P365)</f>
        <v>0</v>
      </c>
      <c r="V364" s="185">
        <f>SUM(H364, M364, R364, H365, M365, R365)</f>
        <v>0</v>
      </c>
      <c r="W364" s="200">
        <f>IF($U364=0, ,V364/$U364)</f>
        <v>0</v>
      </c>
      <c r="X364" s="185">
        <f>SUM(I364, N364, S364, I365, N365, S365)</f>
        <v>0</v>
      </c>
      <c r="Y364" s="200">
        <f>IF($U364=0, ,X364/$U364)</f>
        <v>0</v>
      </c>
      <c r="Z364" s="185">
        <f>SUM(J364, O364, T364, J365, O365, T365)</f>
        <v>0</v>
      </c>
      <c r="AA364" s="200">
        <f>IF($U364=0, ,Z364/$U364)</f>
        <v>0</v>
      </c>
      <c r="AB364" s="202"/>
    </row>
    <row r="365" spans="1:28" x14ac:dyDescent="0.2">
      <c r="A365" s="224"/>
      <c r="B365" s="176"/>
      <c r="C365" s="10"/>
      <c r="D365" s="10"/>
      <c r="E365" s="178"/>
      <c r="F365" s="13"/>
      <c r="G365" s="21">
        <f t="shared" si="12"/>
        <v>0</v>
      </c>
      <c r="H365" s="13"/>
      <c r="I365" s="13"/>
      <c r="J365" s="13"/>
      <c r="K365" s="13"/>
      <c r="L365" s="21">
        <f t="shared" si="13"/>
        <v>0</v>
      </c>
      <c r="M365" s="13"/>
      <c r="N365" s="13"/>
      <c r="O365" s="13"/>
      <c r="P365" s="13"/>
      <c r="Q365" s="21">
        <f t="shared" si="14"/>
        <v>0</v>
      </c>
      <c r="R365" s="13"/>
      <c r="S365" s="13"/>
      <c r="T365" s="13"/>
      <c r="U365" s="186"/>
      <c r="V365" s="186"/>
      <c r="W365" s="201"/>
      <c r="X365" s="186"/>
      <c r="Y365" s="201"/>
      <c r="Z365" s="186"/>
      <c r="AA365" s="201"/>
      <c r="AB365" s="203"/>
    </row>
    <row r="366" spans="1:28" x14ac:dyDescent="0.2">
      <c r="A366" s="224"/>
      <c r="B366" s="194" t="s">
        <v>68</v>
      </c>
      <c r="C366" s="9">
        <v>21232</v>
      </c>
      <c r="D366" s="9" t="s">
        <v>70</v>
      </c>
      <c r="E366" s="149" t="s">
        <v>1</v>
      </c>
      <c r="F366" s="14">
        <v>0</v>
      </c>
      <c r="G366" s="22">
        <f t="shared" si="12"/>
        <v>0</v>
      </c>
      <c r="H366" s="14"/>
      <c r="I366" s="14"/>
      <c r="J366" s="14"/>
      <c r="K366" s="14"/>
      <c r="L366" s="22">
        <f t="shared" si="13"/>
        <v>0</v>
      </c>
      <c r="M366" s="14"/>
      <c r="N366" s="14"/>
      <c r="O366" s="14"/>
      <c r="P366" s="14"/>
      <c r="Q366" s="22">
        <f t="shared" si="14"/>
        <v>0</v>
      </c>
      <c r="R366" s="14"/>
      <c r="S366" s="14"/>
      <c r="T366" s="14"/>
      <c r="U366" s="151">
        <f>SUM(F366, K366, P366, F367, K367, P367)</f>
        <v>0</v>
      </c>
      <c r="V366" s="151">
        <f>SUM(H366, M366, R366, H367, M367, R367)</f>
        <v>0</v>
      </c>
      <c r="W366" s="205">
        <f>IF($U366=0, ,V366/$U366)</f>
        <v>0</v>
      </c>
      <c r="X366" s="151">
        <f>SUM(I366, N366, S366, I367, N367, S367)</f>
        <v>0</v>
      </c>
      <c r="Y366" s="205">
        <f>IF($U366=0, ,X366/$U366)</f>
        <v>0</v>
      </c>
      <c r="Z366" s="151">
        <f>SUM(J366, O366, T366, J367, O367, T367)</f>
        <v>0</v>
      </c>
      <c r="AA366" s="205">
        <f>IF($U366=0, ,Z366/$U366)</f>
        <v>0</v>
      </c>
      <c r="AB366" s="179"/>
    </row>
    <row r="367" spans="1:28" x14ac:dyDescent="0.2">
      <c r="A367" s="224"/>
      <c r="B367" s="204"/>
      <c r="C367" s="9"/>
      <c r="D367" s="9"/>
      <c r="E367" s="150"/>
      <c r="F367" s="14"/>
      <c r="G367" s="22">
        <f t="shared" si="12"/>
        <v>0</v>
      </c>
      <c r="H367" s="14"/>
      <c r="I367" s="14"/>
      <c r="J367" s="14"/>
      <c r="K367" s="14"/>
      <c r="L367" s="22">
        <f t="shared" si="13"/>
        <v>0</v>
      </c>
      <c r="M367" s="14"/>
      <c r="N367" s="14"/>
      <c r="O367" s="14"/>
      <c r="P367" s="14"/>
      <c r="Q367" s="22">
        <f t="shared" si="14"/>
        <v>0</v>
      </c>
      <c r="R367" s="14"/>
      <c r="S367" s="14"/>
      <c r="T367" s="14"/>
      <c r="U367" s="152"/>
      <c r="V367" s="152"/>
      <c r="W367" s="206"/>
      <c r="X367" s="152"/>
      <c r="Y367" s="206"/>
      <c r="Z367" s="152"/>
      <c r="AA367" s="206"/>
      <c r="AB367" s="156"/>
    </row>
    <row r="368" spans="1:28" x14ac:dyDescent="0.2">
      <c r="A368" s="224"/>
      <c r="B368" s="175" t="s">
        <v>115</v>
      </c>
      <c r="C368" s="10">
        <v>21234</v>
      </c>
      <c r="D368" s="10" t="s">
        <v>116</v>
      </c>
      <c r="E368" s="177" t="s">
        <v>1</v>
      </c>
      <c r="F368" s="13">
        <v>0</v>
      </c>
      <c r="G368" s="21">
        <f t="shared" si="12"/>
        <v>0</v>
      </c>
      <c r="H368" s="13"/>
      <c r="I368" s="13"/>
      <c r="J368" s="13"/>
      <c r="K368" s="13">
        <v>0</v>
      </c>
      <c r="L368" s="21">
        <f t="shared" si="13"/>
        <v>0</v>
      </c>
      <c r="M368" s="13"/>
      <c r="N368" s="13"/>
      <c r="O368" s="13"/>
      <c r="P368" s="13">
        <v>0</v>
      </c>
      <c r="Q368" s="21">
        <f t="shared" si="14"/>
        <v>0</v>
      </c>
      <c r="R368" s="13"/>
      <c r="S368" s="13"/>
      <c r="T368" s="13"/>
      <c r="U368" s="185">
        <f>SUM(F368, K368, P368, F369, K369, P369)</f>
        <v>0</v>
      </c>
      <c r="V368" s="185">
        <f>SUM(H368, M368, R368, H369, M369, R369)</f>
        <v>0</v>
      </c>
      <c r="W368" s="200">
        <f>IF($U368=0, ,V368/$U368)</f>
        <v>0</v>
      </c>
      <c r="X368" s="185">
        <f>SUM(I368, N368, S368, I369, N369, S369)</f>
        <v>0</v>
      </c>
      <c r="Y368" s="200">
        <f>IF($U368=0, ,X368/$U368)</f>
        <v>0</v>
      </c>
      <c r="Z368" s="185">
        <f>SUM(J368, O368, T368, J369, O369, T369)</f>
        <v>0</v>
      </c>
      <c r="AA368" s="200">
        <f>IF($U368=0, ,Z368/$U368)</f>
        <v>0</v>
      </c>
      <c r="AB368" s="202"/>
    </row>
    <row r="369" spans="1:28" x14ac:dyDescent="0.2">
      <c r="A369" s="224"/>
      <c r="B369" s="176"/>
      <c r="C369" s="10"/>
      <c r="D369" s="10"/>
      <c r="E369" s="178"/>
      <c r="F369" s="13"/>
      <c r="G369" s="21">
        <f t="shared" si="12"/>
        <v>0</v>
      </c>
      <c r="H369" s="13"/>
      <c r="I369" s="13"/>
      <c r="J369" s="13"/>
      <c r="K369" s="13"/>
      <c r="L369" s="21">
        <f t="shared" si="13"/>
        <v>0</v>
      </c>
      <c r="M369" s="13"/>
      <c r="N369" s="13"/>
      <c r="O369" s="13"/>
      <c r="P369" s="13"/>
      <c r="Q369" s="21">
        <f t="shared" si="14"/>
        <v>0</v>
      </c>
      <c r="R369" s="13"/>
      <c r="S369" s="13"/>
      <c r="T369" s="13"/>
      <c r="U369" s="186"/>
      <c r="V369" s="186"/>
      <c r="W369" s="201"/>
      <c r="X369" s="186"/>
      <c r="Y369" s="201"/>
      <c r="Z369" s="186"/>
      <c r="AA369" s="201"/>
      <c r="AB369" s="203"/>
    </row>
    <row r="370" spans="1:28" ht="13.5" thickBot="1" x14ac:dyDescent="0.25">
      <c r="A370" s="224"/>
      <c r="B370" s="42"/>
      <c r="C370" s="42"/>
      <c r="D370" s="42"/>
      <c r="E370" s="42"/>
      <c r="F370" s="43"/>
      <c r="G370" s="44"/>
      <c r="H370" s="43"/>
      <c r="I370" s="43"/>
      <c r="J370" s="43"/>
      <c r="K370" s="43"/>
      <c r="L370" s="44"/>
      <c r="M370" s="43"/>
      <c r="N370" s="43"/>
      <c r="O370" s="43"/>
      <c r="P370" s="43"/>
      <c r="Q370" s="44"/>
      <c r="R370" s="43"/>
      <c r="S370" s="43"/>
      <c r="T370" s="46" t="s">
        <v>26</v>
      </c>
      <c r="U370" s="47">
        <f>SUM(U362:U369)</f>
        <v>0</v>
      </c>
      <c r="V370" s="47">
        <f>SUM(V362:V369)</f>
        <v>0</v>
      </c>
      <c r="W370" s="48">
        <f>IF($U370=0, ,V370/$U370)</f>
        <v>0</v>
      </c>
      <c r="X370" s="47">
        <f>SUM(X362:X369)</f>
        <v>0</v>
      </c>
      <c r="Y370" s="48">
        <f>IF($U370=0, ,X370/$U370)</f>
        <v>0</v>
      </c>
      <c r="Z370" s="47">
        <f>SUM(Z362:Z369)</f>
        <v>0</v>
      </c>
      <c r="AA370" s="48">
        <f>IF($U370=0, ,Z370/$U370)</f>
        <v>0</v>
      </c>
      <c r="AB370" s="45"/>
    </row>
    <row r="371" spans="1:28" ht="13.5" thickTop="1" x14ac:dyDescent="0.2">
      <c r="A371" s="224"/>
      <c r="B371" s="42"/>
      <c r="C371" s="42"/>
      <c r="D371" s="42"/>
      <c r="E371" s="42"/>
      <c r="F371" s="68"/>
      <c r="G371" s="68"/>
      <c r="H371" s="68"/>
      <c r="I371" s="68"/>
      <c r="J371" s="68"/>
      <c r="K371" s="68"/>
      <c r="L371" s="68"/>
      <c r="M371" s="68"/>
      <c r="N371" s="68"/>
      <c r="O371" s="69"/>
      <c r="P371" s="69"/>
      <c r="Q371" s="70"/>
      <c r="R371" s="69"/>
      <c r="S371" s="70"/>
      <c r="T371" s="71"/>
      <c r="U371" s="71"/>
      <c r="V371" s="71"/>
      <c r="W371" s="71"/>
      <c r="X371" s="71"/>
      <c r="Y371" s="71"/>
      <c r="Z371" s="71"/>
      <c r="AA371" s="71"/>
      <c r="AB371" s="72"/>
    </row>
    <row r="372" spans="1:28" x14ac:dyDescent="0.2">
      <c r="A372" s="224"/>
      <c r="B372" s="207" t="s">
        <v>32</v>
      </c>
      <c r="C372" s="207"/>
      <c r="D372" s="208"/>
      <c r="E372" s="77" t="s">
        <v>33</v>
      </c>
      <c r="F372" s="159" t="s">
        <v>29</v>
      </c>
      <c r="G372" s="159"/>
      <c r="H372" s="159"/>
      <c r="I372" s="159" t="s">
        <v>41</v>
      </c>
      <c r="J372" s="159"/>
      <c r="K372" s="159"/>
      <c r="L372" s="159" t="s">
        <v>30</v>
      </c>
      <c r="M372" s="159"/>
      <c r="N372" s="159"/>
      <c r="O372" s="159" t="s">
        <v>31</v>
      </c>
      <c r="P372" s="159"/>
      <c r="Q372" s="159"/>
      <c r="R372" s="159" t="s">
        <v>38</v>
      </c>
      <c r="S372" s="159"/>
      <c r="T372" s="159"/>
      <c r="U372" s="159" t="s">
        <v>60</v>
      </c>
      <c r="V372" s="159"/>
      <c r="W372" s="159"/>
      <c r="X372" s="159" t="s">
        <v>40</v>
      </c>
      <c r="Y372" s="159"/>
      <c r="Z372" s="159"/>
      <c r="AA372" s="217"/>
      <c r="AB372" s="218"/>
    </row>
    <row r="373" spans="1:28" x14ac:dyDescent="0.2">
      <c r="A373" s="224"/>
      <c r="B373" s="209"/>
      <c r="C373" s="209"/>
      <c r="D373" s="210"/>
      <c r="E373" s="82" t="s">
        <v>34</v>
      </c>
      <c r="F373" s="78" t="s">
        <v>35</v>
      </c>
      <c r="G373" s="78" t="s">
        <v>36</v>
      </c>
      <c r="H373" s="79" t="s">
        <v>37</v>
      </c>
      <c r="I373" s="78" t="s">
        <v>35</v>
      </c>
      <c r="J373" s="78" t="s">
        <v>36</v>
      </c>
      <c r="K373" s="79" t="s">
        <v>37</v>
      </c>
      <c r="L373" s="78" t="s">
        <v>35</v>
      </c>
      <c r="M373" s="78" t="s">
        <v>36</v>
      </c>
      <c r="N373" s="79" t="s">
        <v>37</v>
      </c>
      <c r="O373" s="78" t="s">
        <v>35</v>
      </c>
      <c r="P373" s="78" t="s">
        <v>36</v>
      </c>
      <c r="Q373" s="79" t="s">
        <v>37</v>
      </c>
      <c r="R373" s="78" t="s">
        <v>35</v>
      </c>
      <c r="S373" s="78" t="s">
        <v>36</v>
      </c>
      <c r="T373" s="79" t="s">
        <v>37</v>
      </c>
      <c r="U373" s="78" t="s">
        <v>35</v>
      </c>
      <c r="V373" s="78" t="s">
        <v>36</v>
      </c>
      <c r="W373" s="79" t="s">
        <v>37</v>
      </c>
      <c r="X373" s="78" t="s">
        <v>35</v>
      </c>
      <c r="Y373" s="78" t="s">
        <v>36</v>
      </c>
      <c r="Z373" s="79" t="s">
        <v>37</v>
      </c>
      <c r="AA373" s="219"/>
      <c r="AB373" s="220"/>
    </row>
    <row r="374" spans="1:28" x14ac:dyDescent="0.2">
      <c r="A374" s="224"/>
      <c r="B374" s="80" t="str">
        <f xml:space="preserve"> IF(ISBLANK(B362), "-",B362)</f>
        <v>HTL-01</v>
      </c>
      <c r="C374" s="80">
        <f xml:space="preserve"> IF(ISBLANK(C362), "-",C362)</f>
        <v>21234</v>
      </c>
      <c r="D374" s="80" t="str">
        <f xml:space="preserve"> IF(ISBLANK(D362), "-",D362)</f>
        <v>14ml    L’Oreal</v>
      </c>
      <c r="E374" s="170"/>
      <c r="F374" s="81">
        <v>0</v>
      </c>
      <c r="G374" s="74">
        <v>0</v>
      </c>
      <c r="H374" s="74">
        <v>0</v>
      </c>
      <c r="I374" s="74">
        <v>0</v>
      </c>
      <c r="J374" s="74">
        <v>0</v>
      </c>
      <c r="K374" s="74">
        <v>0</v>
      </c>
      <c r="L374" s="75">
        <v>0</v>
      </c>
      <c r="M374" s="75">
        <v>0</v>
      </c>
      <c r="N374" s="75">
        <v>0</v>
      </c>
      <c r="O374" s="75">
        <v>0</v>
      </c>
      <c r="P374" s="75">
        <v>0</v>
      </c>
      <c r="Q374" s="74">
        <v>0</v>
      </c>
      <c r="R374" s="75">
        <v>0</v>
      </c>
      <c r="S374" s="75">
        <v>0</v>
      </c>
      <c r="T374" s="75">
        <v>0</v>
      </c>
      <c r="U374" s="75">
        <v>0</v>
      </c>
      <c r="V374" s="75">
        <v>0</v>
      </c>
      <c r="W374" s="74">
        <v>0</v>
      </c>
      <c r="X374" s="74">
        <v>0</v>
      </c>
      <c r="Y374" s="74">
        <v>0</v>
      </c>
      <c r="Z374" s="76">
        <v>0</v>
      </c>
      <c r="AA374" s="219"/>
      <c r="AB374" s="220"/>
    </row>
    <row r="375" spans="1:28" x14ac:dyDescent="0.2">
      <c r="A375" s="224"/>
      <c r="B375" s="80" t="str">
        <f xml:space="preserve"> IF(ISBLANK(B364), "-",B364)</f>
        <v>HTL-02</v>
      </c>
      <c r="C375" s="80">
        <f xml:space="preserve"> IF(ISBLANK(C364), "-",C364)</f>
        <v>21231</v>
      </c>
      <c r="D375" s="80" t="str">
        <f xml:space="preserve"> IF(ISBLANK(D364), "-",D364)</f>
        <v>7ml   L’Oreal</v>
      </c>
      <c r="E375" s="171"/>
      <c r="F375" s="81">
        <v>0</v>
      </c>
      <c r="G375" s="74">
        <v>0</v>
      </c>
      <c r="H375" s="74">
        <v>0</v>
      </c>
      <c r="I375" s="74">
        <v>0</v>
      </c>
      <c r="J375" s="74">
        <v>0</v>
      </c>
      <c r="K375" s="74">
        <v>0</v>
      </c>
      <c r="L375" s="75">
        <v>0</v>
      </c>
      <c r="M375" s="75">
        <v>0</v>
      </c>
      <c r="N375" s="75">
        <v>0</v>
      </c>
      <c r="O375" s="75">
        <v>0</v>
      </c>
      <c r="P375" s="75">
        <v>0</v>
      </c>
      <c r="Q375" s="74">
        <v>0</v>
      </c>
      <c r="R375" s="75">
        <v>0</v>
      </c>
      <c r="S375" s="75">
        <v>0</v>
      </c>
      <c r="T375" s="75">
        <v>0</v>
      </c>
      <c r="U375" s="75">
        <v>0</v>
      </c>
      <c r="V375" s="75">
        <v>0</v>
      </c>
      <c r="W375" s="74">
        <v>0</v>
      </c>
      <c r="X375" s="74">
        <v>0</v>
      </c>
      <c r="Y375" s="74">
        <v>0</v>
      </c>
      <c r="Z375" s="97">
        <v>0</v>
      </c>
      <c r="AA375" s="219"/>
      <c r="AB375" s="220"/>
    </row>
    <row r="376" spans="1:28" x14ac:dyDescent="0.2">
      <c r="A376" s="224"/>
      <c r="B376" s="80" t="str">
        <f xml:space="preserve"> IF(ISBLANK(B366), "-",B366)</f>
        <v>HTL-03</v>
      </c>
      <c r="C376" s="80">
        <f xml:space="preserve"> IF(ISBLANK(C366), "-",C366)</f>
        <v>21232</v>
      </c>
      <c r="D376" s="80" t="str">
        <f xml:space="preserve"> IF(ISBLANK(D366), "-",D366)</f>
        <v>7ml   L’Oreal</v>
      </c>
      <c r="E376" s="171"/>
      <c r="F376" s="81">
        <v>0</v>
      </c>
      <c r="G376" s="74">
        <v>0</v>
      </c>
      <c r="H376" s="74">
        <v>0</v>
      </c>
      <c r="I376" s="74">
        <v>0</v>
      </c>
      <c r="J376" s="74">
        <v>0</v>
      </c>
      <c r="K376" s="74">
        <v>0</v>
      </c>
      <c r="L376" s="75">
        <v>0</v>
      </c>
      <c r="M376" s="75">
        <v>0</v>
      </c>
      <c r="N376" s="75">
        <v>0</v>
      </c>
      <c r="O376" s="75">
        <v>0</v>
      </c>
      <c r="P376" s="75">
        <v>0</v>
      </c>
      <c r="Q376" s="74">
        <v>0</v>
      </c>
      <c r="R376" s="75">
        <v>0</v>
      </c>
      <c r="S376" s="75">
        <v>0</v>
      </c>
      <c r="T376" s="75">
        <v>0</v>
      </c>
      <c r="U376" s="75">
        <v>0</v>
      </c>
      <c r="V376" s="75">
        <v>0</v>
      </c>
      <c r="W376" s="74">
        <v>0</v>
      </c>
      <c r="X376" s="74">
        <v>0</v>
      </c>
      <c r="Y376" s="74">
        <v>0</v>
      </c>
      <c r="Z376" s="97">
        <v>0</v>
      </c>
      <c r="AA376" s="219"/>
      <c r="AB376" s="220"/>
    </row>
    <row r="377" spans="1:28" x14ac:dyDescent="0.2">
      <c r="A377" s="225"/>
      <c r="B377" s="80" t="str">
        <f xml:space="preserve"> IF(ISBLANK(B368), "-",B368)</f>
        <v>HTL-04</v>
      </c>
      <c r="C377" s="80">
        <f xml:space="preserve"> IF(ISBLANK(C368), "-",C368)</f>
        <v>21234</v>
      </c>
      <c r="D377" s="80" t="str">
        <f xml:space="preserve"> IF(ISBLANK(D368), "-",D368)</f>
        <v>14ml   L’Oreal</v>
      </c>
      <c r="E377" s="172"/>
      <c r="F377" s="81">
        <v>0</v>
      </c>
      <c r="G377" s="74">
        <v>0</v>
      </c>
      <c r="H377" s="74">
        <v>0</v>
      </c>
      <c r="I377" s="74">
        <v>0</v>
      </c>
      <c r="J377" s="74">
        <v>0</v>
      </c>
      <c r="K377" s="74">
        <v>0</v>
      </c>
      <c r="L377" s="75">
        <v>0</v>
      </c>
      <c r="M377" s="75">
        <v>0</v>
      </c>
      <c r="N377" s="75">
        <v>0</v>
      </c>
      <c r="O377" s="75">
        <v>0</v>
      </c>
      <c r="P377" s="75">
        <v>0</v>
      </c>
      <c r="Q377" s="74">
        <v>0</v>
      </c>
      <c r="R377" s="75">
        <v>0</v>
      </c>
      <c r="S377" s="75">
        <v>0</v>
      </c>
      <c r="T377" s="75">
        <v>0</v>
      </c>
      <c r="U377" s="75">
        <v>0</v>
      </c>
      <c r="V377" s="75">
        <v>0</v>
      </c>
      <c r="W377" s="74">
        <v>0</v>
      </c>
      <c r="X377" s="74">
        <v>0</v>
      </c>
      <c r="Y377" s="74">
        <v>0</v>
      </c>
      <c r="Z377" s="76">
        <v>0</v>
      </c>
      <c r="AA377" s="221"/>
      <c r="AB377" s="222"/>
    </row>
  </sheetData>
  <mergeCells count="1227">
    <mergeCell ref="W360:W361"/>
    <mergeCell ref="X360:X361"/>
    <mergeCell ref="L372:N372"/>
    <mergeCell ref="O372:Q372"/>
    <mergeCell ref="R372:T372"/>
    <mergeCell ref="U372:W372"/>
    <mergeCell ref="X372:Z372"/>
    <mergeCell ref="AA372:AB377"/>
    <mergeCell ref="Y366:Y367"/>
    <mergeCell ref="Z366:Z367"/>
    <mergeCell ref="AA366:AA367"/>
    <mergeCell ref="AB366:AB367"/>
    <mergeCell ref="B368:B369"/>
    <mergeCell ref="E368:E369"/>
    <mergeCell ref="U368:U369"/>
    <mergeCell ref="V368:V369"/>
    <mergeCell ref="W368:W369"/>
    <mergeCell ref="X368:X369"/>
    <mergeCell ref="A359:A377"/>
    <mergeCell ref="B360:B361"/>
    <mergeCell ref="C360:C361"/>
    <mergeCell ref="D360:D361"/>
    <mergeCell ref="E360:E361"/>
    <mergeCell ref="F360:J360"/>
    <mergeCell ref="B372:D373"/>
    <mergeCell ref="F372:H372"/>
    <mergeCell ref="I372:K372"/>
    <mergeCell ref="E374:E377"/>
    <mergeCell ref="Y364:Y365"/>
    <mergeCell ref="Z364:Z365"/>
    <mergeCell ref="AA364:AA365"/>
    <mergeCell ref="AB364:AB365"/>
    <mergeCell ref="B366:B367"/>
    <mergeCell ref="E366:E367"/>
    <mergeCell ref="AA352:AB357"/>
    <mergeCell ref="E354:E357"/>
    <mergeCell ref="Y362:Y363"/>
    <mergeCell ref="Z362:Z363"/>
    <mergeCell ref="AA362:AA363"/>
    <mergeCell ref="AB362:AB363"/>
    <mergeCell ref="B364:B365"/>
    <mergeCell ref="E364:E365"/>
    <mergeCell ref="U364:U365"/>
    <mergeCell ref="V364:V365"/>
    <mergeCell ref="W364:W365"/>
    <mergeCell ref="X364:X365"/>
    <mergeCell ref="Y368:Y369"/>
    <mergeCell ref="Z368:Z369"/>
    <mergeCell ref="AA368:AA369"/>
    <mergeCell ref="AB368:AB369"/>
    <mergeCell ref="AA348:AA349"/>
    <mergeCell ref="AB348:AB349"/>
    <mergeCell ref="B352:D353"/>
    <mergeCell ref="F352:H352"/>
    <mergeCell ref="I352:K352"/>
    <mergeCell ref="L352:N352"/>
    <mergeCell ref="O352:Q352"/>
    <mergeCell ref="R352:T352"/>
    <mergeCell ref="U352:W352"/>
    <mergeCell ref="X352:Z352"/>
    <mergeCell ref="U366:U367"/>
    <mergeCell ref="V366:V367"/>
    <mergeCell ref="W366:W367"/>
    <mergeCell ref="X366:X367"/>
    <mergeCell ref="Y360:Y361"/>
    <mergeCell ref="Z360:Z361"/>
    <mergeCell ref="W348:W349"/>
    <mergeCell ref="X348:X349"/>
    <mergeCell ref="Y348:Y349"/>
    <mergeCell ref="Z348:Z349"/>
    <mergeCell ref="AA360:AA361"/>
    <mergeCell ref="AB360:AB361"/>
    <mergeCell ref="B362:B363"/>
    <mergeCell ref="E362:E363"/>
    <mergeCell ref="U362:U363"/>
    <mergeCell ref="V362:V363"/>
    <mergeCell ref="W362:W363"/>
    <mergeCell ref="X362:X363"/>
    <mergeCell ref="K360:O360"/>
    <mergeCell ref="P360:T360"/>
    <mergeCell ref="U360:U361"/>
    <mergeCell ref="V360:V361"/>
    <mergeCell ref="AA340:AA341"/>
    <mergeCell ref="AB340:AB341"/>
    <mergeCell ref="AA344:AA345"/>
    <mergeCell ref="AB344:AB345"/>
    <mergeCell ref="B346:B347"/>
    <mergeCell ref="E346:E347"/>
    <mergeCell ref="U346:U347"/>
    <mergeCell ref="V346:V347"/>
    <mergeCell ref="W346:W347"/>
    <mergeCell ref="X346:X347"/>
    <mergeCell ref="U344:U345"/>
    <mergeCell ref="V344:V345"/>
    <mergeCell ref="W344:W345"/>
    <mergeCell ref="X344:X345"/>
    <mergeCell ref="Y344:Y345"/>
    <mergeCell ref="Z344:Z345"/>
    <mergeCell ref="Y342:Y343"/>
    <mergeCell ref="Z342:Z343"/>
    <mergeCell ref="AA342:AA343"/>
    <mergeCell ref="AB342:AB343"/>
    <mergeCell ref="Y346:Y347"/>
    <mergeCell ref="Z346:Z347"/>
    <mergeCell ref="B344:B345"/>
    <mergeCell ref="E344:E345"/>
    <mergeCell ref="Y340:Y341"/>
    <mergeCell ref="Z340:Z341"/>
    <mergeCell ref="AA332:AB337"/>
    <mergeCell ref="E334:E337"/>
    <mergeCell ref="A339:A357"/>
    <mergeCell ref="C340:C341"/>
    <mergeCell ref="D340:D341"/>
    <mergeCell ref="F340:J340"/>
    <mergeCell ref="K340:O340"/>
    <mergeCell ref="P340:T340"/>
    <mergeCell ref="B342:B343"/>
    <mergeCell ref="E342:E343"/>
    <mergeCell ref="AA328:AA329"/>
    <mergeCell ref="AB328:AB329"/>
    <mergeCell ref="B332:D333"/>
    <mergeCell ref="F332:H332"/>
    <mergeCell ref="I332:K332"/>
    <mergeCell ref="L332:N332"/>
    <mergeCell ref="O332:Q332"/>
    <mergeCell ref="R332:T332"/>
    <mergeCell ref="U332:W332"/>
    <mergeCell ref="X332:Z332"/>
    <mergeCell ref="B340:B341"/>
    <mergeCell ref="E340:E341"/>
    <mergeCell ref="U340:U341"/>
    <mergeCell ref="V340:V341"/>
    <mergeCell ref="W340:W341"/>
    <mergeCell ref="X340:X341"/>
    <mergeCell ref="AA346:AA347"/>
    <mergeCell ref="AB346:AB347"/>
    <mergeCell ref="B348:B349"/>
    <mergeCell ref="E348:E349"/>
    <mergeCell ref="U348:U349"/>
    <mergeCell ref="V348:V349"/>
    <mergeCell ref="B322:B323"/>
    <mergeCell ref="E322:E323"/>
    <mergeCell ref="U322:U323"/>
    <mergeCell ref="V322:V323"/>
    <mergeCell ref="W322:W323"/>
    <mergeCell ref="X322:X323"/>
    <mergeCell ref="Y322:Y323"/>
    <mergeCell ref="Z322:Z323"/>
    <mergeCell ref="U320:U321"/>
    <mergeCell ref="V320:V321"/>
    <mergeCell ref="W320:W321"/>
    <mergeCell ref="X320:X321"/>
    <mergeCell ref="Y320:Y321"/>
    <mergeCell ref="Z320:Z321"/>
    <mergeCell ref="U342:U343"/>
    <mergeCell ref="V342:V343"/>
    <mergeCell ref="W342:W343"/>
    <mergeCell ref="X342:X343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Y328:Y329"/>
    <mergeCell ref="Z328:Z329"/>
    <mergeCell ref="AA324:AA325"/>
    <mergeCell ref="AB324:AB325"/>
    <mergeCell ref="B326:B327"/>
    <mergeCell ref="E326:E327"/>
    <mergeCell ref="U326:U327"/>
    <mergeCell ref="V326:V327"/>
    <mergeCell ref="W326:W327"/>
    <mergeCell ref="X326:X327"/>
    <mergeCell ref="AA312:AB317"/>
    <mergeCell ref="E314:E317"/>
    <mergeCell ref="A319:A337"/>
    <mergeCell ref="B320:B321"/>
    <mergeCell ref="C320:C321"/>
    <mergeCell ref="D320:D321"/>
    <mergeCell ref="E320:E321"/>
    <mergeCell ref="F320:J320"/>
    <mergeCell ref="K320:O320"/>
    <mergeCell ref="P320:T320"/>
    <mergeCell ref="AA308:AA309"/>
    <mergeCell ref="AB308:AB309"/>
    <mergeCell ref="B312:D313"/>
    <mergeCell ref="F312:H312"/>
    <mergeCell ref="I312:K312"/>
    <mergeCell ref="L312:N312"/>
    <mergeCell ref="O312:Q312"/>
    <mergeCell ref="R312:T312"/>
    <mergeCell ref="U312:W312"/>
    <mergeCell ref="X312:Z312"/>
    <mergeCell ref="AA322:AA323"/>
    <mergeCell ref="AB322:AB323"/>
    <mergeCell ref="B324:B325"/>
    <mergeCell ref="E324:E325"/>
    <mergeCell ref="U324:U325"/>
    <mergeCell ref="V324:V325"/>
    <mergeCell ref="W324:W325"/>
    <mergeCell ref="X324:X325"/>
    <mergeCell ref="Y324:Y325"/>
    <mergeCell ref="Z324:Z325"/>
    <mergeCell ref="AA320:AA321"/>
    <mergeCell ref="AB320:AB321"/>
    <mergeCell ref="Y288:Y289"/>
    <mergeCell ref="Z288:Z289"/>
    <mergeCell ref="AA288:AA289"/>
    <mergeCell ref="AB288:AB289"/>
    <mergeCell ref="E294:E297"/>
    <mergeCell ref="AA292:AB297"/>
    <mergeCell ref="U292:W292"/>
    <mergeCell ref="X292:Z292"/>
    <mergeCell ref="B288:B289"/>
    <mergeCell ref="E288:E289"/>
    <mergeCell ref="U288:U289"/>
    <mergeCell ref="V288:V289"/>
    <mergeCell ref="W288:W289"/>
    <mergeCell ref="X288:X289"/>
    <mergeCell ref="A279:A297"/>
    <mergeCell ref="A299:A317"/>
    <mergeCell ref="B300:B301"/>
    <mergeCell ref="C300:C301"/>
    <mergeCell ref="D300:D301"/>
    <mergeCell ref="E300:E301"/>
    <mergeCell ref="B308:B309"/>
    <mergeCell ref="E308:E309"/>
    <mergeCell ref="B280:B281"/>
    <mergeCell ref="C280:C281"/>
    <mergeCell ref="D280:D281"/>
    <mergeCell ref="E280:E281"/>
    <mergeCell ref="B282:B283"/>
    <mergeCell ref="E282:E283"/>
    <mergeCell ref="U282:U283"/>
    <mergeCell ref="V282:V283"/>
    <mergeCell ref="W282:W283"/>
    <mergeCell ref="X282:X283"/>
    <mergeCell ref="Y269:Y270"/>
    <mergeCell ref="Z269:Z270"/>
    <mergeCell ref="AA269:AA270"/>
    <mergeCell ref="AB269:AB270"/>
    <mergeCell ref="F300:J300"/>
    <mergeCell ref="U308:U309"/>
    <mergeCell ref="V308:V309"/>
    <mergeCell ref="W308:W309"/>
    <mergeCell ref="X308:X309"/>
    <mergeCell ref="Y308:Y309"/>
    <mergeCell ref="L273:N273"/>
    <mergeCell ref="O273:Q273"/>
    <mergeCell ref="R273:T273"/>
    <mergeCell ref="U273:W273"/>
    <mergeCell ref="X273:Z273"/>
    <mergeCell ref="AA273:AB277"/>
    <mergeCell ref="Y267:Y268"/>
    <mergeCell ref="Z267:Z268"/>
    <mergeCell ref="AA267:AA268"/>
    <mergeCell ref="AB267:AB268"/>
    <mergeCell ref="F280:J280"/>
    <mergeCell ref="Z308:Z309"/>
    <mergeCell ref="K280:O280"/>
    <mergeCell ref="P280:T280"/>
    <mergeCell ref="U280:U281"/>
    <mergeCell ref="V280:V281"/>
    <mergeCell ref="W280:W281"/>
    <mergeCell ref="X280:X281"/>
    <mergeCell ref="Y280:Y281"/>
    <mergeCell ref="Z280:Z281"/>
    <mergeCell ref="AA280:AA281"/>
    <mergeCell ref="AB280:AB281"/>
    <mergeCell ref="B269:B270"/>
    <mergeCell ref="E269:E270"/>
    <mergeCell ref="U269:U270"/>
    <mergeCell ref="V269:V270"/>
    <mergeCell ref="W269:W270"/>
    <mergeCell ref="X269:X270"/>
    <mergeCell ref="Y265:Y266"/>
    <mergeCell ref="Z265:Z266"/>
    <mergeCell ref="AA265:AA266"/>
    <mergeCell ref="AB265:AB266"/>
    <mergeCell ref="B267:B268"/>
    <mergeCell ref="E267:E268"/>
    <mergeCell ref="U267:U268"/>
    <mergeCell ref="V267:V268"/>
    <mergeCell ref="W267:W268"/>
    <mergeCell ref="X267:X268"/>
    <mergeCell ref="Y263:Y264"/>
    <mergeCell ref="Z263:Z264"/>
    <mergeCell ref="AA263:AA264"/>
    <mergeCell ref="AB263:AB264"/>
    <mergeCell ref="B265:B266"/>
    <mergeCell ref="E265:E266"/>
    <mergeCell ref="U265:U266"/>
    <mergeCell ref="V265:V266"/>
    <mergeCell ref="W265:W266"/>
    <mergeCell ref="X265:X266"/>
    <mergeCell ref="K263:O263"/>
    <mergeCell ref="P263:T263"/>
    <mergeCell ref="U263:U264"/>
    <mergeCell ref="V263:V264"/>
    <mergeCell ref="W263:W264"/>
    <mergeCell ref="X263:X264"/>
    <mergeCell ref="A262:A277"/>
    <mergeCell ref="B263:B264"/>
    <mergeCell ref="C263:C264"/>
    <mergeCell ref="D263:D264"/>
    <mergeCell ref="E263:E264"/>
    <mergeCell ref="F263:J263"/>
    <mergeCell ref="B273:D274"/>
    <mergeCell ref="F273:H273"/>
    <mergeCell ref="I273:K273"/>
    <mergeCell ref="E275:E277"/>
    <mergeCell ref="U222:W222"/>
    <mergeCell ref="X222:Z222"/>
    <mergeCell ref="AA222:AB226"/>
    <mergeCell ref="E224:E226"/>
    <mergeCell ref="Y218:Y219"/>
    <mergeCell ref="Z218:Z219"/>
    <mergeCell ref="AA218:AA219"/>
    <mergeCell ref="AB218:AB219"/>
    <mergeCell ref="B222:D223"/>
    <mergeCell ref="F222:H222"/>
    <mergeCell ref="I222:K222"/>
    <mergeCell ref="L222:N222"/>
    <mergeCell ref="O222:Q222"/>
    <mergeCell ref="R222:T222"/>
    <mergeCell ref="A211:A226"/>
    <mergeCell ref="A228:A243"/>
    <mergeCell ref="B229:B230"/>
    <mergeCell ref="C229:C230"/>
    <mergeCell ref="D229:D230"/>
    <mergeCell ref="E229:E230"/>
    <mergeCell ref="F229:J229"/>
    <mergeCell ref="B239:D240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14:Y215"/>
    <mergeCell ref="Z214:Z215"/>
    <mergeCell ref="AA214:AA215"/>
    <mergeCell ref="AB214:AB215"/>
    <mergeCell ref="B216:B217"/>
    <mergeCell ref="E216:E217"/>
    <mergeCell ref="U216:U217"/>
    <mergeCell ref="V216:V217"/>
    <mergeCell ref="W216:W217"/>
    <mergeCell ref="X216:X217"/>
    <mergeCell ref="B214:B215"/>
    <mergeCell ref="E214:E215"/>
    <mergeCell ref="U214:U215"/>
    <mergeCell ref="V214:V215"/>
    <mergeCell ref="W214:W215"/>
    <mergeCell ref="X214:X215"/>
    <mergeCell ref="K212:O212"/>
    <mergeCell ref="P212:T212"/>
    <mergeCell ref="U212:U213"/>
    <mergeCell ref="V212:V213"/>
    <mergeCell ref="W212:W213"/>
    <mergeCell ref="X212:X213"/>
    <mergeCell ref="U205:W205"/>
    <mergeCell ref="X205:Z205"/>
    <mergeCell ref="AA205:AB209"/>
    <mergeCell ref="E207:E209"/>
    <mergeCell ref="B212:B213"/>
    <mergeCell ref="C212:C213"/>
    <mergeCell ref="D212:D213"/>
    <mergeCell ref="E212:E213"/>
    <mergeCell ref="F212:J212"/>
    <mergeCell ref="B205:D206"/>
    <mergeCell ref="F205:H205"/>
    <mergeCell ref="I205:K205"/>
    <mergeCell ref="L205:N205"/>
    <mergeCell ref="O205:Q205"/>
    <mergeCell ref="R205:T205"/>
    <mergeCell ref="Y199:Y200"/>
    <mergeCell ref="Z199:Z200"/>
    <mergeCell ref="AA199:AA200"/>
    <mergeCell ref="AB199:AB200"/>
    <mergeCell ref="B201:B202"/>
    <mergeCell ref="E201:E202"/>
    <mergeCell ref="U201:U202"/>
    <mergeCell ref="V201:V202"/>
    <mergeCell ref="W201:W202"/>
    <mergeCell ref="X201:X202"/>
    <mergeCell ref="Y212:Y213"/>
    <mergeCell ref="Z212:Z213"/>
    <mergeCell ref="AA212:AA213"/>
    <mergeCell ref="AB212:AB213"/>
    <mergeCell ref="Z195:Z196"/>
    <mergeCell ref="AA195:AA196"/>
    <mergeCell ref="AB195:AB196"/>
    <mergeCell ref="B197:B198"/>
    <mergeCell ref="E197:E198"/>
    <mergeCell ref="U197:U198"/>
    <mergeCell ref="V197:V198"/>
    <mergeCell ref="W197:W198"/>
    <mergeCell ref="X197:X198"/>
    <mergeCell ref="K195:O195"/>
    <mergeCell ref="P195:T195"/>
    <mergeCell ref="U195:U196"/>
    <mergeCell ref="V195:V196"/>
    <mergeCell ref="W195:W196"/>
    <mergeCell ref="X195:X196"/>
    <mergeCell ref="Y201:Y202"/>
    <mergeCell ref="Z201:Z202"/>
    <mergeCell ref="AA201:AA202"/>
    <mergeCell ref="AB201:AB202"/>
    <mergeCell ref="U188:W188"/>
    <mergeCell ref="X188:Z188"/>
    <mergeCell ref="AA188:AB192"/>
    <mergeCell ref="E190:E192"/>
    <mergeCell ref="A194:A209"/>
    <mergeCell ref="B195:B196"/>
    <mergeCell ref="C195:C196"/>
    <mergeCell ref="D195:D196"/>
    <mergeCell ref="E195:E196"/>
    <mergeCell ref="F195:J195"/>
    <mergeCell ref="Y184:Y185"/>
    <mergeCell ref="Z184:Z185"/>
    <mergeCell ref="AA184:AA185"/>
    <mergeCell ref="AB184:AB185"/>
    <mergeCell ref="B188:D189"/>
    <mergeCell ref="F188:H188"/>
    <mergeCell ref="I188:K188"/>
    <mergeCell ref="L188:N188"/>
    <mergeCell ref="O188:Q188"/>
    <mergeCell ref="R188:T188"/>
    <mergeCell ref="A177:A192"/>
    <mergeCell ref="Y197:Y198"/>
    <mergeCell ref="Z197:Z198"/>
    <mergeCell ref="AA197:AA198"/>
    <mergeCell ref="AB197:AB198"/>
    <mergeCell ref="B199:B200"/>
    <mergeCell ref="E199:E200"/>
    <mergeCell ref="U199:U200"/>
    <mergeCell ref="V199:V200"/>
    <mergeCell ref="W199:W200"/>
    <mergeCell ref="X199:X200"/>
    <mergeCell ref="Y195:Y196"/>
    <mergeCell ref="Y182:Y183"/>
    <mergeCell ref="Z182:Z183"/>
    <mergeCell ref="AA182:AA183"/>
    <mergeCell ref="AB182:AB183"/>
    <mergeCell ref="B184:B185"/>
    <mergeCell ref="E184:E185"/>
    <mergeCell ref="U184:U185"/>
    <mergeCell ref="V184:V185"/>
    <mergeCell ref="W184:W185"/>
    <mergeCell ref="X184:X185"/>
    <mergeCell ref="Y180:Y181"/>
    <mergeCell ref="Z180:Z181"/>
    <mergeCell ref="AA180:AA181"/>
    <mergeCell ref="AB180:AB181"/>
    <mergeCell ref="B182:B183"/>
    <mergeCell ref="E182:E183"/>
    <mergeCell ref="U182:U183"/>
    <mergeCell ref="V182:V183"/>
    <mergeCell ref="W182:W183"/>
    <mergeCell ref="X182:X183"/>
    <mergeCell ref="Y178:Y179"/>
    <mergeCell ref="Z178:Z179"/>
    <mergeCell ref="AA178:AA179"/>
    <mergeCell ref="AB178:AB179"/>
    <mergeCell ref="B180:B181"/>
    <mergeCell ref="E180:E181"/>
    <mergeCell ref="U180:U181"/>
    <mergeCell ref="V180:V181"/>
    <mergeCell ref="W180:W181"/>
    <mergeCell ref="X180:X181"/>
    <mergeCell ref="K178:O178"/>
    <mergeCell ref="P178:T178"/>
    <mergeCell ref="U178:U179"/>
    <mergeCell ref="V178:V179"/>
    <mergeCell ref="W178:W179"/>
    <mergeCell ref="X178:X179"/>
    <mergeCell ref="U171:W171"/>
    <mergeCell ref="X171:Z171"/>
    <mergeCell ref="AA171:AB175"/>
    <mergeCell ref="E173:E175"/>
    <mergeCell ref="B178:B179"/>
    <mergeCell ref="C178:C179"/>
    <mergeCell ref="D178:D179"/>
    <mergeCell ref="E178:E179"/>
    <mergeCell ref="F178:J178"/>
    <mergeCell ref="U163:U164"/>
    <mergeCell ref="V163:V164"/>
    <mergeCell ref="W163:W164"/>
    <mergeCell ref="X163:X164"/>
    <mergeCell ref="K161:O161"/>
    <mergeCell ref="P161:T161"/>
    <mergeCell ref="U161:U162"/>
    <mergeCell ref="V161:V162"/>
    <mergeCell ref="W161:W162"/>
    <mergeCell ref="X161:X162"/>
    <mergeCell ref="Y167:Y168"/>
    <mergeCell ref="Z167:Z168"/>
    <mergeCell ref="AA167:AA168"/>
    <mergeCell ref="AB167:AB168"/>
    <mergeCell ref="B171:D172"/>
    <mergeCell ref="F171:H171"/>
    <mergeCell ref="I171:K171"/>
    <mergeCell ref="L171:N171"/>
    <mergeCell ref="O171:Q171"/>
    <mergeCell ref="R171:T171"/>
    <mergeCell ref="Y165:Y166"/>
    <mergeCell ref="Z165:Z166"/>
    <mergeCell ref="AA165:AA166"/>
    <mergeCell ref="AB165:AB166"/>
    <mergeCell ref="B167:B168"/>
    <mergeCell ref="E167:E168"/>
    <mergeCell ref="U167:U168"/>
    <mergeCell ref="V167:V168"/>
    <mergeCell ref="W167:W168"/>
    <mergeCell ref="X167:X168"/>
    <mergeCell ref="A160:A175"/>
    <mergeCell ref="B161:B162"/>
    <mergeCell ref="C161:C162"/>
    <mergeCell ref="D161:D162"/>
    <mergeCell ref="E161:E162"/>
    <mergeCell ref="F161:J161"/>
    <mergeCell ref="Y150:Y151"/>
    <mergeCell ref="Z150:Z151"/>
    <mergeCell ref="AA150:AA151"/>
    <mergeCell ref="AB150:AB151"/>
    <mergeCell ref="B154:D155"/>
    <mergeCell ref="F154:H154"/>
    <mergeCell ref="I154:K154"/>
    <mergeCell ref="L154:N154"/>
    <mergeCell ref="O154:Q154"/>
    <mergeCell ref="R154:T154"/>
    <mergeCell ref="Y163:Y164"/>
    <mergeCell ref="Z163:Z164"/>
    <mergeCell ref="AA163:AA164"/>
    <mergeCell ref="AB163:AB164"/>
    <mergeCell ref="B165:B166"/>
    <mergeCell ref="E165:E166"/>
    <mergeCell ref="U165:U166"/>
    <mergeCell ref="V165:V166"/>
    <mergeCell ref="W165:W166"/>
    <mergeCell ref="X165:X166"/>
    <mergeCell ref="Y161:Y162"/>
    <mergeCell ref="Z161:Z162"/>
    <mergeCell ref="AA161:AA162"/>
    <mergeCell ref="AB161:AB162"/>
    <mergeCell ref="B163:B164"/>
    <mergeCell ref="E163:E164"/>
    <mergeCell ref="A143:A158"/>
    <mergeCell ref="B144:B145"/>
    <mergeCell ref="C144:C145"/>
    <mergeCell ref="D144:D145"/>
    <mergeCell ref="E144:E145"/>
    <mergeCell ref="F144:J144"/>
    <mergeCell ref="Y148:Y149"/>
    <mergeCell ref="Z148:Z149"/>
    <mergeCell ref="AA148:AA149"/>
    <mergeCell ref="AB148:AB149"/>
    <mergeCell ref="B150:B151"/>
    <mergeCell ref="E150:E151"/>
    <mergeCell ref="U150:U151"/>
    <mergeCell ref="V150:V151"/>
    <mergeCell ref="W150:W151"/>
    <mergeCell ref="X150:X151"/>
    <mergeCell ref="Y146:Y147"/>
    <mergeCell ref="Z146:Z147"/>
    <mergeCell ref="AA146:AA147"/>
    <mergeCell ref="AB146:AB147"/>
    <mergeCell ref="B148:B149"/>
    <mergeCell ref="E148:E149"/>
    <mergeCell ref="U148:U149"/>
    <mergeCell ref="V148:V149"/>
    <mergeCell ref="W148:W149"/>
    <mergeCell ref="X148:X149"/>
    <mergeCell ref="U154:W154"/>
    <mergeCell ref="X154:Z154"/>
    <mergeCell ref="AA154:AB158"/>
    <mergeCell ref="E156:E158"/>
    <mergeCell ref="AB131:AB132"/>
    <mergeCell ref="B133:B134"/>
    <mergeCell ref="E133:E134"/>
    <mergeCell ref="U133:U134"/>
    <mergeCell ref="V133:V134"/>
    <mergeCell ref="W133:W134"/>
    <mergeCell ref="X133:X134"/>
    <mergeCell ref="Y144:Y145"/>
    <mergeCell ref="Z144:Z145"/>
    <mergeCell ref="AA144:AA145"/>
    <mergeCell ref="AB144:AB145"/>
    <mergeCell ref="B146:B147"/>
    <mergeCell ref="E146:E147"/>
    <mergeCell ref="U146:U147"/>
    <mergeCell ref="V146:V147"/>
    <mergeCell ref="W146:W147"/>
    <mergeCell ref="X146:X147"/>
    <mergeCell ref="K144:O144"/>
    <mergeCell ref="P144:T144"/>
    <mergeCell ref="U144:U145"/>
    <mergeCell ref="V144:V145"/>
    <mergeCell ref="W144:W145"/>
    <mergeCell ref="X144:X145"/>
    <mergeCell ref="Z127:Z128"/>
    <mergeCell ref="AA127:AA128"/>
    <mergeCell ref="AB127:AB128"/>
    <mergeCell ref="B129:B130"/>
    <mergeCell ref="E129:E130"/>
    <mergeCell ref="U129:U130"/>
    <mergeCell ref="V129:V130"/>
    <mergeCell ref="W129:W130"/>
    <mergeCell ref="X129:X130"/>
    <mergeCell ref="K127:O127"/>
    <mergeCell ref="P127:T127"/>
    <mergeCell ref="U127:U128"/>
    <mergeCell ref="V127:V128"/>
    <mergeCell ref="W127:W128"/>
    <mergeCell ref="X127:X128"/>
    <mergeCell ref="U137:W137"/>
    <mergeCell ref="X137:Z137"/>
    <mergeCell ref="AA137:AB141"/>
    <mergeCell ref="E139:E141"/>
    <mergeCell ref="Y133:Y134"/>
    <mergeCell ref="Z133:Z134"/>
    <mergeCell ref="AA133:AA134"/>
    <mergeCell ref="AB133:AB134"/>
    <mergeCell ref="B137:D138"/>
    <mergeCell ref="F137:H137"/>
    <mergeCell ref="I137:K137"/>
    <mergeCell ref="L137:N137"/>
    <mergeCell ref="O137:Q137"/>
    <mergeCell ref="R137:T137"/>
    <mergeCell ref="Y131:Y132"/>
    <mergeCell ref="Z131:Z132"/>
    <mergeCell ref="AA131:AA132"/>
    <mergeCell ref="U120:W120"/>
    <mergeCell ref="X120:Z120"/>
    <mergeCell ref="AA120:AB124"/>
    <mergeCell ref="E122:E124"/>
    <mergeCell ref="A126:A141"/>
    <mergeCell ref="B127:B128"/>
    <mergeCell ref="C127:C128"/>
    <mergeCell ref="D127:D128"/>
    <mergeCell ref="E127:E128"/>
    <mergeCell ref="F127:J127"/>
    <mergeCell ref="Y116:Y117"/>
    <mergeCell ref="Z116:Z117"/>
    <mergeCell ref="AA116:AA117"/>
    <mergeCell ref="AB116:AB117"/>
    <mergeCell ref="B120:D121"/>
    <mergeCell ref="F120:H120"/>
    <mergeCell ref="I120:K120"/>
    <mergeCell ref="L120:N120"/>
    <mergeCell ref="O120:Q120"/>
    <mergeCell ref="R120:T120"/>
    <mergeCell ref="A109:A12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27:Y128"/>
    <mergeCell ref="Y114:Y115"/>
    <mergeCell ref="Z114:Z115"/>
    <mergeCell ref="AA114:AA115"/>
    <mergeCell ref="AB114:AB115"/>
    <mergeCell ref="B116:B117"/>
    <mergeCell ref="E116:E117"/>
    <mergeCell ref="U116:U117"/>
    <mergeCell ref="V116:V117"/>
    <mergeCell ref="W116:W117"/>
    <mergeCell ref="X116:X117"/>
    <mergeCell ref="Y112:Y113"/>
    <mergeCell ref="Z112:Z113"/>
    <mergeCell ref="AA112:AA113"/>
    <mergeCell ref="AB112:AB113"/>
    <mergeCell ref="B114:B115"/>
    <mergeCell ref="E114:E115"/>
    <mergeCell ref="U114:U115"/>
    <mergeCell ref="V114:V115"/>
    <mergeCell ref="W114:W115"/>
    <mergeCell ref="X114:X115"/>
    <mergeCell ref="B112:B113"/>
    <mergeCell ref="E112:E113"/>
    <mergeCell ref="U112:U113"/>
    <mergeCell ref="V112:V113"/>
    <mergeCell ref="W112:W113"/>
    <mergeCell ref="X112:X113"/>
    <mergeCell ref="K110:O110"/>
    <mergeCell ref="P110:T110"/>
    <mergeCell ref="U110:U111"/>
    <mergeCell ref="V110:V111"/>
    <mergeCell ref="W110:W111"/>
    <mergeCell ref="X110:X111"/>
    <mergeCell ref="U103:W103"/>
    <mergeCell ref="X103:Z103"/>
    <mergeCell ref="AA103:AB107"/>
    <mergeCell ref="E105:E107"/>
    <mergeCell ref="B110:B111"/>
    <mergeCell ref="C110:C111"/>
    <mergeCell ref="D110:D111"/>
    <mergeCell ref="E110:E111"/>
    <mergeCell ref="F110:J110"/>
    <mergeCell ref="B103:D104"/>
    <mergeCell ref="F103:H103"/>
    <mergeCell ref="I103:K103"/>
    <mergeCell ref="L103:N103"/>
    <mergeCell ref="O103:Q103"/>
    <mergeCell ref="R103:T103"/>
    <mergeCell ref="Y97:Y98"/>
    <mergeCell ref="Z97:Z98"/>
    <mergeCell ref="AA97:AA98"/>
    <mergeCell ref="AB97:AB98"/>
    <mergeCell ref="B99:B100"/>
    <mergeCell ref="E99:E100"/>
    <mergeCell ref="U99:U100"/>
    <mergeCell ref="V99:V100"/>
    <mergeCell ref="W99:W100"/>
    <mergeCell ref="X99:X100"/>
    <mergeCell ref="Y110:Y111"/>
    <mergeCell ref="Z110:Z111"/>
    <mergeCell ref="AA110:AA111"/>
    <mergeCell ref="AB110:AB111"/>
    <mergeCell ref="Z93:Z94"/>
    <mergeCell ref="AA93:AA94"/>
    <mergeCell ref="AB93:AB94"/>
    <mergeCell ref="B95:B96"/>
    <mergeCell ref="E95:E96"/>
    <mergeCell ref="U95:U96"/>
    <mergeCell ref="V95:V96"/>
    <mergeCell ref="W95:W96"/>
    <mergeCell ref="X95:X96"/>
    <mergeCell ref="K93:O93"/>
    <mergeCell ref="P93:T93"/>
    <mergeCell ref="U93:U94"/>
    <mergeCell ref="V93:V94"/>
    <mergeCell ref="W93:W94"/>
    <mergeCell ref="X93:X94"/>
    <mergeCell ref="Y99:Y100"/>
    <mergeCell ref="Z99:Z100"/>
    <mergeCell ref="AA99:AA100"/>
    <mergeCell ref="AB99:AB100"/>
    <mergeCell ref="U86:W86"/>
    <mergeCell ref="X86:Z86"/>
    <mergeCell ref="AA86:AB90"/>
    <mergeCell ref="E88:E90"/>
    <mergeCell ref="A92:A107"/>
    <mergeCell ref="B93:B94"/>
    <mergeCell ref="C93:C94"/>
    <mergeCell ref="D93:D94"/>
    <mergeCell ref="E93:E94"/>
    <mergeCell ref="F93:J93"/>
    <mergeCell ref="Y82:Y83"/>
    <mergeCell ref="Z82:Z83"/>
    <mergeCell ref="AA82:AA83"/>
    <mergeCell ref="AB82:AB83"/>
    <mergeCell ref="B86:D87"/>
    <mergeCell ref="F86:H86"/>
    <mergeCell ref="I86:K86"/>
    <mergeCell ref="L86:N86"/>
    <mergeCell ref="O86:Q86"/>
    <mergeCell ref="R86:T86"/>
    <mergeCell ref="A75:A90"/>
    <mergeCell ref="Y95:Y96"/>
    <mergeCell ref="Z95:Z96"/>
    <mergeCell ref="AA95:AA96"/>
    <mergeCell ref="AB95:AB96"/>
    <mergeCell ref="B97:B98"/>
    <mergeCell ref="E97:E98"/>
    <mergeCell ref="U97:U98"/>
    <mergeCell ref="V97:V98"/>
    <mergeCell ref="W97:W98"/>
    <mergeCell ref="X97:X98"/>
    <mergeCell ref="Y93:Y94"/>
    <mergeCell ref="Y80:Y81"/>
    <mergeCell ref="Z80:Z81"/>
    <mergeCell ref="AA80:AA81"/>
    <mergeCell ref="AB80:AB81"/>
    <mergeCell ref="B82:B83"/>
    <mergeCell ref="E82:E83"/>
    <mergeCell ref="U82:U83"/>
    <mergeCell ref="V82:V83"/>
    <mergeCell ref="W82:W83"/>
    <mergeCell ref="X82:X83"/>
    <mergeCell ref="Y78:Y79"/>
    <mergeCell ref="Z78:Z79"/>
    <mergeCell ref="AA78:AA79"/>
    <mergeCell ref="AB78:AB79"/>
    <mergeCell ref="B80:B81"/>
    <mergeCell ref="E80:E81"/>
    <mergeCell ref="U80:U81"/>
    <mergeCell ref="V80:V81"/>
    <mergeCell ref="W80:W81"/>
    <mergeCell ref="X80:X81"/>
    <mergeCell ref="Y76:Y77"/>
    <mergeCell ref="Z76:Z77"/>
    <mergeCell ref="AA76:AA77"/>
    <mergeCell ref="AB76:AB77"/>
    <mergeCell ref="B78:B79"/>
    <mergeCell ref="E78:E79"/>
    <mergeCell ref="U78:U79"/>
    <mergeCell ref="V78:V79"/>
    <mergeCell ref="W78:W79"/>
    <mergeCell ref="X78:X79"/>
    <mergeCell ref="K76:O76"/>
    <mergeCell ref="P76:T76"/>
    <mergeCell ref="U76:U77"/>
    <mergeCell ref="V76:V77"/>
    <mergeCell ref="W76:W77"/>
    <mergeCell ref="X76:X77"/>
    <mergeCell ref="U69:W69"/>
    <mergeCell ref="X69:Z69"/>
    <mergeCell ref="AA69:AB73"/>
    <mergeCell ref="E71:E73"/>
    <mergeCell ref="B76:B77"/>
    <mergeCell ref="C76:C77"/>
    <mergeCell ref="D76:D77"/>
    <mergeCell ref="E76:E77"/>
    <mergeCell ref="F76:J76"/>
    <mergeCell ref="Y65:Y66"/>
    <mergeCell ref="Z65:Z66"/>
    <mergeCell ref="AA65:AA66"/>
    <mergeCell ref="AB65:AB66"/>
    <mergeCell ref="B69:D70"/>
    <mergeCell ref="F69:H69"/>
    <mergeCell ref="I69:K69"/>
    <mergeCell ref="L69:N69"/>
    <mergeCell ref="O69:Q69"/>
    <mergeCell ref="R69:T69"/>
    <mergeCell ref="Y63:Y64"/>
    <mergeCell ref="Z63:Z64"/>
    <mergeCell ref="AA63:AA64"/>
    <mergeCell ref="AB63:AB64"/>
    <mergeCell ref="B65:B66"/>
    <mergeCell ref="E65:E66"/>
    <mergeCell ref="U65:U66"/>
    <mergeCell ref="V65:V66"/>
    <mergeCell ref="W65:W66"/>
    <mergeCell ref="X65:X66"/>
    <mergeCell ref="Y61:Y62"/>
    <mergeCell ref="Z61:Z62"/>
    <mergeCell ref="AA61:AA62"/>
    <mergeCell ref="AB61:AB62"/>
    <mergeCell ref="B63:B64"/>
    <mergeCell ref="E63:E64"/>
    <mergeCell ref="U63:U64"/>
    <mergeCell ref="V63:V64"/>
    <mergeCell ref="W63:W64"/>
    <mergeCell ref="X63:X64"/>
    <mergeCell ref="Y59:Y60"/>
    <mergeCell ref="Z59:Z60"/>
    <mergeCell ref="AA59:AA60"/>
    <mergeCell ref="AB59:AB60"/>
    <mergeCell ref="B61:B62"/>
    <mergeCell ref="E61:E62"/>
    <mergeCell ref="U61:U62"/>
    <mergeCell ref="V61:V62"/>
    <mergeCell ref="W61:W62"/>
    <mergeCell ref="X61:X62"/>
    <mergeCell ref="K59:O59"/>
    <mergeCell ref="P59:T59"/>
    <mergeCell ref="U59:U60"/>
    <mergeCell ref="V59:V60"/>
    <mergeCell ref="W59:W60"/>
    <mergeCell ref="X59:X60"/>
    <mergeCell ref="A58:A73"/>
    <mergeCell ref="B59:B60"/>
    <mergeCell ref="C59:C60"/>
    <mergeCell ref="D59:D60"/>
    <mergeCell ref="E59:E60"/>
    <mergeCell ref="F59:J59"/>
    <mergeCell ref="E20:E22"/>
    <mergeCell ref="Z14:Z15"/>
    <mergeCell ref="AA14:AA15"/>
    <mergeCell ref="AB14:AB15"/>
    <mergeCell ref="U18:W18"/>
    <mergeCell ref="I18:K18"/>
    <mergeCell ref="L18:N18"/>
    <mergeCell ref="O18:Q18"/>
    <mergeCell ref="R18:T18"/>
    <mergeCell ref="X18:Z18"/>
    <mergeCell ref="AA18:AB22"/>
    <mergeCell ref="A7:A22"/>
    <mergeCell ref="B18:D19"/>
    <mergeCell ref="F18:H18"/>
    <mergeCell ref="A24:A39"/>
    <mergeCell ref="B25:B26"/>
    <mergeCell ref="C25:C26"/>
    <mergeCell ref="D25:D26"/>
    <mergeCell ref="E25:E26"/>
    <mergeCell ref="F25:J25"/>
    <mergeCell ref="B35:D36"/>
    <mergeCell ref="F35:H35"/>
    <mergeCell ref="I35:K35"/>
    <mergeCell ref="E37:E39"/>
    <mergeCell ref="K25:O25"/>
    <mergeCell ref="P25:T25"/>
    <mergeCell ref="Z12:Z13"/>
    <mergeCell ref="AA12:AA13"/>
    <mergeCell ref="AB12:AB13"/>
    <mergeCell ref="B14:B15"/>
    <mergeCell ref="E14:E15"/>
    <mergeCell ref="U14:U15"/>
    <mergeCell ref="V14:V15"/>
    <mergeCell ref="W14:W15"/>
    <mergeCell ref="X14:X15"/>
    <mergeCell ref="Y14:Y15"/>
    <mergeCell ref="Z10:Z11"/>
    <mergeCell ref="AA10:AA11"/>
    <mergeCell ref="AB10:AB11"/>
    <mergeCell ref="B12:B13"/>
    <mergeCell ref="E12:E13"/>
    <mergeCell ref="U12:U13"/>
    <mergeCell ref="V12:V13"/>
    <mergeCell ref="W12:W13"/>
    <mergeCell ref="X12:X13"/>
    <mergeCell ref="Y12:Y13"/>
    <mergeCell ref="Z8:Z9"/>
    <mergeCell ref="AA8:AA9"/>
    <mergeCell ref="AB8:AB9"/>
    <mergeCell ref="B10:B11"/>
    <mergeCell ref="E10:E11"/>
    <mergeCell ref="U10:U11"/>
    <mergeCell ref="V10:V11"/>
    <mergeCell ref="W10:W11"/>
    <mergeCell ref="X10:X11"/>
    <mergeCell ref="Y10:Y11"/>
    <mergeCell ref="P8:T8"/>
    <mergeCell ref="U8:U9"/>
    <mergeCell ref="V8:V9"/>
    <mergeCell ref="W8:W9"/>
    <mergeCell ref="X8:X9"/>
    <mergeCell ref="Y8:Y9"/>
    <mergeCell ref="J2:M2"/>
    <mergeCell ref="B8:B9"/>
    <mergeCell ref="C8:C9"/>
    <mergeCell ref="D8:D9"/>
    <mergeCell ref="E8:E9"/>
    <mergeCell ref="F8:J8"/>
    <mergeCell ref="K8:O8"/>
    <mergeCell ref="U25:U26"/>
    <mergeCell ref="V25:V26"/>
    <mergeCell ref="W25:W26"/>
    <mergeCell ref="X25:X26"/>
    <mergeCell ref="Y25:Y26"/>
    <mergeCell ref="Z25:Z26"/>
    <mergeCell ref="AA25:AA26"/>
    <mergeCell ref="AB25:AB26"/>
    <mergeCell ref="B27:B28"/>
    <mergeCell ref="E27:E28"/>
    <mergeCell ref="U27:U28"/>
    <mergeCell ref="V27:V28"/>
    <mergeCell ref="W27:W28"/>
    <mergeCell ref="X27:X28"/>
    <mergeCell ref="Y27:Y28"/>
    <mergeCell ref="Z27:Z28"/>
    <mergeCell ref="AA27:AA28"/>
    <mergeCell ref="AB27:AB28"/>
    <mergeCell ref="B29:B30"/>
    <mergeCell ref="E29:E30"/>
    <mergeCell ref="U29:U30"/>
    <mergeCell ref="V29:V30"/>
    <mergeCell ref="W29:W30"/>
    <mergeCell ref="X29:X30"/>
    <mergeCell ref="Y29:Y30"/>
    <mergeCell ref="Z29:Z30"/>
    <mergeCell ref="AA29:AA30"/>
    <mergeCell ref="AB29:AB30"/>
    <mergeCell ref="B31:B32"/>
    <mergeCell ref="E31:E32"/>
    <mergeCell ref="U31:U32"/>
    <mergeCell ref="V31:V32"/>
    <mergeCell ref="W31:W32"/>
    <mergeCell ref="X31:X32"/>
    <mergeCell ref="L35:N35"/>
    <mergeCell ref="O35:Q35"/>
    <mergeCell ref="R35:T35"/>
    <mergeCell ref="U35:W35"/>
    <mergeCell ref="X35:Z35"/>
    <mergeCell ref="AA35:AB39"/>
    <mergeCell ref="Y31:Y32"/>
    <mergeCell ref="Z31:Z32"/>
    <mergeCell ref="AA31:AA32"/>
    <mergeCell ref="AB31:AB32"/>
    <mergeCell ref="A41:A56"/>
    <mergeCell ref="B42:B43"/>
    <mergeCell ref="C42:C43"/>
    <mergeCell ref="D42:D43"/>
    <mergeCell ref="E42:E43"/>
    <mergeCell ref="F42:J42"/>
    <mergeCell ref="K42:O42"/>
    <mergeCell ref="P42:T42"/>
    <mergeCell ref="U42:U43"/>
    <mergeCell ref="V42:V43"/>
    <mergeCell ref="W42:W43"/>
    <mergeCell ref="X42:X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4:Y45"/>
    <mergeCell ref="Z44:Z45"/>
    <mergeCell ref="AA44:AA45"/>
    <mergeCell ref="AB44:AB45"/>
    <mergeCell ref="B46:B47"/>
    <mergeCell ref="E46:E47"/>
    <mergeCell ref="U46:U47"/>
    <mergeCell ref="V46:V47"/>
    <mergeCell ref="W46:W47"/>
    <mergeCell ref="X46:X47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X48:X49"/>
    <mergeCell ref="B52:D53"/>
    <mergeCell ref="F52:H52"/>
    <mergeCell ref="I52:K52"/>
    <mergeCell ref="L52:N52"/>
    <mergeCell ref="O52:Q52"/>
    <mergeCell ref="R52:T52"/>
    <mergeCell ref="U52:W52"/>
    <mergeCell ref="X52:Z52"/>
    <mergeCell ref="AA52:AB56"/>
    <mergeCell ref="E54:E56"/>
    <mergeCell ref="Y48:Y49"/>
    <mergeCell ref="Z48:Z49"/>
    <mergeCell ref="AA48:AA49"/>
    <mergeCell ref="AB48:AB49"/>
    <mergeCell ref="K229:O229"/>
    <mergeCell ref="P229:T229"/>
    <mergeCell ref="U229:U230"/>
    <mergeCell ref="V229:V230"/>
    <mergeCell ref="W229:W230"/>
    <mergeCell ref="X229:X230"/>
    <mergeCell ref="Y229:Y230"/>
    <mergeCell ref="Z229:Z230"/>
    <mergeCell ref="AA229:AA230"/>
    <mergeCell ref="AB229:AB230"/>
    <mergeCell ref="B231:B232"/>
    <mergeCell ref="E231:E232"/>
    <mergeCell ref="U231:U232"/>
    <mergeCell ref="V231:V232"/>
    <mergeCell ref="W231:W232"/>
    <mergeCell ref="X231:X232"/>
    <mergeCell ref="Y231:Y232"/>
    <mergeCell ref="Z231:Z232"/>
    <mergeCell ref="AA231:AA232"/>
    <mergeCell ref="AB231:AB232"/>
    <mergeCell ref="AB233:AB234"/>
    <mergeCell ref="B235:B236"/>
    <mergeCell ref="E235:E236"/>
    <mergeCell ref="U235:U236"/>
    <mergeCell ref="V235:V236"/>
    <mergeCell ref="W235:W236"/>
    <mergeCell ref="X235:X236"/>
    <mergeCell ref="L239:N239"/>
    <mergeCell ref="O239:Q239"/>
    <mergeCell ref="R239:T239"/>
    <mergeCell ref="U239:W239"/>
    <mergeCell ref="X239:Z239"/>
    <mergeCell ref="AA239:AB243"/>
    <mergeCell ref="Y235:Y236"/>
    <mergeCell ref="Z235:Z236"/>
    <mergeCell ref="AA235:AA236"/>
    <mergeCell ref="AB235:AB236"/>
    <mergeCell ref="F239:H239"/>
    <mergeCell ref="I239:K239"/>
    <mergeCell ref="E241:E243"/>
    <mergeCell ref="B233:B234"/>
    <mergeCell ref="E233:E234"/>
    <mergeCell ref="U233:U234"/>
    <mergeCell ref="V233:V234"/>
    <mergeCell ref="W233:W234"/>
    <mergeCell ref="X233:X234"/>
    <mergeCell ref="Y233:Y234"/>
    <mergeCell ref="Z233:Z234"/>
    <mergeCell ref="AA233:AA234"/>
    <mergeCell ref="A245:A260"/>
    <mergeCell ref="B246:B247"/>
    <mergeCell ref="C246:C247"/>
    <mergeCell ref="D246:D247"/>
    <mergeCell ref="E246:E247"/>
    <mergeCell ref="F246:J246"/>
    <mergeCell ref="K246:O246"/>
    <mergeCell ref="P246:T246"/>
    <mergeCell ref="U246:U247"/>
    <mergeCell ref="V246:V247"/>
    <mergeCell ref="W246:W247"/>
    <mergeCell ref="X246:X247"/>
    <mergeCell ref="Y246:Y247"/>
    <mergeCell ref="Z246:Z247"/>
    <mergeCell ref="AA246:AA247"/>
    <mergeCell ref="AB246:AB247"/>
    <mergeCell ref="B248:B249"/>
    <mergeCell ref="E248:E249"/>
    <mergeCell ref="U248:U249"/>
    <mergeCell ref="V248:V249"/>
    <mergeCell ref="W248:W249"/>
    <mergeCell ref="X248:X249"/>
    <mergeCell ref="Y248:Y249"/>
    <mergeCell ref="Z248:Z249"/>
    <mergeCell ref="AA248:AA249"/>
    <mergeCell ref="AB248:AB249"/>
    <mergeCell ref="B250:B251"/>
    <mergeCell ref="E250:E251"/>
    <mergeCell ref="U250:U251"/>
    <mergeCell ref="V250:V251"/>
    <mergeCell ref="W250:W251"/>
    <mergeCell ref="X250:X251"/>
    <mergeCell ref="Y250:Y251"/>
    <mergeCell ref="Z250:Z251"/>
    <mergeCell ref="AA250:AA251"/>
    <mergeCell ref="AB250:AB251"/>
    <mergeCell ref="B252:B253"/>
    <mergeCell ref="E252:E253"/>
    <mergeCell ref="U252:U253"/>
    <mergeCell ref="V252:V253"/>
    <mergeCell ref="W252:W253"/>
    <mergeCell ref="X252:X253"/>
    <mergeCell ref="B256:D257"/>
    <mergeCell ref="F256:H256"/>
    <mergeCell ref="I256:K256"/>
    <mergeCell ref="L256:N256"/>
    <mergeCell ref="O256:Q256"/>
    <mergeCell ref="R256:T256"/>
    <mergeCell ref="U256:W256"/>
    <mergeCell ref="X256:Z256"/>
    <mergeCell ref="AA256:AB260"/>
    <mergeCell ref="E258:E260"/>
    <mergeCell ref="Y252:Y253"/>
    <mergeCell ref="Z252:Z253"/>
    <mergeCell ref="AA252:AA253"/>
    <mergeCell ref="AB252:AB253"/>
    <mergeCell ref="Y282:Y283"/>
    <mergeCell ref="Z282:Z283"/>
    <mergeCell ref="AA282:AA283"/>
    <mergeCell ref="AB282:AB283"/>
    <mergeCell ref="B284:B285"/>
    <mergeCell ref="E284:E285"/>
    <mergeCell ref="U284:U285"/>
    <mergeCell ref="V284:V285"/>
    <mergeCell ref="W284:W285"/>
    <mergeCell ref="X284:X285"/>
    <mergeCell ref="Y284:Y285"/>
    <mergeCell ref="Z284:Z285"/>
    <mergeCell ref="AA284:AA285"/>
    <mergeCell ref="AB284:AB285"/>
    <mergeCell ref="B286:B287"/>
    <mergeCell ref="E286:E287"/>
    <mergeCell ref="U286:U287"/>
    <mergeCell ref="V286:V287"/>
    <mergeCell ref="W286:W287"/>
    <mergeCell ref="X286:X287"/>
    <mergeCell ref="Y286:Y287"/>
    <mergeCell ref="Z286:Z287"/>
    <mergeCell ref="AA286:AA287"/>
    <mergeCell ref="AB286:AB287"/>
    <mergeCell ref="B292:D293"/>
    <mergeCell ref="F292:H292"/>
    <mergeCell ref="I292:K292"/>
    <mergeCell ref="L292:N292"/>
    <mergeCell ref="O292:Q292"/>
    <mergeCell ref="R292:T292"/>
    <mergeCell ref="K300:O300"/>
    <mergeCell ref="P300:T300"/>
    <mergeCell ref="U300:U301"/>
    <mergeCell ref="V300:V301"/>
    <mergeCell ref="W300:W301"/>
    <mergeCell ref="X300:X301"/>
    <mergeCell ref="Y300:Y301"/>
    <mergeCell ref="Z300:Z301"/>
    <mergeCell ref="AA300:AA301"/>
    <mergeCell ref="AB300:AB301"/>
    <mergeCell ref="B302:B303"/>
    <mergeCell ref="E302:E303"/>
    <mergeCell ref="U302:U303"/>
    <mergeCell ref="V302:V303"/>
    <mergeCell ref="W302:W303"/>
    <mergeCell ref="X302:X303"/>
    <mergeCell ref="Y302:Y303"/>
    <mergeCell ref="Z302:Z303"/>
    <mergeCell ref="AA302:AA303"/>
    <mergeCell ref="AB302:AB303"/>
    <mergeCell ref="B304:B305"/>
    <mergeCell ref="E304:E305"/>
    <mergeCell ref="U304:U305"/>
    <mergeCell ref="V304:V305"/>
    <mergeCell ref="W304:W305"/>
    <mergeCell ref="X304:X305"/>
    <mergeCell ref="Y304:Y305"/>
    <mergeCell ref="Z304:Z305"/>
    <mergeCell ref="AA304:AA305"/>
    <mergeCell ref="AB304:AB305"/>
    <mergeCell ref="B306:B307"/>
    <mergeCell ref="E306:E307"/>
    <mergeCell ref="U306:U307"/>
    <mergeCell ref="V306:V307"/>
    <mergeCell ref="W306:W307"/>
    <mergeCell ref="X306:X307"/>
    <mergeCell ref="Y306:Y307"/>
    <mergeCell ref="Z306:Z307"/>
    <mergeCell ref="AA306:AA307"/>
    <mergeCell ref="AB306:AB307"/>
  </mergeCells>
  <phoneticPr fontId="10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K11"/>
  <sheetViews>
    <sheetView workbookViewId="0">
      <selection activeCell="K13" sqref="K13"/>
    </sheetView>
  </sheetViews>
  <sheetFormatPr defaultRowHeight="12.75" x14ac:dyDescent="0.2"/>
  <cols>
    <col min="1" max="1" width="13.85546875" bestFit="1" customWidth="1"/>
    <col min="2" max="2" width="10.140625" customWidth="1"/>
    <col min="3" max="3" width="14.42578125" bestFit="1" customWidth="1"/>
    <col min="4" max="4" width="16" bestFit="1" customWidth="1"/>
    <col min="5" max="5" width="17.28515625" bestFit="1" customWidth="1"/>
    <col min="6" max="6" width="15.140625" bestFit="1" customWidth="1"/>
    <col min="7" max="7" width="13.42578125" bestFit="1" customWidth="1"/>
    <col min="8" max="8" width="17.85546875" hidden="1" customWidth="1"/>
    <col min="9" max="9" width="20.28515625" hidden="1" customWidth="1"/>
    <col min="10" max="10" width="13.7109375" bestFit="1" customWidth="1"/>
    <col min="11" max="11" width="15.28515625" bestFit="1" customWidth="1"/>
  </cols>
  <sheetData>
    <row r="3" spans="1:11" x14ac:dyDescent="0.2">
      <c r="A3" s="108" t="s">
        <v>131</v>
      </c>
      <c r="B3" s="108" t="s">
        <v>0</v>
      </c>
      <c r="C3" t="s">
        <v>247</v>
      </c>
      <c r="D3" t="s">
        <v>250</v>
      </c>
      <c r="E3" t="s">
        <v>251</v>
      </c>
      <c r="F3" t="s">
        <v>252</v>
      </c>
      <c r="G3" t="s">
        <v>253</v>
      </c>
      <c r="H3" t="s">
        <v>248</v>
      </c>
      <c r="I3" t="s">
        <v>249</v>
      </c>
      <c r="J3" s="114" t="s">
        <v>254</v>
      </c>
      <c r="K3" s="114" t="s">
        <v>255</v>
      </c>
    </row>
    <row r="4" spans="1:11" x14ac:dyDescent="0.2">
      <c r="A4" t="s">
        <v>148</v>
      </c>
      <c r="B4" t="s">
        <v>45</v>
      </c>
      <c r="C4" s="137">
        <v>182</v>
      </c>
      <c r="D4" s="137">
        <v>3.5</v>
      </c>
      <c r="E4" s="137">
        <v>0</v>
      </c>
      <c r="F4" s="137">
        <v>2</v>
      </c>
      <c r="G4" s="109">
        <v>12</v>
      </c>
      <c r="H4" s="137">
        <v>991.32799999999997</v>
      </c>
      <c r="I4" s="138">
        <v>24</v>
      </c>
      <c r="J4" s="139">
        <f>H4/I4</f>
        <v>41.30533333333333</v>
      </c>
      <c r="K4" s="140">
        <f>3600*G4/J4</f>
        <v>1045.8697827560607</v>
      </c>
    </row>
    <row r="5" spans="1:11" x14ac:dyDescent="0.2">
      <c r="A5" t="s">
        <v>149</v>
      </c>
      <c r="B5" t="s">
        <v>65</v>
      </c>
      <c r="C5" s="137">
        <v>211</v>
      </c>
      <c r="D5" s="137">
        <v>3</v>
      </c>
      <c r="E5" s="137">
        <v>0</v>
      </c>
      <c r="F5" s="137">
        <v>0.5</v>
      </c>
      <c r="G5" s="109">
        <v>12</v>
      </c>
      <c r="H5" s="137">
        <v>1109.69</v>
      </c>
      <c r="I5" s="138">
        <v>27</v>
      </c>
      <c r="J5" s="139">
        <f t="shared" ref="J5:J9" si="0">H5/I5</f>
        <v>41.099629629629632</v>
      </c>
      <c r="K5" s="140">
        <f t="shared" ref="K5:K9" si="1">3600*G5/J5</f>
        <v>1051.1043624796114</v>
      </c>
    </row>
    <row r="6" spans="1:11" x14ac:dyDescent="0.2">
      <c r="A6" t="s">
        <v>150</v>
      </c>
      <c r="B6" t="s">
        <v>257</v>
      </c>
      <c r="C6" s="137">
        <v>116</v>
      </c>
      <c r="D6" s="137">
        <v>4</v>
      </c>
      <c r="E6" s="137">
        <v>0</v>
      </c>
      <c r="F6" s="137"/>
      <c r="G6" s="109">
        <v>12</v>
      </c>
      <c r="H6" s="137">
        <v>706.62</v>
      </c>
      <c r="I6" s="138">
        <v>17</v>
      </c>
      <c r="J6" s="139">
        <f t="shared" si="0"/>
        <v>41.565882352941173</v>
      </c>
      <c r="K6" s="140">
        <f t="shared" si="1"/>
        <v>1039.3139169567803</v>
      </c>
    </row>
    <row r="7" spans="1:11" x14ac:dyDescent="0.2">
      <c r="A7" t="s">
        <v>220</v>
      </c>
      <c r="B7" t="s">
        <v>224</v>
      </c>
      <c r="C7" s="137">
        <v>162.6</v>
      </c>
      <c r="D7" s="137">
        <v>2</v>
      </c>
      <c r="E7" s="137">
        <v>0</v>
      </c>
      <c r="F7" s="137">
        <v>0.5</v>
      </c>
      <c r="G7" s="109">
        <v>12</v>
      </c>
      <c r="H7" s="137">
        <v>1043.8400000000001</v>
      </c>
      <c r="I7" s="138">
        <v>25</v>
      </c>
      <c r="J7" s="139">
        <f t="shared" si="0"/>
        <v>41.753600000000006</v>
      </c>
      <c r="K7" s="140">
        <f t="shared" si="1"/>
        <v>1034.6413243408949</v>
      </c>
    </row>
    <row r="8" spans="1:11" x14ac:dyDescent="0.2">
      <c r="A8" t="s">
        <v>221</v>
      </c>
      <c r="B8" t="s">
        <v>234</v>
      </c>
      <c r="C8" s="137">
        <v>211.1</v>
      </c>
      <c r="D8" s="137">
        <v>4</v>
      </c>
      <c r="E8" s="137">
        <v>0</v>
      </c>
      <c r="F8" s="137">
        <v>0</v>
      </c>
      <c r="G8" s="109">
        <v>12</v>
      </c>
      <c r="H8" s="137">
        <v>1115.24</v>
      </c>
      <c r="I8" s="138">
        <v>27</v>
      </c>
      <c r="J8" s="139">
        <f t="shared" si="0"/>
        <v>41.305185185185188</v>
      </c>
      <c r="K8" s="140">
        <f t="shared" si="1"/>
        <v>1045.8735339478496</v>
      </c>
    </row>
    <row r="9" spans="1:11" x14ac:dyDescent="0.2">
      <c r="A9" t="s">
        <v>222</v>
      </c>
      <c r="B9" t="s">
        <v>223</v>
      </c>
      <c r="C9" s="137">
        <v>182.55</v>
      </c>
      <c r="D9" s="137">
        <v>4</v>
      </c>
      <c r="E9" s="137">
        <v>0</v>
      </c>
      <c r="F9" s="137">
        <v>0</v>
      </c>
      <c r="G9" s="109">
        <v>8</v>
      </c>
      <c r="H9" s="137">
        <v>985.67</v>
      </c>
      <c r="I9" s="138">
        <v>24</v>
      </c>
      <c r="J9" s="139">
        <f t="shared" si="0"/>
        <v>41.069583333333334</v>
      </c>
      <c r="K9" s="140">
        <f t="shared" si="1"/>
        <v>701.24889668956143</v>
      </c>
    </row>
    <row r="10" spans="1:11" x14ac:dyDescent="0.2">
      <c r="A10" t="s">
        <v>269</v>
      </c>
      <c r="B10" t="s">
        <v>270</v>
      </c>
      <c r="C10" s="137">
        <v>211</v>
      </c>
      <c r="D10" s="137">
        <v>0</v>
      </c>
      <c r="E10" s="137">
        <v>0</v>
      </c>
      <c r="F10" s="137">
        <v>0</v>
      </c>
      <c r="G10" s="109">
        <v>2</v>
      </c>
      <c r="H10" s="137">
        <v>1596.1</v>
      </c>
      <c r="I10" s="138">
        <v>28</v>
      </c>
    </row>
    <row r="11" spans="1:11" x14ac:dyDescent="0.2">
      <c r="A11" t="s">
        <v>151</v>
      </c>
      <c r="C11" s="137">
        <v>1276.25</v>
      </c>
      <c r="D11" s="137">
        <v>20.5</v>
      </c>
      <c r="E11" s="137">
        <v>0</v>
      </c>
      <c r="F11" s="137">
        <v>3</v>
      </c>
      <c r="G11" s="109">
        <v>12</v>
      </c>
      <c r="H11" s="137">
        <v>7548.4879999999976</v>
      </c>
      <c r="I11" s="138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AW110"/>
  <sheetViews>
    <sheetView zoomScaleNormal="100" workbookViewId="0">
      <pane xSplit="4" ySplit="5" topLeftCell="AC42" activePane="bottomRight" state="frozen"/>
      <selection pane="topRight" activeCell="E1" sqref="E1"/>
      <selection pane="bottomLeft" activeCell="A6" sqref="A6"/>
      <selection pane="bottomRight" activeCell="AD79" sqref="AD79"/>
    </sheetView>
  </sheetViews>
  <sheetFormatPr defaultRowHeight="12.75" x14ac:dyDescent="0.2"/>
  <cols>
    <col min="1" max="1" width="7.28515625" bestFit="1" customWidth="1"/>
    <col min="2" max="2" width="8.5703125" customWidth="1"/>
    <col min="3" max="3" width="10" customWidth="1"/>
    <col min="4" max="4" width="8.28515625" customWidth="1"/>
    <col min="5" max="5" width="8" customWidth="1"/>
    <col min="6" max="6" width="8.140625" customWidth="1"/>
    <col min="7" max="7" width="8.7109375" customWidth="1"/>
    <col min="8" max="8" width="11.5703125" style="40" customWidth="1"/>
    <col min="9" max="9" width="9.5703125" style="54" customWidth="1"/>
    <col min="10" max="10" width="10.85546875" style="58" customWidth="1"/>
    <col min="11" max="11" width="11.140625" customWidth="1"/>
    <col min="12" max="12" width="10.7109375" customWidth="1"/>
    <col min="13" max="13" width="9.28515625" customWidth="1"/>
    <col min="14" max="14" width="11.7109375" style="40" customWidth="1"/>
    <col min="15" max="15" width="9.5703125" style="54" customWidth="1"/>
    <col min="16" max="16" width="10.85546875" style="58" customWidth="1"/>
    <col min="17" max="17" width="11.140625" customWidth="1"/>
    <col min="18" max="18" width="8.5703125" customWidth="1"/>
    <col min="19" max="19" width="8" customWidth="1"/>
    <col min="20" max="20" width="11.7109375" style="40" customWidth="1"/>
    <col min="21" max="21" width="9.5703125" style="54" customWidth="1"/>
    <col min="22" max="22" width="10.85546875" style="58" customWidth="1"/>
    <col min="23" max="23" width="11.140625" customWidth="1"/>
    <col min="24" max="24" width="8.5703125" customWidth="1"/>
    <col min="25" max="25" width="8" customWidth="1"/>
    <col min="26" max="26" width="7.85546875" customWidth="1"/>
    <col min="27" max="27" width="10.28515625" customWidth="1"/>
    <col min="28" max="28" width="7.5703125" customWidth="1"/>
    <col min="29" max="29" width="62.42578125" customWidth="1"/>
    <col min="30" max="32" width="10" customWidth="1"/>
    <col min="33" max="35" width="9.7109375" customWidth="1"/>
    <col min="36" max="38" width="13.5703125" customWidth="1"/>
    <col min="39" max="41" width="7" customWidth="1"/>
    <col min="42" max="42" width="9.28515625" customWidth="1"/>
    <col min="43" max="43" width="11.140625" bestFit="1" customWidth="1"/>
    <col min="44" max="44" width="10.28515625" bestFit="1" customWidth="1"/>
    <col min="45" max="45" width="12.28515625" bestFit="1" customWidth="1"/>
    <col min="46" max="49" width="0" hidden="1" customWidth="1"/>
  </cols>
  <sheetData>
    <row r="1" spans="1:49" x14ac:dyDescent="0.2">
      <c r="R1" s="41"/>
    </row>
    <row r="2" spans="1:49" ht="27.75" thickBot="1" x14ac:dyDescent="0.4">
      <c r="A2" s="227" t="s">
        <v>58</v>
      </c>
      <c r="B2" s="227"/>
      <c r="C2" s="227"/>
      <c r="D2" s="227"/>
      <c r="E2" s="227"/>
      <c r="F2" s="227"/>
      <c r="G2" s="227"/>
      <c r="H2" s="227"/>
      <c r="I2" s="227"/>
      <c r="J2" s="56"/>
      <c r="K2" s="5"/>
      <c r="L2" s="89" t="s">
        <v>18</v>
      </c>
      <c r="M2" s="226">
        <f>$A$6</f>
        <v>45413</v>
      </c>
      <c r="N2" s="226"/>
      <c r="O2" s="226"/>
      <c r="P2" s="226"/>
      <c r="Q2" s="226"/>
      <c r="R2" s="226"/>
      <c r="U2" s="56"/>
      <c r="W2" s="6"/>
      <c r="X2" s="6"/>
      <c r="Y2" s="6"/>
      <c r="Z2" s="7"/>
      <c r="AA2" s="6"/>
      <c r="AB2" s="6"/>
    </row>
    <row r="3" spans="1:49" ht="18.75" thickTop="1" x14ac:dyDescent="0.25">
      <c r="B3" s="1"/>
      <c r="C3" s="2"/>
      <c r="D3" s="2"/>
      <c r="E3" s="3"/>
      <c r="F3" s="4"/>
      <c r="G3" s="5"/>
      <c r="H3" s="37"/>
      <c r="I3" s="50"/>
      <c r="J3" s="56"/>
      <c r="K3" s="5"/>
      <c r="L3" s="8"/>
      <c r="M3" s="8"/>
      <c r="N3" s="37"/>
      <c r="O3" s="50"/>
      <c r="P3" s="56"/>
      <c r="Q3" s="5"/>
      <c r="R3" s="8"/>
      <c r="S3" s="8"/>
      <c r="T3" s="37"/>
      <c r="U3" s="50"/>
      <c r="V3" s="56"/>
      <c r="W3" s="5"/>
      <c r="X3" s="8"/>
      <c r="Y3" s="8"/>
      <c r="Z3" s="8"/>
      <c r="AA3" s="8"/>
      <c r="AB3" s="8"/>
      <c r="AN3" s="228" t="s">
        <v>219</v>
      </c>
      <c r="AO3" s="228"/>
      <c r="AP3" s="122">
        <f>SUM(Prod[S1Hrs], Prod[S2Hrs], Prod[S3Hrs])</f>
        <v>1252.75</v>
      </c>
    </row>
    <row r="5" spans="1:49" x14ac:dyDescent="0.2">
      <c r="A5" t="s">
        <v>147</v>
      </c>
      <c r="B5" t="s">
        <v>131</v>
      </c>
      <c r="C5" t="s">
        <v>0</v>
      </c>
      <c r="D5" t="s">
        <v>10</v>
      </c>
      <c r="E5" t="s">
        <v>4</v>
      </c>
      <c r="F5" t="s">
        <v>9</v>
      </c>
      <c r="G5" t="s">
        <v>5</v>
      </c>
      <c r="H5" s="118" t="s">
        <v>132</v>
      </c>
      <c r="I5" s="119" t="s">
        <v>133</v>
      </c>
      <c r="J5" s="120" t="s">
        <v>134</v>
      </c>
      <c r="K5" t="s">
        <v>135</v>
      </c>
      <c r="L5" t="s">
        <v>136</v>
      </c>
      <c r="M5" s="103" t="s">
        <v>156</v>
      </c>
      <c r="N5" s="118" t="s">
        <v>137</v>
      </c>
      <c r="O5" s="119" t="s">
        <v>138</v>
      </c>
      <c r="P5" s="120" t="s">
        <v>139</v>
      </c>
      <c r="Q5" t="s">
        <v>140</v>
      </c>
      <c r="R5" t="s">
        <v>141</v>
      </c>
      <c r="S5" s="103" t="s">
        <v>157</v>
      </c>
      <c r="T5" s="118" t="s">
        <v>142</v>
      </c>
      <c r="U5" s="119" t="s">
        <v>143</v>
      </c>
      <c r="V5" s="120" t="s">
        <v>144</v>
      </c>
      <c r="W5" t="s">
        <v>145</v>
      </c>
      <c r="X5" t="s">
        <v>146</v>
      </c>
      <c r="Y5" s="103" t="s">
        <v>158</v>
      </c>
      <c r="Z5" t="s">
        <v>26</v>
      </c>
      <c r="AA5" s="103" t="s">
        <v>159</v>
      </c>
      <c r="AB5" s="103" t="s">
        <v>199</v>
      </c>
      <c r="AC5" s="125" t="s">
        <v>243</v>
      </c>
      <c r="AD5" s="103" t="s">
        <v>209</v>
      </c>
      <c r="AE5" s="103" t="s">
        <v>210</v>
      </c>
      <c r="AF5" s="103" t="s">
        <v>211</v>
      </c>
      <c r="AG5" s="103" t="s">
        <v>153</v>
      </c>
      <c r="AH5" s="103" t="s">
        <v>154</v>
      </c>
      <c r="AI5" s="103" t="s">
        <v>155</v>
      </c>
      <c r="AJ5" s="103" t="s">
        <v>200</v>
      </c>
      <c r="AK5" s="103" t="s">
        <v>201</v>
      </c>
      <c r="AL5" s="103" t="s">
        <v>202</v>
      </c>
      <c r="AM5" s="103" t="s">
        <v>216</v>
      </c>
      <c r="AN5" s="103" t="s">
        <v>217</v>
      </c>
      <c r="AO5" s="103" t="s">
        <v>218</v>
      </c>
      <c r="AP5" s="103" t="s">
        <v>215</v>
      </c>
      <c r="AQ5" s="125" t="s">
        <v>231</v>
      </c>
      <c r="AR5" s="125" t="s">
        <v>229</v>
      </c>
      <c r="AS5" s="125" t="s">
        <v>230</v>
      </c>
      <c r="AT5" s="125" t="s">
        <v>244</v>
      </c>
      <c r="AU5" s="125" t="s">
        <v>245</v>
      </c>
      <c r="AV5" s="125" t="s">
        <v>246</v>
      </c>
      <c r="AW5" s="125" t="s">
        <v>22</v>
      </c>
    </row>
    <row r="6" spans="1:49" x14ac:dyDescent="0.2">
      <c r="A6" s="116">
        <v>45413</v>
      </c>
      <c r="B6" s="124" t="s">
        <v>148</v>
      </c>
      <c r="C6" s="117" t="s">
        <v>45</v>
      </c>
      <c r="D6" s="112">
        <v>25508</v>
      </c>
      <c r="E6" s="124" t="s">
        <v>46</v>
      </c>
      <c r="F6" s="117" t="s">
        <v>130</v>
      </c>
      <c r="G6" s="112" t="str">
        <f>IF(OR(Prod[[#This Row],[S1Hrs]]&gt;0,Prod[[#This Row],[S2Hrs]]&gt;0,Prod[[#This Row],[S3Hrs]]&gt;0),"Running","Down")</f>
        <v>Running</v>
      </c>
      <c r="H6" s="133">
        <v>41.58</v>
      </c>
      <c r="I6" s="134">
        <v>6</v>
      </c>
      <c r="J6" s="123">
        <v>542</v>
      </c>
      <c r="K6" s="123">
        <v>12</v>
      </c>
      <c r="L6" s="106">
        <f>Prod[[#This Row],[S1Shot]]*Prod[[#This Row],[S1Cavity]]-Prod[[#This Row],[S1Dft]]</f>
        <v>6499</v>
      </c>
      <c r="M6" s="126">
        <f>SUM(Prod[[#This Row],[S1Mold]],Prod[[#This Row],[S1Dmg]],Prod[[#This Row],[S1DisclrSpt]])</f>
        <v>5</v>
      </c>
      <c r="N6" s="133">
        <v>41.56</v>
      </c>
      <c r="O6" s="134">
        <v>8</v>
      </c>
      <c r="P6" s="123">
        <v>700</v>
      </c>
      <c r="Q6" s="123">
        <v>12</v>
      </c>
      <c r="R6" s="106">
        <f>Prod[[#This Row],[S2Shot]]*Prod[[#This Row],[S2Cavity]]-Prod[[#This Row],[S2Dft]]</f>
        <v>8399</v>
      </c>
      <c r="S6" s="126">
        <f>SUM(Prod[[#This Row],[S2Mold]],Prod[[#This Row],[S2Dmg]],Prod[[#This Row],[S2DisclrSpt]])</f>
        <v>1</v>
      </c>
      <c r="T6" s="133">
        <v>41.58</v>
      </c>
      <c r="U6" s="134">
        <v>8</v>
      </c>
      <c r="V6" s="123">
        <v>660</v>
      </c>
      <c r="W6" s="123">
        <v>12</v>
      </c>
      <c r="X6" s="106">
        <f>Prod[[#This Row],[S3Shot]]*Prod[[#This Row],[S3Cavity]]-Prod[[#This Row],[S3Dft]]</f>
        <v>7919</v>
      </c>
      <c r="Y6" s="126">
        <f>SUM(Prod[[#This Row],[S3Mold]],Prod[[#This Row],[S3Dmg]],Prod[[#This Row],[S3DisclrSpt]])</f>
        <v>1</v>
      </c>
      <c r="Z6" s="106">
        <f>SUM(Prod[[#This Row],[S1Qty]],Prod[[#This Row],[S2Qty]],Prod[[#This Row],[S3Qty]])</f>
        <v>22817</v>
      </c>
      <c r="AA6" s="123">
        <f>SUM(Prod[[#This Row],[S1Dft]],Prod[[#This Row],[S2Dft]],Prod[[#This Row],[S3Dft]])</f>
        <v>7</v>
      </c>
      <c r="AB6" s="105">
        <f>IF(Prod[[#This Row],[Total]]=0,0,Prod[[#This Row],[TotalDft]]/Prod[[#This Row],[Total]])</f>
        <v>3.0678879782618224E-4</v>
      </c>
      <c r="AC6" s="124" t="s">
        <v>277</v>
      </c>
      <c r="AD6" s="106">
        <v>5</v>
      </c>
      <c r="AE6" s="106">
        <v>1</v>
      </c>
      <c r="AF6" s="106">
        <v>1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21">
        <f>IF(Prod[[#This Row],[S1Hrs]]=0,0,Prod[[#This Row],[S1Shot]]*Prod[[#This Row],[S1Cycle]]/(Prod[[#This Row],[S1Hrs]]*60*60))</f>
        <v>1.04335</v>
      </c>
      <c r="AN6" s="121">
        <f>IF(Prod[[#This Row],[S2Hrs]]=0,0,Prod[[#This Row],[S2Shot]]*Prod[[#This Row],[S2Cycle]]/(Prod[[#This Row],[S2Hrs]]*60*60))</f>
        <v>1.0101388888888889</v>
      </c>
      <c r="AO6" s="121">
        <f>IF(Prod[[#This Row],[S3Hrs]]=0,0,Prod[[#This Row],[S3Shot]]*Prod[[#This Row],[S3Cycle]]/(Prod[[#This Row],[S3Hrs]]*60*60))</f>
        <v>0.95287500000000003</v>
      </c>
      <c r="AP6" s="121">
        <f>IFERROR(AVERAGEIF(Prod[[#This Row],[S1%]:[S3%]], "&lt;&gt;0"),0)</f>
        <v>1.0021212962962964</v>
      </c>
      <c r="AQ6" s="131">
        <v>0</v>
      </c>
      <c r="AR6" s="131">
        <v>2</v>
      </c>
      <c r="AS6" s="131">
        <v>0</v>
      </c>
      <c r="AT6" s="131">
        <f>IF(Prod[[#This Row],[S1Cycle]]&lt;&gt;0,1,0)</f>
        <v>1</v>
      </c>
      <c r="AU6" s="131">
        <f>IF(Prod[[#This Row],[S2Cycle]]&lt;&gt;0,1,0)</f>
        <v>1</v>
      </c>
      <c r="AV6" s="131">
        <f>IF(Prod[[#This Row],[S3Cycle]]&lt;&gt;0,1,0)</f>
        <v>1</v>
      </c>
      <c r="AW6" s="131">
        <f>MAX(Prod[[#This Row],[S1Cavity]],Prod[[#This Row],[S2Cavity]],Prod[[#This Row],[S3Cavity]])</f>
        <v>12</v>
      </c>
    </row>
    <row r="7" spans="1:49" x14ac:dyDescent="0.2">
      <c r="A7" s="116">
        <v>45413</v>
      </c>
      <c r="B7" s="117" t="s">
        <v>149</v>
      </c>
      <c r="C7" s="117" t="s">
        <v>65</v>
      </c>
      <c r="D7" s="112">
        <v>26455</v>
      </c>
      <c r="E7" s="124" t="s">
        <v>46</v>
      </c>
      <c r="F7" s="117" t="s">
        <v>130</v>
      </c>
      <c r="G7" s="117" t="str">
        <f>IF(OR(Prod[[#This Row],[S1Hrs]]&gt;0,Prod[[#This Row],[S2Hrs]]&gt;0,Prod[[#This Row],[S3Hrs]]&gt;0),"Running","Down")</f>
        <v>Running</v>
      </c>
      <c r="H7" s="133">
        <v>41.05</v>
      </c>
      <c r="I7" s="134">
        <v>8</v>
      </c>
      <c r="J7" s="123">
        <v>700</v>
      </c>
      <c r="K7" s="123">
        <v>12</v>
      </c>
      <c r="L7" s="106">
        <f>Prod[[#This Row],[S1Shot]]*Prod[[#This Row],[S1Cavity]]-Prod[[#This Row],[S1Dft]]</f>
        <v>8399</v>
      </c>
      <c r="M7" s="126">
        <f>SUM(Prod[[#This Row],[S1Mold]],Prod[[#This Row],[S1Dmg]],Prod[[#This Row],[S1DisclrSpt]])</f>
        <v>1</v>
      </c>
      <c r="N7" s="133">
        <v>41.25</v>
      </c>
      <c r="O7" s="134">
        <v>8</v>
      </c>
      <c r="P7" s="123">
        <v>696</v>
      </c>
      <c r="Q7" s="123">
        <v>12</v>
      </c>
      <c r="R7" s="106">
        <f>Prod[[#This Row],[S2Shot]]*Prod[[#This Row],[S2Cavity]]-Prod[[#This Row],[S2Dft]]</f>
        <v>8350</v>
      </c>
      <c r="S7" s="126">
        <f>SUM(Prod[[#This Row],[S2Mold]],Prod[[#This Row],[S2Dmg]],Prod[[#This Row],[S2DisclrSpt]])</f>
        <v>2</v>
      </c>
      <c r="T7" s="133">
        <v>41.05</v>
      </c>
      <c r="U7" s="134">
        <v>8</v>
      </c>
      <c r="V7" s="123">
        <v>696</v>
      </c>
      <c r="W7" s="123">
        <v>12</v>
      </c>
      <c r="X7" s="106">
        <f>Prod[[#This Row],[S3Shot]]*Prod[[#This Row],[S3Cavity]]-Prod[[#This Row],[S3Dft]]</f>
        <v>8351</v>
      </c>
      <c r="Y7" s="126">
        <f>SUM(Prod[[#This Row],[S3Mold]],Prod[[#This Row],[S3Dmg]],Prod[[#This Row],[S3DisclrSpt]])</f>
        <v>1</v>
      </c>
      <c r="Z7" s="106">
        <f>SUM(Prod[[#This Row],[S1Qty]],Prod[[#This Row],[S2Qty]],Prod[[#This Row],[S3Qty]])</f>
        <v>25100</v>
      </c>
      <c r="AA7" s="123">
        <f>SUM(Prod[[#This Row],[S1Dft]],Prod[[#This Row],[S2Dft]],Prod[[#This Row],[S3Dft]])</f>
        <v>4</v>
      </c>
      <c r="AB7" s="105">
        <f>IF(Prod[[#This Row],[Total]]=0,0,Prod[[#This Row],[TotalDft]]/Prod[[#This Row],[Total]])</f>
        <v>1.5936254980079682E-4</v>
      </c>
      <c r="AC7" s="124"/>
      <c r="AD7" s="106">
        <v>1</v>
      </c>
      <c r="AE7" s="106">
        <v>2</v>
      </c>
      <c r="AF7" s="106">
        <v>1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21">
        <f>IF(Prod[[#This Row],[S1Hrs]]=0,0,Prod[[#This Row],[S1Shot]]*Prod[[#This Row],[S1Cycle]]/(Prod[[#This Row],[S1Hrs]]*60*60))</f>
        <v>0.99774305555555542</v>
      </c>
      <c r="AN7" s="121">
        <f>IF(Prod[[#This Row],[S2Hrs]]=0,0,Prod[[#This Row],[S2Shot]]*Prod[[#This Row],[S2Cycle]]/(Prod[[#This Row],[S2Hrs]]*60*60))</f>
        <v>0.99687499999999996</v>
      </c>
      <c r="AO7" s="121">
        <f>IF(Prod[[#This Row],[S3Hrs]]=0,0,Prod[[#This Row],[S3Shot]]*Prod[[#This Row],[S3Cycle]]/(Prod[[#This Row],[S3Hrs]]*60*60))</f>
        <v>0.9920416666666666</v>
      </c>
      <c r="AP7" s="121">
        <f>IFERROR(AVERAGEIF(Prod[[#This Row],[S1%]:[S3%]], "&lt;&gt;0"),0)</f>
        <v>0.9955532407407407</v>
      </c>
      <c r="AQ7" s="131">
        <v>0</v>
      </c>
      <c r="AR7" s="131">
        <v>0</v>
      </c>
      <c r="AS7" s="131">
        <v>0</v>
      </c>
      <c r="AT7" s="131">
        <f>IF(Prod[[#This Row],[S1Cycle]]&lt;&gt;0,1,0)</f>
        <v>1</v>
      </c>
      <c r="AU7" s="131">
        <f>IF(Prod[[#This Row],[S2Cycle]]&lt;&gt;0,1,0)</f>
        <v>1</v>
      </c>
      <c r="AV7" s="131">
        <f>IF(Prod[[#This Row],[S3Cycle]]&lt;&gt;0,1,0)</f>
        <v>1</v>
      </c>
      <c r="AW7" s="131">
        <f>MAX(Prod[[#This Row],[S1Cavity]],Prod[[#This Row],[S2Cavity]],Prod[[#This Row],[S3Cavity]])</f>
        <v>12</v>
      </c>
    </row>
    <row r="8" spans="1:49" x14ac:dyDescent="0.2">
      <c r="A8" s="116">
        <v>45413</v>
      </c>
      <c r="B8" s="117" t="s">
        <v>150</v>
      </c>
      <c r="C8" s="124" t="s">
        <v>257</v>
      </c>
      <c r="D8" s="112">
        <v>27328</v>
      </c>
      <c r="E8" s="124" t="s">
        <v>46</v>
      </c>
      <c r="F8" s="117" t="s">
        <v>130</v>
      </c>
      <c r="G8" s="117" t="str">
        <f>IF(OR(Prod[[#This Row],[S1Hrs]]&gt;0,Prod[[#This Row],[S2Hrs]]&gt;0,Prod[[#This Row],[S3Hrs]]&gt;0),"Running","Down")</f>
        <v>Running</v>
      </c>
      <c r="H8" s="133">
        <v>0</v>
      </c>
      <c r="I8" s="134">
        <v>0</v>
      </c>
      <c r="J8" s="123">
        <v>0</v>
      </c>
      <c r="K8" s="123">
        <v>0</v>
      </c>
      <c r="L8" s="106">
        <f>Prod[[#This Row],[S1Shot]]*Prod[[#This Row],[S1Cavity]]-Prod[[#This Row],[S1Dft]]</f>
        <v>0</v>
      </c>
      <c r="M8" s="126">
        <f>SUM(Prod[[#This Row],[S1Mold]],Prod[[#This Row],[S1Dmg]],Prod[[#This Row],[S1DisclrSpt]])</f>
        <v>0</v>
      </c>
      <c r="N8" s="133">
        <v>40.950000000000003</v>
      </c>
      <c r="O8" s="134">
        <v>7</v>
      </c>
      <c r="P8" s="123">
        <v>580</v>
      </c>
      <c r="Q8" s="123">
        <v>8</v>
      </c>
      <c r="R8" s="106">
        <f>Prod[[#This Row],[S2Shot]]*Prod[[#This Row],[S2Cavity]]-Prod[[#This Row],[S2Dft]]</f>
        <v>4610</v>
      </c>
      <c r="S8" s="126">
        <f>SUM(Prod[[#This Row],[S2Mold]],Prod[[#This Row],[S2Dmg]],Prod[[#This Row],[S2DisclrSpt]])</f>
        <v>30</v>
      </c>
      <c r="T8" s="133">
        <v>40.950000000000003</v>
      </c>
      <c r="U8" s="134">
        <v>8</v>
      </c>
      <c r="V8" s="123">
        <v>700</v>
      </c>
      <c r="W8" s="123">
        <v>8</v>
      </c>
      <c r="X8" s="106">
        <f>Prod[[#This Row],[S3Shot]]*Prod[[#This Row],[S3Cavity]]-Prod[[#This Row],[S3Dft]]</f>
        <v>5598</v>
      </c>
      <c r="Y8" s="126">
        <f>SUM(Prod[[#This Row],[S3Mold]],Prod[[#This Row],[S3Dmg]],Prod[[#This Row],[S3DisclrSpt]])</f>
        <v>2</v>
      </c>
      <c r="Z8" s="106">
        <f>SUM(Prod[[#This Row],[S1Qty]],Prod[[#This Row],[S2Qty]],Prod[[#This Row],[S3Qty]])</f>
        <v>10208</v>
      </c>
      <c r="AA8" s="123">
        <f>SUM(Prod[[#This Row],[S1Dft]],Prod[[#This Row],[S2Dft]],Prod[[#This Row],[S3Dft]])</f>
        <v>32</v>
      </c>
      <c r="AB8" s="105">
        <f>IF(Prod[[#This Row],[Total]]=0,0,Prod[[#This Row],[TotalDft]]/Prod[[#This Row],[Total]])</f>
        <v>3.134796238244514E-3</v>
      </c>
      <c r="AC8" s="124"/>
      <c r="AD8" s="106">
        <v>0</v>
      </c>
      <c r="AE8" s="106">
        <v>30</v>
      </c>
      <c r="AF8" s="106">
        <v>2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21">
        <f>IF(Prod[[#This Row],[S1Hrs]]=0,0,Prod[[#This Row],[S1Shot]]*Prod[[#This Row],[S1Cycle]]/(Prod[[#This Row],[S1Hrs]]*60*60))</f>
        <v>0</v>
      </c>
      <c r="AN8" s="121">
        <f>IF(Prod[[#This Row],[S2Hrs]]=0,0,Prod[[#This Row],[S2Shot]]*Prod[[#This Row],[S2Cycle]]/(Prod[[#This Row],[S2Hrs]]*60*60))</f>
        <v>0.9425</v>
      </c>
      <c r="AO8" s="121">
        <f>IF(Prod[[#This Row],[S3Hrs]]=0,0,Prod[[#This Row],[S3Shot]]*Prod[[#This Row],[S3Cycle]]/(Prod[[#This Row],[S3Hrs]]*60*60))</f>
        <v>0.99531250000000016</v>
      </c>
      <c r="AP8" s="121">
        <f>IFERROR(AVERAGEIF(Prod[[#This Row],[S1%]:[S3%]], "&lt;&gt;0"),0)</f>
        <v>0.96890625000000008</v>
      </c>
      <c r="AQ8" s="131">
        <v>0.5</v>
      </c>
      <c r="AR8" s="131"/>
      <c r="AS8" s="131">
        <v>0</v>
      </c>
      <c r="AT8" s="131">
        <f>IF(Prod[[#This Row],[S1Cycle]]&lt;&gt;0,1,0)</f>
        <v>0</v>
      </c>
      <c r="AU8" s="131">
        <f>IF(Prod[[#This Row],[S2Cycle]]&lt;&gt;0,1,0)</f>
        <v>1</v>
      </c>
      <c r="AV8" s="131">
        <f>IF(Prod[[#This Row],[S3Cycle]]&lt;&gt;0,1,0)</f>
        <v>1</v>
      </c>
      <c r="AW8" s="131">
        <f>MAX(Prod[[#This Row],[S1Cavity]],Prod[[#This Row],[S2Cavity]],Prod[[#This Row],[S3Cavity]])</f>
        <v>8</v>
      </c>
    </row>
    <row r="9" spans="1:49" x14ac:dyDescent="0.2">
      <c r="A9" s="116">
        <v>45413</v>
      </c>
      <c r="B9" s="117" t="s">
        <v>220</v>
      </c>
      <c r="C9" s="117" t="s">
        <v>224</v>
      </c>
      <c r="D9" s="112"/>
      <c r="E9" s="124"/>
      <c r="F9" s="117" t="s">
        <v>130</v>
      </c>
      <c r="G9" s="117" t="str">
        <f>IF(OR(Prod[[#This Row],[S1Hrs]]&gt;0,Prod[[#This Row],[S2Hrs]]&gt;0,Prod[[#This Row],[S3Hrs]]&gt;0),"Running","Down")</f>
        <v>Down</v>
      </c>
      <c r="H9" s="133">
        <v>0</v>
      </c>
      <c r="I9" s="134">
        <v>0</v>
      </c>
      <c r="J9" s="123">
        <v>0</v>
      </c>
      <c r="K9" s="123">
        <v>0</v>
      </c>
      <c r="L9" s="106">
        <f>Prod[[#This Row],[S1Shot]]*Prod[[#This Row],[S1Cavity]]-Prod[[#This Row],[S1Dft]]</f>
        <v>0</v>
      </c>
      <c r="M9" s="126">
        <f>SUM(Prod[[#This Row],[S1Mold]],Prod[[#This Row],[S1Dmg]],Prod[[#This Row],[S1DisclrSpt]])</f>
        <v>0</v>
      </c>
      <c r="N9" s="133">
        <v>0</v>
      </c>
      <c r="O9" s="134">
        <v>0</v>
      </c>
      <c r="P9" s="123">
        <v>0</v>
      </c>
      <c r="Q9" s="123">
        <v>0</v>
      </c>
      <c r="R9" s="106">
        <f>Prod[[#This Row],[S2Shot]]*Prod[[#This Row],[S2Cavity]]-Prod[[#This Row],[S2Dft]]</f>
        <v>0</v>
      </c>
      <c r="S9" s="126">
        <f>SUM(Prod[[#This Row],[S2Mold]],Prod[[#This Row],[S2Dmg]],Prod[[#This Row],[S2DisclrSpt]])</f>
        <v>0</v>
      </c>
      <c r="T9" s="133">
        <v>0</v>
      </c>
      <c r="U9" s="134">
        <v>0</v>
      </c>
      <c r="V9" s="123">
        <v>0</v>
      </c>
      <c r="W9" s="123">
        <v>0</v>
      </c>
      <c r="X9" s="106">
        <f>Prod[[#This Row],[S3Shot]]*Prod[[#This Row],[S3Cavity]]-Prod[[#This Row],[S3Dft]]</f>
        <v>0</v>
      </c>
      <c r="Y9" s="126">
        <f>SUM(Prod[[#This Row],[S3Mold]],Prod[[#This Row],[S3Dmg]],Prod[[#This Row],[S3DisclrSpt]])</f>
        <v>0</v>
      </c>
      <c r="Z9" s="106">
        <f>SUM(Prod[[#This Row],[S1Qty]],Prod[[#This Row],[S2Qty]],Prod[[#This Row],[S3Qty]])</f>
        <v>0</v>
      </c>
      <c r="AA9" s="123">
        <f>SUM(Prod[[#This Row],[S1Dft]],Prod[[#This Row],[S2Dft]],Prod[[#This Row],[S3Dft]])</f>
        <v>0</v>
      </c>
      <c r="AB9" s="105">
        <f>IF(Prod[[#This Row],[Total]]=0,0,Prod[[#This Row],[TotalDft]]/Prod[[#This Row],[Total]])</f>
        <v>0</v>
      </c>
      <c r="AC9" s="124"/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21">
        <f>IF(Prod[[#This Row],[S1Hrs]]=0,0,Prod[[#This Row],[S1Shot]]*Prod[[#This Row],[S1Cycle]]/(Prod[[#This Row],[S1Hrs]]*60*60))</f>
        <v>0</v>
      </c>
      <c r="AN9" s="121">
        <f>IF(Prod[[#This Row],[S2Hrs]]=0,0,Prod[[#This Row],[S2Shot]]*Prod[[#This Row],[S2Cycle]]/(Prod[[#This Row],[S2Hrs]]*60*60))</f>
        <v>0</v>
      </c>
      <c r="AO9" s="121">
        <f>IF(Prod[[#This Row],[S3Hrs]]=0,0,Prod[[#This Row],[S3Shot]]*Prod[[#This Row],[S3Cycle]]/(Prod[[#This Row],[S3Hrs]]*60*60))</f>
        <v>0</v>
      </c>
      <c r="AP9" s="121">
        <f>IFERROR(AVERAGEIF(Prod[[#This Row],[S1%]:[S3%]], "&lt;&gt;0"),0)</f>
        <v>0</v>
      </c>
      <c r="AQ9" s="131">
        <v>0</v>
      </c>
      <c r="AR9" s="131">
        <v>0</v>
      </c>
      <c r="AS9" s="131">
        <v>0</v>
      </c>
      <c r="AT9" s="131">
        <f>IF(Prod[[#This Row],[S1Cycle]]&lt;&gt;0,1,0)</f>
        <v>0</v>
      </c>
      <c r="AU9" s="131">
        <f>IF(Prod[[#This Row],[S2Cycle]]&lt;&gt;0,1,0)</f>
        <v>0</v>
      </c>
      <c r="AV9" s="131">
        <f>IF(Prod[[#This Row],[S3Cycle]]&lt;&gt;0,1,0)</f>
        <v>0</v>
      </c>
      <c r="AW9" s="131">
        <f>MAX(Prod[[#This Row],[S1Cavity]],Prod[[#This Row],[S2Cavity]],Prod[[#This Row],[S3Cavity]])</f>
        <v>0</v>
      </c>
    </row>
    <row r="10" spans="1:49" x14ac:dyDescent="0.2">
      <c r="A10" s="116">
        <v>45413</v>
      </c>
      <c r="B10" s="117" t="s">
        <v>221</v>
      </c>
      <c r="C10" s="124" t="s">
        <v>234</v>
      </c>
      <c r="D10" s="112">
        <v>26455</v>
      </c>
      <c r="E10" s="124" t="s">
        <v>46</v>
      </c>
      <c r="F10" s="124" t="s">
        <v>130</v>
      </c>
      <c r="G10" s="117" t="str">
        <f>IF(OR(Prod[[#This Row],[S1Hrs]]&gt;0,Prod[[#This Row],[S2Hrs]]&gt;0,Prod[[#This Row],[S3Hrs]]&gt;0),"Running","Down")</f>
        <v>Running</v>
      </c>
      <c r="H10" s="133">
        <v>41.31</v>
      </c>
      <c r="I10" s="134">
        <v>7.8</v>
      </c>
      <c r="J10" s="123">
        <v>660</v>
      </c>
      <c r="K10" s="123">
        <v>12</v>
      </c>
      <c r="L10" s="106">
        <f>Prod[[#This Row],[S1Shot]]*Prod[[#This Row],[S1Cavity]]-Prod[[#This Row],[S1Dft]]</f>
        <v>7917</v>
      </c>
      <c r="M10" s="126">
        <f>SUM(Prod[[#This Row],[S1Mold]],Prod[[#This Row],[S1Dmg]],Prod[[#This Row],[S1DisclrSpt]])</f>
        <v>3</v>
      </c>
      <c r="N10" s="133">
        <v>41.44</v>
      </c>
      <c r="O10" s="134">
        <v>8</v>
      </c>
      <c r="P10" s="123">
        <v>684</v>
      </c>
      <c r="Q10" s="123">
        <v>12</v>
      </c>
      <c r="R10" s="106">
        <f>Prod[[#This Row],[S2Shot]]*Prod[[#This Row],[S2Cavity]]-Prod[[#This Row],[S2Dft]]</f>
        <v>8207</v>
      </c>
      <c r="S10" s="126">
        <f>SUM(Prod[[#This Row],[S2Mold]],Prod[[#This Row],[S2Dmg]],Prod[[#This Row],[S2DisclrSpt]])</f>
        <v>1</v>
      </c>
      <c r="T10" s="133">
        <v>41.31</v>
      </c>
      <c r="U10" s="134">
        <v>8</v>
      </c>
      <c r="V10" s="123">
        <v>696</v>
      </c>
      <c r="W10" s="123">
        <v>12</v>
      </c>
      <c r="X10" s="106">
        <f>Prod[[#This Row],[S3Shot]]*Prod[[#This Row],[S3Cavity]]-Prod[[#This Row],[S3Dft]]</f>
        <v>8352</v>
      </c>
      <c r="Y10" s="126">
        <f>SUM(Prod[[#This Row],[S3Mold]],Prod[[#This Row],[S3Dmg]],Prod[[#This Row],[S3DisclrSpt]])</f>
        <v>0</v>
      </c>
      <c r="Z10" s="106">
        <f>SUM(Prod[[#This Row],[S1Qty]],Prod[[#This Row],[S2Qty]],Prod[[#This Row],[S3Qty]])</f>
        <v>24476</v>
      </c>
      <c r="AA10" s="123">
        <f>SUM(Prod[[#This Row],[S1Dft]],Prod[[#This Row],[S2Dft]],Prod[[#This Row],[S3Dft]])</f>
        <v>4</v>
      </c>
      <c r="AB10" s="105">
        <f>IF(Prod[[#This Row],[Total]]=0,0,Prod[[#This Row],[TotalDft]]/Prod[[#This Row],[Total]])</f>
        <v>1.6342539630658605E-4</v>
      </c>
      <c r="AC10" s="124" t="s">
        <v>275</v>
      </c>
      <c r="AD10" s="106">
        <v>3</v>
      </c>
      <c r="AE10" s="106">
        <v>1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21">
        <f>IF(Prod[[#This Row],[S1Hrs]]=0,0,Prod[[#This Row],[S1Shot]]*Prod[[#This Row],[S1Cycle]]/(Prod[[#This Row],[S1Hrs]]*60*60))</f>
        <v>0.97096153846153854</v>
      </c>
      <c r="AN10" s="121">
        <f>IF(Prod[[#This Row],[S2Hrs]]=0,0,Prod[[#This Row],[S2Shot]]*Prod[[#This Row],[S2Cycle]]/(Prod[[#This Row],[S2Hrs]]*60*60))</f>
        <v>0.98419999999999996</v>
      </c>
      <c r="AO10" s="121">
        <f>IF(Prod[[#This Row],[S3Hrs]]=0,0,Prod[[#This Row],[S3Shot]]*Prod[[#This Row],[S3Cycle]]/(Prod[[#This Row],[S3Hrs]]*60*60))</f>
        <v>0.99832500000000002</v>
      </c>
      <c r="AP10" s="121">
        <f>IFERROR(AVERAGEIF(Prod[[#This Row],[S1%]:[S3%]], "&lt;&gt;0"),0)</f>
        <v>0.98449551282051273</v>
      </c>
      <c r="AQ10" s="131">
        <v>0</v>
      </c>
      <c r="AR10" s="131">
        <v>0</v>
      </c>
      <c r="AS10" s="131">
        <v>0</v>
      </c>
      <c r="AT10" s="131">
        <f>IF(Prod[[#This Row],[S1Cycle]]&lt;&gt;0,1,0)</f>
        <v>1</v>
      </c>
      <c r="AU10" s="131">
        <f>IF(Prod[[#This Row],[S2Cycle]]&lt;&gt;0,1,0)</f>
        <v>1</v>
      </c>
      <c r="AV10" s="131">
        <f>IF(Prod[[#This Row],[S3Cycle]]&lt;&gt;0,1,0)</f>
        <v>1</v>
      </c>
      <c r="AW10" s="131">
        <f>MAX(Prod[[#This Row],[S1Cavity]],Prod[[#This Row],[S2Cavity]],Prod[[#This Row],[S3Cavity]])</f>
        <v>12</v>
      </c>
    </row>
    <row r="11" spans="1:49" x14ac:dyDescent="0.2">
      <c r="A11" s="116">
        <v>45413</v>
      </c>
      <c r="B11" s="117" t="s">
        <v>222</v>
      </c>
      <c r="C11" s="117" t="s">
        <v>223</v>
      </c>
      <c r="D11" s="112"/>
      <c r="E11" s="124"/>
      <c r="F11" s="117" t="s">
        <v>130</v>
      </c>
      <c r="G11" s="117" t="str">
        <f>IF(OR(Prod[[#This Row],[S1Hrs]]&gt;0,Prod[[#This Row],[S2Hrs]]&gt;0,Prod[[#This Row],[S3Hrs]]&gt;0),"Running","Down")</f>
        <v>Down</v>
      </c>
      <c r="H11" s="133">
        <v>0</v>
      </c>
      <c r="I11" s="134">
        <v>0</v>
      </c>
      <c r="J11" s="123">
        <v>0</v>
      </c>
      <c r="K11" s="123">
        <v>0</v>
      </c>
      <c r="L11" s="106">
        <f>Prod[[#This Row],[S1Shot]]*Prod[[#This Row],[S1Cavity]]-Prod[[#This Row],[S1Dft]]</f>
        <v>0</v>
      </c>
      <c r="M11" s="126">
        <f>SUM(Prod[[#This Row],[S1Mold]],Prod[[#This Row],[S1Dmg]],Prod[[#This Row],[S1DisclrSpt]])</f>
        <v>0</v>
      </c>
      <c r="N11" s="133">
        <v>0</v>
      </c>
      <c r="O11" s="134">
        <v>0</v>
      </c>
      <c r="P11" s="123">
        <v>0</v>
      </c>
      <c r="Q11" s="123">
        <v>0</v>
      </c>
      <c r="R11" s="106">
        <f>Prod[[#This Row],[S2Shot]]*Prod[[#This Row],[S2Cavity]]-Prod[[#This Row],[S2Dft]]</f>
        <v>0</v>
      </c>
      <c r="S11" s="126">
        <f>SUM(Prod[[#This Row],[S2Mold]],Prod[[#This Row],[S2Dmg]],Prod[[#This Row],[S2DisclrSpt]])</f>
        <v>0</v>
      </c>
      <c r="T11" s="133">
        <v>0</v>
      </c>
      <c r="U11" s="134">
        <v>0</v>
      </c>
      <c r="V11" s="123">
        <v>0</v>
      </c>
      <c r="W11" s="123">
        <v>0</v>
      </c>
      <c r="X11" s="106">
        <f>Prod[[#This Row],[S3Shot]]*Prod[[#This Row],[S3Cavity]]-Prod[[#This Row],[S3Dft]]</f>
        <v>0</v>
      </c>
      <c r="Y11" s="126">
        <f>SUM(Prod[[#This Row],[S3Mold]],Prod[[#This Row],[S3Dmg]],Prod[[#This Row],[S3DisclrSpt]])</f>
        <v>0</v>
      </c>
      <c r="Z11" s="106">
        <f>SUM(Prod[[#This Row],[S1Qty]],Prod[[#This Row],[S2Qty]],Prod[[#This Row],[S3Qty]])</f>
        <v>0</v>
      </c>
      <c r="AA11" s="123">
        <f>SUM(Prod[[#This Row],[S1Dft]],Prod[[#This Row],[S2Dft]],Prod[[#This Row],[S3Dft]])</f>
        <v>0</v>
      </c>
      <c r="AB11" s="105">
        <f>IF(Prod[[#This Row],[Total]]=0,0,Prod[[#This Row],[TotalDft]]/Prod[[#This Row],[Total]])</f>
        <v>0</v>
      </c>
      <c r="AC11" s="124"/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21">
        <f>IF(Prod[[#This Row],[S1Hrs]]=0,0,Prod[[#This Row],[S1Shot]]*Prod[[#This Row],[S1Cycle]]/(Prod[[#This Row],[S1Hrs]]*60*60))</f>
        <v>0</v>
      </c>
      <c r="AN11" s="121">
        <f>IF(Prod[[#This Row],[S2Hrs]]=0,0,Prod[[#This Row],[S2Shot]]*Prod[[#This Row],[S2Cycle]]/(Prod[[#This Row],[S2Hrs]]*60*60))</f>
        <v>0</v>
      </c>
      <c r="AO11" s="121">
        <f>IF(Prod[[#This Row],[S3Hrs]]=0,0,Prod[[#This Row],[S3Shot]]*Prod[[#This Row],[S3Cycle]]/(Prod[[#This Row],[S3Hrs]]*60*60))</f>
        <v>0</v>
      </c>
      <c r="AP11" s="121">
        <f>IFERROR(AVERAGEIF(Prod[[#This Row],[S1%]:[S3%]], "&lt;&gt;0"),0)</f>
        <v>0</v>
      </c>
      <c r="AQ11" s="131">
        <v>0</v>
      </c>
      <c r="AR11" s="131">
        <v>0</v>
      </c>
      <c r="AS11" s="131">
        <v>0</v>
      </c>
      <c r="AT11" s="131">
        <f>IF(Prod[[#This Row],[S1Cycle]]&lt;&gt;0,1,0)</f>
        <v>0</v>
      </c>
      <c r="AU11" s="131">
        <f>IF(Prod[[#This Row],[S2Cycle]]&lt;&gt;0,1,0)</f>
        <v>0</v>
      </c>
      <c r="AV11" s="131">
        <f>IF(Prod[[#This Row],[S3Cycle]]&lt;&gt;0,1,0)</f>
        <v>0</v>
      </c>
      <c r="AW11" s="131">
        <f>MAX(Prod[[#This Row],[S1Cavity]],Prod[[#This Row],[S2Cavity]],Prod[[#This Row],[S3Cavity]])</f>
        <v>0</v>
      </c>
    </row>
    <row r="12" spans="1:49" x14ac:dyDescent="0.2">
      <c r="A12" s="116">
        <v>45413</v>
      </c>
      <c r="B12" s="124" t="s">
        <v>269</v>
      </c>
      <c r="C12" s="124" t="s">
        <v>270</v>
      </c>
      <c r="D12" s="112">
        <v>26974</v>
      </c>
      <c r="E12" s="124" t="s">
        <v>268</v>
      </c>
      <c r="F12" s="117" t="s">
        <v>130</v>
      </c>
      <c r="G12" s="117" t="str">
        <f>IF(OR(Prod[[#This Row],[S1Hrs]]&gt;0,Prod[[#This Row],[S2Hrs]]&gt;0,Prod[[#This Row],[S3Hrs]]&gt;0),"Running","Down")</f>
        <v>Running</v>
      </c>
      <c r="H12" s="133">
        <v>57.2</v>
      </c>
      <c r="I12" s="134">
        <v>6</v>
      </c>
      <c r="J12" s="123">
        <v>357</v>
      </c>
      <c r="K12" s="123">
        <v>2</v>
      </c>
      <c r="L12" s="106">
        <f>Prod[[#This Row],[S1Shot]]*Prod[[#This Row],[S1Cavity]]-Prod[[#This Row],[S1Dft]]</f>
        <v>713</v>
      </c>
      <c r="M12" s="126">
        <f>SUM(Prod[[#This Row],[S1Mold]],Prod[[#This Row],[S1Dmg]],Prod[[#This Row],[S1DisclrSpt]])</f>
        <v>1</v>
      </c>
      <c r="N12" s="133">
        <v>0</v>
      </c>
      <c r="O12" s="134">
        <v>0</v>
      </c>
      <c r="P12" s="123">
        <v>0</v>
      </c>
      <c r="Q12" s="123">
        <v>0</v>
      </c>
      <c r="R12" s="106">
        <f>Prod[[#This Row],[S2Shot]]*Prod[[#This Row],[S2Cavity]]-Prod[[#This Row],[S2Dft]]</f>
        <v>0</v>
      </c>
      <c r="S12" s="126">
        <f>SUM(Prod[[#This Row],[S2Mold]],Prod[[#This Row],[S2Dmg]],Prod[[#This Row],[S2DisclrSpt]])</f>
        <v>0</v>
      </c>
      <c r="T12" s="133">
        <v>0</v>
      </c>
      <c r="U12" s="134">
        <v>0</v>
      </c>
      <c r="V12" s="123">
        <v>0</v>
      </c>
      <c r="W12" s="123">
        <v>0</v>
      </c>
      <c r="X12" s="106">
        <f>Prod[[#This Row],[S3Shot]]*Prod[[#This Row],[S3Cavity]]-Prod[[#This Row],[S3Dft]]</f>
        <v>0</v>
      </c>
      <c r="Y12" s="126">
        <f>SUM(Prod[[#This Row],[S3Mold]],Prod[[#This Row],[S3Dmg]],Prod[[#This Row],[S3DisclrSpt]])</f>
        <v>0</v>
      </c>
      <c r="Z12" s="106">
        <f>SUM(Prod[[#This Row],[S1Qty]],Prod[[#This Row],[S2Qty]],Prod[[#This Row],[S3Qty]])</f>
        <v>713</v>
      </c>
      <c r="AA12" s="123">
        <f>SUM(Prod[[#This Row],[S1Dft]],Prod[[#This Row],[S2Dft]],Prod[[#This Row],[S3Dft]])</f>
        <v>1</v>
      </c>
      <c r="AB12" s="105">
        <f>IF(Prod[[#This Row],[Total]]=0,0,Prod[[#This Row],[TotalDft]]/Prod[[#This Row],[Total]])</f>
        <v>1.4025245441795231E-3</v>
      </c>
      <c r="AC12" s="124"/>
      <c r="AD12" s="106">
        <v>1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21">
        <f>IF(Prod[[#This Row],[S1Hrs]]=0,0,Prod[[#This Row],[S1Shot]]*Prod[[#This Row],[S1Cycle]]/(Prod[[#This Row],[S1Hrs]]*60*60))</f>
        <v>0.94538888888888895</v>
      </c>
      <c r="AN12" s="121">
        <f>IF(Prod[[#This Row],[S2Hrs]]=0,0,Prod[[#This Row],[S2Shot]]*Prod[[#This Row],[S2Cycle]]/(Prod[[#This Row],[S2Hrs]]*60*60))</f>
        <v>0</v>
      </c>
      <c r="AO12" s="121">
        <f>IF(Prod[[#This Row],[S3Hrs]]=0,0,Prod[[#This Row],[S3Shot]]*Prod[[#This Row],[S3Cycle]]/(Prod[[#This Row],[S3Hrs]]*60*60))</f>
        <v>0</v>
      </c>
      <c r="AP12" s="121">
        <f>IFERROR(AVERAGEIF(Prod[[#This Row],[S1%]:[S3%]], "&lt;&gt;0"),0)</f>
        <v>0.94538888888888895</v>
      </c>
      <c r="AQ12" s="131">
        <v>0</v>
      </c>
      <c r="AR12" s="131">
        <v>0</v>
      </c>
      <c r="AS12" s="131">
        <v>0</v>
      </c>
      <c r="AT12" s="131">
        <f>IF(Prod[[#This Row],[S1Cycle]]&lt;&gt;0,1,0)</f>
        <v>1</v>
      </c>
      <c r="AU12" s="131">
        <f>IF(Prod[[#This Row],[S2Cycle]]&lt;&gt;0,1,0)</f>
        <v>0</v>
      </c>
      <c r="AV12" s="131">
        <f>IF(Prod[[#This Row],[S3Cycle]]&lt;&gt;0,1,0)</f>
        <v>0</v>
      </c>
      <c r="AW12" s="131">
        <f>MAX(Prod[[#This Row],[S1Cavity]],Prod[[#This Row],[S2Cavity]],Prod[[#This Row],[S3Cavity]])</f>
        <v>2</v>
      </c>
    </row>
    <row r="13" spans="1:49" x14ac:dyDescent="0.2">
      <c r="A13" s="116">
        <v>45413</v>
      </c>
      <c r="B13" s="124" t="s">
        <v>269</v>
      </c>
      <c r="C13" s="124" t="s">
        <v>270</v>
      </c>
      <c r="D13" s="112">
        <v>26976</v>
      </c>
      <c r="E13" s="124" t="s">
        <v>274</v>
      </c>
      <c r="F13" s="117" t="s">
        <v>130</v>
      </c>
      <c r="G13" s="117" t="str">
        <f>IF(OR(Prod[[#This Row],[S1Hrs]]&gt;0,Prod[[#This Row],[S2Hrs]]&gt;0,Prod[[#This Row],[S3Hrs]]&gt;0),"Running","Down")</f>
        <v>Running</v>
      </c>
      <c r="H13" s="133">
        <v>57.2</v>
      </c>
      <c r="I13" s="134">
        <v>1</v>
      </c>
      <c r="J13" s="123">
        <v>67</v>
      </c>
      <c r="K13" s="123">
        <v>2</v>
      </c>
      <c r="L13" s="106">
        <f>Prod[[#This Row],[S1Shot]]*Prod[[#This Row],[S1Cavity]]-Prod[[#This Row],[S1Dft]]</f>
        <v>84</v>
      </c>
      <c r="M13" s="126">
        <f>SUM(Prod[[#This Row],[S1Mold]],Prod[[#This Row],[S1Dmg]],Prod[[#This Row],[S1DisclrSpt]])</f>
        <v>50</v>
      </c>
      <c r="N13" s="133">
        <v>57.2</v>
      </c>
      <c r="O13" s="134">
        <v>8</v>
      </c>
      <c r="P13" s="123">
        <v>508</v>
      </c>
      <c r="Q13" s="123">
        <v>2</v>
      </c>
      <c r="R13" s="106">
        <f>Prod[[#This Row],[S2Shot]]*Prod[[#This Row],[S2Cavity]]-Prod[[#This Row],[S2Dft]]</f>
        <v>1015</v>
      </c>
      <c r="S13" s="126">
        <f>SUM(Prod[[#This Row],[S2Mold]],Prod[[#This Row],[S2Dmg]],Prod[[#This Row],[S2DisclrSpt]])</f>
        <v>1</v>
      </c>
      <c r="T13" s="133">
        <v>57.2</v>
      </c>
      <c r="U13" s="134">
        <v>8</v>
      </c>
      <c r="V13" s="123">
        <v>504</v>
      </c>
      <c r="W13" s="123">
        <v>2</v>
      </c>
      <c r="X13" s="106">
        <f>Prod[[#This Row],[S3Shot]]*Prod[[#This Row],[S3Cavity]]-Prod[[#This Row],[S3Dft]]</f>
        <v>1008</v>
      </c>
      <c r="Y13" s="126">
        <f>SUM(Prod[[#This Row],[S3Mold]],Prod[[#This Row],[S3Dmg]],Prod[[#This Row],[S3DisclrSpt]])</f>
        <v>0</v>
      </c>
      <c r="Z13" s="106">
        <f>SUM(Prod[[#This Row],[S1Qty]],Prod[[#This Row],[S2Qty]],Prod[[#This Row],[S3Qty]])</f>
        <v>2107</v>
      </c>
      <c r="AA13" s="123">
        <f>SUM(Prod[[#This Row],[S1Dft]],Prod[[#This Row],[S2Dft]],Prod[[#This Row],[S3Dft]])</f>
        <v>51</v>
      </c>
      <c r="AB13" s="105">
        <f>IF(Prod[[#This Row],[Total]]=0,0,Prod[[#This Row],[TotalDft]]/Prod[[#This Row],[Total]])</f>
        <v>2.4205030849549121E-2</v>
      </c>
      <c r="AC13" s="124" t="s">
        <v>278</v>
      </c>
      <c r="AD13" s="106">
        <v>50</v>
      </c>
      <c r="AE13" s="106">
        <v>1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21">
        <f>IF(Prod[[#This Row],[S1Hrs]]=0,0,Prod[[#This Row],[S1Shot]]*Prod[[#This Row],[S1Cycle]]/(Prod[[#This Row],[S1Hrs]]*60*60))</f>
        <v>1.0645555555555555</v>
      </c>
      <c r="AN13" s="121">
        <f>IF(Prod[[#This Row],[S2Hrs]]=0,0,Prod[[#This Row],[S2Shot]]*Prod[[#This Row],[S2Cycle]]/(Prod[[#This Row],[S2Hrs]]*60*60))</f>
        <v>1.0089444444444444</v>
      </c>
      <c r="AO13" s="121">
        <f>IF(Prod[[#This Row],[S3Hrs]]=0,0,Prod[[#This Row],[S3Shot]]*Prod[[#This Row],[S3Cycle]]/(Prod[[#This Row],[S3Hrs]]*60*60))</f>
        <v>1.0010000000000001</v>
      </c>
      <c r="AP13" s="121">
        <f>IFERROR(AVERAGEIF(Prod[[#This Row],[S1%]:[S3%]], "&lt;&gt;0"),0)</f>
        <v>1.0248333333333335</v>
      </c>
      <c r="AQ13" s="131">
        <v>0</v>
      </c>
      <c r="AR13" s="131">
        <v>0</v>
      </c>
      <c r="AS13" s="131">
        <v>0</v>
      </c>
      <c r="AT13" s="131">
        <f>IF(Prod[[#This Row],[S1Cycle]]&lt;&gt;0,1,0)</f>
        <v>1</v>
      </c>
      <c r="AU13" s="131">
        <f>IF(Prod[[#This Row],[S2Cycle]]&lt;&gt;0,1,0)</f>
        <v>1</v>
      </c>
      <c r="AV13" s="131">
        <f>IF(Prod[[#This Row],[S3Cycle]]&lt;&gt;0,1,0)</f>
        <v>1</v>
      </c>
      <c r="AW13" s="131">
        <f>MAX(Prod[[#This Row],[S1Cavity]],Prod[[#This Row],[S2Cavity]],Prod[[#This Row],[S3Cavity]])</f>
        <v>2</v>
      </c>
    </row>
    <row r="14" spans="1:49" x14ac:dyDescent="0.2">
      <c r="A14" s="116">
        <v>45414</v>
      </c>
      <c r="B14" s="124" t="s">
        <v>148</v>
      </c>
      <c r="C14" s="117" t="s">
        <v>45</v>
      </c>
      <c r="D14" s="112">
        <v>25508</v>
      </c>
      <c r="E14" s="124" t="s">
        <v>46</v>
      </c>
      <c r="F14" s="117" t="s">
        <v>130</v>
      </c>
      <c r="G14" s="117" t="str">
        <f>IF(OR(Prod[[#This Row],[S1Hrs]]&gt;0,Prod[[#This Row],[S2Hrs]]&gt;0,Prod[[#This Row],[S3Hrs]]&gt;0),"Running","Down")</f>
        <v>Running</v>
      </c>
      <c r="H14" s="133">
        <v>41.57</v>
      </c>
      <c r="I14" s="134">
        <v>8</v>
      </c>
      <c r="J14" s="123">
        <v>680</v>
      </c>
      <c r="K14" s="123">
        <v>12</v>
      </c>
      <c r="L14" s="106">
        <f>Prod[[#This Row],[S1Shot]]*Prod[[#This Row],[S1Cavity]]-Prod[[#This Row],[S1Dft]]</f>
        <v>8160</v>
      </c>
      <c r="M14" s="126">
        <f>SUM(Prod[[#This Row],[S1Mold]],Prod[[#This Row],[S1Dmg]],Prod[[#This Row],[S1DisclrSpt]])</f>
        <v>0</v>
      </c>
      <c r="N14" s="133">
        <v>41.57</v>
      </c>
      <c r="O14" s="134">
        <v>8</v>
      </c>
      <c r="P14" s="123">
        <v>685</v>
      </c>
      <c r="Q14" s="123">
        <v>12</v>
      </c>
      <c r="R14" s="106">
        <f>Prod[[#This Row],[S2Shot]]*Prod[[#This Row],[S2Cavity]]-Prod[[#This Row],[S2Dft]]</f>
        <v>8218</v>
      </c>
      <c r="S14" s="126">
        <f>SUM(Prod[[#This Row],[S2Mold]],Prod[[#This Row],[S2Dmg]],Prod[[#This Row],[S2DisclrSpt]])</f>
        <v>2</v>
      </c>
      <c r="T14" s="133">
        <v>41.57</v>
      </c>
      <c r="U14" s="134">
        <v>8</v>
      </c>
      <c r="V14" s="123">
        <v>681</v>
      </c>
      <c r="W14" s="123">
        <v>12</v>
      </c>
      <c r="X14" s="106">
        <f>Prod[[#This Row],[S3Shot]]*Prod[[#This Row],[S3Cavity]]-Prod[[#This Row],[S3Dft]]</f>
        <v>8171</v>
      </c>
      <c r="Y14" s="126">
        <f>SUM(Prod[[#This Row],[S3Mold]],Prod[[#This Row],[S3Dmg]],Prod[[#This Row],[S3DisclrSpt]])</f>
        <v>1</v>
      </c>
      <c r="Z14" s="106">
        <f>SUM(Prod[[#This Row],[S1Qty]],Prod[[#This Row],[S2Qty]],Prod[[#This Row],[S3Qty]])</f>
        <v>24549</v>
      </c>
      <c r="AA14" s="123">
        <f>SUM(Prod[[#This Row],[S1Dft]],Prod[[#This Row],[S2Dft]],Prod[[#This Row],[S3Dft]])</f>
        <v>3</v>
      </c>
      <c r="AB14" s="105">
        <f>IF(Prod[[#This Row],[Total]]=0,0,Prod[[#This Row],[TotalDft]]/Prod[[#This Row],[Total]])</f>
        <v>1.2220457045093486E-4</v>
      </c>
      <c r="AC14" s="124"/>
      <c r="AD14" s="106">
        <v>0</v>
      </c>
      <c r="AE14" s="106">
        <v>2</v>
      </c>
      <c r="AF14" s="106">
        <v>1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21">
        <f>IF(Prod[[#This Row],[S1Hrs]]=0,0,Prod[[#This Row],[S1Shot]]*Prod[[#This Row],[S1Cycle]]/(Prod[[#This Row],[S1Hrs]]*60*60))</f>
        <v>0.9815138888888888</v>
      </c>
      <c r="AN14" s="121">
        <f>IF(Prod[[#This Row],[S2Hrs]]=0,0,Prod[[#This Row],[S2Shot]]*Prod[[#This Row],[S2Cycle]]/(Prod[[#This Row],[S2Hrs]]*60*60))</f>
        <v>0.98873090277777775</v>
      </c>
      <c r="AO14" s="121">
        <f>IF(Prod[[#This Row],[S3Hrs]]=0,0,Prod[[#This Row],[S3Shot]]*Prod[[#This Row],[S3Cycle]]/(Prod[[#This Row],[S3Hrs]]*60*60))</f>
        <v>0.98295729166666668</v>
      </c>
      <c r="AP14" s="121">
        <f>IFERROR(AVERAGEIF(Prod[[#This Row],[S1%]:[S3%]], "&lt;&gt;0"),0)</f>
        <v>0.98440069444444445</v>
      </c>
      <c r="AQ14" s="131">
        <v>0</v>
      </c>
      <c r="AR14" s="131">
        <v>0</v>
      </c>
      <c r="AS14" s="131">
        <v>0</v>
      </c>
      <c r="AT14" s="131">
        <f>IF(Prod[[#This Row],[S1Cycle]]&lt;&gt;0,1,0)</f>
        <v>1</v>
      </c>
      <c r="AU14" s="131">
        <f>IF(Prod[[#This Row],[S2Cycle]]&lt;&gt;0,1,0)</f>
        <v>1</v>
      </c>
      <c r="AV14" s="131">
        <f>IF(Prod[[#This Row],[S3Cycle]]&lt;&gt;0,1,0)</f>
        <v>1</v>
      </c>
      <c r="AW14" s="131">
        <f>MAX(Prod[[#This Row],[S1Cavity]],Prod[[#This Row],[S2Cavity]],Prod[[#This Row],[S3Cavity]])</f>
        <v>12</v>
      </c>
    </row>
    <row r="15" spans="1:49" x14ac:dyDescent="0.2">
      <c r="A15" s="116">
        <v>45414</v>
      </c>
      <c r="B15" s="117" t="s">
        <v>149</v>
      </c>
      <c r="C15" s="117" t="s">
        <v>65</v>
      </c>
      <c r="D15" s="112">
        <v>26455</v>
      </c>
      <c r="E15" s="124" t="s">
        <v>46</v>
      </c>
      <c r="F15" s="117" t="s">
        <v>130</v>
      </c>
      <c r="G15" s="117" t="str">
        <f>IF(OR(Prod[[#This Row],[S1Hrs]]&gt;0,Prod[[#This Row],[S2Hrs]]&gt;0,Prod[[#This Row],[S3Hrs]]&gt;0),"Running","Down")</f>
        <v>Running</v>
      </c>
      <c r="H15" s="133">
        <v>41.05</v>
      </c>
      <c r="I15" s="134">
        <v>8</v>
      </c>
      <c r="J15" s="123">
        <v>696</v>
      </c>
      <c r="K15" s="123">
        <v>12</v>
      </c>
      <c r="L15" s="106">
        <f>Prod[[#This Row],[S1Shot]]*Prod[[#This Row],[S1Cavity]]-Prod[[#This Row],[S1Dft]]</f>
        <v>8351</v>
      </c>
      <c r="M15" s="126">
        <f>SUM(Prod[[#This Row],[S1Mold]],Prod[[#This Row],[S1Dmg]],Prod[[#This Row],[S1DisclrSpt]])</f>
        <v>1</v>
      </c>
      <c r="N15" s="133">
        <v>41.25</v>
      </c>
      <c r="O15" s="134">
        <v>8</v>
      </c>
      <c r="P15" s="123">
        <v>684</v>
      </c>
      <c r="Q15" s="123">
        <v>12</v>
      </c>
      <c r="R15" s="106">
        <f>Prod[[#This Row],[S2Shot]]*Prod[[#This Row],[S2Cavity]]-Prod[[#This Row],[S2Dft]]</f>
        <v>8207</v>
      </c>
      <c r="S15" s="126">
        <f>SUM(Prod[[#This Row],[S2Mold]],Prod[[#This Row],[S2Dmg]],Prod[[#This Row],[S2DisclrSpt]])</f>
        <v>1</v>
      </c>
      <c r="T15" s="133">
        <v>41.05</v>
      </c>
      <c r="U15" s="134">
        <v>8</v>
      </c>
      <c r="V15" s="123">
        <v>709</v>
      </c>
      <c r="W15" s="123">
        <v>12</v>
      </c>
      <c r="X15" s="106">
        <f>Prod[[#This Row],[S3Shot]]*Prod[[#This Row],[S3Cavity]]-Prod[[#This Row],[S3Dft]]</f>
        <v>8506</v>
      </c>
      <c r="Y15" s="126">
        <f>SUM(Prod[[#This Row],[S3Mold]],Prod[[#This Row],[S3Dmg]],Prod[[#This Row],[S3DisclrSpt]])</f>
        <v>2</v>
      </c>
      <c r="Z15" s="106">
        <f>SUM(Prod[[#This Row],[S1Qty]],Prod[[#This Row],[S2Qty]],Prod[[#This Row],[S3Qty]])</f>
        <v>25064</v>
      </c>
      <c r="AA15" s="123">
        <f>SUM(Prod[[#This Row],[S1Dft]],Prod[[#This Row],[S2Dft]],Prod[[#This Row],[S3Dft]])</f>
        <v>4</v>
      </c>
      <c r="AB15" s="105">
        <f>IF(Prod[[#This Row],[Total]]=0,0,Prod[[#This Row],[TotalDft]]/Prod[[#This Row],[Total]])</f>
        <v>1.5959144589849984E-4</v>
      </c>
      <c r="AC15" s="124"/>
      <c r="AD15" s="106">
        <v>1</v>
      </c>
      <c r="AE15" s="106">
        <v>1</v>
      </c>
      <c r="AF15" s="106">
        <v>2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21">
        <f>IF(Prod[[#This Row],[S1Hrs]]=0,0,Prod[[#This Row],[S1Shot]]*Prod[[#This Row],[S1Cycle]]/(Prod[[#This Row],[S1Hrs]]*60*60))</f>
        <v>0.9920416666666666</v>
      </c>
      <c r="AN15" s="121">
        <f>IF(Prod[[#This Row],[S2Hrs]]=0,0,Prod[[#This Row],[S2Shot]]*Prod[[#This Row],[S2Cycle]]/(Prod[[#This Row],[S2Hrs]]*60*60))</f>
        <v>0.97968750000000004</v>
      </c>
      <c r="AO15" s="121">
        <f>IF(Prod[[#This Row],[S3Hrs]]=0,0,Prod[[#This Row],[S3Shot]]*Prod[[#This Row],[S3Cycle]]/(Prod[[#This Row],[S3Hrs]]*60*60))</f>
        <v>1.0105711805555555</v>
      </c>
      <c r="AP15" s="121">
        <f>IFERROR(AVERAGEIF(Prod[[#This Row],[S1%]:[S3%]], "&lt;&gt;0"),0)</f>
        <v>0.99410011574074064</v>
      </c>
      <c r="AQ15" s="131">
        <v>0</v>
      </c>
      <c r="AR15" s="131">
        <v>0</v>
      </c>
      <c r="AS15" s="131">
        <v>0</v>
      </c>
      <c r="AT15" s="131">
        <f>IF(Prod[[#This Row],[S1Cycle]]&lt;&gt;0,1,0)</f>
        <v>1</v>
      </c>
      <c r="AU15" s="131">
        <f>IF(Prod[[#This Row],[S2Cycle]]&lt;&gt;0,1,0)</f>
        <v>1</v>
      </c>
      <c r="AV15" s="131">
        <f>IF(Prod[[#This Row],[S3Cycle]]&lt;&gt;0,1,0)</f>
        <v>1</v>
      </c>
      <c r="AW15" s="131">
        <f>MAX(Prod[[#This Row],[S1Cavity]],Prod[[#This Row],[S2Cavity]],Prod[[#This Row],[S3Cavity]])</f>
        <v>12</v>
      </c>
    </row>
    <row r="16" spans="1:49" x14ac:dyDescent="0.2">
      <c r="A16" s="116">
        <v>45414</v>
      </c>
      <c r="B16" s="117" t="s">
        <v>150</v>
      </c>
      <c r="C16" s="124" t="s">
        <v>257</v>
      </c>
      <c r="D16" s="112">
        <v>27328</v>
      </c>
      <c r="E16" s="124" t="s">
        <v>46</v>
      </c>
      <c r="F16" s="117" t="s">
        <v>130</v>
      </c>
      <c r="G16" s="117" t="str">
        <f>IF(OR(Prod[[#This Row],[S1Hrs]]&gt;0,Prod[[#This Row],[S2Hrs]]&gt;0,Prod[[#This Row],[S3Hrs]]&gt;0),"Running","Down")</f>
        <v>Running</v>
      </c>
      <c r="H16" s="133">
        <v>40.94</v>
      </c>
      <c r="I16" s="134">
        <v>2</v>
      </c>
      <c r="J16" s="123">
        <v>161</v>
      </c>
      <c r="K16" s="123">
        <v>8</v>
      </c>
      <c r="L16" s="106">
        <f>Prod[[#This Row],[S1Shot]]*Prod[[#This Row],[S1Cavity]]-Prod[[#This Row],[S1Dft]]</f>
        <v>1288</v>
      </c>
      <c r="M16" s="126">
        <f>SUM(Prod[[#This Row],[S1Mold]],Prod[[#This Row],[S1Dmg]],Prod[[#This Row],[S1DisclrSpt]])</f>
        <v>0</v>
      </c>
      <c r="N16" s="133">
        <v>0</v>
      </c>
      <c r="O16" s="134">
        <v>0</v>
      </c>
      <c r="P16" s="123">
        <v>0</v>
      </c>
      <c r="Q16" s="123">
        <v>0</v>
      </c>
      <c r="R16" s="106">
        <f>Prod[[#This Row],[S2Shot]]*Prod[[#This Row],[S2Cavity]]-Prod[[#This Row],[S2Dft]]</f>
        <v>0</v>
      </c>
      <c r="S16" s="126">
        <f>SUM(Prod[[#This Row],[S2Mold]],Prod[[#This Row],[S2Dmg]],Prod[[#This Row],[S2DisclrSpt]])</f>
        <v>0</v>
      </c>
      <c r="T16" s="133">
        <v>0</v>
      </c>
      <c r="U16" s="134">
        <v>0</v>
      </c>
      <c r="V16" s="123">
        <v>0</v>
      </c>
      <c r="W16" s="123">
        <v>0</v>
      </c>
      <c r="X16" s="106">
        <f>Prod[[#This Row],[S3Shot]]*Prod[[#This Row],[S3Cavity]]-Prod[[#This Row],[S3Dft]]</f>
        <v>0</v>
      </c>
      <c r="Y16" s="126">
        <f>SUM(Prod[[#This Row],[S3Mold]],Prod[[#This Row],[S3Dmg]],Prod[[#This Row],[S3DisclrSpt]])</f>
        <v>0</v>
      </c>
      <c r="Z16" s="106">
        <f>SUM(Prod[[#This Row],[S1Qty]],Prod[[#This Row],[S2Qty]],Prod[[#This Row],[S3Qty]])</f>
        <v>1288</v>
      </c>
      <c r="AA16" s="123">
        <f>SUM(Prod[[#This Row],[S1Dft]],Prod[[#This Row],[S2Dft]],Prod[[#This Row],[S3Dft]])</f>
        <v>0</v>
      </c>
      <c r="AB16" s="105">
        <f>IF(Prod[[#This Row],[Total]]=0,0,Prod[[#This Row],[TotalDft]]/Prod[[#This Row],[Total]])</f>
        <v>0</v>
      </c>
      <c r="AC16" s="124" t="s">
        <v>281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21">
        <f>IF(Prod[[#This Row],[S1Hrs]]=0,0,Prod[[#This Row],[S1Shot]]*Prod[[#This Row],[S1Cycle]]/(Prod[[#This Row],[S1Hrs]]*60*60))</f>
        <v>0.91546388888888874</v>
      </c>
      <c r="AN16" s="121">
        <f>IF(Prod[[#This Row],[S2Hrs]]=0,0,Prod[[#This Row],[S2Shot]]*Prod[[#This Row],[S2Cycle]]/(Prod[[#This Row],[S2Hrs]]*60*60))</f>
        <v>0</v>
      </c>
      <c r="AO16" s="121">
        <f>IF(Prod[[#This Row],[S3Hrs]]=0,0,Prod[[#This Row],[S3Shot]]*Prod[[#This Row],[S3Cycle]]/(Prod[[#This Row],[S3Hrs]]*60*60))</f>
        <v>0</v>
      </c>
      <c r="AP16" s="121">
        <f>IFERROR(AVERAGEIF(Prod[[#This Row],[S1%]:[S3%]], "&lt;&gt;0"),0)</f>
        <v>0.91546388888888874</v>
      </c>
      <c r="AQ16" s="131">
        <v>0.5</v>
      </c>
      <c r="AR16" s="131"/>
      <c r="AS16" s="131">
        <v>0</v>
      </c>
      <c r="AT16" s="131">
        <f>IF(Prod[[#This Row],[S1Cycle]]&lt;&gt;0,1,0)</f>
        <v>1</v>
      </c>
      <c r="AU16" s="131">
        <f>IF(Prod[[#This Row],[S2Cycle]]&lt;&gt;0,1,0)</f>
        <v>0</v>
      </c>
      <c r="AV16" s="131">
        <f>IF(Prod[[#This Row],[S3Cycle]]&lt;&gt;0,1,0)</f>
        <v>0</v>
      </c>
      <c r="AW16" s="131">
        <f>MAX(Prod[[#This Row],[S1Cavity]],Prod[[#This Row],[S2Cavity]],Prod[[#This Row],[S3Cavity]])</f>
        <v>8</v>
      </c>
    </row>
    <row r="17" spans="1:49" x14ac:dyDescent="0.2">
      <c r="A17" s="116">
        <v>45414</v>
      </c>
      <c r="B17" s="117" t="s">
        <v>220</v>
      </c>
      <c r="C17" s="117" t="s">
        <v>224</v>
      </c>
      <c r="D17" s="112">
        <v>27227</v>
      </c>
      <c r="E17" s="124" t="s">
        <v>280</v>
      </c>
      <c r="F17" s="117" t="s">
        <v>130</v>
      </c>
      <c r="G17" s="117" t="str">
        <f>IF(OR(Prod[[#This Row],[S1Hrs]]&gt;0,Prod[[#This Row],[S2Hrs]]&gt;0,Prod[[#This Row],[S3Hrs]]&gt;0),"Running","Down")</f>
        <v>Running</v>
      </c>
      <c r="H17" s="133">
        <v>41.8</v>
      </c>
      <c r="I17" s="134">
        <v>0.6</v>
      </c>
      <c r="J17" s="123">
        <v>48</v>
      </c>
      <c r="K17" s="123">
        <v>12</v>
      </c>
      <c r="L17" s="106">
        <f>Prod[[#This Row],[S1Shot]]*Prod[[#This Row],[S1Cavity]]-Prod[[#This Row],[S1Dft]]</f>
        <v>376</v>
      </c>
      <c r="M17" s="126">
        <f>SUM(Prod[[#This Row],[S1Mold]],Prod[[#This Row],[S1Dmg]],Prod[[#This Row],[S1DisclrSpt]])</f>
        <v>200</v>
      </c>
      <c r="N17" s="133">
        <v>41.8</v>
      </c>
      <c r="O17" s="134">
        <v>8</v>
      </c>
      <c r="P17" s="123">
        <v>660</v>
      </c>
      <c r="Q17" s="123">
        <v>12</v>
      </c>
      <c r="R17" s="106">
        <f>Prod[[#This Row],[S2Shot]]*Prod[[#This Row],[S2Cavity]]-Prod[[#This Row],[S2Dft]]</f>
        <v>7918</v>
      </c>
      <c r="S17" s="126">
        <f>SUM(Prod[[#This Row],[S2Mold]],Prod[[#This Row],[S2Dmg]],Prod[[#This Row],[S2DisclrSpt]])</f>
        <v>2</v>
      </c>
      <c r="T17" s="133">
        <v>41.89</v>
      </c>
      <c r="U17" s="134">
        <v>8</v>
      </c>
      <c r="V17" s="123">
        <v>696</v>
      </c>
      <c r="W17" s="123">
        <v>12</v>
      </c>
      <c r="X17" s="106">
        <f>Prod[[#This Row],[S3Shot]]*Prod[[#This Row],[S3Cavity]]-Prod[[#This Row],[S3Dft]]</f>
        <v>8351</v>
      </c>
      <c r="Y17" s="126">
        <f>SUM(Prod[[#This Row],[S3Mold]],Prod[[#This Row],[S3Dmg]],Prod[[#This Row],[S3DisclrSpt]])</f>
        <v>1</v>
      </c>
      <c r="Z17" s="106">
        <f>SUM(Prod[[#This Row],[S1Qty]],Prod[[#This Row],[S2Qty]],Prod[[#This Row],[S3Qty]])</f>
        <v>16645</v>
      </c>
      <c r="AA17" s="123">
        <f>SUM(Prod[[#This Row],[S1Dft]],Prod[[#This Row],[S2Dft]],Prod[[#This Row],[S3Dft]])</f>
        <v>203</v>
      </c>
      <c r="AB17" s="105">
        <f>IF(Prod[[#This Row],[Total]]=0,0,Prod[[#This Row],[TotalDft]]/Prod[[#This Row],[Total]])</f>
        <v>1.2195854610994292E-2</v>
      </c>
      <c r="AC17" s="124" t="s">
        <v>282</v>
      </c>
      <c r="AD17" s="106">
        <v>200</v>
      </c>
      <c r="AE17" s="106">
        <v>2</v>
      </c>
      <c r="AF17" s="106">
        <v>1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21">
        <f>IF(Prod[[#This Row],[S1Hrs]]=0,0,Prod[[#This Row],[S1Shot]]*Prod[[#This Row],[S1Cycle]]/(Prod[[#This Row],[S1Hrs]]*60*60))</f>
        <v>0.92888888888888888</v>
      </c>
      <c r="AN17" s="121">
        <f>IF(Prod[[#This Row],[S2Hrs]]=0,0,Prod[[#This Row],[S2Shot]]*Prod[[#This Row],[S2Cycle]]/(Prod[[#This Row],[S2Hrs]]*60*60))</f>
        <v>0.95791666666666653</v>
      </c>
      <c r="AO17" s="121">
        <f>IF(Prod[[#This Row],[S3Hrs]]=0,0,Prod[[#This Row],[S3Shot]]*Prod[[#This Row],[S3Cycle]]/(Prod[[#This Row],[S3Hrs]]*60*60))</f>
        <v>1.0123416666666667</v>
      </c>
      <c r="AP17" s="121">
        <f>IFERROR(AVERAGEIF(Prod[[#This Row],[S1%]:[S3%]], "&lt;&gt;0"),0)</f>
        <v>0.96638240740740733</v>
      </c>
      <c r="AQ17" s="131">
        <v>0.5</v>
      </c>
      <c r="AR17" s="131">
        <v>0</v>
      </c>
      <c r="AS17" s="131">
        <v>0</v>
      </c>
      <c r="AT17" s="131">
        <f>IF(Prod[[#This Row],[S1Cycle]]&lt;&gt;0,1,0)</f>
        <v>1</v>
      </c>
      <c r="AU17" s="131">
        <f>IF(Prod[[#This Row],[S2Cycle]]&lt;&gt;0,1,0)</f>
        <v>1</v>
      </c>
      <c r="AV17" s="131">
        <f>IF(Prod[[#This Row],[S3Cycle]]&lt;&gt;0,1,0)</f>
        <v>1</v>
      </c>
      <c r="AW17" s="131">
        <f>MAX(Prod[[#This Row],[S1Cavity]],Prod[[#This Row],[S2Cavity]],Prod[[#This Row],[S3Cavity]])</f>
        <v>12</v>
      </c>
    </row>
    <row r="18" spans="1:49" x14ac:dyDescent="0.2">
      <c r="A18" s="116">
        <v>45414</v>
      </c>
      <c r="B18" s="117" t="s">
        <v>221</v>
      </c>
      <c r="C18" s="124" t="s">
        <v>234</v>
      </c>
      <c r="D18" s="112">
        <v>26455</v>
      </c>
      <c r="E18" s="124" t="s">
        <v>46</v>
      </c>
      <c r="F18" s="124" t="s">
        <v>130</v>
      </c>
      <c r="G18" s="117" t="str">
        <f>IF(OR(Prod[[#This Row],[S1Hrs]]&gt;0,Prod[[#This Row],[S2Hrs]]&gt;0,Prod[[#This Row],[S3Hrs]]&gt;0),"Running","Down")</f>
        <v>Running</v>
      </c>
      <c r="H18" s="133">
        <v>41.25</v>
      </c>
      <c r="I18" s="134">
        <v>8</v>
      </c>
      <c r="J18" s="123">
        <v>681</v>
      </c>
      <c r="K18" s="123">
        <v>12</v>
      </c>
      <c r="L18" s="106">
        <f>Prod[[#This Row],[S1Shot]]*Prod[[#This Row],[S1Cavity]]-Prod[[#This Row],[S1Dft]]</f>
        <v>8171</v>
      </c>
      <c r="M18" s="126">
        <f>SUM(Prod[[#This Row],[S1Mold]],Prod[[#This Row],[S1Dmg]],Prod[[#This Row],[S1DisclrSpt]])</f>
        <v>1</v>
      </c>
      <c r="N18" s="133">
        <v>41.25</v>
      </c>
      <c r="O18" s="134">
        <v>7.8</v>
      </c>
      <c r="P18" s="123">
        <v>686</v>
      </c>
      <c r="Q18" s="123">
        <v>12</v>
      </c>
      <c r="R18" s="106">
        <f>Prod[[#This Row],[S2Shot]]*Prod[[#This Row],[S2Cavity]]-Prod[[#This Row],[S2Dft]]</f>
        <v>8231</v>
      </c>
      <c r="S18" s="126">
        <f>SUM(Prod[[#This Row],[S2Mold]],Prod[[#This Row],[S2Dmg]],Prod[[#This Row],[S2DisclrSpt]])</f>
        <v>1</v>
      </c>
      <c r="T18" s="133">
        <v>41.3</v>
      </c>
      <c r="U18" s="134">
        <v>8</v>
      </c>
      <c r="V18" s="123">
        <v>696</v>
      </c>
      <c r="W18" s="123">
        <v>12</v>
      </c>
      <c r="X18" s="106">
        <f>Prod[[#This Row],[S3Shot]]*Prod[[#This Row],[S3Cavity]]-Prod[[#This Row],[S3Dft]]</f>
        <v>8351</v>
      </c>
      <c r="Y18" s="126">
        <f>SUM(Prod[[#This Row],[S3Mold]],Prod[[#This Row],[S3Dmg]],Prod[[#This Row],[S3DisclrSpt]])</f>
        <v>1</v>
      </c>
      <c r="Z18" s="106">
        <f>SUM(Prod[[#This Row],[S1Qty]],Prod[[#This Row],[S2Qty]],Prod[[#This Row],[S3Qty]])</f>
        <v>24753</v>
      </c>
      <c r="AA18" s="123">
        <f>SUM(Prod[[#This Row],[S1Dft]],Prod[[#This Row],[S2Dft]],Prod[[#This Row],[S3Dft]])</f>
        <v>3</v>
      </c>
      <c r="AB18" s="105">
        <f>IF(Prod[[#This Row],[Total]]=0,0,Prod[[#This Row],[TotalDft]]/Prod[[#This Row],[Total]])</f>
        <v>1.2119743061447097E-4</v>
      </c>
      <c r="AC18" s="124"/>
      <c r="AD18" s="106">
        <v>1</v>
      </c>
      <c r="AE18" s="106">
        <v>1</v>
      </c>
      <c r="AF18" s="106">
        <v>1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21">
        <f>IF(Prod[[#This Row],[S1Hrs]]=0,0,Prod[[#This Row],[S1Shot]]*Prod[[#This Row],[S1Cycle]]/(Prod[[#This Row],[S1Hrs]]*60*60))</f>
        <v>0.97539062499999996</v>
      </c>
      <c r="AN18" s="121">
        <f>IF(Prod[[#This Row],[S2Hrs]]=0,0,Prod[[#This Row],[S2Shot]]*Prod[[#This Row],[S2Cycle]]/(Prod[[#This Row],[S2Hrs]]*60*60))</f>
        <v>1.0077457264957266</v>
      </c>
      <c r="AO18" s="121">
        <f>IF(Prod[[#This Row],[S3Hrs]]=0,0,Prod[[#This Row],[S3Shot]]*Prod[[#This Row],[S3Cycle]]/(Prod[[#This Row],[S3Hrs]]*60*60))</f>
        <v>0.99808333333333332</v>
      </c>
      <c r="AP18" s="121">
        <f>IFERROR(AVERAGEIF(Prod[[#This Row],[S1%]:[S3%]], "&lt;&gt;0"),0)</f>
        <v>0.99373989494301995</v>
      </c>
      <c r="AQ18" s="131">
        <v>0</v>
      </c>
      <c r="AR18" s="131">
        <v>0</v>
      </c>
      <c r="AS18" s="131">
        <v>0</v>
      </c>
      <c r="AT18" s="131">
        <f>IF(Prod[[#This Row],[S1Cycle]]&lt;&gt;0,1,0)</f>
        <v>1</v>
      </c>
      <c r="AU18" s="131">
        <f>IF(Prod[[#This Row],[S2Cycle]]&lt;&gt;0,1,0)</f>
        <v>1</v>
      </c>
      <c r="AV18" s="131">
        <f>IF(Prod[[#This Row],[S3Cycle]]&lt;&gt;0,1,0)</f>
        <v>1</v>
      </c>
      <c r="AW18" s="131">
        <f>MAX(Prod[[#This Row],[S1Cavity]],Prod[[#This Row],[S2Cavity]],Prod[[#This Row],[S3Cavity]])</f>
        <v>12</v>
      </c>
    </row>
    <row r="19" spans="1:49" x14ac:dyDescent="0.2">
      <c r="A19" s="116">
        <v>45414</v>
      </c>
      <c r="B19" s="117" t="s">
        <v>222</v>
      </c>
      <c r="C19" s="117" t="s">
        <v>223</v>
      </c>
      <c r="D19" s="112">
        <v>27423</v>
      </c>
      <c r="E19" s="124" t="s">
        <v>46</v>
      </c>
      <c r="F19" s="117" t="s">
        <v>130</v>
      </c>
      <c r="G19" s="117" t="str">
        <f>IF(OR(Prod[[#This Row],[S1Hrs]]&gt;0,Prod[[#This Row],[S2Hrs]]&gt;0,Prod[[#This Row],[S3Hrs]]&gt;0),"Running","Down")</f>
        <v>Running</v>
      </c>
      <c r="H19" s="133">
        <v>41.05</v>
      </c>
      <c r="I19" s="134">
        <v>4</v>
      </c>
      <c r="J19" s="123">
        <v>296</v>
      </c>
      <c r="K19" s="123">
        <v>8</v>
      </c>
      <c r="L19" s="106">
        <f>Prod[[#This Row],[S1Shot]]*Prod[[#This Row],[S1Cavity]]-Prod[[#This Row],[S1Dft]]</f>
        <v>2318</v>
      </c>
      <c r="M19" s="126">
        <f>SUM(Prod[[#This Row],[S1Mold]],Prod[[#This Row],[S1Dmg]],Prod[[#This Row],[S1DisclrSpt]])</f>
        <v>50</v>
      </c>
      <c r="N19" s="133">
        <v>41.05</v>
      </c>
      <c r="O19" s="134">
        <v>7.8</v>
      </c>
      <c r="P19" s="123">
        <v>668</v>
      </c>
      <c r="Q19" s="123">
        <v>8</v>
      </c>
      <c r="R19" s="106">
        <f>Prod[[#This Row],[S2Shot]]*Prod[[#This Row],[S2Cavity]]-Prod[[#This Row],[S2Dft]]</f>
        <v>5343</v>
      </c>
      <c r="S19" s="126">
        <f>SUM(Prod[[#This Row],[S2Mold]],Prod[[#This Row],[S2Dmg]],Prod[[#This Row],[S2DisclrSpt]])</f>
        <v>1</v>
      </c>
      <c r="T19" s="133">
        <v>41.05</v>
      </c>
      <c r="U19" s="134">
        <v>8</v>
      </c>
      <c r="V19" s="123">
        <v>701</v>
      </c>
      <c r="W19" s="123">
        <v>8</v>
      </c>
      <c r="X19" s="106">
        <f>Prod[[#This Row],[S3Shot]]*Prod[[#This Row],[S3Cavity]]-Prod[[#This Row],[S3Dft]]</f>
        <v>5606</v>
      </c>
      <c r="Y19" s="126">
        <f>SUM(Prod[[#This Row],[S3Mold]],Prod[[#This Row],[S3Dmg]],Prod[[#This Row],[S3DisclrSpt]])</f>
        <v>2</v>
      </c>
      <c r="Z19" s="106">
        <f>SUM(Prod[[#This Row],[S1Qty]],Prod[[#This Row],[S2Qty]],Prod[[#This Row],[S3Qty]])</f>
        <v>13267</v>
      </c>
      <c r="AA19" s="123">
        <f>SUM(Prod[[#This Row],[S1Dft]],Prod[[#This Row],[S2Dft]],Prod[[#This Row],[S3Dft]])</f>
        <v>53</v>
      </c>
      <c r="AB19" s="105">
        <f>IF(Prod[[#This Row],[Total]]=0,0,Prod[[#This Row],[TotalDft]]/Prod[[#This Row],[Total]])</f>
        <v>3.9948745006406876E-3</v>
      </c>
      <c r="AC19" s="124" t="s">
        <v>283</v>
      </c>
      <c r="AD19" s="106">
        <v>50</v>
      </c>
      <c r="AE19" s="106">
        <v>1</v>
      </c>
      <c r="AF19" s="106">
        <v>2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21">
        <f>IF(Prod[[#This Row],[S1Hrs]]=0,0,Prod[[#This Row],[S1Shot]]*Prod[[#This Row],[S1Cycle]]/(Prod[[#This Row],[S1Hrs]]*60*60))</f>
        <v>0.84380555555555548</v>
      </c>
      <c r="AN19" s="121">
        <f>IF(Prod[[#This Row],[S2Hrs]]=0,0,Prod[[#This Row],[S2Shot]]*Prod[[#This Row],[S2Cycle]]/(Prod[[#This Row],[S2Hrs]]*60*60))</f>
        <v>0.976545584045584</v>
      </c>
      <c r="AO19" s="121">
        <f>IF(Prod[[#This Row],[S3Hrs]]=0,0,Prod[[#This Row],[S3Shot]]*Prod[[#This Row],[S3Cycle]]/(Prod[[#This Row],[S3Hrs]]*60*60))</f>
        <v>0.99916840277777774</v>
      </c>
      <c r="AP19" s="121">
        <f>IFERROR(AVERAGEIF(Prod[[#This Row],[S1%]:[S3%]], "&lt;&gt;0"),0)</f>
        <v>0.93983984745963911</v>
      </c>
      <c r="AQ19" s="131">
        <v>0</v>
      </c>
      <c r="AR19" s="131">
        <v>0</v>
      </c>
      <c r="AS19" s="131">
        <v>0</v>
      </c>
      <c r="AT19" s="131">
        <f>IF(Prod[[#This Row],[S1Cycle]]&lt;&gt;0,1,0)</f>
        <v>1</v>
      </c>
      <c r="AU19" s="131">
        <f>IF(Prod[[#This Row],[S2Cycle]]&lt;&gt;0,1,0)</f>
        <v>1</v>
      </c>
      <c r="AV19" s="131">
        <f>IF(Prod[[#This Row],[S3Cycle]]&lt;&gt;0,1,0)</f>
        <v>1</v>
      </c>
      <c r="AW19" s="131">
        <f>MAX(Prod[[#This Row],[S1Cavity]],Prod[[#This Row],[S2Cavity]],Prod[[#This Row],[S3Cavity]])</f>
        <v>8</v>
      </c>
    </row>
    <row r="20" spans="1:49" x14ac:dyDescent="0.2">
      <c r="A20" s="116">
        <v>45414</v>
      </c>
      <c r="B20" s="124" t="s">
        <v>269</v>
      </c>
      <c r="C20" s="124" t="s">
        <v>270</v>
      </c>
      <c r="D20" s="112">
        <v>26976</v>
      </c>
      <c r="E20" s="124" t="s">
        <v>274</v>
      </c>
      <c r="F20" s="117" t="s">
        <v>130</v>
      </c>
      <c r="G20" s="117" t="str">
        <f>IF(OR(Prod[[#This Row],[S1Hrs]]&gt;0,Prod[[#This Row],[S2Hrs]]&gt;0,Prod[[#This Row],[S3Hrs]]&gt;0),"Running","Down")</f>
        <v>Running</v>
      </c>
      <c r="H20" s="133">
        <v>57.3</v>
      </c>
      <c r="I20" s="134">
        <v>8</v>
      </c>
      <c r="J20" s="123">
        <v>483</v>
      </c>
      <c r="K20" s="123">
        <v>2</v>
      </c>
      <c r="L20" s="106">
        <f>Prod[[#This Row],[S1Shot]]*Prod[[#This Row],[S1Cavity]]-Prod[[#This Row],[S1Dft]]</f>
        <v>965</v>
      </c>
      <c r="M20" s="126">
        <f>SUM(Prod[[#This Row],[S1Mold]],Prod[[#This Row],[S1Dmg]],Prod[[#This Row],[S1DisclrSpt]])</f>
        <v>1</v>
      </c>
      <c r="N20" s="133">
        <v>57.3</v>
      </c>
      <c r="O20" s="134">
        <v>8</v>
      </c>
      <c r="P20" s="123">
        <v>508</v>
      </c>
      <c r="Q20" s="123">
        <v>2</v>
      </c>
      <c r="R20" s="106">
        <f>Prod[[#This Row],[S2Shot]]*Prod[[#This Row],[S2Cavity]]-Prod[[#This Row],[S2Dft]]</f>
        <v>1015</v>
      </c>
      <c r="S20" s="126">
        <f>SUM(Prod[[#This Row],[S2Mold]],Prod[[#This Row],[S2Dmg]],Prod[[#This Row],[S2DisclrSpt]])</f>
        <v>1</v>
      </c>
      <c r="T20" s="133">
        <v>57.3</v>
      </c>
      <c r="U20" s="134">
        <v>8</v>
      </c>
      <c r="V20" s="123">
        <v>504</v>
      </c>
      <c r="W20" s="123">
        <v>2</v>
      </c>
      <c r="X20" s="106">
        <f>Prod[[#This Row],[S3Shot]]*Prod[[#This Row],[S3Cavity]]-Prod[[#This Row],[S3Dft]]</f>
        <v>1006</v>
      </c>
      <c r="Y20" s="126">
        <f>SUM(Prod[[#This Row],[S3Mold]],Prod[[#This Row],[S3Dmg]],Prod[[#This Row],[S3DisclrSpt]])</f>
        <v>2</v>
      </c>
      <c r="Z20" s="106">
        <f>SUM(Prod[[#This Row],[S1Qty]],Prod[[#This Row],[S2Qty]],Prod[[#This Row],[S3Qty]])</f>
        <v>2986</v>
      </c>
      <c r="AA20" s="123">
        <f>SUM(Prod[[#This Row],[S1Dft]],Prod[[#This Row],[S2Dft]],Prod[[#This Row],[S3Dft]])</f>
        <v>4</v>
      </c>
      <c r="AB20" s="105">
        <f>IF(Prod[[#This Row],[Total]]=0,0,Prod[[#This Row],[TotalDft]]/Prod[[#This Row],[Total]])</f>
        <v>1.3395847287340924E-3</v>
      </c>
      <c r="AC20" s="124"/>
      <c r="AD20" s="106">
        <v>1</v>
      </c>
      <c r="AE20" s="106">
        <v>1</v>
      </c>
      <c r="AF20" s="106">
        <v>2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21">
        <f>IF(Prod[[#This Row],[S1Hrs]]=0,0,Prod[[#This Row],[S1Shot]]*Prod[[#This Row],[S1Cycle]]/(Prod[[#This Row],[S1Hrs]]*60*60))</f>
        <v>0.96096874999999993</v>
      </c>
      <c r="AN20" s="121">
        <f>IF(Prod[[#This Row],[S2Hrs]]=0,0,Prod[[#This Row],[S2Shot]]*Prod[[#This Row],[S2Cycle]]/(Prod[[#This Row],[S2Hrs]]*60*60))</f>
        <v>1.0107083333333333</v>
      </c>
      <c r="AO20" s="121">
        <f>IF(Prod[[#This Row],[S3Hrs]]=0,0,Prod[[#This Row],[S3Shot]]*Prod[[#This Row],[S3Cycle]]/(Prod[[#This Row],[S3Hrs]]*60*60))</f>
        <v>1.0027499999999998</v>
      </c>
      <c r="AP20" s="121">
        <f>IFERROR(AVERAGEIF(Prod[[#This Row],[S1%]:[S3%]], "&lt;&gt;0"),0)</f>
        <v>0.99147569444444439</v>
      </c>
      <c r="AQ20" s="131">
        <v>0</v>
      </c>
      <c r="AR20" s="131">
        <v>0</v>
      </c>
      <c r="AS20" s="131">
        <v>0</v>
      </c>
      <c r="AT20" s="131">
        <f>IF(Prod[[#This Row],[S1Cycle]]&lt;&gt;0,1,0)</f>
        <v>1</v>
      </c>
      <c r="AU20" s="131">
        <f>IF(Prod[[#This Row],[S2Cycle]]&lt;&gt;0,1,0)</f>
        <v>1</v>
      </c>
      <c r="AV20" s="131">
        <f>IF(Prod[[#This Row],[S3Cycle]]&lt;&gt;0,1,0)</f>
        <v>1</v>
      </c>
      <c r="AW20" s="131">
        <f>MAX(Prod[[#This Row],[S1Cavity]],Prod[[#This Row],[S2Cavity]],Prod[[#This Row],[S3Cavity]])</f>
        <v>2</v>
      </c>
    </row>
    <row r="21" spans="1:49" x14ac:dyDescent="0.2">
      <c r="A21" s="116">
        <v>45415</v>
      </c>
      <c r="B21" s="124" t="s">
        <v>148</v>
      </c>
      <c r="C21" s="117" t="s">
        <v>45</v>
      </c>
      <c r="D21" s="112">
        <v>25508</v>
      </c>
      <c r="E21" s="124" t="s">
        <v>46</v>
      </c>
      <c r="F21" s="117" t="s">
        <v>130</v>
      </c>
      <c r="G21" s="117" t="str">
        <f>IF(OR(Prod[[#This Row],[S1Hrs]]&gt;0,Prod[[#This Row],[S2Hrs]]&gt;0,Prod[[#This Row],[S3Hrs]]&gt;0),"Running","Down")</f>
        <v>Running</v>
      </c>
      <c r="H21" s="133">
        <v>41.57</v>
      </c>
      <c r="I21" s="134">
        <v>3.5</v>
      </c>
      <c r="J21" s="123">
        <v>280</v>
      </c>
      <c r="K21" s="123">
        <v>12</v>
      </c>
      <c r="L21" s="106">
        <f>Prod[[#This Row],[S1Shot]]*Prod[[#This Row],[S1Cavity]]-Prod[[#This Row],[S1Dft]]</f>
        <v>3340</v>
      </c>
      <c r="M21" s="126">
        <f>SUM(Prod[[#This Row],[S1Mold]],Prod[[#This Row],[S1Dmg]],Prod[[#This Row],[S1DisclrSpt]])</f>
        <v>20</v>
      </c>
      <c r="N21" s="133">
        <v>41.57</v>
      </c>
      <c r="O21" s="134">
        <v>7</v>
      </c>
      <c r="P21" s="123">
        <v>606</v>
      </c>
      <c r="Q21" s="123">
        <v>12</v>
      </c>
      <c r="R21" s="106">
        <f>Prod[[#This Row],[S2Shot]]*Prod[[#This Row],[S2Cavity]]-Prod[[#This Row],[S2Dft]]</f>
        <v>7271</v>
      </c>
      <c r="S21" s="126">
        <f>SUM(Prod[[#This Row],[S2Mold]],Prod[[#This Row],[S2Dmg]],Prod[[#This Row],[S2DisclrSpt]])</f>
        <v>1</v>
      </c>
      <c r="T21" s="133">
        <v>41.55</v>
      </c>
      <c r="U21" s="134">
        <v>8</v>
      </c>
      <c r="V21" s="123">
        <v>685</v>
      </c>
      <c r="W21" s="123">
        <v>12</v>
      </c>
      <c r="X21" s="106">
        <f>Prod[[#This Row],[S3Shot]]*Prod[[#This Row],[S3Cavity]]-Prod[[#This Row],[S3Dft]]</f>
        <v>8219</v>
      </c>
      <c r="Y21" s="126">
        <f>SUM(Prod[[#This Row],[S3Mold]],Prod[[#This Row],[S3Dmg]],Prod[[#This Row],[S3DisclrSpt]])</f>
        <v>1</v>
      </c>
      <c r="Z21" s="106">
        <f>SUM(Prod[[#This Row],[S1Qty]],Prod[[#This Row],[S2Qty]],Prod[[#This Row],[S3Qty]])</f>
        <v>18830</v>
      </c>
      <c r="AA21" s="123">
        <f>SUM(Prod[[#This Row],[S1Dft]],Prod[[#This Row],[S2Dft]],Prod[[#This Row],[S3Dft]])</f>
        <v>22</v>
      </c>
      <c r="AB21" s="105">
        <f>IF(Prod[[#This Row],[Total]]=0,0,Prod[[#This Row],[TotalDft]]/Prod[[#This Row],[Total]])</f>
        <v>1.168348380244291E-3</v>
      </c>
      <c r="AC21" s="124" t="s">
        <v>290</v>
      </c>
      <c r="AD21" s="106">
        <v>20</v>
      </c>
      <c r="AE21" s="106">
        <v>1</v>
      </c>
      <c r="AF21" s="106">
        <v>1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21">
        <f>IF(Prod[[#This Row],[S1Hrs]]=0,0,Prod[[#This Row],[S1Shot]]*Prod[[#This Row],[S1Cycle]]/(Prod[[#This Row],[S1Hrs]]*60*60))</f>
        <v>0.92377777777777781</v>
      </c>
      <c r="AN21" s="121">
        <f>IF(Prod[[#This Row],[S2Hrs]]=0,0,Prod[[#This Row],[S2Shot]]*Prod[[#This Row],[S2Cycle]]/(Prod[[#This Row],[S2Hrs]]*60*60))</f>
        <v>0.99965952380952383</v>
      </c>
      <c r="AO21" s="121">
        <f>IF(Prod[[#This Row],[S3Hrs]]=0,0,Prod[[#This Row],[S3Shot]]*Prod[[#This Row],[S3Cycle]]/(Prod[[#This Row],[S3Hrs]]*60*60))</f>
        <v>0.98825520833333325</v>
      </c>
      <c r="AP21" s="121">
        <f>IFERROR(AVERAGEIF(Prod[[#This Row],[S1%]:[S3%]], "&lt;&gt;0"),0)</f>
        <v>0.970564169973545</v>
      </c>
      <c r="AQ21" s="131">
        <v>2</v>
      </c>
      <c r="AR21" s="131">
        <v>0</v>
      </c>
      <c r="AS21" s="131">
        <v>0</v>
      </c>
      <c r="AT21" s="131">
        <f>IF(Prod[[#This Row],[S1Cycle]]&lt;&gt;0,1,0)</f>
        <v>1</v>
      </c>
      <c r="AU21" s="131">
        <f>IF(Prod[[#This Row],[S2Cycle]]&lt;&gt;0,1,0)</f>
        <v>1</v>
      </c>
      <c r="AV21" s="131">
        <f>IF(Prod[[#This Row],[S3Cycle]]&lt;&gt;0,1,0)</f>
        <v>1</v>
      </c>
      <c r="AW21" s="131">
        <f>MAX(Prod[[#This Row],[S1Cavity]],Prod[[#This Row],[S2Cavity]],Prod[[#This Row],[S3Cavity]])</f>
        <v>12</v>
      </c>
    </row>
    <row r="22" spans="1:49" x14ac:dyDescent="0.2">
      <c r="A22" s="116">
        <v>45415</v>
      </c>
      <c r="B22" s="117" t="s">
        <v>149</v>
      </c>
      <c r="C22" s="117" t="s">
        <v>65</v>
      </c>
      <c r="D22" s="112">
        <v>26455</v>
      </c>
      <c r="E22" s="124" t="s">
        <v>46</v>
      </c>
      <c r="F22" s="117" t="s">
        <v>130</v>
      </c>
      <c r="G22" s="117" t="str">
        <f>IF(OR(Prod[[#This Row],[S1Hrs]]&gt;0,Prod[[#This Row],[S2Hrs]]&gt;0,Prod[[#This Row],[S3Hrs]]&gt;0),"Running","Down")</f>
        <v>Running</v>
      </c>
      <c r="H22" s="133">
        <v>41.06</v>
      </c>
      <c r="I22" s="134">
        <v>3.5</v>
      </c>
      <c r="J22" s="123">
        <v>289</v>
      </c>
      <c r="K22" s="123">
        <v>12</v>
      </c>
      <c r="L22" s="106">
        <f>Prod[[#This Row],[S1Shot]]*Prod[[#This Row],[S1Cavity]]-Prod[[#This Row],[S1Dft]]</f>
        <v>3453</v>
      </c>
      <c r="M22" s="126">
        <f>SUM(Prod[[#This Row],[S1Mold]],Prod[[#This Row],[S1Dmg]],Prod[[#This Row],[S1DisclrSpt]])</f>
        <v>15</v>
      </c>
      <c r="N22" s="133">
        <v>41.06</v>
      </c>
      <c r="O22" s="134">
        <v>8</v>
      </c>
      <c r="P22" s="123">
        <v>708</v>
      </c>
      <c r="Q22" s="123">
        <v>12</v>
      </c>
      <c r="R22" s="106">
        <f>Prod[[#This Row],[S2Shot]]*Prod[[#This Row],[S2Cavity]]-Prod[[#This Row],[S2Dft]]</f>
        <v>8495</v>
      </c>
      <c r="S22" s="126">
        <f>SUM(Prod[[#This Row],[S2Mold]],Prod[[#This Row],[S2Dmg]],Prod[[#This Row],[S2DisclrSpt]])</f>
        <v>1</v>
      </c>
      <c r="T22" s="133">
        <v>41.05</v>
      </c>
      <c r="U22" s="134">
        <v>8</v>
      </c>
      <c r="V22" s="123">
        <v>709</v>
      </c>
      <c r="W22" s="123">
        <v>12</v>
      </c>
      <c r="X22" s="106">
        <f>Prod[[#This Row],[S3Shot]]*Prod[[#This Row],[S3Cavity]]-Prod[[#This Row],[S3Dft]]</f>
        <v>8507</v>
      </c>
      <c r="Y22" s="126">
        <f>SUM(Prod[[#This Row],[S3Mold]],Prod[[#This Row],[S3Dmg]],Prod[[#This Row],[S3DisclrSpt]])</f>
        <v>1</v>
      </c>
      <c r="Z22" s="106">
        <f>SUM(Prod[[#This Row],[S1Qty]],Prod[[#This Row],[S2Qty]],Prod[[#This Row],[S3Qty]])</f>
        <v>20455</v>
      </c>
      <c r="AA22" s="123">
        <f>SUM(Prod[[#This Row],[S1Dft]],Prod[[#This Row],[S2Dft]],Prod[[#This Row],[S3Dft]])</f>
        <v>17</v>
      </c>
      <c r="AB22" s="105">
        <f>IF(Prod[[#This Row],[Total]]=0,0,Prod[[#This Row],[TotalDft]]/Prod[[#This Row],[Total]])</f>
        <v>8.3109264238572476E-4</v>
      </c>
      <c r="AC22" s="124" t="s">
        <v>289</v>
      </c>
      <c r="AD22" s="106">
        <v>15</v>
      </c>
      <c r="AE22" s="106">
        <v>1</v>
      </c>
      <c r="AF22" s="106">
        <v>1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21">
        <f>IF(Prod[[#This Row],[S1Hrs]]=0,0,Prod[[#This Row],[S1Shot]]*Prod[[#This Row],[S1Cycle]]/(Prod[[#This Row],[S1Hrs]]*60*60))</f>
        <v>0.94177301587301587</v>
      </c>
      <c r="AN22" s="121">
        <f>IF(Prod[[#This Row],[S2Hrs]]=0,0,Prod[[#This Row],[S2Shot]]*Prod[[#This Row],[S2Cycle]]/(Prod[[#This Row],[S2Hrs]]*60*60))</f>
        <v>1.0093916666666667</v>
      </c>
      <c r="AO22" s="121">
        <f>IF(Prod[[#This Row],[S3Hrs]]=0,0,Prod[[#This Row],[S3Shot]]*Prod[[#This Row],[S3Cycle]]/(Prod[[#This Row],[S3Hrs]]*60*60))</f>
        <v>1.0105711805555555</v>
      </c>
      <c r="AP22" s="121">
        <f>IFERROR(AVERAGEIF(Prod[[#This Row],[S1%]:[S3%]], "&lt;&gt;0"),0)</f>
        <v>0.98724528769841269</v>
      </c>
      <c r="AQ22" s="131">
        <v>1</v>
      </c>
      <c r="AR22" s="131">
        <v>0</v>
      </c>
      <c r="AS22" s="131">
        <v>0</v>
      </c>
      <c r="AT22" s="131">
        <f>IF(Prod[[#This Row],[S1Cycle]]&lt;&gt;0,1,0)</f>
        <v>1</v>
      </c>
      <c r="AU22" s="131">
        <f>IF(Prod[[#This Row],[S2Cycle]]&lt;&gt;0,1,0)</f>
        <v>1</v>
      </c>
      <c r="AV22" s="131">
        <f>IF(Prod[[#This Row],[S3Cycle]]&lt;&gt;0,1,0)</f>
        <v>1</v>
      </c>
      <c r="AW22" s="131">
        <f>MAX(Prod[[#This Row],[S1Cavity]],Prod[[#This Row],[S2Cavity]],Prod[[#This Row],[S3Cavity]])</f>
        <v>12</v>
      </c>
    </row>
    <row r="23" spans="1:49" x14ac:dyDescent="0.2">
      <c r="A23" s="116">
        <v>45415</v>
      </c>
      <c r="B23" s="117" t="s">
        <v>150</v>
      </c>
      <c r="C23" s="124" t="s">
        <v>257</v>
      </c>
      <c r="D23" s="112">
        <v>27328</v>
      </c>
      <c r="E23" s="124" t="s">
        <v>46</v>
      </c>
      <c r="F23" s="117" t="s">
        <v>130</v>
      </c>
      <c r="G23" s="117" t="str">
        <f>IF(OR(Prod[[#This Row],[S1Hrs]]&gt;0,Prod[[#This Row],[S2Hrs]]&gt;0,Prod[[#This Row],[S3Hrs]]&gt;0),"Running","Down")</f>
        <v>Running</v>
      </c>
      <c r="H23" s="133">
        <v>41.36</v>
      </c>
      <c r="I23" s="134">
        <v>2.5</v>
      </c>
      <c r="J23" s="123">
        <v>204</v>
      </c>
      <c r="K23" s="123">
        <v>8</v>
      </c>
      <c r="L23" s="106">
        <f>Prod[[#This Row],[S1Shot]]*Prod[[#This Row],[S1Cavity]]-Prod[[#This Row],[S1Dft]]</f>
        <v>1622</v>
      </c>
      <c r="M23" s="126">
        <f>SUM(Prod[[#This Row],[S1Mold]],Prod[[#This Row],[S1Dmg]],Prod[[#This Row],[S1DisclrSpt]])</f>
        <v>10</v>
      </c>
      <c r="N23" s="133">
        <v>0</v>
      </c>
      <c r="O23" s="134">
        <v>0</v>
      </c>
      <c r="P23" s="123">
        <v>0</v>
      </c>
      <c r="Q23" s="123">
        <v>0</v>
      </c>
      <c r="R23" s="106">
        <f>Prod[[#This Row],[S2Shot]]*Prod[[#This Row],[S2Cavity]]-Prod[[#This Row],[S2Dft]]</f>
        <v>0</v>
      </c>
      <c r="S23" s="126">
        <f>SUM(Prod[[#This Row],[S2Mold]],Prod[[#This Row],[S2Dmg]],Prod[[#This Row],[S2DisclrSpt]])</f>
        <v>0</v>
      </c>
      <c r="T23" s="133">
        <v>0</v>
      </c>
      <c r="U23" s="134">
        <v>0</v>
      </c>
      <c r="V23" s="123">
        <v>0</v>
      </c>
      <c r="W23" s="123">
        <v>0</v>
      </c>
      <c r="X23" s="106">
        <f>Prod[[#This Row],[S3Shot]]*Prod[[#This Row],[S3Cavity]]-Prod[[#This Row],[S3Dft]]</f>
        <v>0</v>
      </c>
      <c r="Y23" s="126">
        <f>SUM(Prod[[#This Row],[S3Mold]],Prod[[#This Row],[S3Dmg]],Prod[[#This Row],[S3DisclrSpt]])</f>
        <v>0</v>
      </c>
      <c r="Z23" s="106">
        <f>SUM(Prod[[#This Row],[S1Qty]],Prod[[#This Row],[S2Qty]],Prod[[#This Row],[S3Qty]])</f>
        <v>1622</v>
      </c>
      <c r="AA23" s="123">
        <f>SUM(Prod[[#This Row],[S1Dft]],Prod[[#This Row],[S2Dft]],Prod[[#This Row],[S3Dft]])</f>
        <v>10</v>
      </c>
      <c r="AB23" s="105">
        <f>IF(Prod[[#This Row],[Total]]=0,0,Prod[[#This Row],[TotalDft]]/Prod[[#This Row],[Total]])</f>
        <v>6.1652281134401974E-3</v>
      </c>
      <c r="AC23" s="124" t="s">
        <v>288</v>
      </c>
      <c r="AD23" s="106">
        <v>10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21">
        <f>IF(Prod[[#This Row],[S1Hrs]]=0,0,Prod[[#This Row],[S1Shot]]*Prod[[#This Row],[S1Cycle]]/(Prod[[#This Row],[S1Hrs]]*60*60))</f>
        <v>0.9374933333333334</v>
      </c>
      <c r="AN23" s="121">
        <f>IF(Prod[[#This Row],[S2Hrs]]=0,0,Prod[[#This Row],[S2Shot]]*Prod[[#This Row],[S2Cycle]]/(Prod[[#This Row],[S2Hrs]]*60*60))</f>
        <v>0</v>
      </c>
      <c r="AO23" s="121">
        <f>IF(Prod[[#This Row],[S3Hrs]]=0,0,Prod[[#This Row],[S3Shot]]*Prod[[#This Row],[S3Cycle]]/(Prod[[#This Row],[S3Hrs]]*60*60))</f>
        <v>0</v>
      </c>
      <c r="AP23" s="121">
        <f>IFERROR(AVERAGEIF(Prod[[#This Row],[S1%]:[S3%]], "&lt;&gt;0"),0)</f>
        <v>0.9374933333333334</v>
      </c>
      <c r="AQ23" s="131">
        <v>0.5</v>
      </c>
      <c r="AR23" s="131"/>
      <c r="AS23" s="131">
        <v>0</v>
      </c>
      <c r="AT23" s="131">
        <f>IF(Prod[[#This Row],[S1Cycle]]&lt;&gt;0,1,0)</f>
        <v>1</v>
      </c>
      <c r="AU23" s="131">
        <f>IF(Prod[[#This Row],[S2Cycle]]&lt;&gt;0,1,0)</f>
        <v>0</v>
      </c>
      <c r="AV23" s="131">
        <f>IF(Prod[[#This Row],[S3Cycle]]&lt;&gt;0,1,0)</f>
        <v>0</v>
      </c>
      <c r="AW23" s="131">
        <f>MAX(Prod[[#This Row],[S1Cavity]],Prod[[#This Row],[S2Cavity]],Prod[[#This Row],[S3Cavity]])</f>
        <v>8</v>
      </c>
    </row>
    <row r="24" spans="1:49" x14ac:dyDescent="0.2">
      <c r="A24" s="116">
        <v>45415</v>
      </c>
      <c r="B24" s="117" t="s">
        <v>220</v>
      </c>
      <c r="C24" s="117" t="s">
        <v>224</v>
      </c>
      <c r="D24" s="112">
        <v>27227</v>
      </c>
      <c r="E24" s="124" t="s">
        <v>280</v>
      </c>
      <c r="F24" s="117" t="s">
        <v>130</v>
      </c>
      <c r="G24" s="117" t="str">
        <f>IF(OR(Prod[[#This Row],[S1Hrs]]&gt;0,Prod[[#This Row],[S2Hrs]]&gt;0,Prod[[#This Row],[S3Hrs]]&gt;0),"Running","Down")</f>
        <v>Running</v>
      </c>
      <c r="H24" s="133">
        <v>41.94</v>
      </c>
      <c r="I24" s="134">
        <v>8</v>
      </c>
      <c r="J24" s="123">
        <v>687</v>
      </c>
      <c r="K24" s="123">
        <v>12</v>
      </c>
      <c r="L24" s="106">
        <f>Prod[[#This Row],[S1Shot]]*Prod[[#This Row],[S1Cavity]]-Prod[[#This Row],[S1Dft]]</f>
        <v>8243</v>
      </c>
      <c r="M24" s="126">
        <f>SUM(Prod[[#This Row],[S1Mold]],Prod[[#This Row],[S1Dmg]],Prod[[#This Row],[S1DisclrSpt]])</f>
        <v>1</v>
      </c>
      <c r="N24" s="133">
        <v>41.94</v>
      </c>
      <c r="O24" s="134">
        <v>8</v>
      </c>
      <c r="P24" s="123">
        <v>552</v>
      </c>
      <c r="Q24" s="123">
        <v>12</v>
      </c>
      <c r="R24" s="106">
        <f>Prod[[#This Row],[S2Shot]]*Prod[[#This Row],[S2Cavity]]-Prod[[#This Row],[S2Dft]]</f>
        <v>6622</v>
      </c>
      <c r="S24" s="126">
        <f>SUM(Prod[[#This Row],[S2Mold]],Prod[[#This Row],[S2Dmg]],Prod[[#This Row],[S2DisclrSpt]])</f>
        <v>2</v>
      </c>
      <c r="T24" s="133">
        <v>41.85</v>
      </c>
      <c r="U24" s="134">
        <v>5</v>
      </c>
      <c r="V24" s="123">
        <v>420</v>
      </c>
      <c r="W24" s="123">
        <v>12</v>
      </c>
      <c r="X24" s="106">
        <f>Prod[[#This Row],[S3Shot]]*Prod[[#This Row],[S3Cavity]]-Prod[[#This Row],[S3Dft]]</f>
        <v>5039</v>
      </c>
      <c r="Y24" s="126">
        <f>SUM(Prod[[#This Row],[S3Mold]],Prod[[#This Row],[S3Dmg]],Prod[[#This Row],[S3DisclrSpt]])</f>
        <v>1</v>
      </c>
      <c r="Z24" s="106">
        <f>SUM(Prod[[#This Row],[S1Qty]],Prod[[#This Row],[S2Qty]],Prod[[#This Row],[S3Qty]])</f>
        <v>19904</v>
      </c>
      <c r="AA24" s="123">
        <f>SUM(Prod[[#This Row],[S1Dft]],Prod[[#This Row],[S2Dft]],Prod[[#This Row],[S3Dft]])</f>
        <v>4</v>
      </c>
      <c r="AB24" s="105">
        <f>IF(Prod[[#This Row],[Total]]=0,0,Prod[[#This Row],[TotalDft]]/Prod[[#This Row],[Total]])</f>
        <v>2.0096463022508038E-4</v>
      </c>
      <c r="AC24" s="124"/>
      <c r="AD24" s="106">
        <v>1</v>
      </c>
      <c r="AE24" s="106">
        <v>2</v>
      </c>
      <c r="AF24" s="106">
        <v>1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21">
        <f>IF(Prod[[#This Row],[S1Hrs]]=0,0,Prod[[#This Row],[S1Shot]]*Prod[[#This Row],[S1Cycle]]/(Prod[[#This Row],[S1Hrs]]*60*60))</f>
        <v>1.0004437499999999</v>
      </c>
      <c r="AN24" s="121">
        <f>IF(Prod[[#This Row],[S2Hrs]]=0,0,Prod[[#This Row],[S2Shot]]*Prod[[#This Row],[S2Cycle]]/(Prod[[#This Row],[S2Hrs]]*60*60))</f>
        <v>0.80384999999999995</v>
      </c>
      <c r="AO24" s="121">
        <f>IF(Prod[[#This Row],[S3Hrs]]=0,0,Prod[[#This Row],[S3Shot]]*Prod[[#This Row],[S3Cycle]]/(Prod[[#This Row],[S3Hrs]]*60*60))</f>
        <v>0.97650000000000003</v>
      </c>
      <c r="AP24" s="121">
        <f>IFERROR(AVERAGEIF(Prod[[#This Row],[S1%]:[S3%]], "&lt;&gt;0"),0)</f>
        <v>0.92693124999999998</v>
      </c>
      <c r="AQ24" s="131">
        <v>0</v>
      </c>
      <c r="AR24" s="131">
        <v>0</v>
      </c>
      <c r="AS24" s="131">
        <v>0</v>
      </c>
      <c r="AT24" s="131">
        <f>IF(Prod[[#This Row],[S1Cycle]]&lt;&gt;0,1,0)</f>
        <v>1</v>
      </c>
      <c r="AU24" s="131">
        <f>IF(Prod[[#This Row],[S2Cycle]]&lt;&gt;0,1,0)</f>
        <v>1</v>
      </c>
      <c r="AV24" s="131">
        <f>IF(Prod[[#This Row],[S3Cycle]]&lt;&gt;0,1,0)</f>
        <v>1</v>
      </c>
      <c r="AW24" s="131">
        <f>MAX(Prod[[#This Row],[S1Cavity]],Prod[[#This Row],[S2Cavity]],Prod[[#This Row],[S3Cavity]])</f>
        <v>12</v>
      </c>
    </row>
    <row r="25" spans="1:49" x14ac:dyDescent="0.2">
      <c r="A25" s="116">
        <v>45415</v>
      </c>
      <c r="B25" s="117" t="s">
        <v>220</v>
      </c>
      <c r="C25" s="117" t="s">
        <v>224</v>
      </c>
      <c r="D25" s="112">
        <v>27298</v>
      </c>
      <c r="E25" s="124" t="s">
        <v>280</v>
      </c>
      <c r="F25" s="117" t="s">
        <v>130</v>
      </c>
      <c r="G25" s="117" t="str">
        <f>IF(OR(Prod[[#This Row],[S1Hrs]]&gt;0,Prod[[#This Row],[S2Hrs]]&gt;0,Prod[[#This Row],[S3Hrs]]&gt;0),"Running","Down")</f>
        <v>Running</v>
      </c>
      <c r="H25" s="133">
        <v>0</v>
      </c>
      <c r="I25" s="134">
        <v>0</v>
      </c>
      <c r="J25" s="123">
        <v>0</v>
      </c>
      <c r="K25" s="123">
        <v>0</v>
      </c>
      <c r="L25" s="106">
        <f>Prod[[#This Row],[S1Shot]]*Prod[[#This Row],[S1Cavity]]-Prod[[#This Row],[S1Dft]]</f>
        <v>0</v>
      </c>
      <c r="M25" s="126">
        <f>SUM(Prod[[#This Row],[S1Mold]],Prod[[#This Row],[S1Dmg]],Prod[[#This Row],[S1DisclrSpt]])</f>
        <v>0</v>
      </c>
      <c r="N25" s="133">
        <v>0</v>
      </c>
      <c r="O25" s="134">
        <v>0</v>
      </c>
      <c r="P25" s="123">
        <v>0</v>
      </c>
      <c r="Q25" s="123">
        <v>0</v>
      </c>
      <c r="R25" s="106">
        <f>Prod[[#This Row],[S2Shot]]*Prod[[#This Row],[S2Cavity]]-Prod[[#This Row],[S2Dft]]</f>
        <v>0</v>
      </c>
      <c r="S25" s="126">
        <f>SUM(Prod[[#This Row],[S2Mold]],Prod[[#This Row],[S2Dmg]],Prod[[#This Row],[S2DisclrSpt]])</f>
        <v>0</v>
      </c>
      <c r="T25" s="133">
        <v>41.85</v>
      </c>
      <c r="U25" s="134">
        <v>3</v>
      </c>
      <c r="V25" s="123">
        <v>264</v>
      </c>
      <c r="W25" s="123">
        <v>12</v>
      </c>
      <c r="X25" s="106">
        <f>Prod[[#This Row],[S3Shot]]*Prod[[#This Row],[S3Cavity]]-Prod[[#This Row],[S3Dft]]</f>
        <v>3167</v>
      </c>
      <c r="Y25" s="126">
        <f>SUM(Prod[[#This Row],[S3Mold]],Prod[[#This Row],[S3Dmg]],Prod[[#This Row],[S3DisclrSpt]])</f>
        <v>1</v>
      </c>
      <c r="Z25" s="106">
        <f>SUM(Prod[[#This Row],[S1Qty]],Prod[[#This Row],[S2Qty]],Prod[[#This Row],[S3Qty]])</f>
        <v>3167</v>
      </c>
      <c r="AA25" s="123">
        <f>SUM(Prod[[#This Row],[S1Dft]],Prod[[#This Row],[S2Dft]],Prod[[#This Row],[S3Dft]])</f>
        <v>1</v>
      </c>
      <c r="AB25" s="105">
        <f>IF(Prod[[#This Row],[Total]]=0,0,Prod[[#This Row],[TotalDft]]/Prod[[#This Row],[Total]])</f>
        <v>3.1575623618566466E-4</v>
      </c>
      <c r="AC25" s="124" t="s">
        <v>291</v>
      </c>
      <c r="AD25" s="106">
        <v>0</v>
      </c>
      <c r="AE25" s="106">
        <v>0</v>
      </c>
      <c r="AF25" s="106">
        <v>1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21">
        <f>IF(Prod[[#This Row],[S1Hrs]]=0,0,Prod[[#This Row],[S1Shot]]*Prod[[#This Row],[S1Cycle]]/(Prod[[#This Row],[S1Hrs]]*60*60))</f>
        <v>0</v>
      </c>
      <c r="AN25" s="121">
        <f>IF(Prod[[#This Row],[S2Hrs]]=0,0,Prod[[#This Row],[S2Shot]]*Prod[[#This Row],[S2Cycle]]/(Prod[[#This Row],[S2Hrs]]*60*60))</f>
        <v>0</v>
      </c>
      <c r="AO25" s="121">
        <f>IF(Prod[[#This Row],[S3Hrs]]=0,0,Prod[[#This Row],[S3Shot]]*Prod[[#This Row],[S3Cycle]]/(Prod[[#This Row],[S3Hrs]]*60*60))</f>
        <v>1.0229999999999999</v>
      </c>
      <c r="AP25" s="121">
        <f>IFERROR(AVERAGEIF(Prod[[#This Row],[S1%]:[S3%]], "&lt;&gt;0"),0)</f>
        <v>1.0229999999999999</v>
      </c>
      <c r="AQ25" s="131">
        <v>0</v>
      </c>
      <c r="AR25" s="131">
        <v>0</v>
      </c>
      <c r="AS25" s="131">
        <v>0</v>
      </c>
      <c r="AT25" s="131">
        <f>IF(Prod[[#This Row],[S1Cycle]]&lt;&gt;0,1,0)</f>
        <v>0</v>
      </c>
      <c r="AU25" s="131">
        <f>IF(Prod[[#This Row],[S2Cycle]]&lt;&gt;0,1,0)</f>
        <v>0</v>
      </c>
      <c r="AV25" s="131">
        <f>IF(Prod[[#This Row],[S3Cycle]]&lt;&gt;0,1,0)</f>
        <v>1</v>
      </c>
      <c r="AW25" s="131">
        <f>MAX(Prod[[#This Row],[S1Cavity]],Prod[[#This Row],[S2Cavity]],Prod[[#This Row],[S3Cavity]])</f>
        <v>12</v>
      </c>
    </row>
    <row r="26" spans="1:49" x14ac:dyDescent="0.2">
      <c r="A26" s="116">
        <v>45415</v>
      </c>
      <c r="B26" s="117" t="s">
        <v>221</v>
      </c>
      <c r="C26" s="124" t="s">
        <v>234</v>
      </c>
      <c r="D26" s="112">
        <v>26455</v>
      </c>
      <c r="E26" s="124" t="s">
        <v>46</v>
      </c>
      <c r="F26" s="124" t="s">
        <v>130</v>
      </c>
      <c r="G26" s="117" t="str">
        <f>IF(OR(Prod[[#This Row],[S1Hrs]]&gt;0,Prod[[#This Row],[S2Hrs]]&gt;0,Prod[[#This Row],[S3Hrs]]&gt;0),"Running","Down")</f>
        <v>Running</v>
      </c>
      <c r="H26" s="133">
        <v>41.36</v>
      </c>
      <c r="I26" s="134">
        <v>4</v>
      </c>
      <c r="J26" s="123">
        <v>376</v>
      </c>
      <c r="K26" s="123">
        <v>12</v>
      </c>
      <c r="L26" s="106">
        <f>Prod[[#This Row],[S1Shot]]*Prod[[#This Row],[S1Cavity]]-Prod[[#This Row],[S1Dft]]</f>
        <v>4487</v>
      </c>
      <c r="M26" s="126">
        <f>SUM(Prod[[#This Row],[S1Mold]],Prod[[#This Row],[S1Dmg]],Prod[[#This Row],[S1DisclrSpt]])</f>
        <v>25</v>
      </c>
      <c r="N26" s="133">
        <v>41.36</v>
      </c>
      <c r="O26" s="134">
        <v>8</v>
      </c>
      <c r="P26" s="123">
        <v>694</v>
      </c>
      <c r="Q26" s="123">
        <v>12</v>
      </c>
      <c r="R26" s="106">
        <f>Prod[[#This Row],[S2Shot]]*Prod[[#This Row],[S2Cavity]]-Prod[[#This Row],[S2Dft]]</f>
        <v>8326</v>
      </c>
      <c r="S26" s="126">
        <f>SUM(Prod[[#This Row],[S2Mold]],Prod[[#This Row],[S2Dmg]],Prod[[#This Row],[S2DisclrSpt]])</f>
        <v>2</v>
      </c>
      <c r="T26" s="133">
        <v>41.29</v>
      </c>
      <c r="U26" s="134">
        <v>8</v>
      </c>
      <c r="V26" s="123">
        <v>680</v>
      </c>
      <c r="W26" s="123">
        <v>12</v>
      </c>
      <c r="X26" s="106">
        <f>Prod[[#This Row],[S3Shot]]*Prod[[#This Row],[S3Cavity]]-Prod[[#This Row],[S3Dft]]</f>
        <v>8159</v>
      </c>
      <c r="Y26" s="126">
        <f>SUM(Prod[[#This Row],[S3Mold]],Prod[[#This Row],[S3Dmg]],Prod[[#This Row],[S3DisclrSpt]])</f>
        <v>1</v>
      </c>
      <c r="Z26" s="106">
        <f>SUM(Prod[[#This Row],[S1Qty]],Prod[[#This Row],[S2Qty]],Prod[[#This Row],[S3Qty]])</f>
        <v>20972</v>
      </c>
      <c r="AA26" s="123">
        <f>SUM(Prod[[#This Row],[S1Dft]],Prod[[#This Row],[S2Dft]],Prod[[#This Row],[S3Dft]])</f>
        <v>28</v>
      </c>
      <c r="AB26" s="105">
        <f>IF(Prod[[#This Row],[Total]]=0,0,Prod[[#This Row],[TotalDft]]/Prod[[#This Row],[Total]])</f>
        <v>1.3351134846461949E-3</v>
      </c>
      <c r="AC26" s="124" t="s">
        <v>290</v>
      </c>
      <c r="AD26" s="106">
        <v>25</v>
      </c>
      <c r="AE26" s="106">
        <v>2</v>
      </c>
      <c r="AF26" s="106">
        <v>1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21">
        <f>IF(Prod[[#This Row],[S1Hrs]]=0,0,Prod[[#This Row],[S1Shot]]*Prod[[#This Row],[S1Cycle]]/(Prod[[#This Row],[S1Hrs]]*60*60))</f>
        <v>1.0799555555555556</v>
      </c>
      <c r="AN26" s="121">
        <f>IF(Prod[[#This Row],[S2Hrs]]=0,0,Prod[[#This Row],[S2Shot]]*Prod[[#This Row],[S2Cycle]]/(Prod[[#This Row],[S2Hrs]]*60*60))</f>
        <v>0.99666111111111111</v>
      </c>
      <c r="AO26" s="121">
        <f>IF(Prod[[#This Row],[S3Hrs]]=0,0,Prod[[#This Row],[S3Shot]]*Prod[[#This Row],[S3Cycle]]/(Prod[[#This Row],[S3Hrs]]*60*60))</f>
        <v>0.97490277777777778</v>
      </c>
      <c r="AP26" s="121">
        <f>IFERROR(AVERAGEIF(Prod[[#This Row],[S1%]:[S3%]], "&lt;&gt;0"),0)</f>
        <v>1.0171731481481483</v>
      </c>
      <c r="AQ26" s="131">
        <v>2</v>
      </c>
      <c r="AR26" s="131">
        <v>0</v>
      </c>
      <c r="AS26" s="131">
        <v>0</v>
      </c>
      <c r="AT26" s="131">
        <f>IF(Prod[[#This Row],[S1Cycle]]&lt;&gt;0,1,0)</f>
        <v>1</v>
      </c>
      <c r="AU26" s="131">
        <f>IF(Prod[[#This Row],[S2Cycle]]&lt;&gt;0,1,0)</f>
        <v>1</v>
      </c>
      <c r="AV26" s="131">
        <f>IF(Prod[[#This Row],[S3Cycle]]&lt;&gt;0,1,0)</f>
        <v>1</v>
      </c>
      <c r="AW26" s="131">
        <f>MAX(Prod[[#This Row],[S1Cavity]],Prod[[#This Row],[S2Cavity]],Prod[[#This Row],[S3Cavity]])</f>
        <v>12</v>
      </c>
    </row>
    <row r="27" spans="1:49" x14ac:dyDescent="0.2">
      <c r="A27" s="116">
        <v>45415</v>
      </c>
      <c r="B27" s="117" t="s">
        <v>222</v>
      </c>
      <c r="C27" s="117" t="s">
        <v>223</v>
      </c>
      <c r="D27" s="112">
        <v>27423</v>
      </c>
      <c r="E27" s="124" t="s">
        <v>46</v>
      </c>
      <c r="F27" s="117" t="s">
        <v>130</v>
      </c>
      <c r="G27" s="117" t="str">
        <f>IF(OR(Prod[[#This Row],[S1Hrs]]&gt;0,Prod[[#This Row],[S2Hrs]]&gt;0,Prod[[#This Row],[S3Hrs]]&gt;0),"Running","Down")</f>
        <v>Running</v>
      </c>
      <c r="H27" s="133">
        <v>41.05</v>
      </c>
      <c r="I27" s="134">
        <v>4.25</v>
      </c>
      <c r="J27" s="123">
        <v>350</v>
      </c>
      <c r="K27" s="123">
        <v>8</v>
      </c>
      <c r="L27" s="106">
        <f>Prod[[#This Row],[S1Shot]]*Prod[[#This Row],[S1Cavity]]-Prod[[#This Row],[S1Dft]]</f>
        <v>2785</v>
      </c>
      <c r="M27" s="126">
        <f>SUM(Prod[[#This Row],[S1Mold]],Prod[[#This Row],[S1Dmg]],Prod[[#This Row],[S1DisclrSpt]])</f>
        <v>15</v>
      </c>
      <c r="N27" s="133">
        <v>41.05</v>
      </c>
      <c r="O27" s="134">
        <v>8</v>
      </c>
      <c r="P27" s="123">
        <v>701</v>
      </c>
      <c r="Q27" s="123">
        <v>8</v>
      </c>
      <c r="R27" s="106">
        <f>Prod[[#This Row],[S2Shot]]*Prod[[#This Row],[S2Cavity]]-Prod[[#This Row],[S2Dft]]</f>
        <v>5607</v>
      </c>
      <c r="S27" s="126">
        <f>SUM(Prod[[#This Row],[S2Mold]],Prod[[#This Row],[S2Dmg]],Prod[[#This Row],[S2DisclrSpt]])</f>
        <v>1</v>
      </c>
      <c r="T27" s="133">
        <v>41.05</v>
      </c>
      <c r="U27" s="134">
        <v>8</v>
      </c>
      <c r="V27" s="123">
        <v>700</v>
      </c>
      <c r="W27" s="123">
        <v>8</v>
      </c>
      <c r="X27" s="106">
        <f>Prod[[#This Row],[S3Shot]]*Prod[[#This Row],[S3Cavity]]-Prod[[#This Row],[S3Dft]]</f>
        <v>5599</v>
      </c>
      <c r="Y27" s="126">
        <f>SUM(Prod[[#This Row],[S3Mold]],Prod[[#This Row],[S3Dmg]],Prod[[#This Row],[S3DisclrSpt]])</f>
        <v>1</v>
      </c>
      <c r="Z27" s="106">
        <f>SUM(Prod[[#This Row],[S1Qty]],Prod[[#This Row],[S2Qty]],Prod[[#This Row],[S3Qty]])</f>
        <v>13991</v>
      </c>
      <c r="AA27" s="123">
        <f>SUM(Prod[[#This Row],[S1Dft]],Prod[[#This Row],[S2Dft]],Prod[[#This Row],[S3Dft]])</f>
        <v>17</v>
      </c>
      <c r="AB27" s="105">
        <f>IF(Prod[[#This Row],[Total]]=0,0,Prod[[#This Row],[TotalDft]]/Prod[[#This Row],[Total]])</f>
        <v>1.215066828675577E-3</v>
      </c>
      <c r="AC27" s="124" t="s">
        <v>290</v>
      </c>
      <c r="AD27" s="106">
        <v>15</v>
      </c>
      <c r="AE27" s="106">
        <v>1</v>
      </c>
      <c r="AF27" s="106">
        <v>1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21">
        <f>IF(Prod[[#This Row],[S1Hrs]]=0,0,Prod[[#This Row],[S1Shot]]*Prod[[#This Row],[S1Cycle]]/(Prod[[#This Row],[S1Hrs]]*60*60))</f>
        <v>0.93905228758169923</v>
      </c>
      <c r="AN27" s="121">
        <f>IF(Prod[[#This Row],[S2Hrs]]=0,0,Prod[[#This Row],[S2Shot]]*Prod[[#This Row],[S2Cycle]]/(Prod[[#This Row],[S2Hrs]]*60*60))</f>
        <v>0.99916840277777774</v>
      </c>
      <c r="AO27" s="121">
        <f>IF(Prod[[#This Row],[S3Hrs]]=0,0,Prod[[#This Row],[S3Shot]]*Prod[[#This Row],[S3Cycle]]/(Prod[[#This Row],[S3Hrs]]*60*60))</f>
        <v>0.99774305555555542</v>
      </c>
      <c r="AP27" s="121">
        <f>IFERROR(AVERAGEIF(Prod[[#This Row],[S1%]:[S3%]], "&lt;&gt;0"),0)</f>
        <v>0.97865458197167754</v>
      </c>
      <c r="AQ27" s="131">
        <v>2</v>
      </c>
      <c r="AR27" s="131">
        <v>0</v>
      </c>
      <c r="AS27" s="131">
        <v>0</v>
      </c>
      <c r="AT27" s="131">
        <f>IF(Prod[[#This Row],[S1Cycle]]&lt;&gt;0,1,0)</f>
        <v>1</v>
      </c>
      <c r="AU27" s="131">
        <f>IF(Prod[[#This Row],[S2Cycle]]&lt;&gt;0,1,0)</f>
        <v>1</v>
      </c>
      <c r="AV27" s="131">
        <f>IF(Prod[[#This Row],[S3Cycle]]&lt;&gt;0,1,0)</f>
        <v>1</v>
      </c>
      <c r="AW27" s="131">
        <f>MAX(Prod[[#This Row],[S1Cavity]],Prod[[#This Row],[S2Cavity]],Prod[[#This Row],[S3Cavity]])</f>
        <v>8</v>
      </c>
    </row>
    <row r="28" spans="1:49" x14ac:dyDescent="0.2">
      <c r="A28" s="116">
        <v>45415</v>
      </c>
      <c r="B28" s="124" t="s">
        <v>269</v>
      </c>
      <c r="C28" s="124" t="s">
        <v>270</v>
      </c>
      <c r="D28" s="112">
        <v>26976</v>
      </c>
      <c r="E28" s="124" t="s">
        <v>274</v>
      </c>
      <c r="F28" s="117" t="s">
        <v>130</v>
      </c>
      <c r="G28" s="117" t="str">
        <f>IF(OR(Prod[[#This Row],[S1Hrs]]&gt;0,Prod[[#This Row],[S2Hrs]]&gt;0,Prod[[#This Row],[S3Hrs]]&gt;0),"Running","Down")</f>
        <v>Running</v>
      </c>
      <c r="H28" s="133">
        <v>57.3</v>
      </c>
      <c r="I28" s="134">
        <v>8</v>
      </c>
      <c r="J28" s="123">
        <v>496</v>
      </c>
      <c r="K28" s="123">
        <v>2</v>
      </c>
      <c r="L28" s="106">
        <f>Prod[[#This Row],[S1Shot]]*Prod[[#This Row],[S1Cavity]]-Prod[[#This Row],[S1Dft]]</f>
        <v>991</v>
      </c>
      <c r="M28" s="126">
        <f>SUM(Prod[[#This Row],[S1Mold]],Prod[[#This Row],[S1Dmg]],Prod[[#This Row],[S1DisclrSpt]])</f>
        <v>1</v>
      </c>
      <c r="N28" s="133">
        <v>57.3</v>
      </c>
      <c r="O28" s="134">
        <v>8</v>
      </c>
      <c r="P28" s="123">
        <v>507</v>
      </c>
      <c r="Q28" s="123">
        <v>2</v>
      </c>
      <c r="R28" s="106">
        <f>Prod[[#This Row],[S2Shot]]*Prod[[#This Row],[S2Cavity]]-Prod[[#This Row],[S2Dft]]</f>
        <v>1014</v>
      </c>
      <c r="S28" s="126">
        <f>SUM(Prod[[#This Row],[S2Mold]],Prod[[#This Row],[S2Dmg]],Prod[[#This Row],[S2DisclrSpt]])</f>
        <v>0</v>
      </c>
      <c r="T28" s="133">
        <v>57.2</v>
      </c>
      <c r="U28" s="134">
        <v>8</v>
      </c>
      <c r="V28" s="123">
        <v>504</v>
      </c>
      <c r="W28" s="123">
        <v>2</v>
      </c>
      <c r="X28" s="106">
        <f>Prod[[#This Row],[S3Shot]]*Prod[[#This Row],[S3Cavity]]-Prod[[#This Row],[S3Dft]]</f>
        <v>1008</v>
      </c>
      <c r="Y28" s="126">
        <f>SUM(Prod[[#This Row],[S3Mold]],Prod[[#This Row],[S3Dmg]],Prod[[#This Row],[S3DisclrSpt]])</f>
        <v>0</v>
      </c>
      <c r="Z28" s="106">
        <f>SUM(Prod[[#This Row],[S1Qty]],Prod[[#This Row],[S2Qty]],Prod[[#This Row],[S3Qty]])</f>
        <v>3013</v>
      </c>
      <c r="AA28" s="123">
        <f>SUM(Prod[[#This Row],[S1Dft]],Prod[[#This Row],[S2Dft]],Prod[[#This Row],[S3Dft]])</f>
        <v>1</v>
      </c>
      <c r="AB28" s="105">
        <f>IF(Prod[[#This Row],[Total]]=0,0,Prod[[#This Row],[TotalDft]]/Prod[[#This Row],[Total]])</f>
        <v>3.3189512114171923E-4</v>
      </c>
      <c r="AC28" s="124"/>
      <c r="AD28" s="106">
        <v>1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21">
        <f>IF(Prod[[#This Row],[S1Hrs]]=0,0,Prod[[#This Row],[S1Shot]]*Prod[[#This Row],[S1Cycle]]/(Prod[[#This Row],[S1Hrs]]*60*60))</f>
        <v>0.98683333333333334</v>
      </c>
      <c r="AN28" s="121">
        <f>IF(Prod[[#This Row],[S2Hrs]]=0,0,Prod[[#This Row],[S2Shot]]*Prod[[#This Row],[S2Cycle]]/(Prod[[#This Row],[S2Hrs]]*60*60))</f>
        <v>1.0087187499999999</v>
      </c>
      <c r="AO28" s="121">
        <f>IF(Prod[[#This Row],[S3Hrs]]=0,0,Prod[[#This Row],[S3Shot]]*Prod[[#This Row],[S3Cycle]]/(Prod[[#This Row],[S3Hrs]]*60*60))</f>
        <v>1.0010000000000001</v>
      </c>
      <c r="AP28" s="121">
        <f>IFERROR(AVERAGEIF(Prod[[#This Row],[S1%]:[S3%]], "&lt;&gt;0"),0)</f>
        <v>0.99885069444444452</v>
      </c>
      <c r="AQ28" s="131">
        <v>0</v>
      </c>
      <c r="AR28" s="131">
        <v>0</v>
      </c>
      <c r="AS28" s="131">
        <v>0</v>
      </c>
      <c r="AT28" s="131">
        <f>IF(Prod[[#This Row],[S1Cycle]]&lt;&gt;0,1,0)</f>
        <v>1</v>
      </c>
      <c r="AU28" s="131">
        <f>IF(Prod[[#This Row],[S2Cycle]]&lt;&gt;0,1,0)</f>
        <v>1</v>
      </c>
      <c r="AV28" s="131">
        <f>IF(Prod[[#This Row],[S3Cycle]]&lt;&gt;0,1,0)</f>
        <v>1</v>
      </c>
      <c r="AW28" s="131">
        <f>MAX(Prod[[#This Row],[S1Cavity]],Prod[[#This Row],[S2Cavity]],Prod[[#This Row],[S3Cavity]])</f>
        <v>2</v>
      </c>
    </row>
    <row r="29" spans="1:49" x14ac:dyDescent="0.2">
      <c r="A29" s="116">
        <v>45416</v>
      </c>
      <c r="B29" s="124" t="s">
        <v>148</v>
      </c>
      <c r="C29" s="117" t="s">
        <v>45</v>
      </c>
      <c r="D29" s="112">
        <v>25508</v>
      </c>
      <c r="E29" s="124" t="s">
        <v>46</v>
      </c>
      <c r="F29" s="117" t="s">
        <v>130</v>
      </c>
      <c r="G29" s="117" t="str">
        <f>IF(OR(Prod[[#This Row],[S1Hrs]]&gt;0,Prod[[#This Row],[S2Hrs]]&gt;0,Prod[[#This Row],[S3Hrs]]&gt;0),"Running","Down")</f>
        <v>Running</v>
      </c>
      <c r="H29" s="133">
        <v>41.56</v>
      </c>
      <c r="I29" s="134">
        <v>8</v>
      </c>
      <c r="J29" s="123">
        <v>697</v>
      </c>
      <c r="K29" s="123">
        <v>12</v>
      </c>
      <c r="L29" s="106">
        <f>Prod[[#This Row],[S1Shot]]*Prod[[#This Row],[S1Cavity]]-Prod[[#This Row],[S1Dft]]</f>
        <v>8363</v>
      </c>
      <c r="M29" s="126">
        <f>SUM(Prod[[#This Row],[S1Mold]],Prod[[#This Row],[S1Dmg]],Prod[[#This Row],[S1DisclrSpt]])</f>
        <v>1</v>
      </c>
      <c r="N29" s="133">
        <v>41.56</v>
      </c>
      <c r="O29" s="134">
        <v>8</v>
      </c>
      <c r="P29" s="123">
        <v>665</v>
      </c>
      <c r="Q29" s="123">
        <v>12</v>
      </c>
      <c r="R29" s="106">
        <f>Prod[[#This Row],[S2Shot]]*Prod[[#This Row],[S2Cavity]]-Prod[[#This Row],[S2Dft]]</f>
        <v>7978</v>
      </c>
      <c r="S29" s="126">
        <f>SUM(Prod[[#This Row],[S2Mold]],Prod[[#This Row],[S2Dmg]],Prod[[#This Row],[S2DisclrSpt]])</f>
        <v>2</v>
      </c>
      <c r="T29" s="133">
        <v>41.588000000000001</v>
      </c>
      <c r="U29" s="134">
        <v>8</v>
      </c>
      <c r="V29" s="123">
        <v>685</v>
      </c>
      <c r="W29" s="123">
        <v>12</v>
      </c>
      <c r="X29" s="106">
        <f>Prod[[#This Row],[S3Shot]]*Prod[[#This Row],[S3Cavity]]-Prod[[#This Row],[S3Dft]]</f>
        <v>8219</v>
      </c>
      <c r="Y29" s="126">
        <f>SUM(Prod[[#This Row],[S3Mold]],Prod[[#This Row],[S3Dmg]],Prod[[#This Row],[S3DisclrSpt]])</f>
        <v>1</v>
      </c>
      <c r="Z29" s="106">
        <f>SUM(Prod[[#This Row],[S1Qty]],Prod[[#This Row],[S2Qty]],Prod[[#This Row],[S3Qty]])</f>
        <v>24560</v>
      </c>
      <c r="AA29" s="123">
        <f>SUM(Prod[[#This Row],[S1Dft]],Prod[[#This Row],[S2Dft]],Prod[[#This Row],[S3Dft]])</f>
        <v>4</v>
      </c>
      <c r="AB29" s="105">
        <f>IF(Prod[[#This Row],[Total]]=0,0,Prod[[#This Row],[TotalDft]]/Prod[[#This Row],[Total]])</f>
        <v>1.6286644951140066E-4</v>
      </c>
      <c r="AC29" s="124"/>
      <c r="AD29" s="106">
        <v>1</v>
      </c>
      <c r="AE29" s="106">
        <v>2</v>
      </c>
      <c r="AF29" s="106">
        <v>1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21">
        <f>IF(Prod[[#This Row],[S1Hrs]]=0,0,Prod[[#This Row],[S1Shot]]*Prod[[#This Row],[S1Cycle]]/(Prod[[#This Row],[S1Hrs]]*60*60))</f>
        <v>1.0058097222222224</v>
      </c>
      <c r="AN29" s="121">
        <f>IF(Prod[[#This Row],[S2Hrs]]=0,0,Prod[[#This Row],[S2Shot]]*Prod[[#This Row],[S2Cycle]]/(Prod[[#This Row],[S2Hrs]]*60*60))</f>
        <v>0.95963194444444444</v>
      </c>
      <c r="AO29" s="121">
        <f>IF(Prod[[#This Row],[S3Hrs]]=0,0,Prod[[#This Row],[S3Shot]]*Prod[[#This Row],[S3Cycle]]/(Prod[[#This Row],[S3Hrs]]*60*60))</f>
        <v>0.98915902777777787</v>
      </c>
      <c r="AP29" s="121">
        <f>IFERROR(AVERAGEIF(Prod[[#This Row],[S1%]:[S3%]], "&lt;&gt;0"),0)</f>
        <v>0.98486689814814821</v>
      </c>
      <c r="AQ29" s="131">
        <v>0</v>
      </c>
      <c r="AR29" s="131">
        <v>0</v>
      </c>
      <c r="AS29" s="131">
        <v>0</v>
      </c>
      <c r="AT29" s="131">
        <f>IF(Prod[[#This Row],[S1Cycle]]&lt;&gt;0,1,0)</f>
        <v>1</v>
      </c>
      <c r="AU29" s="131">
        <f>IF(Prod[[#This Row],[S2Cycle]]&lt;&gt;0,1,0)</f>
        <v>1</v>
      </c>
      <c r="AV29" s="131">
        <f>IF(Prod[[#This Row],[S3Cycle]]&lt;&gt;0,1,0)</f>
        <v>1</v>
      </c>
      <c r="AW29" s="131">
        <f>MAX(Prod[[#This Row],[S1Cavity]],Prod[[#This Row],[S2Cavity]],Prod[[#This Row],[S3Cavity]])</f>
        <v>12</v>
      </c>
    </row>
    <row r="30" spans="1:49" x14ac:dyDescent="0.2">
      <c r="A30" s="116">
        <v>45416</v>
      </c>
      <c r="B30" s="117" t="s">
        <v>149</v>
      </c>
      <c r="C30" s="117" t="s">
        <v>65</v>
      </c>
      <c r="D30" s="112">
        <v>26455</v>
      </c>
      <c r="E30" s="124" t="s">
        <v>46</v>
      </c>
      <c r="F30" s="117" t="s">
        <v>130</v>
      </c>
      <c r="G30" s="117" t="str">
        <f>IF(OR(Prod[[#This Row],[S1Hrs]]&gt;0,Prod[[#This Row],[S2Hrs]]&gt;0,Prod[[#This Row],[S3Hrs]]&gt;0),"Running","Down")</f>
        <v>Running</v>
      </c>
      <c r="H30" s="133">
        <v>41.06</v>
      </c>
      <c r="I30" s="134">
        <v>7.5</v>
      </c>
      <c r="J30" s="123">
        <v>667</v>
      </c>
      <c r="K30" s="123">
        <v>12</v>
      </c>
      <c r="L30" s="106">
        <f>Prod[[#This Row],[S1Shot]]*Prod[[#This Row],[S1Cavity]]-Prod[[#This Row],[S1Dft]]</f>
        <v>7999</v>
      </c>
      <c r="M30" s="126">
        <f>SUM(Prod[[#This Row],[S1Mold]],Prod[[#This Row],[S1Dmg]],Prod[[#This Row],[S1DisclrSpt]])</f>
        <v>5</v>
      </c>
      <c r="N30" s="133">
        <v>41.06</v>
      </c>
      <c r="O30" s="134">
        <v>8</v>
      </c>
      <c r="P30" s="123">
        <v>696</v>
      </c>
      <c r="Q30" s="123">
        <v>12</v>
      </c>
      <c r="R30" s="106">
        <f>Prod[[#This Row],[S2Shot]]*Prod[[#This Row],[S2Cavity]]-Prod[[#This Row],[S2Dft]]</f>
        <v>8351</v>
      </c>
      <c r="S30" s="126">
        <f>SUM(Prod[[#This Row],[S2Mold]],Prod[[#This Row],[S2Dmg]],Prod[[#This Row],[S2DisclrSpt]])</f>
        <v>1</v>
      </c>
      <c r="T30" s="133">
        <v>41.65</v>
      </c>
      <c r="U30" s="134">
        <v>8</v>
      </c>
      <c r="V30" s="123">
        <v>709</v>
      </c>
      <c r="W30" s="123">
        <v>12</v>
      </c>
      <c r="X30" s="106">
        <f>Prod[[#This Row],[S3Shot]]*Prod[[#This Row],[S3Cavity]]-Prod[[#This Row],[S3Dft]]</f>
        <v>8506</v>
      </c>
      <c r="Y30" s="126">
        <f>SUM(Prod[[#This Row],[S3Mold]],Prod[[#This Row],[S3Dmg]],Prod[[#This Row],[S3DisclrSpt]])</f>
        <v>2</v>
      </c>
      <c r="Z30" s="106">
        <f>SUM(Prod[[#This Row],[S1Qty]],Prod[[#This Row],[S2Qty]],Prod[[#This Row],[S3Qty]])</f>
        <v>24856</v>
      </c>
      <c r="AA30" s="123">
        <f>SUM(Prod[[#This Row],[S1Dft]],Prod[[#This Row],[S2Dft]],Prod[[#This Row],[S3Dft]])</f>
        <v>8</v>
      </c>
      <c r="AB30" s="105">
        <f>IF(Prod[[#This Row],[Total]]=0,0,Prod[[#This Row],[TotalDft]]/Prod[[#This Row],[Total]])</f>
        <v>3.2185387833923401E-4</v>
      </c>
      <c r="AC30" s="124" t="s">
        <v>296</v>
      </c>
      <c r="AD30" s="106">
        <v>5</v>
      </c>
      <c r="AE30" s="106">
        <v>1</v>
      </c>
      <c r="AF30" s="106">
        <v>2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21">
        <f>IF(Prod[[#This Row],[S1Hrs]]=0,0,Prod[[#This Row],[S1Shot]]*Prod[[#This Row],[S1Cycle]]/(Prod[[#This Row],[S1Hrs]]*60*60))</f>
        <v>1.0143340740740741</v>
      </c>
      <c r="AN30" s="121">
        <f>IF(Prod[[#This Row],[S2Hrs]]=0,0,Prod[[#This Row],[S2Shot]]*Prod[[#This Row],[S2Cycle]]/(Prod[[#This Row],[S2Hrs]]*60*60))</f>
        <v>0.99228333333333341</v>
      </c>
      <c r="AO30" s="121">
        <f>IF(Prod[[#This Row],[S3Hrs]]=0,0,Prod[[#This Row],[S3Shot]]*Prod[[#This Row],[S3Cycle]]/(Prod[[#This Row],[S3Hrs]]*60*60))</f>
        <v>1.0253420138888889</v>
      </c>
      <c r="AP30" s="121">
        <f>IFERROR(AVERAGEIF(Prod[[#This Row],[S1%]:[S3%]], "&lt;&gt;0"),0)</f>
        <v>1.0106531404320989</v>
      </c>
      <c r="AQ30" s="131">
        <v>0</v>
      </c>
      <c r="AR30" s="131">
        <v>0.5</v>
      </c>
      <c r="AS30" s="131">
        <v>0</v>
      </c>
      <c r="AT30" s="131">
        <f>IF(Prod[[#This Row],[S1Cycle]]&lt;&gt;0,1,0)</f>
        <v>1</v>
      </c>
      <c r="AU30" s="131">
        <f>IF(Prod[[#This Row],[S2Cycle]]&lt;&gt;0,1,0)</f>
        <v>1</v>
      </c>
      <c r="AV30" s="131">
        <f>IF(Prod[[#This Row],[S3Cycle]]&lt;&gt;0,1,0)</f>
        <v>1</v>
      </c>
      <c r="AW30" s="131">
        <f>MAX(Prod[[#This Row],[S1Cavity]],Prod[[#This Row],[S2Cavity]],Prod[[#This Row],[S3Cavity]])</f>
        <v>12</v>
      </c>
    </row>
    <row r="31" spans="1:49" x14ac:dyDescent="0.2">
      <c r="A31" s="116">
        <v>45416</v>
      </c>
      <c r="B31" s="117" t="s">
        <v>150</v>
      </c>
      <c r="C31" s="124" t="s">
        <v>257</v>
      </c>
      <c r="D31" s="112"/>
      <c r="E31" s="124"/>
      <c r="F31" s="117" t="s">
        <v>130</v>
      </c>
      <c r="G31" s="117" t="str">
        <f>IF(OR(Prod[[#This Row],[S1Hrs]]&gt;0,Prod[[#This Row],[S2Hrs]]&gt;0,Prod[[#This Row],[S3Hrs]]&gt;0),"Running","Down")</f>
        <v>Down</v>
      </c>
      <c r="H31" s="133">
        <v>0</v>
      </c>
      <c r="I31" s="134">
        <v>0</v>
      </c>
      <c r="J31" s="123">
        <v>0</v>
      </c>
      <c r="K31" s="123">
        <v>0</v>
      </c>
      <c r="L31" s="106">
        <f>Prod[[#This Row],[S1Shot]]*Prod[[#This Row],[S1Cavity]]-Prod[[#This Row],[S1Dft]]</f>
        <v>0</v>
      </c>
      <c r="M31" s="126">
        <f>SUM(Prod[[#This Row],[S1Mold]],Prod[[#This Row],[S1Dmg]],Prod[[#This Row],[S1DisclrSpt]])</f>
        <v>0</v>
      </c>
      <c r="N31" s="133">
        <v>0</v>
      </c>
      <c r="O31" s="134">
        <v>0</v>
      </c>
      <c r="P31" s="123">
        <v>0</v>
      </c>
      <c r="Q31" s="123">
        <v>0</v>
      </c>
      <c r="R31" s="106">
        <f>Prod[[#This Row],[S2Shot]]*Prod[[#This Row],[S2Cavity]]-Prod[[#This Row],[S2Dft]]</f>
        <v>0</v>
      </c>
      <c r="S31" s="126">
        <f>SUM(Prod[[#This Row],[S2Mold]],Prod[[#This Row],[S2Dmg]],Prod[[#This Row],[S2DisclrSpt]])</f>
        <v>0</v>
      </c>
      <c r="T31" s="133">
        <v>0</v>
      </c>
      <c r="U31" s="134">
        <v>0</v>
      </c>
      <c r="V31" s="123">
        <v>0</v>
      </c>
      <c r="W31" s="123">
        <v>0</v>
      </c>
      <c r="X31" s="106">
        <f>Prod[[#This Row],[S3Shot]]*Prod[[#This Row],[S3Cavity]]-Prod[[#This Row],[S3Dft]]</f>
        <v>0</v>
      </c>
      <c r="Y31" s="126">
        <f>SUM(Prod[[#This Row],[S3Mold]],Prod[[#This Row],[S3Dmg]],Prod[[#This Row],[S3DisclrSpt]])</f>
        <v>0</v>
      </c>
      <c r="Z31" s="106">
        <f>SUM(Prod[[#This Row],[S1Qty]],Prod[[#This Row],[S2Qty]],Prod[[#This Row],[S3Qty]])</f>
        <v>0</v>
      </c>
      <c r="AA31" s="123">
        <f>SUM(Prod[[#This Row],[S1Dft]],Prod[[#This Row],[S2Dft]],Prod[[#This Row],[S3Dft]])</f>
        <v>0</v>
      </c>
      <c r="AB31" s="105">
        <f>IF(Prod[[#This Row],[Total]]=0,0,Prod[[#This Row],[TotalDft]]/Prod[[#This Row],[Total]])</f>
        <v>0</v>
      </c>
      <c r="AC31" s="124"/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21">
        <f>IF(Prod[[#This Row],[S1Hrs]]=0,0,Prod[[#This Row],[S1Shot]]*Prod[[#This Row],[S1Cycle]]/(Prod[[#This Row],[S1Hrs]]*60*60))</f>
        <v>0</v>
      </c>
      <c r="AN31" s="121">
        <f>IF(Prod[[#This Row],[S2Hrs]]=0,0,Prod[[#This Row],[S2Shot]]*Prod[[#This Row],[S2Cycle]]/(Prod[[#This Row],[S2Hrs]]*60*60))</f>
        <v>0</v>
      </c>
      <c r="AO31" s="121">
        <f>IF(Prod[[#This Row],[S3Hrs]]=0,0,Prod[[#This Row],[S3Shot]]*Prod[[#This Row],[S3Cycle]]/(Prod[[#This Row],[S3Hrs]]*60*60))</f>
        <v>0</v>
      </c>
      <c r="AP31" s="121">
        <f>IFERROR(AVERAGEIF(Prod[[#This Row],[S1%]:[S3%]], "&lt;&gt;0"),0)</f>
        <v>0</v>
      </c>
      <c r="AQ31" s="131">
        <v>0</v>
      </c>
      <c r="AR31" s="131"/>
      <c r="AS31" s="131">
        <v>0</v>
      </c>
      <c r="AT31" s="131">
        <f>IF(Prod[[#This Row],[S1Cycle]]&lt;&gt;0,1,0)</f>
        <v>0</v>
      </c>
      <c r="AU31" s="131">
        <f>IF(Prod[[#This Row],[S2Cycle]]&lt;&gt;0,1,0)</f>
        <v>0</v>
      </c>
      <c r="AV31" s="131">
        <f>IF(Prod[[#This Row],[S3Cycle]]&lt;&gt;0,1,0)</f>
        <v>0</v>
      </c>
      <c r="AW31" s="131">
        <f>MAX(Prod[[#This Row],[S1Cavity]],Prod[[#This Row],[S2Cavity]],Prod[[#This Row],[S3Cavity]])</f>
        <v>0</v>
      </c>
    </row>
    <row r="32" spans="1:49" x14ac:dyDescent="0.2">
      <c r="A32" s="116">
        <v>45416</v>
      </c>
      <c r="B32" s="117" t="s">
        <v>220</v>
      </c>
      <c r="C32" s="117" t="s">
        <v>224</v>
      </c>
      <c r="D32" s="112">
        <v>27298</v>
      </c>
      <c r="E32" s="124" t="s">
        <v>280</v>
      </c>
      <c r="F32" s="117" t="s">
        <v>130</v>
      </c>
      <c r="G32" s="117" t="str">
        <f>IF(OR(Prod[[#This Row],[S1Hrs]]&gt;0,Prod[[#This Row],[S2Hrs]]&gt;0,Prod[[#This Row],[S3Hrs]]&gt;0),"Running","Down")</f>
        <v>Running</v>
      </c>
      <c r="H32" s="133">
        <v>41.81</v>
      </c>
      <c r="I32" s="134">
        <v>7.5</v>
      </c>
      <c r="J32" s="123">
        <v>517</v>
      </c>
      <c r="K32" s="123">
        <v>12</v>
      </c>
      <c r="L32" s="106">
        <f>Prod[[#This Row],[S1Shot]]*Prod[[#This Row],[S1Cavity]]-Prod[[#This Row],[S1Dft]]</f>
        <v>6201</v>
      </c>
      <c r="M32" s="126">
        <f>SUM(Prod[[#This Row],[S1Mold]],Prod[[#This Row],[S1Dmg]],Prod[[#This Row],[S1DisclrSpt]])</f>
        <v>3</v>
      </c>
      <c r="N32" s="133">
        <v>41.85</v>
      </c>
      <c r="O32" s="134">
        <v>8</v>
      </c>
      <c r="P32" s="123">
        <v>672</v>
      </c>
      <c r="Q32" s="123">
        <v>12</v>
      </c>
      <c r="R32" s="106">
        <f>Prod[[#This Row],[S2Shot]]*Prod[[#This Row],[S2Cavity]]-Prod[[#This Row],[S2Dft]]</f>
        <v>8063</v>
      </c>
      <c r="S32" s="126">
        <f>SUM(Prod[[#This Row],[S2Mold]],Prod[[#This Row],[S2Dmg]],Prod[[#This Row],[S2DisclrSpt]])</f>
        <v>1</v>
      </c>
      <c r="T32" s="133">
        <v>41.83</v>
      </c>
      <c r="U32" s="134">
        <v>8</v>
      </c>
      <c r="V32" s="123">
        <v>684</v>
      </c>
      <c r="W32" s="123">
        <v>12</v>
      </c>
      <c r="X32" s="106">
        <f>Prod[[#This Row],[S3Shot]]*Prod[[#This Row],[S3Cavity]]-Prod[[#This Row],[S3Dft]]</f>
        <v>8207</v>
      </c>
      <c r="Y32" s="126">
        <f>SUM(Prod[[#This Row],[S3Mold]],Prod[[#This Row],[S3Dmg]],Prod[[#This Row],[S3DisclrSpt]])</f>
        <v>1</v>
      </c>
      <c r="Z32" s="106">
        <f>SUM(Prod[[#This Row],[S1Qty]],Prod[[#This Row],[S2Qty]],Prod[[#This Row],[S3Qty]])</f>
        <v>22471</v>
      </c>
      <c r="AA32" s="123">
        <f>SUM(Prod[[#This Row],[S1Dft]],Prod[[#This Row],[S2Dft]],Prod[[#This Row],[S3Dft]])</f>
        <v>5</v>
      </c>
      <c r="AB32" s="105">
        <f>IF(Prod[[#This Row],[Total]]=0,0,Prod[[#This Row],[TotalDft]]/Prod[[#This Row],[Total]])</f>
        <v>2.225090116149704E-4</v>
      </c>
      <c r="AC32" s="124" t="s">
        <v>275</v>
      </c>
      <c r="AD32" s="106">
        <v>3</v>
      </c>
      <c r="AE32" s="106">
        <v>1</v>
      </c>
      <c r="AF32" s="106">
        <v>1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21">
        <f>IF(Prod[[#This Row],[S1Hrs]]=0,0,Prod[[#This Row],[S1Shot]]*Prod[[#This Row],[S1Cycle]]/(Prod[[#This Row],[S1Hrs]]*60*60))</f>
        <v>0.80058407407407406</v>
      </c>
      <c r="AN32" s="121">
        <f>IF(Prod[[#This Row],[S2Hrs]]=0,0,Prod[[#This Row],[S2Shot]]*Prod[[#This Row],[S2Cycle]]/(Prod[[#This Row],[S2Hrs]]*60*60))</f>
        <v>0.97650000000000003</v>
      </c>
      <c r="AO32" s="121">
        <f>IF(Prod[[#This Row],[S3Hrs]]=0,0,Prod[[#This Row],[S3Shot]]*Prod[[#This Row],[S3Cycle]]/(Prod[[#This Row],[S3Hrs]]*60*60))</f>
        <v>0.99346249999999992</v>
      </c>
      <c r="AP32" s="121">
        <f>IFERROR(AVERAGEIF(Prod[[#This Row],[S1%]:[S3%]], "&lt;&gt;0"),0)</f>
        <v>0.923515524691358</v>
      </c>
      <c r="AQ32" s="131">
        <v>0</v>
      </c>
      <c r="AR32" s="131">
        <v>0.5</v>
      </c>
      <c r="AS32" s="131">
        <v>0</v>
      </c>
      <c r="AT32" s="131">
        <f>IF(Prod[[#This Row],[S1Cycle]]&lt;&gt;0,1,0)</f>
        <v>1</v>
      </c>
      <c r="AU32" s="131">
        <f>IF(Prod[[#This Row],[S2Cycle]]&lt;&gt;0,1,0)</f>
        <v>1</v>
      </c>
      <c r="AV32" s="131">
        <f>IF(Prod[[#This Row],[S3Cycle]]&lt;&gt;0,1,0)</f>
        <v>1</v>
      </c>
      <c r="AW32" s="131">
        <f>MAX(Prod[[#This Row],[S1Cavity]],Prod[[#This Row],[S2Cavity]],Prod[[#This Row],[S3Cavity]])</f>
        <v>12</v>
      </c>
    </row>
    <row r="33" spans="1:49" x14ac:dyDescent="0.2">
      <c r="A33" s="116">
        <v>45416</v>
      </c>
      <c r="B33" s="117" t="s">
        <v>221</v>
      </c>
      <c r="C33" s="124" t="s">
        <v>234</v>
      </c>
      <c r="D33" s="112">
        <v>26455</v>
      </c>
      <c r="E33" s="124" t="s">
        <v>46</v>
      </c>
      <c r="F33" s="124" t="s">
        <v>130</v>
      </c>
      <c r="G33" s="117" t="str">
        <f>IF(OR(Prod[[#This Row],[S1Hrs]]&gt;0,Prod[[#This Row],[S2Hrs]]&gt;0,Prod[[#This Row],[S3Hrs]]&gt;0),"Running","Down")</f>
        <v>Running</v>
      </c>
      <c r="H33" s="133">
        <v>41.26</v>
      </c>
      <c r="I33" s="134">
        <v>8</v>
      </c>
      <c r="J33" s="123">
        <v>697</v>
      </c>
      <c r="K33" s="123">
        <v>12</v>
      </c>
      <c r="L33" s="106">
        <f>Prod[[#This Row],[S1Shot]]*Prod[[#This Row],[S1Cavity]]-Prod[[#This Row],[S1Dft]]</f>
        <v>8363</v>
      </c>
      <c r="M33" s="126">
        <f>SUM(Prod[[#This Row],[S1Mold]],Prod[[#This Row],[S1Dmg]],Prod[[#This Row],[S1DisclrSpt]])</f>
        <v>1</v>
      </c>
      <c r="N33" s="133">
        <v>41.25</v>
      </c>
      <c r="O33" s="134">
        <v>8</v>
      </c>
      <c r="P33" s="123">
        <v>686</v>
      </c>
      <c r="Q33" s="123">
        <v>12</v>
      </c>
      <c r="R33" s="106">
        <f>Prod[[#This Row],[S2Shot]]*Prod[[#This Row],[S2Cavity]]-Prod[[#This Row],[S2Dft]]</f>
        <v>8230</v>
      </c>
      <c r="S33" s="126">
        <f>SUM(Prod[[#This Row],[S2Mold]],Prod[[#This Row],[S2Dmg]],Prod[[#This Row],[S2DisclrSpt]])</f>
        <v>2</v>
      </c>
      <c r="T33" s="133">
        <v>41.31</v>
      </c>
      <c r="U33" s="134">
        <v>8</v>
      </c>
      <c r="V33" s="123">
        <v>684</v>
      </c>
      <c r="W33" s="123">
        <v>12</v>
      </c>
      <c r="X33" s="106">
        <f>Prod[[#This Row],[S3Shot]]*Prod[[#This Row],[S3Cavity]]-Prod[[#This Row],[S3Dft]]</f>
        <v>8208</v>
      </c>
      <c r="Y33" s="126">
        <f>SUM(Prod[[#This Row],[S3Mold]],Prod[[#This Row],[S3Dmg]],Prod[[#This Row],[S3DisclrSpt]])</f>
        <v>0</v>
      </c>
      <c r="Z33" s="106">
        <f>SUM(Prod[[#This Row],[S1Qty]],Prod[[#This Row],[S2Qty]],Prod[[#This Row],[S3Qty]])</f>
        <v>24801</v>
      </c>
      <c r="AA33" s="123">
        <f>SUM(Prod[[#This Row],[S1Dft]],Prod[[#This Row],[S2Dft]],Prod[[#This Row],[S3Dft]])</f>
        <v>3</v>
      </c>
      <c r="AB33" s="105">
        <f>IF(Prod[[#This Row],[Total]]=0,0,Prod[[#This Row],[TotalDft]]/Prod[[#This Row],[Total]])</f>
        <v>1.2096286440062901E-4</v>
      </c>
      <c r="AC33" s="124"/>
      <c r="AD33" s="106">
        <v>1</v>
      </c>
      <c r="AE33" s="106">
        <v>2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21">
        <f>IF(Prod[[#This Row],[S1Hrs]]=0,0,Prod[[#This Row],[S1Shot]]*Prod[[#This Row],[S1Cycle]]/(Prod[[#This Row],[S1Hrs]]*60*60))</f>
        <v>0.99854930555555543</v>
      </c>
      <c r="AN33" s="121">
        <f>IF(Prod[[#This Row],[S2Hrs]]=0,0,Prod[[#This Row],[S2Shot]]*Prod[[#This Row],[S2Cycle]]/(Prod[[#This Row],[S2Hrs]]*60*60))</f>
        <v>0.98255208333333333</v>
      </c>
      <c r="AO33" s="121">
        <f>IF(Prod[[#This Row],[S3Hrs]]=0,0,Prod[[#This Row],[S3Shot]]*Prod[[#This Row],[S3Cycle]]/(Prod[[#This Row],[S3Hrs]]*60*60))</f>
        <v>0.98111250000000005</v>
      </c>
      <c r="AP33" s="121">
        <f>IFERROR(AVERAGEIF(Prod[[#This Row],[S1%]:[S3%]], "&lt;&gt;0"),0)</f>
        <v>0.9874046296296296</v>
      </c>
      <c r="AQ33" s="131">
        <v>0</v>
      </c>
      <c r="AR33" s="131">
        <v>0</v>
      </c>
      <c r="AS33" s="131">
        <v>0</v>
      </c>
      <c r="AT33" s="131">
        <f>IF(Prod[[#This Row],[S1Cycle]]&lt;&gt;0,1,0)</f>
        <v>1</v>
      </c>
      <c r="AU33" s="131">
        <f>IF(Prod[[#This Row],[S2Cycle]]&lt;&gt;0,1,0)</f>
        <v>1</v>
      </c>
      <c r="AV33" s="131">
        <f>IF(Prod[[#This Row],[S3Cycle]]&lt;&gt;0,1,0)</f>
        <v>1</v>
      </c>
      <c r="AW33" s="131">
        <f>MAX(Prod[[#This Row],[S1Cavity]],Prod[[#This Row],[S2Cavity]],Prod[[#This Row],[S3Cavity]])</f>
        <v>12</v>
      </c>
    </row>
    <row r="34" spans="1:49" x14ac:dyDescent="0.2">
      <c r="A34" s="116">
        <v>45416</v>
      </c>
      <c r="B34" s="117" t="s">
        <v>222</v>
      </c>
      <c r="C34" s="117" t="s">
        <v>223</v>
      </c>
      <c r="D34" s="112">
        <v>27423</v>
      </c>
      <c r="E34" s="124" t="s">
        <v>46</v>
      </c>
      <c r="F34" s="117" t="s">
        <v>130</v>
      </c>
      <c r="G34" s="117" t="str">
        <f>IF(OR(Prod[[#This Row],[S1Hrs]]&gt;0,Prod[[#This Row],[S2Hrs]]&gt;0,Prod[[#This Row],[S3Hrs]]&gt;0),"Running","Down")</f>
        <v>Running</v>
      </c>
      <c r="H34" s="133">
        <v>41.05</v>
      </c>
      <c r="I34" s="134">
        <v>8</v>
      </c>
      <c r="J34" s="123">
        <v>700</v>
      </c>
      <c r="K34" s="123">
        <v>8</v>
      </c>
      <c r="L34" s="106">
        <f>Prod[[#This Row],[S1Shot]]*Prod[[#This Row],[S1Cavity]]-Prod[[#This Row],[S1Dft]]</f>
        <v>5599</v>
      </c>
      <c r="M34" s="126">
        <f>SUM(Prod[[#This Row],[S1Mold]],Prod[[#This Row],[S1Dmg]],Prod[[#This Row],[S1DisclrSpt]])</f>
        <v>1</v>
      </c>
      <c r="N34" s="133">
        <v>41.06</v>
      </c>
      <c r="O34" s="134">
        <v>8</v>
      </c>
      <c r="P34" s="123">
        <v>701</v>
      </c>
      <c r="Q34" s="123">
        <v>8</v>
      </c>
      <c r="R34" s="106">
        <f>Prod[[#This Row],[S2Shot]]*Prod[[#This Row],[S2Cavity]]-Prod[[#This Row],[S2Dft]]</f>
        <v>5608</v>
      </c>
      <c r="S34" s="126">
        <f>SUM(Prod[[#This Row],[S2Mold]],Prod[[#This Row],[S2Dmg]],Prod[[#This Row],[S2DisclrSpt]])</f>
        <v>0</v>
      </c>
      <c r="T34" s="133">
        <v>41.06</v>
      </c>
      <c r="U34" s="134">
        <v>8</v>
      </c>
      <c r="V34" s="123">
        <v>699</v>
      </c>
      <c r="W34" s="123">
        <v>8</v>
      </c>
      <c r="X34" s="106">
        <f>Prod[[#This Row],[S3Shot]]*Prod[[#This Row],[S3Cavity]]-Prod[[#This Row],[S3Dft]]</f>
        <v>5591</v>
      </c>
      <c r="Y34" s="126">
        <f>SUM(Prod[[#This Row],[S3Mold]],Prod[[#This Row],[S3Dmg]],Prod[[#This Row],[S3DisclrSpt]])</f>
        <v>1</v>
      </c>
      <c r="Z34" s="106">
        <f>SUM(Prod[[#This Row],[S1Qty]],Prod[[#This Row],[S2Qty]],Prod[[#This Row],[S3Qty]])</f>
        <v>16798</v>
      </c>
      <c r="AA34" s="123">
        <f>SUM(Prod[[#This Row],[S1Dft]],Prod[[#This Row],[S2Dft]],Prod[[#This Row],[S3Dft]])</f>
        <v>2</v>
      </c>
      <c r="AB34" s="105">
        <f>IF(Prod[[#This Row],[Total]]=0,0,Prod[[#This Row],[TotalDft]]/Prod[[#This Row],[Total]])</f>
        <v>1.1906179307060365E-4</v>
      </c>
      <c r="AC34" s="124"/>
      <c r="AD34" s="106">
        <v>1</v>
      </c>
      <c r="AE34" s="106">
        <v>0</v>
      </c>
      <c r="AF34" s="106">
        <v>1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21">
        <f>IF(Prod[[#This Row],[S1Hrs]]=0,0,Prod[[#This Row],[S1Shot]]*Prod[[#This Row],[S1Cycle]]/(Prod[[#This Row],[S1Hrs]]*60*60))</f>
        <v>0.99774305555555542</v>
      </c>
      <c r="AN34" s="121">
        <f>IF(Prod[[#This Row],[S2Hrs]]=0,0,Prod[[#This Row],[S2Shot]]*Prod[[#This Row],[S2Cycle]]/(Prod[[#This Row],[S2Hrs]]*60*60))</f>
        <v>0.99941180555555564</v>
      </c>
      <c r="AO34" s="121">
        <f>IF(Prod[[#This Row],[S3Hrs]]=0,0,Prod[[#This Row],[S3Shot]]*Prod[[#This Row],[S3Cycle]]/(Prod[[#This Row],[S3Hrs]]*60*60))</f>
        <v>0.99656041666666673</v>
      </c>
      <c r="AP34" s="121">
        <f>IFERROR(AVERAGEIF(Prod[[#This Row],[S1%]:[S3%]], "&lt;&gt;0"),0)</f>
        <v>0.99790509259259252</v>
      </c>
      <c r="AQ34" s="131">
        <v>0</v>
      </c>
      <c r="AR34" s="131">
        <v>0</v>
      </c>
      <c r="AS34" s="131">
        <v>0</v>
      </c>
      <c r="AT34" s="131">
        <f>IF(Prod[[#This Row],[S1Cycle]]&lt;&gt;0,1,0)</f>
        <v>1</v>
      </c>
      <c r="AU34" s="131">
        <f>IF(Prod[[#This Row],[S2Cycle]]&lt;&gt;0,1,0)</f>
        <v>1</v>
      </c>
      <c r="AV34" s="131">
        <f>IF(Prod[[#This Row],[S3Cycle]]&lt;&gt;0,1,0)</f>
        <v>1</v>
      </c>
      <c r="AW34" s="131">
        <f>MAX(Prod[[#This Row],[S1Cavity]],Prod[[#This Row],[S2Cavity]],Prod[[#This Row],[S3Cavity]])</f>
        <v>8</v>
      </c>
    </row>
    <row r="35" spans="1:49" x14ac:dyDescent="0.2">
      <c r="A35" s="116">
        <v>45416</v>
      </c>
      <c r="B35" s="124" t="s">
        <v>269</v>
      </c>
      <c r="C35" s="124" t="s">
        <v>270</v>
      </c>
      <c r="D35" s="112">
        <v>26976</v>
      </c>
      <c r="E35" s="124" t="s">
        <v>274</v>
      </c>
      <c r="F35" s="117" t="s">
        <v>130</v>
      </c>
      <c r="G35" s="117" t="str">
        <f>IF(OR(Prod[[#This Row],[S1Hrs]]&gt;0,Prod[[#This Row],[S2Hrs]]&gt;0,Prod[[#This Row],[S3Hrs]]&gt;0),"Running","Down")</f>
        <v>Running</v>
      </c>
      <c r="H35" s="133">
        <v>57.3</v>
      </c>
      <c r="I35" s="134">
        <v>8</v>
      </c>
      <c r="J35" s="123">
        <v>495</v>
      </c>
      <c r="K35" s="123">
        <v>2</v>
      </c>
      <c r="L35" s="106">
        <f>Prod[[#This Row],[S1Shot]]*Prod[[#This Row],[S1Cavity]]-Prod[[#This Row],[S1Dft]]</f>
        <v>989</v>
      </c>
      <c r="M35" s="126">
        <f>SUM(Prod[[#This Row],[S1Mold]],Prod[[#This Row],[S1Dmg]],Prod[[#This Row],[S1DisclrSpt]])</f>
        <v>1</v>
      </c>
      <c r="N35" s="133">
        <v>57.2</v>
      </c>
      <c r="O35" s="134">
        <v>8</v>
      </c>
      <c r="P35" s="123">
        <v>513</v>
      </c>
      <c r="Q35" s="123">
        <v>2</v>
      </c>
      <c r="R35" s="106">
        <f>Prod[[#This Row],[S2Shot]]*Prod[[#This Row],[S2Cavity]]-Prod[[#This Row],[S2Dft]]</f>
        <v>1026</v>
      </c>
      <c r="S35" s="126">
        <f>SUM(Prod[[#This Row],[S2Mold]],Prod[[#This Row],[S2Dmg]],Prod[[#This Row],[S2DisclrSpt]])</f>
        <v>0</v>
      </c>
      <c r="T35" s="133">
        <v>57.2</v>
      </c>
      <c r="U35" s="134">
        <v>8</v>
      </c>
      <c r="V35" s="123">
        <v>504</v>
      </c>
      <c r="W35" s="123">
        <v>2</v>
      </c>
      <c r="X35" s="106">
        <f>Prod[[#This Row],[S3Shot]]*Prod[[#This Row],[S3Cavity]]-Prod[[#This Row],[S3Dft]]</f>
        <v>1008</v>
      </c>
      <c r="Y35" s="126">
        <f>SUM(Prod[[#This Row],[S3Mold]],Prod[[#This Row],[S3Dmg]],Prod[[#This Row],[S3DisclrSpt]])</f>
        <v>0</v>
      </c>
      <c r="Z35" s="106">
        <f>SUM(Prod[[#This Row],[S1Qty]],Prod[[#This Row],[S2Qty]],Prod[[#This Row],[S3Qty]])</f>
        <v>3023</v>
      </c>
      <c r="AA35" s="123">
        <f>SUM(Prod[[#This Row],[S1Dft]],Prod[[#This Row],[S2Dft]],Prod[[#This Row],[S3Dft]])</f>
        <v>1</v>
      </c>
      <c r="AB35" s="105">
        <f>IF(Prod[[#This Row],[Total]]=0,0,Prod[[#This Row],[TotalDft]]/Prod[[#This Row],[Total]])</f>
        <v>3.3079722130334107E-4</v>
      </c>
      <c r="AC35" s="124"/>
      <c r="AD35" s="106">
        <v>1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21">
        <f>IF(Prod[[#This Row],[S1Hrs]]=0,0,Prod[[#This Row],[S1Shot]]*Prod[[#This Row],[S1Cycle]]/(Prod[[#This Row],[S1Hrs]]*60*60))</f>
        <v>0.98484375000000002</v>
      </c>
      <c r="AN35" s="121">
        <f>IF(Prod[[#This Row],[S2Hrs]]=0,0,Prod[[#This Row],[S2Shot]]*Prod[[#This Row],[S2Cycle]]/(Prod[[#This Row],[S2Hrs]]*60*60))</f>
        <v>1.018875</v>
      </c>
      <c r="AO35" s="121">
        <f>IF(Prod[[#This Row],[S3Hrs]]=0,0,Prod[[#This Row],[S3Shot]]*Prod[[#This Row],[S3Cycle]]/(Prod[[#This Row],[S3Hrs]]*60*60))</f>
        <v>1.0010000000000001</v>
      </c>
      <c r="AP35" s="121">
        <f>IFERROR(AVERAGEIF(Prod[[#This Row],[S1%]:[S3%]], "&lt;&gt;0"),0)</f>
        <v>1.0015729166666667</v>
      </c>
      <c r="AQ35" s="131">
        <v>0</v>
      </c>
      <c r="AR35" s="131">
        <v>0</v>
      </c>
      <c r="AS35" s="131">
        <v>0</v>
      </c>
      <c r="AT35" s="131">
        <f>IF(Prod[[#This Row],[S1Cycle]]&lt;&gt;0,1,0)</f>
        <v>1</v>
      </c>
      <c r="AU35" s="131">
        <f>IF(Prod[[#This Row],[S2Cycle]]&lt;&gt;0,1,0)</f>
        <v>1</v>
      </c>
      <c r="AV35" s="131">
        <f>IF(Prod[[#This Row],[S3Cycle]]&lt;&gt;0,1,0)</f>
        <v>1</v>
      </c>
      <c r="AW35" s="131">
        <f>MAX(Prod[[#This Row],[S1Cavity]],Prod[[#This Row],[S2Cavity]],Prod[[#This Row],[S3Cavity]])</f>
        <v>2</v>
      </c>
    </row>
    <row r="36" spans="1:49" x14ac:dyDescent="0.2">
      <c r="A36" s="116">
        <v>45417</v>
      </c>
      <c r="B36" s="124" t="s">
        <v>148</v>
      </c>
      <c r="C36" s="117" t="s">
        <v>45</v>
      </c>
      <c r="D36" s="112">
        <v>25508</v>
      </c>
      <c r="E36" s="124" t="s">
        <v>46</v>
      </c>
      <c r="F36" s="117" t="s">
        <v>130</v>
      </c>
      <c r="G36" s="117" t="str">
        <f>IF(OR(Prod[[#This Row],[S1Hrs]]&gt;0,Prod[[#This Row],[S2Hrs]]&gt;0,Prod[[#This Row],[S3Hrs]]&gt;0),"Running","Down")</f>
        <v>Running</v>
      </c>
      <c r="H36" s="133">
        <v>41.56</v>
      </c>
      <c r="I36" s="134">
        <v>7.5</v>
      </c>
      <c r="J36" s="123">
        <v>651</v>
      </c>
      <c r="K36" s="123">
        <v>12</v>
      </c>
      <c r="L36" s="106">
        <f>Prod[[#This Row],[S1Shot]]*Prod[[#This Row],[S1Cavity]]-Prod[[#This Row],[S1Dft]]</f>
        <v>7807</v>
      </c>
      <c r="M36" s="126">
        <f>SUM(Prod[[#This Row],[S1Mold]],Prod[[#This Row],[S1Dmg]],Prod[[#This Row],[S1DisclrSpt]])</f>
        <v>5</v>
      </c>
      <c r="N36" s="133">
        <v>41.56</v>
      </c>
      <c r="O36" s="134">
        <v>6</v>
      </c>
      <c r="P36" s="123">
        <v>520</v>
      </c>
      <c r="Q36" s="123">
        <v>12</v>
      </c>
      <c r="R36" s="106">
        <f>Prod[[#This Row],[S2Shot]]*Prod[[#This Row],[S2Cavity]]-Prod[[#This Row],[S2Dft]]</f>
        <v>6239</v>
      </c>
      <c r="S36" s="126">
        <f>SUM(Prod[[#This Row],[S2Mold]],Prod[[#This Row],[S2Dmg]],Prod[[#This Row],[S2DisclrSpt]])</f>
        <v>1</v>
      </c>
      <c r="T36" s="133">
        <v>41.55</v>
      </c>
      <c r="U36" s="134">
        <v>7</v>
      </c>
      <c r="V36" s="123">
        <v>578</v>
      </c>
      <c r="W36" s="123">
        <v>12</v>
      </c>
      <c r="X36" s="106">
        <f>Prod[[#This Row],[S3Shot]]*Prod[[#This Row],[S3Cavity]]-Prod[[#This Row],[S3Dft]]</f>
        <v>6935</v>
      </c>
      <c r="Y36" s="126">
        <f>SUM(Prod[[#This Row],[S3Mold]],Prod[[#This Row],[S3Dmg]],Prod[[#This Row],[S3DisclrSpt]])</f>
        <v>1</v>
      </c>
      <c r="Z36" s="106">
        <f>SUM(Prod[[#This Row],[S1Qty]],Prod[[#This Row],[S2Qty]],Prod[[#This Row],[S3Qty]])</f>
        <v>20981</v>
      </c>
      <c r="AA36" s="123">
        <f>SUM(Prod[[#This Row],[S1Dft]],Prod[[#This Row],[S2Dft]],Prod[[#This Row],[S3Dft]])</f>
        <v>7</v>
      </c>
      <c r="AB36" s="105">
        <f>IF(Prod[[#This Row],[Total]]=0,0,Prod[[#This Row],[TotalDft]]/Prod[[#This Row],[Total]])</f>
        <v>3.3363519374672324E-4</v>
      </c>
      <c r="AC36" s="124" t="s">
        <v>298</v>
      </c>
      <c r="AD36" s="106">
        <v>5</v>
      </c>
      <c r="AE36" s="106">
        <v>1</v>
      </c>
      <c r="AF36" s="106">
        <v>1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21">
        <f>IF(Prod[[#This Row],[S1Hrs]]=0,0,Prod[[#This Row],[S1Shot]]*Prod[[#This Row],[S1Cycle]]/(Prod[[#This Row],[S1Hrs]]*60*60))</f>
        <v>1.0020577777777779</v>
      </c>
      <c r="AN36" s="121">
        <f>IF(Prod[[#This Row],[S2Hrs]]=0,0,Prod[[#This Row],[S2Shot]]*Prod[[#This Row],[S2Cycle]]/(Prod[[#This Row],[S2Hrs]]*60*60))</f>
        <v>1.0005185185185186</v>
      </c>
      <c r="AO36" s="121">
        <f>IF(Prod[[#This Row],[S3Hrs]]=0,0,Prod[[#This Row],[S3Shot]]*Prod[[#This Row],[S3Cycle]]/(Prod[[#This Row],[S3Hrs]]*60*60))</f>
        <v>0.95301190476190467</v>
      </c>
      <c r="AP36" s="121">
        <f>IFERROR(AVERAGEIF(Prod[[#This Row],[S1%]:[S3%]], "&lt;&gt;0"),0)</f>
        <v>0.98519606701940032</v>
      </c>
      <c r="AQ36" s="131">
        <v>1.5</v>
      </c>
      <c r="AR36" s="131">
        <v>0</v>
      </c>
      <c r="AS36" s="131">
        <v>0</v>
      </c>
      <c r="AT36" s="131">
        <f>IF(Prod[[#This Row],[S1Cycle]]&lt;&gt;0,1,0)</f>
        <v>1</v>
      </c>
      <c r="AU36" s="131">
        <f>IF(Prod[[#This Row],[S2Cycle]]&lt;&gt;0,1,0)</f>
        <v>1</v>
      </c>
      <c r="AV36" s="131">
        <f>IF(Prod[[#This Row],[S3Cycle]]&lt;&gt;0,1,0)</f>
        <v>1</v>
      </c>
      <c r="AW36" s="131">
        <f>MAX(Prod[[#This Row],[S1Cavity]],Prod[[#This Row],[S2Cavity]],Prod[[#This Row],[S3Cavity]])</f>
        <v>12</v>
      </c>
    </row>
    <row r="37" spans="1:49" x14ac:dyDescent="0.2">
      <c r="A37" s="116">
        <v>45417</v>
      </c>
      <c r="B37" s="117" t="s">
        <v>149</v>
      </c>
      <c r="C37" s="117" t="s">
        <v>65</v>
      </c>
      <c r="D37" s="112">
        <v>26455</v>
      </c>
      <c r="E37" s="124" t="s">
        <v>46</v>
      </c>
      <c r="F37" s="117" t="s">
        <v>130</v>
      </c>
      <c r="G37" s="117" t="str">
        <f>IF(OR(Prod[[#This Row],[S1Hrs]]&gt;0,Prod[[#This Row],[S2Hrs]]&gt;0,Prod[[#This Row],[S3Hrs]]&gt;0),"Running","Down")</f>
        <v>Running</v>
      </c>
      <c r="H37" s="133">
        <v>41.06</v>
      </c>
      <c r="I37" s="134">
        <v>7.5</v>
      </c>
      <c r="J37" s="123">
        <v>646</v>
      </c>
      <c r="K37" s="123">
        <v>12</v>
      </c>
      <c r="L37" s="106">
        <f>Prod[[#This Row],[S1Shot]]*Prod[[#This Row],[S1Cavity]]-Prod[[#This Row],[S1Dft]]</f>
        <v>7744</v>
      </c>
      <c r="M37" s="126">
        <f>SUM(Prod[[#This Row],[S1Mold]],Prod[[#This Row],[S1Dmg]],Prod[[#This Row],[S1DisclrSpt]])</f>
        <v>8</v>
      </c>
      <c r="N37" s="133">
        <v>41.06</v>
      </c>
      <c r="O37" s="134">
        <v>6</v>
      </c>
      <c r="P37" s="123">
        <v>568</v>
      </c>
      <c r="Q37" s="123">
        <v>12</v>
      </c>
      <c r="R37" s="106">
        <f>Prod[[#This Row],[S2Shot]]*Prod[[#This Row],[S2Cavity]]-Prod[[#This Row],[S2Dft]]</f>
        <v>6811</v>
      </c>
      <c r="S37" s="126">
        <f>SUM(Prod[[#This Row],[S2Mold]],Prod[[#This Row],[S2Dmg]],Prod[[#This Row],[S2DisclrSpt]])</f>
        <v>5</v>
      </c>
      <c r="T37" s="133">
        <v>41.05</v>
      </c>
      <c r="U37" s="134">
        <v>7.5</v>
      </c>
      <c r="V37" s="123">
        <v>645</v>
      </c>
      <c r="W37" s="123">
        <v>12</v>
      </c>
      <c r="X37" s="106">
        <f>Prod[[#This Row],[S3Shot]]*Prod[[#This Row],[S3Cavity]]-Prod[[#This Row],[S3Dft]]</f>
        <v>7736</v>
      </c>
      <c r="Y37" s="126">
        <f>SUM(Prod[[#This Row],[S3Mold]],Prod[[#This Row],[S3Dmg]],Prod[[#This Row],[S3DisclrSpt]])</f>
        <v>4</v>
      </c>
      <c r="Z37" s="106">
        <f>SUM(Prod[[#This Row],[S1Qty]],Prod[[#This Row],[S2Qty]],Prod[[#This Row],[S3Qty]])</f>
        <v>22291</v>
      </c>
      <c r="AA37" s="123">
        <f>SUM(Prod[[#This Row],[S1Dft]],Prod[[#This Row],[S2Dft]],Prod[[#This Row],[S3Dft]])</f>
        <v>17</v>
      </c>
      <c r="AB37" s="105">
        <f>IF(Prod[[#This Row],[Total]]=0,0,Prod[[#This Row],[TotalDft]]/Prod[[#This Row],[Total]])</f>
        <v>7.6263963034408505E-4</v>
      </c>
      <c r="AC37" s="124" t="s">
        <v>298</v>
      </c>
      <c r="AD37" s="106">
        <v>8</v>
      </c>
      <c r="AE37" s="106">
        <v>5</v>
      </c>
      <c r="AF37" s="106">
        <v>4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21">
        <f>IF(Prod[[#This Row],[S1Hrs]]=0,0,Prod[[#This Row],[S1Shot]]*Prod[[#This Row],[S1Cycle]]/(Prod[[#This Row],[S1Hrs]]*60*60))</f>
        <v>0.98239851851851856</v>
      </c>
      <c r="AN37" s="121">
        <f>IF(Prod[[#This Row],[S2Hrs]]=0,0,Prod[[#This Row],[S2Shot]]*Prod[[#This Row],[S2Cycle]]/(Prod[[#This Row],[S2Hrs]]*60*60))</f>
        <v>1.079725925925926</v>
      </c>
      <c r="AO37" s="121">
        <f>IF(Prod[[#This Row],[S3Hrs]]=0,0,Prod[[#This Row],[S3Shot]]*Prod[[#This Row],[S3Cycle]]/(Prod[[#This Row],[S3Hrs]]*60*60))</f>
        <v>0.98063888888888873</v>
      </c>
      <c r="AP37" s="121">
        <f>IFERROR(AVERAGEIF(Prod[[#This Row],[S1%]:[S3%]], "&lt;&gt;0"),0)</f>
        <v>1.0142544444444443</v>
      </c>
      <c r="AQ37" s="131">
        <v>2</v>
      </c>
      <c r="AR37" s="131">
        <v>0</v>
      </c>
      <c r="AS37" s="131">
        <v>0</v>
      </c>
      <c r="AT37" s="131">
        <f>IF(Prod[[#This Row],[S1Cycle]]&lt;&gt;0,1,0)</f>
        <v>1</v>
      </c>
      <c r="AU37" s="131">
        <f>IF(Prod[[#This Row],[S2Cycle]]&lt;&gt;0,1,0)</f>
        <v>1</v>
      </c>
      <c r="AV37" s="131">
        <f>IF(Prod[[#This Row],[S3Cycle]]&lt;&gt;0,1,0)</f>
        <v>1</v>
      </c>
      <c r="AW37" s="131">
        <f>MAX(Prod[[#This Row],[S1Cavity]],Prod[[#This Row],[S2Cavity]],Prod[[#This Row],[S3Cavity]])</f>
        <v>12</v>
      </c>
    </row>
    <row r="38" spans="1:49" x14ac:dyDescent="0.2">
      <c r="A38" s="116">
        <v>45417</v>
      </c>
      <c r="B38" s="117" t="s">
        <v>150</v>
      </c>
      <c r="C38" s="124" t="s">
        <v>257</v>
      </c>
      <c r="D38" s="112">
        <v>27328</v>
      </c>
      <c r="E38" s="124" t="s">
        <v>46</v>
      </c>
      <c r="F38" s="117" t="s">
        <v>130</v>
      </c>
      <c r="G38" s="117" t="str">
        <f>IF(OR(Prod[[#This Row],[S1Hrs]]&gt;0,Prod[[#This Row],[S2Hrs]]&gt;0,Prod[[#This Row],[S3Hrs]]&gt;0),"Running","Down")</f>
        <v>Running</v>
      </c>
      <c r="H38" s="133">
        <v>41.06</v>
      </c>
      <c r="I38" s="134">
        <v>5.5</v>
      </c>
      <c r="J38" s="123">
        <v>456</v>
      </c>
      <c r="K38" s="123">
        <v>8</v>
      </c>
      <c r="L38" s="106">
        <f>Prod[[#This Row],[S1Shot]]*Prod[[#This Row],[S1Cavity]]-Prod[[#This Row],[S1Dft]]</f>
        <v>3638</v>
      </c>
      <c r="M38" s="126">
        <f>SUM(Prod[[#This Row],[S1Mold]],Prod[[#This Row],[S1Dmg]],Prod[[#This Row],[S1DisclrSpt]])</f>
        <v>10</v>
      </c>
      <c r="N38" s="133">
        <v>41.06</v>
      </c>
      <c r="O38" s="134">
        <v>6</v>
      </c>
      <c r="P38" s="123">
        <v>533</v>
      </c>
      <c r="Q38" s="123">
        <v>8</v>
      </c>
      <c r="R38" s="106">
        <f>Prod[[#This Row],[S2Shot]]*Prod[[#This Row],[S2Cavity]]-Prod[[#This Row],[S2Dft]]</f>
        <v>4256</v>
      </c>
      <c r="S38" s="126">
        <f>SUM(Prod[[#This Row],[S2Mold]],Prod[[#This Row],[S2Dmg]],Prod[[#This Row],[S2DisclrSpt]])</f>
        <v>8</v>
      </c>
      <c r="T38" s="133">
        <v>42.66</v>
      </c>
      <c r="U38" s="134">
        <v>7.5</v>
      </c>
      <c r="V38" s="123">
        <v>560</v>
      </c>
      <c r="W38" s="123">
        <v>8</v>
      </c>
      <c r="X38" s="106">
        <f>Prod[[#This Row],[S3Shot]]*Prod[[#This Row],[S3Cavity]]-Prod[[#This Row],[S3Dft]]</f>
        <v>4479</v>
      </c>
      <c r="Y38" s="126">
        <f>SUM(Prod[[#This Row],[S3Mold]],Prod[[#This Row],[S3Dmg]],Prod[[#This Row],[S3DisclrSpt]])</f>
        <v>1</v>
      </c>
      <c r="Z38" s="106">
        <f>SUM(Prod[[#This Row],[S1Qty]],Prod[[#This Row],[S2Qty]],Prod[[#This Row],[S3Qty]])</f>
        <v>12373</v>
      </c>
      <c r="AA38" s="123">
        <f>SUM(Prod[[#This Row],[S1Dft]],Prod[[#This Row],[S2Dft]],Prod[[#This Row],[S3Dft]])</f>
        <v>19</v>
      </c>
      <c r="AB38" s="105">
        <f>IF(Prod[[#This Row],[Total]]=0,0,Prod[[#This Row],[TotalDft]]/Prod[[#This Row],[Total]])</f>
        <v>1.5356017134082276E-3</v>
      </c>
      <c r="AC38" s="124" t="s">
        <v>298</v>
      </c>
      <c r="AD38" s="106">
        <v>10</v>
      </c>
      <c r="AE38" s="106">
        <v>8</v>
      </c>
      <c r="AF38" s="106">
        <v>1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21">
        <f>IF(Prod[[#This Row],[S1Hrs]]=0,0,Prod[[#This Row],[S1Shot]]*Prod[[#This Row],[S1Cycle]]/(Prod[[#This Row],[S1Hrs]]*60*60))</f>
        <v>0.94562424242424248</v>
      </c>
      <c r="AN38" s="121">
        <f>IF(Prod[[#This Row],[S2Hrs]]=0,0,Prod[[#This Row],[S2Shot]]*Prod[[#This Row],[S2Cycle]]/(Prod[[#This Row],[S2Hrs]]*60*60))</f>
        <v>1.0131935185185186</v>
      </c>
      <c r="AO38" s="121">
        <f>IF(Prod[[#This Row],[S3Hrs]]=0,0,Prod[[#This Row],[S3Shot]]*Prod[[#This Row],[S3Cycle]]/(Prod[[#This Row],[S3Hrs]]*60*60))</f>
        <v>0.88479999999999992</v>
      </c>
      <c r="AP38" s="121">
        <f>IFERROR(AVERAGEIF(Prod[[#This Row],[S1%]:[S3%]], "&lt;&gt;0"),0)</f>
        <v>0.94787258698092025</v>
      </c>
      <c r="AQ38" s="131">
        <v>2</v>
      </c>
      <c r="AR38" s="131"/>
      <c r="AS38" s="131">
        <v>0</v>
      </c>
      <c r="AT38" s="131">
        <f>IF(Prod[[#This Row],[S1Cycle]]&lt;&gt;0,1,0)</f>
        <v>1</v>
      </c>
      <c r="AU38" s="131">
        <f>IF(Prod[[#This Row],[S2Cycle]]&lt;&gt;0,1,0)</f>
        <v>1</v>
      </c>
      <c r="AV38" s="131">
        <f>IF(Prod[[#This Row],[S3Cycle]]&lt;&gt;0,1,0)</f>
        <v>1</v>
      </c>
      <c r="AW38" s="131">
        <f>MAX(Prod[[#This Row],[S1Cavity]],Prod[[#This Row],[S2Cavity]],Prod[[#This Row],[S3Cavity]])</f>
        <v>8</v>
      </c>
    </row>
    <row r="39" spans="1:49" x14ac:dyDescent="0.2">
      <c r="A39" s="116">
        <v>45417</v>
      </c>
      <c r="B39" s="117" t="s">
        <v>220</v>
      </c>
      <c r="C39" s="117" t="s">
        <v>224</v>
      </c>
      <c r="D39" s="112">
        <v>27298</v>
      </c>
      <c r="E39" s="124" t="s">
        <v>280</v>
      </c>
      <c r="F39" s="117" t="s">
        <v>130</v>
      </c>
      <c r="G39" s="117" t="str">
        <f>IF(OR(Prod[[#This Row],[S1Hrs]]&gt;0,Prod[[#This Row],[S2Hrs]]&gt;0,Prod[[#This Row],[S3Hrs]]&gt;0),"Running","Down")</f>
        <v>Running</v>
      </c>
      <c r="H39" s="133">
        <v>41.82</v>
      </c>
      <c r="I39" s="134">
        <v>8</v>
      </c>
      <c r="J39" s="123">
        <v>745</v>
      </c>
      <c r="K39" s="123">
        <v>12</v>
      </c>
      <c r="L39" s="106">
        <f>Prod[[#This Row],[S1Shot]]*Prod[[#This Row],[S1Cavity]]-Prod[[#This Row],[S1Dft]]</f>
        <v>8932</v>
      </c>
      <c r="M39" s="126">
        <f>SUM(Prod[[#This Row],[S1Mold]],Prod[[#This Row],[S1Dmg]],Prod[[#This Row],[S1DisclrSpt]])</f>
        <v>8</v>
      </c>
      <c r="N39" s="133">
        <v>41.82</v>
      </c>
      <c r="O39" s="134">
        <v>2.5</v>
      </c>
      <c r="P39" s="123">
        <v>227</v>
      </c>
      <c r="Q39" s="123">
        <v>12</v>
      </c>
      <c r="R39" s="106">
        <f>Prod[[#This Row],[S2Shot]]*Prod[[#This Row],[S2Cavity]]-Prod[[#This Row],[S2Dft]]</f>
        <v>2722</v>
      </c>
      <c r="S39" s="126">
        <f>SUM(Prod[[#This Row],[S2Mold]],Prod[[#This Row],[S2Dmg]],Prod[[#This Row],[S2DisclrSpt]])</f>
        <v>2</v>
      </c>
      <c r="T39" s="133">
        <v>0</v>
      </c>
      <c r="U39" s="134">
        <v>0</v>
      </c>
      <c r="V39" s="123">
        <v>0</v>
      </c>
      <c r="W39" s="123">
        <v>0</v>
      </c>
      <c r="X39" s="106">
        <f>Prod[[#This Row],[S3Shot]]*Prod[[#This Row],[S3Cavity]]-Prod[[#This Row],[S3Dft]]</f>
        <v>0</v>
      </c>
      <c r="Y39" s="126">
        <f>SUM(Prod[[#This Row],[S3Mold]],Prod[[#This Row],[S3Dmg]],Prod[[#This Row],[S3DisclrSpt]])</f>
        <v>0</v>
      </c>
      <c r="Z39" s="106">
        <f>SUM(Prod[[#This Row],[S1Qty]],Prod[[#This Row],[S2Qty]],Prod[[#This Row],[S3Qty]])</f>
        <v>11654</v>
      </c>
      <c r="AA39" s="123">
        <f>SUM(Prod[[#This Row],[S1Dft]],Prod[[#This Row],[S2Dft]],Prod[[#This Row],[S3Dft]])</f>
        <v>10</v>
      </c>
      <c r="AB39" s="105">
        <f>IF(Prod[[#This Row],[Total]]=0,0,Prod[[#This Row],[TotalDft]]/Prod[[#This Row],[Total]])</f>
        <v>8.5807448086493902E-4</v>
      </c>
      <c r="AC39" s="124" t="s">
        <v>298</v>
      </c>
      <c r="AD39" s="106">
        <v>8</v>
      </c>
      <c r="AE39" s="106">
        <v>2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21">
        <f>IF(Prod[[#This Row],[S1Hrs]]=0,0,Prod[[#This Row],[S1Shot]]*Prod[[#This Row],[S1Cycle]]/(Prod[[#This Row],[S1Hrs]]*60*60))</f>
        <v>1.0818020833333333</v>
      </c>
      <c r="AN39" s="121">
        <f>IF(Prod[[#This Row],[S2Hrs]]=0,0,Prod[[#This Row],[S2Shot]]*Prod[[#This Row],[S2Cycle]]/(Prod[[#This Row],[S2Hrs]]*60*60))</f>
        <v>1.0547933333333332</v>
      </c>
      <c r="AO39" s="121">
        <f>IF(Prod[[#This Row],[S3Hrs]]=0,0,Prod[[#This Row],[S3Shot]]*Prod[[#This Row],[S3Cycle]]/(Prod[[#This Row],[S3Hrs]]*60*60))</f>
        <v>0</v>
      </c>
      <c r="AP39" s="121">
        <f>IFERROR(AVERAGEIF(Prod[[#This Row],[S1%]:[S3%]], "&lt;&gt;0"),0)</f>
        <v>1.0682977083333332</v>
      </c>
      <c r="AQ39" s="131">
        <v>1</v>
      </c>
      <c r="AR39" s="131">
        <v>0</v>
      </c>
      <c r="AS39" s="131">
        <v>0</v>
      </c>
      <c r="AT39" s="131">
        <f>IF(Prod[[#This Row],[S1Cycle]]&lt;&gt;0,1,0)</f>
        <v>1</v>
      </c>
      <c r="AU39" s="131">
        <f>IF(Prod[[#This Row],[S2Cycle]]&lt;&gt;0,1,0)</f>
        <v>1</v>
      </c>
      <c r="AV39" s="131">
        <f>IF(Prod[[#This Row],[S3Cycle]]&lt;&gt;0,1,0)</f>
        <v>0</v>
      </c>
      <c r="AW39" s="131">
        <f>MAX(Prod[[#This Row],[S1Cavity]],Prod[[#This Row],[S2Cavity]],Prod[[#This Row],[S3Cavity]])</f>
        <v>12</v>
      </c>
    </row>
    <row r="40" spans="1:49" x14ac:dyDescent="0.2">
      <c r="A40" s="116">
        <v>45417</v>
      </c>
      <c r="B40" s="117" t="s">
        <v>221</v>
      </c>
      <c r="C40" s="124" t="s">
        <v>234</v>
      </c>
      <c r="D40" s="112">
        <v>26455</v>
      </c>
      <c r="E40" s="124" t="s">
        <v>46</v>
      </c>
      <c r="F40" s="124" t="s">
        <v>130</v>
      </c>
      <c r="G40" s="117" t="str">
        <f>IF(OR(Prod[[#This Row],[S1Hrs]]&gt;0,Prod[[#This Row],[S2Hrs]]&gt;0,Prod[[#This Row],[S3Hrs]]&gt;0),"Running","Down")</f>
        <v>Running</v>
      </c>
      <c r="H40" s="133">
        <v>41.36</v>
      </c>
      <c r="I40" s="134">
        <v>7.5</v>
      </c>
      <c r="J40" s="123">
        <v>624</v>
      </c>
      <c r="K40" s="123">
        <v>12</v>
      </c>
      <c r="L40" s="106">
        <f>Prod[[#This Row],[S1Shot]]*Prod[[#This Row],[S1Cavity]]-Prod[[#This Row],[S1Dft]]</f>
        <v>7480</v>
      </c>
      <c r="M40" s="126">
        <f>SUM(Prod[[#This Row],[S1Mold]],Prod[[#This Row],[S1Dmg]],Prod[[#This Row],[S1DisclrSpt]])</f>
        <v>8</v>
      </c>
      <c r="N40" s="133">
        <v>41.35</v>
      </c>
      <c r="O40" s="134">
        <v>6</v>
      </c>
      <c r="P40" s="123">
        <v>489</v>
      </c>
      <c r="Q40" s="123">
        <v>12</v>
      </c>
      <c r="R40" s="106">
        <f>Prod[[#This Row],[S2Shot]]*Prod[[#This Row],[S2Cavity]]-Prod[[#This Row],[S2Dft]]</f>
        <v>5860</v>
      </c>
      <c r="S40" s="126">
        <f>SUM(Prod[[#This Row],[S2Mold]],Prod[[#This Row],[S2Dmg]],Prod[[#This Row],[S2DisclrSpt]])</f>
        <v>8</v>
      </c>
      <c r="T40" s="133">
        <v>41.35</v>
      </c>
      <c r="U40" s="134">
        <v>7.5</v>
      </c>
      <c r="V40" s="123">
        <v>600</v>
      </c>
      <c r="W40" s="123">
        <v>12</v>
      </c>
      <c r="X40" s="106">
        <f>Prod[[#This Row],[S3Shot]]*Prod[[#This Row],[S3Cavity]]-Prod[[#This Row],[S3Dft]]</f>
        <v>7198</v>
      </c>
      <c r="Y40" s="126">
        <f>SUM(Prod[[#This Row],[S3Mold]],Prod[[#This Row],[S3Dmg]],Prod[[#This Row],[S3DisclrSpt]])</f>
        <v>2</v>
      </c>
      <c r="Z40" s="106">
        <f>SUM(Prod[[#This Row],[S1Qty]],Prod[[#This Row],[S2Qty]],Prod[[#This Row],[S3Qty]])</f>
        <v>20538</v>
      </c>
      <c r="AA40" s="123">
        <f>SUM(Prod[[#This Row],[S1Dft]],Prod[[#This Row],[S2Dft]],Prod[[#This Row],[S3Dft]])</f>
        <v>18</v>
      </c>
      <c r="AB40" s="105">
        <f>IF(Prod[[#This Row],[Total]]=0,0,Prod[[#This Row],[TotalDft]]/Prod[[#This Row],[Total]])</f>
        <v>8.7642418930762491E-4</v>
      </c>
      <c r="AC40" s="124" t="s">
        <v>298</v>
      </c>
      <c r="AD40" s="106">
        <v>8</v>
      </c>
      <c r="AE40" s="106">
        <v>8</v>
      </c>
      <c r="AF40" s="106">
        <v>2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21">
        <f>IF(Prod[[#This Row],[S1Hrs]]=0,0,Prod[[#This Row],[S1Shot]]*Prod[[#This Row],[S1Cycle]]/(Prod[[#This Row],[S1Hrs]]*60*60))</f>
        <v>0.95587555555555559</v>
      </c>
      <c r="AN40" s="121">
        <f>IF(Prod[[#This Row],[S2Hrs]]=0,0,Prod[[#This Row],[S2Shot]]*Prod[[#This Row],[S2Cycle]]/(Prod[[#This Row],[S2Hrs]]*60*60))</f>
        <v>0.93611805555555561</v>
      </c>
      <c r="AO40" s="121">
        <f>IF(Prod[[#This Row],[S3Hrs]]=0,0,Prod[[#This Row],[S3Shot]]*Prod[[#This Row],[S3Cycle]]/(Prod[[#This Row],[S3Hrs]]*60*60))</f>
        <v>0.91888888888888887</v>
      </c>
      <c r="AP40" s="121">
        <f>IFERROR(AVERAGEIF(Prod[[#This Row],[S1%]:[S3%]], "&lt;&gt;0"),0)</f>
        <v>0.93696083333333335</v>
      </c>
      <c r="AQ40" s="131">
        <v>2</v>
      </c>
      <c r="AR40" s="131">
        <v>0</v>
      </c>
      <c r="AS40" s="131">
        <v>0</v>
      </c>
      <c r="AT40" s="131">
        <f>IF(Prod[[#This Row],[S1Cycle]]&lt;&gt;0,1,0)</f>
        <v>1</v>
      </c>
      <c r="AU40" s="131">
        <f>IF(Prod[[#This Row],[S2Cycle]]&lt;&gt;0,1,0)</f>
        <v>1</v>
      </c>
      <c r="AV40" s="131">
        <f>IF(Prod[[#This Row],[S3Cycle]]&lt;&gt;0,1,0)</f>
        <v>1</v>
      </c>
      <c r="AW40" s="131">
        <f>MAX(Prod[[#This Row],[S1Cavity]],Prod[[#This Row],[S2Cavity]],Prod[[#This Row],[S3Cavity]])</f>
        <v>12</v>
      </c>
    </row>
    <row r="41" spans="1:49" x14ac:dyDescent="0.2">
      <c r="A41" s="116">
        <v>45417</v>
      </c>
      <c r="B41" s="117" t="s">
        <v>222</v>
      </c>
      <c r="C41" s="117" t="s">
        <v>223</v>
      </c>
      <c r="D41" s="112">
        <v>27423</v>
      </c>
      <c r="E41" s="124" t="s">
        <v>46</v>
      </c>
      <c r="F41" s="117" t="s">
        <v>130</v>
      </c>
      <c r="G41" s="117" t="str">
        <f>IF(OR(Prod[[#This Row],[S1Hrs]]&gt;0,Prod[[#This Row],[S2Hrs]]&gt;0,Prod[[#This Row],[S3Hrs]]&gt;0),"Running","Down")</f>
        <v>Running</v>
      </c>
      <c r="H41" s="133">
        <v>41.06</v>
      </c>
      <c r="I41" s="134">
        <v>7.5</v>
      </c>
      <c r="J41" s="123">
        <v>625</v>
      </c>
      <c r="K41" s="123">
        <v>8</v>
      </c>
      <c r="L41" s="106">
        <f>Prod[[#This Row],[S1Shot]]*Prod[[#This Row],[S1Cavity]]-Prod[[#This Row],[S1Dft]]</f>
        <v>4991</v>
      </c>
      <c r="M41" s="126">
        <f>SUM(Prod[[#This Row],[S1Mold]],Prod[[#This Row],[S1Dmg]],Prod[[#This Row],[S1DisclrSpt]])</f>
        <v>9</v>
      </c>
      <c r="N41" s="133">
        <v>41.05</v>
      </c>
      <c r="O41" s="134">
        <v>6</v>
      </c>
      <c r="P41" s="123">
        <v>475</v>
      </c>
      <c r="Q41" s="123">
        <v>8</v>
      </c>
      <c r="R41" s="106">
        <f>Prod[[#This Row],[S2Shot]]*Prod[[#This Row],[S2Cavity]]-Prod[[#This Row],[S2Dft]]</f>
        <v>3795</v>
      </c>
      <c r="S41" s="126">
        <f>SUM(Prod[[#This Row],[S2Mold]],Prod[[#This Row],[S2Dmg]],Prod[[#This Row],[S2DisclrSpt]])</f>
        <v>5</v>
      </c>
      <c r="T41" s="133">
        <v>41.05</v>
      </c>
      <c r="U41" s="134">
        <v>7.5</v>
      </c>
      <c r="V41" s="123">
        <v>661</v>
      </c>
      <c r="W41" s="123">
        <v>8</v>
      </c>
      <c r="X41" s="106">
        <f>Prod[[#This Row],[S3Shot]]*Prod[[#This Row],[S3Cavity]]-Prod[[#This Row],[S3Dft]]</f>
        <v>5286</v>
      </c>
      <c r="Y41" s="126">
        <f>SUM(Prod[[#This Row],[S3Mold]],Prod[[#This Row],[S3Dmg]],Prod[[#This Row],[S3DisclrSpt]])</f>
        <v>2</v>
      </c>
      <c r="Z41" s="106">
        <f>SUM(Prod[[#This Row],[S1Qty]],Prod[[#This Row],[S2Qty]],Prod[[#This Row],[S3Qty]])</f>
        <v>14072</v>
      </c>
      <c r="AA41" s="123">
        <f>SUM(Prod[[#This Row],[S1Dft]],Prod[[#This Row],[S2Dft]],Prod[[#This Row],[S3Dft]])</f>
        <v>16</v>
      </c>
      <c r="AB41" s="105">
        <f>IF(Prod[[#This Row],[Total]]=0,0,Prod[[#This Row],[TotalDft]]/Prod[[#This Row],[Total]])</f>
        <v>1.1370096645821489E-3</v>
      </c>
      <c r="AC41" s="124" t="s">
        <v>298</v>
      </c>
      <c r="AD41" s="106">
        <v>9</v>
      </c>
      <c r="AE41" s="106">
        <v>5</v>
      </c>
      <c r="AF41" s="106">
        <v>2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21">
        <f>IF(Prod[[#This Row],[S1Hrs]]=0,0,Prod[[#This Row],[S1Shot]]*Prod[[#This Row],[S1Cycle]]/(Prod[[#This Row],[S1Hrs]]*60*60))</f>
        <v>0.95046296296296295</v>
      </c>
      <c r="AN41" s="121">
        <f>IF(Prod[[#This Row],[S2Hrs]]=0,0,Prod[[#This Row],[S2Shot]]*Prod[[#This Row],[S2Cycle]]/(Prod[[#This Row],[S2Hrs]]*60*60))</f>
        <v>0.90271990740740737</v>
      </c>
      <c r="AO41" s="121">
        <f>IF(Prod[[#This Row],[S3Hrs]]=0,0,Prod[[#This Row],[S3Shot]]*Prod[[#This Row],[S3Cycle]]/(Prod[[#This Row],[S3Hrs]]*60*60))</f>
        <v>1.0049648148148147</v>
      </c>
      <c r="AP41" s="121">
        <f>IFERROR(AVERAGEIF(Prod[[#This Row],[S1%]:[S3%]], "&lt;&gt;0"),0)</f>
        <v>0.95271589506172827</v>
      </c>
      <c r="AQ41" s="131">
        <v>2</v>
      </c>
      <c r="AR41" s="131">
        <v>0</v>
      </c>
      <c r="AS41" s="131">
        <v>0</v>
      </c>
      <c r="AT41" s="131">
        <f>IF(Prod[[#This Row],[S1Cycle]]&lt;&gt;0,1,0)</f>
        <v>1</v>
      </c>
      <c r="AU41" s="131">
        <f>IF(Prod[[#This Row],[S2Cycle]]&lt;&gt;0,1,0)</f>
        <v>1</v>
      </c>
      <c r="AV41" s="131">
        <f>IF(Prod[[#This Row],[S3Cycle]]&lt;&gt;0,1,0)</f>
        <v>1</v>
      </c>
      <c r="AW41" s="131">
        <f>MAX(Prod[[#This Row],[S1Cavity]],Prod[[#This Row],[S2Cavity]],Prod[[#This Row],[S3Cavity]])</f>
        <v>8</v>
      </c>
    </row>
    <row r="42" spans="1:49" x14ac:dyDescent="0.2">
      <c r="A42" s="116">
        <v>45417</v>
      </c>
      <c r="B42" s="124" t="s">
        <v>269</v>
      </c>
      <c r="C42" s="124" t="s">
        <v>270</v>
      </c>
      <c r="D42" s="112">
        <v>26976</v>
      </c>
      <c r="E42" s="124" t="s">
        <v>274</v>
      </c>
      <c r="F42" s="117" t="s">
        <v>130</v>
      </c>
      <c r="G42" s="117" t="str">
        <f>IF(OR(Prod[[#This Row],[S1Hrs]]&gt;0,Prod[[#This Row],[S2Hrs]]&gt;0,Prod[[#This Row],[S3Hrs]]&gt;0),"Running","Down")</f>
        <v>Running</v>
      </c>
      <c r="H42" s="133">
        <v>57.3</v>
      </c>
      <c r="I42" s="134">
        <v>8</v>
      </c>
      <c r="J42" s="123">
        <v>485</v>
      </c>
      <c r="K42" s="123">
        <v>2</v>
      </c>
      <c r="L42" s="106">
        <f>Prod[[#This Row],[S1Shot]]*Prod[[#This Row],[S1Cavity]]-Prod[[#This Row],[S1Dft]]</f>
        <v>970</v>
      </c>
      <c r="M42" s="126">
        <f>SUM(Prod[[#This Row],[S1Mold]],Prod[[#This Row],[S1Dmg]],Prod[[#This Row],[S1DisclrSpt]])</f>
        <v>0</v>
      </c>
      <c r="N42" s="133">
        <v>57.3</v>
      </c>
      <c r="O42" s="134">
        <v>8</v>
      </c>
      <c r="P42" s="123">
        <v>527</v>
      </c>
      <c r="Q42" s="123">
        <v>2</v>
      </c>
      <c r="R42" s="106">
        <f>Prod[[#This Row],[S2Shot]]*Prod[[#This Row],[S2Cavity]]-Prod[[#This Row],[S2Dft]]</f>
        <v>1053</v>
      </c>
      <c r="S42" s="126">
        <f>SUM(Prod[[#This Row],[S2Mold]],Prod[[#This Row],[S2Dmg]],Prod[[#This Row],[S2DisclrSpt]])</f>
        <v>1</v>
      </c>
      <c r="T42" s="133">
        <v>56.6</v>
      </c>
      <c r="U42" s="134">
        <v>8</v>
      </c>
      <c r="V42" s="123">
        <v>503</v>
      </c>
      <c r="W42" s="123">
        <v>2</v>
      </c>
      <c r="X42" s="106">
        <f>Prod[[#This Row],[S3Shot]]*Prod[[#This Row],[S3Cavity]]-Prod[[#This Row],[S3Dft]]</f>
        <v>1005</v>
      </c>
      <c r="Y42" s="126">
        <f>SUM(Prod[[#This Row],[S3Mold]],Prod[[#This Row],[S3Dmg]],Prod[[#This Row],[S3DisclrSpt]])</f>
        <v>1</v>
      </c>
      <c r="Z42" s="106">
        <f>SUM(Prod[[#This Row],[S1Qty]],Prod[[#This Row],[S2Qty]],Prod[[#This Row],[S3Qty]])</f>
        <v>3028</v>
      </c>
      <c r="AA42" s="123">
        <f>SUM(Prod[[#This Row],[S1Dft]],Prod[[#This Row],[S2Dft]],Prod[[#This Row],[S3Dft]])</f>
        <v>2</v>
      </c>
      <c r="AB42" s="105">
        <f>IF(Prod[[#This Row],[Total]]=0,0,Prod[[#This Row],[TotalDft]]/Prod[[#This Row],[Total]])</f>
        <v>6.6050198150594452E-4</v>
      </c>
      <c r="AC42" s="124"/>
      <c r="AD42" s="106">
        <v>0</v>
      </c>
      <c r="AE42" s="106">
        <v>1</v>
      </c>
      <c r="AF42" s="106">
        <v>1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21">
        <f>IF(Prod[[#This Row],[S1Hrs]]=0,0,Prod[[#This Row],[S1Shot]]*Prod[[#This Row],[S1Cycle]]/(Prod[[#This Row],[S1Hrs]]*60*60))</f>
        <v>0.96494791666666668</v>
      </c>
      <c r="AN42" s="121">
        <f>IF(Prod[[#This Row],[S2Hrs]]=0,0,Prod[[#This Row],[S2Shot]]*Prod[[#This Row],[S2Cycle]]/(Prod[[#This Row],[S2Hrs]]*60*60))</f>
        <v>1.0485104166666666</v>
      </c>
      <c r="AO42" s="121">
        <f>IF(Prod[[#This Row],[S3Hrs]]=0,0,Prod[[#This Row],[S3Shot]]*Prod[[#This Row],[S3Cycle]]/(Prod[[#This Row],[S3Hrs]]*60*60))</f>
        <v>0.98853472222222216</v>
      </c>
      <c r="AP42" s="121">
        <f>IFERROR(AVERAGEIF(Prod[[#This Row],[S1%]:[S3%]], "&lt;&gt;0"),0)</f>
        <v>1.0006643518518519</v>
      </c>
      <c r="AQ42" s="131">
        <v>0</v>
      </c>
      <c r="AR42" s="131">
        <v>0</v>
      </c>
      <c r="AS42" s="131">
        <v>0</v>
      </c>
      <c r="AT42" s="131">
        <f>IF(Prod[[#This Row],[S1Cycle]]&lt;&gt;0,1,0)</f>
        <v>1</v>
      </c>
      <c r="AU42" s="131">
        <f>IF(Prod[[#This Row],[S2Cycle]]&lt;&gt;0,1,0)</f>
        <v>1</v>
      </c>
      <c r="AV42" s="131">
        <f>IF(Prod[[#This Row],[S3Cycle]]&lt;&gt;0,1,0)</f>
        <v>1</v>
      </c>
      <c r="AW42" s="131">
        <f>MAX(Prod[[#This Row],[S1Cavity]],Prod[[#This Row],[S2Cavity]],Prod[[#This Row],[S3Cavity]])</f>
        <v>2</v>
      </c>
    </row>
    <row r="43" spans="1:49" x14ac:dyDescent="0.2">
      <c r="A43" s="116">
        <v>45418</v>
      </c>
      <c r="B43" s="124" t="s">
        <v>148</v>
      </c>
      <c r="C43" s="117" t="s">
        <v>45</v>
      </c>
      <c r="D43" s="112">
        <v>25508</v>
      </c>
      <c r="E43" s="124" t="s">
        <v>46</v>
      </c>
      <c r="F43" s="117" t="s">
        <v>130</v>
      </c>
      <c r="G43" s="117" t="str">
        <f>IF(OR(Prod[[#This Row],[S1Hrs]]&gt;0,Prod[[#This Row],[S2Hrs]]&gt;0,Prod[[#This Row],[S3Hrs]]&gt;0),"Running","Down")</f>
        <v>Running</v>
      </c>
      <c r="H43" s="133">
        <v>41.53</v>
      </c>
      <c r="I43" s="134">
        <v>8</v>
      </c>
      <c r="J43" s="123">
        <v>700</v>
      </c>
      <c r="K43" s="123">
        <v>12</v>
      </c>
      <c r="L43" s="106">
        <f>Prod[[#This Row],[S1Shot]]*Prod[[#This Row],[S1Cavity]]-Prod[[#This Row],[S1Dft]]</f>
        <v>8398</v>
      </c>
      <c r="M43" s="126">
        <f>SUM(Prod[[#This Row],[S1Mold]],Prod[[#This Row],[S1Dmg]],Prod[[#This Row],[S1DisclrSpt]])</f>
        <v>2</v>
      </c>
      <c r="N43" s="133">
        <v>41.52</v>
      </c>
      <c r="O43" s="134">
        <v>8</v>
      </c>
      <c r="P43" s="123">
        <v>683</v>
      </c>
      <c r="Q43" s="123">
        <v>12</v>
      </c>
      <c r="R43" s="106">
        <f>Prod[[#This Row],[S2Shot]]*Prod[[#This Row],[S2Cavity]]-Prod[[#This Row],[S2Dft]]</f>
        <v>8195</v>
      </c>
      <c r="S43" s="126">
        <f>SUM(Prod[[#This Row],[S2Mold]],Prod[[#This Row],[S2Dmg]],Prod[[#This Row],[S2DisclrSpt]])</f>
        <v>1</v>
      </c>
      <c r="T43" s="133">
        <v>41.71</v>
      </c>
      <c r="U43" s="134">
        <v>8</v>
      </c>
      <c r="V43" s="123">
        <v>679</v>
      </c>
      <c r="W43" s="123">
        <v>12</v>
      </c>
      <c r="X43" s="106">
        <f>Prod[[#This Row],[S3Shot]]*Prod[[#This Row],[S3Cavity]]-Prod[[#This Row],[S3Dft]]</f>
        <v>8147</v>
      </c>
      <c r="Y43" s="126">
        <f>SUM(Prod[[#This Row],[S3Mold]],Prod[[#This Row],[S3Dmg]],Prod[[#This Row],[S3DisclrSpt]])</f>
        <v>1</v>
      </c>
      <c r="Z43" s="106">
        <f>SUM(Prod[[#This Row],[S1Qty]],Prod[[#This Row],[S2Qty]],Prod[[#This Row],[S3Qty]])</f>
        <v>24740</v>
      </c>
      <c r="AA43" s="123">
        <f>SUM(Prod[[#This Row],[S1Dft]],Prod[[#This Row],[S2Dft]],Prod[[#This Row],[S3Dft]])</f>
        <v>4</v>
      </c>
      <c r="AB43" s="105">
        <f>IF(Prod[[#This Row],[Total]]=0,0,Prod[[#This Row],[TotalDft]]/Prod[[#This Row],[Total]])</f>
        <v>1.6168148746968473E-4</v>
      </c>
      <c r="AC43" s="124"/>
      <c r="AD43" s="106">
        <v>2</v>
      </c>
      <c r="AE43" s="106">
        <v>1</v>
      </c>
      <c r="AF43" s="106">
        <v>1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21">
        <f>IF(Prod[[#This Row],[S1Hrs]]=0,0,Prod[[#This Row],[S1Shot]]*Prod[[#This Row],[S1Cycle]]/(Prod[[#This Row],[S1Hrs]]*60*60))</f>
        <v>1.0094097222222222</v>
      </c>
      <c r="AN43" s="121">
        <f>IF(Prod[[#This Row],[S2Hrs]]=0,0,Prod[[#This Row],[S2Shot]]*Prod[[#This Row],[S2Cycle]]/(Prod[[#This Row],[S2Hrs]]*60*60))</f>
        <v>0.98465833333333341</v>
      </c>
      <c r="AO43" s="121">
        <f>IF(Prod[[#This Row],[S3Hrs]]=0,0,Prod[[#This Row],[S3Shot]]*Prod[[#This Row],[S3Cycle]]/(Prod[[#This Row],[S3Hrs]]*60*60))</f>
        <v>0.98337118055555561</v>
      </c>
      <c r="AP43" s="121">
        <f>IFERROR(AVERAGEIF(Prod[[#This Row],[S1%]:[S3%]], "&lt;&gt;0"),0)</f>
        <v>0.99247974537037054</v>
      </c>
      <c r="AQ43" s="131">
        <v>0</v>
      </c>
      <c r="AR43" s="131">
        <v>0</v>
      </c>
      <c r="AS43" s="131">
        <v>0</v>
      </c>
      <c r="AT43" s="131">
        <f>IF(Prod[[#This Row],[S1Cycle]]&lt;&gt;0,1,0)</f>
        <v>1</v>
      </c>
      <c r="AU43" s="131">
        <f>IF(Prod[[#This Row],[S2Cycle]]&lt;&gt;0,1,0)</f>
        <v>1</v>
      </c>
      <c r="AV43" s="131">
        <f>IF(Prod[[#This Row],[S3Cycle]]&lt;&gt;0,1,0)</f>
        <v>1</v>
      </c>
      <c r="AW43" s="131">
        <f>MAX(Prod[[#This Row],[S1Cavity]],Prod[[#This Row],[S2Cavity]],Prod[[#This Row],[S3Cavity]])</f>
        <v>12</v>
      </c>
    </row>
    <row r="44" spans="1:49" x14ac:dyDescent="0.2">
      <c r="A44" s="116">
        <v>45418</v>
      </c>
      <c r="B44" s="117" t="s">
        <v>149</v>
      </c>
      <c r="C44" s="117" t="s">
        <v>65</v>
      </c>
      <c r="D44" s="112">
        <v>26455</v>
      </c>
      <c r="E44" s="124" t="s">
        <v>46</v>
      </c>
      <c r="F44" s="117" t="s">
        <v>130</v>
      </c>
      <c r="G44" s="117" t="str">
        <f>IF(OR(Prod[[#This Row],[S1Hrs]]&gt;0,Prod[[#This Row],[S2Hrs]]&gt;0,Prod[[#This Row],[S3Hrs]]&gt;0),"Running","Down")</f>
        <v>Running</v>
      </c>
      <c r="H44" s="133">
        <v>41.06</v>
      </c>
      <c r="I44" s="134">
        <v>8</v>
      </c>
      <c r="J44" s="123">
        <v>685</v>
      </c>
      <c r="K44" s="123">
        <v>12</v>
      </c>
      <c r="L44" s="106">
        <f>Prod[[#This Row],[S1Shot]]*Prod[[#This Row],[S1Cavity]]-Prod[[#This Row],[S1Dft]]</f>
        <v>8219</v>
      </c>
      <c r="M44" s="126">
        <f>SUM(Prod[[#This Row],[S1Mold]],Prod[[#This Row],[S1Dmg]],Prod[[#This Row],[S1DisclrSpt]])</f>
        <v>1</v>
      </c>
      <c r="N44" s="133">
        <v>41.04</v>
      </c>
      <c r="O44" s="134">
        <v>8</v>
      </c>
      <c r="P44" s="123">
        <v>697</v>
      </c>
      <c r="Q44" s="123">
        <v>12</v>
      </c>
      <c r="R44" s="106">
        <f>Prod[[#This Row],[S2Shot]]*Prod[[#This Row],[S2Cavity]]-Prod[[#This Row],[S2Dft]]</f>
        <v>8363</v>
      </c>
      <c r="S44" s="126">
        <f>SUM(Prod[[#This Row],[S2Mold]],Prod[[#This Row],[S2Dmg]],Prod[[#This Row],[S2DisclrSpt]])</f>
        <v>1</v>
      </c>
      <c r="T44" s="133">
        <v>41.08</v>
      </c>
      <c r="U44" s="134">
        <v>8</v>
      </c>
      <c r="V44" s="123">
        <v>708</v>
      </c>
      <c r="W44" s="123">
        <v>12</v>
      </c>
      <c r="X44" s="106">
        <f>Prod[[#This Row],[S3Shot]]*Prod[[#This Row],[S3Cavity]]-Prod[[#This Row],[S3Dft]]</f>
        <v>8496</v>
      </c>
      <c r="Y44" s="126">
        <f>SUM(Prod[[#This Row],[S3Mold]],Prod[[#This Row],[S3Dmg]],Prod[[#This Row],[S3DisclrSpt]])</f>
        <v>0</v>
      </c>
      <c r="Z44" s="106">
        <f>SUM(Prod[[#This Row],[S1Qty]],Prod[[#This Row],[S2Qty]],Prod[[#This Row],[S3Qty]])</f>
        <v>25078</v>
      </c>
      <c r="AA44" s="123">
        <f>SUM(Prod[[#This Row],[S1Dft]],Prod[[#This Row],[S2Dft]],Prod[[#This Row],[S3Dft]])</f>
        <v>2</v>
      </c>
      <c r="AB44" s="105">
        <f>IF(Prod[[#This Row],[Total]]=0,0,Prod[[#This Row],[TotalDft]]/Prod[[#This Row],[Total]])</f>
        <v>7.975117632985087E-5</v>
      </c>
      <c r="AC44" s="124"/>
      <c r="AD44" s="106">
        <v>1</v>
      </c>
      <c r="AE44" s="106">
        <v>1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21">
        <f>IF(Prod[[#This Row],[S1Hrs]]=0,0,Prod[[#This Row],[S1Shot]]*Prod[[#This Row],[S1Cycle]]/(Prod[[#This Row],[S1Hrs]]*60*60))</f>
        <v>0.97660069444444453</v>
      </c>
      <c r="AN44" s="121">
        <f>IF(Prod[[#This Row],[S2Hrs]]=0,0,Prod[[#This Row],[S2Shot]]*Prod[[#This Row],[S2Cycle]]/(Prod[[#This Row],[S2Hrs]]*60*60))</f>
        <v>0.99322500000000002</v>
      </c>
      <c r="AO44" s="121">
        <f>IF(Prod[[#This Row],[S3Hrs]]=0,0,Prod[[#This Row],[S3Shot]]*Prod[[#This Row],[S3Cycle]]/(Prod[[#This Row],[S3Hrs]]*60*60))</f>
        <v>1.0098833333333332</v>
      </c>
      <c r="AP44" s="121">
        <f>IFERROR(AVERAGEIF(Prod[[#This Row],[S1%]:[S3%]], "&lt;&gt;0"),0)</f>
        <v>0.99323634259259264</v>
      </c>
      <c r="AQ44" s="131">
        <v>0</v>
      </c>
      <c r="AR44" s="131">
        <v>0</v>
      </c>
      <c r="AS44" s="131">
        <v>0</v>
      </c>
      <c r="AT44" s="131">
        <f>IF(Prod[[#This Row],[S1Cycle]]&lt;&gt;0,1,0)</f>
        <v>1</v>
      </c>
      <c r="AU44" s="131">
        <f>IF(Prod[[#This Row],[S2Cycle]]&lt;&gt;0,1,0)</f>
        <v>1</v>
      </c>
      <c r="AV44" s="131">
        <f>IF(Prod[[#This Row],[S3Cycle]]&lt;&gt;0,1,0)</f>
        <v>1</v>
      </c>
      <c r="AW44" s="131">
        <f>MAX(Prod[[#This Row],[S1Cavity]],Prod[[#This Row],[S2Cavity]],Prod[[#This Row],[S3Cavity]])</f>
        <v>12</v>
      </c>
    </row>
    <row r="45" spans="1:49" x14ac:dyDescent="0.2">
      <c r="A45" s="116">
        <v>45418</v>
      </c>
      <c r="B45" s="117" t="s">
        <v>150</v>
      </c>
      <c r="C45" s="124" t="s">
        <v>257</v>
      </c>
      <c r="D45" s="112">
        <v>27328</v>
      </c>
      <c r="E45" s="124" t="s">
        <v>46</v>
      </c>
      <c r="F45" s="117" t="s">
        <v>130</v>
      </c>
      <c r="G45" s="117" t="str">
        <f>IF(OR(Prod[[#This Row],[S1Hrs]]&gt;0,Prod[[#This Row],[S2Hrs]]&gt;0,Prod[[#This Row],[S3Hrs]]&gt;0),"Running","Down")</f>
        <v>Running</v>
      </c>
      <c r="H45" s="133">
        <v>42.17</v>
      </c>
      <c r="I45" s="134">
        <v>8</v>
      </c>
      <c r="J45" s="123">
        <v>683</v>
      </c>
      <c r="K45" s="123">
        <v>8</v>
      </c>
      <c r="L45" s="106">
        <f>Prod[[#This Row],[S1Shot]]*Prod[[#This Row],[S1Cavity]]-Prod[[#This Row],[S1Dft]]</f>
        <v>5461</v>
      </c>
      <c r="M45" s="126">
        <f>SUM(Prod[[#This Row],[S1Mold]],Prod[[#This Row],[S1Dmg]],Prod[[#This Row],[S1DisclrSpt]])</f>
        <v>3</v>
      </c>
      <c r="N45" s="133">
        <v>42.17</v>
      </c>
      <c r="O45" s="134">
        <v>8</v>
      </c>
      <c r="P45" s="123">
        <v>680</v>
      </c>
      <c r="Q45" s="123">
        <v>8</v>
      </c>
      <c r="R45" s="106">
        <f>Prod[[#This Row],[S2Shot]]*Prod[[#This Row],[S2Cavity]]-Prod[[#This Row],[S2Dft]]</f>
        <v>5439</v>
      </c>
      <c r="S45" s="126">
        <f>SUM(Prod[[#This Row],[S2Mold]],Prod[[#This Row],[S2Dmg]],Prod[[#This Row],[S2DisclrSpt]])</f>
        <v>1</v>
      </c>
      <c r="T45" s="133">
        <v>41.71</v>
      </c>
      <c r="U45" s="134">
        <v>8</v>
      </c>
      <c r="V45" s="123">
        <v>692</v>
      </c>
      <c r="W45" s="123">
        <v>8</v>
      </c>
      <c r="X45" s="106">
        <f>Prod[[#This Row],[S3Shot]]*Prod[[#This Row],[S3Cavity]]-Prod[[#This Row],[S3Dft]]</f>
        <v>5535</v>
      </c>
      <c r="Y45" s="126">
        <f>SUM(Prod[[#This Row],[S3Mold]],Prod[[#This Row],[S3Dmg]],Prod[[#This Row],[S3DisclrSpt]])</f>
        <v>1</v>
      </c>
      <c r="Z45" s="106">
        <f>SUM(Prod[[#This Row],[S1Qty]],Prod[[#This Row],[S2Qty]],Prod[[#This Row],[S3Qty]])</f>
        <v>16435</v>
      </c>
      <c r="AA45" s="123">
        <f>SUM(Prod[[#This Row],[S1Dft]],Prod[[#This Row],[S2Dft]],Prod[[#This Row],[S3Dft]])</f>
        <v>5</v>
      </c>
      <c r="AB45" s="105">
        <f>IF(Prod[[#This Row],[Total]]=0,0,Prod[[#This Row],[TotalDft]]/Prod[[#This Row],[Total]])</f>
        <v>3.0422878004259202E-4</v>
      </c>
      <c r="AC45" s="124"/>
      <c r="AD45" s="106">
        <v>3</v>
      </c>
      <c r="AE45" s="106">
        <v>1</v>
      </c>
      <c r="AF45" s="106">
        <v>1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21">
        <f>IF(Prod[[#This Row],[S1Hrs]]=0,0,Prod[[#This Row],[S1Shot]]*Prod[[#This Row],[S1Cycle]]/(Prod[[#This Row],[S1Hrs]]*60*60))</f>
        <v>1.000073263888889</v>
      </c>
      <c r="AN45" s="121">
        <f>IF(Prod[[#This Row],[S2Hrs]]=0,0,Prod[[#This Row],[S2Shot]]*Prod[[#This Row],[S2Cycle]]/(Prod[[#This Row],[S2Hrs]]*60*60))</f>
        <v>0.99568055555555568</v>
      </c>
      <c r="AO45" s="121">
        <f>IF(Prod[[#This Row],[S3Hrs]]=0,0,Prod[[#This Row],[S3Shot]]*Prod[[#This Row],[S3Cycle]]/(Prod[[#This Row],[S3Hrs]]*60*60))</f>
        <v>1.0021986111111112</v>
      </c>
      <c r="AP45" s="121">
        <f>IFERROR(AVERAGEIF(Prod[[#This Row],[S1%]:[S3%]], "&lt;&gt;0"),0)</f>
        <v>0.9993174768518519</v>
      </c>
      <c r="AQ45" s="131">
        <v>0</v>
      </c>
      <c r="AR45" s="131"/>
      <c r="AS45" s="131">
        <v>0</v>
      </c>
      <c r="AT45" s="131">
        <f>IF(Prod[[#This Row],[S1Cycle]]&lt;&gt;0,1,0)</f>
        <v>1</v>
      </c>
      <c r="AU45" s="131">
        <f>IF(Prod[[#This Row],[S2Cycle]]&lt;&gt;0,1,0)</f>
        <v>1</v>
      </c>
      <c r="AV45" s="131">
        <f>IF(Prod[[#This Row],[S3Cycle]]&lt;&gt;0,1,0)</f>
        <v>1</v>
      </c>
      <c r="AW45" s="131">
        <f>MAX(Prod[[#This Row],[S1Cavity]],Prod[[#This Row],[S2Cavity]],Prod[[#This Row],[S3Cavity]])</f>
        <v>8</v>
      </c>
    </row>
    <row r="46" spans="1:49" x14ac:dyDescent="0.2">
      <c r="A46" s="116">
        <v>45418</v>
      </c>
      <c r="B46" s="117" t="s">
        <v>220</v>
      </c>
      <c r="C46" s="117" t="s">
        <v>224</v>
      </c>
      <c r="D46" s="112">
        <v>27228</v>
      </c>
      <c r="E46" s="124" t="s">
        <v>299</v>
      </c>
      <c r="F46" s="117" t="s">
        <v>130</v>
      </c>
      <c r="G46" s="117" t="str">
        <f>IF(OR(Prod[[#This Row],[S1Hrs]]&gt;0,Prod[[#This Row],[S2Hrs]]&gt;0,Prod[[#This Row],[S3Hrs]]&gt;0),"Running","Down")</f>
        <v>Running</v>
      </c>
      <c r="H46" s="133">
        <v>41.72</v>
      </c>
      <c r="I46" s="134">
        <v>3</v>
      </c>
      <c r="J46" s="123">
        <v>277</v>
      </c>
      <c r="K46" s="123">
        <v>12</v>
      </c>
      <c r="L46" s="106">
        <f>Prod[[#This Row],[S1Shot]]*Prod[[#This Row],[S1Cavity]]-Prod[[#This Row],[S1Dft]]</f>
        <v>3124</v>
      </c>
      <c r="M46" s="126">
        <f>SUM(Prod[[#This Row],[S1Mold]],Prod[[#This Row],[S1Dmg]],Prod[[#This Row],[S1DisclrSpt]])</f>
        <v>200</v>
      </c>
      <c r="N46" s="133">
        <v>41.72</v>
      </c>
      <c r="O46" s="134">
        <v>8</v>
      </c>
      <c r="P46" s="123">
        <v>684</v>
      </c>
      <c r="Q46" s="123">
        <v>12</v>
      </c>
      <c r="R46" s="106">
        <f>Prod[[#This Row],[S2Shot]]*Prod[[#This Row],[S2Cavity]]-Prod[[#This Row],[S2Dft]]</f>
        <v>8206</v>
      </c>
      <c r="S46" s="126">
        <f>SUM(Prod[[#This Row],[S2Mold]],Prod[[#This Row],[S2Dmg]],Prod[[#This Row],[S2DisclrSpt]])</f>
        <v>2</v>
      </c>
      <c r="T46" s="133">
        <v>41.67</v>
      </c>
      <c r="U46" s="134">
        <v>8</v>
      </c>
      <c r="V46" s="123">
        <v>636</v>
      </c>
      <c r="W46" s="123">
        <v>12</v>
      </c>
      <c r="X46" s="106">
        <f>Prod[[#This Row],[S3Shot]]*Prod[[#This Row],[S3Cavity]]-Prod[[#This Row],[S3Dft]]</f>
        <v>7631</v>
      </c>
      <c r="Y46" s="126">
        <f>SUM(Prod[[#This Row],[S3Mold]],Prod[[#This Row],[S3Dmg]],Prod[[#This Row],[S3DisclrSpt]])</f>
        <v>1</v>
      </c>
      <c r="Z46" s="106">
        <f>SUM(Prod[[#This Row],[S1Qty]],Prod[[#This Row],[S2Qty]],Prod[[#This Row],[S3Qty]])</f>
        <v>18961</v>
      </c>
      <c r="AA46" s="123">
        <f>SUM(Prod[[#This Row],[S1Dft]],Prod[[#This Row],[S2Dft]],Prod[[#This Row],[S3Dft]])</f>
        <v>203</v>
      </c>
      <c r="AB46" s="105">
        <f>IF(Prod[[#This Row],[Total]]=0,0,Prod[[#This Row],[TotalDft]]/Prod[[#This Row],[Total]])</f>
        <v>1.070618638257476E-2</v>
      </c>
      <c r="AC46" s="124" t="s">
        <v>300</v>
      </c>
      <c r="AD46" s="106">
        <v>200</v>
      </c>
      <c r="AE46" s="106">
        <v>2</v>
      </c>
      <c r="AF46" s="106">
        <v>1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21">
        <f>IF(Prod[[#This Row],[S1Hrs]]=0,0,Prod[[#This Row],[S1Shot]]*Prod[[#This Row],[S1Cycle]]/(Prod[[#This Row],[S1Hrs]]*60*60))</f>
        <v>1.0700407407407408</v>
      </c>
      <c r="AN46" s="121">
        <f>IF(Prod[[#This Row],[S2Hrs]]=0,0,Prod[[#This Row],[S2Shot]]*Prod[[#This Row],[S2Cycle]]/(Prod[[#This Row],[S2Hrs]]*60*60))</f>
        <v>0.99085000000000001</v>
      </c>
      <c r="AO46" s="121">
        <f>IF(Prod[[#This Row],[S3Hrs]]=0,0,Prod[[#This Row],[S3Shot]]*Prod[[#This Row],[S3Cycle]]/(Prod[[#This Row],[S3Hrs]]*60*60))</f>
        <v>0.9202125000000001</v>
      </c>
      <c r="AP46" s="121">
        <f>IFERROR(AVERAGEIF(Prod[[#This Row],[S1%]:[S3%]], "&lt;&gt;0"),0)</f>
        <v>0.99370108024691373</v>
      </c>
      <c r="AQ46" s="131">
        <v>0.5</v>
      </c>
      <c r="AR46" s="131">
        <v>0</v>
      </c>
      <c r="AS46" s="131">
        <v>0</v>
      </c>
      <c r="AT46" s="131">
        <f>IF(Prod[[#This Row],[S1Cycle]]&lt;&gt;0,1,0)</f>
        <v>1</v>
      </c>
      <c r="AU46" s="131">
        <f>IF(Prod[[#This Row],[S2Cycle]]&lt;&gt;0,1,0)</f>
        <v>1</v>
      </c>
      <c r="AV46" s="131">
        <f>IF(Prod[[#This Row],[S3Cycle]]&lt;&gt;0,1,0)</f>
        <v>1</v>
      </c>
      <c r="AW46" s="131">
        <f>MAX(Prod[[#This Row],[S1Cavity]],Prod[[#This Row],[S2Cavity]],Prod[[#This Row],[S3Cavity]])</f>
        <v>12</v>
      </c>
    </row>
    <row r="47" spans="1:49" x14ac:dyDescent="0.2">
      <c r="A47" s="116">
        <v>45418</v>
      </c>
      <c r="B47" s="117" t="s">
        <v>221</v>
      </c>
      <c r="C47" s="124" t="s">
        <v>234</v>
      </c>
      <c r="D47" s="112">
        <v>26455</v>
      </c>
      <c r="E47" s="124" t="s">
        <v>46</v>
      </c>
      <c r="F47" s="124" t="s">
        <v>130</v>
      </c>
      <c r="G47" s="117" t="str">
        <f>IF(OR(Prod[[#This Row],[S1Hrs]]&gt;0,Prod[[#This Row],[S2Hrs]]&gt;0,Prod[[#This Row],[S3Hrs]]&gt;0),"Running","Down")</f>
        <v>Running</v>
      </c>
      <c r="H47" s="133">
        <v>41.25</v>
      </c>
      <c r="I47" s="134">
        <v>8</v>
      </c>
      <c r="J47" s="123">
        <v>683</v>
      </c>
      <c r="K47" s="123">
        <v>12</v>
      </c>
      <c r="L47" s="106">
        <f>Prod[[#This Row],[S1Shot]]*Prod[[#This Row],[S1Cavity]]-Prod[[#This Row],[S1Dft]]</f>
        <v>8195</v>
      </c>
      <c r="M47" s="126">
        <f>SUM(Prod[[#This Row],[S1Mold]],Prod[[#This Row],[S1Dmg]],Prod[[#This Row],[S1DisclrSpt]])</f>
        <v>1</v>
      </c>
      <c r="N47" s="133">
        <v>41.26</v>
      </c>
      <c r="O47" s="134">
        <v>8</v>
      </c>
      <c r="P47" s="123">
        <v>696</v>
      </c>
      <c r="Q47" s="123">
        <v>12</v>
      </c>
      <c r="R47" s="106">
        <f>Prod[[#This Row],[S2Shot]]*Prod[[#This Row],[S2Cavity]]-Prod[[#This Row],[S2Dft]]</f>
        <v>8351</v>
      </c>
      <c r="S47" s="126">
        <f>SUM(Prod[[#This Row],[S2Mold]],Prod[[#This Row],[S2Dmg]],Prod[[#This Row],[S2DisclrSpt]])</f>
        <v>1</v>
      </c>
      <c r="T47" s="133">
        <v>41.3</v>
      </c>
      <c r="U47" s="134">
        <v>8</v>
      </c>
      <c r="V47" s="123">
        <v>696</v>
      </c>
      <c r="W47" s="123">
        <v>12</v>
      </c>
      <c r="X47" s="106">
        <f>Prod[[#This Row],[S3Shot]]*Prod[[#This Row],[S3Cavity]]-Prod[[#This Row],[S3Dft]]</f>
        <v>8352</v>
      </c>
      <c r="Y47" s="126">
        <f>SUM(Prod[[#This Row],[S3Mold]],Prod[[#This Row],[S3Dmg]],Prod[[#This Row],[S3DisclrSpt]])</f>
        <v>0</v>
      </c>
      <c r="Z47" s="106">
        <f>SUM(Prod[[#This Row],[S1Qty]],Prod[[#This Row],[S2Qty]],Prod[[#This Row],[S3Qty]])</f>
        <v>24898</v>
      </c>
      <c r="AA47" s="123">
        <f>SUM(Prod[[#This Row],[S1Dft]],Prod[[#This Row],[S2Dft]],Prod[[#This Row],[S3Dft]])</f>
        <v>2</v>
      </c>
      <c r="AB47" s="105">
        <f>IF(Prod[[#This Row],[Total]]=0,0,Prod[[#This Row],[TotalDft]]/Prod[[#This Row],[Total]])</f>
        <v>8.032773716764399E-5</v>
      </c>
      <c r="AC47" s="124"/>
      <c r="AD47" s="106">
        <v>1</v>
      </c>
      <c r="AE47" s="106">
        <v>1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21">
        <f>IF(Prod[[#This Row],[S1Hrs]]=0,0,Prod[[#This Row],[S1Shot]]*Prod[[#This Row],[S1Cycle]]/(Prod[[#This Row],[S1Hrs]]*60*60))</f>
        <v>0.97825520833333335</v>
      </c>
      <c r="AN47" s="121">
        <f>IF(Prod[[#This Row],[S2Hrs]]=0,0,Prod[[#This Row],[S2Shot]]*Prod[[#This Row],[S2Cycle]]/(Prod[[#This Row],[S2Hrs]]*60*60))</f>
        <v>0.99711666666666665</v>
      </c>
      <c r="AO47" s="121">
        <f>IF(Prod[[#This Row],[S3Hrs]]=0,0,Prod[[#This Row],[S3Shot]]*Prod[[#This Row],[S3Cycle]]/(Prod[[#This Row],[S3Hrs]]*60*60))</f>
        <v>0.99808333333333332</v>
      </c>
      <c r="AP47" s="121">
        <f>IFERROR(AVERAGEIF(Prod[[#This Row],[S1%]:[S3%]], "&lt;&gt;0"),0)</f>
        <v>0.99115173611111107</v>
      </c>
      <c r="AQ47" s="131">
        <v>0</v>
      </c>
      <c r="AR47" s="131">
        <v>0</v>
      </c>
      <c r="AS47" s="131">
        <v>0</v>
      </c>
      <c r="AT47" s="131">
        <f>IF(Prod[[#This Row],[S1Cycle]]&lt;&gt;0,1,0)</f>
        <v>1</v>
      </c>
      <c r="AU47" s="131">
        <f>IF(Prod[[#This Row],[S2Cycle]]&lt;&gt;0,1,0)</f>
        <v>1</v>
      </c>
      <c r="AV47" s="131">
        <f>IF(Prod[[#This Row],[S3Cycle]]&lt;&gt;0,1,0)</f>
        <v>1</v>
      </c>
      <c r="AW47" s="131">
        <f>MAX(Prod[[#This Row],[S1Cavity]],Prod[[#This Row],[S2Cavity]],Prod[[#This Row],[S3Cavity]])</f>
        <v>12</v>
      </c>
    </row>
    <row r="48" spans="1:49" x14ac:dyDescent="0.2">
      <c r="A48" s="116">
        <v>45418</v>
      </c>
      <c r="B48" s="117" t="s">
        <v>222</v>
      </c>
      <c r="C48" s="117" t="s">
        <v>223</v>
      </c>
      <c r="D48" s="112">
        <v>27423</v>
      </c>
      <c r="E48" s="124" t="s">
        <v>46</v>
      </c>
      <c r="F48" s="117" t="s">
        <v>130</v>
      </c>
      <c r="G48" s="117" t="str">
        <f>IF(OR(Prod[[#This Row],[S1Hrs]]&gt;0,Prod[[#This Row],[S2Hrs]]&gt;0,Prod[[#This Row],[S3Hrs]]&gt;0),"Running","Down")</f>
        <v>Running</v>
      </c>
      <c r="H48" s="133">
        <v>41.05</v>
      </c>
      <c r="I48" s="134">
        <v>8</v>
      </c>
      <c r="J48" s="123">
        <v>702</v>
      </c>
      <c r="K48" s="123">
        <v>8</v>
      </c>
      <c r="L48" s="106">
        <f>Prod[[#This Row],[S1Shot]]*Prod[[#This Row],[S1Cavity]]-Prod[[#This Row],[S1Dft]]</f>
        <v>5616</v>
      </c>
      <c r="M48" s="126">
        <f>SUM(Prod[[#This Row],[S1Mold]],Prod[[#This Row],[S1Dmg]],Prod[[#This Row],[S1DisclrSpt]])</f>
        <v>0</v>
      </c>
      <c r="N48" s="133">
        <v>41.25</v>
      </c>
      <c r="O48" s="134">
        <v>8</v>
      </c>
      <c r="P48" s="123">
        <v>701</v>
      </c>
      <c r="Q48" s="123">
        <v>8</v>
      </c>
      <c r="R48" s="106">
        <f>Prod[[#This Row],[S2Shot]]*Prod[[#This Row],[S2Cavity]]-Prod[[#This Row],[S2Dft]]</f>
        <v>5607</v>
      </c>
      <c r="S48" s="126">
        <f>SUM(Prod[[#This Row],[S2Mold]],Prod[[#This Row],[S2Dmg]],Prod[[#This Row],[S2DisclrSpt]])</f>
        <v>1</v>
      </c>
      <c r="T48" s="133">
        <v>41.25</v>
      </c>
      <c r="U48" s="134">
        <v>8</v>
      </c>
      <c r="V48" s="123">
        <v>700</v>
      </c>
      <c r="W48" s="123">
        <v>8</v>
      </c>
      <c r="X48" s="106">
        <f>Prod[[#This Row],[S3Shot]]*Prod[[#This Row],[S3Cavity]]-Prod[[#This Row],[S3Dft]]</f>
        <v>5599</v>
      </c>
      <c r="Y48" s="126">
        <f>SUM(Prod[[#This Row],[S3Mold]],Prod[[#This Row],[S3Dmg]],Prod[[#This Row],[S3DisclrSpt]])</f>
        <v>1</v>
      </c>
      <c r="Z48" s="106">
        <f>SUM(Prod[[#This Row],[S1Qty]],Prod[[#This Row],[S2Qty]],Prod[[#This Row],[S3Qty]])</f>
        <v>16822</v>
      </c>
      <c r="AA48" s="123">
        <f>SUM(Prod[[#This Row],[S1Dft]],Prod[[#This Row],[S2Dft]],Prod[[#This Row],[S3Dft]])</f>
        <v>2</v>
      </c>
      <c r="AB48" s="105">
        <f>IF(Prod[[#This Row],[Total]]=0,0,Prod[[#This Row],[TotalDft]]/Prod[[#This Row],[Total]])</f>
        <v>1.1889192723814053E-4</v>
      </c>
      <c r="AC48" s="124"/>
      <c r="AD48" s="106">
        <v>0</v>
      </c>
      <c r="AE48" s="106">
        <v>1</v>
      </c>
      <c r="AF48" s="106">
        <v>1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21">
        <f>IF(Prod[[#This Row],[S1Hrs]]=0,0,Prod[[#This Row],[S1Shot]]*Prod[[#This Row],[S1Cycle]]/(Prod[[#This Row],[S1Hrs]]*60*60))</f>
        <v>1.0005937499999999</v>
      </c>
      <c r="AN48" s="121">
        <f>IF(Prod[[#This Row],[S2Hrs]]=0,0,Prod[[#This Row],[S2Shot]]*Prod[[#This Row],[S2Cycle]]/(Prod[[#This Row],[S2Hrs]]*60*60))</f>
        <v>1.0040364583333334</v>
      </c>
      <c r="AO48" s="121">
        <f>IF(Prod[[#This Row],[S3Hrs]]=0,0,Prod[[#This Row],[S3Shot]]*Prod[[#This Row],[S3Cycle]]/(Prod[[#This Row],[S3Hrs]]*60*60))</f>
        <v>1.0026041666666667</v>
      </c>
      <c r="AP48" s="121">
        <f>IFERROR(AVERAGEIF(Prod[[#This Row],[S1%]:[S3%]], "&lt;&gt;0"),0)</f>
        <v>1.0024114583333334</v>
      </c>
      <c r="AQ48" s="131">
        <v>0</v>
      </c>
      <c r="AR48" s="131">
        <v>0</v>
      </c>
      <c r="AS48" s="131">
        <v>0</v>
      </c>
      <c r="AT48" s="131">
        <f>IF(Prod[[#This Row],[S1Cycle]]&lt;&gt;0,1,0)</f>
        <v>1</v>
      </c>
      <c r="AU48" s="131">
        <f>IF(Prod[[#This Row],[S2Cycle]]&lt;&gt;0,1,0)</f>
        <v>1</v>
      </c>
      <c r="AV48" s="131">
        <f>IF(Prod[[#This Row],[S3Cycle]]&lt;&gt;0,1,0)</f>
        <v>1</v>
      </c>
      <c r="AW48" s="131">
        <f>MAX(Prod[[#This Row],[S1Cavity]],Prod[[#This Row],[S2Cavity]],Prod[[#This Row],[S3Cavity]])</f>
        <v>8</v>
      </c>
    </row>
    <row r="49" spans="1:49" x14ac:dyDescent="0.2">
      <c r="A49" s="116">
        <v>45418</v>
      </c>
      <c r="B49" s="124" t="s">
        <v>269</v>
      </c>
      <c r="C49" s="124" t="s">
        <v>270</v>
      </c>
      <c r="D49" s="112">
        <v>26976</v>
      </c>
      <c r="E49" s="124" t="s">
        <v>274</v>
      </c>
      <c r="F49" s="117" t="s">
        <v>130</v>
      </c>
      <c r="G49" s="117" t="str">
        <f>IF(OR(Prod[[#This Row],[S1Hrs]]&gt;0,Prod[[#This Row],[S2Hrs]]&gt;0,Prod[[#This Row],[S3Hrs]]&gt;0),"Running","Down")</f>
        <v>Running</v>
      </c>
      <c r="H49" s="133">
        <v>56.6</v>
      </c>
      <c r="I49" s="134">
        <v>8</v>
      </c>
      <c r="J49" s="123">
        <v>485</v>
      </c>
      <c r="K49" s="123">
        <v>2</v>
      </c>
      <c r="L49" s="106">
        <f>Prod[[#This Row],[S1Shot]]*Prod[[#This Row],[S1Cavity]]-Prod[[#This Row],[S1Dft]]</f>
        <v>969</v>
      </c>
      <c r="M49" s="126">
        <f>SUM(Prod[[#This Row],[S1Mold]],Prod[[#This Row],[S1Dmg]],Prod[[#This Row],[S1DisclrSpt]])</f>
        <v>1</v>
      </c>
      <c r="N49" s="133">
        <v>56.6</v>
      </c>
      <c r="O49" s="134">
        <v>8</v>
      </c>
      <c r="P49" s="123">
        <v>517</v>
      </c>
      <c r="Q49" s="123">
        <v>2</v>
      </c>
      <c r="R49" s="106">
        <f>Prod[[#This Row],[S2Shot]]*Prod[[#This Row],[S2Cavity]]-Prod[[#This Row],[S2Dft]]</f>
        <v>1034</v>
      </c>
      <c r="S49" s="126">
        <f>SUM(Prod[[#This Row],[S2Mold]],Prod[[#This Row],[S2Dmg]],Prod[[#This Row],[S2DisclrSpt]])</f>
        <v>0</v>
      </c>
      <c r="T49" s="133">
        <v>57.6</v>
      </c>
      <c r="U49" s="134">
        <v>8</v>
      </c>
      <c r="V49" s="123">
        <v>528</v>
      </c>
      <c r="W49" s="123">
        <v>2</v>
      </c>
      <c r="X49" s="106">
        <f>Prod[[#This Row],[S3Shot]]*Prod[[#This Row],[S3Cavity]]-Prod[[#This Row],[S3Dft]]</f>
        <v>1056</v>
      </c>
      <c r="Y49" s="126">
        <f>SUM(Prod[[#This Row],[S3Mold]],Prod[[#This Row],[S3Dmg]],Prod[[#This Row],[S3DisclrSpt]])</f>
        <v>0</v>
      </c>
      <c r="Z49" s="106">
        <f>SUM(Prod[[#This Row],[S1Qty]],Prod[[#This Row],[S2Qty]],Prod[[#This Row],[S3Qty]])</f>
        <v>3059</v>
      </c>
      <c r="AA49" s="123">
        <f>SUM(Prod[[#This Row],[S1Dft]],Prod[[#This Row],[S2Dft]],Prod[[#This Row],[S3Dft]])</f>
        <v>1</v>
      </c>
      <c r="AB49" s="105">
        <f>IF(Prod[[#This Row],[Total]]=0,0,Prod[[#This Row],[TotalDft]]/Prod[[#This Row],[Total]])</f>
        <v>3.2690421706440013E-4</v>
      </c>
      <c r="AC49" s="124"/>
      <c r="AD49" s="106">
        <v>1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21">
        <f>IF(Prod[[#This Row],[S1Hrs]]=0,0,Prod[[#This Row],[S1Shot]]*Prod[[#This Row],[S1Cycle]]/(Prod[[#This Row],[S1Hrs]]*60*60))</f>
        <v>0.95315972222222223</v>
      </c>
      <c r="AN49" s="121">
        <f>IF(Prod[[#This Row],[S2Hrs]]=0,0,Prod[[#This Row],[S2Shot]]*Prod[[#This Row],[S2Cycle]]/(Prod[[#This Row],[S2Hrs]]*60*60))</f>
        <v>1.0160486111111111</v>
      </c>
      <c r="AO49" s="121">
        <f>IF(Prod[[#This Row],[S3Hrs]]=0,0,Prod[[#This Row],[S3Shot]]*Prod[[#This Row],[S3Cycle]]/(Prod[[#This Row],[S3Hrs]]*60*60))</f>
        <v>1.056</v>
      </c>
      <c r="AP49" s="121">
        <f>IFERROR(AVERAGEIF(Prod[[#This Row],[S1%]:[S3%]], "&lt;&gt;0"),0)</f>
        <v>1.0084027777777778</v>
      </c>
      <c r="AQ49" s="131">
        <v>0</v>
      </c>
      <c r="AR49" s="131">
        <v>0</v>
      </c>
      <c r="AS49" s="131">
        <v>0</v>
      </c>
      <c r="AT49" s="131">
        <f>IF(Prod[[#This Row],[S1Cycle]]&lt;&gt;0,1,0)</f>
        <v>1</v>
      </c>
      <c r="AU49" s="131">
        <f>IF(Prod[[#This Row],[S2Cycle]]&lt;&gt;0,1,0)</f>
        <v>1</v>
      </c>
      <c r="AV49" s="131">
        <f>IF(Prod[[#This Row],[S3Cycle]]&lt;&gt;0,1,0)</f>
        <v>1</v>
      </c>
      <c r="AW49" s="131">
        <f>MAX(Prod[[#This Row],[S1Cavity]],Prod[[#This Row],[S2Cavity]],Prod[[#This Row],[S3Cavity]])</f>
        <v>2</v>
      </c>
    </row>
    <row r="50" spans="1:49" x14ac:dyDescent="0.2">
      <c r="A50" s="116">
        <v>45419</v>
      </c>
      <c r="B50" s="124" t="s">
        <v>148</v>
      </c>
      <c r="C50" s="117" t="s">
        <v>45</v>
      </c>
      <c r="D50" s="112">
        <v>25508</v>
      </c>
      <c r="E50" s="124" t="s">
        <v>46</v>
      </c>
      <c r="F50" s="117" t="s">
        <v>130</v>
      </c>
      <c r="G50" s="117" t="str">
        <f>IF(OR(Prod[[#This Row],[S1Hrs]]&gt;0,Prod[[#This Row],[S2Hrs]]&gt;0,Prod[[#This Row],[S3Hrs]]&gt;0),"Running","Down")</f>
        <v>Running</v>
      </c>
      <c r="H50" s="133">
        <v>41.55</v>
      </c>
      <c r="I50" s="134">
        <v>7.5</v>
      </c>
      <c r="J50" s="123">
        <v>665</v>
      </c>
      <c r="K50" s="123">
        <v>12</v>
      </c>
      <c r="L50" s="106">
        <f>Prod[[#This Row],[S1Shot]]*Prod[[#This Row],[S1Cavity]]-Prod[[#This Row],[S1Dft]]</f>
        <v>7970</v>
      </c>
      <c r="M50" s="126">
        <f>SUM(Prod[[#This Row],[S1Mold]],Prod[[#This Row],[S1Dmg]],Prod[[#This Row],[S1DisclrSpt]])</f>
        <v>10</v>
      </c>
      <c r="N50" s="133">
        <v>41.55</v>
      </c>
      <c r="O50" s="134">
        <v>8</v>
      </c>
      <c r="P50" s="123">
        <v>667</v>
      </c>
      <c r="Q50" s="123">
        <v>12</v>
      </c>
      <c r="R50" s="106">
        <f>Prod[[#This Row],[S2Shot]]*Prod[[#This Row],[S2Cavity]]-Prod[[#This Row],[S2Dft]]</f>
        <v>8002</v>
      </c>
      <c r="S50" s="126">
        <f>SUM(Prod[[#This Row],[S2Mold]],Prod[[#This Row],[S2Dmg]],Prod[[#This Row],[S2DisclrSpt]])</f>
        <v>2</v>
      </c>
      <c r="T50" s="133">
        <v>41.55</v>
      </c>
      <c r="U50" s="134">
        <v>8</v>
      </c>
      <c r="V50" s="123">
        <v>685</v>
      </c>
      <c r="W50" s="123">
        <v>12</v>
      </c>
      <c r="X50" s="106">
        <f>Prod[[#This Row],[S3Shot]]*Prod[[#This Row],[S3Cavity]]-Prod[[#This Row],[S3Dft]]</f>
        <v>8219</v>
      </c>
      <c r="Y50" s="126">
        <f>SUM(Prod[[#This Row],[S3Mold]],Prod[[#This Row],[S3Dmg]],Prod[[#This Row],[S3DisclrSpt]])</f>
        <v>1</v>
      </c>
      <c r="Z50" s="106">
        <f>SUM(Prod[[#This Row],[S1Qty]],Prod[[#This Row],[S2Qty]],Prod[[#This Row],[S3Qty]])</f>
        <v>24191</v>
      </c>
      <c r="AA50" s="123">
        <f>SUM(Prod[[#This Row],[S1Dft]],Prod[[#This Row],[S2Dft]],Prod[[#This Row],[S3Dft]])</f>
        <v>13</v>
      </c>
      <c r="AB50" s="105">
        <f>IF(Prod[[#This Row],[Total]]=0,0,Prod[[#This Row],[TotalDft]]/Prod[[#This Row],[Total]])</f>
        <v>5.3738993840684549E-4</v>
      </c>
      <c r="AC50" s="124" t="s">
        <v>304</v>
      </c>
      <c r="AD50" s="106">
        <v>10</v>
      </c>
      <c r="AE50" s="106">
        <v>2</v>
      </c>
      <c r="AF50" s="106">
        <v>1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21">
        <f>IF(Prod[[#This Row],[S1Hrs]]=0,0,Prod[[#This Row],[S1Shot]]*Prod[[#This Row],[S1Cycle]]/(Prod[[#This Row],[S1Hrs]]*60*60))</f>
        <v>1.0233611111111109</v>
      </c>
      <c r="AN50" s="121">
        <f>IF(Prod[[#This Row],[S2Hrs]]=0,0,Prod[[#This Row],[S2Shot]]*Prod[[#This Row],[S2Cycle]]/(Prod[[#This Row],[S2Hrs]]*60*60))</f>
        <v>0.96228645833333326</v>
      </c>
      <c r="AO50" s="121">
        <f>IF(Prod[[#This Row],[S3Hrs]]=0,0,Prod[[#This Row],[S3Shot]]*Prod[[#This Row],[S3Cycle]]/(Prod[[#This Row],[S3Hrs]]*60*60))</f>
        <v>0.98825520833333325</v>
      </c>
      <c r="AP50" s="121">
        <f>IFERROR(AVERAGEIF(Prod[[#This Row],[S1%]:[S3%]], "&lt;&gt;0"),0)</f>
        <v>0.99130092592592589</v>
      </c>
      <c r="AQ50" s="131">
        <v>0</v>
      </c>
      <c r="AR50" s="131">
        <v>0</v>
      </c>
      <c r="AS50" s="131">
        <v>0</v>
      </c>
      <c r="AT50" s="131">
        <f>IF(Prod[[#This Row],[S1Cycle]]&lt;&gt;0,1,0)</f>
        <v>1</v>
      </c>
      <c r="AU50" s="131">
        <f>IF(Prod[[#This Row],[S2Cycle]]&lt;&gt;0,1,0)</f>
        <v>1</v>
      </c>
      <c r="AV50" s="131">
        <f>IF(Prod[[#This Row],[S3Cycle]]&lt;&gt;0,1,0)</f>
        <v>1</v>
      </c>
      <c r="AW50" s="131">
        <f>MAX(Prod[[#This Row],[S1Cavity]],Prod[[#This Row],[S2Cavity]],Prod[[#This Row],[S3Cavity]])</f>
        <v>12</v>
      </c>
    </row>
    <row r="51" spans="1:49" x14ac:dyDescent="0.2">
      <c r="A51" s="116">
        <v>45419</v>
      </c>
      <c r="B51" s="117" t="s">
        <v>149</v>
      </c>
      <c r="C51" s="117" t="s">
        <v>65</v>
      </c>
      <c r="D51" s="112">
        <v>26455</v>
      </c>
      <c r="E51" s="124" t="s">
        <v>46</v>
      </c>
      <c r="F51" s="117" t="s">
        <v>130</v>
      </c>
      <c r="G51" s="117" t="str">
        <f>IF(OR(Prod[[#This Row],[S1Hrs]]&gt;0,Prod[[#This Row],[S2Hrs]]&gt;0,Prod[[#This Row],[S3Hrs]]&gt;0),"Running","Down")</f>
        <v>Running</v>
      </c>
      <c r="H51" s="133">
        <v>41.06</v>
      </c>
      <c r="I51" s="134">
        <v>8</v>
      </c>
      <c r="J51" s="123">
        <v>685</v>
      </c>
      <c r="K51" s="123">
        <v>12</v>
      </c>
      <c r="L51" s="106">
        <f>Prod[[#This Row],[S1Shot]]*Prod[[#This Row],[S1Cavity]]-Prod[[#This Row],[S1Dft]]</f>
        <v>8219</v>
      </c>
      <c r="M51" s="126">
        <f>SUM(Prod[[#This Row],[S1Mold]],Prod[[#This Row],[S1Dmg]],Prod[[#This Row],[S1DisclrSpt]])</f>
        <v>1</v>
      </c>
      <c r="N51" s="133">
        <v>41.25</v>
      </c>
      <c r="O51" s="134">
        <v>8</v>
      </c>
      <c r="P51" s="123">
        <v>696</v>
      </c>
      <c r="Q51" s="123">
        <v>12</v>
      </c>
      <c r="R51" s="106">
        <f>Prod[[#This Row],[S2Shot]]*Prod[[#This Row],[S2Cavity]]-Prod[[#This Row],[S2Dft]]</f>
        <v>8352</v>
      </c>
      <c r="S51" s="126">
        <f>SUM(Prod[[#This Row],[S2Mold]],Prod[[#This Row],[S2Dmg]],Prod[[#This Row],[S2DisclrSpt]])</f>
        <v>0</v>
      </c>
      <c r="T51" s="133">
        <v>41.06</v>
      </c>
      <c r="U51" s="134">
        <v>8</v>
      </c>
      <c r="V51" s="123">
        <v>708</v>
      </c>
      <c r="W51" s="123">
        <v>12</v>
      </c>
      <c r="X51" s="106">
        <f>Prod[[#This Row],[S3Shot]]*Prod[[#This Row],[S3Cavity]]-Prod[[#This Row],[S3Dft]]</f>
        <v>8495</v>
      </c>
      <c r="Y51" s="126">
        <f>SUM(Prod[[#This Row],[S3Mold]],Prod[[#This Row],[S3Dmg]],Prod[[#This Row],[S3DisclrSpt]])</f>
        <v>1</v>
      </c>
      <c r="Z51" s="106">
        <f>SUM(Prod[[#This Row],[S1Qty]],Prod[[#This Row],[S2Qty]],Prod[[#This Row],[S3Qty]])</f>
        <v>25066</v>
      </c>
      <c r="AA51" s="123">
        <f>SUM(Prod[[#This Row],[S1Dft]],Prod[[#This Row],[S2Dft]],Prod[[#This Row],[S3Dft]])</f>
        <v>2</v>
      </c>
      <c r="AB51" s="105">
        <f>IF(Prod[[#This Row],[Total]]=0,0,Prod[[#This Row],[TotalDft]]/Prod[[#This Row],[Total]])</f>
        <v>7.9789356099896279E-5</v>
      </c>
      <c r="AC51" s="124"/>
      <c r="AD51" s="106">
        <v>1</v>
      </c>
      <c r="AE51" s="106">
        <v>0</v>
      </c>
      <c r="AF51" s="106">
        <v>1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21">
        <f>IF(Prod[[#This Row],[S1Hrs]]=0,0,Prod[[#This Row],[S1Shot]]*Prod[[#This Row],[S1Cycle]]/(Prod[[#This Row],[S1Hrs]]*60*60))</f>
        <v>0.97660069444444453</v>
      </c>
      <c r="AN51" s="121">
        <f>IF(Prod[[#This Row],[S2Hrs]]=0,0,Prod[[#This Row],[S2Shot]]*Prod[[#This Row],[S2Cycle]]/(Prod[[#This Row],[S2Hrs]]*60*60))</f>
        <v>0.99687499999999996</v>
      </c>
      <c r="AO51" s="121">
        <f>IF(Prod[[#This Row],[S3Hrs]]=0,0,Prod[[#This Row],[S3Shot]]*Prod[[#This Row],[S3Cycle]]/(Prod[[#This Row],[S3Hrs]]*60*60))</f>
        <v>1.0093916666666667</v>
      </c>
      <c r="AP51" s="121">
        <f>IFERROR(AVERAGEIF(Prod[[#This Row],[S1%]:[S3%]], "&lt;&gt;0"),0)</f>
        <v>0.99428912037037043</v>
      </c>
      <c r="AQ51" s="131">
        <v>0</v>
      </c>
      <c r="AR51" s="131">
        <v>0</v>
      </c>
      <c r="AS51" s="131">
        <v>0</v>
      </c>
      <c r="AT51" s="131">
        <f>IF(Prod[[#This Row],[S1Cycle]]&lt;&gt;0,1,0)</f>
        <v>1</v>
      </c>
      <c r="AU51" s="131">
        <f>IF(Prod[[#This Row],[S2Cycle]]&lt;&gt;0,1,0)</f>
        <v>1</v>
      </c>
      <c r="AV51" s="131">
        <f>IF(Prod[[#This Row],[S3Cycle]]&lt;&gt;0,1,0)</f>
        <v>1</v>
      </c>
      <c r="AW51" s="131">
        <f>MAX(Prod[[#This Row],[S1Cavity]],Prod[[#This Row],[S2Cavity]],Prod[[#This Row],[S3Cavity]])</f>
        <v>12</v>
      </c>
    </row>
    <row r="52" spans="1:49" x14ac:dyDescent="0.2">
      <c r="A52" s="116">
        <v>45419</v>
      </c>
      <c r="B52" s="117" t="s">
        <v>150</v>
      </c>
      <c r="C52" s="124" t="s">
        <v>257</v>
      </c>
      <c r="D52" s="112">
        <v>27328</v>
      </c>
      <c r="E52" s="124" t="s">
        <v>46</v>
      </c>
      <c r="F52" s="117" t="s">
        <v>130</v>
      </c>
      <c r="G52" s="117" t="str">
        <f>IF(OR(Prod[[#This Row],[S1Hrs]]&gt;0,Prod[[#This Row],[S2Hrs]]&gt;0,Prod[[#This Row],[S3Hrs]]&gt;0),"Running","Down")</f>
        <v>Running</v>
      </c>
      <c r="H52" s="133">
        <v>41.75</v>
      </c>
      <c r="I52" s="134">
        <v>8</v>
      </c>
      <c r="J52" s="123">
        <v>692</v>
      </c>
      <c r="K52" s="123">
        <v>12</v>
      </c>
      <c r="L52" s="106">
        <f>Prod[[#This Row],[S1Shot]]*Prod[[#This Row],[S1Cavity]]-Prod[[#This Row],[S1Dft]]</f>
        <v>8303</v>
      </c>
      <c r="M52" s="126">
        <f>SUM(Prod[[#This Row],[S1Mold]],Prod[[#This Row],[S1Dmg]],Prod[[#This Row],[S1DisclrSpt]])</f>
        <v>1</v>
      </c>
      <c r="N52" s="133">
        <v>41.75</v>
      </c>
      <c r="O52" s="134">
        <v>8</v>
      </c>
      <c r="P52" s="123">
        <v>656</v>
      </c>
      <c r="Q52" s="123">
        <v>8</v>
      </c>
      <c r="R52" s="106">
        <f>Prod[[#This Row],[S2Shot]]*Prod[[#This Row],[S2Cavity]]-Prod[[#This Row],[S2Dft]]</f>
        <v>5246</v>
      </c>
      <c r="S52" s="126">
        <f>SUM(Prod[[#This Row],[S2Mold]],Prod[[#This Row],[S2Dmg]],Prod[[#This Row],[S2DisclrSpt]])</f>
        <v>2</v>
      </c>
      <c r="T52" s="133">
        <v>41.6</v>
      </c>
      <c r="U52" s="134">
        <v>8</v>
      </c>
      <c r="V52" s="123">
        <v>683</v>
      </c>
      <c r="W52" s="123">
        <v>8</v>
      </c>
      <c r="X52" s="106">
        <f>Prod[[#This Row],[S3Shot]]*Prod[[#This Row],[S3Cavity]]-Prod[[#This Row],[S3Dft]]</f>
        <v>5463</v>
      </c>
      <c r="Y52" s="126">
        <f>SUM(Prod[[#This Row],[S3Mold]],Prod[[#This Row],[S3Dmg]],Prod[[#This Row],[S3DisclrSpt]])</f>
        <v>1</v>
      </c>
      <c r="Z52" s="106">
        <f>SUM(Prod[[#This Row],[S1Qty]],Prod[[#This Row],[S2Qty]],Prod[[#This Row],[S3Qty]])</f>
        <v>19012</v>
      </c>
      <c r="AA52" s="123">
        <f>SUM(Prod[[#This Row],[S1Dft]],Prod[[#This Row],[S2Dft]],Prod[[#This Row],[S3Dft]])</f>
        <v>4</v>
      </c>
      <c r="AB52" s="105">
        <f>IF(Prod[[#This Row],[Total]]=0,0,Prod[[#This Row],[TotalDft]]/Prod[[#This Row],[Total]])</f>
        <v>2.1039343572480537E-4</v>
      </c>
      <c r="AC52" s="124"/>
      <c r="AD52" s="106">
        <v>1</v>
      </c>
      <c r="AE52" s="106">
        <v>2</v>
      </c>
      <c r="AF52" s="106">
        <v>1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21">
        <f>IF(Prod[[#This Row],[S1Hrs]]=0,0,Prod[[#This Row],[S1Shot]]*Prod[[#This Row],[S1Cycle]]/(Prod[[#This Row],[S1Hrs]]*60*60))</f>
        <v>1.0031597222222222</v>
      </c>
      <c r="AN52" s="121">
        <f>IF(Prod[[#This Row],[S2Hrs]]=0,0,Prod[[#This Row],[S2Shot]]*Prod[[#This Row],[S2Cycle]]/(Prod[[#This Row],[S2Hrs]]*60*60))</f>
        <v>0.95097222222222222</v>
      </c>
      <c r="AO52" s="121">
        <f>IF(Prod[[#This Row],[S3Hrs]]=0,0,Prod[[#This Row],[S3Shot]]*Prod[[#This Row],[S3Cycle]]/(Prod[[#This Row],[S3Hrs]]*60*60))</f>
        <v>0.98655555555555552</v>
      </c>
      <c r="AP52" s="121">
        <f>IFERROR(AVERAGEIF(Prod[[#This Row],[S1%]:[S3%]], "&lt;&gt;0"),0)</f>
        <v>0.9802291666666666</v>
      </c>
      <c r="AQ52" s="131">
        <v>0</v>
      </c>
      <c r="AR52" s="131"/>
      <c r="AS52" s="131">
        <v>0</v>
      </c>
      <c r="AT52" s="131">
        <f>IF(Prod[[#This Row],[S1Cycle]]&lt;&gt;0,1,0)</f>
        <v>1</v>
      </c>
      <c r="AU52" s="131">
        <f>IF(Prod[[#This Row],[S2Cycle]]&lt;&gt;0,1,0)</f>
        <v>1</v>
      </c>
      <c r="AV52" s="131">
        <f>IF(Prod[[#This Row],[S3Cycle]]&lt;&gt;0,1,0)</f>
        <v>1</v>
      </c>
      <c r="AW52" s="131">
        <f>MAX(Prod[[#This Row],[S1Cavity]],Prod[[#This Row],[S2Cavity]],Prod[[#This Row],[S3Cavity]])</f>
        <v>12</v>
      </c>
    </row>
    <row r="53" spans="1:49" x14ac:dyDescent="0.2">
      <c r="A53" s="116">
        <v>45419</v>
      </c>
      <c r="B53" s="117" t="s">
        <v>220</v>
      </c>
      <c r="C53" s="117" t="s">
        <v>224</v>
      </c>
      <c r="D53" s="112">
        <v>27228</v>
      </c>
      <c r="E53" s="124" t="s">
        <v>299</v>
      </c>
      <c r="F53" s="117" t="s">
        <v>130</v>
      </c>
      <c r="G53" s="117" t="str">
        <f>IF(OR(Prod[[#This Row],[S1Hrs]]&gt;0,Prod[[#This Row],[S2Hrs]]&gt;0,Prod[[#This Row],[S3Hrs]]&gt;0),"Running","Down")</f>
        <v>Running</v>
      </c>
      <c r="H53" s="133">
        <v>41.66</v>
      </c>
      <c r="I53" s="134">
        <v>8</v>
      </c>
      <c r="J53" s="123">
        <v>684</v>
      </c>
      <c r="K53" s="123">
        <v>12</v>
      </c>
      <c r="L53" s="106">
        <f>Prod[[#This Row],[S1Shot]]*Prod[[#This Row],[S1Cavity]]-Prod[[#This Row],[S1Dft]]</f>
        <v>8207</v>
      </c>
      <c r="M53" s="126">
        <f>SUM(Prod[[#This Row],[S1Mold]],Prod[[#This Row],[S1Dmg]],Prod[[#This Row],[S1DisclrSpt]])</f>
        <v>1</v>
      </c>
      <c r="N53" s="133">
        <v>41.66</v>
      </c>
      <c r="O53" s="134">
        <v>8</v>
      </c>
      <c r="P53" s="123">
        <v>684</v>
      </c>
      <c r="Q53" s="123">
        <v>12</v>
      </c>
      <c r="R53" s="106">
        <f>Prod[[#This Row],[S2Shot]]*Prod[[#This Row],[S2Cavity]]-Prod[[#This Row],[S2Dft]]</f>
        <v>8208</v>
      </c>
      <c r="S53" s="126">
        <f>SUM(Prod[[#This Row],[S2Mold]],Prod[[#This Row],[S2Dmg]],Prod[[#This Row],[S2DisclrSpt]])</f>
        <v>0</v>
      </c>
      <c r="T53" s="133">
        <v>41.65</v>
      </c>
      <c r="U53" s="134">
        <v>2</v>
      </c>
      <c r="V53" s="123">
        <v>156</v>
      </c>
      <c r="W53" s="123">
        <v>12</v>
      </c>
      <c r="X53" s="106">
        <f>Prod[[#This Row],[S3Shot]]*Prod[[#This Row],[S3Cavity]]-Prod[[#This Row],[S3Dft]]</f>
        <v>1872</v>
      </c>
      <c r="Y53" s="126">
        <f>SUM(Prod[[#This Row],[S3Mold]],Prod[[#This Row],[S3Dmg]],Prod[[#This Row],[S3DisclrSpt]])</f>
        <v>0</v>
      </c>
      <c r="Z53" s="106">
        <f>SUM(Prod[[#This Row],[S1Qty]],Prod[[#This Row],[S2Qty]],Prod[[#This Row],[S3Qty]])</f>
        <v>18287</v>
      </c>
      <c r="AA53" s="123">
        <f>SUM(Prod[[#This Row],[S1Dft]],Prod[[#This Row],[S2Dft]],Prod[[#This Row],[S3Dft]])</f>
        <v>1</v>
      </c>
      <c r="AB53" s="105">
        <f>IF(Prod[[#This Row],[Total]]=0,0,Prod[[#This Row],[TotalDft]]/Prod[[#This Row],[Total]])</f>
        <v>5.4683655055503911E-5</v>
      </c>
      <c r="AC53" s="124"/>
      <c r="AD53" s="106">
        <v>1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21">
        <f>IF(Prod[[#This Row],[S1Hrs]]=0,0,Prod[[#This Row],[S1Shot]]*Prod[[#This Row],[S1Cycle]]/(Prod[[#This Row],[S1Hrs]]*60*60))</f>
        <v>0.989425</v>
      </c>
      <c r="AN53" s="121">
        <f>IF(Prod[[#This Row],[S2Hrs]]=0,0,Prod[[#This Row],[S2Shot]]*Prod[[#This Row],[S2Cycle]]/(Prod[[#This Row],[S2Hrs]]*60*60))</f>
        <v>0.989425</v>
      </c>
      <c r="AO53" s="121">
        <f>IF(Prod[[#This Row],[S3Hrs]]=0,0,Prod[[#This Row],[S3Shot]]*Prod[[#This Row],[S3Cycle]]/(Prod[[#This Row],[S3Hrs]]*60*60))</f>
        <v>0.90241666666666664</v>
      </c>
      <c r="AP53" s="121">
        <f>IFERROR(AVERAGEIF(Prod[[#This Row],[S1%]:[S3%]], "&lt;&gt;0"),0)</f>
        <v>0.96042222222222229</v>
      </c>
      <c r="AQ53" s="131">
        <v>0</v>
      </c>
      <c r="AR53" s="131">
        <v>0</v>
      </c>
      <c r="AS53" s="131">
        <v>0</v>
      </c>
      <c r="AT53" s="131">
        <f>IF(Prod[[#This Row],[S1Cycle]]&lt;&gt;0,1,0)</f>
        <v>1</v>
      </c>
      <c r="AU53" s="131">
        <f>IF(Prod[[#This Row],[S2Cycle]]&lt;&gt;0,1,0)</f>
        <v>1</v>
      </c>
      <c r="AV53" s="131">
        <f>IF(Prod[[#This Row],[S3Cycle]]&lt;&gt;0,1,0)</f>
        <v>1</v>
      </c>
      <c r="AW53" s="131">
        <f>MAX(Prod[[#This Row],[S1Cavity]],Prod[[#This Row],[S2Cavity]],Prod[[#This Row],[S3Cavity]])</f>
        <v>12</v>
      </c>
    </row>
    <row r="54" spans="1:49" x14ac:dyDescent="0.2">
      <c r="A54" s="116">
        <v>45419</v>
      </c>
      <c r="B54" s="117" t="s">
        <v>220</v>
      </c>
      <c r="C54" s="117" t="s">
        <v>224</v>
      </c>
      <c r="D54" s="112">
        <v>27221</v>
      </c>
      <c r="E54" s="124" t="s">
        <v>303</v>
      </c>
      <c r="F54" s="117" t="s">
        <v>130</v>
      </c>
      <c r="G54" s="117" t="str">
        <f>IF(OR(Prod[[#This Row],[S1Hrs]]&gt;0,Prod[[#This Row],[S2Hrs]]&gt;0,Prod[[#This Row],[S3Hrs]]&gt;0),"Running","Down")</f>
        <v>Running</v>
      </c>
      <c r="H54" s="133">
        <v>0</v>
      </c>
      <c r="I54" s="134">
        <v>0</v>
      </c>
      <c r="J54" s="123">
        <v>0</v>
      </c>
      <c r="K54" s="123">
        <v>0</v>
      </c>
      <c r="L54" s="106">
        <f>Prod[[#This Row],[S1Shot]]*Prod[[#This Row],[S1Cavity]]-Prod[[#This Row],[S1Dft]]</f>
        <v>0</v>
      </c>
      <c r="M54" s="126">
        <f>SUM(Prod[[#This Row],[S1Mold]],Prod[[#This Row],[S1Dmg]],Prod[[#This Row],[S1DisclrSpt]])</f>
        <v>0</v>
      </c>
      <c r="N54" s="133">
        <v>0</v>
      </c>
      <c r="O54" s="134">
        <v>0</v>
      </c>
      <c r="P54" s="123">
        <v>0</v>
      </c>
      <c r="Q54" s="123">
        <v>0</v>
      </c>
      <c r="R54" s="106">
        <f>Prod[[#This Row],[S2Shot]]*Prod[[#This Row],[S2Cavity]]-Prod[[#This Row],[S2Dft]]</f>
        <v>0</v>
      </c>
      <c r="S54" s="126">
        <f>SUM(Prod[[#This Row],[S2Mold]],Prod[[#This Row],[S2Dmg]],Prod[[#This Row],[S2DisclrSpt]])</f>
        <v>0</v>
      </c>
      <c r="T54" s="133">
        <v>41.65</v>
      </c>
      <c r="U54" s="134">
        <v>5.5</v>
      </c>
      <c r="V54" s="123">
        <v>384</v>
      </c>
      <c r="W54" s="123">
        <v>12</v>
      </c>
      <c r="X54" s="106">
        <f>Prod[[#This Row],[S3Shot]]*Prod[[#This Row],[S3Cavity]]-Prod[[#This Row],[S3Dft]]</f>
        <v>4558</v>
      </c>
      <c r="Y54" s="126">
        <f>SUM(Prod[[#This Row],[S3Mold]],Prod[[#This Row],[S3Dmg]],Prod[[#This Row],[S3DisclrSpt]])</f>
        <v>50</v>
      </c>
      <c r="Z54" s="106">
        <f>SUM(Prod[[#This Row],[S1Qty]],Prod[[#This Row],[S2Qty]],Prod[[#This Row],[S3Qty]])</f>
        <v>4558</v>
      </c>
      <c r="AA54" s="123">
        <f>SUM(Prod[[#This Row],[S1Dft]],Prod[[#This Row],[S2Dft]],Prod[[#This Row],[S3Dft]])</f>
        <v>50</v>
      </c>
      <c r="AB54" s="105">
        <f>IF(Prod[[#This Row],[Total]]=0,0,Prod[[#This Row],[TotalDft]]/Prod[[#This Row],[Total]])</f>
        <v>1.0969723562966213E-2</v>
      </c>
      <c r="AC54" s="124" t="s">
        <v>305</v>
      </c>
      <c r="AD54" s="106">
        <v>0</v>
      </c>
      <c r="AE54" s="106">
        <v>0</v>
      </c>
      <c r="AF54" s="106">
        <v>50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21">
        <f>IF(Prod[[#This Row],[S1Hrs]]=0,0,Prod[[#This Row],[S1Shot]]*Prod[[#This Row],[S1Cycle]]/(Prod[[#This Row],[S1Hrs]]*60*60))</f>
        <v>0</v>
      </c>
      <c r="AN54" s="121">
        <f>IF(Prod[[#This Row],[S2Hrs]]=0,0,Prod[[#This Row],[S2Shot]]*Prod[[#This Row],[S2Cycle]]/(Prod[[#This Row],[S2Hrs]]*60*60))</f>
        <v>0</v>
      </c>
      <c r="AO54" s="121">
        <f>IF(Prod[[#This Row],[S3Hrs]]=0,0,Prod[[#This Row],[S3Shot]]*Prod[[#This Row],[S3Cycle]]/(Prod[[#This Row],[S3Hrs]]*60*60))</f>
        <v>0.80775757575757567</v>
      </c>
      <c r="AP54" s="121">
        <f>IFERROR(AVERAGEIF(Prod[[#This Row],[S1%]:[S3%]], "&lt;&gt;0"),0)</f>
        <v>0.80775757575757567</v>
      </c>
      <c r="AQ54" s="131">
        <v>0</v>
      </c>
      <c r="AR54" s="131">
        <v>0</v>
      </c>
      <c r="AS54" s="131">
        <v>0</v>
      </c>
      <c r="AT54" s="131">
        <f>IF(Prod[[#This Row],[S1Cycle]]&lt;&gt;0,1,0)</f>
        <v>0</v>
      </c>
      <c r="AU54" s="131">
        <f>IF(Prod[[#This Row],[S2Cycle]]&lt;&gt;0,1,0)</f>
        <v>0</v>
      </c>
      <c r="AV54" s="131">
        <f>IF(Prod[[#This Row],[S3Cycle]]&lt;&gt;0,1,0)</f>
        <v>1</v>
      </c>
      <c r="AW54" s="131">
        <f>MAX(Prod[[#This Row],[S1Cavity]],Prod[[#This Row],[S2Cavity]],Prod[[#This Row],[S3Cavity]])</f>
        <v>12</v>
      </c>
    </row>
    <row r="55" spans="1:49" x14ac:dyDescent="0.2">
      <c r="A55" s="116">
        <v>45419</v>
      </c>
      <c r="B55" s="117" t="s">
        <v>221</v>
      </c>
      <c r="C55" s="124" t="s">
        <v>234</v>
      </c>
      <c r="D55" s="112">
        <v>26455</v>
      </c>
      <c r="E55" s="124" t="s">
        <v>46</v>
      </c>
      <c r="F55" s="124" t="s">
        <v>130</v>
      </c>
      <c r="G55" s="117" t="str">
        <f>IF(OR(Prod[[#This Row],[S1Hrs]]&gt;0,Prod[[#This Row],[S2Hrs]]&gt;0,Prod[[#This Row],[S3Hrs]]&gt;0),"Running","Down")</f>
        <v>Running</v>
      </c>
      <c r="H55" s="133">
        <v>41.35</v>
      </c>
      <c r="I55" s="134">
        <v>7</v>
      </c>
      <c r="J55" s="123">
        <v>607</v>
      </c>
      <c r="K55" s="123">
        <v>12</v>
      </c>
      <c r="L55" s="106">
        <f>Prod[[#This Row],[S1Shot]]*Prod[[#This Row],[S1Cavity]]-Prod[[#This Row],[S1Dft]]</f>
        <v>7249</v>
      </c>
      <c r="M55" s="126">
        <f>SUM(Prod[[#This Row],[S1Mold]],Prod[[#This Row],[S1Dmg]],Prod[[#This Row],[S1DisclrSpt]])</f>
        <v>35</v>
      </c>
      <c r="N55" s="133">
        <v>41.24</v>
      </c>
      <c r="O55" s="134">
        <v>8</v>
      </c>
      <c r="P55" s="123">
        <v>697</v>
      </c>
      <c r="Q55" s="123">
        <v>12</v>
      </c>
      <c r="R55" s="106">
        <f>Prod[[#This Row],[S2Shot]]*Prod[[#This Row],[S2Cavity]]-Prod[[#This Row],[S2Dft]]</f>
        <v>8364</v>
      </c>
      <c r="S55" s="126">
        <f>SUM(Prod[[#This Row],[S2Mold]],Prod[[#This Row],[S2Dmg]],Prod[[#This Row],[S2DisclrSpt]])</f>
        <v>0</v>
      </c>
      <c r="T55" s="133">
        <v>41.3</v>
      </c>
      <c r="U55" s="134">
        <v>8</v>
      </c>
      <c r="V55" s="123">
        <v>696</v>
      </c>
      <c r="W55" s="123">
        <v>12</v>
      </c>
      <c r="X55" s="106">
        <f>Prod[[#This Row],[S3Shot]]*Prod[[#This Row],[S3Cavity]]-Prod[[#This Row],[S3Dft]]</f>
        <v>8351</v>
      </c>
      <c r="Y55" s="126">
        <f>SUM(Prod[[#This Row],[S3Mold]],Prod[[#This Row],[S3Dmg]],Prod[[#This Row],[S3DisclrSpt]])</f>
        <v>1</v>
      </c>
      <c r="Z55" s="106">
        <f>SUM(Prod[[#This Row],[S1Qty]],Prod[[#This Row],[S2Qty]],Prod[[#This Row],[S3Qty]])</f>
        <v>23964</v>
      </c>
      <c r="AA55" s="123">
        <f>SUM(Prod[[#This Row],[S1Dft]],Prod[[#This Row],[S2Dft]],Prod[[#This Row],[S3Dft]])</f>
        <v>36</v>
      </c>
      <c r="AB55" s="105">
        <f>IF(Prod[[#This Row],[Total]]=0,0,Prod[[#This Row],[TotalDft]]/Prod[[#This Row],[Total]])</f>
        <v>1.5022533800701052E-3</v>
      </c>
      <c r="AC55" s="124" t="s">
        <v>306</v>
      </c>
      <c r="AD55" s="106">
        <v>35</v>
      </c>
      <c r="AE55" s="106">
        <v>0</v>
      </c>
      <c r="AF55" s="106">
        <v>1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21">
        <f>IF(Prod[[#This Row],[S1Hrs]]=0,0,Prod[[#This Row],[S1Shot]]*Prod[[#This Row],[S1Cycle]]/(Prod[[#This Row],[S1Hrs]]*60*60))</f>
        <v>0.99600992063492066</v>
      </c>
      <c r="AN55" s="121">
        <f>IF(Prod[[#This Row],[S2Hrs]]=0,0,Prod[[#This Row],[S2Shot]]*Prod[[#This Row],[S2Cycle]]/(Prod[[#This Row],[S2Hrs]]*60*60))</f>
        <v>0.99806527777777787</v>
      </c>
      <c r="AO55" s="121">
        <f>IF(Prod[[#This Row],[S3Hrs]]=0,0,Prod[[#This Row],[S3Shot]]*Prod[[#This Row],[S3Cycle]]/(Prod[[#This Row],[S3Hrs]]*60*60))</f>
        <v>0.99808333333333332</v>
      </c>
      <c r="AP55" s="121">
        <f>IFERROR(AVERAGEIF(Prod[[#This Row],[S1%]:[S3%]], "&lt;&gt;0"),0)</f>
        <v>0.99738617724867729</v>
      </c>
      <c r="AQ55" s="131">
        <v>0</v>
      </c>
      <c r="AR55" s="131">
        <v>0</v>
      </c>
      <c r="AS55" s="131">
        <v>0</v>
      </c>
      <c r="AT55" s="131">
        <f>IF(Prod[[#This Row],[S1Cycle]]&lt;&gt;0,1,0)</f>
        <v>1</v>
      </c>
      <c r="AU55" s="131">
        <f>IF(Prod[[#This Row],[S2Cycle]]&lt;&gt;0,1,0)</f>
        <v>1</v>
      </c>
      <c r="AV55" s="131">
        <f>IF(Prod[[#This Row],[S3Cycle]]&lt;&gt;0,1,0)</f>
        <v>1</v>
      </c>
      <c r="AW55" s="131">
        <f>MAX(Prod[[#This Row],[S1Cavity]],Prod[[#This Row],[S2Cavity]],Prod[[#This Row],[S3Cavity]])</f>
        <v>12</v>
      </c>
    </row>
    <row r="56" spans="1:49" x14ac:dyDescent="0.2">
      <c r="A56" s="116">
        <v>45419</v>
      </c>
      <c r="B56" s="117" t="s">
        <v>222</v>
      </c>
      <c r="C56" s="117" t="s">
        <v>223</v>
      </c>
      <c r="D56" s="112">
        <v>27423</v>
      </c>
      <c r="E56" s="124" t="s">
        <v>46</v>
      </c>
      <c r="F56" s="117" t="s">
        <v>130</v>
      </c>
      <c r="G56" s="117" t="str">
        <f>IF(OR(Prod[[#This Row],[S1Hrs]]&gt;0,Prod[[#This Row],[S2Hrs]]&gt;0,Prod[[#This Row],[S3Hrs]]&gt;0),"Running","Down")</f>
        <v>Running</v>
      </c>
      <c r="H56" s="133">
        <v>41.04</v>
      </c>
      <c r="I56" s="134">
        <v>8</v>
      </c>
      <c r="J56" s="123">
        <v>702</v>
      </c>
      <c r="K56" s="123">
        <v>8</v>
      </c>
      <c r="L56" s="106">
        <f>Prod[[#This Row],[S1Shot]]*Prod[[#This Row],[S1Cavity]]-Prod[[#This Row],[S1Dft]]</f>
        <v>5615</v>
      </c>
      <c r="M56" s="126">
        <f>SUM(Prod[[#This Row],[S1Mold]],Prod[[#This Row],[S1Dmg]],Prod[[#This Row],[S1DisclrSpt]])</f>
        <v>1</v>
      </c>
      <c r="N56" s="133">
        <v>41.06</v>
      </c>
      <c r="O56" s="134">
        <v>8</v>
      </c>
      <c r="P56" s="123">
        <v>676</v>
      </c>
      <c r="Q56" s="123">
        <v>8</v>
      </c>
      <c r="R56" s="106">
        <f>Prod[[#This Row],[S2Shot]]*Prod[[#This Row],[S2Cavity]]-Prod[[#This Row],[S2Dft]]</f>
        <v>5407</v>
      </c>
      <c r="S56" s="126">
        <f>SUM(Prod[[#This Row],[S2Mold]],Prod[[#This Row],[S2Dmg]],Prod[[#This Row],[S2DisclrSpt]])</f>
        <v>1</v>
      </c>
      <c r="T56" s="133">
        <v>41.06</v>
      </c>
      <c r="U56" s="134">
        <v>8</v>
      </c>
      <c r="V56" s="123">
        <v>701</v>
      </c>
      <c r="W56" s="123">
        <v>8</v>
      </c>
      <c r="X56" s="106">
        <f>Prod[[#This Row],[S3Shot]]*Prod[[#This Row],[S3Cavity]]-Prod[[#This Row],[S3Dft]]</f>
        <v>5608</v>
      </c>
      <c r="Y56" s="126">
        <f>SUM(Prod[[#This Row],[S3Mold]],Prod[[#This Row],[S3Dmg]],Prod[[#This Row],[S3DisclrSpt]])</f>
        <v>0</v>
      </c>
      <c r="Z56" s="106">
        <f>SUM(Prod[[#This Row],[S1Qty]],Prod[[#This Row],[S2Qty]],Prod[[#This Row],[S3Qty]])</f>
        <v>16630</v>
      </c>
      <c r="AA56" s="123">
        <f>SUM(Prod[[#This Row],[S1Dft]],Prod[[#This Row],[S2Dft]],Prod[[#This Row],[S3Dft]])</f>
        <v>2</v>
      </c>
      <c r="AB56" s="105">
        <f>IF(Prod[[#This Row],[Total]]=0,0,Prod[[#This Row],[TotalDft]]/Prod[[#This Row],[Total]])</f>
        <v>1.2026458208057727E-4</v>
      </c>
      <c r="AC56" s="124"/>
      <c r="AD56" s="106">
        <v>1</v>
      </c>
      <c r="AE56" s="106">
        <v>1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21">
        <f>IF(Prod[[#This Row],[S1Hrs]]=0,0,Prod[[#This Row],[S1Shot]]*Prod[[#This Row],[S1Cycle]]/(Prod[[#This Row],[S1Hrs]]*60*60))</f>
        <v>1.0003499999999999</v>
      </c>
      <c r="AN56" s="121">
        <f>IF(Prod[[#This Row],[S2Hrs]]=0,0,Prod[[#This Row],[S2Shot]]*Prod[[#This Row],[S2Cycle]]/(Prod[[#This Row],[S2Hrs]]*60*60))</f>
        <v>0.96376944444444446</v>
      </c>
      <c r="AO56" s="121">
        <f>IF(Prod[[#This Row],[S3Hrs]]=0,0,Prod[[#This Row],[S3Shot]]*Prod[[#This Row],[S3Cycle]]/(Prod[[#This Row],[S3Hrs]]*60*60))</f>
        <v>0.99941180555555564</v>
      </c>
      <c r="AP56" s="121">
        <f>IFERROR(AVERAGEIF(Prod[[#This Row],[S1%]:[S3%]], "&lt;&gt;0"),0)</f>
        <v>0.98784375000000002</v>
      </c>
      <c r="AQ56" s="131">
        <v>0</v>
      </c>
      <c r="AR56" s="131">
        <v>0</v>
      </c>
      <c r="AS56" s="131">
        <v>0</v>
      </c>
      <c r="AT56" s="131">
        <f>IF(Prod[[#This Row],[S1Cycle]]&lt;&gt;0,1,0)</f>
        <v>1</v>
      </c>
      <c r="AU56" s="131">
        <f>IF(Prod[[#This Row],[S2Cycle]]&lt;&gt;0,1,0)</f>
        <v>1</v>
      </c>
      <c r="AV56" s="131">
        <f>IF(Prod[[#This Row],[S3Cycle]]&lt;&gt;0,1,0)</f>
        <v>1</v>
      </c>
      <c r="AW56" s="131">
        <f>MAX(Prod[[#This Row],[S1Cavity]],Prod[[#This Row],[S2Cavity]],Prod[[#This Row],[S3Cavity]])</f>
        <v>8</v>
      </c>
    </row>
    <row r="57" spans="1:49" x14ac:dyDescent="0.2">
      <c r="A57" s="116">
        <v>45419</v>
      </c>
      <c r="B57" s="124" t="s">
        <v>269</v>
      </c>
      <c r="C57" s="124" t="s">
        <v>270</v>
      </c>
      <c r="D57" s="112">
        <v>26976</v>
      </c>
      <c r="E57" s="124" t="s">
        <v>274</v>
      </c>
      <c r="F57" s="117" t="s">
        <v>130</v>
      </c>
      <c r="G57" s="117" t="str">
        <f>IF(OR(Prod[[#This Row],[S1Hrs]]&gt;0,Prod[[#This Row],[S2Hrs]]&gt;0,Prod[[#This Row],[S3Hrs]]&gt;0),"Running","Down")</f>
        <v>Running</v>
      </c>
      <c r="H57" s="133">
        <v>56.7</v>
      </c>
      <c r="I57" s="134">
        <v>4</v>
      </c>
      <c r="J57" s="123">
        <v>160</v>
      </c>
      <c r="K57" s="123">
        <v>2</v>
      </c>
      <c r="L57" s="106">
        <f>Prod[[#This Row],[S1Shot]]*Prod[[#This Row],[S1Cavity]]-Prod[[#This Row],[S1Dft]]</f>
        <v>320</v>
      </c>
      <c r="M57" s="126">
        <f>SUM(Prod[[#This Row],[S1Mold]],Prod[[#This Row],[S1Dmg]],Prod[[#This Row],[S1DisclrSpt]])</f>
        <v>0</v>
      </c>
      <c r="N57" s="133">
        <v>56.7</v>
      </c>
      <c r="O57" s="134">
        <v>8</v>
      </c>
      <c r="P57" s="123">
        <v>500</v>
      </c>
      <c r="Q57" s="123">
        <v>2</v>
      </c>
      <c r="R57" s="106">
        <f>Prod[[#This Row],[S2Shot]]*Prod[[#This Row],[S2Cavity]]-Prod[[#This Row],[S2Dft]]</f>
        <v>999</v>
      </c>
      <c r="S57" s="126">
        <f>SUM(Prod[[#This Row],[S2Mold]],Prod[[#This Row],[S2Dmg]],Prod[[#This Row],[S2DisclrSpt]])</f>
        <v>1</v>
      </c>
      <c r="T57" s="133">
        <v>56.7</v>
      </c>
      <c r="U57" s="134">
        <v>8</v>
      </c>
      <c r="V57" s="123">
        <v>509</v>
      </c>
      <c r="W57" s="123">
        <v>2</v>
      </c>
      <c r="X57" s="106">
        <f>Prod[[#This Row],[S3Shot]]*Prod[[#This Row],[S3Cavity]]-Prod[[#This Row],[S3Dft]]</f>
        <v>1018</v>
      </c>
      <c r="Y57" s="126">
        <f>SUM(Prod[[#This Row],[S3Mold]],Prod[[#This Row],[S3Dmg]],Prod[[#This Row],[S3DisclrSpt]])</f>
        <v>0</v>
      </c>
      <c r="Z57" s="106">
        <f>SUM(Prod[[#This Row],[S1Qty]],Prod[[#This Row],[S2Qty]],Prod[[#This Row],[S3Qty]])</f>
        <v>2337</v>
      </c>
      <c r="AA57" s="123">
        <f>SUM(Prod[[#This Row],[S1Dft]],Prod[[#This Row],[S2Dft]],Prod[[#This Row],[S3Dft]])</f>
        <v>1</v>
      </c>
      <c r="AB57" s="105">
        <f>IF(Prod[[#This Row],[Total]]=0,0,Prod[[#This Row],[TotalDft]]/Prod[[#This Row],[Total]])</f>
        <v>4.2789901583226359E-4</v>
      </c>
      <c r="AC57" s="124"/>
      <c r="AD57" s="106">
        <v>0</v>
      </c>
      <c r="AE57" s="106">
        <v>1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21">
        <f>IF(Prod[[#This Row],[S1Hrs]]=0,0,Prod[[#This Row],[S1Shot]]*Prod[[#This Row],[S1Cycle]]/(Prod[[#This Row],[S1Hrs]]*60*60))</f>
        <v>0.63</v>
      </c>
      <c r="AN57" s="121">
        <f>IF(Prod[[#This Row],[S2Hrs]]=0,0,Prod[[#This Row],[S2Shot]]*Prod[[#This Row],[S2Cycle]]/(Prod[[#This Row],[S2Hrs]]*60*60))</f>
        <v>0.984375</v>
      </c>
      <c r="AO57" s="121">
        <f>IF(Prod[[#This Row],[S3Hrs]]=0,0,Prod[[#This Row],[S3Shot]]*Prod[[#This Row],[S3Cycle]]/(Prod[[#This Row],[S3Hrs]]*60*60))</f>
        <v>1.00209375</v>
      </c>
      <c r="AP57" s="121">
        <f>IFERROR(AVERAGEIF(Prod[[#This Row],[S1%]:[S3%]], "&lt;&gt;0"),0)</f>
        <v>0.87215625000000008</v>
      </c>
      <c r="AQ57" s="131">
        <v>0</v>
      </c>
      <c r="AR57" s="131">
        <v>0</v>
      </c>
      <c r="AS57" s="131">
        <v>0</v>
      </c>
      <c r="AT57" s="131">
        <f>IF(Prod[[#This Row],[S1Cycle]]&lt;&gt;0,1,0)</f>
        <v>1</v>
      </c>
      <c r="AU57" s="131">
        <f>IF(Prod[[#This Row],[S2Cycle]]&lt;&gt;0,1,0)</f>
        <v>1</v>
      </c>
      <c r="AV57" s="131">
        <f>IF(Prod[[#This Row],[S3Cycle]]&lt;&gt;0,1,0)</f>
        <v>1</v>
      </c>
      <c r="AW57" s="131">
        <f>MAX(Prod[[#This Row],[S1Cavity]],Prod[[#This Row],[S2Cavity]],Prod[[#This Row],[S3Cavity]])</f>
        <v>2</v>
      </c>
    </row>
    <row r="58" spans="1:49" x14ac:dyDescent="0.2">
      <c r="A58" s="116">
        <v>45420</v>
      </c>
      <c r="B58" s="124" t="s">
        <v>148</v>
      </c>
      <c r="C58" s="117" t="s">
        <v>45</v>
      </c>
      <c r="D58" s="112">
        <v>26944</v>
      </c>
      <c r="E58" s="124" t="s">
        <v>46</v>
      </c>
      <c r="F58" s="117" t="s">
        <v>130</v>
      </c>
      <c r="G58" s="117" t="str">
        <f>IF(OR(Prod[[#This Row],[S1Hrs]]&gt;0,Prod[[#This Row],[S2Hrs]]&gt;0,Prod[[#This Row],[S3Hrs]]&gt;0),"Running","Down")</f>
        <v>Running</v>
      </c>
      <c r="H58" s="133">
        <v>41.53</v>
      </c>
      <c r="I58" s="134">
        <v>4</v>
      </c>
      <c r="J58" s="123">
        <v>348</v>
      </c>
      <c r="K58" s="123">
        <v>12</v>
      </c>
      <c r="L58" s="106">
        <f>Prod[[#This Row],[S1Shot]]*Prod[[#This Row],[S1Cavity]]-Prod[[#This Row],[S1Dft]]</f>
        <v>4176</v>
      </c>
      <c r="M58" s="126">
        <f>SUM(Prod[[#This Row],[S1Mold]],Prod[[#This Row],[S1Dmg]],Prod[[#This Row],[S1DisclrSpt]])</f>
        <v>0</v>
      </c>
      <c r="N58" s="133">
        <v>0</v>
      </c>
      <c r="O58" s="134">
        <v>0</v>
      </c>
      <c r="P58" s="123">
        <v>0</v>
      </c>
      <c r="Q58" s="123">
        <v>0</v>
      </c>
      <c r="R58" s="106">
        <f>Prod[[#This Row],[S2Shot]]*Prod[[#This Row],[S2Cavity]]-Prod[[#This Row],[S2Dft]]</f>
        <v>0</v>
      </c>
      <c r="S58" s="126">
        <f>SUM(Prod[[#This Row],[S2Mold]],Prod[[#This Row],[S2Dmg]],Prod[[#This Row],[S2DisclrSpt]])</f>
        <v>0</v>
      </c>
      <c r="T58" s="133">
        <v>0</v>
      </c>
      <c r="U58" s="134">
        <v>0</v>
      </c>
      <c r="V58" s="123">
        <v>0</v>
      </c>
      <c r="W58" s="123">
        <v>0</v>
      </c>
      <c r="X58" s="106">
        <f>Prod[[#This Row],[S3Shot]]*Prod[[#This Row],[S3Cavity]]-Prod[[#This Row],[S3Dft]]</f>
        <v>0</v>
      </c>
      <c r="Y58" s="126">
        <f>SUM(Prod[[#This Row],[S3Mold]],Prod[[#This Row],[S3Dmg]],Prod[[#This Row],[S3DisclrSpt]])</f>
        <v>0</v>
      </c>
      <c r="Z58" s="106">
        <f>SUM(Prod[[#This Row],[S1Qty]],Prod[[#This Row],[S2Qty]],Prod[[#This Row],[S3Qty]])</f>
        <v>4176</v>
      </c>
      <c r="AA58" s="123">
        <f>SUM(Prod[[#This Row],[S1Dft]],Prod[[#This Row],[S2Dft]],Prod[[#This Row],[S3Dft]])</f>
        <v>0</v>
      </c>
      <c r="AB58" s="105">
        <f>IF(Prod[[#This Row],[Total]]=0,0,Prod[[#This Row],[TotalDft]]/Prod[[#This Row],[Total]])</f>
        <v>0</v>
      </c>
      <c r="AC58" s="124" t="s">
        <v>311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21">
        <f>IF(Prod[[#This Row],[S1Hrs]]=0,0,Prod[[#This Row],[S1Shot]]*Prod[[#This Row],[S1Cycle]]/(Prod[[#This Row],[S1Hrs]]*60*60))</f>
        <v>1.0036416666666668</v>
      </c>
      <c r="AN58" s="121">
        <f>IF(Prod[[#This Row],[S2Hrs]]=0,0,Prod[[#This Row],[S2Shot]]*Prod[[#This Row],[S2Cycle]]/(Prod[[#This Row],[S2Hrs]]*60*60))</f>
        <v>0</v>
      </c>
      <c r="AO58" s="121">
        <f>IF(Prod[[#This Row],[S3Hrs]]=0,0,Prod[[#This Row],[S3Shot]]*Prod[[#This Row],[S3Cycle]]/(Prod[[#This Row],[S3Hrs]]*60*60))</f>
        <v>0</v>
      </c>
      <c r="AP58" s="121">
        <f>IFERROR(AVERAGEIF(Prod[[#This Row],[S1%]:[S3%]], "&lt;&gt;0"),0)</f>
        <v>1.0036416666666668</v>
      </c>
      <c r="AQ58" s="131">
        <v>0</v>
      </c>
      <c r="AR58" s="131">
        <v>0</v>
      </c>
      <c r="AS58" s="131">
        <v>0</v>
      </c>
      <c r="AT58" s="131">
        <f>IF(Prod[[#This Row],[S1Cycle]]&lt;&gt;0,1,0)</f>
        <v>1</v>
      </c>
      <c r="AU58" s="131">
        <f>IF(Prod[[#This Row],[S2Cycle]]&lt;&gt;0,1,0)</f>
        <v>0</v>
      </c>
      <c r="AV58" s="131">
        <f>IF(Prod[[#This Row],[S3Cycle]]&lt;&gt;0,1,0)</f>
        <v>0</v>
      </c>
      <c r="AW58" s="131">
        <f>MAX(Prod[[#This Row],[S1Cavity]],Prod[[#This Row],[S2Cavity]],Prod[[#This Row],[S3Cavity]])</f>
        <v>12</v>
      </c>
    </row>
    <row r="59" spans="1:49" x14ac:dyDescent="0.2">
      <c r="A59" s="116">
        <v>45420</v>
      </c>
      <c r="B59" s="117" t="s">
        <v>149</v>
      </c>
      <c r="C59" s="117" t="s">
        <v>65</v>
      </c>
      <c r="D59" s="112">
        <v>26455</v>
      </c>
      <c r="E59" s="124" t="s">
        <v>46</v>
      </c>
      <c r="F59" s="117" t="s">
        <v>130</v>
      </c>
      <c r="G59" s="117" t="str">
        <f>IF(OR(Prod[[#This Row],[S1Hrs]]&gt;0,Prod[[#This Row],[S2Hrs]]&gt;0,Prod[[#This Row],[S3Hrs]]&gt;0),"Running","Down")</f>
        <v>Running</v>
      </c>
      <c r="H59" s="133">
        <v>41.06</v>
      </c>
      <c r="I59" s="134">
        <v>7.5</v>
      </c>
      <c r="J59" s="123">
        <v>638</v>
      </c>
      <c r="K59" s="123">
        <v>12</v>
      </c>
      <c r="L59" s="106">
        <f>Prod[[#This Row],[S1Shot]]*Prod[[#This Row],[S1Cavity]]-Prod[[#This Row],[S1Dft]]</f>
        <v>7646</v>
      </c>
      <c r="M59" s="126">
        <f>SUM(Prod[[#This Row],[S1Mold]],Prod[[#This Row],[S1Dmg]],Prod[[#This Row],[S1DisclrSpt]])</f>
        <v>10</v>
      </c>
      <c r="N59" s="133">
        <v>41.06</v>
      </c>
      <c r="O59" s="134">
        <v>8</v>
      </c>
      <c r="P59" s="123">
        <v>696</v>
      </c>
      <c r="Q59" s="123">
        <v>12</v>
      </c>
      <c r="R59" s="106">
        <f>Prod[[#This Row],[S2Shot]]*Prod[[#This Row],[S2Cavity]]-Prod[[#This Row],[S2Dft]]</f>
        <v>8350</v>
      </c>
      <c r="S59" s="126">
        <f>SUM(Prod[[#This Row],[S2Mold]],Prod[[#This Row],[S2Dmg]],Prod[[#This Row],[S2DisclrSpt]])</f>
        <v>2</v>
      </c>
      <c r="T59" s="133">
        <v>41.05</v>
      </c>
      <c r="U59" s="134">
        <v>8</v>
      </c>
      <c r="V59" s="123">
        <v>700</v>
      </c>
      <c r="W59" s="123">
        <v>12</v>
      </c>
      <c r="X59" s="106">
        <f>Prod[[#This Row],[S3Shot]]*Prod[[#This Row],[S3Cavity]]-Prod[[#This Row],[S3Dft]]</f>
        <v>8398</v>
      </c>
      <c r="Y59" s="126">
        <f>SUM(Prod[[#This Row],[S3Mold]],Prod[[#This Row],[S3Dmg]],Prod[[#This Row],[S3DisclrSpt]])</f>
        <v>2</v>
      </c>
      <c r="Z59" s="106">
        <f>SUM(Prod[[#This Row],[S1Qty]],Prod[[#This Row],[S2Qty]],Prod[[#This Row],[S3Qty]])</f>
        <v>24394</v>
      </c>
      <c r="AA59" s="123">
        <f>SUM(Prod[[#This Row],[S1Dft]],Prod[[#This Row],[S2Dft]],Prod[[#This Row],[S3Dft]])</f>
        <v>14</v>
      </c>
      <c r="AB59" s="105">
        <f>IF(Prod[[#This Row],[Total]]=0,0,Prod[[#This Row],[TotalDft]]/Prod[[#This Row],[Total]])</f>
        <v>5.7391161761088797E-4</v>
      </c>
      <c r="AC59" s="124" t="s">
        <v>312</v>
      </c>
      <c r="AD59" s="106">
        <v>10</v>
      </c>
      <c r="AE59" s="106">
        <v>2</v>
      </c>
      <c r="AF59" s="106">
        <v>2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21">
        <f>IF(Prod[[#This Row],[S1Hrs]]=0,0,Prod[[#This Row],[S1Shot]]*Prod[[#This Row],[S1Cycle]]/(Prod[[#This Row],[S1Hrs]]*60*60))</f>
        <v>0.97023259259259265</v>
      </c>
      <c r="AN59" s="121">
        <f>IF(Prod[[#This Row],[S2Hrs]]=0,0,Prod[[#This Row],[S2Shot]]*Prod[[#This Row],[S2Cycle]]/(Prod[[#This Row],[S2Hrs]]*60*60))</f>
        <v>0.99228333333333341</v>
      </c>
      <c r="AO59" s="121">
        <f>IF(Prod[[#This Row],[S3Hrs]]=0,0,Prod[[#This Row],[S3Shot]]*Prod[[#This Row],[S3Cycle]]/(Prod[[#This Row],[S3Hrs]]*60*60))</f>
        <v>0.99774305555555542</v>
      </c>
      <c r="AP59" s="121">
        <f>IFERROR(AVERAGEIF(Prod[[#This Row],[S1%]:[S3%]], "&lt;&gt;0"),0)</f>
        <v>0.98675299382716053</v>
      </c>
      <c r="AQ59" s="131">
        <v>0</v>
      </c>
      <c r="AR59" s="131">
        <v>0</v>
      </c>
      <c r="AS59" s="131">
        <v>0</v>
      </c>
      <c r="AT59" s="131">
        <f>IF(Prod[[#This Row],[S1Cycle]]&lt;&gt;0,1,0)</f>
        <v>1</v>
      </c>
      <c r="AU59" s="131">
        <f>IF(Prod[[#This Row],[S2Cycle]]&lt;&gt;0,1,0)</f>
        <v>1</v>
      </c>
      <c r="AV59" s="131">
        <f>IF(Prod[[#This Row],[S3Cycle]]&lt;&gt;0,1,0)</f>
        <v>1</v>
      </c>
      <c r="AW59" s="131">
        <f>MAX(Prod[[#This Row],[S1Cavity]],Prod[[#This Row],[S2Cavity]],Prod[[#This Row],[S3Cavity]])</f>
        <v>12</v>
      </c>
    </row>
    <row r="60" spans="1:49" x14ac:dyDescent="0.2">
      <c r="A60" s="116">
        <v>45420</v>
      </c>
      <c r="B60" s="117" t="s">
        <v>150</v>
      </c>
      <c r="C60" s="124" t="s">
        <v>257</v>
      </c>
      <c r="D60" s="112">
        <v>27328</v>
      </c>
      <c r="E60" s="124" t="s">
        <v>46</v>
      </c>
      <c r="F60" s="117" t="s">
        <v>130</v>
      </c>
      <c r="G60" s="117" t="str">
        <f>IF(OR(Prod[[#This Row],[S1Hrs]]&gt;0,Prod[[#This Row],[S2Hrs]]&gt;0,Prod[[#This Row],[S3Hrs]]&gt;0),"Running","Down")</f>
        <v>Running</v>
      </c>
      <c r="H60" s="133">
        <v>41.61</v>
      </c>
      <c r="I60" s="134">
        <v>7.5</v>
      </c>
      <c r="J60" s="123">
        <v>655</v>
      </c>
      <c r="K60" s="123">
        <v>8</v>
      </c>
      <c r="L60" s="106">
        <f>Prod[[#This Row],[S1Shot]]*Prod[[#This Row],[S1Cavity]]-Prod[[#This Row],[S1Dft]]</f>
        <v>5228</v>
      </c>
      <c r="M60" s="126">
        <f>SUM(Prod[[#This Row],[S1Mold]],Prod[[#This Row],[S1Dmg]],Prod[[#This Row],[S1DisclrSpt]])</f>
        <v>12</v>
      </c>
      <c r="N60" s="133">
        <v>41.61</v>
      </c>
      <c r="O60" s="134">
        <v>8</v>
      </c>
      <c r="P60" s="123">
        <v>692</v>
      </c>
      <c r="Q60" s="123">
        <v>8</v>
      </c>
      <c r="R60" s="106">
        <f>Prod[[#This Row],[S2Shot]]*Prod[[#This Row],[S2Cavity]]-Prod[[#This Row],[S2Dft]]</f>
        <v>5535</v>
      </c>
      <c r="S60" s="126">
        <f>SUM(Prod[[#This Row],[S2Mold]],Prod[[#This Row],[S2Dmg]],Prod[[#This Row],[S2DisclrSpt]])</f>
        <v>1</v>
      </c>
      <c r="T60" s="133">
        <v>41.64</v>
      </c>
      <c r="U60" s="134">
        <v>8</v>
      </c>
      <c r="V60" s="123">
        <v>686</v>
      </c>
      <c r="W60" s="123">
        <v>8</v>
      </c>
      <c r="X60" s="106">
        <f>Prod[[#This Row],[S3Shot]]*Prod[[#This Row],[S3Cavity]]-Prod[[#This Row],[S3Dft]]</f>
        <v>5486</v>
      </c>
      <c r="Y60" s="126">
        <f>SUM(Prod[[#This Row],[S3Mold]],Prod[[#This Row],[S3Dmg]],Prod[[#This Row],[S3DisclrSpt]])</f>
        <v>2</v>
      </c>
      <c r="Z60" s="106">
        <f>SUM(Prod[[#This Row],[S1Qty]],Prod[[#This Row],[S2Qty]],Prod[[#This Row],[S3Qty]])</f>
        <v>16249</v>
      </c>
      <c r="AA60" s="123">
        <f>SUM(Prod[[#This Row],[S1Dft]],Prod[[#This Row],[S2Dft]],Prod[[#This Row],[S3Dft]])</f>
        <v>15</v>
      </c>
      <c r="AB60" s="105">
        <f>IF(Prod[[#This Row],[Total]]=0,0,Prod[[#This Row],[TotalDft]]/Prod[[#This Row],[Total]])</f>
        <v>9.2313373130654193E-4</v>
      </c>
      <c r="AC60" s="124" t="s">
        <v>312</v>
      </c>
      <c r="AD60" s="106">
        <v>12</v>
      </c>
      <c r="AE60" s="106">
        <v>1</v>
      </c>
      <c r="AF60" s="106">
        <v>2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21">
        <f>IF(Prod[[#This Row],[S1Hrs]]=0,0,Prod[[#This Row],[S1Shot]]*Prod[[#This Row],[S1Cycle]]/(Prod[[#This Row],[S1Hrs]]*60*60))</f>
        <v>1.0094277777777778</v>
      </c>
      <c r="AN60" s="121">
        <f>IF(Prod[[#This Row],[S2Hrs]]=0,0,Prod[[#This Row],[S2Shot]]*Prod[[#This Row],[S2Cycle]]/(Prod[[#This Row],[S2Hrs]]*60*60))</f>
        <v>0.99979583333333333</v>
      </c>
      <c r="AO60" s="121">
        <f>IF(Prod[[#This Row],[S3Hrs]]=0,0,Prod[[#This Row],[S3Shot]]*Prod[[#This Row],[S3Cycle]]/(Prod[[#This Row],[S3Hrs]]*60*60))</f>
        <v>0.99184166666666673</v>
      </c>
      <c r="AP60" s="121">
        <f>IFERROR(AVERAGEIF(Prod[[#This Row],[S1%]:[S3%]], "&lt;&gt;0"),0)</f>
        <v>1.0003550925925926</v>
      </c>
      <c r="AQ60" s="131">
        <v>0</v>
      </c>
      <c r="AR60" s="131"/>
      <c r="AS60" s="131">
        <v>0</v>
      </c>
      <c r="AT60" s="131">
        <f>IF(Prod[[#This Row],[S1Cycle]]&lt;&gt;0,1,0)</f>
        <v>1</v>
      </c>
      <c r="AU60" s="131">
        <f>IF(Prod[[#This Row],[S2Cycle]]&lt;&gt;0,1,0)</f>
        <v>1</v>
      </c>
      <c r="AV60" s="131">
        <f>IF(Prod[[#This Row],[S3Cycle]]&lt;&gt;0,1,0)</f>
        <v>1</v>
      </c>
      <c r="AW60" s="131">
        <f>MAX(Prod[[#This Row],[S1Cavity]],Prod[[#This Row],[S2Cavity]],Prod[[#This Row],[S3Cavity]])</f>
        <v>8</v>
      </c>
    </row>
    <row r="61" spans="1:49" x14ac:dyDescent="0.2">
      <c r="A61" s="116">
        <v>45420</v>
      </c>
      <c r="B61" s="117" t="s">
        <v>220</v>
      </c>
      <c r="C61" s="117" t="s">
        <v>224</v>
      </c>
      <c r="D61" s="112">
        <v>27221</v>
      </c>
      <c r="E61" s="124" t="s">
        <v>303</v>
      </c>
      <c r="F61" s="117" t="s">
        <v>130</v>
      </c>
      <c r="G61" s="117" t="str">
        <f>IF(OR(Prod[[#This Row],[S1Hrs]]&gt;0,Prod[[#This Row],[S2Hrs]]&gt;0,Prod[[#This Row],[S3Hrs]]&gt;0),"Running","Down")</f>
        <v>Running</v>
      </c>
      <c r="H61" s="133">
        <v>41.65</v>
      </c>
      <c r="I61" s="134">
        <v>7</v>
      </c>
      <c r="J61" s="123">
        <v>603</v>
      </c>
      <c r="K61" s="123">
        <v>12</v>
      </c>
      <c r="L61" s="106">
        <f>Prod[[#This Row],[S1Shot]]*Prod[[#This Row],[S1Cavity]]-Prod[[#This Row],[S1Dft]]</f>
        <v>7234</v>
      </c>
      <c r="M61" s="126">
        <f>SUM(Prod[[#This Row],[S1Mold]],Prod[[#This Row],[S1Dmg]],Prod[[#This Row],[S1DisclrSpt]])</f>
        <v>2</v>
      </c>
      <c r="N61" s="133">
        <v>41.65</v>
      </c>
      <c r="O61" s="134">
        <v>4</v>
      </c>
      <c r="P61" s="123">
        <v>348</v>
      </c>
      <c r="Q61" s="123">
        <v>12</v>
      </c>
      <c r="R61" s="106">
        <f>Prod[[#This Row],[S2Shot]]*Prod[[#This Row],[S2Cavity]]-Prod[[#This Row],[S2Dft]]</f>
        <v>4161</v>
      </c>
      <c r="S61" s="126">
        <f>SUM(Prod[[#This Row],[S2Mold]],Prod[[#This Row],[S2Dmg]],Prod[[#This Row],[S2DisclrSpt]])</f>
        <v>15</v>
      </c>
      <c r="T61" s="133">
        <v>41.65</v>
      </c>
      <c r="U61" s="134">
        <v>8</v>
      </c>
      <c r="V61" s="123">
        <v>684</v>
      </c>
      <c r="W61" s="123">
        <v>12</v>
      </c>
      <c r="X61" s="106">
        <f>Prod[[#This Row],[S3Shot]]*Prod[[#This Row],[S3Cavity]]-Prod[[#This Row],[S3Dft]]</f>
        <v>8207</v>
      </c>
      <c r="Y61" s="126">
        <f>SUM(Prod[[#This Row],[S3Mold]],Prod[[#This Row],[S3Dmg]],Prod[[#This Row],[S3DisclrSpt]])</f>
        <v>1</v>
      </c>
      <c r="Z61" s="106">
        <f>SUM(Prod[[#This Row],[S1Qty]],Prod[[#This Row],[S2Qty]],Prod[[#This Row],[S3Qty]])</f>
        <v>19602</v>
      </c>
      <c r="AA61" s="123">
        <f>SUM(Prod[[#This Row],[S1Dft]],Prod[[#This Row],[S2Dft]],Prod[[#This Row],[S3Dft]])</f>
        <v>18</v>
      </c>
      <c r="AB61" s="105">
        <f>IF(Prod[[#This Row],[Total]]=0,0,Prod[[#This Row],[TotalDft]]/Prod[[#This Row],[Total]])</f>
        <v>9.1827364554637281E-4</v>
      </c>
      <c r="AC61" s="124" t="s">
        <v>313</v>
      </c>
      <c r="AD61" s="106">
        <v>2</v>
      </c>
      <c r="AE61" s="106">
        <v>15</v>
      </c>
      <c r="AF61" s="106">
        <v>1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21">
        <f>IF(Prod[[#This Row],[S1Hrs]]=0,0,Prod[[#This Row],[S1Shot]]*Prod[[#This Row],[S1Cycle]]/(Prod[[#This Row],[S1Hrs]]*60*60))</f>
        <v>0.99662499999999998</v>
      </c>
      <c r="AN61" s="121">
        <f>IF(Prod[[#This Row],[S2Hrs]]=0,0,Prod[[#This Row],[S2Shot]]*Prod[[#This Row],[S2Cycle]]/(Prod[[#This Row],[S2Hrs]]*60*60))</f>
        <v>1.0065416666666667</v>
      </c>
      <c r="AO61" s="121">
        <f>IF(Prod[[#This Row],[S3Hrs]]=0,0,Prod[[#This Row],[S3Shot]]*Prod[[#This Row],[S3Cycle]]/(Prod[[#This Row],[S3Hrs]]*60*60))</f>
        <v>0.9891875</v>
      </c>
      <c r="AP61" s="121">
        <f>IFERROR(AVERAGEIF(Prod[[#This Row],[S1%]:[S3%]], "&lt;&gt;0"),0)</f>
        <v>0.99745138888888885</v>
      </c>
      <c r="AQ61" s="131">
        <v>0</v>
      </c>
      <c r="AR61" s="131">
        <v>0</v>
      </c>
      <c r="AS61" s="131">
        <v>0</v>
      </c>
      <c r="AT61" s="131">
        <f>IF(Prod[[#This Row],[S1Cycle]]&lt;&gt;0,1,0)</f>
        <v>1</v>
      </c>
      <c r="AU61" s="131">
        <f>IF(Prod[[#This Row],[S2Cycle]]&lt;&gt;0,1,0)</f>
        <v>1</v>
      </c>
      <c r="AV61" s="131">
        <f>IF(Prod[[#This Row],[S3Cycle]]&lt;&gt;0,1,0)</f>
        <v>1</v>
      </c>
      <c r="AW61" s="131">
        <f>MAX(Prod[[#This Row],[S1Cavity]],Prod[[#This Row],[S2Cavity]],Prod[[#This Row],[S3Cavity]])</f>
        <v>12</v>
      </c>
    </row>
    <row r="62" spans="1:49" x14ac:dyDescent="0.2">
      <c r="A62" s="116">
        <v>45420</v>
      </c>
      <c r="B62" s="117" t="s">
        <v>221</v>
      </c>
      <c r="C62" s="124" t="s">
        <v>234</v>
      </c>
      <c r="D62" s="112">
        <v>26455</v>
      </c>
      <c r="E62" s="124" t="s">
        <v>46</v>
      </c>
      <c r="F62" s="124" t="s">
        <v>130</v>
      </c>
      <c r="G62" s="117" t="str">
        <f>IF(OR(Prod[[#This Row],[S1Hrs]]&gt;0,Prod[[#This Row],[S2Hrs]]&gt;0,Prod[[#This Row],[S3Hrs]]&gt;0),"Running","Down")</f>
        <v>Running</v>
      </c>
      <c r="H62" s="133">
        <v>41.24</v>
      </c>
      <c r="I62" s="134">
        <v>7.5</v>
      </c>
      <c r="J62" s="123">
        <v>654</v>
      </c>
      <c r="K62" s="123">
        <v>12</v>
      </c>
      <c r="L62" s="106">
        <f>Prod[[#This Row],[S1Shot]]*Prod[[#This Row],[S1Cavity]]-Prod[[#This Row],[S1Dft]]</f>
        <v>7840</v>
      </c>
      <c r="M62" s="126">
        <f>SUM(Prod[[#This Row],[S1Mold]],Prod[[#This Row],[S1Dmg]],Prod[[#This Row],[S1DisclrSpt]])</f>
        <v>8</v>
      </c>
      <c r="N62" s="133">
        <v>41.24</v>
      </c>
      <c r="O62" s="134">
        <v>8</v>
      </c>
      <c r="P62" s="123">
        <v>696</v>
      </c>
      <c r="Q62" s="123">
        <v>12</v>
      </c>
      <c r="R62" s="106">
        <f>Prod[[#This Row],[S2Shot]]*Prod[[#This Row],[S2Cavity]]-Prod[[#This Row],[S2Dft]]</f>
        <v>8351</v>
      </c>
      <c r="S62" s="126">
        <f>SUM(Prod[[#This Row],[S2Mold]],Prod[[#This Row],[S2Dmg]],Prod[[#This Row],[S2DisclrSpt]])</f>
        <v>1</v>
      </c>
      <c r="T62" s="133">
        <v>41.31</v>
      </c>
      <c r="U62" s="134">
        <v>8</v>
      </c>
      <c r="V62" s="123">
        <v>684</v>
      </c>
      <c r="W62" s="123">
        <v>12</v>
      </c>
      <c r="X62" s="106">
        <f>Prod[[#This Row],[S3Shot]]*Prod[[#This Row],[S3Cavity]]-Prod[[#This Row],[S3Dft]]</f>
        <v>8208</v>
      </c>
      <c r="Y62" s="126">
        <f>SUM(Prod[[#This Row],[S3Mold]],Prod[[#This Row],[S3Dmg]],Prod[[#This Row],[S3DisclrSpt]])</f>
        <v>0</v>
      </c>
      <c r="Z62" s="106">
        <f>SUM(Prod[[#This Row],[S1Qty]],Prod[[#This Row],[S2Qty]],Prod[[#This Row],[S3Qty]])</f>
        <v>24399</v>
      </c>
      <c r="AA62" s="123">
        <f>SUM(Prod[[#This Row],[S1Dft]],Prod[[#This Row],[S2Dft]],Prod[[#This Row],[S3Dft]])</f>
        <v>9</v>
      </c>
      <c r="AB62" s="105">
        <f>IF(Prod[[#This Row],[Total]]=0,0,Prod[[#This Row],[TotalDft]]/Prod[[#This Row],[Total]])</f>
        <v>3.6886757654002215E-4</v>
      </c>
      <c r="AC62" s="124" t="s">
        <v>312</v>
      </c>
      <c r="AD62" s="106">
        <v>8</v>
      </c>
      <c r="AE62" s="106">
        <v>1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21">
        <f>IF(Prod[[#This Row],[S1Hrs]]=0,0,Prod[[#This Row],[S1Shot]]*Prod[[#This Row],[S1Cycle]]/(Prod[[#This Row],[S1Hrs]]*60*60))</f>
        <v>0.9989244444444445</v>
      </c>
      <c r="AN62" s="121">
        <f>IF(Prod[[#This Row],[S2Hrs]]=0,0,Prod[[#This Row],[S2Shot]]*Prod[[#This Row],[S2Cycle]]/(Prod[[#This Row],[S2Hrs]]*60*60))</f>
        <v>0.99663333333333337</v>
      </c>
      <c r="AO62" s="121">
        <f>IF(Prod[[#This Row],[S3Hrs]]=0,0,Prod[[#This Row],[S3Shot]]*Prod[[#This Row],[S3Cycle]]/(Prod[[#This Row],[S3Hrs]]*60*60))</f>
        <v>0.98111250000000005</v>
      </c>
      <c r="AP62" s="121">
        <f>IFERROR(AVERAGEIF(Prod[[#This Row],[S1%]:[S3%]], "&lt;&gt;0"),0)</f>
        <v>0.99222342592592605</v>
      </c>
      <c r="AQ62" s="131">
        <v>0</v>
      </c>
      <c r="AR62" s="131">
        <v>0</v>
      </c>
      <c r="AS62" s="131">
        <v>0</v>
      </c>
      <c r="AT62" s="131">
        <f>IF(Prod[[#This Row],[S1Cycle]]&lt;&gt;0,1,0)</f>
        <v>1</v>
      </c>
      <c r="AU62" s="131">
        <f>IF(Prod[[#This Row],[S2Cycle]]&lt;&gt;0,1,0)</f>
        <v>1</v>
      </c>
      <c r="AV62" s="131">
        <f>IF(Prod[[#This Row],[S3Cycle]]&lt;&gt;0,1,0)</f>
        <v>1</v>
      </c>
      <c r="AW62" s="131">
        <f>MAX(Prod[[#This Row],[S1Cavity]],Prod[[#This Row],[S2Cavity]],Prod[[#This Row],[S3Cavity]])</f>
        <v>12</v>
      </c>
    </row>
    <row r="63" spans="1:49" x14ac:dyDescent="0.2">
      <c r="A63" s="116">
        <v>45420</v>
      </c>
      <c r="B63" s="117" t="s">
        <v>222</v>
      </c>
      <c r="C63" s="117" t="s">
        <v>223</v>
      </c>
      <c r="D63" s="112">
        <v>27423</v>
      </c>
      <c r="E63" s="124" t="s">
        <v>46</v>
      </c>
      <c r="F63" s="117" t="s">
        <v>130</v>
      </c>
      <c r="G63" s="117" t="str">
        <f>IF(OR(Prod[[#This Row],[S1Hrs]]&gt;0,Prod[[#This Row],[S2Hrs]]&gt;0,Prod[[#This Row],[S3Hrs]]&gt;0),"Running","Down")</f>
        <v>Running</v>
      </c>
      <c r="H63" s="133">
        <v>41.05</v>
      </c>
      <c r="I63" s="134">
        <v>7.5</v>
      </c>
      <c r="J63" s="123">
        <v>646</v>
      </c>
      <c r="K63" s="123">
        <v>8</v>
      </c>
      <c r="L63" s="106">
        <f>Prod[[#This Row],[S1Shot]]*Prod[[#This Row],[S1Cavity]]-Prod[[#This Row],[S1Dft]]</f>
        <v>5148</v>
      </c>
      <c r="M63" s="126">
        <f>SUM(Prod[[#This Row],[S1Mold]],Prod[[#This Row],[S1Dmg]],Prod[[#This Row],[S1DisclrSpt]])</f>
        <v>20</v>
      </c>
      <c r="N63" s="133">
        <v>41.05</v>
      </c>
      <c r="O63" s="134">
        <v>6</v>
      </c>
      <c r="P63" s="123">
        <v>527</v>
      </c>
      <c r="Q63" s="123">
        <v>8</v>
      </c>
      <c r="R63" s="106">
        <f>Prod[[#This Row],[S2Shot]]*Prod[[#This Row],[S2Cavity]]-Prod[[#This Row],[S2Dft]]</f>
        <v>4211</v>
      </c>
      <c r="S63" s="126">
        <f>SUM(Prod[[#This Row],[S2Mold]],Prod[[#This Row],[S2Dmg]],Prod[[#This Row],[S2DisclrSpt]])</f>
        <v>5</v>
      </c>
      <c r="T63" s="133">
        <v>41.05</v>
      </c>
      <c r="U63" s="134">
        <v>8</v>
      </c>
      <c r="V63" s="123">
        <v>701</v>
      </c>
      <c r="W63" s="123">
        <v>8</v>
      </c>
      <c r="X63" s="106">
        <f>Prod[[#This Row],[S3Shot]]*Prod[[#This Row],[S3Cavity]]-Prod[[#This Row],[S3Dft]]</f>
        <v>5607</v>
      </c>
      <c r="Y63" s="126">
        <f>SUM(Prod[[#This Row],[S3Mold]],Prod[[#This Row],[S3Dmg]],Prod[[#This Row],[S3DisclrSpt]])</f>
        <v>1</v>
      </c>
      <c r="Z63" s="106">
        <f>SUM(Prod[[#This Row],[S1Qty]],Prod[[#This Row],[S2Qty]],Prod[[#This Row],[S3Qty]])</f>
        <v>14966</v>
      </c>
      <c r="AA63" s="123">
        <f>SUM(Prod[[#This Row],[S1Dft]],Prod[[#This Row],[S2Dft]],Prod[[#This Row],[S3Dft]])</f>
        <v>26</v>
      </c>
      <c r="AB63" s="105">
        <f>IF(Prod[[#This Row],[Total]]=0,0,Prod[[#This Row],[TotalDft]]/Prod[[#This Row],[Total]])</f>
        <v>1.7372711479353201E-3</v>
      </c>
      <c r="AC63" s="124" t="s">
        <v>312</v>
      </c>
      <c r="AD63" s="106">
        <v>20</v>
      </c>
      <c r="AE63" s="106">
        <v>5</v>
      </c>
      <c r="AF63" s="106">
        <v>1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21">
        <f>IF(Prod[[#This Row],[S1Hrs]]=0,0,Prod[[#This Row],[S1Shot]]*Prod[[#This Row],[S1Cycle]]/(Prod[[#This Row],[S1Hrs]]*60*60))</f>
        <v>0.98215925925925929</v>
      </c>
      <c r="AN63" s="121">
        <f>IF(Prod[[#This Row],[S2Hrs]]=0,0,Prod[[#This Row],[S2Shot]]*Prod[[#This Row],[S2Cycle]]/(Prod[[#This Row],[S2Hrs]]*60*60))</f>
        <v>1.0015439814814815</v>
      </c>
      <c r="AO63" s="121">
        <f>IF(Prod[[#This Row],[S3Hrs]]=0,0,Prod[[#This Row],[S3Shot]]*Prod[[#This Row],[S3Cycle]]/(Prod[[#This Row],[S3Hrs]]*60*60))</f>
        <v>0.99916840277777774</v>
      </c>
      <c r="AP63" s="121">
        <f>IFERROR(AVERAGEIF(Prod[[#This Row],[S1%]:[S3%]], "&lt;&gt;0"),0)</f>
        <v>0.99429054783950621</v>
      </c>
      <c r="AQ63" s="131">
        <v>0</v>
      </c>
      <c r="AR63" s="131">
        <v>0</v>
      </c>
      <c r="AS63" s="131">
        <v>0</v>
      </c>
      <c r="AT63" s="131">
        <f>IF(Prod[[#This Row],[S1Cycle]]&lt;&gt;0,1,0)</f>
        <v>1</v>
      </c>
      <c r="AU63" s="131">
        <f>IF(Prod[[#This Row],[S2Cycle]]&lt;&gt;0,1,0)</f>
        <v>1</v>
      </c>
      <c r="AV63" s="131">
        <f>IF(Prod[[#This Row],[S3Cycle]]&lt;&gt;0,1,0)</f>
        <v>1</v>
      </c>
      <c r="AW63" s="131">
        <f>MAX(Prod[[#This Row],[S1Cavity]],Prod[[#This Row],[S2Cavity]],Prod[[#This Row],[S3Cavity]])</f>
        <v>8</v>
      </c>
    </row>
    <row r="64" spans="1:49" x14ac:dyDescent="0.2">
      <c r="A64" s="116">
        <v>45420</v>
      </c>
      <c r="B64" s="124" t="s">
        <v>269</v>
      </c>
      <c r="C64" s="124" t="s">
        <v>270</v>
      </c>
      <c r="D64" s="112">
        <v>26974</v>
      </c>
      <c r="E64" s="124" t="s">
        <v>268</v>
      </c>
      <c r="F64" s="117" t="s">
        <v>130</v>
      </c>
      <c r="G64" s="117" t="str">
        <f>IF(OR(Prod[[#This Row],[S1Hrs]]&gt;0,Prod[[#This Row],[S2Hrs]]&gt;0,Prod[[#This Row],[S3Hrs]]&gt;0),"Running","Down")</f>
        <v>Running</v>
      </c>
      <c r="H64" s="133">
        <v>56.6</v>
      </c>
      <c r="I64" s="134">
        <v>8</v>
      </c>
      <c r="J64" s="123">
        <v>502</v>
      </c>
      <c r="K64" s="123">
        <v>2</v>
      </c>
      <c r="L64" s="106">
        <f>Prod[[#This Row],[S1Shot]]*Prod[[#This Row],[S1Cavity]]-Prod[[#This Row],[S1Dft]]</f>
        <v>1003</v>
      </c>
      <c r="M64" s="126">
        <f>SUM(Prod[[#This Row],[S1Mold]],Prod[[#This Row],[S1Dmg]],Prod[[#This Row],[S1DisclrSpt]])</f>
        <v>1</v>
      </c>
      <c r="N64" s="133">
        <v>56.6</v>
      </c>
      <c r="O64" s="134">
        <v>8</v>
      </c>
      <c r="P64" s="123">
        <v>510</v>
      </c>
      <c r="Q64" s="123">
        <v>2</v>
      </c>
      <c r="R64" s="106">
        <f>Prod[[#This Row],[S2Shot]]*Prod[[#This Row],[S2Cavity]]-Prod[[#This Row],[S2Dft]]</f>
        <v>1020</v>
      </c>
      <c r="S64" s="126">
        <f>SUM(Prod[[#This Row],[S2Mold]],Prod[[#This Row],[S2Dmg]],Prod[[#This Row],[S2DisclrSpt]])</f>
        <v>0</v>
      </c>
      <c r="T64" s="133">
        <v>56.7</v>
      </c>
      <c r="U64" s="134">
        <v>8</v>
      </c>
      <c r="V64" s="123">
        <v>515</v>
      </c>
      <c r="W64" s="123">
        <v>2</v>
      </c>
      <c r="X64" s="106">
        <f>Prod[[#This Row],[S3Shot]]*Prod[[#This Row],[S3Cavity]]-Prod[[#This Row],[S3Dft]]</f>
        <v>1030</v>
      </c>
      <c r="Y64" s="126">
        <f>SUM(Prod[[#This Row],[S3Mold]],Prod[[#This Row],[S3Dmg]],Prod[[#This Row],[S3DisclrSpt]])</f>
        <v>0</v>
      </c>
      <c r="Z64" s="106">
        <f>SUM(Prod[[#This Row],[S1Qty]],Prod[[#This Row],[S2Qty]],Prod[[#This Row],[S3Qty]])</f>
        <v>3053</v>
      </c>
      <c r="AA64" s="123">
        <f>SUM(Prod[[#This Row],[S1Dft]],Prod[[#This Row],[S2Dft]],Prod[[#This Row],[S3Dft]])</f>
        <v>1</v>
      </c>
      <c r="AB64" s="105">
        <f>IF(Prod[[#This Row],[Total]]=0,0,Prod[[#This Row],[TotalDft]]/Prod[[#This Row],[Total]])</f>
        <v>3.2754667540124465E-4</v>
      </c>
      <c r="AC64" s="124"/>
      <c r="AD64" s="106">
        <v>1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21">
        <f>IF(Prod[[#This Row],[S1Hrs]]=0,0,Prod[[#This Row],[S1Shot]]*Prod[[#This Row],[S1Cycle]]/(Prod[[#This Row],[S1Hrs]]*60*60))</f>
        <v>0.9865694444444445</v>
      </c>
      <c r="AN64" s="121">
        <f>IF(Prod[[#This Row],[S2Hrs]]=0,0,Prod[[#This Row],[S2Shot]]*Prod[[#This Row],[S2Cycle]]/(Prod[[#This Row],[S2Hrs]]*60*60))</f>
        <v>1.0022916666666666</v>
      </c>
      <c r="AO64" s="121">
        <f>IF(Prod[[#This Row],[S3Hrs]]=0,0,Prod[[#This Row],[S3Shot]]*Prod[[#This Row],[S3Cycle]]/(Prod[[#This Row],[S3Hrs]]*60*60))</f>
        <v>1.01390625</v>
      </c>
      <c r="AP64" s="121">
        <f>IFERROR(AVERAGEIF(Prod[[#This Row],[S1%]:[S3%]], "&lt;&gt;0"),0)</f>
        <v>1.0009224537037038</v>
      </c>
      <c r="AQ64" s="131">
        <v>0</v>
      </c>
      <c r="AR64" s="131">
        <v>0</v>
      </c>
      <c r="AS64" s="131">
        <v>0</v>
      </c>
      <c r="AT64" s="131">
        <f>IF(Prod[[#This Row],[S1Cycle]]&lt;&gt;0,1,0)</f>
        <v>1</v>
      </c>
      <c r="AU64" s="131">
        <f>IF(Prod[[#This Row],[S2Cycle]]&lt;&gt;0,1,0)</f>
        <v>1</v>
      </c>
      <c r="AV64" s="131">
        <f>IF(Prod[[#This Row],[S3Cycle]]&lt;&gt;0,1,0)</f>
        <v>1</v>
      </c>
      <c r="AW64" s="131">
        <f>MAX(Prod[[#This Row],[S1Cavity]],Prod[[#This Row],[S2Cavity]],Prod[[#This Row],[S3Cavity]])</f>
        <v>2</v>
      </c>
    </row>
    <row r="65" spans="1:49" x14ac:dyDescent="0.2">
      <c r="A65" s="116">
        <v>45421</v>
      </c>
      <c r="B65" s="124" t="s">
        <v>148</v>
      </c>
      <c r="C65" s="117" t="s">
        <v>45</v>
      </c>
      <c r="D65" s="112">
        <v>26944</v>
      </c>
      <c r="E65" s="124" t="s">
        <v>46</v>
      </c>
      <c r="F65" s="117" t="s">
        <v>130</v>
      </c>
      <c r="G65" s="117" t="str">
        <f>IF(OR(Prod[[#This Row],[S1Hrs]]&gt;0,Prod[[#This Row],[S2Hrs]]&gt;0,Prod[[#This Row],[S3Hrs]]&gt;0),"Running","Down")</f>
        <v>Running</v>
      </c>
      <c r="H65" s="133">
        <v>0</v>
      </c>
      <c r="I65" s="134">
        <v>0</v>
      </c>
      <c r="J65" s="123">
        <v>0</v>
      </c>
      <c r="K65" s="123">
        <v>0</v>
      </c>
      <c r="L65" s="106">
        <f>Prod[[#This Row],[S1Shot]]*Prod[[#This Row],[S1Cavity]]-Prod[[#This Row],[S1Dft]]</f>
        <v>0</v>
      </c>
      <c r="M65" s="126">
        <f>SUM(Prod[[#This Row],[S1Mold]],Prod[[#This Row],[S1Dmg]],Prod[[#This Row],[S1DisclrSpt]])</f>
        <v>0</v>
      </c>
      <c r="N65" s="133">
        <v>38.46</v>
      </c>
      <c r="O65" s="134">
        <v>8</v>
      </c>
      <c r="P65" s="123">
        <v>641</v>
      </c>
      <c r="Q65" s="123">
        <v>12</v>
      </c>
      <c r="R65" s="106">
        <f>Prod[[#This Row],[S2Shot]]*Prod[[#This Row],[S2Cavity]]-Prod[[#This Row],[S2Dft]]</f>
        <v>7687</v>
      </c>
      <c r="S65" s="126">
        <f>SUM(Prod[[#This Row],[S2Mold]],Prod[[#This Row],[S2Dmg]],Prod[[#This Row],[S2DisclrSpt]])</f>
        <v>5</v>
      </c>
      <c r="T65" s="133">
        <v>38.43</v>
      </c>
      <c r="U65" s="134">
        <v>8</v>
      </c>
      <c r="V65" s="123">
        <v>747</v>
      </c>
      <c r="W65" s="123">
        <v>12</v>
      </c>
      <c r="X65" s="106">
        <f>Prod[[#This Row],[S3Shot]]*Prod[[#This Row],[S3Cavity]]-Prod[[#This Row],[S3Dft]]</f>
        <v>8963</v>
      </c>
      <c r="Y65" s="126">
        <f>SUM(Prod[[#This Row],[S3Mold]],Prod[[#This Row],[S3Dmg]],Prod[[#This Row],[S3DisclrSpt]])</f>
        <v>1</v>
      </c>
      <c r="Z65" s="106">
        <f>SUM(Prod[[#This Row],[S1Qty]],Prod[[#This Row],[S2Qty]],Prod[[#This Row],[S3Qty]])</f>
        <v>16650</v>
      </c>
      <c r="AA65" s="123">
        <f>SUM(Prod[[#This Row],[S1Dft]],Prod[[#This Row],[S2Dft]],Prod[[#This Row],[S3Dft]])</f>
        <v>6</v>
      </c>
      <c r="AB65" s="105">
        <f>IF(Prod[[#This Row],[Total]]=0,0,Prod[[#This Row],[TotalDft]]/Prod[[#This Row],[Total]])</f>
        <v>3.6036036036036037E-4</v>
      </c>
      <c r="AC65" s="124" t="s">
        <v>316</v>
      </c>
      <c r="AD65" s="106">
        <v>0</v>
      </c>
      <c r="AE65" s="106">
        <v>5</v>
      </c>
      <c r="AF65" s="106">
        <v>1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21">
        <f>IF(Prod[[#This Row],[S1Hrs]]=0,0,Prod[[#This Row],[S1Shot]]*Prod[[#This Row],[S1Cycle]]/(Prod[[#This Row],[S1Hrs]]*60*60))</f>
        <v>0</v>
      </c>
      <c r="AN65" s="121">
        <f>IF(Prod[[#This Row],[S2Hrs]]=0,0,Prod[[#This Row],[S2Shot]]*Prod[[#This Row],[S2Cycle]]/(Prod[[#This Row],[S2Hrs]]*60*60))</f>
        <v>0.85600208333333339</v>
      </c>
      <c r="AO65" s="121">
        <f>IF(Prod[[#This Row],[S3Hrs]]=0,0,Prod[[#This Row],[S3Shot]]*Prod[[#This Row],[S3Cycle]]/(Prod[[#This Row],[S3Hrs]]*60*60))</f>
        <v>0.99677812499999996</v>
      </c>
      <c r="AP65" s="121">
        <f>IFERROR(AVERAGEIF(Prod[[#This Row],[S1%]:[S3%]], "&lt;&gt;0"),0)</f>
        <v>0.92639010416666667</v>
      </c>
      <c r="AQ65" s="131">
        <v>0</v>
      </c>
      <c r="AR65" s="131">
        <v>0</v>
      </c>
      <c r="AS65" s="131">
        <v>0</v>
      </c>
      <c r="AT65" s="131">
        <f>IF(Prod[[#This Row],[S1Cycle]]&lt;&gt;0,1,0)</f>
        <v>0</v>
      </c>
      <c r="AU65" s="131">
        <f>IF(Prod[[#This Row],[S2Cycle]]&lt;&gt;0,1,0)</f>
        <v>1</v>
      </c>
      <c r="AV65" s="131">
        <f>IF(Prod[[#This Row],[S3Cycle]]&lt;&gt;0,1,0)</f>
        <v>1</v>
      </c>
      <c r="AW65" s="131">
        <f>MAX(Prod[[#This Row],[S1Cavity]],Prod[[#This Row],[S2Cavity]],Prod[[#This Row],[S3Cavity]])</f>
        <v>12</v>
      </c>
    </row>
    <row r="66" spans="1:49" x14ac:dyDescent="0.2">
      <c r="A66" s="116">
        <v>45421</v>
      </c>
      <c r="B66" s="117" t="s">
        <v>149</v>
      </c>
      <c r="C66" s="117" t="s">
        <v>65</v>
      </c>
      <c r="D66" s="112">
        <v>26455</v>
      </c>
      <c r="E66" s="124" t="s">
        <v>46</v>
      </c>
      <c r="F66" s="117" t="s">
        <v>130</v>
      </c>
      <c r="G66" s="117" t="str">
        <f>IF(OR(Prod[[#This Row],[S1Hrs]]&gt;0,Prod[[#This Row],[S2Hrs]]&gt;0,Prod[[#This Row],[S3Hrs]]&gt;0),"Running","Down")</f>
        <v>Running</v>
      </c>
      <c r="H66" s="133">
        <v>41.05</v>
      </c>
      <c r="I66" s="134">
        <v>8</v>
      </c>
      <c r="J66" s="123">
        <v>708</v>
      </c>
      <c r="K66" s="123">
        <v>12</v>
      </c>
      <c r="L66" s="106">
        <f>Prod[[#This Row],[S1Shot]]*Prod[[#This Row],[S1Cavity]]-Prod[[#This Row],[S1Dft]]</f>
        <v>8495</v>
      </c>
      <c r="M66" s="126">
        <f>SUM(Prod[[#This Row],[S1Mold]],Prod[[#This Row],[S1Dmg]],Prod[[#This Row],[S1DisclrSpt]])</f>
        <v>1</v>
      </c>
      <c r="N66" s="133">
        <v>41.06</v>
      </c>
      <c r="O66" s="134">
        <v>8</v>
      </c>
      <c r="P66" s="123">
        <v>686</v>
      </c>
      <c r="Q66" s="123">
        <v>12</v>
      </c>
      <c r="R66" s="106">
        <f>Prod[[#This Row],[S2Shot]]*Prod[[#This Row],[S2Cavity]]-Prod[[#This Row],[S2Dft]]</f>
        <v>8232</v>
      </c>
      <c r="S66" s="126">
        <f>SUM(Prod[[#This Row],[S2Mold]],Prod[[#This Row],[S2Dmg]],Prod[[#This Row],[S2DisclrSpt]])</f>
        <v>0</v>
      </c>
      <c r="T66" s="133">
        <v>41.05</v>
      </c>
      <c r="U66" s="134">
        <v>8</v>
      </c>
      <c r="V66" s="123">
        <v>696</v>
      </c>
      <c r="W66" s="123">
        <v>12</v>
      </c>
      <c r="X66" s="106">
        <f>Prod[[#This Row],[S3Shot]]*Prod[[#This Row],[S3Cavity]]-Prod[[#This Row],[S3Dft]]</f>
        <v>8351</v>
      </c>
      <c r="Y66" s="126">
        <f>SUM(Prod[[#This Row],[S3Mold]],Prod[[#This Row],[S3Dmg]],Prod[[#This Row],[S3DisclrSpt]])</f>
        <v>1</v>
      </c>
      <c r="Z66" s="106">
        <f>SUM(Prod[[#This Row],[S1Qty]],Prod[[#This Row],[S2Qty]],Prod[[#This Row],[S3Qty]])</f>
        <v>25078</v>
      </c>
      <c r="AA66" s="123">
        <f>SUM(Prod[[#This Row],[S1Dft]],Prod[[#This Row],[S2Dft]],Prod[[#This Row],[S3Dft]])</f>
        <v>2</v>
      </c>
      <c r="AB66" s="105">
        <f>IF(Prod[[#This Row],[Total]]=0,0,Prod[[#This Row],[TotalDft]]/Prod[[#This Row],[Total]])</f>
        <v>7.975117632985087E-5</v>
      </c>
      <c r="AC66" s="124"/>
      <c r="AD66" s="106">
        <v>1</v>
      </c>
      <c r="AE66" s="106">
        <v>0</v>
      </c>
      <c r="AF66" s="106">
        <v>1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21">
        <f>IF(Prod[[#This Row],[S1Hrs]]=0,0,Prod[[#This Row],[S1Shot]]*Prod[[#This Row],[S1Cycle]]/(Prod[[#This Row],[S1Hrs]]*60*60))</f>
        <v>1.0091458333333332</v>
      </c>
      <c r="AN66" s="121">
        <f>IF(Prod[[#This Row],[S2Hrs]]=0,0,Prod[[#This Row],[S2Shot]]*Prod[[#This Row],[S2Cycle]]/(Prod[[#This Row],[S2Hrs]]*60*60))</f>
        <v>0.97802638888888893</v>
      </c>
      <c r="AO66" s="121">
        <f>IF(Prod[[#This Row],[S3Hrs]]=0,0,Prod[[#This Row],[S3Shot]]*Prod[[#This Row],[S3Cycle]]/(Prod[[#This Row],[S3Hrs]]*60*60))</f>
        <v>0.9920416666666666</v>
      </c>
      <c r="AP66" s="121">
        <f>IFERROR(AVERAGEIF(Prod[[#This Row],[S1%]:[S3%]], "&lt;&gt;0"),0)</f>
        <v>0.99307129629629631</v>
      </c>
      <c r="AQ66" s="131">
        <v>0</v>
      </c>
      <c r="AR66" s="131">
        <v>0</v>
      </c>
      <c r="AS66" s="131">
        <v>0</v>
      </c>
      <c r="AT66" s="131">
        <f>IF(Prod[[#This Row],[S1Cycle]]&lt;&gt;0,1,0)</f>
        <v>1</v>
      </c>
      <c r="AU66" s="131">
        <f>IF(Prod[[#This Row],[S2Cycle]]&lt;&gt;0,1,0)</f>
        <v>1</v>
      </c>
      <c r="AV66" s="131">
        <f>IF(Prod[[#This Row],[S3Cycle]]&lt;&gt;0,1,0)</f>
        <v>1</v>
      </c>
      <c r="AW66" s="131">
        <f>MAX(Prod[[#This Row],[S1Cavity]],Prod[[#This Row],[S2Cavity]],Prod[[#This Row],[S3Cavity]])</f>
        <v>12</v>
      </c>
    </row>
    <row r="67" spans="1:49" x14ac:dyDescent="0.2">
      <c r="A67" s="116">
        <v>45421</v>
      </c>
      <c r="B67" s="117" t="s">
        <v>150</v>
      </c>
      <c r="C67" s="124" t="s">
        <v>257</v>
      </c>
      <c r="D67" s="112">
        <v>27328</v>
      </c>
      <c r="E67" s="124" t="s">
        <v>46</v>
      </c>
      <c r="F67" s="117" t="s">
        <v>130</v>
      </c>
      <c r="G67" s="117" t="str">
        <f>IF(OR(Prod[[#This Row],[S1Hrs]]&gt;0,Prod[[#This Row],[S2Hrs]]&gt;0,Prod[[#This Row],[S3Hrs]]&gt;0),"Running","Down")</f>
        <v>Running</v>
      </c>
      <c r="H67" s="133">
        <v>41.63</v>
      </c>
      <c r="I67" s="134">
        <v>2</v>
      </c>
      <c r="J67" s="123">
        <v>180</v>
      </c>
      <c r="K67" s="123">
        <v>8</v>
      </c>
      <c r="L67" s="106">
        <f>Prod[[#This Row],[S1Shot]]*Prod[[#This Row],[S1Cavity]]-Prod[[#This Row],[S1Dft]]</f>
        <v>1440</v>
      </c>
      <c r="M67" s="126">
        <f>SUM(Prod[[#This Row],[S1Mold]],Prod[[#This Row],[S1Dmg]],Prod[[#This Row],[S1DisclrSpt]])</f>
        <v>0</v>
      </c>
      <c r="N67" s="133">
        <v>0</v>
      </c>
      <c r="O67" s="134">
        <v>0</v>
      </c>
      <c r="P67" s="123">
        <v>0</v>
      </c>
      <c r="Q67" s="123">
        <v>0</v>
      </c>
      <c r="R67" s="106">
        <f>Prod[[#This Row],[S2Shot]]*Prod[[#This Row],[S2Cavity]]-Prod[[#This Row],[S2Dft]]</f>
        <v>0</v>
      </c>
      <c r="S67" s="126">
        <f>SUM(Prod[[#This Row],[S2Mold]],Prod[[#This Row],[S2Dmg]],Prod[[#This Row],[S2DisclrSpt]])</f>
        <v>0</v>
      </c>
      <c r="T67" s="133">
        <v>0</v>
      </c>
      <c r="U67" s="134">
        <v>0</v>
      </c>
      <c r="V67" s="123">
        <v>0</v>
      </c>
      <c r="W67" s="123">
        <v>0</v>
      </c>
      <c r="X67" s="106">
        <f>Prod[[#This Row],[S3Shot]]*Prod[[#This Row],[S3Cavity]]-Prod[[#This Row],[S3Dft]]</f>
        <v>0</v>
      </c>
      <c r="Y67" s="126">
        <f>SUM(Prod[[#This Row],[S3Mold]],Prod[[#This Row],[S3Dmg]],Prod[[#This Row],[S3DisclrSpt]])</f>
        <v>0</v>
      </c>
      <c r="Z67" s="106">
        <f>SUM(Prod[[#This Row],[S1Qty]],Prod[[#This Row],[S2Qty]],Prod[[#This Row],[S3Qty]])</f>
        <v>1440</v>
      </c>
      <c r="AA67" s="123">
        <f>SUM(Prod[[#This Row],[S1Dft]],Prod[[#This Row],[S2Dft]],Prod[[#This Row],[S3Dft]])</f>
        <v>0</v>
      </c>
      <c r="AB67" s="105">
        <f>IF(Prod[[#This Row],[Total]]=0,0,Prod[[#This Row],[TotalDft]]/Prod[[#This Row],[Total]])</f>
        <v>0</v>
      </c>
      <c r="AC67" s="124"/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21">
        <f>IF(Prod[[#This Row],[S1Hrs]]=0,0,Prod[[#This Row],[S1Shot]]*Prod[[#This Row],[S1Cycle]]/(Prod[[#This Row],[S1Hrs]]*60*60))</f>
        <v>1.0407500000000001</v>
      </c>
      <c r="AN67" s="121">
        <f>IF(Prod[[#This Row],[S2Hrs]]=0,0,Prod[[#This Row],[S2Shot]]*Prod[[#This Row],[S2Cycle]]/(Prod[[#This Row],[S2Hrs]]*60*60))</f>
        <v>0</v>
      </c>
      <c r="AO67" s="121">
        <f>IF(Prod[[#This Row],[S3Hrs]]=0,0,Prod[[#This Row],[S3Shot]]*Prod[[#This Row],[S3Cycle]]/(Prod[[#This Row],[S3Hrs]]*60*60))</f>
        <v>0</v>
      </c>
      <c r="AP67" s="121">
        <f>IFERROR(AVERAGEIF(Prod[[#This Row],[S1%]:[S3%]], "&lt;&gt;0"),0)</f>
        <v>1.0407500000000001</v>
      </c>
      <c r="AQ67" s="131">
        <v>0.5</v>
      </c>
      <c r="AR67" s="131"/>
      <c r="AS67" s="131">
        <v>0</v>
      </c>
      <c r="AT67" s="131">
        <f>IF(Prod[[#This Row],[S1Cycle]]&lt;&gt;0,1,0)</f>
        <v>1</v>
      </c>
      <c r="AU67" s="131">
        <f>IF(Prod[[#This Row],[S2Cycle]]&lt;&gt;0,1,0)</f>
        <v>0</v>
      </c>
      <c r="AV67" s="131">
        <f>IF(Prod[[#This Row],[S3Cycle]]&lt;&gt;0,1,0)</f>
        <v>0</v>
      </c>
      <c r="AW67" s="131">
        <f>MAX(Prod[[#This Row],[S1Cavity]],Prod[[#This Row],[S2Cavity]],Prod[[#This Row],[S3Cavity]])</f>
        <v>8</v>
      </c>
    </row>
    <row r="68" spans="1:49" x14ac:dyDescent="0.2">
      <c r="A68" s="116">
        <v>45421</v>
      </c>
      <c r="B68" s="117" t="s">
        <v>220</v>
      </c>
      <c r="C68" s="117" t="s">
        <v>224</v>
      </c>
      <c r="D68" s="112">
        <v>27221</v>
      </c>
      <c r="E68" s="124" t="s">
        <v>303</v>
      </c>
      <c r="F68" s="117" t="s">
        <v>130</v>
      </c>
      <c r="G68" s="117" t="str">
        <f>IF(OR(Prod[[#This Row],[S1Hrs]]&gt;0,Prod[[#This Row],[S2Hrs]]&gt;0,Prod[[#This Row],[S3Hrs]]&gt;0),"Running","Down")</f>
        <v>Running</v>
      </c>
      <c r="H68" s="133">
        <v>41.67</v>
      </c>
      <c r="I68" s="134">
        <v>8</v>
      </c>
      <c r="J68" s="123">
        <v>683</v>
      </c>
      <c r="K68" s="123">
        <v>12</v>
      </c>
      <c r="L68" s="106">
        <f>Prod[[#This Row],[S1Shot]]*Prod[[#This Row],[S1Cavity]]-Prod[[#This Row],[S1Dft]]</f>
        <v>8195</v>
      </c>
      <c r="M68" s="126">
        <f>SUM(Prod[[#This Row],[S1Mold]],Prod[[#This Row],[S1Dmg]],Prod[[#This Row],[S1DisclrSpt]])</f>
        <v>1</v>
      </c>
      <c r="N68" s="133">
        <v>41.67</v>
      </c>
      <c r="O68" s="134">
        <v>8</v>
      </c>
      <c r="P68" s="123">
        <v>696</v>
      </c>
      <c r="Q68" s="123">
        <v>12</v>
      </c>
      <c r="R68" s="106">
        <f>Prod[[#This Row],[S2Shot]]*Prod[[#This Row],[S2Cavity]]-Prod[[#This Row],[S2Dft]]</f>
        <v>8351</v>
      </c>
      <c r="S68" s="126">
        <f>SUM(Prod[[#This Row],[S2Mold]],Prod[[#This Row],[S2Dmg]],Prod[[#This Row],[S2DisclrSpt]])</f>
        <v>1</v>
      </c>
      <c r="T68" s="133">
        <v>41.62</v>
      </c>
      <c r="U68" s="134">
        <v>8</v>
      </c>
      <c r="V68" s="123">
        <v>660</v>
      </c>
      <c r="W68" s="123">
        <v>12</v>
      </c>
      <c r="X68" s="106">
        <f>Prod[[#This Row],[S3Shot]]*Prod[[#This Row],[S3Cavity]]-Prod[[#This Row],[S3Dft]]</f>
        <v>7918</v>
      </c>
      <c r="Y68" s="126">
        <f>SUM(Prod[[#This Row],[S3Mold]],Prod[[#This Row],[S3Dmg]],Prod[[#This Row],[S3DisclrSpt]])</f>
        <v>2</v>
      </c>
      <c r="Z68" s="106">
        <f>SUM(Prod[[#This Row],[S1Qty]],Prod[[#This Row],[S2Qty]],Prod[[#This Row],[S3Qty]])</f>
        <v>24464</v>
      </c>
      <c r="AA68" s="123">
        <f>SUM(Prod[[#This Row],[S1Dft]],Prod[[#This Row],[S2Dft]],Prod[[#This Row],[S3Dft]])</f>
        <v>4</v>
      </c>
      <c r="AB68" s="105">
        <f>IF(Prod[[#This Row],[Total]]=0,0,Prod[[#This Row],[TotalDft]]/Prod[[#This Row],[Total]])</f>
        <v>1.6350555918901244E-4</v>
      </c>
      <c r="AC68" s="124"/>
      <c r="AD68" s="106">
        <v>1</v>
      </c>
      <c r="AE68" s="106">
        <v>1</v>
      </c>
      <c r="AF68" s="106">
        <v>2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21">
        <f>IF(Prod[[#This Row],[S1Hrs]]=0,0,Prod[[#This Row],[S1Shot]]*Prod[[#This Row],[S1Cycle]]/(Prod[[#This Row],[S1Hrs]]*60*60))</f>
        <v>0.98821562500000004</v>
      </c>
      <c r="AN68" s="121">
        <f>IF(Prod[[#This Row],[S2Hrs]]=0,0,Prod[[#This Row],[S2Shot]]*Prod[[#This Row],[S2Cycle]]/(Prod[[#This Row],[S2Hrs]]*60*60))</f>
        <v>1.0070250000000001</v>
      </c>
      <c r="AO68" s="121">
        <f>IF(Prod[[#This Row],[S3Hrs]]=0,0,Prod[[#This Row],[S3Shot]]*Prod[[#This Row],[S3Cycle]]/(Prod[[#This Row],[S3Hrs]]*60*60))</f>
        <v>0.95379166666666659</v>
      </c>
      <c r="AP68" s="121">
        <f>IFERROR(AVERAGEIF(Prod[[#This Row],[S1%]:[S3%]], "&lt;&gt;0"),0)</f>
        <v>0.98301076388888886</v>
      </c>
      <c r="AQ68" s="131">
        <v>0</v>
      </c>
      <c r="AR68" s="131">
        <v>0</v>
      </c>
      <c r="AS68" s="131">
        <v>0</v>
      </c>
      <c r="AT68" s="131">
        <f>IF(Prod[[#This Row],[S1Cycle]]&lt;&gt;0,1,0)</f>
        <v>1</v>
      </c>
      <c r="AU68" s="131">
        <f>IF(Prod[[#This Row],[S2Cycle]]&lt;&gt;0,1,0)</f>
        <v>1</v>
      </c>
      <c r="AV68" s="131">
        <f>IF(Prod[[#This Row],[S3Cycle]]&lt;&gt;0,1,0)</f>
        <v>1</v>
      </c>
      <c r="AW68" s="131">
        <f>MAX(Prod[[#This Row],[S1Cavity]],Prod[[#This Row],[S2Cavity]],Prod[[#This Row],[S3Cavity]])</f>
        <v>12</v>
      </c>
    </row>
    <row r="69" spans="1:49" x14ac:dyDescent="0.2">
      <c r="A69" s="116">
        <v>45421</v>
      </c>
      <c r="B69" s="117" t="s">
        <v>221</v>
      </c>
      <c r="C69" s="124" t="s">
        <v>234</v>
      </c>
      <c r="D69" s="112">
        <v>26455</v>
      </c>
      <c r="E69" s="124" t="s">
        <v>46</v>
      </c>
      <c r="F69" s="124" t="s">
        <v>130</v>
      </c>
      <c r="G69" s="117" t="str">
        <f>IF(OR(Prod[[#This Row],[S1Hrs]]&gt;0,Prod[[#This Row],[S2Hrs]]&gt;0,Prod[[#This Row],[S3Hrs]]&gt;0),"Running","Down")</f>
        <v>Running</v>
      </c>
      <c r="H69" s="133">
        <v>41.35</v>
      </c>
      <c r="I69" s="134">
        <v>8</v>
      </c>
      <c r="J69" s="123">
        <v>697</v>
      </c>
      <c r="K69" s="123">
        <v>12</v>
      </c>
      <c r="L69" s="106">
        <f>Prod[[#This Row],[S1Shot]]*Prod[[#This Row],[S1Cavity]]-Prod[[#This Row],[S1Dft]]</f>
        <v>8362</v>
      </c>
      <c r="M69" s="126">
        <f>SUM(Prod[[#This Row],[S1Mold]],Prod[[#This Row],[S1Dmg]],Prod[[#This Row],[S1DisclrSpt]])</f>
        <v>2</v>
      </c>
      <c r="N69" s="133">
        <v>41.35</v>
      </c>
      <c r="O69" s="134">
        <v>8</v>
      </c>
      <c r="P69" s="123">
        <v>696</v>
      </c>
      <c r="Q69" s="123">
        <v>12</v>
      </c>
      <c r="R69" s="106">
        <f>Prod[[#This Row],[S2Shot]]*Prod[[#This Row],[S2Cavity]]-Prod[[#This Row],[S2Dft]]</f>
        <v>8350</v>
      </c>
      <c r="S69" s="126">
        <f>SUM(Prod[[#This Row],[S2Mold]],Prod[[#This Row],[S2Dmg]],Prod[[#This Row],[S2DisclrSpt]])</f>
        <v>2</v>
      </c>
      <c r="T69" s="133">
        <v>41.3</v>
      </c>
      <c r="U69" s="134">
        <v>8</v>
      </c>
      <c r="V69" s="123">
        <v>696</v>
      </c>
      <c r="W69" s="123">
        <v>12</v>
      </c>
      <c r="X69" s="106">
        <f>Prod[[#This Row],[S3Shot]]*Prod[[#This Row],[S3Cavity]]-Prod[[#This Row],[S3Dft]]</f>
        <v>8351</v>
      </c>
      <c r="Y69" s="126">
        <f>SUM(Prod[[#This Row],[S3Mold]],Prod[[#This Row],[S3Dmg]],Prod[[#This Row],[S3DisclrSpt]])</f>
        <v>1</v>
      </c>
      <c r="Z69" s="106">
        <f>SUM(Prod[[#This Row],[S1Qty]],Prod[[#This Row],[S2Qty]],Prod[[#This Row],[S3Qty]])</f>
        <v>25063</v>
      </c>
      <c r="AA69" s="123">
        <f>SUM(Prod[[#This Row],[S1Dft]],Prod[[#This Row],[S2Dft]],Prod[[#This Row],[S3Dft]])</f>
        <v>5</v>
      </c>
      <c r="AB69" s="105">
        <f>IF(Prod[[#This Row],[Total]]=0,0,Prod[[#This Row],[TotalDft]]/Prod[[#This Row],[Total]])</f>
        <v>1.9949726688744365E-4</v>
      </c>
      <c r="AC69" s="124"/>
      <c r="AD69" s="106">
        <v>2</v>
      </c>
      <c r="AE69" s="106">
        <v>2</v>
      </c>
      <c r="AF69" s="106">
        <v>1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21">
        <f>IF(Prod[[#This Row],[S1Hrs]]=0,0,Prod[[#This Row],[S1Shot]]*Prod[[#This Row],[S1Cycle]]/(Prod[[#This Row],[S1Hrs]]*60*60))</f>
        <v>1.0007274305555556</v>
      </c>
      <c r="AN69" s="121">
        <f>IF(Prod[[#This Row],[S2Hrs]]=0,0,Prod[[#This Row],[S2Shot]]*Prod[[#This Row],[S2Cycle]]/(Prod[[#This Row],[S2Hrs]]*60*60))</f>
        <v>0.99929166666666669</v>
      </c>
      <c r="AO69" s="121">
        <f>IF(Prod[[#This Row],[S3Hrs]]=0,0,Prod[[#This Row],[S3Shot]]*Prod[[#This Row],[S3Cycle]]/(Prod[[#This Row],[S3Hrs]]*60*60))</f>
        <v>0.99808333333333332</v>
      </c>
      <c r="AP69" s="121">
        <f>IFERROR(AVERAGEIF(Prod[[#This Row],[S1%]:[S3%]], "&lt;&gt;0"),0)</f>
        <v>0.99936747685185179</v>
      </c>
      <c r="AQ69" s="131">
        <v>0</v>
      </c>
      <c r="AR69" s="131">
        <v>0</v>
      </c>
      <c r="AS69" s="131">
        <v>0</v>
      </c>
      <c r="AT69" s="131">
        <f>IF(Prod[[#This Row],[S1Cycle]]&lt;&gt;0,1,0)</f>
        <v>1</v>
      </c>
      <c r="AU69" s="131">
        <f>IF(Prod[[#This Row],[S2Cycle]]&lt;&gt;0,1,0)</f>
        <v>1</v>
      </c>
      <c r="AV69" s="131">
        <f>IF(Prod[[#This Row],[S3Cycle]]&lt;&gt;0,1,0)</f>
        <v>1</v>
      </c>
      <c r="AW69" s="131">
        <f>MAX(Prod[[#This Row],[S1Cavity]],Prod[[#This Row],[S2Cavity]],Prod[[#This Row],[S3Cavity]])</f>
        <v>12</v>
      </c>
    </row>
    <row r="70" spans="1:49" x14ac:dyDescent="0.2">
      <c r="A70" s="116">
        <v>45421</v>
      </c>
      <c r="B70" s="117" t="s">
        <v>222</v>
      </c>
      <c r="C70" s="117" t="s">
        <v>223</v>
      </c>
      <c r="D70" s="112">
        <v>27423</v>
      </c>
      <c r="E70" s="124" t="s">
        <v>46</v>
      </c>
      <c r="F70" s="117" t="s">
        <v>130</v>
      </c>
      <c r="G70" s="117" t="str">
        <f>IF(OR(Prod[[#This Row],[S1Hrs]]&gt;0,Prod[[#This Row],[S2Hrs]]&gt;0,Prod[[#This Row],[S3Hrs]]&gt;0),"Running","Down")</f>
        <v>Running</v>
      </c>
      <c r="H70" s="133">
        <v>41.06</v>
      </c>
      <c r="I70" s="134">
        <v>8</v>
      </c>
      <c r="J70" s="123">
        <v>699</v>
      </c>
      <c r="K70" s="123">
        <v>8</v>
      </c>
      <c r="L70" s="106">
        <f>Prod[[#This Row],[S1Shot]]*Prod[[#This Row],[S1Cavity]]-Prod[[#This Row],[S1Dft]]</f>
        <v>5591</v>
      </c>
      <c r="M70" s="126">
        <f>SUM(Prod[[#This Row],[S1Mold]],Prod[[#This Row],[S1Dmg]],Prod[[#This Row],[S1DisclrSpt]])</f>
        <v>1</v>
      </c>
      <c r="N70" s="133">
        <v>41.06</v>
      </c>
      <c r="O70" s="134">
        <v>8</v>
      </c>
      <c r="P70" s="123">
        <v>700</v>
      </c>
      <c r="Q70" s="123">
        <v>8</v>
      </c>
      <c r="R70" s="106">
        <f>Prod[[#This Row],[S2Shot]]*Prod[[#This Row],[S2Cavity]]-Prod[[#This Row],[S2Dft]]</f>
        <v>5599</v>
      </c>
      <c r="S70" s="126">
        <f>SUM(Prod[[#This Row],[S2Mold]],Prod[[#This Row],[S2Dmg]],Prod[[#This Row],[S2DisclrSpt]])</f>
        <v>1</v>
      </c>
      <c r="T70" s="133">
        <v>41.06</v>
      </c>
      <c r="U70" s="134">
        <v>8</v>
      </c>
      <c r="V70" s="123">
        <v>701</v>
      </c>
      <c r="W70" s="123">
        <v>8</v>
      </c>
      <c r="X70" s="106">
        <f>Prod[[#This Row],[S3Shot]]*Prod[[#This Row],[S3Cavity]]-Prod[[#This Row],[S3Dft]]</f>
        <v>5608</v>
      </c>
      <c r="Y70" s="126">
        <f>SUM(Prod[[#This Row],[S3Mold]],Prod[[#This Row],[S3Dmg]],Prod[[#This Row],[S3DisclrSpt]])</f>
        <v>0</v>
      </c>
      <c r="Z70" s="106">
        <f>SUM(Prod[[#This Row],[S1Qty]],Prod[[#This Row],[S2Qty]],Prod[[#This Row],[S3Qty]])</f>
        <v>16798</v>
      </c>
      <c r="AA70" s="123">
        <f>SUM(Prod[[#This Row],[S1Dft]],Prod[[#This Row],[S2Dft]],Prod[[#This Row],[S3Dft]])</f>
        <v>2</v>
      </c>
      <c r="AB70" s="105">
        <f>IF(Prod[[#This Row],[Total]]=0,0,Prod[[#This Row],[TotalDft]]/Prod[[#This Row],[Total]])</f>
        <v>1.1906179307060365E-4</v>
      </c>
      <c r="AC70" s="124"/>
      <c r="AD70" s="106">
        <v>1</v>
      </c>
      <c r="AE70" s="106">
        <v>1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21">
        <f>IF(Prod[[#This Row],[S1Hrs]]=0,0,Prod[[#This Row],[S1Shot]]*Prod[[#This Row],[S1Cycle]]/(Prod[[#This Row],[S1Hrs]]*60*60))</f>
        <v>0.99656041666666673</v>
      </c>
      <c r="AN70" s="121">
        <f>IF(Prod[[#This Row],[S2Hrs]]=0,0,Prod[[#This Row],[S2Shot]]*Prod[[#This Row],[S2Cycle]]/(Prod[[#This Row],[S2Hrs]]*60*60))</f>
        <v>0.99798611111111113</v>
      </c>
      <c r="AO70" s="121">
        <f>IF(Prod[[#This Row],[S3Hrs]]=0,0,Prod[[#This Row],[S3Shot]]*Prod[[#This Row],[S3Cycle]]/(Prod[[#This Row],[S3Hrs]]*60*60))</f>
        <v>0.99941180555555564</v>
      </c>
      <c r="AP70" s="121">
        <f>IFERROR(AVERAGEIF(Prod[[#This Row],[S1%]:[S3%]], "&lt;&gt;0"),0)</f>
        <v>0.99798611111111113</v>
      </c>
      <c r="AQ70" s="131">
        <v>0</v>
      </c>
      <c r="AR70" s="131">
        <v>0</v>
      </c>
      <c r="AS70" s="131">
        <v>0</v>
      </c>
      <c r="AT70" s="131">
        <f>IF(Prod[[#This Row],[S1Cycle]]&lt;&gt;0,1,0)</f>
        <v>1</v>
      </c>
      <c r="AU70" s="131">
        <f>IF(Prod[[#This Row],[S2Cycle]]&lt;&gt;0,1,0)</f>
        <v>1</v>
      </c>
      <c r="AV70" s="131">
        <f>IF(Prod[[#This Row],[S3Cycle]]&lt;&gt;0,1,0)</f>
        <v>1</v>
      </c>
      <c r="AW70" s="131">
        <f>MAX(Prod[[#This Row],[S1Cavity]],Prod[[#This Row],[S2Cavity]],Prod[[#This Row],[S3Cavity]])</f>
        <v>8</v>
      </c>
    </row>
    <row r="71" spans="1:49" x14ac:dyDescent="0.2">
      <c r="A71" s="116">
        <v>45421</v>
      </c>
      <c r="B71" s="124" t="s">
        <v>269</v>
      </c>
      <c r="C71" s="124" t="s">
        <v>270</v>
      </c>
      <c r="D71" s="112">
        <v>26974</v>
      </c>
      <c r="E71" s="124" t="s">
        <v>268</v>
      </c>
      <c r="F71" s="117" t="s">
        <v>130</v>
      </c>
      <c r="G71" s="117" t="str">
        <f>IF(OR(Prod[[#This Row],[S1Hrs]]&gt;0,Prod[[#This Row],[S2Hrs]]&gt;0,Prod[[#This Row],[S3Hrs]]&gt;0),"Running","Down")</f>
        <v>Running</v>
      </c>
      <c r="H71" s="133">
        <v>56.7</v>
      </c>
      <c r="I71" s="134">
        <v>8</v>
      </c>
      <c r="J71" s="123">
        <v>497</v>
      </c>
      <c r="K71" s="123">
        <v>2</v>
      </c>
      <c r="L71" s="106">
        <f>Prod[[#This Row],[S1Shot]]*Prod[[#This Row],[S1Cavity]]-Prod[[#This Row],[S1Dft]]</f>
        <v>993</v>
      </c>
      <c r="M71" s="126">
        <f>SUM(Prod[[#This Row],[S1Mold]],Prod[[#This Row],[S1Dmg]],Prod[[#This Row],[S1DisclrSpt]])</f>
        <v>1</v>
      </c>
      <c r="N71" s="133">
        <v>56.6</v>
      </c>
      <c r="O71" s="134">
        <v>8</v>
      </c>
      <c r="P71" s="123">
        <v>517</v>
      </c>
      <c r="Q71" s="123">
        <v>2</v>
      </c>
      <c r="R71" s="106">
        <f>Prod[[#This Row],[S2Shot]]*Prod[[#This Row],[S2Cavity]]-Prod[[#This Row],[S2Dft]]</f>
        <v>1034</v>
      </c>
      <c r="S71" s="126">
        <f>SUM(Prod[[#This Row],[S2Mold]],Prod[[#This Row],[S2Dmg]],Prod[[#This Row],[S2DisclrSpt]])</f>
        <v>0</v>
      </c>
      <c r="T71" s="133">
        <v>56.6</v>
      </c>
      <c r="U71" s="134">
        <v>8</v>
      </c>
      <c r="V71" s="123">
        <v>505</v>
      </c>
      <c r="W71" s="123">
        <v>2</v>
      </c>
      <c r="X71" s="106">
        <f>Prod[[#This Row],[S3Shot]]*Prod[[#This Row],[S3Cavity]]-Prod[[#This Row],[S3Dft]]</f>
        <v>1010</v>
      </c>
      <c r="Y71" s="126">
        <f>SUM(Prod[[#This Row],[S3Mold]],Prod[[#This Row],[S3Dmg]],Prod[[#This Row],[S3DisclrSpt]])</f>
        <v>0</v>
      </c>
      <c r="Z71" s="106">
        <f>SUM(Prod[[#This Row],[S1Qty]],Prod[[#This Row],[S2Qty]],Prod[[#This Row],[S3Qty]])</f>
        <v>3037</v>
      </c>
      <c r="AA71" s="123">
        <f>SUM(Prod[[#This Row],[S1Dft]],Prod[[#This Row],[S2Dft]],Prod[[#This Row],[S3Dft]])</f>
        <v>1</v>
      </c>
      <c r="AB71" s="105">
        <f>IF(Prod[[#This Row],[Total]]=0,0,Prod[[#This Row],[TotalDft]]/Prod[[#This Row],[Total]])</f>
        <v>3.2927230819888045E-4</v>
      </c>
      <c r="AC71" s="124"/>
      <c r="AD71" s="106">
        <v>1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21">
        <f>IF(Prod[[#This Row],[S1Hrs]]=0,0,Prod[[#This Row],[S1Shot]]*Prod[[#This Row],[S1Cycle]]/(Prod[[#This Row],[S1Hrs]]*60*60))</f>
        <v>0.97846875</v>
      </c>
      <c r="AN71" s="121">
        <f>IF(Prod[[#This Row],[S2Hrs]]=0,0,Prod[[#This Row],[S2Shot]]*Prod[[#This Row],[S2Cycle]]/(Prod[[#This Row],[S2Hrs]]*60*60))</f>
        <v>1.0160486111111111</v>
      </c>
      <c r="AO71" s="121">
        <f>IF(Prod[[#This Row],[S3Hrs]]=0,0,Prod[[#This Row],[S3Shot]]*Prod[[#This Row],[S3Cycle]]/(Prod[[#This Row],[S3Hrs]]*60*60))</f>
        <v>0.99246527777777782</v>
      </c>
      <c r="AP71" s="121">
        <f>IFERROR(AVERAGEIF(Prod[[#This Row],[S1%]:[S3%]], "&lt;&gt;0"),0)</f>
        <v>0.99566087962962957</v>
      </c>
      <c r="AQ71" s="131">
        <v>0</v>
      </c>
      <c r="AR71" s="131">
        <v>0</v>
      </c>
      <c r="AS71" s="131">
        <v>0</v>
      </c>
      <c r="AT71" s="131">
        <f>IF(Prod[[#This Row],[S1Cycle]]&lt;&gt;0,1,0)</f>
        <v>1</v>
      </c>
      <c r="AU71" s="131">
        <f>IF(Prod[[#This Row],[S2Cycle]]&lt;&gt;0,1,0)</f>
        <v>1</v>
      </c>
      <c r="AV71" s="131">
        <f>IF(Prod[[#This Row],[S3Cycle]]&lt;&gt;0,1,0)</f>
        <v>1</v>
      </c>
      <c r="AW71" s="131">
        <f>MAX(Prod[[#This Row],[S1Cavity]],Prod[[#This Row],[S2Cavity]],Prod[[#This Row],[S3Cavity]])</f>
        <v>2</v>
      </c>
    </row>
    <row r="72" spans="1:49" hidden="1" x14ac:dyDescent="0.2">
      <c r="A72" s="116">
        <v>45422</v>
      </c>
      <c r="B72" s="124" t="s">
        <v>148</v>
      </c>
      <c r="C72" s="117" t="s">
        <v>45</v>
      </c>
      <c r="D72" s="112">
        <v>26976</v>
      </c>
      <c r="E72" s="124" t="s">
        <v>274</v>
      </c>
      <c r="F72" s="117" t="s">
        <v>130</v>
      </c>
      <c r="G72" s="117" t="str">
        <f>IF(OR(Prod[[#This Row],[S1Hrs]]&gt;0,Prod[[#This Row],[S2Hrs]]&gt;0,Prod[[#This Row],[S3Hrs]]&gt;0),"Running","Down")</f>
        <v>Down</v>
      </c>
      <c r="H72" s="133">
        <v>0</v>
      </c>
      <c r="I72" s="134">
        <v>0</v>
      </c>
      <c r="J72" s="123">
        <v>0</v>
      </c>
      <c r="K72" s="123">
        <v>0</v>
      </c>
      <c r="L72" s="106">
        <f>Prod[[#This Row],[S1Shot]]*Prod[[#This Row],[S1Cavity]]-Prod[[#This Row],[S1Dft]]</f>
        <v>0</v>
      </c>
      <c r="M72" s="126">
        <f>SUM(Prod[[#This Row],[S1Mold]],Prod[[#This Row],[S1Dmg]],Prod[[#This Row],[S1DisclrSpt]])</f>
        <v>0</v>
      </c>
      <c r="N72" s="133">
        <v>0</v>
      </c>
      <c r="O72" s="134">
        <v>0</v>
      </c>
      <c r="P72" s="123">
        <v>0</v>
      </c>
      <c r="Q72" s="123">
        <v>0</v>
      </c>
      <c r="R72" s="106">
        <f>Prod[[#This Row],[S2Shot]]*Prod[[#This Row],[S2Cavity]]-Prod[[#This Row],[S2Dft]]</f>
        <v>0</v>
      </c>
      <c r="S72" s="126">
        <f>SUM(Prod[[#This Row],[S2Mold]],Prod[[#This Row],[S2Dmg]],Prod[[#This Row],[S2DisclrSpt]])</f>
        <v>0</v>
      </c>
      <c r="T72" s="133">
        <v>0</v>
      </c>
      <c r="U72" s="134">
        <v>0</v>
      </c>
      <c r="V72" s="123">
        <v>0</v>
      </c>
      <c r="W72" s="123">
        <v>0</v>
      </c>
      <c r="X72" s="106">
        <f>Prod[[#This Row],[S3Shot]]*Prod[[#This Row],[S3Cavity]]-Prod[[#This Row],[S3Dft]]</f>
        <v>0</v>
      </c>
      <c r="Y72" s="126">
        <f>SUM(Prod[[#This Row],[S3Mold]],Prod[[#This Row],[S3Dmg]],Prod[[#This Row],[S3DisclrSpt]])</f>
        <v>0</v>
      </c>
      <c r="Z72" s="106">
        <f>SUM(Prod[[#This Row],[S1Qty]],Prod[[#This Row],[S2Qty]],Prod[[#This Row],[S3Qty]])</f>
        <v>0</v>
      </c>
      <c r="AA72" s="123">
        <f>SUM(Prod[[#This Row],[S1Dft]],Prod[[#This Row],[S2Dft]],Prod[[#This Row],[S3Dft]])</f>
        <v>0</v>
      </c>
      <c r="AB72" s="105">
        <f>IF(Prod[[#This Row],[Total]]=0,0,Prod[[#This Row],[TotalDft]]/Prod[[#This Row],[Total]])</f>
        <v>0</v>
      </c>
      <c r="AC72" s="124"/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21">
        <f>IF(Prod[[#This Row],[S1Hrs]]=0,0,Prod[[#This Row],[S1Shot]]*Prod[[#This Row],[S1Cycle]]/(Prod[[#This Row],[S1Hrs]]*60*60))</f>
        <v>0</v>
      </c>
      <c r="AN72" s="121">
        <f>IF(Prod[[#This Row],[S2Hrs]]=0,0,Prod[[#This Row],[S2Shot]]*Prod[[#This Row],[S2Cycle]]/(Prod[[#This Row],[S2Hrs]]*60*60))</f>
        <v>0</v>
      </c>
      <c r="AO72" s="121">
        <f>IF(Prod[[#This Row],[S3Hrs]]=0,0,Prod[[#This Row],[S3Shot]]*Prod[[#This Row],[S3Cycle]]/(Prod[[#This Row],[S3Hrs]]*60*60))</f>
        <v>0</v>
      </c>
      <c r="AP72" s="121">
        <f>IFERROR(AVERAGEIF(Prod[[#This Row],[S1%]:[S3%]], "&lt;&gt;0"),0)</f>
        <v>0</v>
      </c>
      <c r="AQ72" s="131">
        <v>0</v>
      </c>
      <c r="AR72" s="131">
        <v>0</v>
      </c>
      <c r="AS72" s="131">
        <v>0</v>
      </c>
      <c r="AT72" s="131">
        <f>IF(Prod[[#This Row],[S1Cycle]]&lt;&gt;0,1,0)</f>
        <v>0</v>
      </c>
      <c r="AU72" s="131">
        <f>IF(Prod[[#This Row],[S2Cycle]]&lt;&gt;0,1,0)</f>
        <v>0</v>
      </c>
      <c r="AV72" s="131">
        <f>IF(Prod[[#This Row],[S3Cycle]]&lt;&gt;0,1,0)</f>
        <v>0</v>
      </c>
      <c r="AW72" s="131">
        <f>MAX(Prod[[#This Row],[S1Cavity]],Prod[[#This Row],[S2Cavity]],Prod[[#This Row],[S3Cavity]])</f>
        <v>0</v>
      </c>
    </row>
    <row r="73" spans="1:49" hidden="1" x14ac:dyDescent="0.2">
      <c r="A73" s="116">
        <v>45422</v>
      </c>
      <c r="B73" s="117" t="s">
        <v>149</v>
      </c>
      <c r="C73" s="117" t="s">
        <v>65</v>
      </c>
      <c r="D73" s="112"/>
      <c r="E73" s="124"/>
      <c r="F73" s="117" t="s">
        <v>130</v>
      </c>
      <c r="G73" s="117" t="str">
        <f>IF(OR(Prod[[#This Row],[S1Hrs]]&gt;0,Prod[[#This Row],[S2Hrs]]&gt;0,Prod[[#This Row],[S3Hrs]]&gt;0),"Running","Down")</f>
        <v>Down</v>
      </c>
      <c r="H73" s="133">
        <v>0</v>
      </c>
      <c r="I73" s="134">
        <v>0</v>
      </c>
      <c r="J73" s="123">
        <v>0</v>
      </c>
      <c r="K73" s="123">
        <v>0</v>
      </c>
      <c r="L73" s="106">
        <f>Prod[[#This Row],[S1Shot]]*Prod[[#This Row],[S1Cavity]]-Prod[[#This Row],[S1Dft]]</f>
        <v>0</v>
      </c>
      <c r="M73" s="126">
        <f>SUM(Prod[[#This Row],[S1Mold]],Prod[[#This Row],[S1Dmg]],Prod[[#This Row],[S1DisclrSpt]])</f>
        <v>0</v>
      </c>
      <c r="N73" s="133">
        <v>0</v>
      </c>
      <c r="O73" s="134">
        <v>0</v>
      </c>
      <c r="P73" s="123">
        <v>0</v>
      </c>
      <c r="Q73" s="123">
        <v>0</v>
      </c>
      <c r="R73" s="106">
        <f>Prod[[#This Row],[S2Shot]]*Prod[[#This Row],[S2Cavity]]-Prod[[#This Row],[S2Dft]]</f>
        <v>0</v>
      </c>
      <c r="S73" s="126">
        <f>SUM(Prod[[#This Row],[S2Mold]],Prod[[#This Row],[S2Dmg]],Prod[[#This Row],[S2DisclrSpt]])</f>
        <v>0</v>
      </c>
      <c r="T73" s="133">
        <v>0</v>
      </c>
      <c r="U73" s="134">
        <v>0</v>
      </c>
      <c r="V73" s="123">
        <v>0</v>
      </c>
      <c r="W73" s="123">
        <v>0</v>
      </c>
      <c r="X73" s="106">
        <f>Prod[[#This Row],[S3Shot]]*Prod[[#This Row],[S3Cavity]]-Prod[[#This Row],[S3Dft]]</f>
        <v>0</v>
      </c>
      <c r="Y73" s="126">
        <f>SUM(Prod[[#This Row],[S3Mold]],Prod[[#This Row],[S3Dmg]],Prod[[#This Row],[S3DisclrSpt]])</f>
        <v>0</v>
      </c>
      <c r="Z73" s="106">
        <f>SUM(Prod[[#This Row],[S1Qty]],Prod[[#This Row],[S2Qty]],Prod[[#This Row],[S3Qty]])</f>
        <v>0</v>
      </c>
      <c r="AA73" s="123">
        <f>SUM(Prod[[#This Row],[S1Dft]],Prod[[#This Row],[S2Dft]],Prod[[#This Row],[S3Dft]])</f>
        <v>0</v>
      </c>
      <c r="AB73" s="105">
        <f>IF(Prod[[#This Row],[Total]]=0,0,Prod[[#This Row],[TotalDft]]/Prod[[#This Row],[Total]])</f>
        <v>0</v>
      </c>
      <c r="AC73" s="124"/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21">
        <f>IF(Prod[[#This Row],[S1Hrs]]=0,0,Prod[[#This Row],[S1Shot]]*Prod[[#This Row],[S1Cycle]]/(Prod[[#This Row],[S1Hrs]]*60*60))</f>
        <v>0</v>
      </c>
      <c r="AN73" s="121">
        <f>IF(Prod[[#This Row],[S2Hrs]]=0,0,Prod[[#This Row],[S2Shot]]*Prod[[#This Row],[S2Cycle]]/(Prod[[#This Row],[S2Hrs]]*60*60))</f>
        <v>0</v>
      </c>
      <c r="AO73" s="121">
        <f>IF(Prod[[#This Row],[S3Hrs]]=0,0,Prod[[#This Row],[S3Shot]]*Prod[[#This Row],[S3Cycle]]/(Prod[[#This Row],[S3Hrs]]*60*60))</f>
        <v>0</v>
      </c>
      <c r="AP73" s="121">
        <f>IFERROR(AVERAGEIF(Prod[[#This Row],[S1%]:[S3%]], "&lt;&gt;0"),0)</f>
        <v>0</v>
      </c>
      <c r="AQ73" s="131">
        <v>0</v>
      </c>
      <c r="AR73" s="131">
        <v>0</v>
      </c>
      <c r="AS73" s="131">
        <v>0</v>
      </c>
      <c r="AT73" s="131">
        <f>IF(Prod[[#This Row],[S1Cycle]]&lt;&gt;0,1,0)</f>
        <v>0</v>
      </c>
      <c r="AU73" s="131">
        <f>IF(Prod[[#This Row],[S2Cycle]]&lt;&gt;0,1,0)</f>
        <v>0</v>
      </c>
      <c r="AV73" s="131">
        <f>IF(Prod[[#This Row],[S3Cycle]]&lt;&gt;0,1,0)</f>
        <v>0</v>
      </c>
      <c r="AW73" s="131">
        <f>MAX(Prod[[#This Row],[S1Cavity]],Prod[[#This Row],[S2Cavity]],Prod[[#This Row],[S3Cavity]])</f>
        <v>0</v>
      </c>
    </row>
    <row r="74" spans="1:49" hidden="1" x14ac:dyDescent="0.2">
      <c r="A74" s="116">
        <v>45422</v>
      </c>
      <c r="B74" s="117" t="s">
        <v>150</v>
      </c>
      <c r="C74" s="124" t="s">
        <v>257</v>
      </c>
      <c r="D74" s="112"/>
      <c r="E74" s="124"/>
      <c r="F74" s="117" t="s">
        <v>130</v>
      </c>
      <c r="G74" s="117" t="str">
        <f>IF(OR(Prod[[#This Row],[S1Hrs]]&gt;0,Prod[[#This Row],[S2Hrs]]&gt;0,Prod[[#This Row],[S3Hrs]]&gt;0),"Running","Down")</f>
        <v>Down</v>
      </c>
      <c r="H74" s="133">
        <v>0</v>
      </c>
      <c r="I74" s="134">
        <v>0</v>
      </c>
      <c r="J74" s="123">
        <v>0</v>
      </c>
      <c r="K74" s="123">
        <v>0</v>
      </c>
      <c r="L74" s="106">
        <f>Prod[[#This Row],[S1Shot]]*Prod[[#This Row],[S1Cavity]]-Prod[[#This Row],[S1Dft]]</f>
        <v>0</v>
      </c>
      <c r="M74" s="126">
        <f>SUM(Prod[[#This Row],[S1Mold]],Prod[[#This Row],[S1Dmg]],Prod[[#This Row],[S1DisclrSpt]])</f>
        <v>0</v>
      </c>
      <c r="N74" s="133">
        <v>0</v>
      </c>
      <c r="O74" s="134">
        <v>0</v>
      </c>
      <c r="P74" s="123">
        <v>0</v>
      </c>
      <c r="Q74" s="123">
        <v>0</v>
      </c>
      <c r="R74" s="106">
        <f>Prod[[#This Row],[S2Shot]]*Prod[[#This Row],[S2Cavity]]-Prod[[#This Row],[S2Dft]]</f>
        <v>0</v>
      </c>
      <c r="S74" s="126">
        <f>SUM(Prod[[#This Row],[S2Mold]],Prod[[#This Row],[S2Dmg]],Prod[[#This Row],[S2DisclrSpt]])</f>
        <v>0</v>
      </c>
      <c r="T74" s="133">
        <v>0</v>
      </c>
      <c r="U74" s="134">
        <v>0</v>
      </c>
      <c r="V74" s="123">
        <v>0</v>
      </c>
      <c r="W74" s="123">
        <v>0</v>
      </c>
      <c r="X74" s="106">
        <f>Prod[[#This Row],[S3Shot]]*Prod[[#This Row],[S3Cavity]]-Prod[[#This Row],[S3Dft]]</f>
        <v>0</v>
      </c>
      <c r="Y74" s="126">
        <f>SUM(Prod[[#This Row],[S3Mold]],Prod[[#This Row],[S3Dmg]],Prod[[#This Row],[S3DisclrSpt]])</f>
        <v>0</v>
      </c>
      <c r="Z74" s="106">
        <f>SUM(Prod[[#This Row],[S1Qty]],Prod[[#This Row],[S2Qty]],Prod[[#This Row],[S3Qty]])</f>
        <v>0</v>
      </c>
      <c r="AA74" s="123">
        <f>SUM(Prod[[#This Row],[S1Dft]],Prod[[#This Row],[S2Dft]],Prod[[#This Row],[S3Dft]])</f>
        <v>0</v>
      </c>
      <c r="AB74" s="105">
        <f>IF(Prod[[#This Row],[Total]]=0,0,Prod[[#This Row],[TotalDft]]/Prod[[#This Row],[Total]])</f>
        <v>0</v>
      </c>
      <c r="AC74" s="124"/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21">
        <f>IF(Prod[[#This Row],[S1Hrs]]=0,0,Prod[[#This Row],[S1Shot]]*Prod[[#This Row],[S1Cycle]]/(Prod[[#This Row],[S1Hrs]]*60*60))</f>
        <v>0</v>
      </c>
      <c r="AN74" s="121">
        <f>IF(Prod[[#This Row],[S2Hrs]]=0,0,Prod[[#This Row],[S2Shot]]*Prod[[#This Row],[S2Cycle]]/(Prod[[#This Row],[S2Hrs]]*60*60))</f>
        <v>0</v>
      </c>
      <c r="AO74" s="121">
        <f>IF(Prod[[#This Row],[S3Hrs]]=0,0,Prod[[#This Row],[S3Shot]]*Prod[[#This Row],[S3Cycle]]/(Prod[[#This Row],[S3Hrs]]*60*60))</f>
        <v>0</v>
      </c>
      <c r="AP74" s="121">
        <f>IFERROR(AVERAGEIF(Prod[[#This Row],[S1%]:[S3%]], "&lt;&gt;0"),0)</f>
        <v>0</v>
      </c>
      <c r="AQ74" s="131">
        <v>0</v>
      </c>
      <c r="AR74" s="131"/>
      <c r="AS74" s="131">
        <v>0</v>
      </c>
      <c r="AT74" s="131">
        <f>IF(Prod[[#This Row],[S1Cycle]]&lt;&gt;0,1,0)</f>
        <v>0</v>
      </c>
      <c r="AU74" s="131">
        <f>IF(Prod[[#This Row],[S2Cycle]]&lt;&gt;0,1,0)</f>
        <v>0</v>
      </c>
      <c r="AV74" s="131">
        <f>IF(Prod[[#This Row],[S3Cycle]]&lt;&gt;0,1,0)</f>
        <v>0</v>
      </c>
      <c r="AW74" s="131">
        <f>MAX(Prod[[#This Row],[S1Cavity]],Prod[[#This Row],[S2Cavity]],Prod[[#This Row],[S3Cavity]])</f>
        <v>0</v>
      </c>
    </row>
    <row r="75" spans="1:49" hidden="1" x14ac:dyDescent="0.2">
      <c r="A75" s="116">
        <v>45422</v>
      </c>
      <c r="B75" s="117" t="s">
        <v>220</v>
      </c>
      <c r="C75" s="117" t="s">
        <v>224</v>
      </c>
      <c r="D75" s="112"/>
      <c r="E75" s="124"/>
      <c r="F75" s="117" t="s">
        <v>130</v>
      </c>
      <c r="G75" s="117" t="str">
        <f>IF(OR(Prod[[#This Row],[S1Hrs]]&gt;0,Prod[[#This Row],[S2Hrs]]&gt;0,Prod[[#This Row],[S3Hrs]]&gt;0),"Running","Down")</f>
        <v>Down</v>
      </c>
      <c r="H75" s="133">
        <v>0</v>
      </c>
      <c r="I75" s="134">
        <v>0</v>
      </c>
      <c r="J75" s="123">
        <v>0</v>
      </c>
      <c r="K75" s="123">
        <v>0</v>
      </c>
      <c r="L75" s="106">
        <f>Prod[[#This Row],[S1Shot]]*Prod[[#This Row],[S1Cavity]]-Prod[[#This Row],[S1Dft]]</f>
        <v>0</v>
      </c>
      <c r="M75" s="126">
        <f>SUM(Prod[[#This Row],[S1Mold]],Prod[[#This Row],[S1Dmg]],Prod[[#This Row],[S1DisclrSpt]])</f>
        <v>0</v>
      </c>
      <c r="N75" s="133">
        <v>0</v>
      </c>
      <c r="O75" s="134">
        <v>0</v>
      </c>
      <c r="P75" s="123">
        <v>0</v>
      </c>
      <c r="Q75" s="123">
        <v>0</v>
      </c>
      <c r="R75" s="106">
        <f>Prod[[#This Row],[S2Shot]]*Prod[[#This Row],[S2Cavity]]-Prod[[#This Row],[S2Dft]]</f>
        <v>0</v>
      </c>
      <c r="S75" s="126">
        <f>SUM(Prod[[#This Row],[S2Mold]],Prod[[#This Row],[S2Dmg]],Prod[[#This Row],[S2DisclrSpt]])</f>
        <v>0</v>
      </c>
      <c r="T75" s="133">
        <v>0</v>
      </c>
      <c r="U75" s="134">
        <v>0</v>
      </c>
      <c r="V75" s="123">
        <v>0</v>
      </c>
      <c r="W75" s="123">
        <v>0</v>
      </c>
      <c r="X75" s="106">
        <f>Prod[[#This Row],[S3Shot]]*Prod[[#This Row],[S3Cavity]]-Prod[[#This Row],[S3Dft]]</f>
        <v>0</v>
      </c>
      <c r="Y75" s="126">
        <f>SUM(Prod[[#This Row],[S3Mold]],Prod[[#This Row],[S3Dmg]],Prod[[#This Row],[S3DisclrSpt]])</f>
        <v>0</v>
      </c>
      <c r="Z75" s="106">
        <f>SUM(Prod[[#This Row],[S1Qty]],Prod[[#This Row],[S2Qty]],Prod[[#This Row],[S3Qty]])</f>
        <v>0</v>
      </c>
      <c r="AA75" s="123">
        <f>SUM(Prod[[#This Row],[S1Dft]],Prod[[#This Row],[S2Dft]],Prod[[#This Row],[S3Dft]])</f>
        <v>0</v>
      </c>
      <c r="AB75" s="105">
        <f>IF(Prod[[#This Row],[Total]]=0,0,Prod[[#This Row],[TotalDft]]/Prod[[#This Row],[Total]])</f>
        <v>0</v>
      </c>
      <c r="AC75" s="124"/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21">
        <f>IF(Prod[[#This Row],[S1Hrs]]=0,0,Prod[[#This Row],[S1Shot]]*Prod[[#This Row],[S1Cycle]]/(Prod[[#This Row],[S1Hrs]]*60*60))</f>
        <v>0</v>
      </c>
      <c r="AN75" s="121">
        <f>IF(Prod[[#This Row],[S2Hrs]]=0,0,Prod[[#This Row],[S2Shot]]*Prod[[#This Row],[S2Cycle]]/(Prod[[#This Row],[S2Hrs]]*60*60))</f>
        <v>0</v>
      </c>
      <c r="AO75" s="121">
        <f>IF(Prod[[#This Row],[S3Hrs]]=0,0,Prod[[#This Row],[S3Shot]]*Prod[[#This Row],[S3Cycle]]/(Prod[[#This Row],[S3Hrs]]*60*60))</f>
        <v>0</v>
      </c>
      <c r="AP75" s="121">
        <f>IFERROR(AVERAGEIF(Prod[[#This Row],[S1%]:[S3%]], "&lt;&gt;0"),0)</f>
        <v>0</v>
      </c>
      <c r="AQ75" s="131">
        <v>0</v>
      </c>
      <c r="AR75" s="131">
        <v>0</v>
      </c>
      <c r="AS75" s="131">
        <v>0</v>
      </c>
      <c r="AT75" s="131">
        <f>IF(Prod[[#This Row],[S1Cycle]]&lt;&gt;0,1,0)</f>
        <v>0</v>
      </c>
      <c r="AU75" s="131">
        <f>IF(Prod[[#This Row],[S2Cycle]]&lt;&gt;0,1,0)</f>
        <v>0</v>
      </c>
      <c r="AV75" s="131">
        <f>IF(Prod[[#This Row],[S3Cycle]]&lt;&gt;0,1,0)</f>
        <v>0</v>
      </c>
      <c r="AW75" s="131">
        <f>MAX(Prod[[#This Row],[S1Cavity]],Prod[[#This Row],[S2Cavity]],Prod[[#This Row],[S3Cavity]])</f>
        <v>0</v>
      </c>
    </row>
    <row r="76" spans="1:49" hidden="1" x14ac:dyDescent="0.2">
      <c r="A76" s="116">
        <v>45422</v>
      </c>
      <c r="B76" s="117" t="s">
        <v>221</v>
      </c>
      <c r="C76" s="124" t="s">
        <v>234</v>
      </c>
      <c r="D76" s="112"/>
      <c r="E76" s="124"/>
      <c r="F76" s="124" t="s">
        <v>130</v>
      </c>
      <c r="G76" s="117" t="str">
        <f>IF(OR(Prod[[#This Row],[S1Hrs]]&gt;0,Prod[[#This Row],[S2Hrs]]&gt;0,Prod[[#This Row],[S3Hrs]]&gt;0),"Running","Down")</f>
        <v>Down</v>
      </c>
      <c r="H76" s="133">
        <v>0</v>
      </c>
      <c r="I76" s="134">
        <v>0</v>
      </c>
      <c r="J76" s="123">
        <v>0</v>
      </c>
      <c r="K76" s="123">
        <v>0</v>
      </c>
      <c r="L76" s="106">
        <f>Prod[[#This Row],[S1Shot]]*Prod[[#This Row],[S1Cavity]]-Prod[[#This Row],[S1Dft]]</f>
        <v>0</v>
      </c>
      <c r="M76" s="126">
        <f>SUM(Prod[[#This Row],[S1Mold]],Prod[[#This Row],[S1Dmg]],Prod[[#This Row],[S1DisclrSpt]])</f>
        <v>0</v>
      </c>
      <c r="N76" s="133">
        <v>0</v>
      </c>
      <c r="O76" s="134">
        <v>0</v>
      </c>
      <c r="P76" s="123">
        <v>0</v>
      </c>
      <c r="Q76" s="123">
        <v>0</v>
      </c>
      <c r="R76" s="106">
        <f>Prod[[#This Row],[S2Shot]]*Prod[[#This Row],[S2Cavity]]-Prod[[#This Row],[S2Dft]]</f>
        <v>0</v>
      </c>
      <c r="S76" s="126">
        <f>SUM(Prod[[#This Row],[S2Mold]],Prod[[#This Row],[S2Dmg]],Prod[[#This Row],[S2DisclrSpt]])</f>
        <v>0</v>
      </c>
      <c r="T76" s="133">
        <v>0</v>
      </c>
      <c r="U76" s="134">
        <v>0</v>
      </c>
      <c r="V76" s="123">
        <v>0</v>
      </c>
      <c r="W76" s="123">
        <v>0</v>
      </c>
      <c r="X76" s="106">
        <f>Prod[[#This Row],[S3Shot]]*Prod[[#This Row],[S3Cavity]]-Prod[[#This Row],[S3Dft]]</f>
        <v>0</v>
      </c>
      <c r="Y76" s="126">
        <f>SUM(Prod[[#This Row],[S3Mold]],Prod[[#This Row],[S3Dmg]],Prod[[#This Row],[S3DisclrSpt]])</f>
        <v>0</v>
      </c>
      <c r="Z76" s="106">
        <f>SUM(Prod[[#This Row],[S1Qty]],Prod[[#This Row],[S2Qty]],Prod[[#This Row],[S3Qty]])</f>
        <v>0</v>
      </c>
      <c r="AA76" s="123">
        <f>SUM(Prod[[#This Row],[S1Dft]],Prod[[#This Row],[S2Dft]],Prod[[#This Row],[S3Dft]])</f>
        <v>0</v>
      </c>
      <c r="AB76" s="105">
        <f>IF(Prod[[#This Row],[Total]]=0,0,Prod[[#This Row],[TotalDft]]/Prod[[#This Row],[Total]])</f>
        <v>0</v>
      </c>
      <c r="AC76" s="124"/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21">
        <f>IF(Prod[[#This Row],[S1Hrs]]=0,0,Prod[[#This Row],[S1Shot]]*Prod[[#This Row],[S1Cycle]]/(Prod[[#This Row],[S1Hrs]]*60*60))</f>
        <v>0</v>
      </c>
      <c r="AN76" s="121">
        <f>IF(Prod[[#This Row],[S2Hrs]]=0,0,Prod[[#This Row],[S2Shot]]*Prod[[#This Row],[S2Cycle]]/(Prod[[#This Row],[S2Hrs]]*60*60))</f>
        <v>0</v>
      </c>
      <c r="AO76" s="121">
        <f>IF(Prod[[#This Row],[S3Hrs]]=0,0,Prod[[#This Row],[S3Shot]]*Prod[[#This Row],[S3Cycle]]/(Prod[[#This Row],[S3Hrs]]*60*60))</f>
        <v>0</v>
      </c>
      <c r="AP76" s="121">
        <f>IFERROR(AVERAGEIF(Prod[[#This Row],[S1%]:[S3%]], "&lt;&gt;0"),0)</f>
        <v>0</v>
      </c>
      <c r="AQ76" s="131">
        <v>0</v>
      </c>
      <c r="AR76" s="131">
        <v>0</v>
      </c>
      <c r="AS76" s="131">
        <v>0</v>
      </c>
      <c r="AT76" s="131">
        <f>IF(Prod[[#This Row],[S1Cycle]]&lt;&gt;0,1,0)</f>
        <v>0</v>
      </c>
      <c r="AU76" s="131">
        <f>IF(Prod[[#This Row],[S2Cycle]]&lt;&gt;0,1,0)</f>
        <v>0</v>
      </c>
      <c r="AV76" s="131">
        <f>IF(Prod[[#This Row],[S3Cycle]]&lt;&gt;0,1,0)</f>
        <v>0</v>
      </c>
      <c r="AW76" s="131">
        <f>MAX(Prod[[#This Row],[S1Cavity]],Prod[[#This Row],[S2Cavity]],Prod[[#This Row],[S3Cavity]])</f>
        <v>0</v>
      </c>
    </row>
    <row r="77" spans="1:49" hidden="1" x14ac:dyDescent="0.2">
      <c r="A77" s="116">
        <v>45422</v>
      </c>
      <c r="B77" s="117" t="s">
        <v>222</v>
      </c>
      <c r="C77" s="117" t="s">
        <v>223</v>
      </c>
      <c r="D77" s="112"/>
      <c r="E77" s="124"/>
      <c r="F77" s="117" t="s">
        <v>130</v>
      </c>
      <c r="G77" s="117" t="str">
        <f>IF(OR(Prod[[#This Row],[S1Hrs]]&gt;0,Prod[[#This Row],[S2Hrs]]&gt;0,Prod[[#This Row],[S3Hrs]]&gt;0),"Running","Down")</f>
        <v>Down</v>
      </c>
      <c r="H77" s="133">
        <v>0</v>
      </c>
      <c r="I77" s="134">
        <v>0</v>
      </c>
      <c r="J77" s="123">
        <v>0</v>
      </c>
      <c r="K77" s="123">
        <v>0</v>
      </c>
      <c r="L77" s="106">
        <f>Prod[[#This Row],[S1Shot]]*Prod[[#This Row],[S1Cavity]]-Prod[[#This Row],[S1Dft]]</f>
        <v>0</v>
      </c>
      <c r="M77" s="126">
        <f>SUM(Prod[[#This Row],[S1Mold]],Prod[[#This Row],[S1Dmg]],Prod[[#This Row],[S1DisclrSpt]])</f>
        <v>0</v>
      </c>
      <c r="N77" s="133">
        <v>0</v>
      </c>
      <c r="O77" s="134">
        <v>0</v>
      </c>
      <c r="P77" s="123">
        <v>0</v>
      </c>
      <c r="Q77" s="123">
        <v>0</v>
      </c>
      <c r="R77" s="106">
        <f>Prod[[#This Row],[S2Shot]]*Prod[[#This Row],[S2Cavity]]-Prod[[#This Row],[S2Dft]]</f>
        <v>0</v>
      </c>
      <c r="S77" s="126">
        <f>SUM(Prod[[#This Row],[S2Mold]],Prod[[#This Row],[S2Dmg]],Prod[[#This Row],[S2DisclrSpt]])</f>
        <v>0</v>
      </c>
      <c r="T77" s="133">
        <v>0</v>
      </c>
      <c r="U77" s="134">
        <v>0</v>
      </c>
      <c r="V77" s="123">
        <v>0</v>
      </c>
      <c r="W77" s="123">
        <v>0</v>
      </c>
      <c r="X77" s="106">
        <f>Prod[[#This Row],[S3Shot]]*Prod[[#This Row],[S3Cavity]]-Prod[[#This Row],[S3Dft]]</f>
        <v>0</v>
      </c>
      <c r="Y77" s="126">
        <f>SUM(Prod[[#This Row],[S3Mold]],Prod[[#This Row],[S3Dmg]],Prod[[#This Row],[S3DisclrSpt]])</f>
        <v>0</v>
      </c>
      <c r="Z77" s="106">
        <f>SUM(Prod[[#This Row],[S1Qty]],Prod[[#This Row],[S2Qty]],Prod[[#This Row],[S3Qty]])</f>
        <v>0</v>
      </c>
      <c r="AA77" s="123">
        <f>SUM(Prod[[#This Row],[S1Dft]],Prod[[#This Row],[S2Dft]],Prod[[#This Row],[S3Dft]])</f>
        <v>0</v>
      </c>
      <c r="AB77" s="105">
        <f>IF(Prod[[#This Row],[Total]]=0,0,Prod[[#This Row],[TotalDft]]/Prod[[#This Row],[Total]])</f>
        <v>0</v>
      </c>
      <c r="AC77" s="124"/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21">
        <f>IF(Prod[[#This Row],[S1Hrs]]=0,0,Prod[[#This Row],[S1Shot]]*Prod[[#This Row],[S1Cycle]]/(Prod[[#This Row],[S1Hrs]]*60*60))</f>
        <v>0</v>
      </c>
      <c r="AN77" s="121">
        <f>IF(Prod[[#This Row],[S2Hrs]]=0,0,Prod[[#This Row],[S2Shot]]*Prod[[#This Row],[S2Cycle]]/(Prod[[#This Row],[S2Hrs]]*60*60))</f>
        <v>0</v>
      </c>
      <c r="AO77" s="121">
        <f>IF(Prod[[#This Row],[S3Hrs]]=0,0,Prod[[#This Row],[S3Shot]]*Prod[[#This Row],[S3Cycle]]/(Prod[[#This Row],[S3Hrs]]*60*60))</f>
        <v>0</v>
      </c>
      <c r="AP77" s="121">
        <f>IFERROR(AVERAGEIF(Prod[[#This Row],[S1%]:[S3%]], "&lt;&gt;0"),0)</f>
        <v>0</v>
      </c>
      <c r="AQ77" s="131">
        <v>0</v>
      </c>
      <c r="AR77" s="131">
        <v>0</v>
      </c>
      <c r="AS77" s="131">
        <v>0</v>
      </c>
      <c r="AT77" s="131">
        <f>IF(Prod[[#This Row],[S1Cycle]]&lt;&gt;0,1,0)</f>
        <v>0</v>
      </c>
      <c r="AU77" s="131">
        <f>IF(Prod[[#This Row],[S2Cycle]]&lt;&gt;0,1,0)</f>
        <v>0</v>
      </c>
      <c r="AV77" s="131">
        <f>IF(Prod[[#This Row],[S3Cycle]]&lt;&gt;0,1,0)</f>
        <v>0</v>
      </c>
      <c r="AW77" s="131">
        <f>MAX(Prod[[#This Row],[S1Cavity]],Prod[[#This Row],[S2Cavity]],Prod[[#This Row],[S3Cavity]])</f>
        <v>0</v>
      </c>
    </row>
    <row r="78" spans="1:49" hidden="1" x14ac:dyDescent="0.2">
      <c r="A78" s="116">
        <v>45422</v>
      </c>
      <c r="B78" s="124" t="s">
        <v>269</v>
      </c>
      <c r="C78" s="124" t="s">
        <v>270</v>
      </c>
      <c r="D78" s="112"/>
      <c r="E78" s="124"/>
      <c r="F78" s="117" t="s">
        <v>130</v>
      </c>
      <c r="G78" s="117" t="str">
        <f>IF(OR(Prod[[#This Row],[S1Hrs]]&gt;0,Prod[[#This Row],[S2Hrs]]&gt;0,Prod[[#This Row],[S3Hrs]]&gt;0),"Running","Down")</f>
        <v>Down</v>
      </c>
      <c r="H78" s="133">
        <v>0</v>
      </c>
      <c r="I78" s="134">
        <v>0</v>
      </c>
      <c r="J78" s="123">
        <v>0</v>
      </c>
      <c r="K78" s="123">
        <v>0</v>
      </c>
      <c r="L78" s="106">
        <f>Prod[[#This Row],[S1Shot]]*Prod[[#This Row],[S1Cavity]]-Prod[[#This Row],[S1Dft]]</f>
        <v>0</v>
      </c>
      <c r="M78" s="126">
        <f>SUM(Prod[[#This Row],[S1Mold]],Prod[[#This Row],[S1Dmg]],Prod[[#This Row],[S1DisclrSpt]])</f>
        <v>0</v>
      </c>
      <c r="N78" s="133">
        <v>0</v>
      </c>
      <c r="O78" s="134">
        <v>0</v>
      </c>
      <c r="P78" s="123">
        <v>0</v>
      </c>
      <c r="Q78" s="123">
        <v>0</v>
      </c>
      <c r="R78" s="106">
        <f>Prod[[#This Row],[S2Shot]]*Prod[[#This Row],[S2Cavity]]-Prod[[#This Row],[S2Dft]]</f>
        <v>0</v>
      </c>
      <c r="S78" s="126">
        <f>SUM(Prod[[#This Row],[S2Mold]],Prod[[#This Row],[S2Dmg]],Prod[[#This Row],[S2DisclrSpt]])</f>
        <v>0</v>
      </c>
      <c r="T78" s="133">
        <v>0</v>
      </c>
      <c r="U78" s="134">
        <v>0</v>
      </c>
      <c r="V78" s="123">
        <v>0</v>
      </c>
      <c r="W78" s="123">
        <v>0</v>
      </c>
      <c r="X78" s="106">
        <f>Prod[[#This Row],[S3Shot]]*Prod[[#This Row],[S3Cavity]]-Prod[[#This Row],[S3Dft]]</f>
        <v>0</v>
      </c>
      <c r="Y78" s="126">
        <f>SUM(Prod[[#This Row],[S3Mold]],Prod[[#This Row],[S3Dmg]],Prod[[#This Row],[S3DisclrSpt]])</f>
        <v>0</v>
      </c>
      <c r="Z78" s="106">
        <f>SUM(Prod[[#This Row],[S1Qty]],Prod[[#This Row],[S2Qty]],Prod[[#This Row],[S3Qty]])</f>
        <v>0</v>
      </c>
      <c r="AA78" s="123">
        <f>SUM(Prod[[#This Row],[S1Dft]],Prod[[#This Row],[S2Dft]],Prod[[#This Row],[S3Dft]])</f>
        <v>0</v>
      </c>
      <c r="AB78" s="105">
        <f>IF(Prod[[#This Row],[Total]]=0,0,Prod[[#This Row],[TotalDft]]/Prod[[#This Row],[Total]])</f>
        <v>0</v>
      </c>
      <c r="AC78" s="124"/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21">
        <f>IF(Prod[[#This Row],[S1Hrs]]=0,0,Prod[[#This Row],[S1Shot]]*Prod[[#This Row],[S1Cycle]]/(Prod[[#This Row],[S1Hrs]]*60*60))</f>
        <v>0</v>
      </c>
      <c r="AN78" s="121">
        <f>IF(Prod[[#This Row],[S2Hrs]]=0,0,Prod[[#This Row],[S2Shot]]*Prod[[#This Row],[S2Cycle]]/(Prod[[#This Row],[S2Hrs]]*60*60))</f>
        <v>0</v>
      </c>
      <c r="AO78" s="121">
        <f>IF(Prod[[#This Row],[S3Hrs]]=0,0,Prod[[#This Row],[S3Shot]]*Prod[[#This Row],[S3Cycle]]/(Prod[[#This Row],[S3Hrs]]*60*60))</f>
        <v>0</v>
      </c>
      <c r="AP78" s="121">
        <f>IFERROR(AVERAGEIF(Prod[[#This Row],[S1%]:[S3%]], "&lt;&gt;0"),0)</f>
        <v>0</v>
      </c>
      <c r="AQ78" s="131">
        <v>0</v>
      </c>
      <c r="AR78" s="131">
        <v>0</v>
      </c>
      <c r="AS78" s="131">
        <v>0</v>
      </c>
      <c r="AT78" s="131">
        <f>IF(Prod[[#This Row],[S1Cycle]]&lt;&gt;0,1,0)</f>
        <v>0</v>
      </c>
      <c r="AU78" s="131">
        <f>IF(Prod[[#This Row],[S2Cycle]]&lt;&gt;0,1,0)</f>
        <v>0</v>
      </c>
      <c r="AV78" s="131">
        <f>IF(Prod[[#This Row],[S3Cycle]]&lt;&gt;0,1,0)</f>
        <v>0</v>
      </c>
      <c r="AW78" s="131">
        <f>MAX(Prod[[#This Row],[S1Cavity]],Prod[[#This Row],[S2Cavity]],Prod[[#This Row],[S3Cavity]])</f>
        <v>0</v>
      </c>
    </row>
    <row r="79" spans="1:49" x14ac:dyDescent="0.2">
      <c r="H79"/>
      <c r="I79"/>
      <c r="J79"/>
      <c r="N79"/>
      <c r="O79"/>
      <c r="Q79" s="107"/>
    </row>
    <row r="80" spans="1:49" x14ac:dyDescent="0.2">
      <c r="H80"/>
      <c r="I80"/>
      <c r="J80"/>
      <c r="N80"/>
      <c r="O80"/>
      <c r="V80" s="54"/>
      <c r="W80" s="54"/>
    </row>
    <row r="81" spans="1:38" x14ac:dyDescent="0.2">
      <c r="H81"/>
      <c r="I81"/>
      <c r="J81"/>
      <c r="N81"/>
      <c r="O81"/>
    </row>
    <row r="82" spans="1:38" ht="15" x14ac:dyDescent="0.25">
      <c r="H82"/>
      <c r="I82"/>
      <c r="J82"/>
      <c r="N82"/>
      <c r="O82"/>
      <c r="AD82" s="135"/>
      <c r="AE82" s="135"/>
      <c r="AF82" s="135"/>
      <c r="AG82" s="135"/>
      <c r="AH82" s="135"/>
      <c r="AI82" s="135"/>
      <c r="AJ82" s="135"/>
      <c r="AK82" s="135"/>
      <c r="AL82" s="135"/>
    </row>
    <row r="83" spans="1:38" ht="15" x14ac:dyDescent="0.25">
      <c r="H83"/>
      <c r="I83"/>
      <c r="J83"/>
      <c r="N83"/>
      <c r="O83"/>
      <c r="AD83" s="135"/>
      <c r="AE83" s="135"/>
      <c r="AF83" s="135"/>
      <c r="AG83" s="135"/>
      <c r="AH83" s="135"/>
      <c r="AI83" s="135"/>
      <c r="AJ83" s="135"/>
      <c r="AK83" s="135"/>
      <c r="AL83" s="135"/>
    </row>
    <row r="84" spans="1:38" ht="15" x14ac:dyDescent="0.25">
      <c r="H84"/>
      <c r="I84"/>
      <c r="J84"/>
      <c r="N84"/>
      <c r="O84"/>
      <c r="AD84" s="135"/>
      <c r="AE84" s="135"/>
      <c r="AF84" s="135"/>
      <c r="AG84" s="135"/>
      <c r="AH84" s="135"/>
      <c r="AI84" s="135"/>
      <c r="AJ84" s="135"/>
      <c r="AK84" s="135"/>
      <c r="AL84" s="135"/>
    </row>
    <row r="85" spans="1:38" x14ac:dyDescent="0.2">
      <c r="H85"/>
      <c r="I85"/>
      <c r="J85"/>
      <c r="N85"/>
      <c r="O85"/>
      <c r="Q85" s="107"/>
    </row>
    <row r="86" spans="1:38" x14ac:dyDescent="0.2">
      <c r="H86"/>
      <c r="I86"/>
      <c r="J86"/>
      <c r="N86"/>
      <c r="O86"/>
      <c r="V86" s="54"/>
      <c r="W86" s="54"/>
    </row>
    <row r="87" spans="1:38" x14ac:dyDescent="0.2">
      <c r="H87"/>
      <c r="I87"/>
      <c r="J87"/>
      <c r="N87"/>
      <c r="O87"/>
    </row>
    <row r="88" spans="1:38" x14ac:dyDescent="0.2">
      <c r="H88"/>
      <c r="I88"/>
      <c r="J88"/>
      <c r="N88"/>
      <c r="O88"/>
    </row>
    <row r="89" spans="1:38" x14ac:dyDescent="0.2">
      <c r="H89"/>
      <c r="I89"/>
      <c r="J89"/>
      <c r="N89"/>
      <c r="O89"/>
    </row>
    <row r="90" spans="1:38" x14ac:dyDescent="0.2">
      <c r="A90" s="107"/>
      <c r="H90"/>
      <c r="I90"/>
      <c r="J90"/>
      <c r="N90"/>
      <c r="O90"/>
    </row>
    <row r="91" spans="1:38" x14ac:dyDescent="0.2">
      <c r="H91"/>
      <c r="I91"/>
      <c r="J91"/>
      <c r="N91"/>
      <c r="O91"/>
    </row>
    <row r="92" spans="1:38" x14ac:dyDescent="0.2">
      <c r="H92"/>
      <c r="I92"/>
      <c r="J92"/>
      <c r="N92"/>
      <c r="O92"/>
      <c r="W92" s="54"/>
    </row>
    <row r="93" spans="1:38" x14ac:dyDescent="0.2">
      <c r="H93"/>
      <c r="I93"/>
      <c r="J93"/>
      <c r="N93"/>
      <c r="O93"/>
    </row>
    <row r="94" spans="1:38" x14ac:dyDescent="0.2">
      <c r="H94"/>
      <c r="I94"/>
      <c r="J94"/>
      <c r="N94"/>
      <c r="O94"/>
    </row>
    <row r="95" spans="1:38" x14ac:dyDescent="0.2">
      <c r="H95"/>
      <c r="I95"/>
      <c r="J95"/>
      <c r="N95"/>
      <c r="O95"/>
    </row>
    <row r="96" spans="1:38" x14ac:dyDescent="0.2">
      <c r="H96"/>
      <c r="I96"/>
      <c r="J96"/>
      <c r="N96"/>
      <c r="O96"/>
    </row>
    <row r="98" spans="22:23" x14ac:dyDescent="0.2">
      <c r="V98" s="54"/>
      <c r="W98" s="54"/>
    </row>
    <row r="104" spans="22:23" x14ac:dyDescent="0.2">
      <c r="V104" s="54"/>
      <c r="W104" s="54"/>
    </row>
    <row r="110" spans="22:23" x14ac:dyDescent="0.2">
      <c r="V110" s="54"/>
      <c r="W110" s="54"/>
    </row>
  </sheetData>
  <mergeCells count="3">
    <mergeCell ref="M2:R2"/>
    <mergeCell ref="A2:I2"/>
    <mergeCell ref="AN3:AO3"/>
  </mergeCells>
  <conditionalFormatting sqref="A5:AW78">
    <cfRule type="expression" dxfId="167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I73"/>
  <sheetViews>
    <sheetView zoomScaleNormal="100" workbookViewId="0">
      <pane xSplit="2" ySplit="5" topLeftCell="C28" activePane="bottomRight" state="frozen"/>
      <selection pane="topRight" activeCell="C1" sqref="C1"/>
      <selection pane="bottomLeft" activeCell="A6" sqref="A6"/>
      <selection pane="bottomRight" activeCell="M54" sqref="M54:M59"/>
    </sheetView>
  </sheetViews>
  <sheetFormatPr defaultRowHeight="12.75" x14ac:dyDescent="0.2"/>
  <cols>
    <col min="1" max="1" width="7.28515625" bestFit="1" customWidth="1"/>
    <col min="2" max="2" width="9.5703125" bestFit="1" customWidth="1"/>
    <col min="3" max="3" width="10" bestFit="1" customWidth="1"/>
    <col min="4" max="4" width="8.28515625" bestFit="1" customWidth="1"/>
    <col min="5" max="5" width="19.5703125" customWidth="1"/>
    <col min="6" max="6" width="8.7109375" bestFit="1" customWidth="1"/>
    <col min="7" max="7" width="8.42578125" bestFit="1" customWidth="1"/>
    <col min="8" max="8" width="7.85546875" bestFit="1" customWidth="1"/>
    <col min="9" max="9" width="8.5703125" bestFit="1" customWidth="1"/>
    <col min="10" max="10" width="7.85546875" bestFit="1" customWidth="1"/>
    <col min="11" max="11" width="10.7109375" bestFit="1" customWidth="1"/>
    <col min="12" max="12" width="7.85546875" bestFit="1" customWidth="1"/>
    <col min="13" max="13" width="7.7109375" bestFit="1" customWidth="1"/>
    <col min="14" max="14" width="10.140625" bestFit="1" customWidth="1"/>
    <col min="15" max="15" width="8.5703125" bestFit="1" customWidth="1"/>
    <col min="16" max="16" width="56.28515625" bestFit="1" customWidth="1"/>
    <col min="17" max="17" width="10.5703125" bestFit="1" customWidth="1"/>
    <col min="18" max="18" width="11.42578125" bestFit="1" customWidth="1"/>
    <col min="19" max="19" width="10" bestFit="1" customWidth="1"/>
    <col min="20" max="21" width="10.42578125" bestFit="1" customWidth="1"/>
    <col min="22" max="22" width="11.28515625" bestFit="1" customWidth="1"/>
    <col min="23" max="24" width="9.7109375" bestFit="1" customWidth="1"/>
    <col min="25" max="25" width="10.7109375" bestFit="1" customWidth="1"/>
    <col min="26" max="26" width="9.140625" bestFit="1" customWidth="1"/>
    <col min="27" max="28" width="12.5703125" bestFit="1" customWidth="1"/>
    <col min="29" max="29" width="10.5703125" bestFit="1" customWidth="1"/>
    <col min="30" max="30" width="8.85546875" bestFit="1" customWidth="1"/>
    <col min="31" max="31" width="9.85546875" bestFit="1" customWidth="1"/>
    <col min="32" max="32" width="10.5703125" bestFit="1" customWidth="1"/>
    <col min="33" max="33" width="11.42578125" bestFit="1" customWidth="1"/>
    <col min="34" max="34" width="10" bestFit="1" customWidth="1"/>
    <col min="35" max="36" width="10.42578125" bestFit="1" customWidth="1"/>
    <col min="37" max="37" width="11.28515625" bestFit="1" customWidth="1"/>
    <col min="38" max="39" width="9.7109375" bestFit="1" customWidth="1"/>
    <col min="40" max="40" width="10.7109375" bestFit="1" customWidth="1"/>
    <col min="41" max="41" width="9.140625" bestFit="1" customWidth="1"/>
    <col min="42" max="43" width="12.5703125" bestFit="1" customWidth="1"/>
    <col min="44" max="44" width="10.5703125" bestFit="1" customWidth="1"/>
    <col min="45" max="45" width="8.85546875" bestFit="1" customWidth="1"/>
    <col min="46" max="46" width="9.85546875" bestFit="1" customWidth="1"/>
    <col min="47" max="47" width="10.5703125" bestFit="1" customWidth="1"/>
    <col min="48" max="48" width="11.42578125" bestFit="1" customWidth="1"/>
    <col min="49" max="49" width="10" bestFit="1" customWidth="1"/>
    <col min="50" max="51" width="10.42578125" bestFit="1" customWidth="1"/>
    <col min="52" max="52" width="11.28515625" bestFit="1" customWidth="1"/>
    <col min="53" max="54" width="9.7109375" bestFit="1" customWidth="1"/>
    <col min="55" max="55" width="10.7109375" bestFit="1" customWidth="1"/>
    <col min="56" max="56" width="9.140625" bestFit="1" customWidth="1"/>
    <col min="57" max="58" width="12.5703125" bestFit="1" customWidth="1"/>
    <col min="59" max="59" width="10.5703125" bestFit="1" customWidth="1"/>
    <col min="60" max="60" width="8.85546875" bestFit="1" customWidth="1"/>
    <col min="61" max="61" width="9.85546875" bestFit="1" customWidth="1"/>
  </cols>
  <sheetData>
    <row r="1" spans="1:61" x14ac:dyDescent="0.2">
      <c r="L1" s="6"/>
    </row>
    <row r="2" spans="1:61" ht="27.75" thickBot="1" x14ac:dyDescent="0.4">
      <c r="A2" s="227" t="s">
        <v>59</v>
      </c>
      <c r="B2" s="227"/>
      <c r="C2" s="227"/>
      <c r="D2" s="227"/>
      <c r="E2" s="227"/>
      <c r="F2" s="227"/>
      <c r="G2" s="227"/>
      <c r="H2" s="227"/>
      <c r="I2" s="227"/>
      <c r="J2" s="227"/>
      <c r="K2" s="89" t="s">
        <v>18</v>
      </c>
      <c r="L2" s="226">
        <f>$A$6</f>
        <v>45413</v>
      </c>
      <c r="M2" s="226"/>
      <c r="N2" s="226"/>
      <c r="O2" s="226"/>
      <c r="Q2" s="6"/>
      <c r="R2" s="5"/>
      <c r="S2" s="19"/>
      <c r="T2" s="7"/>
      <c r="U2" s="7"/>
      <c r="V2" s="6"/>
      <c r="W2" s="6"/>
    </row>
    <row r="3" spans="1:61" ht="12.6" customHeight="1" thickTop="1" x14ac:dyDescent="0.25">
      <c r="B3" s="1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5" spans="1:61" x14ac:dyDescent="0.2">
      <c r="A5" s="103" t="s">
        <v>147</v>
      </c>
      <c r="B5" s="103" t="s">
        <v>131</v>
      </c>
      <c r="C5" s="103" t="s">
        <v>0</v>
      </c>
      <c r="D5" s="103" t="s">
        <v>10</v>
      </c>
      <c r="E5" s="103" t="s">
        <v>12</v>
      </c>
      <c r="F5" s="103" t="s">
        <v>5</v>
      </c>
      <c r="G5" s="103" t="s">
        <v>136</v>
      </c>
      <c r="H5" s="103" t="s">
        <v>156</v>
      </c>
      <c r="I5" s="103" t="s">
        <v>141</v>
      </c>
      <c r="J5" s="103" t="s">
        <v>157</v>
      </c>
      <c r="K5" s="103" t="s">
        <v>146</v>
      </c>
      <c r="L5" s="103" t="s">
        <v>158</v>
      </c>
      <c r="M5" s="103" t="s">
        <v>26</v>
      </c>
      <c r="N5" s="103" t="s">
        <v>159</v>
      </c>
      <c r="O5" s="103" t="s">
        <v>160</v>
      </c>
      <c r="P5" s="125" t="s">
        <v>243</v>
      </c>
      <c r="Q5" s="103" t="s">
        <v>161</v>
      </c>
      <c r="R5" s="103" t="s">
        <v>162</v>
      </c>
      <c r="S5" s="103" t="s">
        <v>163</v>
      </c>
      <c r="T5" s="103" t="s">
        <v>164</v>
      </c>
      <c r="U5" s="103" t="s">
        <v>165</v>
      </c>
      <c r="V5" s="103" t="s">
        <v>212</v>
      </c>
      <c r="W5" s="103" t="s">
        <v>166</v>
      </c>
      <c r="X5" s="103" t="s">
        <v>153</v>
      </c>
      <c r="Y5" s="103" t="s">
        <v>167</v>
      </c>
      <c r="Z5" s="103" t="s">
        <v>168</v>
      </c>
      <c r="AA5" s="103" t="s">
        <v>169</v>
      </c>
      <c r="AB5" s="103" t="s">
        <v>170</v>
      </c>
      <c r="AC5" s="103" t="s">
        <v>171</v>
      </c>
      <c r="AD5" s="103" t="s">
        <v>203</v>
      </c>
      <c r="AE5" s="103" t="s">
        <v>172</v>
      </c>
      <c r="AF5" s="103" t="s">
        <v>173</v>
      </c>
      <c r="AG5" s="103" t="s">
        <v>174</v>
      </c>
      <c r="AH5" s="103" t="s">
        <v>175</v>
      </c>
      <c r="AI5" s="103" t="s">
        <v>176</v>
      </c>
      <c r="AJ5" s="103" t="s">
        <v>177</v>
      </c>
      <c r="AK5" s="103" t="s">
        <v>213</v>
      </c>
      <c r="AL5" s="103" t="s">
        <v>178</v>
      </c>
      <c r="AM5" s="103" t="s">
        <v>154</v>
      </c>
      <c r="AN5" s="103" t="s">
        <v>179</v>
      </c>
      <c r="AO5" s="103" t="s">
        <v>180</v>
      </c>
      <c r="AP5" s="103" t="s">
        <v>181</v>
      </c>
      <c r="AQ5" s="103" t="s">
        <v>182</v>
      </c>
      <c r="AR5" s="103" t="s">
        <v>183</v>
      </c>
      <c r="AS5" s="103" t="s">
        <v>204</v>
      </c>
      <c r="AT5" s="103" t="s">
        <v>184</v>
      </c>
      <c r="AU5" s="103" t="s">
        <v>185</v>
      </c>
      <c r="AV5" s="103" t="s">
        <v>186</v>
      </c>
      <c r="AW5" s="103" t="s">
        <v>187</v>
      </c>
      <c r="AX5" s="103" t="s">
        <v>188</v>
      </c>
      <c r="AY5" s="103" t="s">
        <v>189</v>
      </c>
      <c r="AZ5" s="103" t="s">
        <v>214</v>
      </c>
      <c r="BA5" s="103" t="s">
        <v>190</v>
      </c>
      <c r="BB5" s="103" t="s">
        <v>155</v>
      </c>
      <c r="BC5" s="103" t="s">
        <v>191</v>
      </c>
      <c r="BD5" s="103" t="s">
        <v>192</v>
      </c>
      <c r="BE5" s="103" t="s">
        <v>193</v>
      </c>
      <c r="BF5" s="103" t="s">
        <v>194</v>
      </c>
      <c r="BG5" s="103" t="s">
        <v>195</v>
      </c>
      <c r="BH5" s="103" t="s">
        <v>205</v>
      </c>
      <c r="BI5" s="103" t="s">
        <v>196</v>
      </c>
    </row>
    <row r="6" spans="1:61" x14ac:dyDescent="0.2">
      <c r="A6" s="116">
        <v>45413</v>
      </c>
      <c r="B6" s="117" t="s">
        <v>64</v>
      </c>
      <c r="C6" s="124" t="s">
        <v>266</v>
      </c>
      <c r="D6" s="112"/>
      <c r="E6" s="124" t="s">
        <v>267</v>
      </c>
      <c r="F6" s="112" t="str">
        <f>IF(HTL[[#This Row],[Total]]&gt;0,"Running","Down")</f>
        <v>Down</v>
      </c>
      <c r="G6" s="106">
        <v>0</v>
      </c>
      <c r="H6" s="106">
        <f>SUM(HTL[[#This Row],[S1Disclr]]:HTL[[#This Row],[S1Print]])</f>
        <v>0</v>
      </c>
      <c r="I6" s="106">
        <v>0</v>
      </c>
      <c r="J6" s="106">
        <f>SUM(HTL[[#This Row],[S2Disclr]]:HTL[[#This Row],[S2Print]])</f>
        <v>0</v>
      </c>
      <c r="K6" s="106">
        <v>0</v>
      </c>
      <c r="L6" s="106">
        <f>SUM(HTL[[#This Row],[S3Disclr]]:HTL[[#This Row],[S3Print]])</f>
        <v>0</v>
      </c>
      <c r="M6" s="106">
        <f>SUM(HTL[[#This Row],[S1Qty]],HTL[[#This Row],[S2Qty]],HTL[[#This Row],[S3Qty]])-HTL[[#This Row],[TotalDft]]</f>
        <v>0</v>
      </c>
      <c r="N6" s="106">
        <f>SUM(HTL[[#This Row],[S1Dft]],HTL[[#This Row],[S2Dft]],HTL[[#This Row],[S3Dft]])</f>
        <v>0</v>
      </c>
      <c r="O6" s="105">
        <f>IF(HTL[[#This Row],[Total]]=0,0,HTL[[#This Row],[TotalDft]]/HTL[[#This Row],[Total]])</f>
        <v>0</v>
      </c>
      <c r="P6" s="124"/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</row>
    <row r="7" spans="1:61" x14ac:dyDescent="0.2">
      <c r="A7" s="116">
        <v>45413</v>
      </c>
      <c r="B7" s="117" t="s">
        <v>69</v>
      </c>
      <c r="C7" s="124" t="s">
        <v>223</v>
      </c>
      <c r="D7" s="112"/>
      <c r="E7" s="124" t="s">
        <v>256</v>
      </c>
      <c r="F7" s="112" t="str">
        <f>IF(HTL[[#This Row],[Total]]&gt;0,"Running","Down")</f>
        <v>Down</v>
      </c>
      <c r="G7" s="106">
        <v>0</v>
      </c>
      <c r="H7" s="106">
        <f>SUM(HTL[[#This Row],[S1Disclr]]:HTL[[#This Row],[S1Print]])</f>
        <v>0</v>
      </c>
      <c r="I7" s="106">
        <v>0</v>
      </c>
      <c r="J7" s="106">
        <f>SUM(HTL[[#This Row],[S2Disclr]]:HTL[[#This Row],[S2Print]])</f>
        <v>0</v>
      </c>
      <c r="K7" s="106">
        <v>0</v>
      </c>
      <c r="L7" s="106">
        <f>SUM(HTL[[#This Row],[S3Disclr]]:HTL[[#This Row],[S3Print]])</f>
        <v>0</v>
      </c>
      <c r="M7" s="106">
        <f>SUM(HTL[[#This Row],[S1Qty]],HTL[[#This Row],[S2Qty]],HTL[[#This Row],[S3Qty]])-HTL[[#This Row],[TotalDft]]</f>
        <v>0</v>
      </c>
      <c r="N7" s="106">
        <f>SUM(HTL[[#This Row],[S1Dft]],HTL[[#This Row],[S2Dft]],HTL[[#This Row],[S3Dft]])</f>
        <v>0</v>
      </c>
      <c r="O7" s="111">
        <f>IF(HTL[[#This Row],[Total]]=0,0,HTL[[#This Row],[TotalDft]]/HTL[[#This Row],[Total]])</f>
        <v>0</v>
      </c>
      <c r="P7" s="124"/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</row>
    <row r="8" spans="1:61" x14ac:dyDescent="0.2">
      <c r="A8" s="116">
        <v>45413</v>
      </c>
      <c r="B8" s="117" t="s">
        <v>68</v>
      </c>
      <c r="C8" s="124" t="s">
        <v>234</v>
      </c>
      <c r="D8" s="112">
        <v>26455</v>
      </c>
      <c r="E8" s="124" t="s">
        <v>197</v>
      </c>
      <c r="F8" s="112" t="str">
        <f>IF(HTL[[#This Row],[Total]]&gt;0,"Running","Down")</f>
        <v>Running</v>
      </c>
      <c r="G8" s="106">
        <v>6833</v>
      </c>
      <c r="H8" s="106">
        <f>SUM(HTL[[#This Row],[S1Disclr]]:HTL[[#This Row],[S1Print]])</f>
        <v>0</v>
      </c>
      <c r="I8" s="106">
        <v>6478</v>
      </c>
      <c r="J8" s="106">
        <f>SUM(HTL[[#This Row],[S2Disclr]]:HTL[[#This Row],[S2Print]])</f>
        <v>2</v>
      </c>
      <c r="K8" s="106">
        <v>6910</v>
      </c>
      <c r="L8" s="106">
        <f>SUM(HTL[[#This Row],[S3Disclr]]:HTL[[#This Row],[S3Print]])</f>
        <v>11</v>
      </c>
      <c r="M8" s="106">
        <f>SUM(HTL[[#This Row],[S1Qty]],HTL[[#This Row],[S2Qty]],HTL[[#This Row],[S3Qty]])-HTL[[#This Row],[TotalDft]]</f>
        <v>20208</v>
      </c>
      <c r="N8" s="106">
        <f>SUM(HTL[[#This Row],[S1Dft]],HTL[[#This Row],[S2Dft]],HTL[[#This Row],[S3Dft]])</f>
        <v>13</v>
      </c>
      <c r="O8" s="111">
        <f>IF(HTL[[#This Row],[Total]]=0,0,HTL[[#This Row],[TotalDft]]/HTL[[#This Row],[Total]])</f>
        <v>6.433095803642122E-4</v>
      </c>
      <c r="P8" s="124"/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2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4</v>
      </c>
      <c r="BA8" s="106">
        <v>3</v>
      </c>
      <c r="BB8" s="106">
        <v>0</v>
      </c>
      <c r="BC8" s="106">
        <v>0</v>
      </c>
      <c r="BD8" s="106">
        <v>0</v>
      </c>
      <c r="BE8" s="106">
        <v>1</v>
      </c>
      <c r="BF8" s="106">
        <v>0</v>
      </c>
      <c r="BG8" s="106">
        <v>0</v>
      </c>
      <c r="BH8" s="106">
        <v>2</v>
      </c>
      <c r="BI8" s="106">
        <v>1</v>
      </c>
    </row>
    <row r="9" spans="1:61" x14ac:dyDescent="0.2">
      <c r="A9" s="116">
        <v>45413</v>
      </c>
      <c r="B9" s="117" t="s">
        <v>115</v>
      </c>
      <c r="C9" s="124" t="s">
        <v>234</v>
      </c>
      <c r="D9" s="112">
        <v>26455</v>
      </c>
      <c r="E9" s="124" t="s">
        <v>197</v>
      </c>
      <c r="F9" s="112" t="str">
        <f>IF(HTL[[#This Row],[Total]]&gt;0,"Running","Down")</f>
        <v>Running</v>
      </c>
      <c r="G9" s="106">
        <v>8425</v>
      </c>
      <c r="H9" s="106">
        <f>SUM(HTL[[#This Row],[S1Disclr]]:HTL[[#This Row],[S1Print]])</f>
        <v>0</v>
      </c>
      <c r="I9" s="106">
        <v>8032</v>
      </c>
      <c r="J9" s="106">
        <f>SUM(HTL[[#This Row],[S2Disclr]]:HTL[[#This Row],[S2Print]])</f>
        <v>6</v>
      </c>
      <c r="K9" s="106">
        <v>7772</v>
      </c>
      <c r="L9" s="106">
        <f>SUM(HTL[[#This Row],[S3Disclr]]:HTL[[#This Row],[S3Print]])</f>
        <v>19</v>
      </c>
      <c r="M9" s="106">
        <f>SUM(HTL[[#This Row],[S1Qty]],HTL[[#This Row],[S2Qty]],HTL[[#This Row],[S3Qty]])-HTL[[#This Row],[TotalDft]]</f>
        <v>24204</v>
      </c>
      <c r="N9" s="106">
        <f>SUM(HTL[[#This Row],[S1Dft]],HTL[[#This Row],[S2Dft]],HTL[[#This Row],[S3Dft]])</f>
        <v>25</v>
      </c>
      <c r="O9" s="111">
        <f>IF(HTL[[#This Row],[Total]]=0,0,HTL[[#This Row],[TotalDft]]/HTL[[#This Row],[Total]])</f>
        <v>1.0328871260948604E-3</v>
      </c>
      <c r="P9" s="124"/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6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1</v>
      </c>
      <c r="BA9" s="106">
        <v>1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14</v>
      </c>
      <c r="BI9" s="106">
        <v>3</v>
      </c>
    </row>
    <row r="10" spans="1:61" x14ac:dyDescent="0.2">
      <c r="A10" s="116">
        <v>45413</v>
      </c>
      <c r="B10" s="124" t="s">
        <v>232</v>
      </c>
      <c r="C10" s="124" t="s">
        <v>233</v>
      </c>
      <c r="D10" s="124">
        <v>25508</v>
      </c>
      <c r="E10" s="124" t="s">
        <v>198</v>
      </c>
      <c r="F10" s="112" t="str">
        <f>IF(HTL[[#This Row],[Total]]&gt;0,"Running","Down")</f>
        <v>Running</v>
      </c>
      <c r="G10" s="106">
        <v>6877</v>
      </c>
      <c r="H10" s="106">
        <f>SUM(HTL[[#This Row],[S1Disclr]]:HTL[[#This Row],[S1Print]])</f>
        <v>0</v>
      </c>
      <c r="I10" s="106">
        <v>6117</v>
      </c>
      <c r="J10" s="106">
        <f>SUM(HTL[[#This Row],[S2Disclr]]:HTL[[#This Row],[S2Print]])</f>
        <v>14</v>
      </c>
      <c r="K10" s="106">
        <v>7093</v>
      </c>
      <c r="L10" s="106">
        <f>SUM(HTL[[#This Row],[S3Disclr]]:HTL[[#This Row],[S3Print]])</f>
        <v>31</v>
      </c>
      <c r="M10" s="106">
        <f>SUM(HTL[[#This Row],[S1Qty]],HTL[[#This Row],[S2Qty]],HTL[[#This Row],[S3Qty]])-HTL[[#This Row],[TotalDft]]</f>
        <v>20042</v>
      </c>
      <c r="N10" s="106">
        <f>SUM(HTL[[#This Row],[S1Dft]],HTL[[#This Row],[S2Dft]],HTL[[#This Row],[S3Dft]])</f>
        <v>45</v>
      </c>
      <c r="O10" s="111">
        <f>IF(HTL[[#This Row],[Total]]=0,0,HTL[[#This Row],[TotalDft]]/HTL[[#This Row],[Total]])</f>
        <v>2.2452849017064167E-3</v>
      </c>
      <c r="P10" s="124"/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14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4</v>
      </c>
      <c r="BH10" s="106">
        <v>0</v>
      </c>
      <c r="BI10" s="106">
        <v>27</v>
      </c>
    </row>
    <row r="11" spans="1:61" x14ac:dyDescent="0.2">
      <c r="A11" s="116">
        <v>45413</v>
      </c>
      <c r="B11" s="124" t="s">
        <v>271</v>
      </c>
      <c r="C11" s="124" t="s">
        <v>270</v>
      </c>
      <c r="D11" s="112">
        <v>26976</v>
      </c>
      <c r="E11" s="124" t="s">
        <v>272</v>
      </c>
      <c r="F11" s="112" t="str">
        <f>IF(HTL[[#This Row],[Total]]&gt;0,"Running","Down")</f>
        <v>Running</v>
      </c>
      <c r="G11" s="106">
        <v>0</v>
      </c>
      <c r="H11" s="106">
        <f>SUM(HTL[[#This Row],[S1Disclr]]:HTL[[#This Row],[S1Print]])</f>
        <v>0</v>
      </c>
      <c r="I11" s="106">
        <v>1754</v>
      </c>
      <c r="J11" s="106">
        <f>SUM(HTL[[#This Row],[S2Disclr]]:HTL[[#This Row],[S2Print]])</f>
        <v>7</v>
      </c>
      <c r="K11" s="106">
        <v>1012</v>
      </c>
      <c r="L11" s="106">
        <f>SUM(HTL[[#This Row],[S3Disclr]]:HTL[[#This Row],[S3Print]])</f>
        <v>8</v>
      </c>
      <c r="M11" s="106">
        <f>SUM(HTL[[#This Row],[S1Qty]],HTL[[#This Row],[S2Qty]],HTL[[#This Row],[S3Qty]])-HTL[[#This Row],[TotalDft]]</f>
        <v>2751</v>
      </c>
      <c r="N11" s="106">
        <f>SUM(HTL[[#This Row],[S1Dft]],HTL[[#This Row],[S2Dft]],HTL[[#This Row],[S3Dft]])</f>
        <v>15</v>
      </c>
      <c r="O11" s="111">
        <f>IF(HTL[[#This Row],[Total]]=0,0,HTL[[#This Row],[TotalDft]]/HTL[[#This Row],[Total]])</f>
        <v>5.4525627044711015E-3</v>
      </c>
      <c r="P11" s="124"/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7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8</v>
      </c>
    </row>
    <row r="12" spans="1:61" x14ac:dyDescent="0.2">
      <c r="A12" s="116">
        <v>45414</v>
      </c>
      <c r="B12" s="117" t="s">
        <v>64</v>
      </c>
      <c r="C12" s="124" t="s">
        <v>266</v>
      </c>
      <c r="D12" s="112">
        <v>27328</v>
      </c>
      <c r="E12" s="124" t="s">
        <v>267</v>
      </c>
      <c r="F12" s="112" t="str">
        <f>IF(HTL[[#This Row],[Total]]&gt;0,"Running","Down")</f>
        <v>Running</v>
      </c>
      <c r="G12" s="106">
        <v>3929</v>
      </c>
      <c r="H12" s="106">
        <f>SUM(HTL[[#This Row],[S1Disclr]]:HTL[[#This Row],[S1Print]])</f>
        <v>4</v>
      </c>
      <c r="I12" s="106">
        <v>4816</v>
      </c>
      <c r="J12" s="106">
        <f>SUM(HTL[[#This Row],[S2Disclr]]:HTL[[#This Row],[S2Print]])</f>
        <v>4</v>
      </c>
      <c r="K12" s="106">
        <v>5027</v>
      </c>
      <c r="L12" s="106">
        <f>SUM(HTL[[#This Row],[S3Disclr]]:HTL[[#This Row],[S3Print]])</f>
        <v>29</v>
      </c>
      <c r="M12" s="106">
        <f>SUM(HTL[[#This Row],[S1Qty]],HTL[[#This Row],[S2Qty]],HTL[[#This Row],[S3Qty]])-HTL[[#This Row],[TotalDft]]</f>
        <v>13735</v>
      </c>
      <c r="N12" s="106">
        <f>SUM(HTL[[#This Row],[S1Dft]],HTL[[#This Row],[S2Dft]],HTL[[#This Row],[S3Dft]])</f>
        <v>37</v>
      </c>
      <c r="O12" s="105">
        <f>IF(HTL[[#This Row],[Total]]=0,0,HTL[[#This Row],[TotalDft]]/HTL[[#This Row],[Total]])</f>
        <v>2.6938478340007279E-3</v>
      </c>
      <c r="P12" s="124" t="s">
        <v>284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4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4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29</v>
      </c>
    </row>
    <row r="13" spans="1:61" x14ac:dyDescent="0.2">
      <c r="A13" s="116">
        <v>45414</v>
      </c>
      <c r="B13" s="117" t="s">
        <v>69</v>
      </c>
      <c r="C13" s="124" t="s">
        <v>223</v>
      </c>
      <c r="D13" s="112">
        <v>26969</v>
      </c>
      <c r="E13" s="124" t="s">
        <v>256</v>
      </c>
      <c r="F13" s="112" t="str">
        <f>IF(HTL[[#This Row],[Total]]&gt;0,"Running","Down")</f>
        <v>Running</v>
      </c>
      <c r="G13" s="106">
        <v>4788</v>
      </c>
      <c r="H13" s="106">
        <f>SUM(HTL[[#This Row],[S1Disclr]]:HTL[[#This Row],[S1Print]])</f>
        <v>0</v>
      </c>
      <c r="I13" s="106">
        <v>0</v>
      </c>
      <c r="J13" s="106">
        <f>SUM(HTL[[#This Row],[S2Disclr]]:HTL[[#This Row],[S2Print]])</f>
        <v>0</v>
      </c>
      <c r="K13" s="106">
        <v>0</v>
      </c>
      <c r="L13" s="106">
        <f>SUM(HTL[[#This Row],[S3Disclr]]:HTL[[#This Row],[S3Print]])</f>
        <v>0</v>
      </c>
      <c r="M13" s="106">
        <f>SUM(HTL[[#This Row],[S1Qty]],HTL[[#This Row],[S2Qty]],HTL[[#This Row],[S3Qty]])-HTL[[#This Row],[TotalDft]]</f>
        <v>4788</v>
      </c>
      <c r="N13" s="106">
        <f>SUM(HTL[[#This Row],[S1Dft]],HTL[[#This Row],[S2Dft]],HTL[[#This Row],[S3Dft]])</f>
        <v>0</v>
      </c>
      <c r="O13" s="111">
        <f>IF(HTL[[#This Row],[Total]]=0,0,HTL[[#This Row],[TotalDft]]/HTL[[#This Row],[Total]])</f>
        <v>0</v>
      </c>
      <c r="P13" s="124" t="s">
        <v>287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</row>
    <row r="14" spans="1:61" x14ac:dyDescent="0.2">
      <c r="A14" s="116">
        <v>45414</v>
      </c>
      <c r="B14" s="117" t="s">
        <v>68</v>
      </c>
      <c r="C14" s="124" t="s">
        <v>234</v>
      </c>
      <c r="D14" s="112">
        <v>26455</v>
      </c>
      <c r="E14" s="124" t="s">
        <v>197</v>
      </c>
      <c r="F14" s="112" t="str">
        <f>IF(HTL[[#This Row],[Total]]&gt;0,"Running","Down")</f>
        <v>Running</v>
      </c>
      <c r="G14" s="106">
        <v>6855</v>
      </c>
      <c r="H14" s="106">
        <f>SUM(HTL[[#This Row],[S1Disclr]]:HTL[[#This Row],[S1Print]])</f>
        <v>0</v>
      </c>
      <c r="I14" s="106">
        <v>7110</v>
      </c>
      <c r="J14" s="106">
        <f>SUM(HTL[[#This Row],[S2Disclr]]:HTL[[#This Row],[S2Print]])</f>
        <v>0</v>
      </c>
      <c r="K14" s="106">
        <v>6931</v>
      </c>
      <c r="L14" s="106">
        <f>SUM(HTL[[#This Row],[S3Disclr]]:HTL[[#This Row],[S3Print]])</f>
        <v>5</v>
      </c>
      <c r="M14" s="106">
        <f>SUM(HTL[[#This Row],[S1Qty]],HTL[[#This Row],[S2Qty]],HTL[[#This Row],[S3Qty]])-HTL[[#This Row],[TotalDft]]</f>
        <v>20891</v>
      </c>
      <c r="N14" s="106">
        <f>SUM(HTL[[#This Row],[S1Dft]],HTL[[#This Row],[S2Dft]],HTL[[#This Row],[S3Dft]])</f>
        <v>5</v>
      </c>
      <c r="O14" s="111">
        <f>IF(HTL[[#This Row],[Total]]=0,0,HTL[[#This Row],[TotalDft]]/HTL[[#This Row],[Total]])</f>
        <v>2.3933751376190704E-4</v>
      </c>
      <c r="P14" s="124"/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1</v>
      </c>
      <c r="AY14" s="106">
        <v>0</v>
      </c>
      <c r="AZ14" s="106">
        <v>1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3</v>
      </c>
      <c r="BI14" s="106">
        <v>0</v>
      </c>
    </row>
    <row r="15" spans="1:61" x14ac:dyDescent="0.2">
      <c r="A15" s="116">
        <v>45414</v>
      </c>
      <c r="B15" s="117" t="s">
        <v>115</v>
      </c>
      <c r="C15" s="124" t="s">
        <v>234</v>
      </c>
      <c r="D15" s="112">
        <v>26455</v>
      </c>
      <c r="E15" s="124" t="s">
        <v>197</v>
      </c>
      <c r="F15" s="112" t="str">
        <f>IF(HTL[[#This Row],[Total]]&gt;0,"Running","Down")</f>
        <v>Running</v>
      </c>
      <c r="G15" s="106">
        <v>7749</v>
      </c>
      <c r="H15" s="106">
        <f>SUM(HTL[[#This Row],[S1Disclr]]:HTL[[#This Row],[S1Print]])</f>
        <v>0</v>
      </c>
      <c r="I15" s="106">
        <v>8063</v>
      </c>
      <c r="J15" s="106">
        <f>SUM(HTL[[#This Row],[S2Disclr]]:HTL[[#This Row],[S2Print]])</f>
        <v>0</v>
      </c>
      <c r="K15" s="106">
        <v>9006</v>
      </c>
      <c r="L15" s="106">
        <f>SUM(HTL[[#This Row],[S3Disclr]]:HTL[[#This Row],[S3Print]])</f>
        <v>2</v>
      </c>
      <c r="M15" s="106">
        <f>SUM(HTL[[#This Row],[S1Qty]],HTL[[#This Row],[S2Qty]],HTL[[#This Row],[S3Qty]])-HTL[[#This Row],[TotalDft]]</f>
        <v>24816</v>
      </c>
      <c r="N15" s="106">
        <f>SUM(HTL[[#This Row],[S1Dft]],HTL[[#This Row],[S2Dft]],HTL[[#This Row],[S3Dft]])</f>
        <v>2</v>
      </c>
      <c r="O15" s="111">
        <f>IF(HTL[[#This Row],[Total]]=0,0,HTL[[#This Row],[TotalDft]]/HTL[[#This Row],[Total]])</f>
        <v>8.0593165699548679E-5</v>
      </c>
      <c r="P15" s="124" t="s">
        <v>285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2</v>
      </c>
    </row>
    <row r="16" spans="1:61" x14ac:dyDescent="0.2">
      <c r="A16" s="116">
        <v>45414</v>
      </c>
      <c r="B16" s="124" t="s">
        <v>232</v>
      </c>
      <c r="C16" s="124" t="s">
        <v>233</v>
      </c>
      <c r="D16" s="124">
        <v>25508</v>
      </c>
      <c r="E16" s="124" t="s">
        <v>198</v>
      </c>
      <c r="F16" s="112" t="str">
        <f>IF(HTL[[#This Row],[Total]]&gt;0,"Running","Down")</f>
        <v>Running</v>
      </c>
      <c r="G16" s="106">
        <v>7065</v>
      </c>
      <c r="H16" s="106">
        <f>SUM(HTL[[#This Row],[S1Disclr]]:HTL[[#This Row],[S1Print]])</f>
        <v>0</v>
      </c>
      <c r="I16" s="106">
        <v>6340</v>
      </c>
      <c r="J16" s="106">
        <f>SUM(HTL[[#This Row],[S2Disclr]]:HTL[[#This Row],[S2Print]])</f>
        <v>12</v>
      </c>
      <c r="K16" s="106">
        <v>7004</v>
      </c>
      <c r="L16" s="106">
        <f>SUM(HTL[[#This Row],[S3Disclr]]:HTL[[#This Row],[S3Print]])</f>
        <v>12</v>
      </c>
      <c r="M16" s="106">
        <f>SUM(HTL[[#This Row],[S1Qty]],HTL[[#This Row],[S2Qty]],HTL[[#This Row],[S3Qty]])-HTL[[#This Row],[TotalDft]]</f>
        <v>20385</v>
      </c>
      <c r="N16" s="106">
        <f>SUM(HTL[[#This Row],[S1Dft]],HTL[[#This Row],[S2Dft]],HTL[[#This Row],[S3Dft]])</f>
        <v>24</v>
      </c>
      <c r="O16" s="111">
        <f>IF(HTL[[#This Row],[Total]]=0,0,HTL[[#This Row],[TotalDft]]/HTL[[#This Row],[Total]])</f>
        <v>1.177336276674025E-3</v>
      </c>
      <c r="P16" s="124" t="s">
        <v>286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/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12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12</v>
      </c>
    </row>
    <row r="17" spans="1:61" x14ac:dyDescent="0.2">
      <c r="A17" s="116">
        <v>45414</v>
      </c>
      <c r="B17" s="124" t="s">
        <v>271</v>
      </c>
      <c r="C17" s="124" t="s">
        <v>270</v>
      </c>
      <c r="D17" s="112">
        <v>26976</v>
      </c>
      <c r="E17" s="124" t="s">
        <v>272</v>
      </c>
      <c r="F17" s="112" t="str">
        <f>IF(HTL[[#This Row],[Total]]&gt;0,"Running","Down")</f>
        <v>Running</v>
      </c>
      <c r="G17" s="106">
        <v>0</v>
      </c>
      <c r="H17" s="106">
        <f>SUM(HTL[[#This Row],[S1Disclr]]:HTL[[#This Row],[S1Print]])</f>
        <v>0</v>
      </c>
      <c r="I17" s="106">
        <v>964</v>
      </c>
      <c r="J17" s="106">
        <f>SUM(HTL[[#This Row],[S2Disclr]]:HTL[[#This Row],[S2Print]])</f>
        <v>7</v>
      </c>
      <c r="K17" s="106">
        <v>970</v>
      </c>
      <c r="L17" s="106">
        <f>SUM(HTL[[#This Row],[S3Disclr]]:HTL[[#This Row],[S3Print]])</f>
        <v>27</v>
      </c>
      <c r="M17" s="106">
        <f>SUM(HTL[[#This Row],[S1Qty]],HTL[[#This Row],[S2Qty]],HTL[[#This Row],[S3Qty]])-HTL[[#This Row],[TotalDft]]</f>
        <v>1900</v>
      </c>
      <c r="N17" s="106">
        <f>SUM(HTL[[#This Row],[S1Dft]],HTL[[#This Row],[S2Dft]],HTL[[#This Row],[S3Dft]])</f>
        <v>34</v>
      </c>
      <c r="O17" s="111">
        <f>IF(HTL[[#This Row],[Total]]=0,0,HTL[[#This Row],[TotalDft]]/HTL[[#This Row],[Total]])</f>
        <v>1.7894736842105262E-2</v>
      </c>
      <c r="P17" s="124"/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/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7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27</v>
      </c>
    </row>
    <row r="18" spans="1:61" x14ac:dyDescent="0.2">
      <c r="A18" s="116">
        <v>45415</v>
      </c>
      <c r="B18" s="117" t="s">
        <v>64</v>
      </c>
      <c r="C18" s="124" t="s">
        <v>266</v>
      </c>
      <c r="D18" s="112"/>
      <c r="E18" s="112" t="s">
        <v>267</v>
      </c>
      <c r="F18" s="112" t="str">
        <f>IF(HTL[[#This Row],[Total]]&gt;0,"Running","Down")</f>
        <v>Down</v>
      </c>
      <c r="G18" s="106">
        <v>0</v>
      </c>
      <c r="H18" s="106">
        <f>SUM(HTL[[#This Row],[S1Disclr]]:HTL[[#This Row],[S1Print]])</f>
        <v>0</v>
      </c>
      <c r="I18" s="106">
        <v>0</v>
      </c>
      <c r="J18" s="106">
        <f>SUM(HTL[[#This Row],[S2Disclr]]:HTL[[#This Row],[S2Print]])</f>
        <v>0</v>
      </c>
      <c r="K18" s="106">
        <v>0</v>
      </c>
      <c r="L18" s="106">
        <f>SUM(HTL[[#This Row],[S3Disclr]]:HTL[[#This Row],[S3Print]])</f>
        <v>0</v>
      </c>
      <c r="M18" s="106">
        <f>SUM(HTL[[#This Row],[S1Qty]],HTL[[#This Row],[S2Qty]],HTL[[#This Row],[S3Qty]])-HTL[[#This Row],[TotalDft]]</f>
        <v>0</v>
      </c>
      <c r="N18" s="106">
        <f>SUM(HTL[[#This Row],[S1Dft]],HTL[[#This Row],[S2Dft]],HTL[[#This Row],[S3Dft]])</f>
        <v>0</v>
      </c>
      <c r="O18" s="105">
        <f>IF(HTL[[#This Row],[Total]]=0,0,HTL[[#This Row],[TotalDft]]/HTL[[#This Row],[Total]])</f>
        <v>0</v>
      </c>
      <c r="P18" s="124"/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</row>
    <row r="19" spans="1:61" x14ac:dyDescent="0.2">
      <c r="A19" s="116">
        <v>45415</v>
      </c>
      <c r="B19" s="117" t="s">
        <v>69</v>
      </c>
      <c r="C19" s="124" t="s">
        <v>223</v>
      </c>
      <c r="D19" s="112"/>
      <c r="E19" s="112" t="s">
        <v>256</v>
      </c>
      <c r="F19" s="112" t="str">
        <f>IF(HTL[[#This Row],[Total]]&gt;0,"Running","Down")</f>
        <v>Down</v>
      </c>
      <c r="G19" s="106">
        <v>0</v>
      </c>
      <c r="H19" s="106">
        <f>SUM(HTL[[#This Row],[S1Disclr]]:HTL[[#This Row],[S1Print]])</f>
        <v>0</v>
      </c>
      <c r="I19" s="106">
        <v>0</v>
      </c>
      <c r="J19" s="106">
        <f>SUM(HTL[[#This Row],[S2Disclr]]:HTL[[#This Row],[S2Print]])</f>
        <v>0</v>
      </c>
      <c r="K19" s="106">
        <v>0</v>
      </c>
      <c r="L19" s="106">
        <f>SUM(HTL[[#This Row],[S3Disclr]]:HTL[[#This Row],[S3Print]])</f>
        <v>0</v>
      </c>
      <c r="M19" s="106">
        <f>SUM(HTL[[#This Row],[S1Qty]],HTL[[#This Row],[S2Qty]],HTL[[#This Row],[S3Qty]])-HTL[[#This Row],[TotalDft]]</f>
        <v>0</v>
      </c>
      <c r="N19" s="106">
        <f>SUM(HTL[[#This Row],[S1Dft]],HTL[[#This Row],[S2Dft]],HTL[[#This Row],[S3Dft]])</f>
        <v>0</v>
      </c>
      <c r="O19" s="111">
        <f>IF(HTL[[#This Row],[Total]]=0,0,HTL[[#This Row],[TotalDft]]/HTL[[#This Row],[Total]])</f>
        <v>0</v>
      </c>
      <c r="P19" s="124"/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</row>
    <row r="20" spans="1:61" x14ac:dyDescent="0.2">
      <c r="A20" s="116">
        <v>45415</v>
      </c>
      <c r="B20" s="117" t="s">
        <v>68</v>
      </c>
      <c r="C20" s="124" t="s">
        <v>234</v>
      </c>
      <c r="D20" s="112">
        <v>26455</v>
      </c>
      <c r="E20" s="112" t="s">
        <v>197</v>
      </c>
      <c r="F20" s="112" t="str">
        <f>IF(HTL[[#This Row],[Total]]&gt;0,"Running","Down")</f>
        <v>Running</v>
      </c>
      <c r="G20" s="106">
        <v>8060</v>
      </c>
      <c r="H20" s="106">
        <f>SUM(HTL[[#This Row],[S1Disclr]]:HTL[[#This Row],[S1Print]])</f>
        <v>3</v>
      </c>
      <c r="I20" s="106">
        <v>8595</v>
      </c>
      <c r="J20" s="106">
        <f>SUM(HTL[[#This Row],[S2Disclr]]:HTL[[#This Row],[S2Print]])</f>
        <v>0</v>
      </c>
      <c r="K20" s="106">
        <v>8898</v>
      </c>
      <c r="L20" s="106">
        <f>SUM(HTL[[#This Row],[S3Disclr]]:HTL[[#This Row],[S3Print]])</f>
        <v>2</v>
      </c>
      <c r="M20" s="106">
        <f>SUM(HTL[[#This Row],[S1Qty]],HTL[[#This Row],[S2Qty]],HTL[[#This Row],[S3Qty]])-HTL[[#This Row],[TotalDft]]</f>
        <v>25548</v>
      </c>
      <c r="N20" s="106">
        <f>SUM(HTL[[#This Row],[S1Dft]],HTL[[#This Row],[S2Dft]],HTL[[#This Row],[S3Dft]])</f>
        <v>5</v>
      </c>
      <c r="O20" s="111">
        <f>IF(HTL[[#This Row],[Total]]=0,0,HTL[[#This Row],[TotalDft]]/HTL[[#This Row],[Total]])</f>
        <v>1.9571003601064662E-4</v>
      </c>
      <c r="P20" s="124" t="s">
        <v>292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2</v>
      </c>
      <c r="AB20" s="106">
        <v>0</v>
      </c>
      <c r="AC20" s="106">
        <v>0</v>
      </c>
      <c r="AD20" s="106">
        <v>0</v>
      </c>
      <c r="AE20" s="106">
        <v>1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2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</row>
    <row r="21" spans="1:61" x14ac:dyDescent="0.2">
      <c r="A21" s="116">
        <v>45415</v>
      </c>
      <c r="B21" s="117" t="s">
        <v>115</v>
      </c>
      <c r="C21" s="124" t="s">
        <v>234</v>
      </c>
      <c r="D21" s="112">
        <v>26455</v>
      </c>
      <c r="E21" s="112" t="s">
        <v>197</v>
      </c>
      <c r="F21" s="112" t="str">
        <f>IF(HTL[[#This Row],[Total]]&gt;0,"Running","Down")</f>
        <v>Running</v>
      </c>
      <c r="G21" s="106">
        <v>8250</v>
      </c>
      <c r="H21" s="106">
        <f>SUM(HTL[[#This Row],[S1Disclr]]:HTL[[#This Row],[S1Print]])</f>
        <v>2</v>
      </c>
      <c r="I21" s="106">
        <v>8740</v>
      </c>
      <c r="J21" s="106">
        <f>SUM(HTL[[#This Row],[S2Disclr]]:HTL[[#This Row],[S2Print]])</f>
        <v>0</v>
      </c>
      <c r="K21" s="106">
        <v>8994</v>
      </c>
      <c r="L21" s="106">
        <f>SUM(HTL[[#This Row],[S3Disclr]]:HTL[[#This Row],[S3Print]])</f>
        <v>2</v>
      </c>
      <c r="M21" s="106">
        <f>SUM(HTL[[#This Row],[S1Qty]],HTL[[#This Row],[S2Qty]],HTL[[#This Row],[S3Qty]])-HTL[[#This Row],[TotalDft]]</f>
        <v>25980</v>
      </c>
      <c r="N21" s="106">
        <f>SUM(HTL[[#This Row],[S1Dft]],HTL[[#This Row],[S2Dft]],HTL[[#This Row],[S3Dft]])</f>
        <v>4</v>
      </c>
      <c r="O21" s="111">
        <f>IF(HTL[[#This Row],[Total]]=0,0,HTL[[#This Row],[TotalDft]]/HTL[[#This Row],[Total]])</f>
        <v>1.5396458814472672E-4</v>
      </c>
      <c r="P21" s="124" t="s">
        <v>293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2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2</v>
      </c>
      <c r="BI21" s="106">
        <v>0</v>
      </c>
    </row>
    <row r="22" spans="1:61" x14ac:dyDescent="0.2">
      <c r="A22" s="116">
        <v>45415</v>
      </c>
      <c r="B22" s="124" t="s">
        <v>232</v>
      </c>
      <c r="C22" s="124" t="s">
        <v>233</v>
      </c>
      <c r="D22" s="124">
        <v>25508</v>
      </c>
      <c r="E22" s="112" t="s">
        <v>198</v>
      </c>
      <c r="F22" s="112" t="str">
        <f>IF(HTL[[#This Row],[Total]]&gt;0,"Running","Down")</f>
        <v>Running</v>
      </c>
      <c r="G22" s="106">
        <v>6675</v>
      </c>
      <c r="H22" s="106">
        <f>SUM(HTL[[#This Row],[S1Disclr]]:HTL[[#This Row],[S1Print]])</f>
        <v>0</v>
      </c>
      <c r="I22" s="106">
        <v>6579</v>
      </c>
      <c r="J22" s="106">
        <f>SUM(HTL[[#This Row],[S2Disclr]]:HTL[[#This Row],[S2Print]])</f>
        <v>13</v>
      </c>
      <c r="K22" s="106">
        <v>7390</v>
      </c>
      <c r="L22" s="106">
        <f>SUM(HTL[[#This Row],[S3Disclr]]:HTL[[#This Row],[S3Print]])</f>
        <v>14</v>
      </c>
      <c r="M22" s="106">
        <f>SUM(HTL[[#This Row],[S1Qty]],HTL[[#This Row],[S2Qty]],HTL[[#This Row],[S3Qty]])-HTL[[#This Row],[TotalDft]]</f>
        <v>20617</v>
      </c>
      <c r="N22" s="106">
        <f>SUM(HTL[[#This Row],[S1Dft]],HTL[[#This Row],[S2Dft]],HTL[[#This Row],[S3Dft]])</f>
        <v>27</v>
      </c>
      <c r="O22" s="111">
        <f>IF(HTL[[#This Row],[Total]]=0,0,HTL[[#This Row],[TotalDft]]/HTL[[#This Row],[Total]])</f>
        <v>1.309598874715041E-3</v>
      </c>
      <c r="P22" s="124"/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/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2</v>
      </c>
      <c r="AT22" s="106">
        <v>11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14</v>
      </c>
    </row>
    <row r="23" spans="1:61" x14ac:dyDescent="0.2">
      <c r="A23" s="116">
        <v>45415</v>
      </c>
      <c r="B23" s="124" t="s">
        <v>271</v>
      </c>
      <c r="C23" s="124" t="s">
        <v>270</v>
      </c>
      <c r="D23" s="112">
        <v>26976</v>
      </c>
      <c r="E23" s="112" t="s">
        <v>272</v>
      </c>
      <c r="F23" s="112" t="str">
        <f>IF(HTL[[#This Row],[Total]]&gt;0,"Running","Down")</f>
        <v>Running</v>
      </c>
      <c r="G23" s="106">
        <v>1601</v>
      </c>
      <c r="H23" s="106">
        <f>SUM(HTL[[#This Row],[S1Disclr]]:HTL[[#This Row],[S1Print]])</f>
        <v>0</v>
      </c>
      <c r="I23" s="106">
        <v>561</v>
      </c>
      <c r="J23" s="106">
        <f>SUM(HTL[[#This Row],[S2Disclr]]:HTL[[#This Row],[S2Print]])</f>
        <v>0</v>
      </c>
      <c r="K23" s="106">
        <v>0</v>
      </c>
      <c r="L23" s="106">
        <f>SUM(HTL[[#This Row],[S3Disclr]]:HTL[[#This Row],[S3Print]])</f>
        <v>0</v>
      </c>
      <c r="M23" s="106">
        <f>SUM(HTL[[#This Row],[S1Qty]],HTL[[#This Row],[S2Qty]],HTL[[#This Row],[S3Qty]])-HTL[[#This Row],[TotalDft]]</f>
        <v>2162</v>
      </c>
      <c r="N23" s="106">
        <f>SUM(HTL[[#This Row],[S1Dft]],HTL[[#This Row],[S2Dft]],HTL[[#This Row],[S3Dft]])</f>
        <v>0</v>
      </c>
      <c r="O23" s="111">
        <f>IF(HTL[[#This Row],[Total]]=0,0,HTL[[#This Row],[TotalDft]]/HTL[[#This Row],[Total]])</f>
        <v>0</v>
      </c>
      <c r="P23" s="124" t="s">
        <v>294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/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</row>
    <row r="24" spans="1:61" x14ac:dyDescent="0.2">
      <c r="A24" s="116">
        <v>45416</v>
      </c>
      <c r="B24" s="117" t="s">
        <v>64</v>
      </c>
      <c r="C24" s="124" t="s">
        <v>266</v>
      </c>
      <c r="D24" s="112"/>
      <c r="E24" s="124" t="s">
        <v>267</v>
      </c>
      <c r="F24" s="112" t="str">
        <f>IF(HTL[[#This Row],[Total]]&gt;0,"Running","Down")</f>
        <v>Down</v>
      </c>
      <c r="G24" s="106">
        <v>0</v>
      </c>
      <c r="H24" s="106">
        <f>SUM(HTL[[#This Row],[S1Disclr]]:HTL[[#This Row],[S1Print]])</f>
        <v>0</v>
      </c>
      <c r="I24" s="106">
        <v>0</v>
      </c>
      <c r="J24" s="106">
        <f>SUM(HTL[[#This Row],[S2Disclr]]:HTL[[#This Row],[S2Print]])</f>
        <v>0</v>
      </c>
      <c r="K24" s="106">
        <v>0</v>
      </c>
      <c r="L24" s="106">
        <f>SUM(HTL[[#This Row],[S3Disclr]]:HTL[[#This Row],[S3Print]])</f>
        <v>0</v>
      </c>
      <c r="M24" s="106">
        <f>SUM(HTL[[#This Row],[S1Qty]],HTL[[#This Row],[S2Qty]],HTL[[#This Row],[S3Qty]])-HTL[[#This Row],[TotalDft]]</f>
        <v>0</v>
      </c>
      <c r="N24" s="106">
        <f>SUM(HTL[[#This Row],[S1Dft]],HTL[[#This Row],[S2Dft]],HTL[[#This Row],[S3Dft]])</f>
        <v>0</v>
      </c>
      <c r="O24" s="105">
        <f>IF(HTL[[#This Row],[Total]]=0,0,HTL[[#This Row],[TotalDft]]/HTL[[#This Row],[Total]])</f>
        <v>0</v>
      </c>
      <c r="P24" s="124"/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</row>
    <row r="25" spans="1:61" x14ac:dyDescent="0.2">
      <c r="A25" s="116">
        <v>45416</v>
      </c>
      <c r="B25" s="117" t="s">
        <v>69</v>
      </c>
      <c r="C25" s="124" t="s">
        <v>223</v>
      </c>
      <c r="D25" s="112"/>
      <c r="E25" s="124" t="s">
        <v>256</v>
      </c>
      <c r="F25" s="112" t="str">
        <f>IF(HTL[[#This Row],[Total]]&gt;0,"Running","Down")</f>
        <v>Down</v>
      </c>
      <c r="G25" s="106">
        <v>0</v>
      </c>
      <c r="H25" s="106">
        <f>SUM(HTL[[#This Row],[S1Disclr]]:HTL[[#This Row],[S1Print]])</f>
        <v>0</v>
      </c>
      <c r="I25" s="106">
        <v>0</v>
      </c>
      <c r="J25" s="106">
        <f>SUM(HTL[[#This Row],[S2Disclr]]:HTL[[#This Row],[S2Print]])</f>
        <v>0</v>
      </c>
      <c r="K25" s="106">
        <v>0</v>
      </c>
      <c r="L25" s="106">
        <f>SUM(HTL[[#This Row],[S3Disclr]]:HTL[[#This Row],[S3Print]])</f>
        <v>0</v>
      </c>
      <c r="M25" s="106">
        <f>SUM(HTL[[#This Row],[S1Qty]],HTL[[#This Row],[S2Qty]],HTL[[#This Row],[S3Qty]])-HTL[[#This Row],[TotalDft]]</f>
        <v>0</v>
      </c>
      <c r="N25" s="106">
        <f>SUM(HTL[[#This Row],[S1Dft]],HTL[[#This Row],[S2Dft]],HTL[[#This Row],[S3Dft]])</f>
        <v>0</v>
      </c>
      <c r="O25" s="111">
        <f>IF(HTL[[#This Row],[Total]]=0,0,HTL[[#This Row],[TotalDft]]/HTL[[#This Row],[Total]])</f>
        <v>0</v>
      </c>
      <c r="P25" s="124"/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</row>
    <row r="26" spans="1:61" x14ac:dyDescent="0.2">
      <c r="A26" s="116">
        <v>45416</v>
      </c>
      <c r="B26" s="117" t="s">
        <v>68</v>
      </c>
      <c r="C26" s="124" t="s">
        <v>234</v>
      </c>
      <c r="D26" s="112">
        <v>26455</v>
      </c>
      <c r="E26" s="124" t="s">
        <v>197</v>
      </c>
      <c r="F26" s="112" t="str">
        <f>IF(HTL[[#This Row],[Total]]&gt;0,"Running","Down")</f>
        <v>Running</v>
      </c>
      <c r="G26" s="106">
        <v>8438</v>
      </c>
      <c r="H26" s="106">
        <f>SUM(HTL[[#This Row],[S1Disclr]]:HTL[[#This Row],[S1Print]])</f>
        <v>0</v>
      </c>
      <c r="I26" s="106">
        <v>8392</v>
      </c>
      <c r="J26" s="106">
        <f>SUM(HTL[[#This Row],[S2Disclr]]:HTL[[#This Row],[S2Print]])</f>
        <v>0</v>
      </c>
      <c r="K26" s="106">
        <v>7625</v>
      </c>
      <c r="L26" s="106">
        <f>SUM(HTL[[#This Row],[S3Disclr]]:HTL[[#This Row],[S3Print]])</f>
        <v>0</v>
      </c>
      <c r="M26" s="106">
        <f>SUM(HTL[[#This Row],[S1Qty]],HTL[[#This Row],[S2Qty]],HTL[[#This Row],[S3Qty]])-HTL[[#This Row],[TotalDft]]</f>
        <v>24455</v>
      </c>
      <c r="N26" s="106">
        <f>SUM(HTL[[#This Row],[S1Dft]],HTL[[#This Row],[S2Dft]],HTL[[#This Row],[S3Dft]])</f>
        <v>0</v>
      </c>
      <c r="O26" s="111">
        <f>IF(HTL[[#This Row],[Total]]=0,0,HTL[[#This Row],[TotalDft]]/HTL[[#This Row],[Total]])</f>
        <v>0</v>
      </c>
      <c r="P26" s="124"/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</row>
    <row r="27" spans="1:61" x14ac:dyDescent="0.2">
      <c r="A27" s="116">
        <v>45416</v>
      </c>
      <c r="B27" s="117" t="s">
        <v>115</v>
      </c>
      <c r="C27" s="124" t="s">
        <v>234</v>
      </c>
      <c r="D27" s="112">
        <v>26455</v>
      </c>
      <c r="E27" s="124" t="s">
        <v>197</v>
      </c>
      <c r="F27" s="112" t="str">
        <f>IF(HTL[[#This Row],[Total]]&gt;0,"Running","Down")</f>
        <v>Running</v>
      </c>
      <c r="G27" s="106">
        <v>8202</v>
      </c>
      <c r="H27" s="106">
        <f>SUM(HTL[[#This Row],[S1Disclr]]:HTL[[#This Row],[S1Print]])</f>
        <v>0</v>
      </c>
      <c r="I27" s="106">
        <v>8858</v>
      </c>
      <c r="J27" s="106">
        <f>SUM(HTL[[#This Row],[S2Disclr]]:HTL[[#This Row],[S2Print]])</f>
        <v>0</v>
      </c>
      <c r="K27" s="106">
        <v>9029</v>
      </c>
      <c r="L27" s="106">
        <f>SUM(HTL[[#This Row],[S3Disclr]]:HTL[[#This Row],[S3Print]])</f>
        <v>2</v>
      </c>
      <c r="M27" s="106">
        <f>SUM(HTL[[#This Row],[S1Qty]],HTL[[#This Row],[S2Qty]],HTL[[#This Row],[S3Qty]])-HTL[[#This Row],[TotalDft]]</f>
        <v>26087</v>
      </c>
      <c r="N27" s="106">
        <f>SUM(HTL[[#This Row],[S1Dft]],HTL[[#This Row],[S2Dft]],HTL[[#This Row],[S3Dft]])</f>
        <v>2</v>
      </c>
      <c r="O27" s="111">
        <f>IF(HTL[[#This Row],[Total]]=0,0,HTL[[#This Row],[TotalDft]]/HTL[[#This Row],[Total]])</f>
        <v>7.6666538889101854E-5</v>
      </c>
      <c r="P27" s="124"/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1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1</v>
      </c>
    </row>
    <row r="28" spans="1:61" x14ac:dyDescent="0.2">
      <c r="A28" s="116">
        <v>45416</v>
      </c>
      <c r="B28" s="124" t="s">
        <v>232</v>
      </c>
      <c r="C28" s="124" t="s">
        <v>233</v>
      </c>
      <c r="D28" s="124">
        <v>25508</v>
      </c>
      <c r="E28" s="124" t="s">
        <v>198</v>
      </c>
      <c r="F28" s="112" t="str">
        <f>IF(HTL[[#This Row],[Total]]&gt;0,"Running","Down")</f>
        <v>Running</v>
      </c>
      <c r="G28" s="106">
        <v>6825</v>
      </c>
      <c r="H28" s="106">
        <f>SUM(HTL[[#This Row],[S1Disclr]]:HTL[[#This Row],[S1Print]])</f>
        <v>14</v>
      </c>
      <c r="I28" s="106">
        <v>7039</v>
      </c>
      <c r="J28" s="106">
        <f>SUM(HTL[[#This Row],[S2Disclr]]:HTL[[#This Row],[S2Print]])</f>
        <v>20</v>
      </c>
      <c r="K28" s="106">
        <v>7554</v>
      </c>
      <c r="L28" s="106">
        <f>SUM(HTL[[#This Row],[S3Disclr]]:HTL[[#This Row],[S3Print]])</f>
        <v>19</v>
      </c>
      <c r="M28" s="106">
        <f>SUM(HTL[[#This Row],[S1Qty]],HTL[[#This Row],[S2Qty]],HTL[[#This Row],[S3Qty]])-HTL[[#This Row],[TotalDft]]</f>
        <v>21365</v>
      </c>
      <c r="N28" s="106">
        <f>SUM(HTL[[#This Row],[S1Dft]],HTL[[#This Row],[S2Dft]],HTL[[#This Row],[S3Dft]])</f>
        <v>53</v>
      </c>
      <c r="O28" s="111">
        <f>IF(HTL[[#This Row],[Total]]=0,0,HTL[[#This Row],[TotalDft]]/HTL[[#This Row],[Total]])</f>
        <v>2.4806927217411656E-3</v>
      </c>
      <c r="P28" s="124"/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/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14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20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19</v>
      </c>
    </row>
    <row r="29" spans="1:61" x14ac:dyDescent="0.2">
      <c r="A29" s="116">
        <v>45416</v>
      </c>
      <c r="B29" s="124" t="s">
        <v>271</v>
      </c>
      <c r="C29" s="124" t="s">
        <v>270</v>
      </c>
      <c r="D29" s="112"/>
      <c r="E29" s="124" t="s">
        <v>272</v>
      </c>
      <c r="F29" s="112" t="str">
        <f>IF(HTL[[#This Row],[Total]]&gt;0,"Running","Down")</f>
        <v>Down</v>
      </c>
      <c r="G29" s="106">
        <v>0</v>
      </c>
      <c r="H29" s="106">
        <f>SUM(HTL[[#This Row],[S1Disclr]]:HTL[[#This Row],[S1Print]])</f>
        <v>0</v>
      </c>
      <c r="I29" s="106">
        <v>0</v>
      </c>
      <c r="J29" s="106">
        <f>SUM(HTL[[#This Row],[S2Disclr]]:HTL[[#This Row],[S2Print]])</f>
        <v>0</v>
      </c>
      <c r="K29" s="106">
        <v>0</v>
      </c>
      <c r="L29" s="106">
        <f>SUM(HTL[[#This Row],[S3Disclr]]:HTL[[#This Row],[S3Print]])</f>
        <v>0</v>
      </c>
      <c r="M29" s="106">
        <f>SUM(HTL[[#This Row],[S1Qty]],HTL[[#This Row],[S2Qty]],HTL[[#This Row],[S3Qty]])-HTL[[#This Row],[TotalDft]]</f>
        <v>0</v>
      </c>
      <c r="N29" s="106">
        <f>SUM(HTL[[#This Row],[S1Dft]],HTL[[#This Row],[S2Dft]],HTL[[#This Row],[S3Dft]])</f>
        <v>0</v>
      </c>
      <c r="O29" s="111">
        <f>IF(HTL[[#This Row],[Total]]=0,0,HTL[[#This Row],[TotalDft]]/HTL[[#This Row],[Total]])</f>
        <v>0</v>
      </c>
      <c r="P29" s="124"/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/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</row>
    <row r="30" spans="1:61" x14ac:dyDescent="0.2">
      <c r="A30" s="116">
        <v>45417</v>
      </c>
      <c r="B30" s="117" t="s">
        <v>64</v>
      </c>
      <c r="C30" s="124" t="s">
        <v>266</v>
      </c>
      <c r="D30" s="112"/>
      <c r="E30" s="124" t="s">
        <v>267</v>
      </c>
      <c r="F30" s="112" t="str">
        <f>IF(HTL[[#This Row],[Total]]&gt;0,"Running","Down")</f>
        <v>Down</v>
      </c>
      <c r="G30" s="106">
        <v>0</v>
      </c>
      <c r="H30" s="106">
        <f>SUM(HTL[[#This Row],[S1Disclr]]:HTL[[#This Row],[S1Print]])</f>
        <v>0</v>
      </c>
      <c r="I30" s="106">
        <v>0</v>
      </c>
      <c r="J30" s="106">
        <f>SUM(HTL[[#This Row],[S2Disclr]]:HTL[[#This Row],[S2Print]])</f>
        <v>0</v>
      </c>
      <c r="K30" s="106">
        <v>0</v>
      </c>
      <c r="L30" s="106">
        <f>SUM(HTL[[#This Row],[S3Disclr]]:HTL[[#This Row],[S3Print]])</f>
        <v>0</v>
      </c>
      <c r="M30" s="106">
        <f>SUM(HTL[[#This Row],[S1Qty]],HTL[[#This Row],[S2Qty]],HTL[[#This Row],[S3Qty]])-HTL[[#This Row],[TotalDft]]</f>
        <v>0</v>
      </c>
      <c r="N30" s="106">
        <f>SUM(HTL[[#This Row],[S1Dft]],HTL[[#This Row],[S2Dft]],HTL[[#This Row],[S3Dft]])</f>
        <v>0</v>
      </c>
      <c r="O30" s="105">
        <f>IF(HTL[[#This Row],[Total]]=0,0,HTL[[#This Row],[TotalDft]]/HTL[[#This Row],[Total]])</f>
        <v>0</v>
      </c>
      <c r="P30" s="124"/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</row>
    <row r="31" spans="1:61" x14ac:dyDescent="0.2">
      <c r="A31" s="116">
        <v>45417</v>
      </c>
      <c r="B31" s="117" t="s">
        <v>69</v>
      </c>
      <c r="C31" s="124" t="s">
        <v>223</v>
      </c>
      <c r="D31" s="112"/>
      <c r="E31" s="124" t="s">
        <v>256</v>
      </c>
      <c r="F31" s="112" t="str">
        <f>IF(HTL[[#This Row],[Total]]&gt;0,"Running","Down")</f>
        <v>Down</v>
      </c>
      <c r="G31" s="106">
        <v>0</v>
      </c>
      <c r="H31" s="106">
        <f>SUM(HTL[[#This Row],[S1Disclr]]:HTL[[#This Row],[S1Print]])</f>
        <v>0</v>
      </c>
      <c r="I31" s="106">
        <v>0</v>
      </c>
      <c r="J31" s="106">
        <f>SUM(HTL[[#This Row],[S2Disclr]]:HTL[[#This Row],[S2Print]])</f>
        <v>0</v>
      </c>
      <c r="K31" s="106">
        <v>0</v>
      </c>
      <c r="L31" s="106">
        <f>SUM(HTL[[#This Row],[S3Disclr]]:HTL[[#This Row],[S3Print]])</f>
        <v>0</v>
      </c>
      <c r="M31" s="106">
        <f>SUM(HTL[[#This Row],[S1Qty]],HTL[[#This Row],[S2Qty]],HTL[[#This Row],[S3Qty]])-HTL[[#This Row],[TotalDft]]</f>
        <v>0</v>
      </c>
      <c r="N31" s="106">
        <f>SUM(HTL[[#This Row],[S1Dft]],HTL[[#This Row],[S2Dft]],HTL[[#This Row],[S3Dft]])</f>
        <v>0</v>
      </c>
      <c r="O31" s="111">
        <f>IF(HTL[[#This Row],[Total]]=0,0,HTL[[#This Row],[TotalDft]]/HTL[[#This Row],[Total]])</f>
        <v>0</v>
      </c>
      <c r="P31" s="124"/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</row>
    <row r="32" spans="1:61" x14ac:dyDescent="0.2">
      <c r="A32" s="116">
        <v>45417</v>
      </c>
      <c r="B32" s="117" t="s">
        <v>68</v>
      </c>
      <c r="C32" s="124" t="s">
        <v>234</v>
      </c>
      <c r="D32" s="112">
        <v>26455</v>
      </c>
      <c r="E32" s="124" t="s">
        <v>197</v>
      </c>
      <c r="F32" s="112" t="str">
        <f>IF(HTL[[#This Row],[Total]]&gt;0,"Running","Down")</f>
        <v>Running</v>
      </c>
      <c r="G32" s="106">
        <v>8537</v>
      </c>
      <c r="H32" s="106">
        <f>SUM(HTL[[#This Row],[S1Disclr]]:HTL[[#This Row],[S1Print]])</f>
        <v>0</v>
      </c>
      <c r="I32" s="106">
        <v>8939</v>
      </c>
      <c r="J32" s="106">
        <f>SUM(HTL[[#This Row],[S2Disclr]]:HTL[[#This Row],[S2Print]])</f>
        <v>1</v>
      </c>
      <c r="K32" s="106">
        <v>8968</v>
      </c>
      <c r="L32" s="106">
        <f>SUM(HTL[[#This Row],[S3Disclr]]:HTL[[#This Row],[S3Print]])</f>
        <v>6</v>
      </c>
      <c r="M32" s="106">
        <f>SUM(HTL[[#This Row],[S1Qty]],HTL[[#This Row],[S2Qty]],HTL[[#This Row],[S3Qty]])-HTL[[#This Row],[TotalDft]]</f>
        <v>26437</v>
      </c>
      <c r="N32" s="106">
        <f>SUM(HTL[[#This Row],[S1Dft]],HTL[[#This Row],[S2Dft]],HTL[[#This Row],[S3Dft]])</f>
        <v>7</v>
      </c>
      <c r="O32" s="111">
        <f>IF(HTL[[#This Row],[Total]]=0,0,HTL[[#This Row],[TotalDft]]/HTL[[#This Row],[Total]])</f>
        <v>2.6478042137912771E-4</v>
      </c>
      <c r="P32" s="124"/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1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5</v>
      </c>
      <c r="BI32" s="106">
        <v>1</v>
      </c>
    </row>
    <row r="33" spans="1:61" x14ac:dyDescent="0.2">
      <c r="A33" s="116">
        <v>45417</v>
      </c>
      <c r="B33" s="117" t="s">
        <v>115</v>
      </c>
      <c r="C33" s="124" t="s">
        <v>234</v>
      </c>
      <c r="D33" s="112">
        <v>26455</v>
      </c>
      <c r="E33" s="124" t="s">
        <v>197</v>
      </c>
      <c r="F33" s="112" t="str">
        <f>IF(HTL[[#This Row],[Total]]&gt;0,"Running","Down")</f>
        <v>Running</v>
      </c>
      <c r="G33" s="106">
        <v>9015</v>
      </c>
      <c r="H33" s="106">
        <f>SUM(HTL[[#This Row],[S1Disclr]]:HTL[[#This Row],[S1Print]])</f>
        <v>3</v>
      </c>
      <c r="I33" s="106">
        <v>8579</v>
      </c>
      <c r="J33" s="106">
        <f>SUM(HTL[[#This Row],[S2Disclr]]:HTL[[#This Row],[S2Print]])</f>
        <v>1</v>
      </c>
      <c r="K33" s="106">
        <v>8970</v>
      </c>
      <c r="L33" s="106">
        <f>SUM(HTL[[#This Row],[S3Disclr]]:HTL[[#This Row],[S3Print]])</f>
        <v>3</v>
      </c>
      <c r="M33" s="106">
        <f>SUM(HTL[[#This Row],[S1Qty]],HTL[[#This Row],[S2Qty]],HTL[[#This Row],[S3Qty]])-HTL[[#This Row],[TotalDft]]</f>
        <v>26557</v>
      </c>
      <c r="N33" s="106">
        <f>SUM(HTL[[#This Row],[S1Dft]],HTL[[#This Row],[S2Dft]],HTL[[#This Row],[S3Dft]])</f>
        <v>7</v>
      </c>
      <c r="O33" s="111">
        <f>IF(HTL[[#This Row],[Total]]=0,0,HTL[[#This Row],[TotalDft]]/HTL[[#This Row],[Total]])</f>
        <v>2.6358398915540159E-4</v>
      </c>
      <c r="P33" s="124"/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2</v>
      </c>
      <c r="AB33" s="106">
        <v>0</v>
      </c>
      <c r="AC33" s="106">
        <v>0</v>
      </c>
      <c r="AD33" s="106">
        <v>0</v>
      </c>
      <c r="AE33" s="106">
        <v>1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1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3</v>
      </c>
    </row>
    <row r="34" spans="1:61" x14ac:dyDescent="0.2">
      <c r="A34" s="116">
        <v>45417</v>
      </c>
      <c r="B34" s="124" t="s">
        <v>232</v>
      </c>
      <c r="C34" s="124" t="s">
        <v>233</v>
      </c>
      <c r="D34" s="124">
        <v>25508</v>
      </c>
      <c r="E34" s="124" t="s">
        <v>198</v>
      </c>
      <c r="F34" s="112" t="str">
        <f>IF(HTL[[#This Row],[Total]]&gt;0,"Running","Down")</f>
        <v>Running</v>
      </c>
      <c r="G34" s="106">
        <v>7265</v>
      </c>
      <c r="H34" s="106">
        <f>SUM(HTL[[#This Row],[S1Disclr]]:HTL[[#This Row],[S1Print]])</f>
        <v>6</v>
      </c>
      <c r="I34" s="106">
        <v>6999</v>
      </c>
      <c r="J34" s="106">
        <f>SUM(HTL[[#This Row],[S2Disclr]]:HTL[[#This Row],[S2Print]])</f>
        <v>6</v>
      </c>
      <c r="K34" s="106">
        <v>7452</v>
      </c>
      <c r="L34" s="106">
        <f>SUM(HTL[[#This Row],[S3Disclr]]:HTL[[#This Row],[S3Print]])</f>
        <v>27</v>
      </c>
      <c r="M34" s="106">
        <f>SUM(HTL[[#This Row],[S1Qty]],HTL[[#This Row],[S2Qty]],HTL[[#This Row],[S3Qty]])-HTL[[#This Row],[TotalDft]]</f>
        <v>21677</v>
      </c>
      <c r="N34" s="106">
        <f>SUM(HTL[[#This Row],[S1Dft]],HTL[[#This Row],[S2Dft]],HTL[[#This Row],[S3Dft]])</f>
        <v>39</v>
      </c>
      <c r="O34" s="111">
        <f>IF(HTL[[#This Row],[Total]]=0,0,HTL[[#This Row],[TotalDft]]/HTL[[#This Row],[Total]])</f>
        <v>1.7991419476864881E-3</v>
      </c>
      <c r="P34" s="124"/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/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6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6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27</v>
      </c>
    </row>
    <row r="35" spans="1:61" x14ac:dyDescent="0.2">
      <c r="A35" s="116">
        <v>45417</v>
      </c>
      <c r="B35" s="124" t="s">
        <v>271</v>
      </c>
      <c r="C35" s="124" t="s">
        <v>270</v>
      </c>
      <c r="D35" s="112"/>
      <c r="E35" s="124" t="s">
        <v>272</v>
      </c>
      <c r="F35" s="112" t="str">
        <f>IF(HTL[[#This Row],[Total]]&gt;0,"Running","Down")</f>
        <v>Down</v>
      </c>
      <c r="G35" s="106">
        <v>0</v>
      </c>
      <c r="H35" s="106">
        <f>SUM(HTL[[#This Row],[S1Disclr]]:HTL[[#This Row],[S1Print]])</f>
        <v>0</v>
      </c>
      <c r="I35" s="106">
        <v>0</v>
      </c>
      <c r="J35" s="106">
        <f>SUM(HTL[[#This Row],[S2Disclr]]:HTL[[#This Row],[S2Print]])</f>
        <v>0</v>
      </c>
      <c r="K35" s="106">
        <v>0</v>
      </c>
      <c r="L35" s="106">
        <f>SUM(HTL[[#This Row],[S3Disclr]]:HTL[[#This Row],[S3Print]])</f>
        <v>0</v>
      </c>
      <c r="M35" s="106">
        <f>SUM(HTL[[#This Row],[S1Qty]],HTL[[#This Row],[S2Qty]],HTL[[#This Row],[S3Qty]])-HTL[[#This Row],[TotalDft]]</f>
        <v>0</v>
      </c>
      <c r="N35" s="106">
        <f>SUM(HTL[[#This Row],[S1Dft]],HTL[[#This Row],[S2Dft]],HTL[[#This Row],[S3Dft]])</f>
        <v>0</v>
      </c>
      <c r="O35" s="111">
        <f>IF(HTL[[#This Row],[Total]]=0,0,HTL[[#This Row],[TotalDft]]/HTL[[#This Row],[Total]])</f>
        <v>0</v>
      </c>
      <c r="P35" s="124"/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/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</row>
    <row r="36" spans="1:61" x14ac:dyDescent="0.2">
      <c r="A36" s="116">
        <v>45418</v>
      </c>
      <c r="B36" s="117" t="s">
        <v>64</v>
      </c>
      <c r="C36" s="124" t="s">
        <v>266</v>
      </c>
      <c r="D36" s="112">
        <v>27328</v>
      </c>
      <c r="E36" s="124" t="s">
        <v>267</v>
      </c>
      <c r="F36" s="112" t="str">
        <f>IF(HTL[[#This Row],[Total]]&gt;0,"Running","Down")</f>
        <v>Running</v>
      </c>
      <c r="G36" s="106">
        <v>4302</v>
      </c>
      <c r="H36" s="106">
        <f>SUM(HTL[[#This Row],[S1Disclr]]:HTL[[#This Row],[S1Print]])</f>
        <v>15</v>
      </c>
      <c r="I36" s="106">
        <v>4107</v>
      </c>
      <c r="J36" s="106">
        <f>SUM(HTL[[#This Row],[S2Disclr]]:HTL[[#This Row],[S2Print]])</f>
        <v>28</v>
      </c>
      <c r="K36" s="106">
        <v>4712</v>
      </c>
      <c r="L36" s="106">
        <f>SUM(HTL[[#This Row],[S3Disclr]]:HTL[[#This Row],[S3Print]])</f>
        <v>20</v>
      </c>
      <c r="M36" s="106">
        <f>SUM(HTL[[#This Row],[S1Qty]],HTL[[#This Row],[S2Qty]],HTL[[#This Row],[S3Qty]])-HTL[[#This Row],[TotalDft]]</f>
        <v>13058</v>
      </c>
      <c r="N36" s="106">
        <f>SUM(HTL[[#This Row],[S1Dft]],HTL[[#This Row],[S2Dft]],HTL[[#This Row],[S3Dft]])</f>
        <v>63</v>
      </c>
      <c r="O36" s="105">
        <f>IF(HTL[[#This Row],[Total]]=0,0,HTL[[#This Row],[TotalDft]]/HTL[[#This Row],[Total]])</f>
        <v>4.8246285801807325E-3</v>
      </c>
      <c r="P36" s="124" t="s">
        <v>301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1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14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28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20</v>
      </c>
    </row>
    <row r="37" spans="1:61" x14ac:dyDescent="0.2">
      <c r="A37" s="116">
        <v>45418</v>
      </c>
      <c r="B37" s="117" t="s">
        <v>69</v>
      </c>
      <c r="C37" s="124" t="s">
        <v>223</v>
      </c>
      <c r="D37" s="112"/>
      <c r="E37" s="124" t="s">
        <v>256</v>
      </c>
      <c r="F37" s="112" t="str">
        <f>IF(HTL[[#This Row],[Total]]&gt;0,"Running","Down")</f>
        <v>Down</v>
      </c>
      <c r="G37" s="106">
        <v>0</v>
      </c>
      <c r="H37" s="106">
        <f>SUM(HTL[[#This Row],[S1Disclr]]:HTL[[#This Row],[S1Print]])</f>
        <v>0</v>
      </c>
      <c r="I37" s="106">
        <v>0</v>
      </c>
      <c r="J37" s="106">
        <f>SUM(HTL[[#This Row],[S2Disclr]]:HTL[[#This Row],[S2Print]])</f>
        <v>0</v>
      </c>
      <c r="K37" s="106">
        <v>0</v>
      </c>
      <c r="L37" s="106">
        <f>SUM(HTL[[#This Row],[S3Disclr]]:HTL[[#This Row],[S3Print]])</f>
        <v>0</v>
      </c>
      <c r="M37" s="106">
        <f>SUM(HTL[[#This Row],[S1Qty]],HTL[[#This Row],[S2Qty]],HTL[[#This Row],[S3Qty]])-HTL[[#This Row],[TotalDft]]</f>
        <v>0</v>
      </c>
      <c r="N37" s="106">
        <f>SUM(HTL[[#This Row],[S1Dft]],HTL[[#This Row],[S2Dft]],HTL[[#This Row],[S3Dft]])</f>
        <v>0</v>
      </c>
      <c r="O37" s="111">
        <f>IF(HTL[[#This Row],[Total]]=0,0,HTL[[#This Row],[TotalDft]]/HTL[[#This Row],[Total]])</f>
        <v>0</v>
      </c>
      <c r="P37" s="124"/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</row>
    <row r="38" spans="1:61" x14ac:dyDescent="0.2">
      <c r="A38" s="116">
        <v>45418</v>
      </c>
      <c r="B38" s="117" t="s">
        <v>68</v>
      </c>
      <c r="C38" s="124" t="s">
        <v>234</v>
      </c>
      <c r="D38" s="112">
        <v>26455</v>
      </c>
      <c r="E38" s="124" t="s">
        <v>197</v>
      </c>
      <c r="F38" s="112" t="str">
        <f>IF(HTL[[#This Row],[Total]]&gt;0,"Running","Down")</f>
        <v>Running</v>
      </c>
      <c r="G38" s="106">
        <v>8582</v>
      </c>
      <c r="H38" s="106">
        <f>SUM(HTL[[#This Row],[S1Disclr]]:HTL[[#This Row],[S1Print]])</f>
        <v>12</v>
      </c>
      <c r="I38" s="106">
        <v>7817</v>
      </c>
      <c r="J38" s="106">
        <f>SUM(HTL[[#This Row],[S2Disclr]]:HTL[[#This Row],[S2Print]])</f>
        <v>2</v>
      </c>
      <c r="K38" s="106">
        <v>8846</v>
      </c>
      <c r="L38" s="106">
        <f>SUM(HTL[[#This Row],[S3Disclr]]:HTL[[#This Row],[S3Print]])</f>
        <v>0</v>
      </c>
      <c r="M38" s="106">
        <f>SUM(HTL[[#This Row],[S1Qty]],HTL[[#This Row],[S2Qty]],HTL[[#This Row],[S3Qty]])-HTL[[#This Row],[TotalDft]]</f>
        <v>25231</v>
      </c>
      <c r="N38" s="106">
        <f>SUM(HTL[[#This Row],[S1Dft]],HTL[[#This Row],[S2Dft]],HTL[[#This Row],[S3Dft]])</f>
        <v>14</v>
      </c>
      <c r="O38" s="111">
        <f>IF(HTL[[#This Row],[Total]]=0,0,HTL[[#This Row],[TotalDft]]/HTL[[#This Row],[Total]])</f>
        <v>5.5487297372280127E-4</v>
      </c>
      <c r="P38" s="124"/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5</v>
      </c>
      <c r="AE38" s="106">
        <v>7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2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</row>
    <row r="39" spans="1:61" x14ac:dyDescent="0.2">
      <c r="A39" s="116">
        <v>45418</v>
      </c>
      <c r="B39" s="117" t="s">
        <v>115</v>
      </c>
      <c r="C39" s="124" t="s">
        <v>234</v>
      </c>
      <c r="D39" s="112">
        <v>26455</v>
      </c>
      <c r="E39" s="124" t="s">
        <v>197</v>
      </c>
      <c r="F39" s="112" t="str">
        <f>IF(HTL[[#This Row],[Total]]&gt;0,"Running","Down")</f>
        <v>Running</v>
      </c>
      <c r="G39" s="106">
        <v>8878</v>
      </c>
      <c r="H39" s="106">
        <f>SUM(HTL[[#This Row],[S1Disclr]]:HTL[[#This Row],[S1Print]])</f>
        <v>8</v>
      </c>
      <c r="I39" s="106">
        <v>7919</v>
      </c>
      <c r="J39" s="106">
        <f>SUM(HTL[[#This Row],[S2Disclr]]:HTL[[#This Row],[S2Print]])</f>
        <v>10</v>
      </c>
      <c r="K39" s="106">
        <v>8906</v>
      </c>
      <c r="L39" s="106">
        <f>SUM(HTL[[#This Row],[S3Disclr]]:HTL[[#This Row],[S3Print]])</f>
        <v>11</v>
      </c>
      <c r="M39" s="106">
        <f>SUM(HTL[[#This Row],[S1Qty]],HTL[[#This Row],[S2Qty]],HTL[[#This Row],[S3Qty]])-HTL[[#This Row],[TotalDft]]</f>
        <v>25674</v>
      </c>
      <c r="N39" s="106">
        <f>SUM(HTL[[#This Row],[S1Dft]],HTL[[#This Row],[S2Dft]],HTL[[#This Row],[S3Dft]])</f>
        <v>29</v>
      </c>
      <c r="O39" s="111">
        <f>IF(HTL[[#This Row],[Total]]=0,0,HTL[[#This Row],[TotalDft]]/HTL[[#This Row],[Total]])</f>
        <v>1.1295474020409752E-3</v>
      </c>
      <c r="P39" s="124"/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8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1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9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1</v>
      </c>
      <c r="BF39" s="106">
        <v>0</v>
      </c>
      <c r="BG39" s="106">
        <v>0</v>
      </c>
      <c r="BH39" s="106">
        <v>10</v>
      </c>
      <c r="BI39" s="106">
        <v>0</v>
      </c>
    </row>
    <row r="40" spans="1:61" x14ac:dyDescent="0.2">
      <c r="A40" s="116">
        <v>45418</v>
      </c>
      <c r="B40" s="124" t="s">
        <v>232</v>
      </c>
      <c r="C40" s="124" t="s">
        <v>233</v>
      </c>
      <c r="D40" s="112">
        <v>25508</v>
      </c>
      <c r="E40" s="124" t="s">
        <v>198</v>
      </c>
      <c r="F40" s="112" t="str">
        <f>IF(HTL[[#This Row],[Total]]&gt;0,"Running","Down")</f>
        <v>Running</v>
      </c>
      <c r="G40" s="106">
        <v>6600</v>
      </c>
      <c r="H40" s="106">
        <f>SUM(HTL[[#This Row],[S1Disclr]]:HTL[[#This Row],[S1Print]])</f>
        <v>20</v>
      </c>
      <c r="I40" s="106">
        <v>6397</v>
      </c>
      <c r="J40" s="106">
        <f>SUM(HTL[[#This Row],[S2Disclr]]:HTL[[#This Row],[S2Print]])</f>
        <v>10</v>
      </c>
      <c r="K40" s="106">
        <v>7427</v>
      </c>
      <c r="L40" s="106">
        <f>SUM(HTL[[#This Row],[S3Disclr]]:HTL[[#This Row],[S3Print]])</f>
        <v>3</v>
      </c>
      <c r="M40" s="106">
        <f>SUM(HTL[[#This Row],[S1Qty]],HTL[[#This Row],[S2Qty]],HTL[[#This Row],[S3Qty]])-HTL[[#This Row],[TotalDft]]</f>
        <v>20391</v>
      </c>
      <c r="N40" s="106">
        <f>SUM(HTL[[#This Row],[S1Dft]],HTL[[#This Row],[S2Dft]],HTL[[#This Row],[S3Dft]])</f>
        <v>33</v>
      </c>
      <c r="O40" s="111">
        <f>IF(HTL[[#This Row],[Total]]=0,0,HTL[[#This Row],[TotalDft]]/HTL[[#This Row],[Total]])</f>
        <v>1.6183610416360158E-3</v>
      </c>
      <c r="P40" s="124" t="s">
        <v>302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/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5</v>
      </c>
      <c r="AE40" s="106">
        <v>15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10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1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2</v>
      </c>
    </row>
    <row r="41" spans="1:61" x14ac:dyDescent="0.2">
      <c r="A41" s="116">
        <v>45418</v>
      </c>
      <c r="B41" s="124" t="s">
        <v>271</v>
      </c>
      <c r="C41" s="124" t="s">
        <v>270</v>
      </c>
      <c r="D41" s="112">
        <v>26976</v>
      </c>
      <c r="E41" s="124" t="s">
        <v>272</v>
      </c>
      <c r="F41" s="112" t="str">
        <f>IF(HTL[[#This Row],[Total]]&gt;0,"Running","Down")</f>
        <v>Running</v>
      </c>
      <c r="G41" s="106">
        <v>0</v>
      </c>
      <c r="H41" s="106">
        <f>SUM(HTL[[#This Row],[S1Disclr]]:HTL[[#This Row],[S1Print]])</f>
        <v>0</v>
      </c>
      <c r="I41" s="106">
        <v>3756</v>
      </c>
      <c r="J41" s="106">
        <f>SUM(HTL[[#This Row],[S2Disclr]]:HTL[[#This Row],[S2Print]])</f>
        <v>7</v>
      </c>
      <c r="K41" s="106">
        <v>1450</v>
      </c>
      <c r="L41" s="106">
        <f>SUM(HTL[[#This Row],[S3Disclr]]:HTL[[#This Row],[S3Print]])</f>
        <v>8</v>
      </c>
      <c r="M41" s="106">
        <f>SUM(HTL[[#This Row],[S1Qty]],HTL[[#This Row],[S2Qty]],HTL[[#This Row],[S3Qty]])-HTL[[#This Row],[TotalDft]]</f>
        <v>5191</v>
      </c>
      <c r="N41" s="106">
        <f>SUM(HTL[[#This Row],[S1Dft]],HTL[[#This Row],[S2Dft]],HTL[[#This Row],[S3Dft]])</f>
        <v>15</v>
      </c>
      <c r="O41" s="111">
        <f>IF(HTL[[#This Row],[Total]]=0,0,HTL[[#This Row],[TotalDft]]/HTL[[#This Row],[Total]])</f>
        <v>2.8896166441918707E-3</v>
      </c>
      <c r="P41" s="124"/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/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3</v>
      </c>
      <c r="AT41" s="106">
        <v>4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8</v>
      </c>
    </row>
    <row r="42" spans="1:61" x14ac:dyDescent="0.2">
      <c r="A42" s="116">
        <v>45419</v>
      </c>
      <c r="B42" s="117" t="s">
        <v>64</v>
      </c>
      <c r="C42" s="124" t="s">
        <v>266</v>
      </c>
      <c r="D42" s="112">
        <v>27328</v>
      </c>
      <c r="E42" s="124" t="s">
        <v>267</v>
      </c>
      <c r="F42" s="112" t="str">
        <f>IF(HTL[[#This Row],[Total]]&gt;0,"Running","Down")</f>
        <v>Running</v>
      </c>
      <c r="G42" s="106">
        <v>5045</v>
      </c>
      <c r="H42" s="106">
        <f>SUM(HTL[[#This Row],[S1Disclr]]:HTL[[#This Row],[S1Print]])</f>
        <v>8</v>
      </c>
      <c r="I42" s="106">
        <v>7048</v>
      </c>
      <c r="J42" s="106">
        <f>SUM(HTL[[#This Row],[S2Disclr]]:HTL[[#This Row],[S2Print]])</f>
        <v>0</v>
      </c>
      <c r="K42" s="106">
        <v>7689</v>
      </c>
      <c r="L42" s="106">
        <f>SUM(HTL[[#This Row],[S3Disclr]]:HTL[[#This Row],[S3Print]])</f>
        <v>5</v>
      </c>
      <c r="M42" s="106">
        <f>SUM(HTL[[#This Row],[S1Qty]],HTL[[#This Row],[S2Qty]],HTL[[#This Row],[S3Qty]])-HTL[[#This Row],[TotalDft]]</f>
        <v>19769</v>
      </c>
      <c r="N42" s="106">
        <f>SUM(HTL[[#This Row],[S1Dft]],HTL[[#This Row],[S2Dft]],HTL[[#This Row],[S3Dft]])</f>
        <v>13</v>
      </c>
      <c r="O42" s="105">
        <f>IF(HTL[[#This Row],[Total]]=0,0,HTL[[#This Row],[TotalDft]]/HTL[[#This Row],[Total]])</f>
        <v>6.5759522484698269E-4</v>
      </c>
      <c r="P42" s="124" t="s">
        <v>315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1</v>
      </c>
      <c r="AD42" s="106">
        <v>0</v>
      </c>
      <c r="AE42" s="106">
        <v>7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1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4</v>
      </c>
      <c r="BI42" s="106">
        <v>0</v>
      </c>
    </row>
    <row r="43" spans="1:61" x14ac:dyDescent="0.2">
      <c r="A43" s="116">
        <v>45419</v>
      </c>
      <c r="B43" s="117" t="s">
        <v>69</v>
      </c>
      <c r="C43" s="124" t="s">
        <v>223</v>
      </c>
      <c r="D43" s="112"/>
      <c r="E43" s="124" t="s">
        <v>256</v>
      </c>
      <c r="F43" s="112" t="str">
        <f>IF(HTL[[#This Row],[Total]]&gt;0,"Running","Down")</f>
        <v>Down</v>
      </c>
      <c r="G43" s="106">
        <v>0</v>
      </c>
      <c r="H43" s="106">
        <f>SUM(HTL[[#This Row],[S1Disclr]]:HTL[[#This Row],[S1Print]])</f>
        <v>0</v>
      </c>
      <c r="I43" s="106">
        <v>0</v>
      </c>
      <c r="J43" s="106">
        <f>SUM(HTL[[#This Row],[S2Disclr]]:HTL[[#This Row],[S2Print]])</f>
        <v>0</v>
      </c>
      <c r="K43" s="106">
        <v>0</v>
      </c>
      <c r="L43" s="106">
        <f>SUM(HTL[[#This Row],[S3Disclr]]:HTL[[#This Row],[S3Print]])</f>
        <v>0</v>
      </c>
      <c r="M43" s="106">
        <f>SUM(HTL[[#This Row],[S1Qty]],HTL[[#This Row],[S2Qty]],HTL[[#This Row],[S3Qty]])-HTL[[#This Row],[TotalDft]]</f>
        <v>0</v>
      </c>
      <c r="N43" s="106">
        <f>SUM(HTL[[#This Row],[S1Dft]],HTL[[#This Row],[S2Dft]],HTL[[#This Row],[S3Dft]])</f>
        <v>0</v>
      </c>
      <c r="O43" s="111">
        <f>IF(HTL[[#This Row],[Total]]=0,0,HTL[[#This Row],[TotalDft]]/HTL[[#This Row],[Total]])</f>
        <v>0</v>
      </c>
      <c r="P43" s="124"/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</row>
    <row r="44" spans="1:61" x14ac:dyDescent="0.2">
      <c r="A44" s="116">
        <v>45419</v>
      </c>
      <c r="B44" s="117" t="s">
        <v>68</v>
      </c>
      <c r="C44" s="124" t="s">
        <v>234</v>
      </c>
      <c r="D44" s="112">
        <v>27679</v>
      </c>
      <c r="E44" s="124" t="s">
        <v>197</v>
      </c>
      <c r="F44" s="112" t="str">
        <f>IF(HTL[[#This Row],[Total]]&gt;0,"Running","Down")</f>
        <v>Running</v>
      </c>
      <c r="G44" s="106">
        <v>6533</v>
      </c>
      <c r="H44" s="106">
        <f>SUM(HTL[[#This Row],[S1Disclr]]:HTL[[#This Row],[S1Print]])</f>
        <v>4</v>
      </c>
      <c r="I44" s="106">
        <v>5010</v>
      </c>
      <c r="J44" s="106">
        <f>SUM(HTL[[#This Row],[S2Disclr]]:HTL[[#This Row],[S2Print]])</f>
        <v>1</v>
      </c>
      <c r="K44" s="106">
        <v>5164</v>
      </c>
      <c r="L44" s="106">
        <f>SUM(HTL[[#This Row],[S3Disclr]]:HTL[[#This Row],[S3Print]])</f>
        <v>4</v>
      </c>
      <c r="M44" s="106">
        <f>SUM(HTL[[#This Row],[S1Qty]],HTL[[#This Row],[S2Qty]],HTL[[#This Row],[S3Qty]])-HTL[[#This Row],[TotalDft]]</f>
        <v>16698</v>
      </c>
      <c r="N44" s="106">
        <f>SUM(HTL[[#This Row],[S1Dft]],HTL[[#This Row],[S2Dft]],HTL[[#This Row],[S3Dft]])</f>
        <v>9</v>
      </c>
      <c r="O44" s="111">
        <f>IF(HTL[[#This Row],[Total]]=0,0,HTL[[#This Row],[TotalDft]]/HTL[[#This Row],[Total]])</f>
        <v>5.3898670499461009E-4</v>
      </c>
      <c r="P44" s="124" t="s">
        <v>310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4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1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2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1</v>
      </c>
      <c r="BI44" s="106">
        <v>1</v>
      </c>
    </row>
    <row r="45" spans="1:61" x14ac:dyDescent="0.2">
      <c r="A45" s="116">
        <v>45419</v>
      </c>
      <c r="B45" s="117" t="s">
        <v>115</v>
      </c>
      <c r="C45" s="124" t="s">
        <v>234</v>
      </c>
      <c r="D45" s="112">
        <v>26455</v>
      </c>
      <c r="E45" s="124" t="s">
        <v>197</v>
      </c>
      <c r="F45" s="112" t="str">
        <f>IF(HTL[[#This Row],[Total]]&gt;0,"Running","Down")</f>
        <v>Running</v>
      </c>
      <c r="G45" s="106">
        <v>8517</v>
      </c>
      <c r="H45" s="106">
        <f>SUM(HTL[[#This Row],[S1Disclr]]:HTL[[#This Row],[S1Print]])</f>
        <v>12</v>
      </c>
      <c r="I45" s="106">
        <v>8782</v>
      </c>
      <c r="J45" s="106">
        <f>SUM(HTL[[#This Row],[S2Disclr]]:HTL[[#This Row],[S2Print]])</f>
        <v>3</v>
      </c>
      <c r="K45" s="106">
        <v>9002</v>
      </c>
      <c r="L45" s="106">
        <f>SUM(HTL[[#This Row],[S3Disclr]]:HTL[[#This Row],[S3Print]])</f>
        <v>2</v>
      </c>
      <c r="M45" s="106">
        <f>SUM(HTL[[#This Row],[S1Qty]],HTL[[#This Row],[S2Qty]],HTL[[#This Row],[S3Qty]])-HTL[[#This Row],[TotalDft]]</f>
        <v>26284</v>
      </c>
      <c r="N45" s="106">
        <f>SUM(HTL[[#This Row],[S1Dft]],HTL[[#This Row],[S2Dft]],HTL[[#This Row],[S3Dft]])</f>
        <v>17</v>
      </c>
      <c r="O45" s="111">
        <f>IF(HTL[[#This Row],[Total]]=0,0,HTL[[#This Row],[TotalDft]]/HTL[[#This Row],[Total]])</f>
        <v>6.4678131182468426E-4</v>
      </c>
      <c r="P45" s="124"/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12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3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1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1</v>
      </c>
    </row>
    <row r="46" spans="1:61" x14ac:dyDescent="0.2">
      <c r="A46" s="116">
        <v>45419</v>
      </c>
      <c r="B46" s="124" t="s">
        <v>232</v>
      </c>
      <c r="C46" s="124" t="s">
        <v>233</v>
      </c>
      <c r="D46" s="112">
        <v>25508</v>
      </c>
      <c r="E46" s="124" t="s">
        <v>198</v>
      </c>
      <c r="F46" s="112" t="str">
        <f>IF(HTL[[#This Row],[Total]]&gt;0,"Running","Down")</f>
        <v>Running</v>
      </c>
      <c r="G46" s="106">
        <v>5847</v>
      </c>
      <c r="H46" s="106">
        <f>SUM(HTL[[#This Row],[S1Disclr]]:HTL[[#This Row],[S1Print]])</f>
        <v>14</v>
      </c>
      <c r="I46" s="106">
        <v>6627</v>
      </c>
      <c r="J46" s="106">
        <f>SUM(HTL[[#This Row],[S2Disclr]]:HTL[[#This Row],[S2Print]])</f>
        <v>2</v>
      </c>
      <c r="K46" s="106">
        <v>7412</v>
      </c>
      <c r="L46" s="106">
        <f>SUM(HTL[[#This Row],[S3Disclr]]:HTL[[#This Row],[S3Print]])</f>
        <v>2</v>
      </c>
      <c r="M46" s="106">
        <f>SUM(HTL[[#This Row],[S1Qty]],HTL[[#This Row],[S2Qty]],HTL[[#This Row],[S3Qty]])-HTL[[#This Row],[TotalDft]]</f>
        <v>19868</v>
      </c>
      <c r="N46" s="106">
        <f>SUM(HTL[[#This Row],[S1Dft]],HTL[[#This Row],[S2Dft]],HTL[[#This Row],[S3Dft]])</f>
        <v>18</v>
      </c>
      <c r="O46" s="111">
        <f>IF(HTL[[#This Row],[Total]]=0,0,HTL[[#This Row],[TotalDft]]/HTL[[#This Row],[Total]])</f>
        <v>9.0597946446547217E-4</v>
      </c>
      <c r="P46" s="124" t="s">
        <v>307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/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14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2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2</v>
      </c>
    </row>
    <row r="47" spans="1:61" x14ac:dyDescent="0.2">
      <c r="A47" s="116">
        <v>45419</v>
      </c>
      <c r="B47" s="124" t="s">
        <v>271</v>
      </c>
      <c r="C47" s="124" t="s">
        <v>270</v>
      </c>
      <c r="D47" s="112">
        <v>26976</v>
      </c>
      <c r="E47" s="124" t="s">
        <v>272</v>
      </c>
      <c r="F47" s="112" t="str">
        <f>IF(HTL[[#This Row],[Total]]&gt;0,"Running","Down")</f>
        <v>Running</v>
      </c>
      <c r="G47" s="106">
        <v>2033</v>
      </c>
      <c r="H47" s="106">
        <f>SUM(HTL[[#This Row],[S1Disclr]]:HTL[[#This Row],[S1Print]])</f>
        <v>7</v>
      </c>
      <c r="I47" s="106">
        <v>3028</v>
      </c>
      <c r="J47" s="106">
        <f>SUM(HTL[[#This Row],[S2Disclr]]:HTL[[#This Row],[S2Print]])</f>
        <v>3</v>
      </c>
      <c r="K47" s="106">
        <v>0</v>
      </c>
      <c r="L47" s="106">
        <f>SUM(HTL[[#This Row],[S3Disclr]]:HTL[[#This Row],[S3Print]])</f>
        <v>0</v>
      </c>
      <c r="M47" s="106">
        <f>SUM(HTL[[#This Row],[S1Qty]],HTL[[#This Row],[S2Qty]],HTL[[#This Row],[S3Qty]])-HTL[[#This Row],[TotalDft]]</f>
        <v>5051</v>
      </c>
      <c r="N47" s="106">
        <f>SUM(HTL[[#This Row],[S1Dft]],HTL[[#This Row],[S2Dft]],HTL[[#This Row],[S3Dft]])</f>
        <v>10</v>
      </c>
      <c r="O47" s="111">
        <f>IF(HTL[[#This Row],[Total]]=0,0,HTL[[#This Row],[TotalDft]]/HTL[[#This Row],[Total]])</f>
        <v>1.9798059790140567E-3</v>
      </c>
      <c r="P47" s="124" t="s">
        <v>308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/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7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3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</row>
    <row r="48" spans="1:61" x14ac:dyDescent="0.2">
      <c r="A48" s="116">
        <v>45420</v>
      </c>
      <c r="B48" s="117" t="s">
        <v>64</v>
      </c>
      <c r="C48" s="124" t="s">
        <v>266</v>
      </c>
      <c r="D48" s="112">
        <v>27328</v>
      </c>
      <c r="E48" s="124" t="s">
        <v>267</v>
      </c>
      <c r="F48" s="112" t="str">
        <f>IF(HTL[[#This Row],[Total]]&gt;0,"Running","Down")</f>
        <v>Running</v>
      </c>
      <c r="G48" s="106">
        <v>6691</v>
      </c>
      <c r="H48" s="106">
        <f>SUM(HTL[[#This Row],[S1Disclr]]:HTL[[#This Row],[S1Print]])</f>
        <v>6</v>
      </c>
      <c r="I48" s="106">
        <v>7425</v>
      </c>
      <c r="J48" s="106">
        <f>SUM(HTL[[#This Row],[S2Disclr]]:HTL[[#This Row],[S2Print]])</f>
        <v>0</v>
      </c>
      <c r="K48" s="106">
        <v>7825</v>
      </c>
      <c r="L48" s="106">
        <f>SUM(HTL[[#This Row],[S3Disclr]]:HTL[[#This Row],[S3Print]])</f>
        <v>5</v>
      </c>
      <c r="M48" s="106">
        <f>SUM(HTL[[#This Row],[S1Qty]],HTL[[#This Row],[S2Qty]],HTL[[#This Row],[S3Qty]])-HTL[[#This Row],[TotalDft]]</f>
        <v>21930</v>
      </c>
      <c r="N48" s="106">
        <f>SUM(HTL[[#This Row],[S1Dft]],HTL[[#This Row],[S2Dft]],HTL[[#This Row],[S3Dft]])</f>
        <v>11</v>
      </c>
      <c r="O48" s="105">
        <f>IF(HTL[[#This Row],[Total]]=0,0,HTL[[#This Row],[TotalDft]]/HTL[[#This Row],[Total]])</f>
        <v>5.0159598723210214E-4</v>
      </c>
      <c r="P48" s="124"/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1</v>
      </c>
      <c r="AE48" s="106">
        <v>5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1</v>
      </c>
      <c r="BF48" s="106">
        <v>0</v>
      </c>
      <c r="BG48" s="106">
        <v>0</v>
      </c>
      <c r="BH48" s="106">
        <v>4</v>
      </c>
      <c r="BI48" s="106">
        <v>0</v>
      </c>
    </row>
    <row r="49" spans="1:61" x14ac:dyDescent="0.2">
      <c r="A49" s="116">
        <v>45420</v>
      </c>
      <c r="B49" s="117" t="s">
        <v>69</v>
      </c>
      <c r="C49" s="124" t="s">
        <v>223</v>
      </c>
      <c r="D49" s="112"/>
      <c r="E49" s="124" t="s">
        <v>256</v>
      </c>
      <c r="F49" s="112" t="str">
        <f>IF(HTL[[#This Row],[Total]]&gt;0,"Running","Down")</f>
        <v>Down</v>
      </c>
      <c r="G49" s="106">
        <v>0</v>
      </c>
      <c r="H49" s="106">
        <f>SUM(HTL[[#This Row],[S1Disclr]]:HTL[[#This Row],[S1Print]])</f>
        <v>0</v>
      </c>
      <c r="I49" s="106">
        <v>0</v>
      </c>
      <c r="J49" s="106">
        <f>SUM(HTL[[#This Row],[S2Disclr]]:HTL[[#This Row],[S2Print]])</f>
        <v>0</v>
      </c>
      <c r="K49" s="106">
        <v>0</v>
      </c>
      <c r="L49" s="106">
        <f>SUM(HTL[[#This Row],[S3Disclr]]:HTL[[#This Row],[S3Print]])</f>
        <v>0</v>
      </c>
      <c r="M49" s="106">
        <f>SUM(HTL[[#This Row],[S1Qty]],HTL[[#This Row],[S2Qty]],HTL[[#This Row],[S3Qty]])-HTL[[#This Row],[TotalDft]]</f>
        <v>0</v>
      </c>
      <c r="N49" s="106">
        <f>SUM(HTL[[#This Row],[S1Dft]],HTL[[#This Row],[S2Dft]],HTL[[#This Row],[S3Dft]])</f>
        <v>0</v>
      </c>
      <c r="O49" s="111">
        <f>IF(HTL[[#This Row],[Total]]=0,0,HTL[[#This Row],[TotalDft]]/HTL[[#This Row],[Total]])</f>
        <v>0</v>
      </c>
      <c r="P49" s="124"/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</row>
    <row r="50" spans="1:61" x14ac:dyDescent="0.2">
      <c r="A50" s="116">
        <v>45420</v>
      </c>
      <c r="B50" s="117" t="s">
        <v>68</v>
      </c>
      <c r="C50" s="124" t="s">
        <v>234</v>
      </c>
      <c r="D50" s="112">
        <v>27679</v>
      </c>
      <c r="E50" s="124" t="s">
        <v>197</v>
      </c>
      <c r="F50" s="112" t="str">
        <f>IF(HTL[[#This Row],[Total]]&gt;0,"Running","Down")</f>
        <v>Running</v>
      </c>
      <c r="G50" s="106">
        <v>4585</v>
      </c>
      <c r="H50" s="106">
        <f>SUM(HTL[[#This Row],[S1Disclr]]:HTL[[#This Row],[S1Print]])</f>
        <v>1</v>
      </c>
      <c r="I50" s="106">
        <v>5175</v>
      </c>
      <c r="J50" s="106">
        <f>SUM(HTL[[#This Row],[S2Disclr]]:HTL[[#This Row],[S2Print]])</f>
        <v>0</v>
      </c>
      <c r="K50" s="106">
        <v>5173</v>
      </c>
      <c r="L50" s="106">
        <f>SUM(HTL[[#This Row],[S3Disclr]]:HTL[[#This Row],[S3Print]])</f>
        <v>3</v>
      </c>
      <c r="M50" s="106">
        <f>SUM(HTL[[#This Row],[S1Qty]],HTL[[#This Row],[S2Qty]],HTL[[#This Row],[S3Qty]])-HTL[[#This Row],[TotalDft]]</f>
        <v>14929</v>
      </c>
      <c r="N50" s="106">
        <f>SUM(HTL[[#This Row],[S1Dft]],HTL[[#This Row],[S2Dft]],HTL[[#This Row],[S3Dft]])</f>
        <v>4</v>
      </c>
      <c r="O50" s="111">
        <f>IF(HTL[[#This Row],[Total]]=0,0,HTL[[#This Row],[TotalDft]]/HTL[[#This Row],[Total]])</f>
        <v>2.6793489182128745E-4</v>
      </c>
      <c r="P50" s="124"/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1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1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2</v>
      </c>
      <c r="BI50" s="106">
        <v>0</v>
      </c>
    </row>
    <row r="51" spans="1:61" x14ac:dyDescent="0.2">
      <c r="A51" s="116">
        <v>45420</v>
      </c>
      <c r="B51" s="117" t="s">
        <v>115</v>
      </c>
      <c r="C51" s="124" t="s">
        <v>234</v>
      </c>
      <c r="D51" s="112">
        <v>26455</v>
      </c>
      <c r="E51" s="124" t="s">
        <v>197</v>
      </c>
      <c r="F51" s="112" t="str">
        <f>IF(HTL[[#This Row],[Total]]&gt;0,"Running","Down")</f>
        <v>Running</v>
      </c>
      <c r="G51" s="106">
        <v>8955</v>
      </c>
      <c r="H51" s="106">
        <f>SUM(HTL[[#This Row],[S1Disclr]]:HTL[[#This Row],[S1Print]])</f>
        <v>0</v>
      </c>
      <c r="I51" s="106">
        <v>8644</v>
      </c>
      <c r="J51" s="106">
        <f>SUM(HTL[[#This Row],[S2Disclr]]:HTL[[#This Row],[S2Print]])</f>
        <v>5</v>
      </c>
      <c r="K51" s="106">
        <v>9020</v>
      </c>
      <c r="L51" s="106">
        <f>SUM(HTL[[#This Row],[S3Disclr]]:HTL[[#This Row],[S3Print]])</f>
        <v>0</v>
      </c>
      <c r="M51" s="106">
        <f>SUM(HTL[[#This Row],[S1Qty]],HTL[[#This Row],[S2Qty]],HTL[[#This Row],[S3Qty]])-HTL[[#This Row],[TotalDft]]</f>
        <v>26614</v>
      </c>
      <c r="N51" s="106">
        <f>SUM(HTL[[#This Row],[S1Dft]],HTL[[#This Row],[S2Dft]],HTL[[#This Row],[S3Dft]])</f>
        <v>5</v>
      </c>
      <c r="O51" s="111">
        <f>IF(HTL[[#This Row],[Total]]=0,0,HTL[[#This Row],[TotalDft]]/HTL[[#This Row],[Total]])</f>
        <v>1.8787104531449612E-4</v>
      </c>
      <c r="P51" s="124"/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5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</row>
    <row r="52" spans="1:61" x14ac:dyDescent="0.2">
      <c r="A52" s="116">
        <v>45420</v>
      </c>
      <c r="B52" s="124" t="s">
        <v>232</v>
      </c>
      <c r="C52" s="124" t="s">
        <v>233</v>
      </c>
      <c r="D52" s="112">
        <v>26944</v>
      </c>
      <c r="E52" s="124" t="s">
        <v>198</v>
      </c>
      <c r="F52" s="112" t="str">
        <f>IF(HTL[[#This Row],[Total]]&gt;0,"Running","Down")</f>
        <v>Running</v>
      </c>
      <c r="G52" s="106">
        <v>6254</v>
      </c>
      <c r="H52" s="106">
        <f>SUM(HTL[[#This Row],[S1Disclr]]:HTL[[#This Row],[S1Print]])</f>
        <v>0</v>
      </c>
      <c r="I52" s="106">
        <v>7192</v>
      </c>
      <c r="J52" s="106">
        <f>SUM(HTL[[#This Row],[S2Disclr]]:HTL[[#This Row],[S2Print]])</f>
        <v>3</v>
      </c>
      <c r="K52" s="106">
        <v>7561</v>
      </c>
      <c r="L52" s="106">
        <f>SUM(HTL[[#This Row],[S3Disclr]]:HTL[[#This Row],[S3Print]])</f>
        <v>2</v>
      </c>
      <c r="M52" s="106">
        <f>SUM(HTL[[#This Row],[S1Qty]],HTL[[#This Row],[S2Qty]],HTL[[#This Row],[S3Qty]])-HTL[[#This Row],[TotalDft]]</f>
        <v>21002</v>
      </c>
      <c r="N52" s="106">
        <f>SUM(HTL[[#This Row],[S1Dft]],HTL[[#This Row],[S2Dft]],HTL[[#This Row],[S3Dft]])</f>
        <v>5</v>
      </c>
      <c r="O52" s="111">
        <f>IF(HTL[[#This Row],[Total]]=0,0,HTL[[#This Row],[TotalDft]]/HTL[[#This Row],[Total]])</f>
        <v>2.3807256451766499E-4</v>
      </c>
      <c r="P52" s="124"/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/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3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1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1</v>
      </c>
    </row>
    <row r="53" spans="1:61" x14ac:dyDescent="0.2">
      <c r="A53" s="116">
        <v>45420</v>
      </c>
      <c r="B53" s="124" t="s">
        <v>271</v>
      </c>
      <c r="C53" s="124" t="s">
        <v>270</v>
      </c>
      <c r="D53" s="112"/>
      <c r="E53" s="124" t="s">
        <v>272</v>
      </c>
      <c r="F53" s="112" t="str">
        <f>IF(HTL[[#This Row],[Total]]&gt;0,"Running","Down")</f>
        <v>Down</v>
      </c>
      <c r="G53" s="106">
        <v>0</v>
      </c>
      <c r="H53" s="106">
        <f>SUM(HTL[[#This Row],[S1Disclr]]:HTL[[#This Row],[S1Print]])</f>
        <v>0</v>
      </c>
      <c r="I53" s="106">
        <v>0</v>
      </c>
      <c r="J53" s="106">
        <f>SUM(HTL[[#This Row],[S2Disclr]]:HTL[[#This Row],[S2Print]])</f>
        <v>0</v>
      </c>
      <c r="K53" s="106">
        <v>0</v>
      </c>
      <c r="L53" s="106">
        <f>SUM(HTL[[#This Row],[S3Disclr]]:HTL[[#This Row],[S3Print]])</f>
        <v>0</v>
      </c>
      <c r="M53" s="106">
        <f>SUM(HTL[[#This Row],[S1Qty]],HTL[[#This Row],[S2Qty]],HTL[[#This Row],[S3Qty]])-HTL[[#This Row],[TotalDft]]</f>
        <v>0</v>
      </c>
      <c r="N53" s="106">
        <f>SUM(HTL[[#This Row],[S1Dft]],HTL[[#This Row],[S2Dft]],HTL[[#This Row],[S3Dft]])</f>
        <v>0</v>
      </c>
      <c r="O53" s="111">
        <f>IF(HTL[[#This Row],[Total]]=0,0,HTL[[#This Row],[TotalDft]]/HTL[[#This Row],[Total]])</f>
        <v>0</v>
      </c>
      <c r="P53" s="124"/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/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</row>
    <row r="54" spans="1:61" x14ac:dyDescent="0.2">
      <c r="A54" s="116">
        <v>45421</v>
      </c>
      <c r="B54" s="117" t="s">
        <v>64</v>
      </c>
      <c r="C54" s="124" t="s">
        <v>266</v>
      </c>
      <c r="D54" s="112">
        <v>26598</v>
      </c>
      <c r="E54" s="112" t="s">
        <v>267</v>
      </c>
      <c r="F54" s="112" t="str">
        <f>IF(HTL[[#This Row],[Total]]&gt;0,"Running","Down")</f>
        <v>Running</v>
      </c>
      <c r="G54" s="106">
        <v>5187</v>
      </c>
      <c r="H54" s="106">
        <f>SUM(HTL[[#This Row],[S1Disclr]]:HTL[[#This Row],[S1Print]])</f>
        <v>6</v>
      </c>
      <c r="I54" s="106">
        <v>7176</v>
      </c>
      <c r="J54" s="106">
        <f>SUM(HTL[[#This Row],[S2Disclr]]:HTL[[#This Row],[S2Print]])</f>
        <v>3</v>
      </c>
      <c r="K54" s="106">
        <v>7333</v>
      </c>
      <c r="L54" s="106">
        <f>SUM(HTL[[#This Row],[S3Disclr]]:HTL[[#This Row],[S3Print]])</f>
        <v>2</v>
      </c>
      <c r="M54" s="106">
        <f>SUM(HTL[[#This Row],[S1Qty]],HTL[[#This Row],[S2Qty]],HTL[[#This Row],[S3Qty]])-HTL[[#This Row],[TotalDft]]</f>
        <v>19685</v>
      </c>
      <c r="N54" s="106">
        <f>SUM(HTL[[#This Row],[S1Dft]],HTL[[#This Row],[S2Dft]],HTL[[#This Row],[S3Dft]])</f>
        <v>11</v>
      </c>
      <c r="O54" s="105">
        <f>IF(HTL[[#This Row],[Total]]=0,0,HTL[[#This Row],[TotalDft]]/HTL[[#This Row],[Total]])</f>
        <v>5.5880111760223518E-4</v>
      </c>
      <c r="P54" s="124" t="s">
        <v>317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1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2</v>
      </c>
      <c r="AE54" s="106">
        <v>3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3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1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1</v>
      </c>
      <c r="BI54" s="106">
        <v>0</v>
      </c>
    </row>
    <row r="55" spans="1:61" x14ac:dyDescent="0.2">
      <c r="A55" s="116">
        <v>45421</v>
      </c>
      <c r="B55" s="117" t="s">
        <v>69</v>
      </c>
      <c r="C55" s="124" t="s">
        <v>223</v>
      </c>
      <c r="D55" s="112"/>
      <c r="E55" s="112" t="s">
        <v>256</v>
      </c>
      <c r="F55" s="112" t="str">
        <f>IF(HTL[[#This Row],[Total]]&gt;0,"Running","Down")</f>
        <v>Down</v>
      </c>
      <c r="G55" s="106">
        <v>0</v>
      </c>
      <c r="H55" s="106">
        <f>SUM(HTL[[#This Row],[S1Disclr]]:HTL[[#This Row],[S1Print]])</f>
        <v>0</v>
      </c>
      <c r="I55" s="106">
        <v>0</v>
      </c>
      <c r="J55" s="106">
        <f>SUM(HTL[[#This Row],[S2Disclr]]:HTL[[#This Row],[S2Print]])</f>
        <v>0</v>
      </c>
      <c r="K55" s="106">
        <v>0</v>
      </c>
      <c r="L55" s="106">
        <f>SUM(HTL[[#This Row],[S3Disclr]]:HTL[[#This Row],[S3Print]])</f>
        <v>0</v>
      </c>
      <c r="M55" s="106">
        <f>SUM(HTL[[#This Row],[S1Qty]],HTL[[#This Row],[S2Qty]],HTL[[#This Row],[S3Qty]])-HTL[[#This Row],[TotalDft]]</f>
        <v>0</v>
      </c>
      <c r="N55" s="106">
        <f>SUM(HTL[[#This Row],[S1Dft]],HTL[[#This Row],[S2Dft]],HTL[[#This Row],[S3Dft]])</f>
        <v>0</v>
      </c>
      <c r="O55" s="111">
        <f>IF(HTL[[#This Row],[Total]]=0,0,HTL[[#This Row],[TotalDft]]/HTL[[#This Row],[Total]])</f>
        <v>0</v>
      </c>
      <c r="P55" s="124"/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</row>
    <row r="56" spans="1:61" x14ac:dyDescent="0.2">
      <c r="A56" s="116">
        <v>45421</v>
      </c>
      <c r="B56" s="117" t="s">
        <v>68</v>
      </c>
      <c r="C56" s="124" t="s">
        <v>234</v>
      </c>
      <c r="D56" s="112">
        <v>27679</v>
      </c>
      <c r="E56" s="112" t="s">
        <v>197</v>
      </c>
      <c r="F56" s="112" t="str">
        <f>IF(HTL[[#This Row],[Total]]&gt;0,"Running","Down")</f>
        <v>Running</v>
      </c>
      <c r="G56" s="106">
        <v>4936</v>
      </c>
      <c r="H56" s="106">
        <f>SUM(HTL[[#This Row],[S1Disclr]]:HTL[[#This Row],[S1Print]])</f>
        <v>0</v>
      </c>
      <c r="I56" s="106">
        <v>4995</v>
      </c>
      <c r="J56" s="106">
        <f>SUM(HTL[[#This Row],[S2Disclr]]:HTL[[#This Row],[S2Print]])</f>
        <v>2</v>
      </c>
      <c r="K56" s="106">
        <v>5149</v>
      </c>
      <c r="L56" s="106">
        <f>SUM(HTL[[#This Row],[S3Disclr]]:HTL[[#This Row],[S3Print]])</f>
        <v>3</v>
      </c>
      <c r="M56" s="106">
        <f>SUM(HTL[[#This Row],[S1Qty]],HTL[[#This Row],[S2Qty]],HTL[[#This Row],[S3Qty]])-HTL[[#This Row],[TotalDft]]</f>
        <v>15075</v>
      </c>
      <c r="N56" s="106">
        <f>SUM(HTL[[#This Row],[S1Dft]],HTL[[#This Row],[S2Dft]],HTL[[#This Row],[S3Dft]])</f>
        <v>5</v>
      </c>
      <c r="O56" s="111">
        <f>IF(HTL[[#This Row],[Total]]=0,0,HTL[[#This Row],[TotalDft]]/HTL[[#This Row],[Total]])</f>
        <v>3.3167495854063018E-4</v>
      </c>
      <c r="P56" s="124"/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1</v>
      </c>
      <c r="AT56" s="106">
        <v>1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3</v>
      </c>
      <c r="BI56" s="106">
        <v>0</v>
      </c>
    </row>
    <row r="57" spans="1:61" x14ac:dyDescent="0.2">
      <c r="A57" s="116">
        <v>45421</v>
      </c>
      <c r="B57" s="117" t="s">
        <v>115</v>
      </c>
      <c r="C57" s="124" t="s">
        <v>234</v>
      </c>
      <c r="D57" s="112">
        <v>26455</v>
      </c>
      <c r="E57" s="112" t="s">
        <v>197</v>
      </c>
      <c r="F57" s="112" t="str">
        <f>IF(HTL[[#This Row],[Total]]&gt;0,"Running","Down")</f>
        <v>Running</v>
      </c>
      <c r="G57" s="106">
        <v>7280</v>
      </c>
      <c r="H57" s="106">
        <f>SUM(HTL[[#This Row],[S1Disclr]]:HTL[[#This Row],[S1Print]])</f>
        <v>0</v>
      </c>
      <c r="I57" s="106">
        <v>6805</v>
      </c>
      <c r="J57" s="106">
        <f>SUM(HTL[[#This Row],[S2Disclr]]:HTL[[#This Row],[S2Print]])</f>
        <v>4</v>
      </c>
      <c r="K57" s="106">
        <v>8984</v>
      </c>
      <c r="L57" s="106">
        <f>SUM(HTL[[#This Row],[S3Disclr]]:HTL[[#This Row],[S3Print]])</f>
        <v>2</v>
      </c>
      <c r="M57" s="106">
        <f>SUM(HTL[[#This Row],[S1Qty]],HTL[[#This Row],[S2Qty]],HTL[[#This Row],[S3Qty]])-HTL[[#This Row],[TotalDft]]</f>
        <v>23063</v>
      </c>
      <c r="N57" s="106">
        <f>SUM(HTL[[#This Row],[S1Dft]],HTL[[#This Row],[S2Dft]],HTL[[#This Row],[S3Dft]])</f>
        <v>6</v>
      </c>
      <c r="O57" s="111">
        <f>IF(HTL[[#This Row],[Total]]=0,0,HTL[[#This Row],[TotalDft]]/HTL[[#This Row],[Total]])</f>
        <v>2.6015696136669122E-4</v>
      </c>
      <c r="P57" s="124"/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4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2</v>
      </c>
      <c r="BF57" s="106">
        <v>0</v>
      </c>
      <c r="BG57" s="106">
        <v>0</v>
      </c>
      <c r="BH57" s="106">
        <v>0</v>
      </c>
      <c r="BI57" s="106">
        <v>0</v>
      </c>
    </row>
    <row r="58" spans="1:61" x14ac:dyDescent="0.2">
      <c r="A58" s="116">
        <v>45421</v>
      </c>
      <c r="B58" s="124" t="s">
        <v>232</v>
      </c>
      <c r="C58" s="124" t="s">
        <v>233</v>
      </c>
      <c r="D58" s="112">
        <v>26944</v>
      </c>
      <c r="E58" s="112" t="s">
        <v>198</v>
      </c>
      <c r="F58" s="112" t="str">
        <f>IF(HTL[[#This Row],[Total]]&gt;0,"Running","Down")</f>
        <v>Running</v>
      </c>
      <c r="G58" s="106">
        <v>4630</v>
      </c>
      <c r="H58" s="106">
        <f>SUM(HTL[[#This Row],[S1Disclr]]:HTL[[#This Row],[S1Print]])</f>
        <v>12</v>
      </c>
      <c r="I58" s="106">
        <v>6834</v>
      </c>
      <c r="J58" s="106">
        <f>SUM(HTL[[#This Row],[S2Disclr]]:HTL[[#This Row],[S2Print]])</f>
        <v>9</v>
      </c>
      <c r="K58" s="106">
        <v>4871</v>
      </c>
      <c r="L58" s="106">
        <f>SUM(HTL[[#This Row],[S3Disclr]]:HTL[[#This Row],[S3Print]])</f>
        <v>5</v>
      </c>
      <c r="M58" s="106">
        <f>SUM(HTL[[#This Row],[S1Qty]],HTL[[#This Row],[S2Qty]],HTL[[#This Row],[S3Qty]])-HTL[[#This Row],[TotalDft]]</f>
        <v>16309</v>
      </c>
      <c r="N58" s="106">
        <f>SUM(HTL[[#This Row],[S1Dft]],HTL[[#This Row],[S2Dft]],HTL[[#This Row],[S3Dft]])</f>
        <v>26</v>
      </c>
      <c r="O58" s="111">
        <f>IF(HTL[[#This Row],[Total]]=0,0,HTL[[#This Row],[TotalDft]]/HTL[[#This Row],[Total]])</f>
        <v>1.5942117849040407E-3</v>
      </c>
      <c r="P58" s="124" t="s">
        <v>318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/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12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3</v>
      </c>
      <c r="AT58" s="106">
        <v>6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5</v>
      </c>
    </row>
    <row r="59" spans="1:61" x14ac:dyDescent="0.2">
      <c r="A59" s="116">
        <v>45421</v>
      </c>
      <c r="B59" s="124" t="s">
        <v>271</v>
      </c>
      <c r="C59" s="124" t="s">
        <v>270</v>
      </c>
      <c r="D59" s="112"/>
      <c r="E59" s="112" t="s">
        <v>272</v>
      </c>
      <c r="F59" s="112" t="str">
        <f>IF(HTL[[#This Row],[Total]]&gt;0,"Running","Down")</f>
        <v>Down</v>
      </c>
      <c r="G59" s="106">
        <v>0</v>
      </c>
      <c r="H59" s="106">
        <f>SUM(HTL[[#This Row],[S1Disclr]]:HTL[[#This Row],[S1Print]])</f>
        <v>0</v>
      </c>
      <c r="I59" s="106">
        <v>0</v>
      </c>
      <c r="J59" s="106">
        <f>SUM(HTL[[#This Row],[S2Disclr]]:HTL[[#This Row],[S2Print]])</f>
        <v>0</v>
      </c>
      <c r="K59" s="106">
        <v>0</v>
      </c>
      <c r="L59" s="106">
        <f>SUM(HTL[[#This Row],[S3Disclr]]:HTL[[#This Row],[S3Print]])</f>
        <v>0</v>
      </c>
      <c r="M59" s="106">
        <f>SUM(HTL[[#This Row],[S1Qty]],HTL[[#This Row],[S2Qty]],HTL[[#This Row],[S3Qty]])-HTL[[#This Row],[TotalDft]]</f>
        <v>0</v>
      </c>
      <c r="N59" s="106">
        <f>SUM(HTL[[#This Row],[S1Dft]],HTL[[#This Row],[S2Dft]],HTL[[#This Row],[S3Dft]])</f>
        <v>0</v>
      </c>
      <c r="O59" s="111">
        <f>IF(HTL[[#This Row],[Total]]=0,0,HTL[[#This Row],[TotalDft]]/HTL[[#This Row],[Total]])</f>
        <v>0</v>
      </c>
      <c r="P59" s="124"/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/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</row>
    <row r="60" spans="1:61" hidden="1" x14ac:dyDescent="0.2">
      <c r="A60" s="116">
        <v>45422</v>
      </c>
      <c r="B60" s="117" t="s">
        <v>64</v>
      </c>
      <c r="C60" s="124" t="s">
        <v>266</v>
      </c>
      <c r="D60" s="112"/>
      <c r="E60" s="124" t="s">
        <v>267</v>
      </c>
      <c r="F60" s="112" t="str">
        <f>IF(HTL[[#This Row],[Total]]&gt;0,"Running","Down")</f>
        <v>Down</v>
      </c>
      <c r="G60" s="106">
        <v>0</v>
      </c>
      <c r="H60" s="106">
        <f>SUM(HTL[[#This Row],[S1Disclr]]:HTL[[#This Row],[S1Print]])</f>
        <v>0</v>
      </c>
      <c r="I60" s="106">
        <v>0</v>
      </c>
      <c r="J60" s="106">
        <f>SUM(HTL[[#This Row],[S2Disclr]]:HTL[[#This Row],[S2Print]])</f>
        <v>0</v>
      </c>
      <c r="K60" s="106">
        <v>0</v>
      </c>
      <c r="L60" s="106">
        <f>SUM(HTL[[#This Row],[S3Disclr]]:HTL[[#This Row],[S3Print]])</f>
        <v>0</v>
      </c>
      <c r="M60" s="106">
        <f>SUM(HTL[[#This Row],[S1Qty]],HTL[[#This Row],[S2Qty]],HTL[[#This Row],[S3Qty]])-HTL[[#This Row],[TotalDft]]</f>
        <v>0</v>
      </c>
      <c r="N60" s="106">
        <f>SUM(HTL[[#This Row],[S1Dft]],HTL[[#This Row],[S2Dft]],HTL[[#This Row],[S3Dft]])</f>
        <v>0</v>
      </c>
      <c r="O60" s="105">
        <f>IF(HTL[[#This Row],[Total]]=0,0,HTL[[#This Row],[TotalDft]]/HTL[[#This Row],[Total]])</f>
        <v>0</v>
      </c>
      <c r="P60" s="124"/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</row>
    <row r="61" spans="1:61" hidden="1" x14ac:dyDescent="0.2">
      <c r="A61" s="116">
        <v>45422</v>
      </c>
      <c r="B61" s="117" t="s">
        <v>69</v>
      </c>
      <c r="C61" s="124" t="s">
        <v>223</v>
      </c>
      <c r="D61" s="112"/>
      <c r="E61" s="124" t="s">
        <v>256</v>
      </c>
      <c r="F61" s="112" t="str">
        <f>IF(HTL[[#This Row],[Total]]&gt;0,"Running","Down")</f>
        <v>Down</v>
      </c>
      <c r="G61" s="106">
        <v>0</v>
      </c>
      <c r="H61" s="106">
        <f>SUM(HTL[[#This Row],[S1Disclr]]:HTL[[#This Row],[S1Print]])</f>
        <v>0</v>
      </c>
      <c r="I61" s="106">
        <v>0</v>
      </c>
      <c r="J61" s="106">
        <f>SUM(HTL[[#This Row],[S2Disclr]]:HTL[[#This Row],[S2Print]])</f>
        <v>0</v>
      </c>
      <c r="K61" s="106">
        <v>0</v>
      </c>
      <c r="L61" s="106">
        <f>SUM(HTL[[#This Row],[S3Disclr]]:HTL[[#This Row],[S3Print]])</f>
        <v>0</v>
      </c>
      <c r="M61" s="106">
        <f>SUM(HTL[[#This Row],[S1Qty]],HTL[[#This Row],[S2Qty]],HTL[[#This Row],[S3Qty]])-HTL[[#This Row],[TotalDft]]</f>
        <v>0</v>
      </c>
      <c r="N61" s="106">
        <f>SUM(HTL[[#This Row],[S1Dft]],HTL[[#This Row],[S2Dft]],HTL[[#This Row],[S3Dft]])</f>
        <v>0</v>
      </c>
      <c r="O61" s="111">
        <f>IF(HTL[[#This Row],[Total]]=0,0,HTL[[#This Row],[TotalDft]]/HTL[[#This Row],[Total]])</f>
        <v>0</v>
      </c>
      <c r="P61" s="124"/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</row>
    <row r="62" spans="1:61" hidden="1" x14ac:dyDescent="0.2">
      <c r="A62" s="116">
        <v>45422</v>
      </c>
      <c r="B62" s="117" t="s">
        <v>68</v>
      </c>
      <c r="C62" s="124" t="s">
        <v>234</v>
      </c>
      <c r="D62" s="112"/>
      <c r="E62" s="124" t="s">
        <v>197</v>
      </c>
      <c r="F62" s="112" t="str">
        <f>IF(HTL[[#This Row],[Total]]&gt;0,"Running","Down")</f>
        <v>Down</v>
      </c>
      <c r="G62" s="106">
        <v>0</v>
      </c>
      <c r="H62" s="106">
        <f>SUM(HTL[[#This Row],[S1Disclr]]:HTL[[#This Row],[S1Print]])</f>
        <v>0</v>
      </c>
      <c r="I62" s="106">
        <v>0</v>
      </c>
      <c r="J62" s="106">
        <f>SUM(HTL[[#This Row],[S2Disclr]]:HTL[[#This Row],[S2Print]])</f>
        <v>0</v>
      </c>
      <c r="K62" s="106">
        <v>0</v>
      </c>
      <c r="L62" s="106">
        <f>SUM(HTL[[#This Row],[S3Disclr]]:HTL[[#This Row],[S3Print]])</f>
        <v>0</v>
      </c>
      <c r="M62" s="106">
        <f>SUM(HTL[[#This Row],[S1Qty]],HTL[[#This Row],[S2Qty]],HTL[[#This Row],[S3Qty]])-HTL[[#This Row],[TotalDft]]</f>
        <v>0</v>
      </c>
      <c r="N62" s="106">
        <f>SUM(HTL[[#This Row],[S1Dft]],HTL[[#This Row],[S2Dft]],HTL[[#This Row],[S3Dft]])</f>
        <v>0</v>
      </c>
      <c r="O62" s="111">
        <f>IF(HTL[[#This Row],[Total]]=0,0,HTL[[#This Row],[TotalDft]]/HTL[[#This Row],[Total]])</f>
        <v>0</v>
      </c>
      <c r="P62" s="124"/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</row>
    <row r="63" spans="1:61" hidden="1" x14ac:dyDescent="0.2">
      <c r="A63" s="116">
        <v>45422</v>
      </c>
      <c r="B63" s="117" t="s">
        <v>115</v>
      </c>
      <c r="C63" s="124" t="s">
        <v>234</v>
      </c>
      <c r="D63" s="112"/>
      <c r="E63" s="124" t="s">
        <v>197</v>
      </c>
      <c r="F63" s="112" t="str">
        <f>IF(HTL[[#This Row],[Total]]&gt;0,"Running","Down")</f>
        <v>Down</v>
      </c>
      <c r="G63" s="106">
        <v>0</v>
      </c>
      <c r="H63" s="106">
        <f>SUM(HTL[[#This Row],[S1Disclr]]:HTL[[#This Row],[S1Print]])</f>
        <v>0</v>
      </c>
      <c r="I63" s="106">
        <v>0</v>
      </c>
      <c r="J63" s="106">
        <f>SUM(HTL[[#This Row],[S2Disclr]]:HTL[[#This Row],[S2Print]])</f>
        <v>0</v>
      </c>
      <c r="K63" s="106">
        <v>0</v>
      </c>
      <c r="L63" s="106">
        <f>SUM(HTL[[#This Row],[S3Disclr]]:HTL[[#This Row],[S3Print]])</f>
        <v>0</v>
      </c>
      <c r="M63" s="106">
        <f>SUM(HTL[[#This Row],[S1Qty]],HTL[[#This Row],[S2Qty]],HTL[[#This Row],[S3Qty]])-HTL[[#This Row],[TotalDft]]</f>
        <v>0</v>
      </c>
      <c r="N63" s="106">
        <f>SUM(HTL[[#This Row],[S1Dft]],HTL[[#This Row],[S2Dft]],HTL[[#This Row],[S3Dft]])</f>
        <v>0</v>
      </c>
      <c r="O63" s="111">
        <f>IF(HTL[[#This Row],[Total]]=0,0,HTL[[#This Row],[TotalDft]]/HTL[[#This Row],[Total]])</f>
        <v>0</v>
      </c>
      <c r="P63" s="124"/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</row>
    <row r="64" spans="1:61" hidden="1" x14ac:dyDescent="0.2">
      <c r="A64" s="116">
        <v>45422</v>
      </c>
      <c r="B64" s="124" t="s">
        <v>232</v>
      </c>
      <c r="C64" s="124" t="s">
        <v>233</v>
      </c>
      <c r="D64" s="112"/>
      <c r="E64" s="124" t="s">
        <v>198</v>
      </c>
      <c r="F64" s="112" t="str">
        <f>IF(HTL[[#This Row],[Total]]&gt;0,"Running","Down")</f>
        <v>Down</v>
      </c>
      <c r="G64" s="106">
        <v>0</v>
      </c>
      <c r="H64" s="106">
        <f>SUM(HTL[[#This Row],[S1Disclr]]:HTL[[#This Row],[S1Print]])</f>
        <v>0</v>
      </c>
      <c r="I64" s="106">
        <v>0</v>
      </c>
      <c r="J64" s="106">
        <f>SUM(HTL[[#This Row],[S2Disclr]]:HTL[[#This Row],[S2Print]])</f>
        <v>0</v>
      </c>
      <c r="K64" s="106">
        <v>0</v>
      </c>
      <c r="L64" s="106">
        <f>SUM(HTL[[#This Row],[S3Disclr]]:HTL[[#This Row],[S3Print]])</f>
        <v>0</v>
      </c>
      <c r="M64" s="106">
        <f>SUM(HTL[[#This Row],[S1Qty]],HTL[[#This Row],[S2Qty]],HTL[[#This Row],[S3Qty]])-HTL[[#This Row],[TotalDft]]</f>
        <v>0</v>
      </c>
      <c r="N64" s="106">
        <f>SUM(HTL[[#This Row],[S1Dft]],HTL[[#This Row],[S2Dft]],HTL[[#This Row],[S3Dft]])</f>
        <v>0</v>
      </c>
      <c r="O64" s="111">
        <f>IF(HTL[[#This Row],[Total]]=0,0,HTL[[#This Row],[TotalDft]]/HTL[[#This Row],[Total]])</f>
        <v>0</v>
      </c>
      <c r="P64" s="124"/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/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</row>
    <row r="65" spans="1:61" hidden="1" x14ac:dyDescent="0.2">
      <c r="A65" s="116">
        <v>45422</v>
      </c>
      <c r="B65" s="124" t="s">
        <v>271</v>
      </c>
      <c r="C65" s="124" t="s">
        <v>270</v>
      </c>
      <c r="D65" s="112"/>
      <c r="E65" s="124" t="s">
        <v>272</v>
      </c>
      <c r="F65" s="112" t="str">
        <f>IF(HTL[[#This Row],[Total]]&gt;0,"Running","Down")</f>
        <v>Down</v>
      </c>
      <c r="G65" s="106">
        <v>0</v>
      </c>
      <c r="H65" s="106">
        <f>SUM(HTL[[#This Row],[S1Disclr]]:HTL[[#This Row],[S1Print]])</f>
        <v>0</v>
      </c>
      <c r="I65" s="106">
        <v>0</v>
      </c>
      <c r="J65" s="106">
        <f>SUM(HTL[[#This Row],[S2Disclr]]:HTL[[#This Row],[S2Print]])</f>
        <v>0</v>
      </c>
      <c r="K65" s="106">
        <v>0</v>
      </c>
      <c r="L65" s="106">
        <f>SUM(HTL[[#This Row],[S3Disclr]]:HTL[[#This Row],[S3Print]])</f>
        <v>0</v>
      </c>
      <c r="M65" s="106">
        <f>SUM(HTL[[#This Row],[S1Qty]],HTL[[#This Row],[S2Qty]],HTL[[#This Row],[S3Qty]])-HTL[[#This Row],[TotalDft]]</f>
        <v>0</v>
      </c>
      <c r="N65" s="106">
        <f>SUM(HTL[[#This Row],[S1Dft]],HTL[[#This Row],[S2Dft]],HTL[[#This Row],[S3Dft]])</f>
        <v>0</v>
      </c>
      <c r="O65" s="111">
        <f>IF(HTL[[#This Row],[Total]]=0,0,HTL[[#This Row],[TotalDft]]/HTL[[#This Row],[Total]])</f>
        <v>0</v>
      </c>
      <c r="P65" s="124"/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/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</row>
    <row r="67" spans="1:61" x14ac:dyDescent="0.2">
      <c r="E67" s="125"/>
    </row>
    <row r="69" spans="1:61" x14ac:dyDescent="0.2">
      <c r="I69" s="125"/>
    </row>
    <row r="72" spans="1:61" x14ac:dyDescent="0.2">
      <c r="E72" s="125"/>
    </row>
    <row r="73" spans="1:61" x14ac:dyDescent="0.2">
      <c r="I73" s="125"/>
    </row>
  </sheetData>
  <mergeCells count="2">
    <mergeCell ref="A2:J2"/>
    <mergeCell ref="L2:O2"/>
  </mergeCells>
  <phoneticPr fontId="10" type="noConversion"/>
  <conditionalFormatting sqref="A5:BI65">
    <cfRule type="expression" dxfId="115" priority="1" stopIfTrue="1">
      <formula>INDIRECT("HTL[@Date]")=MAX(INDIRECT("HTL[Date]"))-1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Y96"/>
  <sheetViews>
    <sheetView zoomScaleNormal="100" workbookViewId="0">
      <pane ySplit="7" topLeftCell="A8" activePane="bottomLeft" state="frozen"/>
      <selection pane="bottomLeft" activeCell="F40" sqref="F40"/>
    </sheetView>
  </sheetViews>
  <sheetFormatPr defaultRowHeight="12.75" x14ac:dyDescent="0.2"/>
  <cols>
    <col min="1" max="1" width="12.5703125" customWidth="1"/>
    <col min="2" max="2" width="9.7109375" bestFit="1" customWidth="1"/>
    <col min="3" max="3" width="10.140625" bestFit="1" customWidth="1"/>
    <col min="4" max="7" width="10.140625" customWidth="1"/>
    <col min="8" max="9" width="10.140625" bestFit="1" customWidth="1"/>
    <col min="10" max="11" width="11.7109375" customWidth="1"/>
    <col min="12" max="12" width="12.5703125" bestFit="1" customWidth="1"/>
    <col min="13" max="13" width="9.7109375" customWidth="1"/>
    <col min="14" max="19" width="10.140625" customWidth="1"/>
    <col min="20" max="20" width="10.140625" bestFit="1" customWidth="1"/>
    <col min="21" max="22" width="11.7109375" bestFit="1" customWidth="1"/>
    <col min="23" max="23" width="10.140625" bestFit="1" customWidth="1"/>
    <col min="24" max="24" width="10" customWidth="1"/>
    <col min="25" max="27" width="9.42578125" bestFit="1" customWidth="1"/>
    <col min="28" max="28" width="8.140625" bestFit="1" customWidth="1"/>
    <col min="29" max="30" width="9.42578125" bestFit="1" customWidth="1"/>
    <col min="31" max="31" width="7.140625" bestFit="1" customWidth="1"/>
  </cols>
  <sheetData>
    <row r="2" spans="1:25" ht="27.75" thickBot="1" x14ac:dyDescent="0.4">
      <c r="A2" s="90" t="s">
        <v>58</v>
      </c>
      <c r="J2" s="89" t="s">
        <v>18</v>
      </c>
      <c r="K2" s="226">
        <f>Production!$A$6</f>
        <v>45413</v>
      </c>
      <c r="L2" s="226"/>
      <c r="M2" s="226"/>
    </row>
    <row r="3" spans="1:25" ht="13.5" thickTop="1" x14ac:dyDescent="0.2"/>
    <row r="4" spans="1:25" ht="13.5" thickBot="1" x14ac:dyDescent="0.25"/>
    <row r="5" spans="1:25" x14ac:dyDescent="0.2">
      <c r="A5" s="110" t="s">
        <v>206</v>
      </c>
      <c r="N5" s="229"/>
      <c r="O5" s="229"/>
    </row>
    <row r="6" spans="1:25" x14ac:dyDescent="0.2">
      <c r="A6" s="108" t="s">
        <v>152</v>
      </c>
      <c r="B6" s="108" t="s">
        <v>0</v>
      </c>
      <c r="L6" s="108" t="s">
        <v>152</v>
      </c>
      <c r="N6" s="108" t="s">
        <v>0</v>
      </c>
      <c r="X6" s="108" t="s">
        <v>237</v>
      </c>
      <c r="Y6" s="108" t="s">
        <v>242</v>
      </c>
    </row>
    <row r="7" spans="1:25" x14ac:dyDescent="0.2">
      <c r="A7" s="108" t="s">
        <v>131</v>
      </c>
      <c r="B7" t="s">
        <v>45</v>
      </c>
      <c r="C7" t="s">
        <v>65</v>
      </c>
      <c r="D7" t="s">
        <v>224</v>
      </c>
      <c r="E7" t="s">
        <v>223</v>
      </c>
      <c r="F7" t="s">
        <v>234</v>
      </c>
      <c r="G7" t="s">
        <v>257</v>
      </c>
      <c r="H7" t="s">
        <v>270</v>
      </c>
      <c r="I7" s="114" t="s">
        <v>151</v>
      </c>
      <c r="K7" s="114"/>
      <c r="L7" s="108" t="s">
        <v>147</v>
      </c>
      <c r="M7" s="108" t="s">
        <v>131</v>
      </c>
      <c r="N7" t="s">
        <v>45</v>
      </c>
      <c r="O7" t="s">
        <v>65</v>
      </c>
      <c r="P7" t="s">
        <v>224</v>
      </c>
      <c r="Q7" t="s">
        <v>223</v>
      </c>
      <c r="R7" t="s">
        <v>234</v>
      </c>
      <c r="S7" t="s">
        <v>257</v>
      </c>
      <c r="T7" t="s">
        <v>270</v>
      </c>
      <c r="U7" s="114" t="s">
        <v>151</v>
      </c>
      <c r="X7" s="108" t="s">
        <v>147</v>
      </c>
      <c r="Y7" t="s">
        <v>223</v>
      </c>
    </row>
    <row r="8" spans="1:25" x14ac:dyDescent="0.2">
      <c r="A8" t="s">
        <v>148</v>
      </c>
      <c r="B8" s="109">
        <v>181494</v>
      </c>
      <c r="C8" s="109"/>
      <c r="D8" s="109"/>
      <c r="E8" s="109"/>
      <c r="F8" s="109"/>
      <c r="G8" s="109"/>
      <c r="H8" s="109"/>
      <c r="I8" s="115">
        <v>181494</v>
      </c>
      <c r="K8" s="115"/>
      <c r="L8" s="104">
        <v>45413</v>
      </c>
      <c r="N8" s="109">
        <v>22817</v>
      </c>
      <c r="O8" s="109">
        <v>25100</v>
      </c>
      <c r="P8" s="109">
        <v>0</v>
      </c>
      <c r="Q8" s="109">
        <v>0</v>
      </c>
      <c r="R8" s="109">
        <v>24476</v>
      </c>
      <c r="S8" s="109">
        <v>10208</v>
      </c>
      <c r="T8" s="109">
        <v>2820</v>
      </c>
      <c r="U8" s="115">
        <v>85421</v>
      </c>
      <c r="W8" s="109"/>
      <c r="X8" s="136">
        <v>45421</v>
      </c>
      <c r="Y8" s="109">
        <v>16798</v>
      </c>
    </row>
    <row r="9" spans="1:25" x14ac:dyDescent="0.2">
      <c r="A9" t="s">
        <v>149</v>
      </c>
      <c r="B9" s="109"/>
      <c r="C9" s="109">
        <v>217382</v>
      </c>
      <c r="D9" s="109"/>
      <c r="E9" s="109"/>
      <c r="F9" s="109"/>
      <c r="G9" s="109"/>
      <c r="H9" s="109"/>
      <c r="I9" s="115">
        <v>217382</v>
      </c>
      <c r="K9" s="115"/>
      <c r="L9" s="104">
        <v>45414</v>
      </c>
      <c r="N9" s="109">
        <v>24549</v>
      </c>
      <c r="O9" s="109">
        <v>25064</v>
      </c>
      <c r="P9" s="109">
        <v>16645</v>
      </c>
      <c r="Q9" s="109">
        <v>13267</v>
      </c>
      <c r="R9" s="109">
        <v>24753</v>
      </c>
      <c r="S9" s="109">
        <v>1288</v>
      </c>
      <c r="T9" s="109">
        <v>2986</v>
      </c>
      <c r="U9" s="115">
        <v>108552</v>
      </c>
      <c r="W9" s="109"/>
    </row>
    <row r="10" spans="1:25" x14ac:dyDescent="0.2">
      <c r="A10" t="s">
        <v>150</v>
      </c>
      <c r="B10" s="109"/>
      <c r="C10" s="109"/>
      <c r="D10" s="109"/>
      <c r="E10" s="109"/>
      <c r="F10" s="109"/>
      <c r="G10" s="109">
        <v>78627</v>
      </c>
      <c r="H10" s="109"/>
      <c r="I10" s="115">
        <v>78627</v>
      </c>
      <c r="K10" s="115"/>
      <c r="L10" s="104">
        <v>45415</v>
      </c>
      <c r="N10" s="109">
        <v>18830</v>
      </c>
      <c r="O10" s="109">
        <v>20455</v>
      </c>
      <c r="P10" s="109">
        <v>23071</v>
      </c>
      <c r="Q10" s="109">
        <v>13991</v>
      </c>
      <c r="R10" s="109">
        <v>20972</v>
      </c>
      <c r="S10" s="109">
        <v>1622</v>
      </c>
      <c r="T10" s="109">
        <v>3013</v>
      </c>
      <c r="U10" s="115">
        <v>101954</v>
      </c>
      <c r="W10" s="109"/>
    </row>
    <row r="11" spans="1:25" x14ac:dyDescent="0.2">
      <c r="A11" t="s">
        <v>220</v>
      </c>
      <c r="B11" s="109"/>
      <c r="C11" s="109"/>
      <c r="D11" s="109">
        <v>159713</v>
      </c>
      <c r="E11" s="109"/>
      <c r="F11" s="109"/>
      <c r="G11" s="109"/>
      <c r="H11" s="109"/>
      <c r="I11" s="115">
        <v>159713</v>
      </c>
      <c r="K11" s="115"/>
      <c r="L11" s="104">
        <v>45416</v>
      </c>
      <c r="N11" s="109">
        <v>24560</v>
      </c>
      <c r="O11" s="109">
        <v>24856</v>
      </c>
      <c r="P11" s="109">
        <v>22471</v>
      </c>
      <c r="Q11" s="109">
        <v>16798</v>
      </c>
      <c r="R11" s="109">
        <v>24801</v>
      </c>
      <c r="S11" s="109">
        <v>0</v>
      </c>
      <c r="T11" s="109">
        <v>3023</v>
      </c>
      <c r="U11" s="115">
        <v>116509</v>
      </c>
      <c r="W11" s="109"/>
    </row>
    <row r="12" spans="1:25" x14ac:dyDescent="0.2">
      <c r="A12" t="s">
        <v>221</v>
      </c>
      <c r="B12" s="109"/>
      <c r="C12" s="109"/>
      <c r="D12" s="109"/>
      <c r="E12" s="109"/>
      <c r="F12" s="109">
        <v>213864</v>
      </c>
      <c r="G12" s="109"/>
      <c r="H12" s="109"/>
      <c r="I12" s="115">
        <v>213864</v>
      </c>
      <c r="K12" s="115"/>
      <c r="L12" s="104">
        <v>45417</v>
      </c>
      <c r="N12" s="109">
        <v>20981</v>
      </c>
      <c r="O12" s="109">
        <v>22291</v>
      </c>
      <c r="P12" s="109">
        <v>11654</v>
      </c>
      <c r="Q12" s="109">
        <v>14072</v>
      </c>
      <c r="R12" s="109">
        <v>20538</v>
      </c>
      <c r="S12" s="109">
        <v>12373</v>
      </c>
      <c r="T12" s="109">
        <v>3028</v>
      </c>
      <c r="U12" s="115">
        <v>104937</v>
      </c>
      <c r="W12" s="109"/>
    </row>
    <row r="13" spans="1:25" x14ac:dyDescent="0.2">
      <c r="A13" t="s">
        <v>222</v>
      </c>
      <c r="B13" s="109"/>
      <c r="C13" s="109"/>
      <c r="D13" s="109"/>
      <c r="E13" s="109">
        <v>123344</v>
      </c>
      <c r="F13" s="109"/>
      <c r="G13" s="109"/>
      <c r="H13" s="109"/>
      <c r="I13" s="115">
        <v>123344</v>
      </c>
      <c r="K13" s="115"/>
      <c r="L13" s="104">
        <v>45418</v>
      </c>
      <c r="N13" s="109">
        <v>24740</v>
      </c>
      <c r="O13" s="109">
        <v>25078</v>
      </c>
      <c r="P13" s="109">
        <v>18961</v>
      </c>
      <c r="Q13" s="109">
        <v>16822</v>
      </c>
      <c r="R13" s="109">
        <v>24898</v>
      </c>
      <c r="S13" s="109">
        <v>16435</v>
      </c>
      <c r="T13" s="109">
        <v>3059</v>
      </c>
      <c r="U13" s="115">
        <v>129993</v>
      </c>
      <c r="W13" s="109"/>
    </row>
    <row r="14" spans="1:25" x14ac:dyDescent="0.2">
      <c r="A14" t="s">
        <v>269</v>
      </c>
      <c r="B14" s="109"/>
      <c r="C14" s="109"/>
      <c r="D14" s="109"/>
      <c r="E14" s="109"/>
      <c r="F14" s="109"/>
      <c r="G14" s="109"/>
      <c r="H14" s="109">
        <v>26356</v>
      </c>
      <c r="I14" s="115">
        <v>26356</v>
      </c>
      <c r="L14" s="104">
        <v>45419</v>
      </c>
      <c r="N14" s="109">
        <v>24191</v>
      </c>
      <c r="O14" s="109">
        <v>25066</v>
      </c>
      <c r="P14" s="109">
        <v>22845</v>
      </c>
      <c r="Q14" s="109">
        <v>16630</v>
      </c>
      <c r="R14" s="109">
        <v>23964</v>
      </c>
      <c r="S14" s="109">
        <v>19012</v>
      </c>
      <c r="T14" s="109">
        <v>2337</v>
      </c>
      <c r="U14" s="115">
        <v>134045</v>
      </c>
      <c r="W14" s="109"/>
    </row>
    <row r="15" spans="1:25" x14ac:dyDescent="0.2">
      <c r="A15" t="s">
        <v>151</v>
      </c>
      <c r="B15" s="109">
        <v>181494</v>
      </c>
      <c r="C15" s="109">
        <v>217382</v>
      </c>
      <c r="D15" s="109">
        <v>159713</v>
      </c>
      <c r="E15" s="109">
        <v>123344</v>
      </c>
      <c r="F15" s="109">
        <v>213864</v>
      </c>
      <c r="G15" s="109">
        <v>78627</v>
      </c>
      <c r="H15" s="109">
        <v>26356</v>
      </c>
      <c r="I15" s="115">
        <v>1000780</v>
      </c>
      <c r="L15" s="104">
        <v>45420</v>
      </c>
      <c r="N15" s="109">
        <v>4176</v>
      </c>
      <c r="O15" s="109">
        <v>24394</v>
      </c>
      <c r="P15" s="109">
        <v>19602</v>
      </c>
      <c r="Q15" s="109">
        <v>14966</v>
      </c>
      <c r="R15" s="109">
        <v>24399</v>
      </c>
      <c r="S15" s="109">
        <v>16249</v>
      </c>
      <c r="T15" s="109">
        <v>3053</v>
      </c>
      <c r="U15" s="115">
        <v>106839</v>
      </c>
      <c r="W15" s="109"/>
    </row>
    <row r="16" spans="1:25" x14ac:dyDescent="0.2">
      <c r="L16" s="104">
        <v>45421</v>
      </c>
      <c r="N16" s="109">
        <v>16650</v>
      </c>
      <c r="O16" s="109">
        <v>25078</v>
      </c>
      <c r="P16" s="109">
        <v>24464</v>
      </c>
      <c r="Q16" s="109">
        <v>16798</v>
      </c>
      <c r="R16" s="109">
        <v>25063</v>
      </c>
      <c r="S16" s="109">
        <v>1440</v>
      </c>
      <c r="T16" s="109">
        <v>3037</v>
      </c>
      <c r="U16" s="115">
        <v>112530</v>
      </c>
      <c r="W16" s="109"/>
    </row>
    <row r="17" spans="1:23" x14ac:dyDescent="0.2">
      <c r="L17" s="104">
        <v>45422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15">
        <v>0</v>
      </c>
      <c r="W17" s="109"/>
    </row>
    <row r="18" spans="1:23" x14ac:dyDescent="0.2">
      <c r="A18" s="108" t="s">
        <v>152</v>
      </c>
      <c r="C18" s="108" t="s">
        <v>0</v>
      </c>
      <c r="L18" s="104" t="s">
        <v>151</v>
      </c>
      <c r="N18" s="109">
        <v>181494</v>
      </c>
      <c r="O18" s="109">
        <v>217382</v>
      </c>
      <c r="P18" s="109">
        <v>159713</v>
      </c>
      <c r="Q18" s="109">
        <v>123344</v>
      </c>
      <c r="R18" s="109">
        <v>213864</v>
      </c>
      <c r="S18" s="109">
        <v>78627</v>
      </c>
      <c r="T18" s="109">
        <v>26356</v>
      </c>
      <c r="U18" s="115">
        <v>1000780</v>
      </c>
      <c r="W18" s="109"/>
    </row>
    <row r="19" spans="1:23" x14ac:dyDescent="0.2">
      <c r="A19" s="108" t="s">
        <v>147</v>
      </c>
      <c r="B19" s="108" t="s">
        <v>131</v>
      </c>
      <c r="C19" t="s">
        <v>45</v>
      </c>
      <c r="D19" t="s">
        <v>65</v>
      </c>
      <c r="E19" t="s">
        <v>224</v>
      </c>
      <c r="F19" t="s">
        <v>223</v>
      </c>
      <c r="G19" t="s">
        <v>234</v>
      </c>
      <c r="H19" t="s">
        <v>257</v>
      </c>
      <c r="I19" t="s">
        <v>270</v>
      </c>
      <c r="J19" s="114" t="s">
        <v>151</v>
      </c>
      <c r="W19" s="109"/>
    </row>
    <row r="20" spans="1:23" x14ac:dyDescent="0.2">
      <c r="A20" s="104">
        <v>45421</v>
      </c>
      <c r="B20" t="s">
        <v>148</v>
      </c>
      <c r="C20" s="109">
        <v>16650</v>
      </c>
      <c r="D20" s="109"/>
      <c r="E20" s="109"/>
      <c r="F20" s="109"/>
      <c r="G20" s="109"/>
      <c r="H20" s="109"/>
      <c r="I20" s="109"/>
      <c r="J20" s="115">
        <v>16650</v>
      </c>
      <c r="W20" s="109"/>
    </row>
    <row r="21" spans="1:23" x14ac:dyDescent="0.2">
      <c r="B21" t="s">
        <v>149</v>
      </c>
      <c r="C21" s="109"/>
      <c r="D21" s="109">
        <v>25078</v>
      </c>
      <c r="E21" s="109"/>
      <c r="F21" s="109"/>
      <c r="G21" s="109"/>
      <c r="H21" s="109"/>
      <c r="I21" s="109"/>
      <c r="J21" s="115">
        <v>25078</v>
      </c>
      <c r="W21" s="109"/>
    </row>
    <row r="22" spans="1:23" x14ac:dyDescent="0.2">
      <c r="B22" t="s">
        <v>150</v>
      </c>
      <c r="C22" s="109"/>
      <c r="D22" s="109"/>
      <c r="E22" s="109"/>
      <c r="F22" s="109"/>
      <c r="G22" s="109"/>
      <c r="H22" s="109">
        <v>1440</v>
      </c>
      <c r="I22" s="109"/>
      <c r="J22" s="115">
        <v>1440</v>
      </c>
      <c r="W22" s="109"/>
    </row>
    <row r="23" spans="1:23" x14ac:dyDescent="0.2">
      <c r="B23" t="s">
        <v>220</v>
      </c>
      <c r="C23" s="109"/>
      <c r="D23" s="109"/>
      <c r="E23" s="109">
        <v>24464</v>
      </c>
      <c r="F23" s="109"/>
      <c r="G23" s="109"/>
      <c r="H23" s="109"/>
      <c r="I23" s="109"/>
      <c r="J23" s="115">
        <v>24464</v>
      </c>
      <c r="W23" s="109"/>
    </row>
    <row r="24" spans="1:23" x14ac:dyDescent="0.2">
      <c r="B24" t="s">
        <v>221</v>
      </c>
      <c r="C24" s="109"/>
      <c r="D24" s="109"/>
      <c r="E24" s="109"/>
      <c r="F24" s="109"/>
      <c r="G24" s="109">
        <v>25063</v>
      </c>
      <c r="H24" s="109"/>
      <c r="I24" s="109"/>
      <c r="J24" s="115">
        <v>25063</v>
      </c>
      <c r="W24" s="109"/>
    </row>
    <row r="25" spans="1:23" x14ac:dyDescent="0.2">
      <c r="B25" t="s">
        <v>222</v>
      </c>
      <c r="C25" s="109"/>
      <c r="D25" s="109"/>
      <c r="E25" s="109"/>
      <c r="F25" s="109">
        <v>16798</v>
      </c>
      <c r="G25" s="109"/>
      <c r="H25" s="109"/>
      <c r="I25" s="109"/>
      <c r="J25" s="115">
        <v>16798</v>
      </c>
      <c r="W25" s="109"/>
    </row>
    <row r="26" spans="1:23" x14ac:dyDescent="0.2">
      <c r="B26" t="s">
        <v>269</v>
      </c>
      <c r="C26" s="109"/>
      <c r="D26" s="109"/>
      <c r="E26" s="109"/>
      <c r="F26" s="109"/>
      <c r="G26" s="109"/>
      <c r="H26" s="109"/>
      <c r="I26" s="109">
        <v>3037</v>
      </c>
      <c r="J26" s="115">
        <v>3037</v>
      </c>
      <c r="W26" s="109"/>
    </row>
    <row r="27" spans="1:23" x14ac:dyDescent="0.2">
      <c r="A27" s="104" t="s">
        <v>151</v>
      </c>
      <c r="C27" s="109">
        <v>16650</v>
      </c>
      <c r="D27" s="109">
        <v>25078</v>
      </c>
      <c r="E27" s="109">
        <v>24464</v>
      </c>
      <c r="F27" s="109">
        <v>16798</v>
      </c>
      <c r="G27" s="109">
        <v>25063</v>
      </c>
      <c r="H27" s="109">
        <v>1440</v>
      </c>
      <c r="I27" s="109">
        <v>3037</v>
      </c>
      <c r="J27" s="115">
        <v>112530</v>
      </c>
      <c r="W27" s="109"/>
    </row>
    <row r="28" spans="1:23" x14ac:dyDescent="0.2">
      <c r="W28" s="109"/>
    </row>
    <row r="29" spans="1:23" x14ac:dyDescent="0.2">
      <c r="W29" s="109"/>
    </row>
    <row r="30" spans="1:23" x14ac:dyDescent="0.2">
      <c r="W30" s="109"/>
    </row>
    <row r="31" spans="1:23" x14ac:dyDescent="0.2">
      <c r="W31" s="109"/>
    </row>
    <row r="32" spans="1:23" x14ac:dyDescent="0.2">
      <c r="W32" s="109"/>
    </row>
    <row r="33" spans="23:25" x14ac:dyDescent="0.2">
      <c r="W33" s="109"/>
    </row>
    <row r="34" spans="23:25" x14ac:dyDescent="0.2">
      <c r="W34" s="109"/>
    </row>
    <row r="35" spans="23:25" x14ac:dyDescent="0.2">
      <c r="W35" s="109"/>
    </row>
    <row r="36" spans="23:25" x14ac:dyDescent="0.2">
      <c r="W36" s="109"/>
    </row>
    <row r="37" spans="23:25" x14ac:dyDescent="0.2">
      <c r="W37" s="109"/>
    </row>
    <row r="38" spans="23:25" x14ac:dyDescent="0.2">
      <c r="W38" s="109"/>
    </row>
    <row r="39" spans="23:25" x14ac:dyDescent="0.2">
      <c r="W39" s="109"/>
    </row>
    <row r="40" spans="23:25" x14ac:dyDescent="0.2">
      <c r="W40" s="109"/>
      <c r="X40" s="109"/>
      <c r="Y40" s="109"/>
    </row>
    <row r="41" spans="23:25" x14ac:dyDescent="0.2">
      <c r="W41" s="109"/>
      <c r="X41" s="109"/>
      <c r="Y41" s="109"/>
    </row>
    <row r="42" spans="23:25" x14ac:dyDescent="0.2">
      <c r="W42" s="109"/>
      <c r="X42" s="109"/>
      <c r="Y42" s="109"/>
    </row>
    <row r="43" spans="23:25" x14ac:dyDescent="0.2">
      <c r="W43" s="109"/>
      <c r="X43" s="109"/>
      <c r="Y43" s="109"/>
    </row>
    <row r="44" spans="23:25" x14ac:dyDescent="0.2">
      <c r="W44" s="109"/>
      <c r="X44" s="109"/>
      <c r="Y44" s="109"/>
    </row>
    <row r="45" spans="23:25" x14ac:dyDescent="0.2">
      <c r="W45" s="109"/>
      <c r="X45" s="109"/>
      <c r="Y45" s="109"/>
    </row>
    <row r="46" spans="23:25" x14ac:dyDescent="0.2">
      <c r="W46" s="109"/>
      <c r="X46" s="109"/>
      <c r="Y46" s="109"/>
    </row>
    <row r="47" spans="23:25" x14ac:dyDescent="0.2">
      <c r="W47" s="109"/>
      <c r="X47" s="109"/>
      <c r="Y47" s="109"/>
    </row>
    <row r="48" spans="23:25" x14ac:dyDescent="0.2">
      <c r="W48" s="109"/>
      <c r="X48" s="109"/>
      <c r="Y48" s="109"/>
    </row>
    <row r="49" spans="22:25" x14ac:dyDescent="0.2">
      <c r="W49" s="109"/>
      <c r="X49" s="109"/>
      <c r="Y49" s="109"/>
    </row>
    <row r="50" spans="22:25" x14ac:dyDescent="0.2">
      <c r="W50" s="109"/>
      <c r="X50" s="109"/>
      <c r="Y50" s="109"/>
    </row>
    <row r="51" spans="22:25" x14ac:dyDescent="0.2">
      <c r="W51" s="109"/>
      <c r="X51" s="109"/>
      <c r="Y51" s="109"/>
    </row>
    <row r="52" spans="22:25" x14ac:dyDescent="0.2">
      <c r="V52" s="109"/>
      <c r="W52" s="109"/>
      <c r="X52" s="109"/>
      <c r="Y52" s="109"/>
    </row>
    <row r="53" spans="22:25" x14ac:dyDescent="0.2">
      <c r="V53" s="109"/>
      <c r="W53" s="109"/>
      <c r="X53" s="109"/>
      <c r="Y53" s="109"/>
    </row>
    <row r="54" spans="22:25" x14ac:dyDescent="0.2">
      <c r="V54" s="109"/>
      <c r="W54" s="109"/>
      <c r="X54" s="109"/>
      <c r="Y54" s="109"/>
    </row>
    <row r="55" spans="22:25" x14ac:dyDescent="0.2">
      <c r="V55" s="109"/>
      <c r="W55" s="109"/>
      <c r="X55" s="109"/>
      <c r="Y55" s="109"/>
    </row>
    <row r="56" spans="22:25" x14ac:dyDescent="0.2">
      <c r="V56" s="109"/>
      <c r="W56" s="109"/>
      <c r="X56" s="109"/>
      <c r="Y56" s="109"/>
    </row>
    <row r="57" spans="22:25" x14ac:dyDescent="0.2">
      <c r="V57" s="109"/>
      <c r="W57" s="109"/>
      <c r="X57" s="109"/>
      <c r="Y57" s="109"/>
    </row>
    <row r="58" spans="22:25" x14ac:dyDescent="0.2">
      <c r="V58" s="109"/>
      <c r="W58" s="109"/>
      <c r="X58" s="109"/>
      <c r="Y58" s="109"/>
    </row>
    <row r="59" spans="22:25" x14ac:dyDescent="0.2">
      <c r="V59" s="109"/>
      <c r="W59" s="109"/>
      <c r="X59" s="109"/>
      <c r="Y59" s="109"/>
    </row>
    <row r="60" spans="22:25" x14ac:dyDescent="0.2">
      <c r="V60" s="109"/>
      <c r="W60" s="109"/>
      <c r="X60" s="109"/>
      <c r="Y60" s="109"/>
    </row>
    <row r="61" spans="22:25" x14ac:dyDescent="0.2">
      <c r="V61" s="109"/>
      <c r="W61" s="109"/>
      <c r="X61" s="109"/>
      <c r="Y61" s="109"/>
    </row>
    <row r="62" spans="22:25" x14ac:dyDescent="0.2">
      <c r="V62" s="109"/>
      <c r="W62" s="109"/>
      <c r="X62" s="109"/>
      <c r="Y62" s="109"/>
    </row>
    <row r="63" spans="22:25" x14ac:dyDescent="0.2">
      <c r="V63" s="109"/>
      <c r="W63" s="109"/>
      <c r="X63" s="109"/>
      <c r="Y63" s="109"/>
    </row>
    <row r="64" spans="22:25" x14ac:dyDescent="0.2">
      <c r="V64" s="109"/>
      <c r="W64" s="109"/>
      <c r="X64" s="109"/>
      <c r="Y64" s="109"/>
    </row>
    <row r="65" spans="22:25" x14ac:dyDescent="0.2">
      <c r="V65" s="109"/>
      <c r="W65" s="109"/>
      <c r="X65" s="109"/>
      <c r="Y65" s="109"/>
    </row>
    <row r="66" spans="22:25" x14ac:dyDescent="0.2">
      <c r="V66" s="109"/>
      <c r="W66" s="109"/>
      <c r="X66" s="109"/>
      <c r="Y66" s="109"/>
    </row>
    <row r="67" spans="22:25" x14ac:dyDescent="0.2">
      <c r="V67" s="109"/>
      <c r="W67" s="109"/>
      <c r="X67" s="109"/>
      <c r="Y67" s="109"/>
    </row>
    <row r="68" spans="22:25" x14ac:dyDescent="0.2">
      <c r="V68" s="109"/>
      <c r="W68" s="109"/>
      <c r="X68" s="109"/>
      <c r="Y68" s="109"/>
    </row>
    <row r="69" spans="22:25" x14ac:dyDescent="0.2">
      <c r="V69" s="109"/>
      <c r="W69" s="109"/>
      <c r="X69" s="109"/>
      <c r="Y69" s="109"/>
    </row>
    <row r="70" spans="22:25" x14ac:dyDescent="0.2">
      <c r="V70" s="109"/>
      <c r="W70" s="109"/>
      <c r="X70" s="109"/>
      <c r="Y70" s="109"/>
    </row>
    <row r="71" spans="22:25" x14ac:dyDescent="0.2">
      <c r="V71" s="109"/>
      <c r="W71" s="109"/>
      <c r="X71" s="109"/>
      <c r="Y71" s="109"/>
    </row>
    <row r="72" spans="22:25" x14ac:dyDescent="0.2">
      <c r="V72" s="109"/>
      <c r="W72" s="109"/>
      <c r="X72" s="109"/>
      <c r="Y72" s="109"/>
    </row>
    <row r="73" spans="22:25" x14ac:dyDescent="0.2">
      <c r="V73" s="109"/>
      <c r="W73" s="109"/>
      <c r="X73" s="109"/>
      <c r="Y73" s="109"/>
    </row>
    <row r="74" spans="22:25" x14ac:dyDescent="0.2">
      <c r="V74" s="109"/>
      <c r="W74" s="109"/>
      <c r="X74" s="109"/>
      <c r="Y74" s="109"/>
    </row>
    <row r="75" spans="22:25" x14ac:dyDescent="0.2">
      <c r="V75" s="109"/>
      <c r="W75" s="109"/>
      <c r="X75" s="109"/>
      <c r="Y75" s="109"/>
    </row>
    <row r="76" spans="22:25" x14ac:dyDescent="0.2">
      <c r="V76" s="109"/>
      <c r="W76" s="109"/>
      <c r="X76" s="109"/>
      <c r="Y76" s="109"/>
    </row>
    <row r="77" spans="22:25" x14ac:dyDescent="0.2">
      <c r="V77" s="109"/>
      <c r="W77" s="109"/>
      <c r="X77" s="109"/>
      <c r="Y77" s="109"/>
    </row>
    <row r="78" spans="22:25" x14ac:dyDescent="0.2">
      <c r="V78" s="109"/>
      <c r="W78" s="109"/>
      <c r="X78" s="109"/>
      <c r="Y78" s="109"/>
    </row>
    <row r="79" spans="22:25" x14ac:dyDescent="0.2">
      <c r="V79" s="109"/>
      <c r="W79" s="109"/>
      <c r="X79" s="109"/>
      <c r="Y79" s="109"/>
    </row>
    <row r="80" spans="22:25" x14ac:dyDescent="0.2">
      <c r="V80" s="109"/>
      <c r="W80" s="109"/>
      <c r="X80" s="109"/>
      <c r="Y80" s="109"/>
    </row>
    <row r="81" spans="22:25" x14ac:dyDescent="0.2">
      <c r="V81" s="109"/>
      <c r="W81" s="109"/>
      <c r="X81" s="109"/>
      <c r="Y81" s="109"/>
    </row>
    <row r="82" spans="22:25" x14ac:dyDescent="0.2">
      <c r="V82" s="109"/>
      <c r="W82" s="109"/>
      <c r="X82" s="109"/>
      <c r="Y82" s="109"/>
    </row>
    <row r="83" spans="22:25" x14ac:dyDescent="0.2">
      <c r="V83" s="109"/>
      <c r="W83" s="109"/>
      <c r="X83" s="109"/>
      <c r="Y83" s="109"/>
    </row>
    <row r="84" spans="22:25" x14ac:dyDescent="0.2">
      <c r="V84" s="109"/>
      <c r="W84" s="109"/>
      <c r="X84" s="109"/>
      <c r="Y84" s="109"/>
    </row>
    <row r="85" spans="22:25" x14ac:dyDescent="0.2">
      <c r="V85" s="109"/>
      <c r="W85" s="109"/>
      <c r="X85" s="109"/>
      <c r="Y85" s="109"/>
    </row>
    <row r="86" spans="22:25" x14ac:dyDescent="0.2">
      <c r="V86" s="109"/>
      <c r="W86" s="109"/>
      <c r="X86" s="109"/>
      <c r="Y86" s="109"/>
    </row>
    <row r="87" spans="22:25" x14ac:dyDescent="0.2">
      <c r="V87" s="109"/>
      <c r="W87" s="109"/>
      <c r="X87" s="109"/>
      <c r="Y87" s="109"/>
    </row>
    <row r="88" spans="22:25" x14ac:dyDescent="0.2">
      <c r="V88" s="109"/>
      <c r="W88" s="109"/>
      <c r="X88" s="109"/>
      <c r="Y88" s="109"/>
    </row>
    <row r="89" spans="22:25" x14ac:dyDescent="0.2">
      <c r="V89" s="109"/>
      <c r="W89" s="109"/>
      <c r="X89" s="109"/>
      <c r="Y89" s="109"/>
    </row>
    <row r="90" spans="22:25" x14ac:dyDescent="0.2">
      <c r="V90" s="109"/>
      <c r="W90" s="109"/>
      <c r="X90" s="109"/>
      <c r="Y90" s="109"/>
    </row>
    <row r="91" spans="22:25" x14ac:dyDescent="0.2">
      <c r="V91" s="109"/>
      <c r="W91" s="109"/>
      <c r="X91" s="109"/>
      <c r="Y91" s="109"/>
    </row>
    <row r="92" spans="22:25" x14ac:dyDescent="0.2">
      <c r="V92" s="109"/>
      <c r="W92" s="109"/>
      <c r="X92" s="109"/>
      <c r="Y92" s="109"/>
    </row>
    <row r="93" spans="22:25" x14ac:dyDescent="0.2">
      <c r="V93" s="109"/>
      <c r="W93" s="109"/>
      <c r="X93" s="109"/>
      <c r="Y93" s="109"/>
    </row>
    <row r="94" spans="22:25" x14ac:dyDescent="0.2">
      <c r="V94" s="109"/>
      <c r="W94" s="109"/>
      <c r="X94" s="109"/>
      <c r="Y94" s="109"/>
    </row>
    <row r="95" spans="22:25" x14ac:dyDescent="0.2">
      <c r="V95" s="109"/>
      <c r="W95" s="109"/>
      <c r="X95" s="109"/>
      <c r="Y95" s="109"/>
    </row>
    <row r="96" spans="22:25" x14ac:dyDescent="0.2">
      <c r="V96" s="109"/>
      <c r="W96" s="109"/>
      <c r="X96" s="109"/>
      <c r="Y96" s="109"/>
    </row>
  </sheetData>
  <mergeCells count="2">
    <mergeCell ref="K2:M2"/>
    <mergeCell ref="N5:O5"/>
  </mergeCell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8" name="ProdDay">
              <controlPr defaultSize="0" autoFill="0" autoLine="0" autoPict="0" macro="[0]!'ProdOpt True'" altText="Daily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ProdWk">
              <controlPr defaultSize="0" autoFill="0" autoLine="0" autoPict="0" macro="[0]!'ProdOpt False'" altText="Daily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12</xdr:col>
                    <xdr:colOff>638175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ProdExpand">
              <controlPr defaultSize="0" autoFill="0" autoLine="0" autoPict="0" macro="[0]!ProdCB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AC96"/>
  <sheetViews>
    <sheetView tabSelected="1" zoomScaleNormal="100" workbookViewId="0">
      <pane ySplit="7" topLeftCell="A8" activePane="bottomLeft" state="frozen"/>
      <selection pane="bottomLeft" activeCell="J7" sqref="J7:Q18"/>
    </sheetView>
  </sheetViews>
  <sheetFormatPr defaultRowHeight="12.75" x14ac:dyDescent="0.2"/>
  <cols>
    <col min="1" max="1" width="12.5703125" customWidth="1"/>
    <col min="2" max="2" width="9.7109375" bestFit="1" customWidth="1"/>
    <col min="3" max="3" width="10.140625" bestFit="1" customWidth="1"/>
    <col min="4" max="4" width="10.140625" customWidth="1"/>
    <col min="5" max="7" width="10.140625" bestFit="1" customWidth="1"/>
    <col min="8" max="9" width="11.7109375" bestFit="1" customWidth="1"/>
    <col min="10" max="11" width="9.7109375" customWidth="1"/>
    <col min="12" max="14" width="10.140625" customWidth="1"/>
    <col min="15" max="16" width="10.140625" bestFit="1" customWidth="1"/>
    <col min="17" max="19" width="11.7109375" bestFit="1" customWidth="1"/>
    <col min="20" max="20" width="9" customWidth="1"/>
    <col min="21" max="21" width="9.42578125" bestFit="1" customWidth="1"/>
    <col min="22" max="22" width="11.7109375" bestFit="1" customWidth="1"/>
    <col min="23" max="24" width="9.42578125" bestFit="1" customWidth="1"/>
    <col min="25" max="25" width="7.140625" bestFit="1" customWidth="1"/>
    <col min="26" max="26" width="11.7109375" bestFit="1" customWidth="1"/>
    <col min="27" max="27" width="13.85546875" customWidth="1"/>
    <col min="28" max="28" width="17" bestFit="1" customWidth="1"/>
    <col min="29" max="29" width="11.7109375" bestFit="1" customWidth="1"/>
    <col min="30" max="31" width="9.42578125" bestFit="1" customWidth="1"/>
    <col min="32" max="32" width="7.140625" bestFit="1" customWidth="1"/>
    <col min="33" max="33" width="11.7109375" bestFit="1" customWidth="1"/>
  </cols>
  <sheetData>
    <row r="2" spans="1:29" ht="27.75" thickBot="1" x14ac:dyDescent="0.4">
      <c r="A2" s="90" t="s">
        <v>208</v>
      </c>
      <c r="I2" s="89" t="s">
        <v>18</v>
      </c>
      <c r="J2" s="226">
        <f>Production!$A$6</f>
        <v>45413</v>
      </c>
      <c r="K2" s="226"/>
      <c r="L2" s="226"/>
    </row>
    <row r="3" spans="1:29" ht="13.5" thickTop="1" x14ac:dyDescent="0.2"/>
    <row r="4" spans="1:29" ht="13.5" thickBot="1" x14ac:dyDescent="0.25"/>
    <row r="5" spans="1:29" x14ac:dyDescent="0.2">
      <c r="A5" s="110" t="s">
        <v>206</v>
      </c>
      <c r="K5" s="229"/>
      <c r="L5" s="229"/>
    </row>
    <row r="6" spans="1:29" x14ac:dyDescent="0.2">
      <c r="A6" s="108" t="s">
        <v>152</v>
      </c>
      <c r="B6" s="108" t="s">
        <v>0</v>
      </c>
      <c r="J6" s="108" t="s">
        <v>152</v>
      </c>
      <c r="L6" s="108" t="s">
        <v>0</v>
      </c>
      <c r="T6" s="108" t="s">
        <v>238</v>
      </c>
      <c r="U6" s="108" t="s">
        <v>242</v>
      </c>
      <c r="AA6" s="108" t="s">
        <v>239</v>
      </c>
      <c r="AB6" s="108" t="s">
        <v>240</v>
      </c>
    </row>
    <row r="7" spans="1:29" x14ac:dyDescent="0.2">
      <c r="A7" s="108" t="s">
        <v>131</v>
      </c>
      <c r="B7" t="s">
        <v>233</v>
      </c>
      <c r="C7" t="s">
        <v>234</v>
      </c>
      <c r="D7" t="s">
        <v>223</v>
      </c>
      <c r="E7" t="s">
        <v>266</v>
      </c>
      <c r="F7" t="s">
        <v>270</v>
      </c>
      <c r="G7" s="114" t="s">
        <v>151</v>
      </c>
      <c r="J7" s="108" t="s">
        <v>147</v>
      </c>
      <c r="K7" s="108" t="s">
        <v>131</v>
      </c>
      <c r="L7" t="s">
        <v>233</v>
      </c>
      <c r="M7" t="s">
        <v>234</v>
      </c>
      <c r="N7" t="s">
        <v>223</v>
      </c>
      <c r="O7" t="s">
        <v>266</v>
      </c>
      <c r="P7" t="s">
        <v>270</v>
      </c>
      <c r="Q7" s="114" t="s">
        <v>151</v>
      </c>
      <c r="T7" s="108" t="s">
        <v>147</v>
      </c>
      <c r="U7" t="s">
        <v>233</v>
      </c>
      <c r="V7" t="s">
        <v>151</v>
      </c>
      <c r="AA7" s="108" t="s">
        <v>241</v>
      </c>
      <c r="AB7" t="s">
        <v>234</v>
      </c>
      <c r="AC7" t="s">
        <v>151</v>
      </c>
    </row>
    <row r="8" spans="1:29" x14ac:dyDescent="0.2">
      <c r="A8" t="s">
        <v>64</v>
      </c>
      <c r="B8" s="109"/>
      <c r="C8" s="109"/>
      <c r="D8" s="109"/>
      <c r="E8" s="109">
        <v>88177</v>
      </c>
      <c r="F8" s="109"/>
      <c r="G8" s="115">
        <v>88177</v>
      </c>
      <c r="J8" s="104">
        <v>45413</v>
      </c>
      <c r="L8" s="109">
        <v>20042</v>
      </c>
      <c r="M8" s="109">
        <v>44412</v>
      </c>
      <c r="N8" s="109">
        <v>0</v>
      </c>
      <c r="O8" s="109">
        <v>0</v>
      </c>
      <c r="P8" s="109">
        <v>2751</v>
      </c>
      <c r="Q8" s="115">
        <v>67205</v>
      </c>
      <c r="T8" s="136">
        <v>45421</v>
      </c>
      <c r="U8" s="109">
        <v>16309</v>
      </c>
      <c r="V8" s="109">
        <v>16309</v>
      </c>
      <c r="AA8" s="136">
        <v>45421</v>
      </c>
      <c r="AB8" s="109">
        <v>38138</v>
      </c>
      <c r="AC8" s="109">
        <v>38138</v>
      </c>
    </row>
    <row r="9" spans="1:29" x14ac:dyDescent="0.2">
      <c r="A9" t="s">
        <v>69</v>
      </c>
      <c r="B9" s="109"/>
      <c r="C9" s="109"/>
      <c r="D9" s="109">
        <v>4788</v>
      </c>
      <c r="E9" s="109"/>
      <c r="F9" s="109"/>
      <c r="G9" s="115">
        <v>4788</v>
      </c>
      <c r="J9" s="104">
        <v>45414</v>
      </c>
      <c r="L9" s="109">
        <v>20385</v>
      </c>
      <c r="M9" s="109">
        <v>45707</v>
      </c>
      <c r="N9" s="109">
        <v>4788</v>
      </c>
      <c r="O9" s="109">
        <v>13735</v>
      </c>
      <c r="P9" s="109">
        <v>1900</v>
      </c>
      <c r="Q9" s="115">
        <v>86515</v>
      </c>
    </row>
    <row r="10" spans="1:29" x14ac:dyDescent="0.2">
      <c r="A10" t="s">
        <v>68</v>
      </c>
      <c r="B10" s="109"/>
      <c r="C10" s="109">
        <v>189472</v>
      </c>
      <c r="D10" s="109"/>
      <c r="E10" s="109"/>
      <c r="F10" s="109"/>
      <c r="G10" s="115">
        <v>189472</v>
      </c>
      <c r="J10" s="104">
        <v>45415</v>
      </c>
      <c r="L10" s="109">
        <v>20617</v>
      </c>
      <c r="M10" s="109">
        <v>51528</v>
      </c>
      <c r="N10" s="109">
        <v>0</v>
      </c>
      <c r="O10" s="109">
        <v>0</v>
      </c>
      <c r="P10" s="109">
        <v>2162</v>
      </c>
      <c r="Q10" s="115">
        <v>74307</v>
      </c>
    </row>
    <row r="11" spans="1:29" x14ac:dyDescent="0.2">
      <c r="A11" t="s">
        <v>115</v>
      </c>
      <c r="B11" s="109"/>
      <c r="C11" s="109">
        <v>229279</v>
      </c>
      <c r="D11" s="109"/>
      <c r="E11" s="109"/>
      <c r="F11" s="109"/>
      <c r="G11" s="115">
        <v>229279</v>
      </c>
      <c r="J11" s="104">
        <v>45416</v>
      </c>
      <c r="L11" s="109">
        <v>21365</v>
      </c>
      <c r="M11" s="109">
        <v>50542</v>
      </c>
      <c r="N11" s="109">
        <v>0</v>
      </c>
      <c r="O11" s="109">
        <v>0</v>
      </c>
      <c r="P11" s="109">
        <v>0</v>
      </c>
      <c r="Q11" s="115">
        <v>71907</v>
      </c>
    </row>
    <row r="12" spans="1:29" x14ac:dyDescent="0.2">
      <c r="A12" t="s">
        <v>232</v>
      </c>
      <c r="B12" s="109">
        <v>181656</v>
      </c>
      <c r="C12" s="109"/>
      <c r="D12" s="109"/>
      <c r="E12" s="109"/>
      <c r="F12" s="109"/>
      <c r="G12" s="115">
        <v>181656</v>
      </c>
      <c r="J12" s="104">
        <v>45417</v>
      </c>
      <c r="L12" s="109">
        <v>21677</v>
      </c>
      <c r="M12" s="109">
        <v>52994</v>
      </c>
      <c r="N12" s="109">
        <v>0</v>
      </c>
      <c r="O12" s="109">
        <v>0</v>
      </c>
      <c r="P12" s="109">
        <v>0</v>
      </c>
      <c r="Q12" s="115">
        <v>74671</v>
      </c>
    </row>
    <row r="13" spans="1:29" x14ac:dyDescent="0.2">
      <c r="A13" t="s">
        <v>271</v>
      </c>
      <c r="B13" s="109"/>
      <c r="C13" s="109"/>
      <c r="D13" s="109"/>
      <c r="E13" s="109"/>
      <c r="F13" s="109">
        <v>17055</v>
      </c>
      <c r="G13" s="115">
        <v>17055</v>
      </c>
      <c r="J13" s="104">
        <v>45418</v>
      </c>
      <c r="L13" s="109">
        <v>20391</v>
      </c>
      <c r="M13" s="109">
        <v>50905</v>
      </c>
      <c r="N13" s="109">
        <v>0</v>
      </c>
      <c r="O13" s="109">
        <v>13058</v>
      </c>
      <c r="P13" s="109">
        <v>5191</v>
      </c>
      <c r="Q13" s="115">
        <v>89545</v>
      </c>
    </row>
    <row r="14" spans="1:29" x14ac:dyDescent="0.2">
      <c r="A14" t="s">
        <v>151</v>
      </c>
      <c r="B14" s="109">
        <v>181656</v>
      </c>
      <c r="C14" s="109">
        <v>418751</v>
      </c>
      <c r="D14" s="109">
        <v>4788</v>
      </c>
      <c r="E14" s="109">
        <v>88177</v>
      </c>
      <c r="F14" s="109">
        <v>17055</v>
      </c>
      <c r="G14" s="115">
        <v>710427</v>
      </c>
      <c r="J14" s="104">
        <v>45419</v>
      </c>
      <c r="L14" s="109">
        <v>19868</v>
      </c>
      <c r="M14" s="109">
        <v>42982</v>
      </c>
      <c r="N14" s="109">
        <v>0</v>
      </c>
      <c r="O14" s="109">
        <v>19769</v>
      </c>
      <c r="P14" s="109">
        <v>5051</v>
      </c>
      <c r="Q14" s="115">
        <v>87670</v>
      </c>
    </row>
    <row r="15" spans="1:29" x14ac:dyDescent="0.2">
      <c r="A15" s="113" t="s">
        <v>207</v>
      </c>
      <c r="J15" s="104">
        <v>45420</v>
      </c>
      <c r="L15" s="109">
        <v>21002</v>
      </c>
      <c r="M15" s="109">
        <v>41543</v>
      </c>
      <c r="N15" s="109">
        <v>0</v>
      </c>
      <c r="O15" s="109">
        <v>21930</v>
      </c>
      <c r="P15" s="109">
        <v>0</v>
      </c>
      <c r="Q15" s="115">
        <v>84475</v>
      </c>
    </row>
    <row r="16" spans="1:29" x14ac:dyDescent="0.2">
      <c r="A16" s="108" t="s">
        <v>152</v>
      </c>
      <c r="C16" s="108" t="s">
        <v>0</v>
      </c>
      <c r="J16" s="104">
        <v>45421</v>
      </c>
      <c r="L16" s="109">
        <v>16309</v>
      </c>
      <c r="M16" s="109">
        <v>38138</v>
      </c>
      <c r="N16" s="109">
        <v>0</v>
      </c>
      <c r="O16" s="109">
        <v>19685</v>
      </c>
      <c r="P16" s="109">
        <v>0</v>
      </c>
      <c r="Q16" s="115">
        <v>74132</v>
      </c>
    </row>
    <row r="17" spans="1:26" x14ac:dyDescent="0.2">
      <c r="A17" s="108" t="s">
        <v>147</v>
      </c>
      <c r="B17" s="108" t="s">
        <v>131</v>
      </c>
      <c r="C17" t="s">
        <v>233</v>
      </c>
      <c r="D17" t="s">
        <v>234</v>
      </c>
      <c r="E17" t="s">
        <v>223</v>
      </c>
      <c r="F17" t="s">
        <v>266</v>
      </c>
      <c r="G17" t="s">
        <v>270</v>
      </c>
      <c r="H17" s="114" t="s">
        <v>151</v>
      </c>
      <c r="J17" s="104">
        <v>45422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15">
        <v>0</v>
      </c>
    </row>
    <row r="18" spans="1:26" x14ac:dyDescent="0.2">
      <c r="A18" s="104">
        <v>45421</v>
      </c>
      <c r="B18" t="s">
        <v>64</v>
      </c>
      <c r="C18" s="109"/>
      <c r="D18" s="109"/>
      <c r="E18" s="109"/>
      <c r="F18" s="109">
        <v>19685</v>
      </c>
      <c r="G18" s="109"/>
      <c r="H18" s="115">
        <v>19685</v>
      </c>
      <c r="J18" s="104" t="s">
        <v>151</v>
      </c>
      <c r="L18" s="109">
        <v>181656</v>
      </c>
      <c r="M18" s="109">
        <v>418751</v>
      </c>
      <c r="N18" s="109">
        <v>4788</v>
      </c>
      <c r="O18" s="109">
        <v>88177</v>
      </c>
      <c r="P18" s="109">
        <v>17055</v>
      </c>
      <c r="Q18" s="115">
        <v>710427</v>
      </c>
    </row>
    <row r="19" spans="1:26" x14ac:dyDescent="0.2">
      <c r="B19" t="s">
        <v>69</v>
      </c>
      <c r="C19" s="109"/>
      <c r="D19" s="109"/>
      <c r="E19" s="109">
        <v>0</v>
      </c>
      <c r="F19" s="109"/>
      <c r="G19" s="109"/>
      <c r="H19" s="115">
        <v>0</v>
      </c>
    </row>
    <row r="20" spans="1:26" x14ac:dyDescent="0.2">
      <c r="B20" t="s">
        <v>68</v>
      </c>
      <c r="C20" s="109"/>
      <c r="D20" s="109">
        <v>15075</v>
      </c>
      <c r="E20" s="109"/>
      <c r="F20" s="109"/>
      <c r="G20" s="109"/>
      <c r="H20" s="115">
        <v>15075</v>
      </c>
    </row>
    <row r="21" spans="1:26" x14ac:dyDescent="0.2">
      <c r="B21" t="s">
        <v>115</v>
      </c>
      <c r="C21" s="109"/>
      <c r="D21" s="109">
        <v>23063</v>
      </c>
      <c r="E21" s="109"/>
      <c r="F21" s="109"/>
      <c r="G21" s="109"/>
      <c r="H21" s="115">
        <v>23063</v>
      </c>
    </row>
    <row r="22" spans="1:26" x14ac:dyDescent="0.2">
      <c r="B22" t="s">
        <v>232</v>
      </c>
      <c r="C22" s="109">
        <v>16309</v>
      </c>
      <c r="D22" s="109"/>
      <c r="E22" s="109"/>
      <c r="F22" s="109"/>
      <c r="G22" s="109"/>
      <c r="H22" s="115">
        <v>16309</v>
      </c>
      <c r="X22" s="109"/>
      <c r="Y22" s="109"/>
      <c r="Z22" s="109"/>
    </row>
    <row r="23" spans="1:26" x14ac:dyDescent="0.2">
      <c r="B23" t="s">
        <v>271</v>
      </c>
      <c r="C23" s="109"/>
      <c r="D23" s="109"/>
      <c r="E23" s="109"/>
      <c r="F23" s="109"/>
      <c r="G23" s="109">
        <v>0</v>
      </c>
      <c r="H23" s="115">
        <v>0</v>
      </c>
      <c r="X23" s="109"/>
      <c r="Y23" s="109"/>
      <c r="Z23" s="109"/>
    </row>
    <row r="24" spans="1:26" x14ac:dyDescent="0.2">
      <c r="A24" s="104" t="s">
        <v>151</v>
      </c>
      <c r="C24" s="109">
        <v>16309</v>
      </c>
      <c r="D24" s="109">
        <v>38138</v>
      </c>
      <c r="E24" s="109">
        <v>0</v>
      </c>
      <c r="F24" s="109">
        <v>19685</v>
      </c>
      <c r="G24" s="109">
        <v>0</v>
      </c>
      <c r="H24" s="115">
        <v>74132</v>
      </c>
      <c r="X24" s="109"/>
      <c r="Y24" s="109"/>
      <c r="Z24" s="109"/>
    </row>
    <row r="25" spans="1:26" x14ac:dyDescent="0.2">
      <c r="X25" s="109"/>
      <c r="Y25" s="109"/>
      <c r="Z25" s="109"/>
    </row>
    <row r="26" spans="1:26" x14ac:dyDescent="0.2">
      <c r="X26" s="109"/>
      <c r="Y26" s="109"/>
      <c r="Z26" s="109"/>
    </row>
    <row r="27" spans="1:26" x14ac:dyDescent="0.2">
      <c r="X27" s="109"/>
      <c r="Y27" s="109"/>
      <c r="Z27" s="109"/>
    </row>
    <row r="28" spans="1:26" x14ac:dyDescent="0.2">
      <c r="X28" s="109"/>
      <c r="Y28" s="109"/>
      <c r="Z28" s="109"/>
    </row>
    <row r="29" spans="1:26" x14ac:dyDescent="0.2">
      <c r="X29" s="109"/>
      <c r="Y29" s="109"/>
      <c r="Z29" s="109"/>
    </row>
    <row r="30" spans="1:26" x14ac:dyDescent="0.2">
      <c r="X30" s="109"/>
      <c r="Y30" s="109"/>
      <c r="Z30" s="109"/>
    </row>
    <row r="31" spans="1:26" x14ac:dyDescent="0.2">
      <c r="X31" s="109"/>
      <c r="Y31" s="109"/>
      <c r="Z31" s="109"/>
    </row>
    <row r="32" spans="1:26" x14ac:dyDescent="0.2">
      <c r="X32" s="109"/>
      <c r="Y32" s="109"/>
      <c r="Z32" s="109"/>
    </row>
    <row r="33" spans="20:27" x14ac:dyDescent="0.2">
      <c r="X33" s="109"/>
      <c r="Y33" s="109"/>
      <c r="Z33" s="109"/>
    </row>
    <row r="34" spans="20:27" x14ac:dyDescent="0.2">
      <c r="X34" s="109"/>
      <c r="Y34" s="109"/>
      <c r="Z34" s="109"/>
    </row>
    <row r="35" spans="20:27" x14ac:dyDescent="0.2">
      <c r="X35" s="109"/>
      <c r="Y35" s="109"/>
      <c r="Z35" s="109"/>
    </row>
    <row r="36" spans="20:27" x14ac:dyDescent="0.2">
      <c r="X36" s="109"/>
      <c r="Y36" s="109"/>
      <c r="Z36" s="109"/>
    </row>
    <row r="37" spans="20:27" x14ac:dyDescent="0.2">
      <c r="X37" s="109"/>
      <c r="Y37" s="109"/>
      <c r="Z37" s="109"/>
    </row>
    <row r="38" spans="20:27" x14ac:dyDescent="0.2">
      <c r="X38" s="109"/>
      <c r="Y38" s="109"/>
      <c r="Z38" s="109"/>
    </row>
    <row r="39" spans="20:27" x14ac:dyDescent="0.2">
      <c r="T39" s="109"/>
      <c r="U39" s="109"/>
      <c r="V39" s="109"/>
      <c r="W39" s="109"/>
      <c r="X39" s="109"/>
      <c r="Y39" s="109"/>
      <c r="Z39" s="109"/>
    </row>
    <row r="40" spans="20:27" x14ac:dyDescent="0.2">
      <c r="T40" s="109"/>
      <c r="U40" s="109"/>
      <c r="V40" s="109"/>
      <c r="W40" s="109"/>
      <c r="X40" s="109"/>
      <c r="Y40" s="109"/>
      <c r="Z40" s="109"/>
      <c r="AA40" s="109"/>
    </row>
    <row r="41" spans="20:27" x14ac:dyDescent="0.2">
      <c r="T41" s="109"/>
      <c r="U41" s="109"/>
      <c r="V41" s="109"/>
      <c r="W41" s="109"/>
      <c r="X41" s="109"/>
      <c r="Y41" s="109"/>
      <c r="Z41" s="109"/>
      <c r="AA41" s="109"/>
    </row>
    <row r="42" spans="20:27" x14ac:dyDescent="0.2">
      <c r="T42" s="109"/>
      <c r="U42" s="109"/>
      <c r="V42" s="109"/>
      <c r="W42" s="109"/>
      <c r="X42" s="109"/>
      <c r="Y42" s="109"/>
      <c r="Z42" s="109"/>
      <c r="AA42" s="109"/>
    </row>
    <row r="43" spans="20:27" x14ac:dyDescent="0.2">
      <c r="T43" s="109"/>
      <c r="U43" s="109"/>
      <c r="V43" s="109"/>
      <c r="W43" s="109"/>
      <c r="X43" s="109"/>
      <c r="Y43" s="109"/>
      <c r="Z43" s="109"/>
      <c r="AA43" s="109"/>
    </row>
    <row r="44" spans="20:27" x14ac:dyDescent="0.2">
      <c r="T44" s="109"/>
      <c r="U44" s="109"/>
      <c r="V44" s="109"/>
      <c r="W44" s="109"/>
      <c r="X44" s="109"/>
      <c r="Y44" s="109"/>
      <c r="Z44" s="109"/>
      <c r="AA44" s="109"/>
    </row>
    <row r="45" spans="20:27" x14ac:dyDescent="0.2">
      <c r="T45" s="109"/>
      <c r="U45" s="109"/>
      <c r="V45" s="109"/>
      <c r="W45" s="109"/>
      <c r="X45" s="109"/>
      <c r="Y45" s="109"/>
      <c r="Z45" s="109"/>
      <c r="AA45" s="109"/>
    </row>
    <row r="46" spans="20:27" x14ac:dyDescent="0.2">
      <c r="T46" s="109"/>
      <c r="U46" s="109"/>
      <c r="V46" s="109"/>
      <c r="W46" s="109"/>
      <c r="X46" s="109"/>
      <c r="Y46" s="109"/>
      <c r="Z46" s="109"/>
      <c r="AA46" s="109"/>
    </row>
    <row r="47" spans="20:27" x14ac:dyDescent="0.2">
      <c r="T47" s="109"/>
      <c r="U47" s="109"/>
      <c r="V47" s="109"/>
      <c r="W47" s="109"/>
      <c r="X47" s="109"/>
      <c r="Y47" s="109"/>
      <c r="Z47" s="109"/>
      <c r="AA47" s="109"/>
    </row>
    <row r="48" spans="20:27" x14ac:dyDescent="0.2">
      <c r="T48" s="109"/>
      <c r="U48" s="109"/>
      <c r="V48" s="109"/>
      <c r="W48" s="109"/>
      <c r="X48" s="109"/>
      <c r="Y48" s="109"/>
      <c r="Z48" s="109"/>
      <c r="AA48" s="109"/>
    </row>
    <row r="49" spans="19:27" x14ac:dyDescent="0.2">
      <c r="T49" s="109"/>
      <c r="U49" s="109"/>
      <c r="V49" s="109"/>
      <c r="W49" s="109"/>
      <c r="X49" s="109"/>
      <c r="Y49" s="109"/>
      <c r="Z49" s="109"/>
      <c r="AA49" s="109"/>
    </row>
    <row r="50" spans="19:27" x14ac:dyDescent="0.2">
      <c r="T50" s="109"/>
      <c r="U50" s="109"/>
      <c r="V50" s="109"/>
      <c r="W50" s="109"/>
      <c r="X50" s="109"/>
      <c r="Y50" s="109"/>
      <c r="Z50" s="109"/>
      <c r="AA50" s="109"/>
    </row>
    <row r="51" spans="19:27" x14ac:dyDescent="0.2">
      <c r="T51" s="109"/>
      <c r="U51" s="109"/>
      <c r="V51" s="109"/>
      <c r="W51" s="109"/>
      <c r="X51" s="109"/>
      <c r="Y51" s="109"/>
      <c r="Z51" s="109"/>
      <c r="AA51" s="109"/>
    </row>
    <row r="52" spans="19:27" x14ac:dyDescent="0.2">
      <c r="T52" s="109"/>
      <c r="U52" s="109"/>
      <c r="V52" s="109"/>
      <c r="W52" s="109"/>
      <c r="X52" s="109"/>
      <c r="Y52" s="109"/>
      <c r="Z52" s="109"/>
      <c r="AA52" s="109"/>
    </row>
    <row r="53" spans="19:27" x14ac:dyDescent="0.2">
      <c r="T53" s="109"/>
      <c r="U53" s="109"/>
      <c r="V53" s="109"/>
      <c r="W53" s="109"/>
      <c r="X53" s="109"/>
      <c r="Y53" s="109"/>
      <c r="Z53" s="109"/>
      <c r="AA53" s="109"/>
    </row>
    <row r="54" spans="19:27" x14ac:dyDescent="0.2">
      <c r="T54" s="109"/>
      <c r="U54" s="109"/>
      <c r="V54" s="109"/>
      <c r="W54" s="109"/>
      <c r="X54" s="109"/>
      <c r="Y54" s="109"/>
      <c r="Z54" s="109"/>
      <c r="AA54" s="109"/>
    </row>
    <row r="55" spans="19:27" x14ac:dyDescent="0.2">
      <c r="T55" s="109"/>
      <c r="U55" s="109"/>
      <c r="V55" s="109"/>
      <c r="W55" s="109"/>
      <c r="X55" s="109"/>
      <c r="Y55" s="109"/>
      <c r="Z55" s="109"/>
      <c r="AA55" s="109"/>
    </row>
    <row r="56" spans="19:27" x14ac:dyDescent="0.2"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9:27" x14ac:dyDescent="0.2"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9:27" x14ac:dyDescent="0.2"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9:27" x14ac:dyDescent="0.2"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9:27" x14ac:dyDescent="0.2"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9:27" x14ac:dyDescent="0.2"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9:27" x14ac:dyDescent="0.2"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9:27" x14ac:dyDescent="0.2"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9:27" x14ac:dyDescent="0.2"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7:27" x14ac:dyDescent="0.2"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7:27" x14ac:dyDescent="0.2"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7:27" x14ac:dyDescent="0.2">
      <c r="Q67" s="104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7:27" x14ac:dyDescent="0.2">
      <c r="Q68" s="104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7:27" x14ac:dyDescent="0.2"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7:27" x14ac:dyDescent="0.2"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7:27" x14ac:dyDescent="0.2">
      <c r="Q71" s="104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7:27" x14ac:dyDescent="0.2">
      <c r="Q72" s="104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7:27" x14ac:dyDescent="0.2"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7:27" x14ac:dyDescent="0.2"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7:27" x14ac:dyDescent="0.2">
      <c r="Q75" s="104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7:27" x14ac:dyDescent="0.2">
      <c r="Q76" s="104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7:27" x14ac:dyDescent="0.2"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7:27" x14ac:dyDescent="0.2"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7:27" x14ac:dyDescent="0.2">
      <c r="Q79" s="104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7:27" x14ac:dyDescent="0.2">
      <c r="Q80" s="104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7:27" x14ac:dyDescent="0.2"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7:27" x14ac:dyDescent="0.2"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7:27" x14ac:dyDescent="0.2">
      <c r="Q83" s="104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7:27" x14ac:dyDescent="0.2">
      <c r="Q84" s="104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7:27" x14ac:dyDescent="0.2"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7:27" x14ac:dyDescent="0.2"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7:27" x14ac:dyDescent="0.2">
      <c r="Q87" s="104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7:27" x14ac:dyDescent="0.2">
      <c r="Q88" s="104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7:27" x14ac:dyDescent="0.2"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7:27" x14ac:dyDescent="0.2"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7:27" x14ac:dyDescent="0.2">
      <c r="Q91" s="104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7:27" x14ac:dyDescent="0.2">
      <c r="Q92" s="104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7:27" x14ac:dyDescent="0.2"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7:27" x14ac:dyDescent="0.2"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7:27" x14ac:dyDescent="0.2">
      <c r="Q95" s="104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7:27" x14ac:dyDescent="0.2">
      <c r="Q96" s="104"/>
      <c r="S96" s="109"/>
      <c r="T96" s="109"/>
      <c r="U96" s="109"/>
      <c r="V96" s="109"/>
      <c r="W96" s="109"/>
      <c r="X96" s="109"/>
      <c r="Y96" s="109"/>
      <c r="Z96" s="109"/>
      <c r="AA96" s="109"/>
    </row>
  </sheetData>
  <mergeCells count="2">
    <mergeCell ref="J2:L2"/>
    <mergeCell ref="K5:L5"/>
  </mergeCell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HTLDay">
              <controlPr defaultSize="0" autoFill="0" autoLine="0" autoPict="0" macro="[0]!'HTLOpt True'" altText="Daily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9" name="HTLWk">
              <controlPr defaultSize="0" autoFill="0" autoLine="0" autoPict="0" macro="[0]!'HTLOpt False'" altText="Daily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10</xdr:col>
                    <xdr:colOff>638175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10" name="HTLExpand">
              <controlPr defaultSize="0" autoFill="0" autoLine="0" autoPict="0" macro="[0]!HTLCB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96"/>
  <sheetViews>
    <sheetView topLeftCell="A28" zoomScaleNormal="100" workbookViewId="0">
      <selection activeCell="A42" sqref="A42:H96"/>
    </sheetView>
  </sheetViews>
  <sheetFormatPr defaultRowHeight="12.75" x14ac:dyDescent="0.2"/>
  <cols>
    <col min="1" max="1" width="11.7109375" bestFit="1" customWidth="1"/>
    <col min="2" max="2" width="12.140625" customWidth="1"/>
    <col min="3" max="3" width="10.7109375" bestFit="1" customWidth="1"/>
    <col min="4" max="4" width="10.42578125" bestFit="1" customWidth="1"/>
    <col min="5" max="5" width="9.5703125" bestFit="1" customWidth="1"/>
    <col min="7" max="7" width="14.28515625" customWidth="1"/>
    <col min="8" max="8" width="42" customWidth="1"/>
  </cols>
  <sheetData>
    <row r="1" spans="1:2" x14ac:dyDescent="0.2">
      <c r="A1" s="108" t="s">
        <v>147</v>
      </c>
      <c r="B1" t="s">
        <v>236</v>
      </c>
    </row>
    <row r="2" spans="1:2" x14ac:dyDescent="0.2">
      <c r="A2" s="136">
        <v>45413</v>
      </c>
      <c r="B2" s="109">
        <v>67205</v>
      </c>
    </row>
    <row r="3" spans="1:2" x14ac:dyDescent="0.2">
      <c r="A3" s="136">
        <v>45414</v>
      </c>
      <c r="B3" s="109">
        <v>86515</v>
      </c>
    </row>
    <row r="4" spans="1:2" x14ac:dyDescent="0.2">
      <c r="A4" s="136">
        <v>45415</v>
      </c>
      <c r="B4" s="109">
        <v>74307</v>
      </c>
    </row>
    <row r="5" spans="1:2" x14ac:dyDescent="0.2">
      <c r="A5" s="136">
        <v>45416</v>
      </c>
      <c r="B5" s="109">
        <v>71907</v>
      </c>
    </row>
    <row r="6" spans="1:2" x14ac:dyDescent="0.2">
      <c r="A6" s="136">
        <v>45417</v>
      </c>
      <c r="B6" s="109">
        <v>74671</v>
      </c>
    </row>
    <row r="7" spans="1:2" x14ac:dyDescent="0.2">
      <c r="A7" s="136">
        <v>45418</v>
      </c>
      <c r="B7" s="109">
        <v>89545</v>
      </c>
    </row>
    <row r="8" spans="1:2" x14ac:dyDescent="0.2">
      <c r="A8" s="136">
        <v>45419</v>
      </c>
      <c r="B8" s="109">
        <v>87670</v>
      </c>
    </row>
    <row r="9" spans="1:2" x14ac:dyDescent="0.2">
      <c r="A9" s="136">
        <v>45420</v>
      </c>
      <c r="B9" s="109">
        <v>84475</v>
      </c>
    </row>
    <row r="10" spans="1:2" x14ac:dyDescent="0.2">
      <c r="A10" s="136">
        <v>45421</v>
      </c>
      <c r="B10" s="109">
        <v>74132</v>
      </c>
    </row>
    <row r="11" spans="1:2" x14ac:dyDescent="0.2">
      <c r="A11" s="136" t="s">
        <v>151</v>
      </c>
      <c r="B11" s="109">
        <v>710427</v>
      </c>
    </row>
    <row r="40" spans="1:8" x14ac:dyDescent="0.2">
      <c r="C40" s="124"/>
      <c r="D40" s="124"/>
      <c r="E40" s="124"/>
      <c r="F40" s="124"/>
      <c r="G40" s="124"/>
    </row>
    <row r="42" spans="1:8" x14ac:dyDescent="0.2">
      <c r="A42" s="141" t="s">
        <v>147</v>
      </c>
      <c r="B42" s="141" t="s">
        <v>131</v>
      </c>
      <c r="C42" s="141" t="s">
        <v>10</v>
      </c>
      <c r="D42" s="141" t="s">
        <v>4</v>
      </c>
      <c r="E42" s="141" t="s">
        <v>258</v>
      </c>
      <c r="F42" s="141" t="s">
        <v>264</v>
      </c>
      <c r="G42" s="141" t="s">
        <v>265</v>
      </c>
      <c r="H42" s="141" t="s">
        <v>259</v>
      </c>
    </row>
    <row r="43" spans="1:8" hidden="1" x14ac:dyDescent="0.2">
      <c r="A43" s="147">
        <v>45413</v>
      </c>
      <c r="B43" s="117" t="s">
        <v>64</v>
      </c>
      <c r="C43" s="112"/>
      <c r="D43" s="124"/>
      <c r="E43" s="124" t="s">
        <v>260</v>
      </c>
      <c r="F43" s="124">
        <v>10</v>
      </c>
      <c r="G43" s="132">
        <v>0</v>
      </c>
      <c r="H43" s="142" t="s">
        <v>276</v>
      </c>
    </row>
    <row r="44" spans="1:8" hidden="1" x14ac:dyDescent="0.2">
      <c r="A44" s="147">
        <v>45413</v>
      </c>
      <c r="B44" s="117" t="s">
        <v>69</v>
      </c>
      <c r="C44" s="112"/>
      <c r="D44" s="124"/>
      <c r="E44" s="124" t="s">
        <v>261</v>
      </c>
      <c r="F44" s="124">
        <v>10</v>
      </c>
      <c r="G44" s="132">
        <v>0</v>
      </c>
      <c r="H44" s="142" t="s">
        <v>276</v>
      </c>
    </row>
    <row r="45" spans="1:8" hidden="1" x14ac:dyDescent="0.2">
      <c r="A45" s="147">
        <v>45413</v>
      </c>
      <c r="B45" s="117" t="s">
        <v>68</v>
      </c>
      <c r="C45" s="112">
        <v>26455</v>
      </c>
      <c r="D45" s="124" t="s">
        <v>46</v>
      </c>
      <c r="E45" s="124" t="s">
        <v>262</v>
      </c>
      <c r="F45" s="124">
        <v>16</v>
      </c>
      <c r="G45" s="132">
        <v>20208</v>
      </c>
      <c r="H45" s="124"/>
    </row>
    <row r="46" spans="1:8" hidden="1" x14ac:dyDescent="0.2">
      <c r="A46" s="147">
        <v>45413</v>
      </c>
      <c r="B46" s="117" t="s">
        <v>115</v>
      </c>
      <c r="C46" s="112">
        <v>26455</v>
      </c>
      <c r="D46" s="124" t="s">
        <v>46</v>
      </c>
      <c r="E46" s="124" t="s">
        <v>262</v>
      </c>
      <c r="F46" s="124">
        <v>16</v>
      </c>
      <c r="G46" s="132">
        <v>24204</v>
      </c>
      <c r="H46" s="124"/>
    </row>
    <row r="47" spans="1:8" hidden="1" x14ac:dyDescent="0.2">
      <c r="A47" s="147">
        <v>45413</v>
      </c>
      <c r="B47" s="124" t="s">
        <v>232</v>
      </c>
      <c r="C47" s="124">
        <v>25508</v>
      </c>
      <c r="D47" s="124" t="s">
        <v>46</v>
      </c>
      <c r="E47" s="124" t="s">
        <v>263</v>
      </c>
      <c r="F47" s="124">
        <v>16</v>
      </c>
      <c r="G47" s="132">
        <v>20042</v>
      </c>
      <c r="H47" s="142"/>
    </row>
    <row r="48" spans="1:8" hidden="1" x14ac:dyDescent="0.2">
      <c r="A48" s="147">
        <v>45413</v>
      </c>
      <c r="B48" s="144" t="s">
        <v>271</v>
      </c>
      <c r="C48" s="143">
        <v>26976</v>
      </c>
      <c r="D48" s="144" t="s">
        <v>274</v>
      </c>
      <c r="E48" s="144" t="s">
        <v>273</v>
      </c>
      <c r="F48" s="144">
        <v>10</v>
      </c>
      <c r="G48" s="145">
        <v>2751</v>
      </c>
      <c r="H48" s="146" t="s">
        <v>279</v>
      </c>
    </row>
    <row r="49" spans="1:8" hidden="1" x14ac:dyDescent="0.2">
      <c r="A49" s="147">
        <v>45414</v>
      </c>
      <c r="B49" s="117" t="s">
        <v>64</v>
      </c>
      <c r="C49" s="112">
        <v>27328</v>
      </c>
      <c r="D49" s="124" t="s">
        <v>46</v>
      </c>
      <c r="E49" s="124" t="s">
        <v>260</v>
      </c>
      <c r="F49" s="124">
        <v>10</v>
      </c>
      <c r="G49" s="132">
        <v>13735</v>
      </c>
      <c r="H49" s="142"/>
    </row>
    <row r="50" spans="1:8" hidden="1" x14ac:dyDescent="0.2">
      <c r="A50" s="147">
        <v>45414</v>
      </c>
      <c r="B50" s="117" t="s">
        <v>69</v>
      </c>
      <c r="C50" s="112">
        <v>26969</v>
      </c>
      <c r="D50" s="124" t="s">
        <v>268</v>
      </c>
      <c r="E50" s="124" t="s">
        <v>261</v>
      </c>
      <c r="F50" s="124">
        <v>10</v>
      </c>
      <c r="G50" s="132">
        <v>4788</v>
      </c>
      <c r="H50" s="142" t="s">
        <v>276</v>
      </c>
    </row>
    <row r="51" spans="1:8" hidden="1" x14ac:dyDescent="0.2">
      <c r="A51" s="147">
        <v>45414</v>
      </c>
      <c r="B51" s="117" t="s">
        <v>68</v>
      </c>
      <c r="C51" s="112">
        <v>26455</v>
      </c>
      <c r="D51" s="124" t="s">
        <v>46</v>
      </c>
      <c r="E51" s="124" t="s">
        <v>262</v>
      </c>
      <c r="F51" s="124">
        <v>16</v>
      </c>
      <c r="G51" s="132">
        <v>20891</v>
      </c>
      <c r="H51" s="124"/>
    </row>
    <row r="52" spans="1:8" hidden="1" x14ac:dyDescent="0.2">
      <c r="A52" s="147">
        <v>45414</v>
      </c>
      <c r="B52" s="117" t="s">
        <v>115</v>
      </c>
      <c r="C52" s="112">
        <v>26455</v>
      </c>
      <c r="D52" s="124" t="s">
        <v>46</v>
      </c>
      <c r="E52" s="124" t="s">
        <v>262</v>
      </c>
      <c r="F52" s="124">
        <v>16</v>
      </c>
      <c r="G52" s="132">
        <v>24816</v>
      </c>
      <c r="H52" s="124"/>
    </row>
    <row r="53" spans="1:8" hidden="1" x14ac:dyDescent="0.2">
      <c r="A53" s="147">
        <v>45414</v>
      </c>
      <c r="B53" s="124" t="s">
        <v>232</v>
      </c>
      <c r="C53" s="124">
        <v>25508</v>
      </c>
      <c r="D53" s="124" t="s">
        <v>46</v>
      </c>
      <c r="E53" s="124" t="s">
        <v>263</v>
      </c>
      <c r="F53" s="124">
        <v>16</v>
      </c>
      <c r="G53" s="132">
        <v>20385</v>
      </c>
      <c r="H53" s="142"/>
    </row>
    <row r="54" spans="1:8" hidden="1" x14ac:dyDescent="0.2">
      <c r="A54" s="148">
        <v>45414</v>
      </c>
      <c r="B54" s="144" t="s">
        <v>271</v>
      </c>
      <c r="C54" s="143">
        <v>26976</v>
      </c>
      <c r="D54" s="144" t="s">
        <v>274</v>
      </c>
      <c r="E54" s="144" t="s">
        <v>273</v>
      </c>
      <c r="F54" s="144">
        <v>10</v>
      </c>
      <c r="G54" s="145">
        <v>1900</v>
      </c>
      <c r="H54" s="146" t="s">
        <v>279</v>
      </c>
    </row>
    <row r="55" spans="1:8" hidden="1" x14ac:dyDescent="0.2">
      <c r="A55" s="147">
        <v>45415</v>
      </c>
      <c r="B55" s="117" t="s">
        <v>64</v>
      </c>
      <c r="C55" s="112"/>
      <c r="D55" s="124"/>
      <c r="E55" s="124" t="s">
        <v>260</v>
      </c>
      <c r="F55" s="124">
        <v>10</v>
      </c>
      <c r="G55" s="132">
        <v>0</v>
      </c>
      <c r="H55" s="142"/>
    </row>
    <row r="56" spans="1:8" hidden="1" x14ac:dyDescent="0.2">
      <c r="A56" s="147">
        <v>45415</v>
      </c>
      <c r="B56" s="117" t="s">
        <v>69</v>
      </c>
      <c r="C56" s="112"/>
      <c r="D56" s="124"/>
      <c r="E56" s="124" t="s">
        <v>261</v>
      </c>
      <c r="F56" s="124">
        <v>10</v>
      </c>
      <c r="G56" s="132">
        <v>0</v>
      </c>
      <c r="H56" s="142"/>
    </row>
    <row r="57" spans="1:8" hidden="1" x14ac:dyDescent="0.2">
      <c r="A57" s="147">
        <v>45415</v>
      </c>
      <c r="B57" s="117" t="s">
        <v>68</v>
      </c>
      <c r="C57" s="112">
        <v>26455</v>
      </c>
      <c r="D57" s="124" t="s">
        <v>46</v>
      </c>
      <c r="E57" s="124" t="s">
        <v>262</v>
      </c>
      <c r="F57" s="124">
        <v>16</v>
      </c>
      <c r="G57" s="132">
        <v>25548</v>
      </c>
      <c r="H57" s="124"/>
    </row>
    <row r="58" spans="1:8" hidden="1" x14ac:dyDescent="0.2">
      <c r="A58" s="147">
        <v>45415</v>
      </c>
      <c r="B58" s="117" t="s">
        <v>115</v>
      </c>
      <c r="C58" s="112">
        <v>26455</v>
      </c>
      <c r="D58" s="124" t="s">
        <v>46</v>
      </c>
      <c r="E58" s="124" t="s">
        <v>262</v>
      </c>
      <c r="F58" s="124">
        <v>16</v>
      </c>
      <c r="G58" s="132">
        <v>25980</v>
      </c>
      <c r="H58" s="124"/>
    </row>
    <row r="59" spans="1:8" hidden="1" x14ac:dyDescent="0.2">
      <c r="A59" s="147">
        <v>45415</v>
      </c>
      <c r="B59" s="124" t="s">
        <v>232</v>
      </c>
      <c r="C59" s="124">
        <v>25508</v>
      </c>
      <c r="D59" s="124" t="s">
        <v>46</v>
      </c>
      <c r="E59" s="124" t="s">
        <v>263</v>
      </c>
      <c r="F59" s="124">
        <v>16</v>
      </c>
      <c r="G59" s="132">
        <v>20617</v>
      </c>
      <c r="H59" s="142"/>
    </row>
    <row r="60" spans="1:8" hidden="1" x14ac:dyDescent="0.2">
      <c r="A60" s="148">
        <v>45415</v>
      </c>
      <c r="B60" s="144" t="s">
        <v>271</v>
      </c>
      <c r="C60" s="143">
        <v>26976</v>
      </c>
      <c r="D60" s="144" t="s">
        <v>274</v>
      </c>
      <c r="E60" s="144" t="s">
        <v>273</v>
      </c>
      <c r="F60" s="144">
        <v>10</v>
      </c>
      <c r="G60" s="145">
        <v>2162</v>
      </c>
      <c r="H60" s="146" t="s">
        <v>295</v>
      </c>
    </row>
    <row r="61" spans="1:8" hidden="1" x14ac:dyDescent="0.2">
      <c r="A61" s="147">
        <v>45416</v>
      </c>
      <c r="B61" s="117" t="s">
        <v>64</v>
      </c>
      <c r="C61" s="112"/>
      <c r="D61" s="124"/>
      <c r="E61" s="124" t="s">
        <v>260</v>
      </c>
      <c r="F61" s="124">
        <v>10</v>
      </c>
      <c r="G61" s="132">
        <v>0</v>
      </c>
      <c r="H61" s="142"/>
    </row>
    <row r="62" spans="1:8" hidden="1" x14ac:dyDescent="0.2">
      <c r="A62" s="147">
        <v>45416</v>
      </c>
      <c r="B62" s="117" t="s">
        <v>69</v>
      </c>
      <c r="C62" s="112"/>
      <c r="D62" s="124"/>
      <c r="E62" s="124" t="s">
        <v>261</v>
      </c>
      <c r="F62" s="124">
        <v>10</v>
      </c>
      <c r="G62" s="132">
        <v>0</v>
      </c>
      <c r="H62" s="142"/>
    </row>
    <row r="63" spans="1:8" hidden="1" x14ac:dyDescent="0.2">
      <c r="A63" s="147">
        <v>45416</v>
      </c>
      <c r="B63" s="117" t="s">
        <v>68</v>
      </c>
      <c r="C63" s="112">
        <v>26455</v>
      </c>
      <c r="D63" s="124" t="s">
        <v>46</v>
      </c>
      <c r="E63" s="124" t="s">
        <v>262</v>
      </c>
      <c r="F63" s="124">
        <v>16</v>
      </c>
      <c r="G63" s="132">
        <v>24455</v>
      </c>
      <c r="H63" s="124"/>
    </row>
    <row r="64" spans="1:8" hidden="1" x14ac:dyDescent="0.2">
      <c r="A64" s="147">
        <v>45416</v>
      </c>
      <c r="B64" s="117" t="s">
        <v>115</v>
      </c>
      <c r="C64" s="112">
        <v>26455</v>
      </c>
      <c r="D64" s="124" t="s">
        <v>46</v>
      </c>
      <c r="E64" s="124" t="s">
        <v>262</v>
      </c>
      <c r="F64" s="124">
        <v>16</v>
      </c>
      <c r="G64" s="132">
        <v>26087</v>
      </c>
      <c r="H64" s="124"/>
    </row>
    <row r="65" spans="1:8" hidden="1" x14ac:dyDescent="0.2">
      <c r="A65" s="147">
        <v>45416</v>
      </c>
      <c r="B65" s="124" t="s">
        <v>232</v>
      </c>
      <c r="C65" s="124">
        <v>25508</v>
      </c>
      <c r="D65" s="124" t="s">
        <v>46</v>
      </c>
      <c r="E65" s="124" t="s">
        <v>263</v>
      </c>
      <c r="F65" s="124">
        <v>16</v>
      </c>
      <c r="G65" s="132">
        <v>21365</v>
      </c>
      <c r="H65" s="142"/>
    </row>
    <row r="66" spans="1:8" hidden="1" x14ac:dyDescent="0.2">
      <c r="A66" s="148">
        <v>45416</v>
      </c>
      <c r="B66" s="144" t="s">
        <v>271</v>
      </c>
      <c r="C66" s="143"/>
      <c r="D66" s="144"/>
      <c r="E66" s="144" t="s">
        <v>273</v>
      </c>
      <c r="F66" s="144">
        <v>10</v>
      </c>
      <c r="G66" s="145">
        <v>0</v>
      </c>
      <c r="H66" s="146" t="s">
        <v>297</v>
      </c>
    </row>
    <row r="67" spans="1:8" hidden="1" x14ac:dyDescent="0.2">
      <c r="A67" s="147">
        <v>45417</v>
      </c>
      <c r="B67" s="117" t="s">
        <v>64</v>
      </c>
      <c r="C67" s="112"/>
      <c r="D67" s="124"/>
      <c r="E67" s="124" t="s">
        <v>260</v>
      </c>
      <c r="F67" s="124">
        <v>10</v>
      </c>
      <c r="G67" s="132">
        <v>0</v>
      </c>
      <c r="H67" s="142"/>
    </row>
    <row r="68" spans="1:8" hidden="1" x14ac:dyDescent="0.2">
      <c r="A68" s="147">
        <v>45417</v>
      </c>
      <c r="B68" s="117" t="s">
        <v>69</v>
      </c>
      <c r="C68" s="112"/>
      <c r="D68" s="124"/>
      <c r="E68" s="124" t="s">
        <v>261</v>
      </c>
      <c r="F68" s="124">
        <v>10</v>
      </c>
      <c r="G68" s="132">
        <v>0</v>
      </c>
      <c r="H68" s="142"/>
    </row>
    <row r="69" spans="1:8" hidden="1" x14ac:dyDescent="0.2">
      <c r="A69" s="147">
        <v>45417</v>
      </c>
      <c r="B69" s="117" t="s">
        <v>68</v>
      </c>
      <c r="C69" s="112">
        <v>26455</v>
      </c>
      <c r="D69" s="124" t="s">
        <v>46</v>
      </c>
      <c r="E69" s="124" t="s">
        <v>262</v>
      </c>
      <c r="F69" s="124">
        <v>16</v>
      </c>
      <c r="G69" s="132">
        <v>26437</v>
      </c>
      <c r="H69" s="124"/>
    </row>
    <row r="70" spans="1:8" hidden="1" x14ac:dyDescent="0.2">
      <c r="A70" s="147">
        <v>45417</v>
      </c>
      <c r="B70" s="117" t="s">
        <v>115</v>
      </c>
      <c r="C70" s="112">
        <v>26455</v>
      </c>
      <c r="D70" s="124" t="s">
        <v>46</v>
      </c>
      <c r="E70" s="124" t="s">
        <v>262</v>
      </c>
      <c r="F70" s="124">
        <v>16</v>
      </c>
      <c r="G70" s="132">
        <v>26557</v>
      </c>
      <c r="H70" s="124"/>
    </row>
    <row r="71" spans="1:8" hidden="1" x14ac:dyDescent="0.2">
      <c r="A71" s="147">
        <v>45417</v>
      </c>
      <c r="B71" s="124" t="s">
        <v>232</v>
      </c>
      <c r="C71" s="124">
        <v>25508</v>
      </c>
      <c r="D71" s="124" t="s">
        <v>46</v>
      </c>
      <c r="E71" s="124" t="s">
        <v>263</v>
      </c>
      <c r="F71" s="124">
        <v>16</v>
      </c>
      <c r="G71" s="132">
        <v>21677</v>
      </c>
      <c r="H71" s="142"/>
    </row>
    <row r="72" spans="1:8" hidden="1" x14ac:dyDescent="0.2">
      <c r="A72" s="148">
        <v>45417</v>
      </c>
      <c r="B72" s="144" t="s">
        <v>271</v>
      </c>
      <c r="C72" s="143"/>
      <c r="D72" s="144"/>
      <c r="E72" s="144" t="s">
        <v>273</v>
      </c>
      <c r="F72" s="144">
        <v>10</v>
      </c>
      <c r="G72" s="145">
        <v>0</v>
      </c>
      <c r="H72" s="146" t="s">
        <v>297</v>
      </c>
    </row>
    <row r="73" spans="1:8" hidden="1" x14ac:dyDescent="0.2">
      <c r="A73" s="147">
        <v>45418</v>
      </c>
      <c r="B73" s="117" t="s">
        <v>64</v>
      </c>
      <c r="C73" s="112">
        <v>27328</v>
      </c>
      <c r="D73" s="124" t="s">
        <v>46</v>
      </c>
      <c r="E73" s="124" t="s">
        <v>260</v>
      </c>
      <c r="F73" s="124">
        <v>10</v>
      </c>
      <c r="G73" s="132">
        <v>13058</v>
      </c>
      <c r="H73" s="142"/>
    </row>
    <row r="74" spans="1:8" hidden="1" x14ac:dyDescent="0.2">
      <c r="A74" s="147">
        <v>45418</v>
      </c>
      <c r="B74" s="117" t="s">
        <v>69</v>
      </c>
      <c r="C74" s="112"/>
      <c r="D74" s="124"/>
      <c r="E74" s="124" t="s">
        <v>261</v>
      </c>
      <c r="F74" s="124">
        <v>10</v>
      </c>
      <c r="G74" s="132">
        <v>0</v>
      </c>
      <c r="H74" s="142"/>
    </row>
    <row r="75" spans="1:8" hidden="1" x14ac:dyDescent="0.2">
      <c r="A75" s="147">
        <v>45418</v>
      </c>
      <c r="B75" s="117" t="s">
        <v>68</v>
      </c>
      <c r="C75" s="112">
        <v>26455</v>
      </c>
      <c r="D75" s="124" t="s">
        <v>46</v>
      </c>
      <c r="E75" s="124" t="s">
        <v>262</v>
      </c>
      <c r="F75" s="124">
        <v>16</v>
      </c>
      <c r="G75" s="132">
        <v>25231</v>
      </c>
      <c r="H75" s="124"/>
    </row>
    <row r="76" spans="1:8" hidden="1" x14ac:dyDescent="0.2">
      <c r="A76" s="147">
        <v>45418</v>
      </c>
      <c r="B76" s="117" t="s">
        <v>115</v>
      </c>
      <c r="C76" s="112">
        <v>26455</v>
      </c>
      <c r="D76" s="124" t="s">
        <v>46</v>
      </c>
      <c r="E76" s="124" t="s">
        <v>262</v>
      </c>
      <c r="F76" s="124">
        <v>16</v>
      </c>
      <c r="G76" s="132">
        <v>25674</v>
      </c>
      <c r="H76" s="124"/>
    </row>
    <row r="77" spans="1:8" hidden="1" x14ac:dyDescent="0.2">
      <c r="A77" s="147">
        <v>45418</v>
      </c>
      <c r="B77" s="124" t="s">
        <v>232</v>
      </c>
      <c r="C77" s="112">
        <v>25508</v>
      </c>
      <c r="D77" s="124" t="s">
        <v>46</v>
      </c>
      <c r="E77" s="124" t="s">
        <v>263</v>
      </c>
      <c r="F77" s="124">
        <v>16</v>
      </c>
      <c r="G77" s="132">
        <v>20391</v>
      </c>
      <c r="H77" s="142"/>
    </row>
    <row r="78" spans="1:8" hidden="1" x14ac:dyDescent="0.2">
      <c r="A78" s="148">
        <v>45418</v>
      </c>
      <c r="B78" s="144" t="s">
        <v>271</v>
      </c>
      <c r="C78" s="143">
        <v>26976</v>
      </c>
      <c r="D78" s="144" t="s">
        <v>274</v>
      </c>
      <c r="E78" s="144" t="s">
        <v>273</v>
      </c>
      <c r="F78" s="144">
        <v>10</v>
      </c>
      <c r="G78" s="145">
        <v>5191</v>
      </c>
      <c r="H78" s="146"/>
    </row>
    <row r="79" spans="1:8" hidden="1" x14ac:dyDescent="0.2">
      <c r="A79" s="147">
        <v>45419</v>
      </c>
      <c r="B79" s="117" t="s">
        <v>64</v>
      </c>
      <c r="C79" s="112">
        <v>27328</v>
      </c>
      <c r="D79" s="124" t="s">
        <v>46</v>
      </c>
      <c r="E79" s="124" t="s">
        <v>260</v>
      </c>
      <c r="F79" s="124">
        <v>16</v>
      </c>
      <c r="G79" s="132">
        <v>19769</v>
      </c>
      <c r="H79" s="124" t="s">
        <v>314</v>
      </c>
    </row>
    <row r="80" spans="1:8" hidden="1" x14ac:dyDescent="0.2">
      <c r="A80" s="147">
        <v>45419</v>
      </c>
      <c r="B80" s="117" t="s">
        <v>69</v>
      </c>
      <c r="C80" s="112"/>
      <c r="D80" s="124"/>
      <c r="E80" s="124" t="s">
        <v>261</v>
      </c>
      <c r="F80" s="124">
        <v>10</v>
      </c>
      <c r="G80" s="132">
        <v>0</v>
      </c>
      <c r="H80" s="142"/>
    </row>
    <row r="81" spans="1:8" hidden="1" x14ac:dyDescent="0.2">
      <c r="A81" s="147">
        <v>45419</v>
      </c>
      <c r="B81" s="117" t="s">
        <v>68</v>
      </c>
      <c r="C81" s="112">
        <v>27679</v>
      </c>
      <c r="D81" s="124" t="s">
        <v>46</v>
      </c>
      <c r="E81" s="124" t="s">
        <v>262</v>
      </c>
      <c r="F81" s="124">
        <v>10</v>
      </c>
      <c r="G81" s="132">
        <v>16698</v>
      </c>
      <c r="H81" s="124" t="s">
        <v>309</v>
      </c>
    </row>
    <row r="82" spans="1:8" hidden="1" x14ac:dyDescent="0.2">
      <c r="A82" s="147">
        <v>45419</v>
      </c>
      <c r="B82" s="117" t="s">
        <v>115</v>
      </c>
      <c r="C82" s="112">
        <v>26455</v>
      </c>
      <c r="D82" s="124" t="s">
        <v>46</v>
      </c>
      <c r="E82" s="124" t="s">
        <v>262</v>
      </c>
      <c r="F82" s="124">
        <v>16</v>
      </c>
      <c r="G82" s="132">
        <v>26284</v>
      </c>
      <c r="H82" s="124"/>
    </row>
    <row r="83" spans="1:8" hidden="1" x14ac:dyDescent="0.2">
      <c r="A83" s="147">
        <v>45419</v>
      </c>
      <c r="B83" s="124" t="s">
        <v>232</v>
      </c>
      <c r="C83" s="112">
        <v>26944</v>
      </c>
      <c r="D83" s="124" t="s">
        <v>46</v>
      </c>
      <c r="E83" s="124" t="s">
        <v>263</v>
      </c>
      <c r="F83" s="124">
        <v>16</v>
      </c>
      <c r="G83" s="132">
        <v>19868</v>
      </c>
      <c r="H83" s="124"/>
    </row>
    <row r="84" spans="1:8" hidden="1" x14ac:dyDescent="0.2">
      <c r="A84" s="148">
        <v>45419</v>
      </c>
      <c r="B84" s="144" t="s">
        <v>271</v>
      </c>
      <c r="C84" s="143">
        <v>26976</v>
      </c>
      <c r="D84" s="144" t="s">
        <v>274</v>
      </c>
      <c r="E84" s="144" t="s">
        <v>273</v>
      </c>
      <c r="F84" s="144">
        <v>10</v>
      </c>
      <c r="G84" s="145">
        <v>5051</v>
      </c>
      <c r="H84" s="146"/>
    </row>
    <row r="85" spans="1:8" hidden="1" x14ac:dyDescent="0.2">
      <c r="A85" s="147">
        <v>45420</v>
      </c>
      <c r="B85" s="117" t="s">
        <v>64</v>
      </c>
      <c r="C85" s="112">
        <v>27328</v>
      </c>
      <c r="D85" s="124" t="s">
        <v>46</v>
      </c>
      <c r="E85" s="124" t="s">
        <v>260</v>
      </c>
      <c r="F85" s="124">
        <v>16</v>
      </c>
      <c r="G85" s="132">
        <v>21930</v>
      </c>
      <c r="H85" s="124" t="s">
        <v>314</v>
      </c>
    </row>
    <row r="86" spans="1:8" hidden="1" x14ac:dyDescent="0.2">
      <c r="A86" s="147">
        <v>45420</v>
      </c>
      <c r="B86" s="117" t="s">
        <v>69</v>
      </c>
      <c r="C86" s="112"/>
      <c r="D86" s="124"/>
      <c r="E86" s="124" t="s">
        <v>261</v>
      </c>
      <c r="F86" s="124">
        <v>10</v>
      </c>
      <c r="G86" s="132">
        <v>0</v>
      </c>
      <c r="H86" s="142"/>
    </row>
    <row r="87" spans="1:8" hidden="1" x14ac:dyDescent="0.2">
      <c r="A87" s="147">
        <v>45420</v>
      </c>
      <c r="B87" s="117" t="s">
        <v>68</v>
      </c>
      <c r="C87" s="112">
        <v>27679</v>
      </c>
      <c r="D87" s="124" t="s">
        <v>46</v>
      </c>
      <c r="E87" s="124" t="s">
        <v>262</v>
      </c>
      <c r="F87" s="124">
        <v>10</v>
      </c>
      <c r="G87" s="132">
        <v>14929</v>
      </c>
      <c r="H87" s="124" t="s">
        <v>309</v>
      </c>
    </row>
    <row r="88" spans="1:8" hidden="1" x14ac:dyDescent="0.2">
      <c r="A88" s="147">
        <v>45420</v>
      </c>
      <c r="B88" s="117" t="s">
        <v>115</v>
      </c>
      <c r="C88" s="112">
        <v>26455</v>
      </c>
      <c r="D88" s="124" t="s">
        <v>46</v>
      </c>
      <c r="E88" s="124" t="s">
        <v>262</v>
      </c>
      <c r="F88" s="124">
        <v>16</v>
      </c>
      <c r="G88" s="132">
        <v>26614</v>
      </c>
      <c r="H88" s="124"/>
    </row>
    <row r="89" spans="1:8" hidden="1" x14ac:dyDescent="0.2">
      <c r="A89" s="147">
        <v>45420</v>
      </c>
      <c r="B89" s="124" t="s">
        <v>232</v>
      </c>
      <c r="C89" s="112">
        <v>26944</v>
      </c>
      <c r="D89" s="124" t="s">
        <v>46</v>
      </c>
      <c r="E89" s="124" t="s">
        <v>263</v>
      </c>
      <c r="F89" s="124">
        <v>16</v>
      </c>
      <c r="G89" s="132">
        <v>21002</v>
      </c>
      <c r="H89" s="124"/>
    </row>
    <row r="90" spans="1:8" hidden="1" x14ac:dyDescent="0.2">
      <c r="A90" s="148">
        <v>45420</v>
      </c>
      <c r="B90" s="144" t="s">
        <v>271</v>
      </c>
      <c r="C90" s="143"/>
      <c r="D90" s="144"/>
      <c r="E90" s="144" t="s">
        <v>273</v>
      </c>
      <c r="F90" s="144">
        <v>10</v>
      </c>
      <c r="G90" s="145">
        <v>0</v>
      </c>
      <c r="H90" s="146"/>
    </row>
    <row r="91" spans="1:8" x14ac:dyDescent="0.2">
      <c r="A91" s="147">
        <v>45421</v>
      </c>
      <c r="B91" s="117" t="s">
        <v>64</v>
      </c>
      <c r="C91" s="112">
        <v>26598</v>
      </c>
      <c r="D91" s="124" t="s">
        <v>319</v>
      </c>
      <c r="E91" s="124" t="s">
        <v>260</v>
      </c>
      <c r="F91" s="124">
        <v>10</v>
      </c>
      <c r="G91" s="132">
        <v>19685</v>
      </c>
      <c r="H91" s="124" t="s">
        <v>320</v>
      </c>
    </row>
    <row r="92" spans="1:8" x14ac:dyDescent="0.2">
      <c r="A92" s="147">
        <v>45421</v>
      </c>
      <c r="B92" s="117" t="s">
        <v>69</v>
      </c>
      <c r="C92" s="112"/>
      <c r="D92" s="124"/>
      <c r="E92" s="124" t="s">
        <v>261</v>
      </c>
      <c r="F92" s="124">
        <v>10</v>
      </c>
      <c r="G92" s="132">
        <v>0</v>
      </c>
      <c r="H92" s="142"/>
    </row>
    <row r="93" spans="1:8" x14ac:dyDescent="0.2">
      <c r="A93" s="147">
        <v>45421</v>
      </c>
      <c r="B93" s="117" t="s">
        <v>68</v>
      </c>
      <c r="C93" s="112">
        <v>27679</v>
      </c>
      <c r="D93" s="124" t="s">
        <v>46</v>
      </c>
      <c r="E93" s="124" t="s">
        <v>262</v>
      </c>
      <c r="F93" s="124">
        <v>10</v>
      </c>
      <c r="G93" s="132">
        <v>15075</v>
      </c>
      <c r="H93" s="124" t="s">
        <v>309</v>
      </c>
    </row>
    <row r="94" spans="1:8" x14ac:dyDescent="0.2">
      <c r="A94" s="147">
        <v>45421</v>
      </c>
      <c r="B94" s="117" t="s">
        <v>115</v>
      </c>
      <c r="C94" s="112">
        <v>26455</v>
      </c>
      <c r="D94" s="124" t="s">
        <v>46</v>
      </c>
      <c r="E94" s="124" t="s">
        <v>262</v>
      </c>
      <c r="F94" s="124">
        <v>16</v>
      </c>
      <c r="G94" s="132">
        <v>23063</v>
      </c>
      <c r="H94" s="124"/>
    </row>
    <row r="95" spans="1:8" x14ac:dyDescent="0.2">
      <c r="A95" s="147">
        <v>45421</v>
      </c>
      <c r="B95" s="124" t="s">
        <v>232</v>
      </c>
      <c r="C95" s="112">
        <v>26944</v>
      </c>
      <c r="D95" s="124" t="s">
        <v>46</v>
      </c>
      <c r="E95" s="124" t="s">
        <v>263</v>
      </c>
      <c r="F95" s="124">
        <v>16</v>
      </c>
      <c r="G95" s="132">
        <v>16309</v>
      </c>
      <c r="H95" s="124"/>
    </row>
    <row r="96" spans="1:8" x14ac:dyDescent="0.2">
      <c r="A96" s="148">
        <v>45421</v>
      </c>
      <c r="B96" s="144" t="s">
        <v>271</v>
      </c>
      <c r="C96" s="143"/>
      <c r="D96" s="144"/>
      <c r="E96" s="144" t="s">
        <v>273</v>
      </c>
      <c r="F96" s="144">
        <v>10</v>
      </c>
      <c r="G96" s="145">
        <v>0</v>
      </c>
      <c r="H96" s="146"/>
    </row>
  </sheetData>
  <conditionalFormatting sqref="A43:B96">
    <cfRule type="expression" dxfId="45" priority="84">
      <formula>INDIRECT("HTL[@Date]")=MAX(INDIRECT("HTL[Date]"))-1</formula>
    </cfRule>
  </conditionalFormatting>
  <conditionalFormatting sqref="C43:C44">
    <cfRule type="expression" dxfId="44" priority="30" stopIfTrue="1">
      <formula>INDIRECT("HTL[@Date]")=MAX(INDIRECT("HTL[Date]"))-1</formula>
    </cfRule>
  </conditionalFormatting>
  <conditionalFormatting sqref="C45:C48">
    <cfRule type="expression" dxfId="43" priority="29" stopIfTrue="1">
      <formula>INDIRECT("HTL[@Date]")=MAX(INDIRECT("HTL[Date]"))-1</formula>
    </cfRule>
  </conditionalFormatting>
  <conditionalFormatting sqref="H47:H48">
    <cfRule type="expression" dxfId="42" priority="28" stopIfTrue="1">
      <formula>INDIRECT("HTL[@Date]")=MAX(INDIRECT("HTL[Date]"))-1</formula>
    </cfRule>
  </conditionalFormatting>
  <conditionalFormatting sqref="H45:H46">
    <cfRule type="expression" dxfId="41" priority="27" stopIfTrue="1">
      <formula>INDIRECT("HTL[@Date]")=MAX(INDIRECT("HTL[Date]"))-1</formula>
    </cfRule>
  </conditionalFormatting>
  <conditionalFormatting sqref="H53:H54">
    <cfRule type="expression" dxfId="40" priority="24" stopIfTrue="1">
      <formula>INDIRECT("HTL[@Date]")=MAX(INDIRECT("HTL[Date]"))-1</formula>
    </cfRule>
  </conditionalFormatting>
  <conditionalFormatting sqref="H51:H52">
    <cfRule type="expression" dxfId="39" priority="23" stopIfTrue="1">
      <formula>INDIRECT("HTL[@Date]")=MAX(INDIRECT("HTL[Date]"))-1</formula>
    </cfRule>
  </conditionalFormatting>
  <conditionalFormatting sqref="C49:C54">
    <cfRule type="expression" dxfId="38" priority="22" stopIfTrue="1">
      <formula>INDIRECT("HTL[@Date]")=MAX(INDIRECT("HTL[Date]"))-1</formula>
    </cfRule>
  </conditionalFormatting>
  <conditionalFormatting sqref="H59:H60">
    <cfRule type="expression" dxfId="37" priority="21" stopIfTrue="1">
      <formula>INDIRECT("HTL[@Date]")=MAX(INDIRECT("HTL[Date]"))-1</formula>
    </cfRule>
  </conditionalFormatting>
  <conditionalFormatting sqref="H57:H58">
    <cfRule type="expression" dxfId="36" priority="20" stopIfTrue="1">
      <formula>INDIRECT("HTL[@Date]")=MAX(INDIRECT("HTL[Date]"))-1</formula>
    </cfRule>
  </conditionalFormatting>
  <conditionalFormatting sqref="C55:C62 C66:C68 C72">
    <cfRule type="expression" dxfId="35" priority="19" stopIfTrue="1">
      <formula>INDIRECT("HTL[@Date]")=MAX(INDIRECT("HTL[Date]"))-1</formula>
    </cfRule>
  </conditionalFormatting>
  <conditionalFormatting sqref="H65:H66">
    <cfRule type="expression" dxfId="34" priority="18" stopIfTrue="1">
      <formula>INDIRECT("HTL[@Date]")=MAX(INDIRECT("HTL[Date]"))-1</formula>
    </cfRule>
  </conditionalFormatting>
  <conditionalFormatting sqref="H63:H64">
    <cfRule type="expression" dxfId="33" priority="17" stopIfTrue="1">
      <formula>INDIRECT("HTL[@Date]")=MAX(INDIRECT("HTL[Date]"))-1</formula>
    </cfRule>
  </conditionalFormatting>
  <conditionalFormatting sqref="C63:C65">
    <cfRule type="expression" dxfId="32" priority="16" stopIfTrue="1">
      <formula>INDIRECT("HTL[@Date]")=MAX(INDIRECT("HTL[Date]"))-1</formula>
    </cfRule>
  </conditionalFormatting>
  <conditionalFormatting sqref="H71:H72">
    <cfRule type="expression" dxfId="31" priority="15" stopIfTrue="1">
      <formula>INDIRECT("HTL[@Date]")=MAX(INDIRECT("HTL[Date]"))-1</formula>
    </cfRule>
  </conditionalFormatting>
  <conditionalFormatting sqref="H69:H70">
    <cfRule type="expression" dxfId="30" priority="14" stopIfTrue="1">
      <formula>INDIRECT("HTL[@Date]")=MAX(INDIRECT("HTL[Date]"))-1</formula>
    </cfRule>
  </conditionalFormatting>
  <conditionalFormatting sqref="C69:C71">
    <cfRule type="expression" dxfId="29" priority="13" stopIfTrue="1">
      <formula>INDIRECT("HTL[@Date]")=MAX(INDIRECT("HTL[Date]"))-1</formula>
    </cfRule>
  </conditionalFormatting>
  <conditionalFormatting sqref="H77:H78">
    <cfRule type="expression" dxfId="28" priority="12" stopIfTrue="1">
      <formula>INDIRECT("HTL[@Date]")=MAX(INDIRECT("HTL[Date]"))-1</formula>
    </cfRule>
  </conditionalFormatting>
  <conditionalFormatting sqref="H75:H76">
    <cfRule type="expression" dxfId="27" priority="11" stopIfTrue="1">
      <formula>INDIRECT("HTL[@Date]")=MAX(INDIRECT("HTL[Date]"))-1</formula>
    </cfRule>
  </conditionalFormatting>
  <conditionalFormatting sqref="C73:C78">
    <cfRule type="expression" dxfId="26" priority="9" stopIfTrue="1">
      <formula>INDIRECT("HTL[@Date]")=MAX(INDIRECT("HTL[Date]"))-1</formula>
    </cfRule>
  </conditionalFormatting>
  <conditionalFormatting sqref="H83:H84">
    <cfRule type="expression" dxfId="25" priority="8" stopIfTrue="1">
      <formula>INDIRECT("HTL[@Date]")=MAX(INDIRECT("HTL[Date]"))-1</formula>
    </cfRule>
  </conditionalFormatting>
  <conditionalFormatting sqref="H81:H82">
    <cfRule type="expression" dxfId="24" priority="7" stopIfTrue="1">
      <formula>INDIRECT("HTL[@Date]")=MAX(INDIRECT("HTL[Date]"))-1</formula>
    </cfRule>
  </conditionalFormatting>
  <conditionalFormatting sqref="C79:C90">
    <cfRule type="expression" dxfId="23" priority="6" stopIfTrue="1">
      <formula>INDIRECT("HTL[@Date]")=MAX(INDIRECT("HTL[Date]"))-1</formula>
    </cfRule>
  </conditionalFormatting>
  <conditionalFormatting sqref="H89:H90">
    <cfRule type="expression" dxfId="22" priority="5" stopIfTrue="1">
      <formula>INDIRECT("HTL[@Date]")=MAX(INDIRECT("HTL[Date]"))-1</formula>
    </cfRule>
  </conditionalFormatting>
  <conditionalFormatting sqref="H87:H88">
    <cfRule type="expression" dxfId="21" priority="4" stopIfTrue="1">
      <formula>INDIRECT("HTL[@Date]")=MAX(INDIRECT("HTL[Date]"))-1</formula>
    </cfRule>
  </conditionalFormatting>
  <conditionalFormatting sqref="H95:H96">
    <cfRule type="expression" dxfId="2" priority="3" stopIfTrue="1">
      <formula>INDIRECT("HTL[@Date]")=MAX(INDIRECT("HTL[Date]"))-1</formula>
    </cfRule>
  </conditionalFormatting>
  <conditionalFormatting sqref="H93:H94">
    <cfRule type="expression" dxfId="1" priority="2" stopIfTrue="1">
      <formula>INDIRECT("HTL[@Date]")=MAX(INDIRECT("HTL[Date]"))-1</formula>
    </cfRule>
  </conditionalFormatting>
  <conditionalFormatting sqref="C91:C96">
    <cfRule type="expression" dxfId="0" priority="1" stopIfTrue="1">
      <formula>INDIRECT("HTL[@Date]")=MAX(INDIRECT("HTL[Date]"))-1</formula>
    </cfRule>
  </conditionalFormatting>
  <pageMargins left="0.7" right="0.7" top="0.75" bottom="0.75" header="0.3" footer="0.3"/>
  <pageSetup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12"/>
  <sheetViews>
    <sheetView zoomScale="160" zoomScaleNormal="160" workbookViewId="0">
      <selection activeCell="G16" sqref="G16"/>
    </sheetView>
  </sheetViews>
  <sheetFormatPr defaultRowHeight="12.75" x14ac:dyDescent="0.2"/>
  <cols>
    <col min="2" max="2" width="10.28515625" bestFit="1" customWidth="1"/>
    <col min="3" max="3" width="7.7109375" customWidth="1"/>
  </cols>
  <sheetData>
    <row r="1" spans="1:10" ht="27.75" thickBot="1" x14ac:dyDescent="0.4">
      <c r="A1" s="227" t="s">
        <v>227</v>
      </c>
      <c r="B1" s="227"/>
      <c r="C1" s="227"/>
      <c r="D1" s="227"/>
      <c r="E1" s="227"/>
      <c r="F1" s="227"/>
      <c r="G1" s="227"/>
      <c r="H1" s="227"/>
      <c r="I1" s="226">
        <f>Production!$A$6</f>
        <v>45413</v>
      </c>
      <c r="J1" s="226"/>
    </row>
    <row r="2" spans="1:10" ht="14.25" thickTop="1" thickBot="1" x14ac:dyDescent="0.25"/>
    <row r="3" spans="1:10" ht="13.5" thickBot="1" x14ac:dyDescent="0.25">
      <c r="B3" s="230" t="s">
        <v>225</v>
      </c>
      <c r="C3" s="231"/>
    </row>
    <row r="4" spans="1:10" x14ac:dyDescent="0.2">
      <c r="B4" s="127" t="s">
        <v>235</v>
      </c>
      <c r="C4" s="128" t="s">
        <v>226</v>
      </c>
      <c r="D4" s="125"/>
    </row>
    <row r="5" spans="1:10" ht="13.5" thickBot="1" x14ac:dyDescent="0.25">
      <c r="B5" s="129">
        <v>1000780</v>
      </c>
      <c r="C5" s="130">
        <v>1012</v>
      </c>
    </row>
    <row r="8" spans="1:10" ht="27" x14ac:dyDescent="0.35">
      <c r="A8" s="227" t="s">
        <v>228</v>
      </c>
      <c r="B8" s="227"/>
      <c r="C8" s="227"/>
      <c r="D8" s="227"/>
      <c r="E8" s="227"/>
      <c r="F8" s="227"/>
      <c r="G8" s="227"/>
      <c r="H8" s="227"/>
    </row>
    <row r="9" spans="1:10" ht="13.5" thickBot="1" x14ac:dyDescent="0.25"/>
    <row r="10" spans="1:10" ht="13.5" thickBot="1" x14ac:dyDescent="0.25">
      <c r="B10" s="230" t="s">
        <v>225</v>
      </c>
      <c r="C10" s="231"/>
    </row>
    <row r="11" spans="1:10" x14ac:dyDescent="0.2">
      <c r="B11" s="112" t="s">
        <v>235</v>
      </c>
      <c r="C11" s="112" t="s">
        <v>226</v>
      </c>
    </row>
    <row r="12" spans="1:10" ht="13.5" thickBot="1" x14ac:dyDescent="0.25">
      <c r="B12" s="132">
        <v>710427</v>
      </c>
      <c r="C12" s="232">
        <v>638</v>
      </c>
    </row>
  </sheetData>
  <mergeCells count="5">
    <mergeCell ref="B10:C10"/>
    <mergeCell ref="B3:C3"/>
    <mergeCell ref="A1:H1"/>
    <mergeCell ref="I1:J1"/>
    <mergeCell ref="A8:H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prod old</vt:lpstr>
      <vt:lpstr>Label&amp;Packaging Old</vt:lpstr>
      <vt:lpstr>Productivity</vt:lpstr>
      <vt:lpstr>Production</vt:lpstr>
      <vt:lpstr>HTL</vt:lpstr>
      <vt:lpstr>Production Summary</vt:lpstr>
      <vt:lpstr>HTL Summary</vt:lpstr>
      <vt:lpstr>Graph Summary</vt:lpstr>
      <vt:lpstr>Defects</vt:lpstr>
      <vt:lpstr>'Graph Summary'!Print_Area</vt:lpstr>
      <vt:lpstr>HTL!Print_Area</vt:lpstr>
      <vt:lpstr>'Label&amp;Packaging Old'!Print_Area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PROD - Jenny LIU</cp:lastModifiedBy>
  <cp:lastPrinted>2024-04-02T16:18:42Z</cp:lastPrinted>
  <dcterms:created xsi:type="dcterms:W3CDTF">2021-09-10T14:50:31Z</dcterms:created>
  <dcterms:modified xsi:type="dcterms:W3CDTF">2024-05-10T16:43:37Z</dcterms:modified>
</cp:coreProperties>
</file>