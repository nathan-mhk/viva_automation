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tables/table1.xml" ContentType="application/vnd.openxmlformats-officedocument.spreadsheetml.table+xml"/>
  <Override PartName="/xl/comments1.xml" ContentType="application/vnd.openxmlformats-officedocument.spreadsheetml.comments+xml"/>
  <Override PartName="/xl/tables/table2.xml" ContentType="application/vnd.openxmlformats-officedocument.spreadsheetml.table+xml"/>
  <Override PartName="/xl/comments2.xml" ContentType="application/vnd.openxmlformats-officedocument.spreadsheetml.comments+xml"/>
  <Override PartName="/xl/tables/table3.xml" ContentType="application/vnd.openxmlformats-officedocument.spreadsheetml.table+xml"/>
  <Override PartName="/xl/pivotTables/pivotTable2.xml" ContentType="application/vnd.openxmlformats-officedocument.spreadsheetml.pivotTable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pivotTables/pivotTable3.xml" ContentType="application/vnd.openxmlformats-officedocument.spreadsheetml.pivot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/>
  <bookViews>
    <workbookView xWindow="-120" yWindow="-120" windowWidth="29040" windowHeight="15840" firstSheet="3" activeTab="3"/>
  </bookViews>
  <sheets>
    <sheet name="prod old" sheetId="2" state="hidden" r:id="rId1"/>
    <sheet name="ASS old" sheetId="3" state="hidden" r:id="rId2"/>
    <sheet name="Productivity" sheetId="10" state="hidden" r:id="rId3"/>
    <sheet name="Production" sheetId="5" r:id="rId4"/>
    <sheet name="Assembly (MEO)" sheetId="6" r:id="rId5"/>
    <sheet name="Final Assem (MEO)" sheetId="7" r:id="rId6"/>
    <sheet name="Graph Summary" sheetId="9" r:id="rId7"/>
    <sheet name="Defects" sheetId="8" r:id="rId8"/>
  </sheets>
  <functionGroups builtInGroupCount="17"/>
  <definedNames>
    <definedName name="_xlnm.Print_Area" localSheetId="1">'ASS old'!$A:$AB</definedName>
    <definedName name="_xlnm.Print_Area" localSheetId="4">'Assembly (MEO)'!$A:$AB</definedName>
    <definedName name="_xlnm.Print_Area" localSheetId="5">'Final Assem (MEO)'!$A:$AB</definedName>
    <definedName name="_xlnm.Print_Area" localSheetId="0">'prod old'!$A:$AC</definedName>
    <definedName name="_xlnm.Print_Area" localSheetId="3">Production!$A:$AC</definedName>
  </definedNames>
  <calcPr calcId="145621"/>
  <pivotCaches>
    <pivotCache cacheId="18" r:id="rId9"/>
    <pivotCache cacheId="21" r:id="rId10"/>
  </pivotCaches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I47" i="9" l="1"/>
  <c r="H47" i="9"/>
  <c r="H19" i="7"/>
  <c r="G19" i="7"/>
  <c r="F19" i="7"/>
  <c r="H27" i="6"/>
  <c r="H26" i="6"/>
  <c r="G27" i="6"/>
  <c r="G26" i="6"/>
  <c r="I29" i="6"/>
  <c r="E29" i="6" s="1"/>
  <c r="I28" i="6"/>
  <c r="E28" i="6" s="1"/>
  <c r="BC71" i="5"/>
  <c r="BB71" i="5"/>
  <c r="BA71" i="5"/>
  <c r="AZ71" i="5"/>
  <c r="AU71" i="5"/>
  <c r="AT71" i="5"/>
  <c r="AV71" i="5" s="1"/>
  <c r="AS71" i="5"/>
  <c r="Y71" i="5"/>
  <c r="X71" i="5"/>
  <c r="S71" i="5"/>
  <c r="AA71" i="5" s="1"/>
  <c r="M71" i="5"/>
  <c r="L71" i="5"/>
  <c r="G71" i="5"/>
  <c r="BC70" i="5"/>
  <c r="BB70" i="5"/>
  <c r="BA70" i="5"/>
  <c r="AZ70" i="5"/>
  <c r="AU70" i="5"/>
  <c r="AT70" i="5"/>
  <c r="AS70" i="5"/>
  <c r="Y70" i="5"/>
  <c r="X70" i="5"/>
  <c r="S70" i="5"/>
  <c r="R70" i="5"/>
  <c r="M70" i="5"/>
  <c r="L70" i="5"/>
  <c r="G70" i="5"/>
  <c r="BC69" i="5"/>
  <c r="BB69" i="5"/>
  <c r="BA69" i="5"/>
  <c r="AZ69" i="5"/>
  <c r="AU69" i="5"/>
  <c r="AT69" i="5"/>
  <c r="AS69" i="5"/>
  <c r="AV69" i="5" s="1"/>
  <c r="Y69" i="5"/>
  <c r="X69" i="5" s="1"/>
  <c r="R69" i="5"/>
  <c r="L69" i="5"/>
  <c r="Z69" i="5" s="1"/>
  <c r="AB69" i="5" s="1"/>
  <c r="G69" i="5"/>
  <c r="BC68" i="5"/>
  <c r="BB68" i="5"/>
  <c r="BA68" i="5"/>
  <c r="AZ68" i="5"/>
  <c r="AU68" i="5"/>
  <c r="AT68" i="5"/>
  <c r="AS68" i="5"/>
  <c r="Y68" i="5"/>
  <c r="X68" i="5" s="1"/>
  <c r="S68" i="5"/>
  <c r="R68" i="5"/>
  <c r="M68" i="5"/>
  <c r="L68" i="5" s="1"/>
  <c r="G68" i="5"/>
  <c r="BC67" i="5"/>
  <c r="BB67" i="5"/>
  <c r="BA67" i="5"/>
  <c r="AZ67" i="5"/>
  <c r="AU67" i="5"/>
  <c r="AT67" i="5"/>
  <c r="AS67" i="5"/>
  <c r="X67" i="5"/>
  <c r="R67" i="5"/>
  <c r="L67" i="5"/>
  <c r="Z67" i="5" s="1"/>
  <c r="G67" i="5"/>
  <c r="BC66" i="5"/>
  <c r="BB66" i="5"/>
  <c r="BA66" i="5"/>
  <c r="AZ66" i="5"/>
  <c r="AU66" i="5"/>
  <c r="AT66" i="5"/>
  <c r="AS66" i="5"/>
  <c r="Y66" i="5"/>
  <c r="X66" i="5"/>
  <c r="S66" i="5"/>
  <c r="M66" i="5"/>
  <c r="L66" i="5" s="1"/>
  <c r="G66" i="5"/>
  <c r="BD67" i="5"/>
  <c r="BD70" i="5"/>
  <c r="BD69" i="5"/>
  <c r="BD68" i="5"/>
  <c r="BD71" i="5"/>
  <c r="BD66" i="5"/>
  <c r="AA66" i="5" l="1"/>
  <c r="Z68" i="5"/>
  <c r="AB68" i="5" s="1"/>
  <c r="AA68" i="5"/>
  <c r="Z70" i="5"/>
  <c r="AB70" i="5" s="1"/>
  <c r="AA70" i="5"/>
  <c r="AV66" i="5"/>
  <c r="AV68" i="5"/>
  <c r="AV67" i="5"/>
  <c r="AV70" i="5"/>
  <c r="Z66" i="5"/>
  <c r="AB66" i="5" s="1"/>
  <c r="AA69" i="5"/>
  <c r="R66" i="5"/>
  <c r="R71" i="5"/>
  <c r="Z71" i="5" s="1"/>
  <c r="AB71" i="5" s="1"/>
  <c r="H25" i="6"/>
  <c r="H24" i="6"/>
  <c r="G25" i="6"/>
  <c r="G24" i="6"/>
  <c r="H46" i="9"/>
  <c r="I46" i="9"/>
  <c r="I27" i="6"/>
  <c r="E27" i="6" s="1"/>
  <c r="I26" i="6"/>
  <c r="E26" i="6" s="1"/>
  <c r="BC65" i="5"/>
  <c r="BB65" i="5"/>
  <c r="BA65" i="5"/>
  <c r="AZ65" i="5"/>
  <c r="AU65" i="5"/>
  <c r="AT65" i="5"/>
  <c r="AS65" i="5"/>
  <c r="Y65" i="5"/>
  <c r="X65" i="5"/>
  <c r="S65" i="5"/>
  <c r="M65" i="5"/>
  <c r="L65" i="5" s="1"/>
  <c r="G65" i="5"/>
  <c r="BC64" i="5"/>
  <c r="BB64" i="5"/>
  <c r="BA64" i="5"/>
  <c r="AZ64" i="5"/>
  <c r="AU64" i="5"/>
  <c r="AT64" i="5"/>
  <c r="AS64" i="5"/>
  <c r="Y64" i="5"/>
  <c r="X64" i="5" s="1"/>
  <c r="S64" i="5"/>
  <c r="R64" i="5" s="1"/>
  <c r="M64" i="5"/>
  <c r="L64" i="5" s="1"/>
  <c r="G64" i="5"/>
  <c r="BC63" i="5"/>
  <c r="BB63" i="5"/>
  <c r="BA63" i="5"/>
  <c r="AZ63" i="5"/>
  <c r="AU63" i="5"/>
  <c r="AT63" i="5"/>
  <c r="AS63" i="5"/>
  <c r="Y63" i="5"/>
  <c r="X63" i="5" s="1"/>
  <c r="R63" i="5"/>
  <c r="L63" i="5"/>
  <c r="G63" i="5"/>
  <c r="BC62" i="5"/>
  <c r="BB62" i="5"/>
  <c r="BA62" i="5"/>
  <c r="AZ62" i="5"/>
  <c r="AU62" i="5"/>
  <c r="AT62" i="5"/>
  <c r="AS62" i="5"/>
  <c r="Y62" i="5"/>
  <c r="X62" i="5" s="1"/>
  <c r="S62" i="5"/>
  <c r="M62" i="5"/>
  <c r="L62" i="5"/>
  <c r="G62" i="5"/>
  <c r="BC61" i="5"/>
  <c r="BB61" i="5"/>
  <c r="BA61" i="5"/>
  <c r="AZ61" i="5"/>
  <c r="AU61" i="5"/>
  <c r="AT61" i="5"/>
  <c r="AS61" i="5"/>
  <c r="AV61" i="5" s="1"/>
  <c r="X61" i="5"/>
  <c r="R61" i="5"/>
  <c r="L61" i="5"/>
  <c r="G61" i="5"/>
  <c r="BC60" i="5"/>
  <c r="BB60" i="5"/>
  <c r="BA60" i="5"/>
  <c r="AZ60" i="5"/>
  <c r="AU60" i="5"/>
  <c r="AT60" i="5"/>
  <c r="AS60" i="5"/>
  <c r="AV60" i="5" s="1"/>
  <c r="Y60" i="5"/>
  <c r="X60" i="5" s="1"/>
  <c r="S60" i="5"/>
  <c r="M60" i="5"/>
  <c r="L60" i="5" s="1"/>
  <c r="G60" i="5"/>
  <c r="BD60" i="5"/>
  <c r="BD65" i="5"/>
  <c r="BD64" i="5"/>
  <c r="BD63" i="5"/>
  <c r="BD62" i="5"/>
  <c r="BD61" i="5"/>
  <c r="AV65" i="5" l="1"/>
  <c r="AA62" i="5"/>
  <c r="Z63" i="5"/>
  <c r="AB63" i="5" s="1"/>
  <c r="Z64" i="5"/>
  <c r="AB64" i="5" s="1"/>
  <c r="Z61" i="5"/>
  <c r="AA64" i="5"/>
  <c r="AV64" i="5"/>
  <c r="AV62" i="5"/>
  <c r="AA60" i="5"/>
  <c r="R62" i="5"/>
  <c r="Z62" i="5" s="1"/>
  <c r="AV63" i="5"/>
  <c r="AA65" i="5"/>
  <c r="Z60" i="5"/>
  <c r="AB60" i="5" s="1"/>
  <c r="AA63" i="5"/>
  <c r="R60" i="5"/>
  <c r="R65" i="5"/>
  <c r="Z65" i="5" s="1"/>
  <c r="AB65" i="5" s="1"/>
  <c r="I25" i="6"/>
  <c r="E25" i="6" s="1"/>
  <c r="I24" i="6"/>
  <c r="E24" i="6" s="1"/>
  <c r="BC59" i="5"/>
  <c r="BB59" i="5"/>
  <c r="BA59" i="5"/>
  <c r="AZ59" i="5"/>
  <c r="AU59" i="5"/>
  <c r="AT59" i="5"/>
  <c r="AS59" i="5"/>
  <c r="Y59" i="5"/>
  <c r="X59" i="5" s="1"/>
  <c r="S59" i="5"/>
  <c r="R59" i="5" s="1"/>
  <c r="M59" i="5"/>
  <c r="L59" i="5" s="1"/>
  <c r="G59" i="5"/>
  <c r="BC58" i="5"/>
  <c r="BB58" i="5"/>
  <c r="BA58" i="5"/>
  <c r="AZ58" i="5"/>
  <c r="AU58" i="5"/>
  <c r="AT58" i="5"/>
  <c r="AS58" i="5"/>
  <c r="Y58" i="5"/>
  <c r="X58" i="5" s="1"/>
  <c r="S58" i="5"/>
  <c r="R58" i="5" s="1"/>
  <c r="M58" i="5"/>
  <c r="L58" i="5" s="1"/>
  <c r="G58" i="5"/>
  <c r="BC57" i="5"/>
  <c r="BB57" i="5"/>
  <c r="BA57" i="5"/>
  <c r="AZ57" i="5"/>
  <c r="AU57" i="5"/>
  <c r="AT57" i="5"/>
  <c r="AS57" i="5"/>
  <c r="Y57" i="5"/>
  <c r="AA57" i="5" s="1"/>
  <c r="R57" i="5"/>
  <c r="L57" i="5"/>
  <c r="G57" i="5"/>
  <c r="BC56" i="5"/>
  <c r="BB56" i="5"/>
  <c r="BA56" i="5"/>
  <c r="AZ56" i="5"/>
  <c r="AU56" i="5"/>
  <c r="AT56" i="5"/>
  <c r="AS56" i="5"/>
  <c r="Y56" i="5"/>
  <c r="X56" i="5" s="1"/>
  <c r="S56" i="5"/>
  <c r="R56" i="5" s="1"/>
  <c r="M56" i="5"/>
  <c r="L56" i="5" s="1"/>
  <c r="G56" i="5"/>
  <c r="BC55" i="5"/>
  <c r="BB55" i="5"/>
  <c r="BA55" i="5"/>
  <c r="AZ55" i="5"/>
  <c r="AU55" i="5"/>
  <c r="AT55" i="5"/>
  <c r="AS55" i="5"/>
  <c r="X55" i="5"/>
  <c r="R55" i="5"/>
  <c r="L55" i="5"/>
  <c r="G55" i="5"/>
  <c r="BC54" i="5"/>
  <c r="BB54" i="5"/>
  <c r="BA54" i="5"/>
  <c r="AZ54" i="5"/>
  <c r="AU54" i="5"/>
  <c r="AT54" i="5"/>
  <c r="AS54" i="5"/>
  <c r="Y54" i="5"/>
  <c r="X54" i="5" s="1"/>
  <c r="S54" i="5"/>
  <c r="R54" i="5" s="1"/>
  <c r="M54" i="5"/>
  <c r="L54" i="5" s="1"/>
  <c r="G54" i="5"/>
  <c r="I44" i="9"/>
  <c r="H44" i="9"/>
  <c r="F20" i="6"/>
  <c r="I20" i="6" s="1"/>
  <c r="E20" i="6" s="1"/>
  <c r="I23" i="6"/>
  <c r="E23" i="6" s="1"/>
  <c r="I22" i="6"/>
  <c r="E22" i="6" s="1"/>
  <c r="BC53" i="5"/>
  <c r="BB53" i="5"/>
  <c r="BA53" i="5"/>
  <c r="AZ53" i="5"/>
  <c r="AU53" i="5"/>
  <c r="AT53" i="5"/>
  <c r="AS53" i="5"/>
  <c r="Y53" i="5"/>
  <c r="X53" i="5" s="1"/>
  <c r="S53" i="5"/>
  <c r="R53" i="5" s="1"/>
  <c r="M53" i="5"/>
  <c r="L53" i="5" s="1"/>
  <c r="G53" i="5"/>
  <c r="BC52" i="5"/>
  <c r="BB52" i="5"/>
  <c r="BA52" i="5"/>
  <c r="AZ52" i="5"/>
  <c r="AU52" i="5"/>
  <c r="AT52" i="5"/>
  <c r="AS52" i="5"/>
  <c r="Y52" i="5"/>
  <c r="X52" i="5" s="1"/>
  <c r="S52" i="5"/>
  <c r="R52" i="5" s="1"/>
  <c r="M52" i="5"/>
  <c r="L52" i="5" s="1"/>
  <c r="G52" i="5"/>
  <c r="BC51" i="5"/>
  <c r="BB51" i="5"/>
  <c r="BA51" i="5"/>
  <c r="AZ51" i="5"/>
  <c r="AU51" i="5"/>
  <c r="AT51" i="5"/>
  <c r="AS51" i="5"/>
  <c r="Y51" i="5"/>
  <c r="AA51" i="5" s="1"/>
  <c r="R51" i="5"/>
  <c r="L51" i="5"/>
  <c r="G51" i="5"/>
  <c r="BC50" i="5"/>
  <c r="BB50" i="5"/>
  <c r="BA50" i="5"/>
  <c r="AZ50" i="5"/>
  <c r="AU50" i="5"/>
  <c r="AT50" i="5"/>
  <c r="AS50" i="5"/>
  <c r="Y50" i="5"/>
  <c r="X50" i="5" s="1"/>
  <c r="S50" i="5"/>
  <c r="R50" i="5" s="1"/>
  <c r="M50" i="5"/>
  <c r="L50" i="5" s="1"/>
  <c r="G50" i="5"/>
  <c r="BC49" i="5"/>
  <c r="BB49" i="5"/>
  <c r="BA49" i="5"/>
  <c r="AZ49" i="5"/>
  <c r="AU49" i="5"/>
  <c r="AT49" i="5"/>
  <c r="AS49" i="5"/>
  <c r="X49" i="5"/>
  <c r="R49" i="5"/>
  <c r="L49" i="5"/>
  <c r="G49" i="5"/>
  <c r="BC48" i="5"/>
  <c r="BB48" i="5"/>
  <c r="BA48" i="5"/>
  <c r="AZ48" i="5"/>
  <c r="AU48" i="5"/>
  <c r="AT48" i="5"/>
  <c r="AS48" i="5"/>
  <c r="Y48" i="5"/>
  <c r="X48" i="5" s="1"/>
  <c r="S48" i="5"/>
  <c r="R48" i="5" s="1"/>
  <c r="M48" i="5"/>
  <c r="L48" i="5" s="1"/>
  <c r="G48" i="5"/>
  <c r="I43" i="9"/>
  <c r="H43" i="9"/>
  <c r="G19" i="6"/>
  <c r="G18" i="6"/>
  <c r="F19" i="6"/>
  <c r="F18" i="6"/>
  <c r="BC47" i="5"/>
  <c r="BB47" i="5"/>
  <c r="BA47" i="5"/>
  <c r="AZ47" i="5"/>
  <c r="AU47" i="5"/>
  <c r="AT47" i="5"/>
  <c r="AS47" i="5"/>
  <c r="Y47" i="5"/>
  <c r="X47" i="5" s="1"/>
  <c r="S47" i="5"/>
  <c r="R47" i="5" s="1"/>
  <c r="M47" i="5"/>
  <c r="L47" i="5" s="1"/>
  <c r="G47" i="5"/>
  <c r="BC46" i="5"/>
  <c r="BB46" i="5"/>
  <c r="BA46" i="5"/>
  <c r="AZ46" i="5"/>
  <c r="AU46" i="5"/>
  <c r="AT46" i="5"/>
  <c r="AS46" i="5"/>
  <c r="Y46" i="5"/>
  <c r="X46" i="5" s="1"/>
  <c r="S46" i="5"/>
  <c r="R46" i="5" s="1"/>
  <c r="M46" i="5"/>
  <c r="L46" i="5" s="1"/>
  <c r="G46" i="5"/>
  <c r="BC45" i="5"/>
  <c r="BB45" i="5"/>
  <c r="BA45" i="5"/>
  <c r="AZ45" i="5"/>
  <c r="AU45" i="5"/>
  <c r="AT45" i="5"/>
  <c r="AS45" i="5"/>
  <c r="Y45" i="5"/>
  <c r="X45" i="5" s="1"/>
  <c r="R45" i="5"/>
  <c r="L45" i="5"/>
  <c r="G45" i="5"/>
  <c r="BC44" i="5"/>
  <c r="BB44" i="5"/>
  <c r="BA44" i="5"/>
  <c r="AZ44" i="5"/>
  <c r="AU44" i="5"/>
  <c r="AT44" i="5"/>
  <c r="AS44" i="5"/>
  <c r="Y44" i="5"/>
  <c r="X44" i="5" s="1"/>
  <c r="S44" i="5"/>
  <c r="M44" i="5"/>
  <c r="L44" i="5" s="1"/>
  <c r="G44" i="5"/>
  <c r="BC43" i="5"/>
  <c r="BB43" i="5"/>
  <c r="BA43" i="5"/>
  <c r="AZ43" i="5"/>
  <c r="AU43" i="5"/>
  <c r="AT43" i="5"/>
  <c r="AS43" i="5"/>
  <c r="X43" i="5"/>
  <c r="R43" i="5"/>
  <c r="L43" i="5"/>
  <c r="G43" i="5"/>
  <c r="BC42" i="5"/>
  <c r="BB42" i="5"/>
  <c r="BA42" i="5"/>
  <c r="AZ42" i="5"/>
  <c r="AU42" i="5"/>
  <c r="AT42" i="5"/>
  <c r="AS42" i="5"/>
  <c r="Y42" i="5"/>
  <c r="X42" i="5" s="1"/>
  <c r="S42" i="5"/>
  <c r="R42" i="5" s="1"/>
  <c r="M42" i="5"/>
  <c r="L42" i="5" s="1"/>
  <c r="G42" i="5"/>
  <c r="I21" i="6"/>
  <c r="E21" i="6" s="1"/>
  <c r="I42" i="9"/>
  <c r="H42" i="9"/>
  <c r="H17" i="6"/>
  <c r="H16" i="6"/>
  <c r="G17" i="6"/>
  <c r="G16" i="6"/>
  <c r="F17" i="6"/>
  <c r="F16" i="6"/>
  <c r="BC41" i="5"/>
  <c r="BB41" i="5"/>
  <c r="BA41" i="5"/>
  <c r="AZ41" i="5"/>
  <c r="AU41" i="5"/>
  <c r="AT41" i="5"/>
  <c r="AS41" i="5"/>
  <c r="Y41" i="5"/>
  <c r="X41" i="5" s="1"/>
  <c r="S41" i="5"/>
  <c r="R41" i="5" s="1"/>
  <c r="M41" i="5"/>
  <c r="L41" i="5" s="1"/>
  <c r="G41" i="5"/>
  <c r="BC40" i="5"/>
  <c r="BB40" i="5"/>
  <c r="BA40" i="5"/>
  <c r="AZ40" i="5"/>
  <c r="AU40" i="5"/>
  <c r="AT40" i="5"/>
  <c r="AS40" i="5"/>
  <c r="Y40" i="5"/>
  <c r="X40" i="5" s="1"/>
  <c r="S40" i="5"/>
  <c r="R40" i="5" s="1"/>
  <c r="M40" i="5"/>
  <c r="L40" i="5" s="1"/>
  <c r="G40" i="5"/>
  <c r="BC39" i="5"/>
  <c r="BB39" i="5"/>
  <c r="BA39" i="5"/>
  <c r="AZ39" i="5"/>
  <c r="AU39" i="5"/>
  <c r="AT39" i="5"/>
  <c r="AS39" i="5"/>
  <c r="Y39" i="5"/>
  <c r="AA39" i="5" s="1"/>
  <c r="R39" i="5"/>
  <c r="L39" i="5"/>
  <c r="G39" i="5"/>
  <c r="BC38" i="5"/>
  <c r="BB38" i="5"/>
  <c r="BA38" i="5"/>
  <c r="AZ38" i="5"/>
  <c r="AU38" i="5"/>
  <c r="AT38" i="5"/>
  <c r="AS38" i="5"/>
  <c r="Y38" i="5"/>
  <c r="X38" i="5" s="1"/>
  <c r="S38" i="5"/>
  <c r="R38" i="5" s="1"/>
  <c r="M38" i="5"/>
  <c r="L38" i="5" s="1"/>
  <c r="G38" i="5"/>
  <c r="BC37" i="5"/>
  <c r="BB37" i="5"/>
  <c r="BA37" i="5"/>
  <c r="AZ37" i="5"/>
  <c r="AU37" i="5"/>
  <c r="AT37" i="5"/>
  <c r="AS37" i="5"/>
  <c r="X37" i="5"/>
  <c r="R37" i="5"/>
  <c r="L37" i="5"/>
  <c r="G37" i="5"/>
  <c r="BC36" i="5"/>
  <c r="BB36" i="5"/>
  <c r="BA36" i="5"/>
  <c r="AZ36" i="5"/>
  <c r="AU36" i="5"/>
  <c r="AT36" i="5"/>
  <c r="AS36" i="5"/>
  <c r="Y36" i="5"/>
  <c r="X36" i="5" s="1"/>
  <c r="S36" i="5"/>
  <c r="R36" i="5" s="1"/>
  <c r="M36" i="5"/>
  <c r="G36" i="5"/>
  <c r="I41" i="9"/>
  <c r="H41" i="9"/>
  <c r="H15" i="6"/>
  <c r="H14" i="6"/>
  <c r="G15" i="6"/>
  <c r="G14" i="6"/>
  <c r="I14" i="6" s="1"/>
  <c r="E14" i="6" s="1"/>
  <c r="S26" i="5"/>
  <c r="R26" i="5" s="1"/>
  <c r="BC35" i="5"/>
  <c r="BB35" i="5"/>
  <c r="BA35" i="5"/>
  <c r="AZ35" i="5"/>
  <c r="AU35" i="5"/>
  <c r="AT35" i="5"/>
  <c r="AS35" i="5"/>
  <c r="Y35" i="5"/>
  <c r="X35" i="5" s="1"/>
  <c r="S35" i="5"/>
  <c r="R35" i="5" s="1"/>
  <c r="M35" i="5"/>
  <c r="L35" i="5" s="1"/>
  <c r="G35" i="5"/>
  <c r="BC34" i="5"/>
  <c r="BB34" i="5"/>
  <c r="BA34" i="5"/>
  <c r="AZ34" i="5"/>
  <c r="AU34" i="5"/>
  <c r="AT34" i="5"/>
  <c r="AS34" i="5"/>
  <c r="Y34" i="5"/>
  <c r="X34" i="5" s="1"/>
  <c r="S34" i="5"/>
  <c r="R34" i="5" s="1"/>
  <c r="M34" i="5"/>
  <c r="L34" i="5" s="1"/>
  <c r="G34" i="5"/>
  <c r="BC33" i="5"/>
  <c r="BB33" i="5"/>
  <c r="BA33" i="5"/>
  <c r="AZ33" i="5"/>
  <c r="AU33" i="5"/>
  <c r="AT33" i="5"/>
  <c r="AS33" i="5"/>
  <c r="Y33" i="5"/>
  <c r="AA33" i="5" s="1"/>
  <c r="R33" i="5"/>
  <c r="L33" i="5"/>
  <c r="G33" i="5"/>
  <c r="BC32" i="5"/>
  <c r="BB32" i="5"/>
  <c r="BA32" i="5"/>
  <c r="AZ32" i="5"/>
  <c r="AU32" i="5"/>
  <c r="AT32" i="5"/>
  <c r="AS32" i="5"/>
  <c r="Y32" i="5"/>
  <c r="X32" i="5" s="1"/>
  <c r="S32" i="5"/>
  <c r="R32" i="5" s="1"/>
  <c r="M32" i="5"/>
  <c r="L32" i="5" s="1"/>
  <c r="G32" i="5"/>
  <c r="BC31" i="5"/>
  <c r="BB31" i="5"/>
  <c r="BA31" i="5"/>
  <c r="AZ31" i="5"/>
  <c r="AU31" i="5"/>
  <c r="AT31" i="5"/>
  <c r="AS31" i="5"/>
  <c r="X31" i="5"/>
  <c r="R31" i="5"/>
  <c r="L31" i="5"/>
  <c r="G31" i="5"/>
  <c r="BC30" i="5"/>
  <c r="BB30" i="5"/>
  <c r="BA30" i="5"/>
  <c r="AZ30" i="5"/>
  <c r="AU30" i="5"/>
  <c r="AT30" i="5"/>
  <c r="AS30" i="5"/>
  <c r="Y30" i="5"/>
  <c r="X30" i="5" s="1"/>
  <c r="S30" i="5"/>
  <c r="R30" i="5" s="1"/>
  <c r="M30" i="5"/>
  <c r="L30" i="5" s="1"/>
  <c r="G30" i="5"/>
  <c r="H40" i="9"/>
  <c r="I40" i="9"/>
  <c r="I11" i="7"/>
  <c r="E11" i="7" s="1"/>
  <c r="H13" i="6"/>
  <c r="H12" i="6"/>
  <c r="BC29" i="5"/>
  <c r="BB29" i="5"/>
  <c r="BA29" i="5"/>
  <c r="AZ29" i="5"/>
  <c r="AU29" i="5"/>
  <c r="AT29" i="5"/>
  <c r="AS29" i="5"/>
  <c r="Y29" i="5"/>
  <c r="X29" i="5" s="1"/>
  <c r="S29" i="5"/>
  <c r="R29" i="5" s="1"/>
  <c r="M29" i="5"/>
  <c r="L29" i="5" s="1"/>
  <c r="G29" i="5"/>
  <c r="BC28" i="5"/>
  <c r="BB28" i="5"/>
  <c r="BA28" i="5"/>
  <c r="AZ28" i="5"/>
  <c r="AU28" i="5"/>
  <c r="AT28" i="5"/>
  <c r="AS28" i="5"/>
  <c r="Y28" i="5"/>
  <c r="X28" i="5" s="1"/>
  <c r="S28" i="5"/>
  <c r="R28" i="5" s="1"/>
  <c r="M28" i="5"/>
  <c r="L28" i="5" s="1"/>
  <c r="G28" i="5"/>
  <c r="BC27" i="5"/>
  <c r="BB27" i="5"/>
  <c r="BA27" i="5"/>
  <c r="AZ27" i="5"/>
  <c r="AU27" i="5"/>
  <c r="AT27" i="5"/>
  <c r="AS27" i="5"/>
  <c r="Y27" i="5"/>
  <c r="X27" i="5" s="1"/>
  <c r="R27" i="5"/>
  <c r="L27" i="5"/>
  <c r="G27" i="5"/>
  <c r="BC26" i="5"/>
  <c r="BB26" i="5"/>
  <c r="BA26" i="5"/>
  <c r="AZ26" i="5"/>
  <c r="AU26" i="5"/>
  <c r="AT26" i="5"/>
  <c r="AS26" i="5"/>
  <c r="Y26" i="5"/>
  <c r="X26" i="5" s="1"/>
  <c r="M26" i="5"/>
  <c r="L26" i="5" s="1"/>
  <c r="G26" i="5"/>
  <c r="BC25" i="5"/>
  <c r="BB25" i="5"/>
  <c r="BA25" i="5"/>
  <c r="AZ25" i="5"/>
  <c r="AU25" i="5"/>
  <c r="AT25" i="5"/>
  <c r="AS25" i="5"/>
  <c r="X25" i="5"/>
  <c r="R25" i="5"/>
  <c r="L25" i="5"/>
  <c r="G25" i="5"/>
  <c r="BC24" i="5"/>
  <c r="BB24" i="5"/>
  <c r="BA24" i="5"/>
  <c r="AZ24" i="5"/>
  <c r="AU24" i="5"/>
  <c r="AT24" i="5"/>
  <c r="AS24" i="5"/>
  <c r="Y24" i="5"/>
  <c r="X24" i="5" s="1"/>
  <c r="S24" i="5"/>
  <c r="M24" i="5"/>
  <c r="L24" i="5" s="1"/>
  <c r="G24" i="5"/>
  <c r="BD56" i="5"/>
  <c r="BD42" i="5"/>
  <c r="BD38" i="5"/>
  <c r="BD51" i="5"/>
  <c r="BD26" i="5"/>
  <c r="BD45" i="5"/>
  <c r="BD37" i="5"/>
  <c r="BD27" i="5"/>
  <c r="BD32" i="5"/>
  <c r="BD30" i="5"/>
  <c r="BD41" i="5"/>
  <c r="BD34" i="5"/>
  <c r="BD46" i="5"/>
  <c r="BD40" i="5"/>
  <c r="BD50" i="5"/>
  <c r="BD58" i="5"/>
  <c r="BD28" i="5"/>
  <c r="BD44" i="5"/>
  <c r="BD47" i="5"/>
  <c r="BD25" i="5"/>
  <c r="BD24" i="5"/>
  <c r="BD57" i="5"/>
  <c r="BD48" i="5"/>
  <c r="BD35" i="5"/>
  <c r="BD52" i="5"/>
  <c r="BD39" i="5"/>
  <c r="BD55" i="5"/>
  <c r="BD49" i="5"/>
  <c r="BD31" i="5"/>
  <c r="BD36" i="5"/>
  <c r="BD43" i="5"/>
  <c r="BD33" i="5"/>
  <c r="BD53" i="5"/>
  <c r="BD59" i="5"/>
  <c r="BD54" i="5"/>
  <c r="BD29" i="5"/>
  <c r="AB62" i="5" l="1"/>
  <c r="AV28" i="5"/>
  <c r="I15" i="6"/>
  <c r="E15" i="6" s="1"/>
  <c r="I19" i="6"/>
  <c r="E19" i="6" s="1"/>
  <c r="AV55" i="5"/>
  <c r="AV58" i="5"/>
  <c r="AV48" i="5"/>
  <c r="AV41" i="5"/>
  <c r="AV59" i="5"/>
  <c r="Z54" i="5"/>
  <c r="AB54" i="5" s="1"/>
  <c r="Z55" i="5"/>
  <c r="AV56" i="5"/>
  <c r="Z49" i="5"/>
  <c r="Z59" i="5"/>
  <c r="AB59" i="5" s="1"/>
  <c r="Z56" i="5"/>
  <c r="AA54" i="5"/>
  <c r="AV54" i="5"/>
  <c r="AV57" i="5"/>
  <c r="Z58" i="5"/>
  <c r="AB58" i="5" s="1"/>
  <c r="AA45" i="5"/>
  <c r="AA59" i="5"/>
  <c r="AV51" i="5"/>
  <c r="AA56" i="5"/>
  <c r="AA58" i="5"/>
  <c r="AV27" i="5"/>
  <c r="X57" i="5"/>
  <c r="Z57" i="5" s="1"/>
  <c r="AB57" i="5" s="1"/>
  <c r="AA48" i="5"/>
  <c r="AV52" i="5"/>
  <c r="AV53" i="5"/>
  <c r="AV50" i="5"/>
  <c r="AV49" i="5"/>
  <c r="X51" i="5"/>
  <c r="Z51" i="5" s="1"/>
  <c r="AB51" i="5" s="1"/>
  <c r="Z52" i="5"/>
  <c r="AB52" i="5" s="1"/>
  <c r="Z53" i="5"/>
  <c r="AB53" i="5" s="1"/>
  <c r="Z48" i="5"/>
  <c r="AB48" i="5" s="1"/>
  <c r="Z50" i="5"/>
  <c r="AB50" i="5" s="1"/>
  <c r="AV44" i="5"/>
  <c r="AA53" i="5"/>
  <c r="AA36" i="5"/>
  <c r="AV43" i="5"/>
  <c r="AV42" i="5"/>
  <c r="AV45" i="5"/>
  <c r="AA50" i="5"/>
  <c r="AA52" i="5"/>
  <c r="AA44" i="5"/>
  <c r="AV35" i="5"/>
  <c r="Z41" i="5"/>
  <c r="AB41" i="5" s="1"/>
  <c r="AV47" i="5"/>
  <c r="Z42" i="5"/>
  <c r="AB42" i="5" s="1"/>
  <c r="Z43" i="5"/>
  <c r="I18" i="6"/>
  <c r="E18" i="6" s="1"/>
  <c r="Z37" i="5"/>
  <c r="AA46" i="5"/>
  <c r="AV46" i="5"/>
  <c r="AA47" i="5"/>
  <c r="AA42" i="5"/>
  <c r="Z45" i="5"/>
  <c r="Z47" i="5"/>
  <c r="AB47" i="5" s="1"/>
  <c r="Z46" i="5"/>
  <c r="AB46" i="5" s="1"/>
  <c r="R44" i="5"/>
  <c r="Z44" i="5" s="1"/>
  <c r="AV31" i="5"/>
  <c r="AV39" i="5"/>
  <c r="Z40" i="5"/>
  <c r="AB40" i="5" s="1"/>
  <c r="AA41" i="5"/>
  <c r="AV36" i="5"/>
  <c r="AV40" i="5"/>
  <c r="AV38" i="5"/>
  <c r="I17" i="6"/>
  <c r="E17" i="6" s="1"/>
  <c r="I16" i="6"/>
  <c r="E16" i="6" s="1"/>
  <c r="AA40" i="5"/>
  <c r="L36" i="5"/>
  <c r="Z36" i="5" s="1"/>
  <c r="AB36" i="5" s="1"/>
  <c r="Z38" i="5"/>
  <c r="AA38" i="5"/>
  <c r="AV37" i="5"/>
  <c r="AV25" i="5"/>
  <c r="AV32" i="5"/>
  <c r="AV29" i="5"/>
  <c r="X39" i="5"/>
  <c r="Z39" i="5" s="1"/>
  <c r="AB39" i="5" s="1"/>
  <c r="AV26" i="5"/>
  <c r="AV33" i="5"/>
  <c r="AV34" i="5"/>
  <c r="AV30" i="5"/>
  <c r="Z30" i="5"/>
  <c r="AB30" i="5" s="1"/>
  <c r="Z34" i="5"/>
  <c r="AB34" i="5" s="1"/>
  <c r="Z35" i="5"/>
  <c r="AB35" i="5" s="1"/>
  <c r="AA30" i="5"/>
  <c r="Z31" i="5"/>
  <c r="Z32" i="5"/>
  <c r="AA35" i="5"/>
  <c r="AV24" i="5"/>
  <c r="AA32" i="5"/>
  <c r="AA34" i="5"/>
  <c r="X33" i="5"/>
  <c r="Z33" i="5" s="1"/>
  <c r="AB33" i="5" s="1"/>
  <c r="Z26" i="5"/>
  <c r="Z25" i="5"/>
  <c r="AA26" i="5"/>
  <c r="Z29" i="5"/>
  <c r="AB29" i="5" s="1"/>
  <c r="AA29" i="5"/>
  <c r="Z28" i="5"/>
  <c r="AB28" i="5" s="1"/>
  <c r="AA28" i="5"/>
  <c r="AA24" i="5"/>
  <c r="Z27" i="5"/>
  <c r="AA27" i="5"/>
  <c r="R24" i="5"/>
  <c r="Z24" i="5" s="1"/>
  <c r="AB24" i="5" s="1"/>
  <c r="H11" i="6"/>
  <c r="H10" i="6"/>
  <c r="G11" i="6"/>
  <c r="G10" i="6"/>
  <c r="F11" i="6"/>
  <c r="F10" i="6"/>
  <c r="F9" i="6"/>
  <c r="F8" i="6"/>
  <c r="BD22" i="5"/>
  <c r="BD20" i="5"/>
  <c r="BD21" i="5"/>
  <c r="BD17" i="5"/>
  <c r="BD14" i="5"/>
  <c r="BD12" i="5"/>
  <c r="BD8" i="5"/>
  <c r="BD23" i="5"/>
  <c r="BD6" i="5"/>
  <c r="BD19" i="5"/>
  <c r="BD7" i="5"/>
  <c r="BD15" i="5"/>
  <c r="BD18" i="5"/>
  <c r="BD9" i="5"/>
  <c r="BD11" i="5"/>
  <c r="BD13" i="5"/>
  <c r="BD16" i="5"/>
  <c r="BD10" i="5"/>
  <c r="AB56" i="5" l="1"/>
  <c r="AB45" i="5"/>
  <c r="AB44" i="5"/>
  <c r="AB38" i="5"/>
  <c r="AB32" i="5"/>
  <c r="AB27" i="5"/>
  <c r="AB26" i="5"/>
  <c r="AW3" i="5"/>
  <c r="I39" i="9"/>
  <c r="H39" i="9"/>
  <c r="H10" i="7"/>
  <c r="I10" i="7"/>
  <c r="E10" i="7" s="1"/>
  <c r="H9" i="7"/>
  <c r="G9" i="7"/>
  <c r="F9" i="7"/>
  <c r="I9" i="7" s="1"/>
  <c r="E9" i="7" s="1"/>
  <c r="I10" i="6"/>
  <c r="E10" i="6" s="1"/>
  <c r="I9" i="6"/>
  <c r="E9" i="6" s="1"/>
  <c r="I13" i="6"/>
  <c r="E13" i="6" s="1"/>
  <c r="I12" i="6"/>
  <c r="E12" i="6" s="1"/>
  <c r="BC23" i="5"/>
  <c r="BB23" i="5"/>
  <c r="BA23" i="5"/>
  <c r="AZ23" i="5"/>
  <c r="AU23" i="5"/>
  <c r="AT23" i="5"/>
  <c r="AS23" i="5"/>
  <c r="Y23" i="5"/>
  <c r="X23" i="5" s="1"/>
  <c r="S23" i="5"/>
  <c r="R23" i="5" s="1"/>
  <c r="M23" i="5"/>
  <c r="L23" i="5" s="1"/>
  <c r="G23" i="5"/>
  <c r="BC22" i="5"/>
  <c r="BB22" i="5"/>
  <c r="BA22" i="5"/>
  <c r="AZ22" i="5"/>
  <c r="AU22" i="5"/>
  <c r="AT22" i="5"/>
  <c r="AS22" i="5"/>
  <c r="Y22" i="5"/>
  <c r="X22" i="5" s="1"/>
  <c r="S22" i="5"/>
  <c r="R22" i="5" s="1"/>
  <c r="M22" i="5"/>
  <c r="L22" i="5" s="1"/>
  <c r="G22" i="5"/>
  <c r="BC21" i="5"/>
  <c r="BB21" i="5"/>
  <c r="BA21" i="5"/>
  <c r="AZ21" i="5"/>
  <c r="AU21" i="5"/>
  <c r="AT21" i="5"/>
  <c r="AS21" i="5"/>
  <c r="Y21" i="5"/>
  <c r="AA21" i="5" s="1"/>
  <c r="R21" i="5"/>
  <c r="L21" i="5"/>
  <c r="G21" i="5"/>
  <c r="BC20" i="5"/>
  <c r="BB20" i="5"/>
  <c r="BA20" i="5"/>
  <c r="AZ20" i="5"/>
  <c r="AU20" i="5"/>
  <c r="AT20" i="5"/>
  <c r="AS20" i="5"/>
  <c r="Y20" i="5"/>
  <c r="S20" i="5"/>
  <c r="R20" i="5" s="1"/>
  <c r="M20" i="5"/>
  <c r="L20" i="5" s="1"/>
  <c r="G20" i="5"/>
  <c r="BC19" i="5"/>
  <c r="BB19" i="5"/>
  <c r="BA19" i="5"/>
  <c r="AZ19" i="5"/>
  <c r="AU19" i="5"/>
  <c r="AT19" i="5"/>
  <c r="AS19" i="5"/>
  <c r="X19" i="5"/>
  <c r="R19" i="5"/>
  <c r="L19" i="5"/>
  <c r="G19" i="5"/>
  <c r="BC18" i="5"/>
  <c r="BB18" i="5"/>
  <c r="BA18" i="5"/>
  <c r="AZ18" i="5"/>
  <c r="AU18" i="5"/>
  <c r="AT18" i="5"/>
  <c r="AS18" i="5"/>
  <c r="Y18" i="5"/>
  <c r="X18" i="5" s="1"/>
  <c r="S18" i="5"/>
  <c r="R18" i="5" s="1"/>
  <c r="M18" i="5"/>
  <c r="L18" i="5" s="1"/>
  <c r="G18" i="5"/>
  <c r="AV21" i="5" l="1"/>
  <c r="X21" i="5"/>
  <c r="Z19" i="5"/>
  <c r="AV19" i="5"/>
  <c r="AA20" i="5"/>
  <c r="AV18" i="5"/>
  <c r="X20" i="5"/>
  <c r="Z20" i="5" s="1"/>
  <c r="Z22" i="5"/>
  <c r="AB22" i="5" s="1"/>
  <c r="AV23" i="5"/>
  <c r="Z18" i="5"/>
  <c r="AB18" i="5" s="1"/>
  <c r="AV20" i="5"/>
  <c r="Z21" i="5"/>
  <c r="AB21" i="5" s="1"/>
  <c r="AV22" i="5"/>
  <c r="Z23" i="5"/>
  <c r="AB23" i="5" s="1"/>
  <c r="AA23" i="5"/>
  <c r="AA18" i="5"/>
  <c r="AA22" i="5"/>
  <c r="J2" i="7"/>
  <c r="I38" i="9"/>
  <c r="H38" i="9"/>
  <c r="H7" i="7"/>
  <c r="G7" i="7"/>
  <c r="I7" i="7"/>
  <c r="E7" i="7" s="1"/>
  <c r="I8" i="7"/>
  <c r="E8" i="7" s="1"/>
  <c r="I12" i="7"/>
  <c r="E12" i="7" s="1"/>
  <c r="I13" i="7"/>
  <c r="E13" i="7" s="1"/>
  <c r="I14" i="7"/>
  <c r="E14" i="7" s="1"/>
  <c r="I15" i="7"/>
  <c r="E15" i="7" s="1"/>
  <c r="I16" i="7"/>
  <c r="E16" i="7" s="1"/>
  <c r="I17" i="7"/>
  <c r="E17" i="7" s="1"/>
  <c r="I18" i="7"/>
  <c r="E18" i="7" s="1"/>
  <c r="I19" i="7"/>
  <c r="E19" i="7" s="1"/>
  <c r="I20" i="7"/>
  <c r="E20" i="7" s="1"/>
  <c r="I21" i="7"/>
  <c r="E21" i="7" s="1"/>
  <c r="I22" i="7"/>
  <c r="E22" i="7" s="1"/>
  <c r="I23" i="7"/>
  <c r="E23" i="7" s="1"/>
  <c r="I24" i="7"/>
  <c r="E24" i="7" s="1"/>
  <c r="I25" i="7"/>
  <c r="E25" i="7" s="1"/>
  <c r="I26" i="7"/>
  <c r="E26" i="7" s="1"/>
  <c r="I27" i="7"/>
  <c r="E27" i="7" s="1"/>
  <c r="I28" i="7"/>
  <c r="E28" i="7" s="1"/>
  <c r="I29" i="7"/>
  <c r="E29" i="7" s="1"/>
  <c r="I30" i="7"/>
  <c r="E30" i="7" s="1"/>
  <c r="I31" i="7"/>
  <c r="E31" i="7" s="1"/>
  <c r="I32" i="7"/>
  <c r="E32" i="7" s="1"/>
  <c r="I33" i="7"/>
  <c r="E33" i="7" s="1"/>
  <c r="I34" i="7"/>
  <c r="E34" i="7" s="1"/>
  <c r="I35" i="7"/>
  <c r="E35" i="7" s="1"/>
  <c r="I36" i="7"/>
  <c r="E36" i="7" s="1"/>
  <c r="I37" i="7"/>
  <c r="E37" i="7" s="1"/>
  <c r="I38" i="7"/>
  <c r="E38" i="7" s="1"/>
  <c r="I39" i="7"/>
  <c r="E39" i="7" s="1"/>
  <c r="I40" i="7"/>
  <c r="E40" i="7" s="1"/>
  <c r="I6" i="7"/>
  <c r="E6" i="7" s="1"/>
  <c r="J2" i="6"/>
  <c r="H7" i="6"/>
  <c r="H6" i="6"/>
  <c r="G7" i="6"/>
  <c r="G6" i="6"/>
  <c r="F7" i="6"/>
  <c r="F6" i="6"/>
  <c r="I11" i="6"/>
  <c r="E11" i="6" s="1"/>
  <c r="I8" i="6"/>
  <c r="E8" i="6" s="1"/>
  <c r="M2" i="5"/>
  <c r="BC17" i="5"/>
  <c r="BB17" i="5"/>
  <c r="BA17" i="5"/>
  <c r="AZ17" i="5"/>
  <c r="AU17" i="5"/>
  <c r="AT17" i="5"/>
  <c r="AS17" i="5"/>
  <c r="Y17" i="5"/>
  <c r="X17" i="5" s="1"/>
  <c r="S17" i="5"/>
  <c r="M17" i="5"/>
  <c r="L17" i="5" s="1"/>
  <c r="G17" i="5"/>
  <c r="BC16" i="5"/>
  <c r="BB16" i="5"/>
  <c r="BA16" i="5"/>
  <c r="AZ16" i="5"/>
  <c r="AU16" i="5"/>
  <c r="AT16" i="5"/>
  <c r="AS16" i="5"/>
  <c r="Y16" i="5"/>
  <c r="X16" i="5" s="1"/>
  <c r="S16" i="5"/>
  <c r="R16" i="5" s="1"/>
  <c r="M16" i="5"/>
  <c r="L16" i="5" s="1"/>
  <c r="G16" i="5"/>
  <c r="BC15" i="5"/>
  <c r="BB15" i="5"/>
  <c r="BA15" i="5"/>
  <c r="AZ15" i="5"/>
  <c r="AU15" i="5"/>
  <c r="AT15" i="5"/>
  <c r="AS15" i="5"/>
  <c r="Y15" i="5"/>
  <c r="X15" i="5" s="1"/>
  <c r="R15" i="5"/>
  <c r="L15" i="5"/>
  <c r="G15" i="5"/>
  <c r="BC14" i="5"/>
  <c r="BB14" i="5"/>
  <c r="BA14" i="5"/>
  <c r="AZ14" i="5"/>
  <c r="AU14" i="5"/>
  <c r="AT14" i="5"/>
  <c r="AS14" i="5"/>
  <c r="Y14" i="5"/>
  <c r="X14" i="5" s="1"/>
  <c r="S14" i="5"/>
  <c r="M14" i="5"/>
  <c r="L14" i="5" s="1"/>
  <c r="G14" i="5"/>
  <c r="BC13" i="5"/>
  <c r="BB13" i="5"/>
  <c r="BA13" i="5"/>
  <c r="AZ13" i="5"/>
  <c r="AU13" i="5"/>
  <c r="AT13" i="5"/>
  <c r="AS13" i="5"/>
  <c r="X13" i="5"/>
  <c r="R13" i="5"/>
  <c r="L13" i="5"/>
  <c r="G13" i="5"/>
  <c r="BC12" i="5"/>
  <c r="BB12" i="5"/>
  <c r="BA12" i="5"/>
  <c r="AZ12" i="5"/>
  <c r="AU12" i="5"/>
  <c r="AT12" i="5"/>
  <c r="AS12" i="5"/>
  <c r="Y12" i="5"/>
  <c r="X12" i="5" s="1"/>
  <c r="S12" i="5"/>
  <c r="R12" i="5" s="1"/>
  <c r="M12" i="5"/>
  <c r="L12" i="5" s="1"/>
  <c r="G12" i="5"/>
  <c r="AB20" i="5" l="1"/>
  <c r="AV13" i="5"/>
  <c r="Z12" i="5"/>
  <c r="AA15" i="5"/>
  <c r="AV16" i="5"/>
  <c r="AA14" i="5"/>
  <c r="Z16" i="5"/>
  <c r="AV12" i="5"/>
  <c r="Z13" i="5"/>
  <c r="Z15" i="5"/>
  <c r="AV14" i="5"/>
  <c r="AA17" i="5"/>
  <c r="AV15" i="5"/>
  <c r="AV17" i="5"/>
  <c r="R14" i="5"/>
  <c r="Z14" i="5" s="1"/>
  <c r="R17" i="5"/>
  <c r="Z17" i="5" s="1"/>
  <c r="AB17" i="5" s="1"/>
  <c r="AA12" i="5"/>
  <c r="AA16" i="5"/>
  <c r="I7" i="6"/>
  <c r="E7" i="6" s="1"/>
  <c r="I6" i="6"/>
  <c r="E6" i="6" s="1"/>
  <c r="BC11" i="5"/>
  <c r="BB11" i="5"/>
  <c r="BA11" i="5"/>
  <c r="AZ11" i="5"/>
  <c r="AU11" i="5"/>
  <c r="AT11" i="5"/>
  <c r="AS11" i="5"/>
  <c r="Y11" i="5"/>
  <c r="X11" i="5" s="1"/>
  <c r="S11" i="5"/>
  <c r="M11" i="5"/>
  <c r="L11" i="5" s="1"/>
  <c r="G11" i="5"/>
  <c r="BC10" i="5"/>
  <c r="BB10" i="5"/>
  <c r="BA10" i="5"/>
  <c r="AZ10" i="5"/>
  <c r="AU10" i="5"/>
  <c r="AT10" i="5"/>
  <c r="AS10" i="5"/>
  <c r="Y10" i="5"/>
  <c r="X10" i="5" s="1"/>
  <c r="S10" i="5"/>
  <c r="R10" i="5" s="1"/>
  <c r="M10" i="5"/>
  <c r="G10" i="5"/>
  <c r="BC9" i="5"/>
  <c r="BB9" i="5"/>
  <c r="BA9" i="5"/>
  <c r="AZ9" i="5"/>
  <c r="AU9" i="5"/>
  <c r="AT9" i="5"/>
  <c r="AS9" i="5"/>
  <c r="Y9" i="5"/>
  <c r="AA9" i="5" s="1"/>
  <c r="R9" i="5"/>
  <c r="L9" i="5"/>
  <c r="G9" i="5"/>
  <c r="BC8" i="5"/>
  <c r="BB8" i="5"/>
  <c r="BA8" i="5"/>
  <c r="AZ8" i="5"/>
  <c r="AU8" i="5"/>
  <c r="AT8" i="5"/>
  <c r="AS8" i="5"/>
  <c r="Y8" i="5"/>
  <c r="X8" i="5" s="1"/>
  <c r="S8" i="5"/>
  <c r="R8" i="5" s="1"/>
  <c r="M8" i="5"/>
  <c r="L8" i="5" s="1"/>
  <c r="G8" i="5"/>
  <c r="BC7" i="5"/>
  <c r="BB7" i="5"/>
  <c r="BA7" i="5"/>
  <c r="AZ7" i="5"/>
  <c r="AU7" i="5"/>
  <c r="AT7" i="5"/>
  <c r="AS7" i="5"/>
  <c r="X7" i="5"/>
  <c r="R7" i="5"/>
  <c r="L7" i="5"/>
  <c r="G7" i="5"/>
  <c r="BC6" i="5"/>
  <c r="BB6" i="5"/>
  <c r="BA6" i="5"/>
  <c r="AZ6" i="5"/>
  <c r="AU6" i="5"/>
  <c r="AT6" i="5"/>
  <c r="AS6" i="5"/>
  <c r="Y6" i="5"/>
  <c r="X6" i="5" s="1"/>
  <c r="S6" i="5"/>
  <c r="R6" i="5" s="1"/>
  <c r="M6" i="5"/>
  <c r="L6" i="5" s="1"/>
  <c r="G6" i="5"/>
  <c r="AB15" i="5" l="1"/>
  <c r="AB16" i="5"/>
  <c r="AB14" i="5"/>
  <c r="AB12" i="5"/>
  <c r="AA10" i="5"/>
  <c r="AV7" i="5"/>
  <c r="AV10" i="5"/>
  <c r="X9" i="5"/>
  <c r="Z9" i="5" s="1"/>
  <c r="AB9" i="5" s="1"/>
  <c r="Z7" i="5"/>
  <c r="Z8" i="5"/>
  <c r="L10" i="5"/>
  <c r="Z10" i="5" s="1"/>
  <c r="AB10" i="5" s="1"/>
  <c r="AA11" i="5"/>
  <c r="Z6" i="5"/>
  <c r="AV8" i="5"/>
  <c r="AV11" i="5"/>
  <c r="AV6" i="5"/>
  <c r="AA8" i="5"/>
  <c r="AV9" i="5"/>
  <c r="R11" i="5"/>
  <c r="Z11" i="5" s="1"/>
  <c r="AB11" i="5" s="1"/>
  <c r="AA6" i="5"/>
  <c r="AB6" i="5" l="1"/>
  <c r="AB8" i="5"/>
  <c r="AV3" i="5" l="1"/>
  <c r="I4" i="10" l="1"/>
  <c r="J4" i="10" s="1"/>
  <c r="K1" i="8" l="1"/>
  <c r="D642" i="3" l="1"/>
  <c r="C642" i="3"/>
  <c r="D641" i="3"/>
  <c r="C641" i="3"/>
  <c r="D640" i="3"/>
  <c r="C640" i="3"/>
  <c r="D639" i="3"/>
  <c r="C639" i="3"/>
  <c r="B639" i="3"/>
  <c r="N635" i="3"/>
  <c r="M635" i="3"/>
  <c r="K635" i="3"/>
  <c r="R634" i="3" s="1"/>
  <c r="J635" i="3"/>
  <c r="H635" i="3"/>
  <c r="G635" i="3"/>
  <c r="O634" i="3"/>
  <c r="S634" i="3" s="1"/>
  <c r="N634" i="3"/>
  <c r="M634" i="3"/>
  <c r="Q629" i="3"/>
  <c r="L629" i="3"/>
  <c r="G629" i="3"/>
  <c r="Z628" i="3"/>
  <c r="X628" i="3"/>
  <c r="V628" i="3"/>
  <c r="U628" i="3"/>
  <c r="AA628" i="3" s="1"/>
  <c r="Q628" i="3"/>
  <c r="L628" i="3"/>
  <c r="G628" i="3"/>
  <c r="Q627" i="3"/>
  <c r="L627" i="3"/>
  <c r="G627" i="3"/>
  <c r="Z626" i="3"/>
  <c r="X626" i="3"/>
  <c r="V626" i="3"/>
  <c r="U626" i="3"/>
  <c r="AA626" i="3" s="1"/>
  <c r="Q626" i="3"/>
  <c r="L626" i="3"/>
  <c r="G626" i="3"/>
  <c r="Q625" i="3"/>
  <c r="L625" i="3"/>
  <c r="G625" i="3"/>
  <c r="Z624" i="3"/>
  <c r="X624" i="3"/>
  <c r="V624" i="3"/>
  <c r="U624" i="3"/>
  <c r="AA624" i="3" s="1"/>
  <c r="Q624" i="3"/>
  <c r="L624" i="3"/>
  <c r="G624" i="3"/>
  <c r="Q623" i="3"/>
  <c r="L623" i="3"/>
  <c r="G623" i="3"/>
  <c r="Z622" i="3"/>
  <c r="X622" i="3"/>
  <c r="V622" i="3"/>
  <c r="U622" i="3"/>
  <c r="AA622" i="3" s="1"/>
  <c r="Q622" i="3"/>
  <c r="L622" i="3"/>
  <c r="G622" i="3"/>
  <c r="Q621" i="3"/>
  <c r="L621" i="3"/>
  <c r="G621" i="3"/>
  <c r="Z620" i="3"/>
  <c r="X620" i="3"/>
  <c r="V620" i="3"/>
  <c r="U620" i="3"/>
  <c r="AA620" i="3" s="1"/>
  <c r="Q620" i="3"/>
  <c r="L620" i="3"/>
  <c r="G620" i="3"/>
  <c r="Q619" i="3"/>
  <c r="L619" i="3"/>
  <c r="G619" i="3"/>
  <c r="Z618" i="3"/>
  <c r="X618" i="3"/>
  <c r="V618" i="3"/>
  <c r="U618" i="3"/>
  <c r="Q618" i="3"/>
  <c r="L618" i="3"/>
  <c r="G618" i="3"/>
  <c r="F511" i="2"/>
  <c r="E511" i="2"/>
  <c r="D511" i="2"/>
  <c r="F510" i="2"/>
  <c r="E510" i="2"/>
  <c r="D510" i="2"/>
  <c r="C510" i="2"/>
  <c r="B510" i="2"/>
  <c r="F509" i="2"/>
  <c r="E509" i="2"/>
  <c r="F508" i="2"/>
  <c r="E508" i="2"/>
  <c r="D508" i="2"/>
  <c r="C508" i="2"/>
  <c r="B508" i="2"/>
  <c r="X504" i="2"/>
  <c r="R504" i="2"/>
  <c r="L504" i="2"/>
  <c r="AA503" i="2"/>
  <c r="X503" i="2"/>
  <c r="R503" i="2"/>
  <c r="L503" i="2"/>
  <c r="X502" i="2"/>
  <c r="R502" i="2"/>
  <c r="L502" i="2"/>
  <c r="AA501" i="2"/>
  <c r="X501" i="2"/>
  <c r="R501" i="2"/>
  <c r="L501" i="2"/>
  <c r="X500" i="2"/>
  <c r="R500" i="2"/>
  <c r="L500" i="2"/>
  <c r="AA499" i="2"/>
  <c r="X499" i="2"/>
  <c r="R499" i="2"/>
  <c r="L499" i="2"/>
  <c r="Y498" i="2"/>
  <c r="X498" i="2"/>
  <c r="S498" i="2"/>
  <c r="R498" i="2"/>
  <c r="M498" i="2"/>
  <c r="L498" i="2"/>
  <c r="Y497" i="2"/>
  <c r="X497" i="2"/>
  <c r="S497" i="2"/>
  <c r="R497" i="2"/>
  <c r="M497" i="2"/>
  <c r="L497" i="2"/>
  <c r="Y496" i="2"/>
  <c r="X496" i="2"/>
  <c r="S496" i="2"/>
  <c r="R496" i="2"/>
  <c r="M496" i="2"/>
  <c r="L496" i="2"/>
  <c r="Y495" i="2"/>
  <c r="X495" i="2"/>
  <c r="S495" i="2"/>
  <c r="R495" i="2"/>
  <c r="M495" i="2"/>
  <c r="L495" i="2"/>
  <c r="X494" i="2"/>
  <c r="R494" i="2"/>
  <c r="L494" i="2"/>
  <c r="AA493" i="2"/>
  <c r="X493" i="2"/>
  <c r="R493" i="2"/>
  <c r="L493" i="2"/>
  <c r="W618" i="3"/>
  <c r="Y618" i="3"/>
  <c r="AA618" i="3"/>
  <c r="Q634" i="3"/>
  <c r="W620" i="3"/>
  <c r="W628" i="3"/>
  <c r="Y628" i="3"/>
  <c r="F488" i="2"/>
  <c r="E488" i="2"/>
  <c r="D488" i="2"/>
  <c r="F487" i="2"/>
  <c r="E487" i="2"/>
  <c r="D487" i="2"/>
  <c r="C487" i="2"/>
  <c r="B487" i="2"/>
  <c r="F486" i="2"/>
  <c r="E486" i="2"/>
  <c r="F485" i="2"/>
  <c r="E485" i="2"/>
  <c r="D485" i="2"/>
  <c r="C485" i="2"/>
  <c r="B485" i="2"/>
  <c r="X481" i="2"/>
  <c r="R481" i="2"/>
  <c r="L481" i="2"/>
  <c r="AA480" i="2"/>
  <c r="X480" i="2"/>
  <c r="R480" i="2"/>
  <c r="L480" i="2"/>
  <c r="X479" i="2"/>
  <c r="R479" i="2"/>
  <c r="L479" i="2"/>
  <c r="AA478" i="2"/>
  <c r="X478" i="2"/>
  <c r="R478" i="2"/>
  <c r="L478" i="2"/>
  <c r="X477" i="2"/>
  <c r="R477" i="2"/>
  <c r="L477" i="2"/>
  <c r="AA476" i="2"/>
  <c r="X476" i="2"/>
  <c r="R476" i="2"/>
  <c r="L476" i="2"/>
  <c r="Y475" i="2"/>
  <c r="X475" i="2"/>
  <c r="S475" i="2"/>
  <c r="R475" i="2"/>
  <c r="M475" i="2"/>
  <c r="L475" i="2"/>
  <c r="Y474" i="2"/>
  <c r="X474" i="2"/>
  <c r="S474" i="2"/>
  <c r="R474" i="2"/>
  <c r="M474" i="2"/>
  <c r="L474" i="2"/>
  <c r="Y473" i="2"/>
  <c r="X473" i="2"/>
  <c r="S473" i="2"/>
  <c r="R473" i="2"/>
  <c r="M473" i="2"/>
  <c r="L473" i="2"/>
  <c r="Y472" i="2"/>
  <c r="X472" i="2"/>
  <c r="S472" i="2"/>
  <c r="R472" i="2"/>
  <c r="M472" i="2"/>
  <c r="L472" i="2"/>
  <c r="X471" i="2"/>
  <c r="R471" i="2"/>
  <c r="L471" i="2"/>
  <c r="AA470" i="2"/>
  <c r="X470" i="2"/>
  <c r="R470" i="2"/>
  <c r="L470" i="2"/>
  <c r="D613" i="3"/>
  <c r="C613" i="3"/>
  <c r="D612" i="3"/>
  <c r="C612" i="3"/>
  <c r="D611" i="3"/>
  <c r="C611" i="3"/>
  <c r="D610" i="3"/>
  <c r="C610" i="3"/>
  <c r="B610" i="3"/>
  <c r="N606" i="3"/>
  <c r="M606" i="3"/>
  <c r="K606" i="3"/>
  <c r="J606" i="3"/>
  <c r="H606" i="3"/>
  <c r="G606" i="3"/>
  <c r="O605" i="3"/>
  <c r="S605" i="3" s="1"/>
  <c r="N605" i="3"/>
  <c r="M605" i="3"/>
  <c r="Q600" i="3"/>
  <c r="L600" i="3"/>
  <c r="G600" i="3"/>
  <c r="Z599" i="3"/>
  <c r="X599" i="3"/>
  <c r="V599" i="3"/>
  <c r="U599" i="3"/>
  <c r="AA599" i="3" s="1"/>
  <c r="Q599" i="3"/>
  <c r="L599" i="3"/>
  <c r="G599" i="3"/>
  <c r="Q598" i="3"/>
  <c r="L598" i="3"/>
  <c r="G598" i="3"/>
  <c r="Z597" i="3"/>
  <c r="X597" i="3"/>
  <c r="V597" i="3"/>
  <c r="U597" i="3"/>
  <c r="AA597" i="3" s="1"/>
  <c r="Q597" i="3"/>
  <c r="L597" i="3"/>
  <c r="G597" i="3"/>
  <c r="Q596" i="3"/>
  <c r="L596" i="3"/>
  <c r="G596" i="3"/>
  <c r="Z595" i="3"/>
  <c r="X595" i="3"/>
  <c r="V595" i="3"/>
  <c r="U595" i="3"/>
  <c r="AA595" i="3" s="1"/>
  <c r="Q595" i="3"/>
  <c r="L595" i="3"/>
  <c r="G595" i="3"/>
  <c r="Q594" i="3"/>
  <c r="L594" i="3"/>
  <c r="G594" i="3"/>
  <c r="Z593" i="3"/>
  <c r="X593" i="3"/>
  <c r="V593" i="3"/>
  <c r="U593" i="3"/>
  <c r="AA593" i="3" s="1"/>
  <c r="Q593" i="3"/>
  <c r="L593" i="3"/>
  <c r="G593" i="3"/>
  <c r="Q592" i="3"/>
  <c r="L592" i="3"/>
  <c r="G592" i="3"/>
  <c r="Z591" i="3"/>
  <c r="X591" i="3"/>
  <c r="V591" i="3"/>
  <c r="U591" i="3"/>
  <c r="AA591" i="3" s="1"/>
  <c r="Q591" i="3"/>
  <c r="L591" i="3"/>
  <c r="G591" i="3"/>
  <c r="Q590" i="3"/>
  <c r="L590" i="3"/>
  <c r="G590" i="3"/>
  <c r="Z589" i="3"/>
  <c r="X589" i="3"/>
  <c r="V589" i="3"/>
  <c r="U589" i="3"/>
  <c r="W589" i="3" s="1"/>
  <c r="Q589" i="3"/>
  <c r="L589" i="3"/>
  <c r="G589" i="3"/>
  <c r="D584" i="3"/>
  <c r="C584" i="3"/>
  <c r="D583" i="3"/>
  <c r="C583" i="3"/>
  <c r="D582" i="3"/>
  <c r="C582" i="3"/>
  <c r="D581" i="3"/>
  <c r="C581" i="3"/>
  <c r="B581" i="3"/>
  <c r="N577" i="3"/>
  <c r="M577" i="3"/>
  <c r="K577" i="3"/>
  <c r="J577" i="3"/>
  <c r="H577" i="3"/>
  <c r="G577" i="3"/>
  <c r="O576" i="3"/>
  <c r="S576" i="3" s="1"/>
  <c r="N576" i="3"/>
  <c r="M576" i="3"/>
  <c r="Q571" i="3"/>
  <c r="L571" i="3"/>
  <c r="G571" i="3"/>
  <c r="Z570" i="3"/>
  <c r="X570" i="3"/>
  <c r="V570" i="3"/>
  <c r="U570" i="3"/>
  <c r="Q570" i="3"/>
  <c r="L570" i="3"/>
  <c r="G570" i="3"/>
  <c r="Q569" i="3"/>
  <c r="L569" i="3"/>
  <c r="G569" i="3"/>
  <c r="Z568" i="3"/>
  <c r="X568" i="3"/>
  <c r="V568" i="3"/>
  <c r="U568" i="3"/>
  <c r="Q568" i="3"/>
  <c r="L568" i="3"/>
  <c r="G568" i="3"/>
  <c r="Q567" i="3"/>
  <c r="L567" i="3"/>
  <c r="G567" i="3"/>
  <c r="Z566" i="3"/>
  <c r="X566" i="3"/>
  <c r="V566" i="3"/>
  <c r="U566" i="3"/>
  <c r="AA566" i="3" s="1"/>
  <c r="Q566" i="3"/>
  <c r="L566" i="3"/>
  <c r="G566" i="3"/>
  <c r="Q565" i="3"/>
  <c r="L565" i="3"/>
  <c r="G565" i="3"/>
  <c r="Z564" i="3"/>
  <c r="X564" i="3"/>
  <c r="V564" i="3"/>
  <c r="U564" i="3"/>
  <c r="AA564" i="3" s="1"/>
  <c r="Q564" i="3"/>
  <c r="L564" i="3"/>
  <c r="G564" i="3"/>
  <c r="Q563" i="3"/>
  <c r="L563" i="3"/>
  <c r="G563" i="3"/>
  <c r="Z562" i="3"/>
  <c r="X562" i="3"/>
  <c r="V562" i="3"/>
  <c r="U562" i="3"/>
  <c r="AA562" i="3" s="1"/>
  <c r="Q562" i="3"/>
  <c r="L562" i="3"/>
  <c r="G562" i="3"/>
  <c r="Q561" i="3"/>
  <c r="L561" i="3"/>
  <c r="G561" i="3"/>
  <c r="Z560" i="3"/>
  <c r="X560" i="3"/>
  <c r="V560" i="3"/>
  <c r="U560" i="3"/>
  <c r="Q560" i="3"/>
  <c r="L560" i="3"/>
  <c r="G560" i="3"/>
  <c r="D555" i="3"/>
  <c r="C555" i="3"/>
  <c r="D554" i="3"/>
  <c r="C554" i="3"/>
  <c r="D553" i="3"/>
  <c r="C553" i="3"/>
  <c r="D552" i="3"/>
  <c r="C552" i="3"/>
  <c r="B552" i="3"/>
  <c r="N548" i="3"/>
  <c r="M548" i="3"/>
  <c r="K548" i="3"/>
  <c r="J548" i="3"/>
  <c r="H548" i="3"/>
  <c r="G548" i="3"/>
  <c r="O547" i="3"/>
  <c r="S547" i="3" s="1"/>
  <c r="N547" i="3"/>
  <c r="M547" i="3"/>
  <c r="Q542" i="3"/>
  <c r="L542" i="3"/>
  <c r="G542" i="3"/>
  <c r="Z541" i="3"/>
  <c r="X541" i="3"/>
  <c r="V541" i="3"/>
  <c r="U541" i="3"/>
  <c r="Q541" i="3"/>
  <c r="L541" i="3"/>
  <c r="G541" i="3"/>
  <c r="Q540" i="3"/>
  <c r="L540" i="3"/>
  <c r="G540" i="3"/>
  <c r="Z539" i="3"/>
  <c r="X539" i="3"/>
  <c r="Y539" i="3" s="1"/>
  <c r="V539" i="3"/>
  <c r="U539" i="3"/>
  <c r="Q539" i="3"/>
  <c r="L539" i="3"/>
  <c r="G539" i="3"/>
  <c r="Q538" i="3"/>
  <c r="L538" i="3"/>
  <c r="G538" i="3"/>
  <c r="Z537" i="3"/>
  <c r="X537" i="3"/>
  <c r="V537" i="3"/>
  <c r="U537" i="3"/>
  <c r="Q537" i="3"/>
  <c r="L537" i="3"/>
  <c r="G537" i="3"/>
  <c r="Q536" i="3"/>
  <c r="L536" i="3"/>
  <c r="G536" i="3"/>
  <c r="Z535" i="3"/>
  <c r="X535" i="3"/>
  <c r="V535" i="3"/>
  <c r="U535" i="3"/>
  <c r="AA535" i="3" s="1"/>
  <c r="Q535" i="3"/>
  <c r="L535" i="3"/>
  <c r="G535" i="3"/>
  <c r="Q534" i="3"/>
  <c r="L534" i="3"/>
  <c r="G534" i="3"/>
  <c r="Z533" i="3"/>
  <c r="X533" i="3"/>
  <c r="V533" i="3"/>
  <c r="U533" i="3"/>
  <c r="AA533" i="3" s="1"/>
  <c r="Q533" i="3"/>
  <c r="L533" i="3"/>
  <c r="G533" i="3"/>
  <c r="Q532" i="3"/>
  <c r="L532" i="3"/>
  <c r="G532" i="3"/>
  <c r="Z531" i="3"/>
  <c r="X531" i="3"/>
  <c r="V531" i="3"/>
  <c r="U531" i="3"/>
  <c r="Q531" i="3"/>
  <c r="L531" i="3"/>
  <c r="G531" i="3"/>
  <c r="D526" i="3"/>
  <c r="C526" i="3"/>
  <c r="D525" i="3"/>
  <c r="C525" i="3"/>
  <c r="D524" i="3"/>
  <c r="C524" i="3"/>
  <c r="D523" i="3"/>
  <c r="C523" i="3"/>
  <c r="B523" i="3"/>
  <c r="N519" i="3"/>
  <c r="M519" i="3"/>
  <c r="K519" i="3"/>
  <c r="J519" i="3"/>
  <c r="H519" i="3"/>
  <c r="G519" i="3"/>
  <c r="O518" i="3"/>
  <c r="S518" i="3" s="1"/>
  <c r="N518" i="3"/>
  <c r="M518" i="3"/>
  <c r="Q513" i="3"/>
  <c r="L513" i="3"/>
  <c r="G513" i="3"/>
  <c r="Z512" i="3"/>
  <c r="X512" i="3"/>
  <c r="V512" i="3"/>
  <c r="U512" i="3"/>
  <c r="Q512" i="3"/>
  <c r="L512" i="3"/>
  <c r="G512" i="3"/>
  <c r="Q511" i="3"/>
  <c r="L511" i="3"/>
  <c r="G511" i="3"/>
  <c r="Z510" i="3"/>
  <c r="X510" i="3"/>
  <c r="V510" i="3"/>
  <c r="U510" i="3"/>
  <c r="Q510" i="3"/>
  <c r="L510" i="3"/>
  <c r="G510" i="3"/>
  <c r="Q509" i="3"/>
  <c r="L509" i="3"/>
  <c r="G509" i="3"/>
  <c r="Z508" i="3"/>
  <c r="X508" i="3"/>
  <c r="V508" i="3"/>
  <c r="U508" i="3"/>
  <c r="Q508" i="3"/>
  <c r="L508" i="3"/>
  <c r="G508" i="3"/>
  <c r="Q507" i="3"/>
  <c r="L507" i="3"/>
  <c r="G507" i="3"/>
  <c r="Z506" i="3"/>
  <c r="X506" i="3"/>
  <c r="V506" i="3"/>
  <c r="U506" i="3"/>
  <c r="AA506" i="3" s="1"/>
  <c r="Q506" i="3"/>
  <c r="L506" i="3"/>
  <c r="G506" i="3"/>
  <c r="Q505" i="3"/>
  <c r="L505" i="3"/>
  <c r="G505" i="3"/>
  <c r="Z504" i="3"/>
  <c r="X504" i="3"/>
  <c r="V504" i="3"/>
  <c r="U504" i="3"/>
  <c r="AA504" i="3" s="1"/>
  <c r="Q504" i="3"/>
  <c r="L504" i="3"/>
  <c r="G504" i="3"/>
  <c r="Q503" i="3"/>
  <c r="L503" i="3"/>
  <c r="G503" i="3"/>
  <c r="Z502" i="3"/>
  <c r="X502" i="3"/>
  <c r="V502" i="3"/>
  <c r="U502" i="3"/>
  <c r="Q502" i="3"/>
  <c r="L502" i="3"/>
  <c r="G502" i="3"/>
  <c r="D497" i="3"/>
  <c r="C497" i="3"/>
  <c r="D496" i="3"/>
  <c r="C496" i="3"/>
  <c r="D495" i="3"/>
  <c r="C495" i="3"/>
  <c r="D494" i="3"/>
  <c r="C494" i="3"/>
  <c r="B494" i="3"/>
  <c r="N490" i="3"/>
  <c r="M490" i="3"/>
  <c r="K490" i="3"/>
  <c r="J490" i="3"/>
  <c r="H490" i="3"/>
  <c r="G490" i="3"/>
  <c r="O489" i="3"/>
  <c r="S489" i="3" s="1"/>
  <c r="N489" i="3"/>
  <c r="M489" i="3"/>
  <c r="Q484" i="3"/>
  <c r="L484" i="3"/>
  <c r="G484" i="3"/>
  <c r="Z483" i="3"/>
  <c r="X483" i="3"/>
  <c r="V483" i="3"/>
  <c r="U483" i="3"/>
  <c r="AA483" i="3" s="1"/>
  <c r="Q483" i="3"/>
  <c r="L483" i="3"/>
  <c r="G483" i="3"/>
  <c r="Q482" i="3"/>
  <c r="L482" i="3"/>
  <c r="G482" i="3"/>
  <c r="Z481" i="3"/>
  <c r="X481" i="3"/>
  <c r="V481" i="3"/>
  <c r="U481" i="3"/>
  <c r="Q481" i="3"/>
  <c r="L481" i="3"/>
  <c r="G481" i="3"/>
  <c r="Q480" i="3"/>
  <c r="L480" i="3"/>
  <c r="G480" i="3"/>
  <c r="Z479" i="3"/>
  <c r="X479" i="3"/>
  <c r="V479" i="3"/>
  <c r="U479" i="3"/>
  <c r="Y479" i="3" s="1"/>
  <c r="Q479" i="3"/>
  <c r="L479" i="3"/>
  <c r="G479" i="3"/>
  <c r="Q478" i="3"/>
  <c r="L478" i="3"/>
  <c r="G478" i="3"/>
  <c r="Z477" i="3"/>
  <c r="X477" i="3"/>
  <c r="V477" i="3"/>
  <c r="U477" i="3"/>
  <c r="AA477" i="3" s="1"/>
  <c r="Q477" i="3"/>
  <c r="L477" i="3"/>
  <c r="G477" i="3"/>
  <c r="Q476" i="3"/>
  <c r="L476" i="3"/>
  <c r="G476" i="3"/>
  <c r="Z475" i="3"/>
  <c r="X475" i="3"/>
  <c r="V475" i="3"/>
  <c r="U475" i="3"/>
  <c r="AA475" i="3" s="1"/>
  <c r="Q475" i="3"/>
  <c r="L475" i="3"/>
  <c r="G475" i="3"/>
  <c r="Q474" i="3"/>
  <c r="L474" i="3"/>
  <c r="G474" i="3"/>
  <c r="Z473" i="3"/>
  <c r="X473" i="3"/>
  <c r="V473" i="3"/>
  <c r="U473" i="3"/>
  <c r="Q473" i="3"/>
  <c r="L473" i="3"/>
  <c r="G473" i="3"/>
  <c r="F465" i="2"/>
  <c r="E465" i="2"/>
  <c r="D465" i="2"/>
  <c r="F464" i="2"/>
  <c r="E464" i="2"/>
  <c r="D464" i="2"/>
  <c r="C464" i="2"/>
  <c r="B464" i="2"/>
  <c r="F463" i="2"/>
  <c r="E463" i="2"/>
  <c r="F462" i="2"/>
  <c r="E462" i="2"/>
  <c r="D462" i="2"/>
  <c r="C462" i="2"/>
  <c r="B462" i="2"/>
  <c r="X458" i="2"/>
  <c r="R458" i="2"/>
  <c r="L458" i="2"/>
  <c r="AA457" i="2"/>
  <c r="X457" i="2"/>
  <c r="R457" i="2"/>
  <c r="L457" i="2"/>
  <c r="X456" i="2"/>
  <c r="R456" i="2"/>
  <c r="L456" i="2"/>
  <c r="AA455" i="2"/>
  <c r="X455" i="2"/>
  <c r="R455" i="2"/>
  <c r="L455" i="2"/>
  <c r="X454" i="2"/>
  <c r="R454" i="2"/>
  <c r="L454" i="2"/>
  <c r="AA453" i="2"/>
  <c r="X453" i="2"/>
  <c r="R453" i="2"/>
  <c r="L453" i="2"/>
  <c r="Y452" i="2"/>
  <c r="X452" i="2"/>
  <c r="S452" i="2"/>
  <c r="R452" i="2"/>
  <c r="M452" i="2"/>
  <c r="L452" i="2"/>
  <c r="Y451" i="2"/>
  <c r="X451" i="2"/>
  <c r="S451" i="2"/>
  <c r="R451" i="2"/>
  <c r="M451" i="2"/>
  <c r="L451" i="2"/>
  <c r="Y450" i="2"/>
  <c r="X450" i="2"/>
  <c r="S450" i="2"/>
  <c r="R450" i="2"/>
  <c r="M450" i="2"/>
  <c r="L450" i="2"/>
  <c r="Y449" i="2"/>
  <c r="X449" i="2"/>
  <c r="S449" i="2"/>
  <c r="R449" i="2"/>
  <c r="M449" i="2"/>
  <c r="L449" i="2"/>
  <c r="X448" i="2"/>
  <c r="R448" i="2"/>
  <c r="L448" i="2"/>
  <c r="AA447" i="2"/>
  <c r="X447" i="2"/>
  <c r="R447" i="2"/>
  <c r="L447" i="2"/>
  <c r="F442" i="2"/>
  <c r="E442" i="2"/>
  <c r="D442" i="2"/>
  <c r="F441" i="2"/>
  <c r="E441" i="2"/>
  <c r="D441" i="2"/>
  <c r="C441" i="2"/>
  <c r="B441" i="2"/>
  <c r="F440" i="2"/>
  <c r="E440" i="2"/>
  <c r="F439" i="2"/>
  <c r="E439" i="2"/>
  <c r="D439" i="2"/>
  <c r="C439" i="2"/>
  <c r="B439" i="2"/>
  <c r="X435" i="2"/>
  <c r="R435" i="2"/>
  <c r="L435" i="2"/>
  <c r="AA434" i="2"/>
  <c r="X434" i="2"/>
  <c r="R434" i="2"/>
  <c r="L434" i="2"/>
  <c r="X433" i="2"/>
  <c r="R433" i="2"/>
  <c r="L433" i="2"/>
  <c r="AA432" i="2"/>
  <c r="X432" i="2"/>
  <c r="R432" i="2"/>
  <c r="L432" i="2"/>
  <c r="X431" i="2"/>
  <c r="R431" i="2"/>
  <c r="L431" i="2"/>
  <c r="AA430" i="2"/>
  <c r="X430" i="2"/>
  <c r="R430" i="2"/>
  <c r="L430" i="2"/>
  <c r="Y429" i="2"/>
  <c r="X429" i="2"/>
  <c r="S429" i="2"/>
  <c r="R429" i="2"/>
  <c r="M429" i="2"/>
  <c r="L429" i="2"/>
  <c r="Y428" i="2"/>
  <c r="X428" i="2"/>
  <c r="S428" i="2"/>
  <c r="R428" i="2"/>
  <c r="M428" i="2"/>
  <c r="L428" i="2"/>
  <c r="Y427" i="2"/>
  <c r="X427" i="2"/>
  <c r="S427" i="2"/>
  <c r="R427" i="2"/>
  <c r="M427" i="2"/>
  <c r="L427" i="2"/>
  <c r="Y426" i="2"/>
  <c r="X426" i="2"/>
  <c r="S426" i="2"/>
  <c r="R426" i="2"/>
  <c r="M426" i="2"/>
  <c r="L426" i="2"/>
  <c r="X425" i="2"/>
  <c r="R425" i="2"/>
  <c r="L425" i="2"/>
  <c r="AA424" i="2"/>
  <c r="X424" i="2"/>
  <c r="R424" i="2"/>
  <c r="L424" i="2"/>
  <c r="F419" i="2"/>
  <c r="E419" i="2"/>
  <c r="D419" i="2"/>
  <c r="F418" i="2"/>
  <c r="E418" i="2"/>
  <c r="D418" i="2"/>
  <c r="C418" i="2"/>
  <c r="B418" i="2"/>
  <c r="F417" i="2"/>
  <c r="E417" i="2"/>
  <c r="F416" i="2"/>
  <c r="E416" i="2"/>
  <c r="D416" i="2"/>
  <c r="C416" i="2"/>
  <c r="B416" i="2"/>
  <c r="X412" i="2"/>
  <c r="R412" i="2"/>
  <c r="L412" i="2"/>
  <c r="AA411" i="2"/>
  <c r="X411" i="2"/>
  <c r="R411" i="2"/>
  <c r="L411" i="2"/>
  <c r="X410" i="2"/>
  <c r="R410" i="2"/>
  <c r="L410" i="2"/>
  <c r="AA409" i="2"/>
  <c r="X409" i="2"/>
  <c r="R409" i="2"/>
  <c r="L409" i="2"/>
  <c r="X408" i="2"/>
  <c r="R408" i="2"/>
  <c r="L408" i="2"/>
  <c r="AA407" i="2"/>
  <c r="X407" i="2"/>
  <c r="R407" i="2"/>
  <c r="L407" i="2"/>
  <c r="Y406" i="2"/>
  <c r="X406" i="2"/>
  <c r="S406" i="2"/>
  <c r="R406" i="2"/>
  <c r="M406" i="2"/>
  <c r="L406" i="2"/>
  <c r="Y405" i="2"/>
  <c r="X405" i="2"/>
  <c r="S405" i="2"/>
  <c r="R405" i="2"/>
  <c r="M405" i="2"/>
  <c r="L405" i="2"/>
  <c r="Y404" i="2"/>
  <c r="X404" i="2"/>
  <c r="S404" i="2"/>
  <c r="R404" i="2"/>
  <c r="M404" i="2"/>
  <c r="L404" i="2"/>
  <c r="Y403" i="2"/>
  <c r="X403" i="2"/>
  <c r="S403" i="2"/>
  <c r="R403" i="2"/>
  <c r="M403" i="2"/>
  <c r="L403" i="2"/>
  <c r="X402" i="2"/>
  <c r="R402" i="2"/>
  <c r="L402" i="2"/>
  <c r="AA401" i="2"/>
  <c r="X401" i="2"/>
  <c r="R401" i="2"/>
  <c r="L401" i="2"/>
  <c r="F396" i="2"/>
  <c r="E396" i="2"/>
  <c r="D396" i="2"/>
  <c r="F395" i="2"/>
  <c r="E395" i="2"/>
  <c r="D395" i="2"/>
  <c r="C395" i="2"/>
  <c r="B395" i="2"/>
  <c r="F394" i="2"/>
  <c r="E394" i="2"/>
  <c r="F393" i="2"/>
  <c r="E393" i="2"/>
  <c r="D393" i="2"/>
  <c r="C393" i="2"/>
  <c r="B393" i="2"/>
  <c r="X389" i="2"/>
  <c r="R389" i="2"/>
  <c r="L389" i="2"/>
  <c r="AA388" i="2"/>
  <c r="X388" i="2"/>
  <c r="R388" i="2"/>
  <c r="L388" i="2"/>
  <c r="X387" i="2"/>
  <c r="R387" i="2"/>
  <c r="L387" i="2"/>
  <c r="AA386" i="2"/>
  <c r="X386" i="2"/>
  <c r="R386" i="2"/>
  <c r="L386" i="2"/>
  <c r="X385" i="2"/>
  <c r="R385" i="2"/>
  <c r="L385" i="2"/>
  <c r="AA384" i="2"/>
  <c r="X384" i="2"/>
  <c r="R384" i="2"/>
  <c r="L384" i="2"/>
  <c r="Y383" i="2"/>
  <c r="X383" i="2"/>
  <c r="S383" i="2"/>
  <c r="R383" i="2"/>
  <c r="M383" i="2"/>
  <c r="L383" i="2"/>
  <c r="Y382" i="2"/>
  <c r="X382" i="2"/>
  <c r="S382" i="2"/>
  <c r="R382" i="2"/>
  <c r="M382" i="2"/>
  <c r="L382" i="2"/>
  <c r="Y381" i="2"/>
  <c r="X381" i="2"/>
  <c r="S381" i="2"/>
  <c r="R381" i="2"/>
  <c r="M381" i="2"/>
  <c r="L381" i="2"/>
  <c r="Y380" i="2"/>
  <c r="X380" i="2"/>
  <c r="S380" i="2"/>
  <c r="R380" i="2"/>
  <c r="M380" i="2"/>
  <c r="L380" i="2"/>
  <c r="X379" i="2"/>
  <c r="R379" i="2"/>
  <c r="L379" i="2"/>
  <c r="AA378" i="2"/>
  <c r="X378" i="2"/>
  <c r="R378" i="2"/>
  <c r="L378" i="2"/>
  <c r="D468" i="3"/>
  <c r="C468" i="3"/>
  <c r="D467" i="3"/>
  <c r="C467" i="3"/>
  <c r="D466" i="3"/>
  <c r="C466" i="3"/>
  <c r="D465" i="3"/>
  <c r="C465" i="3"/>
  <c r="B465" i="3"/>
  <c r="N461" i="3"/>
  <c r="M461" i="3"/>
  <c r="K461" i="3"/>
  <c r="J461" i="3"/>
  <c r="H461" i="3"/>
  <c r="G461" i="3"/>
  <c r="O460" i="3"/>
  <c r="S460" i="3" s="1"/>
  <c r="N460" i="3"/>
  <c r="M460" i="3"/>
  <c r="Q455" i="3"/>
  <c r="L455" i="3"/>
  <c r="G455" i="3"/>
  <c r="Z454" i="3"/>
  <c r="X454" i="3"/>
  <c r="V454" i="3"/>
  <c r="U454" i="3"/>
  <c r="AA454" i="3" s="1"/>
  <c r="Q454" i="3"/>
  <c r="L454" i="3"/>
  <c r="G454" i="3"/>
  <c r="Q453" i="3"/>
  <c r="L453" i="3"/>
  <c r="G453" i="3"/>
  <c r="Z452" i="3"/>
  <c r="X452" i="3"/>
  <c r="V452" i="3"/>
  <c r="U452" i="3"/>
  <c r="AA452" i="3" s="1"/>
  <c r="Q452" i="3"/>
  <c r="L452" i="3"/>
  <c r="G452" i="3"/>
  <c r="Q451" i="3"/>
  <c r="L451" i="3"/>
  <c r="G451" i="3"/>
  <c r="Z450" i="3"/>
  <c r="X450" i="3"/>
  <c r="V450" i="3"/>
  <c r="U450" i="3"/>
  <c r="AA450" i="3" s="1"/>
  <c r="Q450" i="3"/>
  <c r="L450" i="3"/>
  <c r="G450" i="3"/>
  <c r="Q449" i="3"/>
  <c r="L449" i="3"/>
  <c r="G449" i="3"/>
  <c r="Z448" i="3"/>
  <c r="X448" i="3"/>
  <c r="V448" i="3"/>
  <c r="U448" i="3"/>
  <c r="AA448" i="3" s="1"/>
  <c r="Q448" i="3"/>
  <c r="L448" i="3"/>
  <c r="G448" i="3"/>
  <c r="Q447" i="3"/>
  <c r="L447" i="3"/>
  <c r="G447" i="3"/>
  <c r="Z446" i="3"/>
  <c r="X446" i="3"/>
  <c r="V446" i="3"/>
  <c r="U446" i="3"/>
  <c r="AA446" i="3" s="1"/>
  <c r="Q446" i="3"/>
  <c r="L446" i="3"/>
  <c r="G446" i="3"/>
  <c r="Q445" i="3"/>
  <c r="L445" i="3"/>
  <c r="G445" i="3"/>
  <c r="Z444" i="3"/>
  <c r="X444" i="3"/>
  <c r="V444" i="3"/>
  <c r="U444" i="3"/>
  <c r="AA444" i="3" s="1"/>
  <c r="Q444" i="3"/>
  <c r="L444" i="3"/>
  <c r="G444" i="3"/>
  <c r="F373" i="2"/>
  <c r="E373" i="2"/>
  <c r="D373" i="2"/>
  <c r="F372" i="2"/>
  <c r="E372" i="2"/>
  <c r="D372" i="2"/>
  <c r="C372" i="2"/>
  <c r="B372" i="2"/>
  <c r="F371" i="2"/>
  <c r="E371" i="2"/>
  <c r="F370" i="2"/>
  <c r="E370" i="2"/>
  <c r="D370" i="2"/>
  <c r="C370" i="2"/>
  <c r="B370" i="2"/>
  <c r="X366" i="2"/>
  <c r="R366" i="2"/>
  <c r="L366" i="2"/>
  <c r="AA365" i="2"/>
  <c r="X365" i="2"/>
  <c r="R365" i="2"/>
  <c r="L365" i="2"/>
  <c r="X364" i="2"/>
  <c r="R364" i="2"/>
  <c r="L364" i="2"/>
  <c r="AA363" i="2"/>
  <c r="X363" i="2"/>
  <c r="R363" i="2"/>
  <c r="L363" i="2"/>
  <c r="X362" i="2"/>
  <c r="R362" i="2"/>
  <c r="L362" i="2"/>
  <c r="AA361" i="2"/>
  <c r="X361" i="2"/>
  <c r="R361" i="2"/>
  <c r="L361" i="2"/>
  <c r="Y360" i="2"/>
  <c r="X360" i="2"/>
  <c r="S360" i="2"/>
  <c r="R360" i="2"/>
  <c r="M360" i="2"/>
  <c r="L360" i="2"/>
  <c r="Y359" i="2"/>
  <c r="X359" i="2"/>
  <c r="S359" i="2"/>
  <c r="R359" i="2"/>
  <c r="M359" i="2"/>
  <c r="L359" i="2"/>
  <c r="Y358" i="2"/>
  <c r="X358" i="2"/>
  <c r="S358" i="2"/>
  <c r="R358" i="2"/>
  <c r="M358" i="2"/>
  <c r="L358" i="2"/>
  <c r="Y357" i="2"/>
  <c r="X357" i="2"/>
  <c r="S357" i="2"/>
  <c r="R357" i="2"/>
  <c r="M357" i="2"/>
  <c r="L357" i="2"/>
  <c r="X356" i="2"/>
  <c r="R356" i="2"/>
  <c r="L356" i="2"/>
  <c r="AA355" i="2"/>
  <c r="X355" i="2"/>
  <c r="R355" i="2"/>
  <c r="L355" i="2"/>
  <c r="D439" i="3"/>
  <c r="C439" i="3"/>
  <c r="D438" i="3"/>
  <c r="C438" i="3"/>
  <c r="D437" i="3"/>
  <c r="C437" i="3"/>
  <c r="D436" i="3"/>
  <c r="C436" i="3"/>
  <c r="B436" i="3"/>
  <c r="N432" i="3"/>
  <c r="M432" i="3"/>
  <c r="K432" i="3"/>
  <c r="J432" i="3"/>
  <c r="H432" i="3"/>
  <c r="G432" i="3"/>
  <c r="O431" i="3"/>
  <c r="N431" i="3"/>
  <c r="M431" i="3"/>
  <c r="Q426" i="3"/>
  <c r="L426" i="3"/>
  <c r="G426" i="3"/>
  <c r="Z425" i="3"/>
  <c r="X425" i="3"/>
  <c r="V425" i="3"/>
  <c r="U425" i="3"/>
  <c r="AA425" i="3" s="1"/>
  <c r="Q425" i="3"/>
  <c r="L425" i="3"/>
  <c r="G425" i="3"/>
  <c r="Q424" i="3"/>
  <c r="L424" i="3"/>
  <c r="G424" i="3"/>
  <c r="Z423" i="3"/>
  <c r="X423" i="3"/>
  <c r="V423" i="3"/>
  <c r="U423" i="3"/>
  <c r="AA423" i="3" s="1"/>
  <c r="Q423" i="3"/>
  <c r="L423" i="3"/>
  <c r="G423" i="3"/>
  <c r="Q422" i="3"/>
  <c r="L422" i="3"/>
  <c r="G422" i="3"/>
  <c r="Z421" i="3"/>
  <c r="X421" i="3"/>
  <c r="V421" i="3"/>
  <c r="U421" i="3"/>
  <c r="Y421" i="3" s="1"/>
  <c r="Q421" i="3"/>
  <c r="L421" i="3"/>
  <c r="G421" i="3"/>
  <c r="Q420" i="3"/>
  <c r="L420" i="3"/>
  <c r="G420" i="3"/>
  <c r="Z419" i="3"/>
  <c r="X419" i="3"/>
  <c r="V419" i="3"/>
  <c r="U419" i="3"/>
  <c r="AA419" i="3" s="1"/>
  <c r="Q419" i="3"/>
  <c r="L419" i="3"/>
  <c r="G419" i="3"/>
  <c r="Q418" i="3"/>
  <c r="L418" i="3"/>
  <c r="G418" i="3"/>
  <c r="Z417" i="3"/>
  <c r="X417" i="3"/>
  <c r="V417" i="3"/>
  <c r="U417" i="3"/>
  <c r="AA417" i="3" s="1"/>
  <c r="Q417" i="3"/>
  <c r="L417" i="3"/>
  <c r="G417" i="3"/>
  <c r="Q416" i="3"/>
  <c r="L416" i="3"/>
  <c r="G416" i="3"/>
  <c r="Z415" i="3"/>
  <c r="X415" i="3"/>
  <c r="V415" i="3"/>
  <c r="U415" i="3"/>
  <c r="Q415" i="3"/>
  <c r="L415" i="3"/>
  <c r="G415" i="3"/>
  <c r="F350" i="2"/>
  <c r="E350" i="2"/>
  <c r="D350" i="2"/>
  <c r="F349" i="2"/>
  <c r="E349" i="2"/>
  <c r="D349" i="2"/>
  <c r="C349" i="2"/>
  <c r="B349" i="2"/>
  <c r="F348" i="2"/>
  <c r="E348" i="2"/>
  <c r="F347" i="2"/>
  <c r="E347" i="2"/>
  <c r="D347" i="2"/>
  <c r="C347" i="2"/>
  <c r="B347" i="2"/>
  <c r="X343" i="2"/>
  <c r="R343" i="2"/>
  <c r="L343" i="2"/>
  <c r="AA342" i="2"/>
  <c r="X342" i="2"/>
  <c r="R342" i="2"/>
  <c r="L342" i="2"/>
  <c r="X341" i="2"/>
  <c r="R341" i="2"/>
  <c r="L341" i="2"/>
  <c r="AA340" i="2"/>
  <c r="X340" i="2"/>
  <c r="R340" i="2"/>
  <c r="L340" i="2"/>
  <c r="X339" i="2"/>
  <c r="R339" i="2"/>
  <c r="L339" i="2"/>
  <c r="AA338" i="2"/>
  <c r="X338" i="2"/>
  <c r="R338" i="2"/>
  <c r="L338" i="2"/>
  <c r="Y337" i="2"/>
  <c r="X337" i="2"/>
  <c r="S337" i="2"/>
  <c r="R337" i="2"/>
  <c r="M337" i="2"/>
  <c r="L337" i="2"/>
  <c r="Y336" i="2"/>
  <c r="X336" i="2"/>
  <c r="S336" i="2"/>
  <c r="R336" i="2"/>
  <c r="M336" i="2"/>
  <c r="L336" i="2"/>
  <c r="Y335" i="2"/>
  <c r="X335" i="2"/>
  <c r="S335" i="2"/>
  <c r="R335" i="2"/>
  <c r="M335" i="2"/>
  <c r="L335" i="2"/>
  <c r="Y334" i="2"/>
  <c r="X334" i="2"/>
  <c r="S334" i="2"/>
  <c r="R334" i="2"/>
  <c r="M334" i="2"/>
  <c r="L334" i="2"/>
  <c r="X333" i="2"/>
  <c r="R333" i="2"/>
  <c r="L333" i="2"/>
  <c r="AA332" i="2"/>
  <c r="X332" i="2"/>
  <c r="R332" i="2"/>
  <c r="L332" i="2"/>
  <c r="D410" i="3"/>
  <c r="C410" i="3"/>
  <c r="D409" i="3"/>
  <c r="C409" i="3"/>
  <c r="D408" i="3"/>
  <c r="C408" i="3"/>
  <c r="D407" i="3"/>
  <c r="C407" i="3"/>
  <c r="B407" i="3"/>
  <c r="N403" i="3"/>
  <c r="M403" i="3"/>
  <c r="K403" i="3"/>
  <c r="J403" i="3"/>
  <c r="H403" i="3"/>
  <c r="G403" i="3"/>
  <c r="O402" i="3"/>
  <c r="N402" i="3"/>
  <c r="M402" i="3"/>
  <c r="Q397" i="3"/>
  <c r="L397" i="3"/>
  <c r="G397" i="3"/>
  <c r="Z396" i="3"/>
  <c r="X396" i="3"/>
  <c r="V396" i="3"/>
  <c r="U396" i="3"/>
  <c r="AA396" i="3" s="1"/>
  <c r="Q396" i="3"/>
  <c r="L396" i="3"/>
  <c r="G396" i="3"/>
  <c r="Q395" i="3"/>
  <c r="L395" i="3"/>
  <c r="G395" i="3"/>
  <c r="Z394" i="3"/>
  <c r="X394" i="3"/>
  <c r="V394" i="3"/>
  <c r="U394" i="3"/>
  <c r="AA394" i="3" s="1"/>
  <c r="Q394" i="3"/>
  <c r="L394" i="3"/>
  <c r="G394" i="3"/>
  <c r="Q393" i="3"/>
  <c r="L393" i="3"/>
  <c r="G393" i="3"/>
  <c r="Z392" i="3"/>
  <c r="X392" i="3"/>
  <c r="V392" i="3"/>
  <c r="U392" i="3"/>
  <c r="AA392" i="3" s="1"/>
  <c r="Q392" i="3"/>
  <c r="L392" i="3"/>
  <c r="G392" i="3"/>
  <c r="Q391" i="3"/>
  <c r="L391" i="3"/>
  <c r="G391" i="3"/>
  <c r="Z390" i="3"/>
  <c r="X390" i="3"/>
  <c r="V390" i="3"/>
  <c r="U390" i="3"/>
  <c r="AA390" i="3" s="1"/>
  <c r="Q390" i="3"/>
  <c r="L390" i="3"/>
  <c r="G390" i="3"/>
  <c r="Q389" i="3"/>
  <c r="L389" i="3"/>
  <c r="G389" i="3"/>
  <c r="Z388" i="3"/>
  <c r="X388" i="3"/>
  <c r="V388" i="3"/>
  <c r="U388" i="3"/>
  <c r="AA388" i="3" s="1"/>
  <c r="Q388" i="3"/>
  <c r="L388" i="3"/>
  <c r="G388" i="3"/>
  <c r="Q387" i="3"/>
  <c r="L387" i="3"/>
  <c r="G387" i="3"/>
  <c r="Z386" i="3"/>
  <c r="X386" i="3"/>
  <c r="V386" i="3"/>
  <c r="U386" i="3"/>
  <c r="Q386" i="3"/>
  <c r="L386" i="3"/>
  <c r="G386" i="3"/>
  <c r="F327" i="2"/>
  <c r="E327" i="2"/>
  <c r="D327" i="2"/>
  <c r="F326" i="2"/>
  <c r="E326" i="2"/>
  <c r="D326" i="2"/>
  <c r="C326" i="2"/>
  <c r="B326" i="2"/>
  <c r="F325" i="2"/>
  <c r="E325" i="2"/>
  <c r="F324" i="2"/>
  <c r="E324" i="2"/>
  <c r="D324" i="2"/>
  <c r="C324" i="2"/>
  <c r="B324" i="2"/>
  <c r="X320" i="2"/>
  <c r="R320" i="2"/>
  <c r="L320" i="2"/>
  <c r="AA319" i="2"/>
  <c r="X319" i="2"/>
  <c r="R319" i="2"/>
  <c r="L319" i="2"/>
  <c r="X318" i="2"/>
  <c r="R318" i="2"/>
  <c r="L318" i="2"/>
  <c r="AA317" i="2"/>
  <c r="X317" i="2"/>
  <c r="R317" i="2"/>
  <c r="L317" i="2"/>
  <c r="X316" i="2"/>
  <c r="R316" i="2"/>
  <c r="L316" i="2"/>
  <c r="AA315" i="2"/>
  <c r="X315" i="2"/>
  <c r="R315" i="2"/>
  <c r="L315" i="2"/>
  <c r="Y314" i="2"/>
  <c r="X314" i="2"/>
  <c r="S314" i="2"/>
  <c r="R314" i="2"/>
  <c r="M314" i="2"/>
  <c r="L314" i="2"/>
  <c r="Y313" i="2"/>
  <c r="X313" i="2"/>
  <c r="S313" i="2"/>
  <c r="R313" i="2"/>
  <c r="M313" i="2"/>
  <c r="L313" i="2"/>
  <c r="Y312" i="2"/>
  <c r="X312" i="2"/>
  <c r="S312" i="2"/>
  <c r="R312" i="2"/>
  <c r="M312" i="2"/>
  <c r="L312" i="2"/>
  <c r="Y311" i="2"/>
  <c r="X311" i="2"/>
  <c r="S311" i="2"/>
  <c r="R311" i="2"/>
  <c r="M311" i="2"/>
  <c r="L311" i="2"/>
  <c r="X310" i="2"/>
  <c r="R310" i="2"/>
  <c r="L310" i="2"/>
  <c r="AA309" i="2"/>
  <c r="X309" i="2"/>
  <c r="R309" i="2"/>
  <c r="L309" i="2"/>
  <c r="D381" i="3"/>
  <c r="C381" i="3"/>
  <c r="D380" i="3"/>
  <c r="C380" i="3"/>
  <c r="D379" i="3"/>
  <c r="C379" i="3"/>
  <c r="D378" i="3"/>
  <c r="C378" i="3"/>
  <c r="B378" i="3"/>
  <c r="N374" i="3"/>
  <c r="M374" i="3"/>
  <c r="K374" i="3"/>
  <c r="J374" i="3"/>
  <c r="H374" i="3"/>
  <c r="G374" i="3"/>
  <c r="O373" i="3"/>
  <c r="N373" i="3"/>
  <c r="M373" i="3"/>
  <c r="Q368" i="3"/>
  <c r="L368" i="3"/>
  <c r="G368" i="3"/>
  <c r="Z367" i="3"/>
  <c r="X367" i="3"/>
  <c r="V367" i="3"/>
  <c r="U367" i="3"/>
  <c r="AA367" i="3" s="1"/>
  <c r="Q367" i="3"/>
  <c r="L367" i="3"/>
  <c r="G367" i="3"/>
  <c r="Q366" i="3"/>
  <c r="L366" i="3"/>
  <c r="G366" i="3"/>
  <c r="Z365" i="3"/>
  <c r="X365" i="3"/>
  <c r="V365" i="3"/>
  <c r="U365" i="3"/>
  <c r="AA365" i="3" s="1"/>
  <c r="Q365" i="3"/>
  <c r="L365" i="3"/>
  <c r="G365" i="3"/>
  <c r="Q364" i="3"/>
  <c r="L364" i="3"/>
  <c r="G364" i="3"/>
  <c r="Z363" i="3"/>
  <c r="X363" i="3"/>
  <c r="V363" i="3"/>
  <c r="U363" i="3"/>
  <c r="AA363" i="3" s="1"/>
  <c r="Q363" i="3"/>
  <c r="L363" i="3"/>
  <c r="G363" i="3"/>
  <c r="Q362" i="3"/>
  <c r="L362" i="3"/>
  <c r="G362" i="3"/>
  <c r="Z361" i="3"/>
  <c r="X361" i="3"/>
  <c r="V361" i="3"/>
  <c r="U361" i="3"/>
  <c r="AA361" i="3" s="1"/>
  <c r="Q361" i="3"/>
  <c r="L361" i="3"/>
  <c r="G361" i="3"/>
  <c r="Q360" i="3"/>
  <c r="L360" i="3"/>
  <c r="G360" i="3"/>
  <c r="Z359" i="3"/>
  <c r="X359" i="3"/>
  <c r="V359" i="3"/>
  <c r="U359" i="3"/>
  <c r="AA359" i="3" s="1"/>
  <c r="Q359" i="3"/>
  <c r="L359" i="3"/>
  <c r="G359" i="3"/>
  <c r="Q358" i="3"/>
  <c r="L358" i="3"/>
  <c r="G358" i="3"/>
  <c r="Z357" i="3"/>
  <c r="X357" i="3"/>
  <c r="V357" i="3"/>
  <c r="U357" i="3"/>
  <c r="Q357" i="3"/>
  <c r="L357" i="3"/>
  <c r="G357" i="3"/>
  <c r="D352" i="3"/>
  <c r="C352" i="3"/>
  <c r="D351" i="3"/>
  <c r="C351" i="3"/>
  <c r="D350" i="3"/>
  <c r="C350" i="3"/>
  <c r="D349" i="3"/>
  <c r="C349" i="3"/>
  <c r="B349" i="3"/>
  <c r="N345" i="3"/>
  <c r="M345" i="3"/>
  <c r="K345" i="3"/>
  <c r="J345" i="3"/>
  <c r="H345" i="3"/>
  <c r="G345" i="3"/>
  <c r="O344" i="3"/>
  <c r="N344" i="3"/>
  <c r="M344" i="3"/>
  <c r="Q339" i="3"/>
  <c r="L339" i="3"/>
  <c r="G339" i="3"/>
  <c r="Z338" i="3"/>
  <c r="X338" i="3"/>
  <c r="V338" i="3"/>
  <c r="U338" i="3"/>
  <c r="AA338" i="3" s="1"/>
  <c r="Q338" i="3"/>
  <c r="L338" i="3"/>
  <c r="G338" i="3"/>
  <c r="Q337" i="3"/>
  <c r="L337" i="3"/>
  <c r="G337" i="3"/>
  <c r="Z336" i="3"/>
  <c r="X336" i="3"/>
  <c r="V336" i="3"/>
  <c r="U336" i="3"/>
  <c r="AA336" i="3" s="1"/>
  <c r="Q336" i="3"/>
  <c r="L336" i="3"/>
  <c r="G336" i="3"/>
  <c r="Q335" i="3"/>
  <c r="L335" i="3"/>
  <c r="G335" i="3"/>
  <c r="Z334" i="3"/>
  <c r="X334" i="3"/>
  <c r="V334" i="3"/>
  <c r="U334" i="3"/>
  <c r="AA334" i="3" s="1"/>
  <c r="Q334" i="3"/>
  <c r="L334" i="3"/>
  <c r="G334" i="3"/>
  <c r="Q333" i="3"/>
  <c r="L333" i="3"/>
  <c r="G333" i="3"/>
  <c r="Z332" i="3"/>
  <c r="X332" i="3"/>
  <c r="V332" i="3"/>
  <c r="U332" i="3"/>
  <c r="W332" i="3" s="1"/>
  <c r="Q332" i="3"/>
  <c r="L332" i="3"/>
  <c r="G332" i="3"/>
  <c r="Q331" i="3"/>
  <c r="L331" i="3"/>
  <c r="G331" i="3"/>
  <c r="Z330" i="3"/>
  <c r="X330" i="3"/>
  <c r="V330" i="3"/>
  <c r="U330" i="3"/>
  <c r="AA330" i="3" s="1"/>
  <c r="Q330" i="3"/>
  <c r="L330" i="3"/>
  <c r="G330" i="3"/>
  <c r="Q329" i="3"/>
  <c r="L329" i="3"/>
  <c r="G329" i="3"/>
  <c r="Z328" i="3"/>
  <c r="X328" i="3"/>
  <c r="V328" i="3"/>
  <c r="U328" i="3"/>
  <c r="Q328" i="3"/>
  <c r="L328" i="3"/>
  <c r="G328" i="3"/>
  <c r="D323" i="3"/>
  <c r="C323" i="3"/>
  <c r="D322" i="3"/>
  <c r="C322" i="3"/>
  <c r="D321" i="3"/>
  <c r="C321" i="3"/>
  <c r="D320" i="3"/>
  <c r="C320" i="3"/>
  <c r="B320" i="3"/>
  <c r="N316" i="3"/>
  <c r="M316" i="3"/>
  <c r="K316" i="3"/>
  <c r="J316" i="3"/>
  <c r="H316" i="3"/>
  <c r="G316" i="3"/>
  <c r="O315" i="3"/>
  <c r="N315" i="3"/>
  <c r="M315" i="3"/>
  <c r="Q310" i="3"/>
  <c r="L310" i="3"/>
  <c r="G310" i="3"/>
  <c r="Z309" i="3"/>
  <c r="X309" i="3"/>
  <c r="V309" i="3"/>
  <c r="U309" i="3"/>
  <c r="Q309" i="3"/>
  <c r="L309" i="3"/>
  <c r="G309" i="3"/>
  <c r="Q308" i="3"/>
  <c r="L308" i="3"/>
  <c r="G308" i="3"/>
  <c r="Z307" i="3"/>
  <c r="X307" i="3"/>
  <c r="V307" i="3"/>
  <c r="U307" i="3"/>
  <c r="AA307" i="3" s="1"/>
  <c r="Q307" i="3"/>
  <c r="L307" i="3"/>
  <c r="G307" i="3"/>
  <c r="Q306" i="3"/>
  <c r="L306" i="3"/>
  <c r="G306" i="3"/>
  <c r="Z305" i="3"/>
  <c r="X305" i="3"/>
  <c r="V305" i="3"/>
  <c r="W305" i="3" s="1"/>
  <c r="U305" i="3"/>
  <c r="Q305" i="3"/>
  <c r="L305" i="3"/>
  <c r="G305" i="3"/>
  <c r="Q304" i="3"/>
  <c r="L304" i="3"/>
  <c r="G304" i="3"/>
  <c r="Z303" i="3"/>
  <c r="X303" i="3"/>
  <c r="V303" i="3"/>
  <c r="U303" i="3"/>
  <c r="AA303" i="3" s="1"/>
  <c r="Q303" i="3"/>
  <c r="L303" i="3"/>
  <c r="G303" i="3"/>
  <c r="Q302" i="3"/>
  <c r="L302" i="3"/>
  <c r="G302" i="3"/>
  <c r="Z301" i="3"/>
  <c r="X301" i="3"/>
  <c r="V301" i="3"/>
  <c r="U301" i="3"/>
  <c r="Q301" i="3"/>
  <c r="L301" i="3"/>
  <c r="G301" i="3"/>
  <c r="Q300" i="3"/>
  <c r="L300" i="3"/>
  <c r="G300" i="3"/>
  <c r="Z299" i="3"/>
  <c r="X299" i="3"/>
  <c r="V299" i="3"/>
  <c r="U299" i="3"/>
  <c r="Q299" i="3"/>
  <c r="L299" i="3"/>
  <c r="G299" i="3"/>
  <c r="D294" i="3"/>
  <c r="C294" i="3"/>
  <c r="D293" i="3"/>
  <c r="C293" i="3"/>
  <c r="D292" i="3"/>
  <c r="C292" i="3"/>
  <c r="D291" i="3"/>
  <c r="C291" i="3"/>
  <c r="B291" i="3"/>
  <c r="N287" i="3"/>
  <c r="M287" i="3"/>
  <c r="K287" i="3"/>
  <c r="J287" i="3"/>
  <c r="H287" i="3"/>
  <c r="G287" i="3"/>
  <c r="O286" i="3"/>
  <c r="N286" i="3"/>
  <c r="M286" i="3"/>
  <c r="Q281" i="3"/>
  <c r="L281" i="3"/>
  <c r="G281" i="3"/>
  <c r="Z280" i="3"/>
  <c r="X280" i="3"/>
  <c r="V280" i="3"/>
  <c r="U280" i="3"/>
  <c r="Q280" i="3"/>
  <c r="L280" i="3"/>
  <c r="G280" i="3"/>
  <c r="Q279" i="3"/>
  <c r="L279" i="3"/>
  <c r="G279" i="3"/>
  <c r="Z278" i="3"/>
  <c r="X278" i="3"/>
  <c r="V278" i="3"/>
  <c r="U278" i="3"/>
  <c r="Q278" i="3"/>
  <c r="L278" i="3"/>
  <c r="G278" i="3"/>
  <c r="Q277" i="3"/>
  <c r="L277" i="3"/>
  <c r="G277" i="3"/>
  <c r="Z276" i="3"/>
  <c r="X276" i="3"/>
  <c r="V276" i="3"/>
  <c r="U276" i="3"/>
  <c r="W276" i="3" s="1"/>
  <c r="Q276" i="3"/>
  <c r="L276" i="3"/>
  <c r="G276" i="3"/>
  <c r="Q275" i="3"/>
  <c r="L275" i="3"/>
  <c r="G275" i="3"/>
  <c r="Z274" i="3"/>
  <c r="X274" i="3"/>
  <c r="V274" i="3"/>
  <c r="U274" i="3"/>
  <c r="Q274" i="3"/>
  <c r="L274" i="3"/>
  <c r="G274" i="3"/>
  <c r="Q273" i="3"/>
  <c r="L273" i="3"/>
  <c r="G273" i="3"/>
  <c r="Z272" i="3"/>
  <c r="X272" i="3"/>
  <c r="V272" i="3"/>
  <c r="U272" i="3"/>
  <c r="Y272" i="3" s="1"/>
  <c r="Q272" i="3"/>
  <c r="L272" i="3"/>
  <c r="G272" i="3"/>
  <c r="Q271" i="3"/>
  <c r="L271" i="3"/>
  <c r="G271" i="3"/>
  <c r="Z270" i="3"/>
  <c r="X270" i="3"/>
  <c r="V270" i="3"/>
  <c r="W270" i="3" s="1"/>
  <c r="U270" i="3"/>
  <c r="Q270" i="3"/>
  <c r="L270" i="3"/>
  <c r="G270" i="3"/>
  <c r="D265" i="3"/>
  <c r="C265" i="3"/>
  <c r="D264" i="3"/>
  <c r="C264" i="3"/>
  <c r="D263" i="3"/>
  <c r="C263" i="3"/>
  <c r="D262" i="3"/>
  <c r="C262" i="3"/>
  <c r="B262" i="3"/>
  <c r="N258" i="3"/>
  <c r="M258" i="3"/>
  <c r="K258" i="3"/>
  <c r="J258" i="3"/>
  <c r="H258" i="3"/>
  <c r="G258" i="3"/>
  <c r="O257" i="3"/>
  <c r="N257" i="3"/>
  <c r="M257" i="3"/>
  <c r="Q252" i="3"/>
  <c r="L252" i="3"/>
  <c r="G252" i="3"/>
  <c r="Z251" i="3"/>
  <c r="X251" i="3"/>
  <c r="V251" i="3"/>
  <c r="U251" i="3"/>
  <c r="Q251" i="3"/>
  <c r="L251" i="3"/>
  <c r="G251" i="3"/>
  <c r="Q250" i="3"/>
  <c r="L250" i="3"/>
  <c r="G250" i="3"/>
  <c r="Z249" i="3"/>
  <c r="X249" i="3"/>
  <c r="V249" i="3"/>
  <c r="U249" i="3"/>
  <c r="Y249" i="3" s="1"/>
  <c r="Q249" i="3"/>
  <c r="L249" i="3"/>
  <c r="G249" i="3"/>
  <c r="Q248" i="3"/>
  <c r="L248" i="3"/>
  <c r="G248" i="3"/>
  <c r="Z247" i="3"/>
  <c r="X247" i="3"/>
  <c r="V247" i="3"/>
  <c r="W247" i="3" s="1"/>
  <c r="U247" i="3"/>
  <c r="Q247" i="3"/>
  <c r="L247" i="3"/>
  <c r="G247" i="3"/>
  <c r="Q246" i="3"/>
  <c r="L246" i="3"/>
  <c r="G246" i="3"/>
  <c r="Z245" i="3"/>
  <c r="X245" i="3"/>
  <c r="V245" i="3"/>
  <c r="U245" i="3"/>
  <c r="Q245" i="3"/>
  <c r="L245" i="3"/>
  <c r="G245" i="3"/>
  <c r="Q244" i="3"/>
  <c r="L244" i="3"/>
  <c r="G244" i="3"/>
  <c r="Z243" i="3"/>
  <c r="X243" i="3"/>
  <c r="V243" i="3"/>
  <c r="U243" i="3"/>
  <c r="Q243" i="3"/>
  <c r="L243" i="3"/>
  <c r="G243" i="3"/>
  <c r="Q242" i="3"/>
  <c r="L242" i="3"/>
  <c r="G242" i="3"/>
  <c r="Z241" i="3"/>
  <c r="X241" i="3"/>
  <c r="V241" i="3"/>
  <c r="U241" i="3"/>
  <c r="Q241" i="3"/>
  <c r="L241" i="3"/>
  <c r="G241" i="3"/>
  <c r="F304" i="2"/>
  <c r="E304" i="2"/>
  <c r="D304" i="2"/>
  <c r="F303" i="2"/>
  <c r="E303" i="2"/>
  <c r="D303" i="2"/>
  <c r="C303" i="2"/>
  <c r="B303" i="2"/>
  <c r="F302" i="2"/>
  <c r="E302" i="2"/>
  <c r="F301" i="2"/>
  <c r="E301" i="2"/>
  <c r="D301" i="2"/>
  <c r="C301" i="2"/>
  <c r="B301" i="2"/>
  <c r="X297" i="2"/>
  <c r="R297" i="2"/>
  <c r="L297" i="2"/>
  <c r="AA296" i="2"/>
  <c r="X296" i="2"/>
  <c r="R296" i="2"/>
  <c r="L296" i="2"/>
  <c r="X295" i="2"/>
  <c r="R295" i="2"/>
  <c r="L295" i="2"/>
  <c r="AA294" i="2"/>
  <c r="X294" i="2"/>
  <c r="R294" i="2"/>
  <c r="L294" i="2"/>
  <c r="X293" i="2"/>
  <c r="R293" i="2"/>
  <c r="L293" i="2"/>
  <c r="AA292" i="2"/>
  <c r="X292" i="2"/>
  <c r="R292" i="2"/>
  <c r="L292" i="2"/>
  <c r="Y291" i="2"/>
  <c r="X291" i="2"/>
  <c r="S291" i="2"/>
  <c r="R291" i="2"/>
  <c r="M291" i="2"/>
  <c r="L291" i="2"/>
  <c r="Y290" i="2"/>
  <c r="X290" i="2"/>
  <c r="S290" i="2"/>
  <c r="R290" i="2"/>
  <c r="M290" i="2"/>
  <c r="L290" i="2"/>
  <c r="Y289" i="2"/>
  <c r="X289" i="2"/>
  <c r="S289" i="2"/>
  <c r="R289" i="2"/>
  <c r="M289" i="2"/>
  <c r="L289" i="2"/>
  <c r="Y288" i="2"/>
  <c r="X288" i="2"/>
  <c r="S288" i="2"/>
  <c r="R288" i="2"/>
  <c r="M288" i="2"/>
  <c r="L288" i="2"/>
  <c r="X287" i="2"/>
  <c r="R287" i="2"/>
  <c r="L287" i="2"/>
  <c r="AA286" i="2"/>
  <c r="X286" i="2"/>
  <c r="R286" i="2"/>
  <c r="L286" i="2"/>
  <c r="F281" i="2"/>
  <c r="E281" i="2"/>
  <c r="D281" i="2"/>
  <c r="F280" i="2"/>
  <c r="E280" i="2"/>
  <c r="D280" i="2"/>
  <c r="C280" i="2"/>
  <c r="B280" i="2"/>
  <c r="F279" i="2"/>
  <c r="E279" i="2"/>
  <c r="F278" i="2"/>
  <c r="E278" i="2"/>
  <c r="D278" i="2"/>
  <c r="C278" i="2"/>
  <c r="B278" i="2"/>
  <c r="X274" i="2"/>
  <c r="R274" i="2"/>
  <c r="L274" i="2"/>
  <c r="AA273" i="2"/>
  <c r="X273" i="2"/>
  <c r="R273" i="2"/>
  <c r="L273" i="2"/>
  <c r="X272" i="2"/>
  <c r="R272" i="2"/>
  <c r="L272" i="2"/>
  <c r="AA271" i="2"/>
  <c r="X271" i="2"/>
  <c r="R271" i="2"/>
  <c r="L271" i="2"/>
  <c r="X270" i="2"/>
  <c r="R270" i="2"/>
  <c r="L270" i="2"/>
  <c r="AA269" i="2"/>
  <c r="X269" i="2"/>
  <c r="R269" i="2"/>
  <c r="L269" i="2"/>
  <c r="Y268" i="2"/>
  <c r="X268" i="2"/>
  <c r="S268" i="2"/>
  <c r="R268" i="2"/>
  <c r="M268" i="2"/>
  <c r="L268" i="2"/>
  <c r="Y267" i="2"/>
  <c r="X267" i="2"/>
  <c r="S267" i="2"/>
  <c r="R267" i="2"/>
  <c r="M267" i="2"/>
  <c r="L267" i="2"/>
  <c r="Y266" i="2"/>
  <c r="X266" i="2"/>
  <c r="S266" i="2"/>
  <c r="R266" i="2"/>
  <c r="M266" i="2"/>
  <c r="L266" i="2"/>
  <c r="Y265" i="2"/>
  <c r="X265" i="2"/>
  <c r="S265" i="2"/>
  <c r="R265" i="2"/>
  <c r="M265" i="2"/>
  <c r="L265" i="2"/>
  <c r="X264" i="2"/>
  <c r="R264" i="2"/>
  <c r="L264" i="2"/>
  <c r="AA263" i="2"/>
  <c r="X263" i="2"/>
  <c r="R263" i="2"/>
  <c r="L263" i="2"/>
  <c r="F258" i="2"/>
  <c r="E258" i="2"/>
  <c r="D258" i="2"/>
  <c r="F257" i="2"/>
  <c r="E257" i="2"/>
  <c r="D257" i="2"/>
  <c r="C257" i="2"/>
  <c r="B257" i="2"/>
  <c r="F256" i="2"/>
  <c r="E256" i="2"/>
  <c r="F255" i="2"/>
  <c r="E255" i="2"/>
  <c r="D255" i="2"/>
  <c r="C255" i="2"/>
  <c r="B255" i="2"/>
  <c r="X251" i="2"/>
  <c r="R251" i="2"/>
  <c r="L251" i="2"/>
  <c r="AA250" i="2"/>
  <c r="X250" i="2"/>
  <c r="R250" i="2"/>
  <c r="L250" i="2"/>
  <c r="X249" i="2"/>
  <c r="R249" i="2"/>
  <c r="L249" i="2"/>
  <c r="AA248" i="2"/>
  <c r="X248" i="2"/>
  <c r="R248" i="2"/>
  <c r="L248" i="2"/>
  <c r="X247" i="2"/>
  <c r="R247" i="2"/>
  <c r="L247" i="2"/>
  <c r="AA246" i="2"/>
  <c r="X246" i="2"/>
  <c r="R246" i="2"/>
  <c r="L246" i="2"/>
  <c r="Y245" i="2"/>
  <c r="X245" i="2"/>
  <c r="S245" i="2"/>
  <c r="R245" i="2"/>
  <c r="M245" i="2"/>
  <c r="L245" i="2"/>
  <c r="Y244" i="2"/>
  <c r="X244" i="2"/>
  <c r="S244" i="2"/>
  <c r="R244" i="2"/>
  <c r="M244" i="2"/>
  <c r="L244" i="2"/>
  <c r="Y243" i="2"/>
  <c r="X243" i="2"/>
  <c r="S243" i="2"/>
  <c r="R243" i="2"/>
  <c r="M243" i="2"/>
  <c r="L243" i="2"/>
  <c r="Y242" i="2"/>
  <c r="X242" i="2"/>
  <c r="S242" i="2"/>
  <c r="R242" i="2"/>
  <c r="M242" i="2"/>
  <c r="L242" i="2"/>
  <c r="X241" i="2"/>
  <c r="R241" i="2"/>
  <c r="L241" i="2"/>
  <c r="AA240" i="2"/>
  <c r="X240" i="2"/>
  <c r="R240" i="2"/>
  <c r="L240" i="2"/>
  <c r="F235" i="2"/>
  <c r="E235" i="2"/>
  <c r="D235" i="2"/>
  <c r="F234" i="2"/>
  <c r="E234" i="2"/>
  <c r="D234" i="2"/>
  <c r="C234" i="2"/>
  <c r="B234" i="2"/>
  <c r="F233" i="2"/>
  <c r="E233" i="2"/>
  <c r="F232" i="2"/>
  <c r="E232" i="2"/>
  <c r="D232" i="2"/>
  <c r="C232" i="2"/>
  <c r="B232" i="2"/>
  <c r="X228" i="2"/>
  <c r="R228" i="2"/>
  <c r="L228" i="2"/>
  <c r="AA227" i="2"/>
  <c r="X227" i="2"/>
  <c r="R227" i="2"/>
  <c r="L227" i="2"/>
  <c r="X226" i="2"/>
  <c r="R226" i="2"/>
  <c r="L226" i="2"/>
  <c r="AA225" i="2"/>
  <c r="X225" i="2"/>
  <c r="R225" i="2"/>
  <c r="L225" i="2"/>
  <c r="X224" i="2"/>
  <c r="R224" i="2"/>
  <c r="L224" i="2"/>
  <c r="AA223" i="2"/>
  <c r="X223" i="2"/>
  <c r="R223" i="2"/>
  <c r="L223" i="2"/>
  <c r="Y222" i="2"/>
  <c r="X222" i="2"/>
  <c r="S222" i="2"/>
  <c r="R222" i="2"/>
  <c r="M222" i="2"/>
  <c r="L222" i="2"/>
  <c r="Y221" i="2"/>
  <c r="X221" i="2"/>
  <c r="S221" i="2"/>
  <c r="R221" i="2"/>
  <c r="M221" i="2"/>
  <c r="L221" i="2"/>
  <c r="Y220" i="2"/>
  <c r="X220" i="2"/>
  <c r="S220" i="2"/>
  <c r="R220" i="2"/>
  <c r="M220" i="2"/>
  <c r="L220" i="2"/>
  <c r="Y219" i="2"/>
  <c r="X219" i="2"/>
  <c r="S219" i="2"/>
  <c r="R219" i="2"/>
  <c r="M219" i="2"/>
  <c r="L219" i="2"/>
  <c r="X218" i="2"/>
  <c r="R218" i="2"/>
  <c r="L218" i="2"/>
  <c r="AA217" i="2"/>
  <c r="X217" i="2"/>
  <c r="R217" i="2"/>
  <c r="L217" i="2"/>
  <c r="F212" i="2"/>
  <c r="E212" i="2"/>
  <c r="D212" i="2"/>
  <c r="F211" i="2"/>
  <c r="E211" i="2"/>
  <c r="D211" i="2"/>
  <c r="C211" i="2"/>
  <c r="B211" i="2"/>
  <c r="F210" i="2"/>
  <c r="E210" i="2"/>
  <c r="F209" i="2"/>
  <c r="E209" i="2"/>
  <c r="D209" i="2"/>
  <c r="C209" i="2"/>
  <c r="B209" i="2"/>
  <c r="X205" i="2"/>
  <c r="R205" i="2"/>
  <c r="L205" i="2"/>
  <c r="AA204" i="2"/>
  <c r="X204" i="2"/>
  <c r="R204" i="2"/>
  <c r="L204" i="2"/>
  <c r="X203" i="2"/>
  <c r="R203" i="2"/>
  <c r="L203" i="2"/>
  <c r="AA202" i="2"/>
  <c r="X202" i="2"/>
  <c r="R202" i="2"/>
  <c r="L202" i="2"/>
  <c r="X201" i="2"/>
  <c r="R201" i="2"/>
  <c r="L201" i="2"/>
  <c r="AA200" i="2"/>
  <c r="X200" i="2"/>
  <c r="R200" i="2"/>
  <c r="L200" i="2"/>
  <c r="Y199" i="2"/>
  <c r="X199" i="2"/>
  <c r="S199" i="2"/>
  <c r="R199" i="2"/>
  <c r="M199" i="2"/>
  <c r="L199" i="2"/>
  <c r="Y198" i="2"/>
  <c r="X198" i="2"/>
  <c r="S198" i="2"/>
  <c r="R198" i="2"/>
  <c r="M198" i="2"/>
  <c r="L198" i="2"/>
  <c r="Y197" i="2"/>
  <c r="X197" i="2"/>
  <c r="S197" i="2"/>
  <c r="R197" i="2"/>
  <c r="M197" i="2"/>
  <c r="L197" i="2"/>
  <c r="Y196" i="2"/>
  <c r="X196" i="2"/>
  <c r="S196" i="2"/>
  <c r="R196" i="2"/>
  <c r="M196" i="2"/>
  <c r="L196" i="2"/>
  <c r="X195" i="2"/>
  <c r="R195" i="2"/>
  <c r="L195" i="2"/>
  <c r="AA194" i="2"/>
  <c r="X194" i="2"/>
  <c r="R194" i="2"/>
  <c r="L194" i="2"/>
  <c r="D236" i="3"/>
  <c r="C236" i="3"/>
  <c r="D235" i="3"/>
  <c r="C235" i="3"/>
  <c r="D234" i="3"/>
  <c r="C234" i="3"/>
  <c r="D233" i="3"/>
  <c r="C233" i="3"/>
  <c r="B233" i="3"/>
  <c r="N229" i="3"/>
  <c r="M229" i="3"/>
  <c r="K229" i="3"/>
  <c r="J229" i="3"/>
  <c r="H229" i="3"/>
  <c r="G229" i="3"/>
  <c r="O228" i="3"/>
  <c r="N228" i="3"/>
  <c r="M228" i="3"/>
  <c r="Q223" i="3"/>
  <c r="L223" i="3"/>
  <c r="G223" i="3"/>
  <c r="Z222" i="3"/>
  <c r="X222" i="3"/>
  <c r="V222" i="3"/>
  <c r="U222" i="3"/>
  <c r="Q222" i="3"/>
  <c r="L222" i="3"/>
  <c r="G222" i="3"/>
  <c r="Q221" i="3"/>
  <c r="L221" i="3"/>
  <c r="G221" i="3"/>
  <c r="Z220" i="3"/>
  <c r="X220" i="3"/>
  <c r="V220" i="3"/>
  <c r="U220" i="3"/>
  <c r="Q220" i="3"/>
  <c r="L220" i="3"/>
  <c r="G220" i="3"/>
  <c r="Q219" i="3"/>
  <c r="L219" i="3"/>
  <c r="G219" i="3"/>
  <c r="Z218" i="3"/>
  <c r="X218" i="3"/>
  <c r="V218" i="3"/>
  <c r="U218" i="3"/>
  <c r="Q218" i="3"/>
  <c r="L218" i="3"/>
  <c r="G218" i="3"/>
  <c r="Q217" i="3"/>
  <c r="L217" i="3"/>
  <c r="G217" i="3"/>
  <c r="Z216" i="3"/>
  <c r="X216" i="3"/>
  <c r="V216" i="3"/>
  <c r="U216" i="3"/>
  <c r="AA216" i="3" s="1"/>
  <c r="Q216" i="3"/>
  <c r="L216" i="3"/>
  <c r="G216" i="3"/>
  <c r="Q215" i="3"/>
  <c r="L215" i="3"/>
  <c r="G215" i="3"/>
  <c r="Z214" i="3"/>
  <c r="X214" i="3"/>
  <c r="V214" i="3"/>
  <c r="U214" i="3"/>
  <c r="Q214" i="3"/>
  <c r="L214" i="3"/>
  <c r="G214" i="3"/>
  <c r="Q213" i="3"/>
  <c r="L213" i="3"/>
  <c r="G213" i="3"/>
  <c r="Z212" i="3"/>
  <c r="X212" i="3"/>
  <c r="V212" i="3"/>
  <c r="U212" i="3"/>
  <c r="Q212" i="3"/>
  <c r="L212" i="3"/>
  <c r="G212" i="3"/>
  <c r="D207" i="3"/>
  <c r="C207" i="3"/>
  <c r="D206" i="3"/>
  <c r="C206" i="3"/>
  <c r="D205" i="3"/>
  <c r="C205" i="3"/>
  <c r="D204" i="3"/>
  <c r="C204" i="3"/>
  <c r="B204" i="3"/>
  <c r="N200" i="3"/>
  <c r="M200" i="3"/>
  <c r="K200" i="3"/>
  <c r="J200" i="3"/>
  <c r="H200" i="3"/>
  <c r="G200" i="3"/>
  <c r="O199" i="3"/>
  <c r="S199" i="3" s="1"/>
  <c r="N199" i="3"/>
  <c r="M199" i="3"/>
  <c r="Q194" i="3"/>
  <c r="L194" i="3"/>
  <c r="G194" i="3"/>
  <c r="Z193" i="3"/>
  <c r="X193" i="3"/>
  <c r="V193" i="3"/>
  <c r="U193" i="3"/>
  <c r="Q193" i="3"/>
  <c r="L193" i="3"/>
  <c r="G193" i="3"/>
  <c r="Q192" i="3"/>
  <c r="L192" i="3"/>
  <c r="G192" i="3"/>
  <c r="Z191" i="3"/>
  <c r="X191" i="3"/>
  <c r="V191" i="3"/>
  <c r="U191" i="3"/>
  <c r="Q191" i="3"/>
  <c r="L191" i="3"/>
  <c r="G191" i="3"/>
  <c r="Q190" i="3"/>
  <c r="L190" i="3"/>
  <c r="G190" i="3"/>
  <c r="Z189" i="3"/>
  <c r="X189" i="3"/>
  <c r="V189" i="3"/>
  <c r="U189" i="3"/>
  <c r="Y189" i="3" s="1"/>
  <c r="Q189" i="3"/>
  <c r="L189" i="3"/>
  <c r="G189" i="3"/>
  <c r="Q188" i="3"/>
  <c r="L188" i="3"/>
  <c r="G188" i="3"/>
  <c r="Z187" i="3"/>
  <c r="X187" i="3"/>
  <c r="V187" i="3"/>
  <c r="U187" i="3"/>
  <c r="AA187" i="3" s="1"/>
  <c r="Q187" i="3"/>
  <c r="L187" i="3"/>
  <c r="G187" i="3"/>
  <c r="Q186" i="3"/>
  <c r="L186" i="3"/>
  <c r="G186" i="3"/>
  <c r="Z185" i="3"/>
  <c r="X185" i="3"/>
  <c r="V185" i="3"/>
  <c r="U185" i="3"/>
  <c r="AA185" i="3" s="1"/>
  <c r="Q185" i="3"/>
  <c r="L185" i="3"/>
  <c r="G185" i="3"/>
  <c r="Q184" i="3"/>
  <c r="L184" i="3"/>
  <c r="G184" i="3"/>
  <c r="Z183" i="3"/>
  <c r="X183" i="3"/>
  <c r="V183" i="3"/>
  <c r="U183" i="3"/>
  <c r="Q183" i="3"/>
  <c r="L183" i="3"/>
  <c r="G183" i="3"/>
  <c r="D178" i="3"/>
  <c r="C178" i="3"/>
  <c r="D177" i="3"/>
  <c r="C177" i="3"/>
  <c r="D176" i="3"/>
  <c r="C176" i="3"/>
  <c r="D175" i="3"/>
  <c r="C175" i="3"/>
  <c r="B175" i="3"/>
  <c r="N171" i="3"/>
  <c r="M171" i="3"/>
  <c r="K171" i="3"/>
  <c r="J171" i="3"/>
  <c r="H171" i="3"/>
  <c r="G171" i="3"/>
  <c r="O170" i="3"/>
  <c r="S170" i="3" s="1"/>
  <c r="N170" i="3"/>
  <c r="M170" i="3"/>
  <c r="Q165" i="3"/>
  <c r="L165" i="3"/>
  <c r="G165" i="3"/>
  <c r="Z164" i="3"/>
  <c r="X164" i="3"/>
  <c r="V164" i="3"/>
  <c r="U164" i="3"/>
  <c r="W164" i="3" s="1"/>
  <c r="Q164" i="3"/>
  <c r="L164" i="3"/>
  <c r="G164" i="3"/>
  <c r="Q163" i="3"/>
  <c r="L163" i="3"/>
  <c r="G163" i="3"/>
  <c r="Z162" i="3"/>
  <c r="X162" i="3"/>
  <c r="V162" i="3"/>
  <c r="U162" i="3"/>
  <c r="AA162" i="3" s="1"/>
  <c r="Q162" i="3"/>
  <c r="L162" i="3"/>
  <c r="G162" i="3"/>
  <c r="Q161" i="3"/>
  <c r="L161" i="3"/>
  <c r="G161" i="3"/>
  <c r="Z160" i="3"/>
  <c r="X160" i="3"/>
  <c r="V160" i="3"/>
  <c r="U160" i="3"/>
  <c r="AA160" i="3" s="1"/>
  <c r="Q160" i="3"/>
  <c r="L160" i="3"/>
  <c r="G160" i="3"/>
  <c r="Q159" i="3"/>
  <c r="L159" i="3"/>
  <c r="G159" i="3"/>
  <c r="Z158" i="3"/>
  <c r="X158" i="3"/>
  <c r="V158" i="3"/>
  <c r="U158" i="3"/>
  <c r="AA158" i="3" s="1"/>
  <c r="Q158" i="3"/>
  <c r="L158" i="3"/>
  <c r="G158" i="3"/>
  <c r="Q157" i="3"/>
  <c r="L157" i="3"/>
  <c r="G157" i="3"/>
  <c r="Z156" i="3"/>
  <c r="X156" i="3"/>
  <c r="V156" i="3"/>
  <c r="U156" i="3"/>
  <c r="AA156" i="3" s="1"/>
  <c r="Q156" i="3"/>
  <c r="L156" i="3"/>
  <c r="G156" i="3"/>
  <c r="Q155" i="3"/>
  <c r="L155" i="3"/>
  <c r="G155" i="3"/>
  <c r="Z154" i="3"/>
  <c r="X154" i="3"/>
  <c r="V154" i="3"/>
  <c r="U154" i="3"/>
  <c r="Q154" i="3"/>
  <c r="L154" i="3"/>
  <c r="G154" i="3"/>
  <c r="D149" i="3"/>
  <c r="C149" i="3"/>
  <c r="D148" i="3"/>
  <c r="C148" i="3"/>
  <c r="D147" i="3"/>
  <c r="C147" i="3"/>
  <c r="D146" i="3"/>
  <c r="C146" i="3"/>
  <c r="B146" i="3"/>
  <c r="N142" i="3"/>
  <c r="M142" i="3"/>
  <c r="K142" i="3"/>
  <c r="J142" i="3"/>
  <c r="H142" i="3"/>
  <c r="G142" i="3"/>
  <c r="O141" i="3"/>
  <c r="S141" i="3" s="1"/>
  <c r="N141" i="3"/>
  <c r="M141" i="3"/>
  <c r="Q136" i="3"/>
  <c r="L136" i="3"/>
  <c r="G136" i="3"/>
  <c r="Z135" i="3"/>
  <c r="X135" i="3"/>
  <c r="V135" i="3"/>
  <c r="U135" i="3"/>
  <c r="AA135" i="3" s="1"/>
  <c r="Q135" i="3"/>
  <c r="L135" i="3"/>
  <c r="G135" i="3"/>
  <c r="Q134" i="3"/>
  <c r="L134" i="3"/>
  <c r="G134" i="3"/>
  <c r="Z133" i="3"/>
  <c r="X133" i="3"/>
  <c r="V133" i="3"/>
  <c r="U133" i="3"/>
  <c r="AA133" i="3" s="1"/>
  <c r="Q133" i="3"/>
  <c r="L133" i="3"/>
  <c r="G133" i="3"/>
  <c r="Q132" i="3"/>
  <c r="L132" i="3"/>
  <c r="G132" i="3"/>
  <c r="Z131" i="3"/>
  <c r="X131" i="3"/>
  <c r="V131" i="3"/>
  <c r="U131" i="3"/>
  <c r="AA131" i="3" s="1"/>
  <c r="Q131" i="3"/>
  <c r="L131" i="3"/>
  <c r="G131" i="3"/>
  <c r="Q130" i="3"/>
  <c r="L130" i="3"/>
  <c r="G130" i="3"/>
  <c r="Z129" i="3"/>
  <c r="X129" i="3"/>
  <c r="V129" i="3"/>
  <c r="U129" i="3"/>
  <c r="AA129" i="3" s="1"/>
  <c r="Q129" i="3"/>
  <c r="L129" i="3"/>
  <c r="G129" i="3"/>
  <c r="Q128" i="3"/>
  <c r="L128" i="3"/>
  <c r="G128" i="3"/>
  <c r="Z127" i="3"/>
  <c r="X127" i="3"/>
  <c r="V127" i="3"/>
  <c r="U127" i="3"/>
  <c r="AA127" i="3" s="1"/>
  <c r="Q127" i="3"/>
  <c r="L127" i="3"/>
  <c r="G127" i="3"/>
  <c r="Q126" i="3"/>
  <c r="L126" i="3"/>
  <c r="G126" i="3"/>
  <c r="Z125" i="3"/>
  <c r="X125" i="3"/>
  <c r="V125" i="3"/>
  <c r="U125" i="3"/>
  <c r="W125" i="3" s="1"/>
  <c r="Q125" i="3"/>
  <c r="L125" i="3"/>
  <c r="G125" i="3"/>
  <c r="D120" i="3"/>
  <c r="C120" i="3"/>
  <c r="D119" i="3"/>
  <c r="C119" i="3"/>
  <c r="D118" i="3"/>
  <c r="C118" i="3"/>
  <c r="D117" i="3"/>
  <c r="C117" i="3"/>
  <c r="B117" i="3"/>
  <c r="N113" i="3"/>
  <c r="M113" i="3"/>
  <c r="K113" i="3"/>
  <c r="J113" i="3"/>
  <c r="H113" i="3"/>
  <c r="G113" i="3"/>
  <c r="O112" i="3"/>
  <c r="S112" i="3" s="1"/>
  <c r="N112" i="3"/>
  <c r="M112" i="3"/>
  <c r="Q107" i="3"/>
  <c r="L107" i="3"/>
  <c r="G107" i="3"/>
  <c r="Z106" i="3"/>
  <c r="X106" i="3"/>
  <c r="V106" i="3"/>
  <c r="U106" i="3"/>
  <c r="AA106" i="3" s="1"/>
  <c r="Q106" i="3"/>
  <c r="L106" i="3"/>
  <c r="G106" i="3"/>
  <c r="Q105" i="3"/>
  <c r="L105" i="3"/>
  <c r="G105" i="3"/>
  <c r="Z104" i="3"/>
  <c r="X104" i="3"/>
  <c r="V104" i="3"/>
  <c r="U104" i="3"/>
  <c r="AA104" i="3" s="1"/>
  <c r="Q104" i="3"/>
  <c r="L104" i="3"/>
  <c r="G104" i="3"/>
  <c r="Q103" i="3"/>
  <c r="L103" i="3"/>
  <c r="G103" i="3"/>
  <c r="Z102" i="3"/>
  <c r="X102" i="3"/>
  <c r="V102" i="3"/>
  <c r="U102" i="3"/>
  <c r="AA102" i="3" s="1"/>
  <c r="Q102" i="3"/>
  <c r="L102" i="3"/>
  <c r="G102" i="3"/>
  <c r="Q101" i="3"/>
  <c r="L101" i="3"/>
  <c r="G101" i="3"/>
  <c r="Z100" i="3"/>
  <c r="X100" i="3"/>
  <c r="V100" i="3"/>
  <c r="U100" i="3"/>
  <c r="AA100" i="3" s="1"/>
  <c r="Q100" i="3"/>
  <c r="L100" i="3"/>
  <c r="G100" i="3"/>
  <c r="Q99" i="3"/>
  <c r="L99" i="3"/>
  <c r="G99" i="3"/>
  <c r="Z98" i="3"/>
  <c r="X98" i="3"/>
  <c r="V98" i="3"/>
  <c r="U98" i="3"/>
  <c r="W98" i="3" s="1"/>
  <c r="Q98" i="3"/>
  <c r="L98" i="3"/>
  <c r="G98" i="3"/>
  <c r="Q97" i="3"/>
  <c r="L97" i="3"/>
  <c r="G97" i="3"/>
  <c r="Z96" i="3"/>
  <c r="X96" i="3"/>
  <c r="V96" i="3"/>
  <c r="U96" i="3"/>
  <c r="W96" i="3" s="1"/>
  <c r="Q96" i="3"/>
  <c r="L96" i="3"/>
  <c r="G96" i="3"/>
  <c r="F189" i="2"/>
  <c r="E189" i="2"/>
  <c r="D189" i="2"/>
  <c r="F188" i="2"/>
  <c r="E188" i="2"/>
  <c r="D188" i="2"/>
  <c r="C188" i="2"/>
  <c r="B188" i="2"/>
  <c r="F187" i="2"/>
  <c r="E187" i="2"/>
  <c r="F186" i="2"/>
  <c r="E186" i="2"/>
  <c r="D186" i="2"/>
  <c r="C186" i="2"/>
  <c r="B186" i="2"/>
  <c r="X182" i="2"/>
  <c r="R182" i="2"/>
  <c r="L182" i="2"/>
  <c r="AA181" i="2"/>
  <c r="X181" i="2"/>
  <c r="R181" i="2"/>
  <c r="L181" i="2"/>
  <c r="X180" i="2"/>
  <c r="R180" i="2"/>
  <c r="L180" i="2"/>
  <c r="AA179" i="2"/>
  <c r="X179" i="2"/>
  <c r="R179" i="2"/>
  <c r="L179" i="2"/>
  <c r="X178" i="2"/>
  <c r="R178" i="2"/>
  <c r="L178" i="2"/>
  <c r="AA177" i="2"/>
  <c r="X177" i="2"/>
  <c r="R177" i="2"/>
  <c r="L177" i="2"/>
  <c r="Y176" i="2"/>
  <c r="X176" i="2"/>
  <c r="S176" i="2"/>
  <c r="R176" i="2"/>
  <c r="M176" i="2"/>
  <c r="L176" i="2"/>
  <c r="Y175" i="2"/>
  <c r="X175" i="2"/>
  <c r="S175" i="2"/>
  <c r="R175" i="2"/>
  <c r="M175" i="2"/>
  <c r="L175" i="2"/>
  <c r="Y174" i="2"/>
  <c r="X174" i="2"/>
  <c r="S174" i="2"/>
  <c r="R174" i="2"/>
  <c r="M174" i="2"/>
  <c r="L174" i="2"/>
  <c r="Y173" i="2"/>
  <c r="X173" i="2"/>
  <c r="S173" i="2"/>
  <c r="R173" i="2"/>
  <c r="M173" i="2"/>
  <c r="L173" i="2"/>
  <c r="X172" i="2"/>
  <c r="R172" i="2"/>
  <c r="L172" i="2"/>
  <c r="AA171" i="2"/>
  <c r="X171" i="2"/>
  <c r="R171" i="2"/>
  <c r="L171" i="2"/>
  <c r="F166" i="2"/>
  <c r="E166" i="2"/>
  <c r="D166" i="2"/>
  <c r="F165" i="2"/>
  <c r="E165" i="2"/>
  <c r="D165" i="2"/>
  <c r="C165" i="2"/>
  <c r="B165" i="2"/>
  <c r="F164" i="2"/>
  <c r="E164" i="2"/>
  <c r="F163" i="2"/>
  <c r="E163" i="2"/>
  <c r="D163" i="2"/>
  <c r="C163" i="2"/>
  <c r="B163" i="2"/>
  <c r="X159" i="2"/>
  <c r="R159" i="2"/>
  <c r="L159" i="2"/>
  <c r="AA158" i="2"/>
  <c r="X158" i="2"/>
  <c r="R158" i="2"/>
  <c r="L158" i="2"/>
  <c r="X157" i="2"/>
  <c r="R157" i="2"/>
  <c r="L157" i="2"/>
  <c r="AA156" i="2"/>
  <c r="X156" i="2"/>
  <c r="R156" i="2"/>
  <c r="L156" i="2"/>
  <c r="X155" i="2"/>
  <c r="R155" i="2"/>
  <c r="L155" i="2"/>
  <c r="AA154" i="2"/>
  <c r="X154" i="2"/>
  <c r="R154" i="2"/>
  <c r="L154" i="2"/>
  <c r="Y153" i="2"/>
  <c r="X153" i="2"/>
  <c r="S153" i="2"/>
  <c r="R153" i="2"/>
  <c r="M153" i="2"/>
  <c r="L153" i="2"/>
  <c r="Y152" i="2"/>
  <c r="X152" i="2"/>
  <c r="S152" i="2"/>
  <c r="R152" i="2"/>
  <c r="M152" i="2"/>
  <c r="L152" i="2"/>
  <c r="Y151" i="2"/>
  <c r="X151" i="2"/>
  <c r="S151" i="2"/>
  <c r="R151" i="2"/>
  <c r="M151" i="2"/>
  <c r="L151" i="2"/>
  <c r="Y150" i="2"/>
  <c r="X150" i="2"/>
  <c r="S150" i="2"/>
  <c r="R150" i="2"/>
  <c r="M150" i="2"/>
  <c r="L150" i="2"/>
  <c r="X149" i="2"/>
  <c r="R149" i="2"/>
  <c r="L149" i="2"/>
  <c r="AA148" i="2"/>
  <c r="X148" i="2"/>
  <c r="R148" i="2"/>
  <c r="L148" i="2"/>
  <c r="F143" i="2"/>
  <c r="E143" i="2"/>
  <c r="D143" i="2"/>
  <c r="F142" i="2"/>
  <c r="E142" i="2"/>
  <c r="D142" i="2"/>
  <c r="C142" i="2"/>
  <c r="B142" i="2"/>
  <c r="F141" i="2"/>
  <c r="E141" i="2"/>
  <c r="F140" i="2"/>
  <c r="E140" i="2"/>
  <c r="D140" i="2"/>
  <c r="C140" i="2"/>
  <c r="B140" i="2"/>
  <c r="X136" i="2"/>
  <c r="R136" i="2"/>
  <c r="L136" i="2"/>
  <c r="AA135" i="2"/>
  <c r="X135" i="2"/>
  <c r="R135" i="2"/>
  <c r="L135" i="2"/>
  <c r="X134" i="2"/>
  <c r="R134" i="2"/>
  <c r="L134" i="2"/>
  <c r="AA133" i="2"/>
  <c r="X133" i="2"/>
  <c r="R133" i="2"/>
  <c r="L133" i="2"/>
  <c r="X132" i="2"/>
  <c r="R132" i="2"/>
  <c r="L132" i="2"/>
  <c r="AA131" i="2"/>
  <c r="X131" i="2"/>
  <c r="R131" i="2"/>
  <c r="L131" i="2"/>
  <c r="Y130" i="2"/>
  <c r="X130" i="2"/>
  <c r="S130" i="2"/>
  <c r="R130" i="2"/>
  <c r="M130" i="2"/>
  <c r="L130" i="2"/>
  <c r="Y129" i="2"/>
  <c r="X129" i="2"/>
  <c r="S129" i="2"/>
  <c r="R129" i="2"/>
  <c r="M129" i="2"/>
  <c r="L129" i="2"/>
  <c r="Y128" i="2"/>
  <c r="X128" i="2"/>
  <c r="S128" i="2"/>
  <c r="R128" i="2"/>
  <c r="M128" i="2"/>
  <c r="L128" i="2"/>
  <c r="Y127" i="2"/>
  <c r="X127" i="2"/>
  <c r="S127" i="2"/>
  <c r="R127" i="2"/>
  <c r="M127" i="2"/>
  <c r="L127" i="2"/>
  <c r="X126" i="2"/>
  <c r="R126" i="2"/>
  <c r="L126" i="2"/>
  <c r="AA125" i="2"/>
  <c r="X125" i="2"/>
  <c r="R125" i="2"/>
  <c r="L125" i="2"/>
  <c r="F120" i="2"/>
  <c r="E120" i="2"/>
  <c r="D120" i="2"/>
  <c r="F119" i="2"/>
  <c r="E119" i="2"/>
  <c r="D119" i="2"/>
  <c r="C119" i="2"/>
  <c r="B119" i="2"/>
  <c r="F118" i="2"/>
  <c r="E118" i="2"/>
  <c r="F117" i="2"/>
  <c r="E117" i="2"/>
  <c r="D117" i="2"/>
  <c r="C117" i="2"/>
  <c r="B117" i="2"/>
  <c r="X113" i="2"/>
  <c r="R113" i="2"/>
  <c r="L113" i="2"/>
  <c r="AA112" i="2"/>
  <c r="X112" i="2"/>
  <c r="R112" i="2"/>
  <c r="L112" i="2"/>
  <c r="X111" i="2"/>
  <c r="R111" i="2"/>
  <c r="L111" i="2"/>
  <c r="AA110" i="2"/>
  <c r="X110" i="2"/>
  <c r="R110" i="2"/>
  <c r="L110" i="2"/>
  <c r="X109" i="2"/>
  <c r="R109" i="2"/>
  <c r="L109" i="2"/>
  <c r="AA108" i="2"/>
  <c r="X108" i="2"/>
  <c r="R108" i="2"/>
  <c r="L108" i="2"/>
  <c r="Y107" i="2"/>
  <c r="X107" i="2"/>
  <c r="S107" i="2"/>
  <c r="R107" i="2"/>
  <c r="M107" i="2"/>
  <c r="L107" i="2"/>
  <c r="Y106" i="2"/>
  <c r="X106" i="2"/>
  <c r="S106" i="2"/>
  <c r="R106" i="2"/>
  <c r="M106" i="2"/>
  <c r="L106" i="2"/>
  <c r="Y105" i="2"/>
  <c r="X105" i="2"/>
  <c r="S105" i="2"/>
  <c r="R105" i="2"/>
  <c r="M105" i="2"/>
  <c r="L105" i="2"/>
  <c r="Y104" i="2"/>
  <c r="X104" i="2"/>
  <c r="S104" i="2"/>
  <c r="R104" i="2"/>
  <c r="M104" i="2"/>
  <c r="L104" i="2"/>
  <c r="X103" i="2"/>
  <c r="R103" i="2"/>
  <c r="L103" i="2"/>
  <c r="AA102" i="2"/>
  <c r="X102" i="2"/>
  <c r="R102" i="2"/>
  <c r="L102" i="2"/>
  <c r="F97" i="2"/>
  <c r="E97" i="2"/>
  <c r="D97" i="2"/>
  <c r="F96" i="2"/>
  <c r="E96" i="2"/>
  <c r="D96" i="2"/>
  <c r="C96" i="2"/>
  <c r="B96" i="2"/>
  <c r="F95" i="2"/>
  <c r="E95" i="2"/>
  <c r="F94" i="2"/>
  <c r="E94" i="2"/>
  <c r="D94" i="2"/>
  <c r="C94" i="2"/>
  <c r="B94" i="2"/>
  <c r="X90" i="2"/>
  <c r="R90" i="2"/>
  <c r="L90" i="2"/>
  <c r="AA89" i="2"/>
  <c r="X89" i="2"/>
  <c r="R89" i="2"/>
  <c r="L89" i="2"/>
  <c r="X88" i="2"/>
  <c r="R88" i="2"/>
  <c r="L88" i="2"/>
  <c r="AA87" i="2"/>
  <c r="X87" i="2"/>
  <c r="R87" i="2"/>
  <c r="L87" i="2"/>
  <c r="X86" i="2"/>
  <c r="R86" i="2"/>
  <c r="L86" i="2"/>
  <c r="AA85" i="2"/>
  <c r="X85" i="2"/>
  <c r="R85" i="2"/>
  <c r="L85" i="2"/>
  <c r="Y84" i="2"/>
  <c r="X84" i="2"/>
  <c r="S84" i="2"/>
  <c r="R84" i="2"/>
  <c r="M84" i="2"/>
  <c r="L84" i="2"/>
  <c r="Y83" i="2"/>
  <c r="X83" i="2"/>
  <c r="S83" i="2"/>
  <c r="R83" i="2"/>
  <c r="M83" i="2"/>
  <c r="L83" i="2"/>
  <c r="Y82" i="2"/>
  <c r="X82" i="2"/>
  <c r="S82" i="2"/>
  <c r="R82" i="2"/>
  <c r="M82" i="2"/>
  <c r="L82" i="2"/>
  <c r="Y81" i="2"/>
  <c r="X81" i="2"/>
  <c r="S81" i="2"/>
  <c r="R81" i="2"/>
  <c r="M81" i="2"/>
  <c r="L81" i="2"/>
  <c r="X80" i="2"/>
  <c r="R80" i="2"/>
  <c r="L80" i="2"/>
  <c r="AA79" i="2"/>
  <c r="X79" i="2"/>
  <c r="R79" i="2"/>
  <c r="L79" i="2"/>
  <c r="F74" i="2"/>
  <c r="E74" i="2"/>
  <c r="D74" i="2"/>
  <c r="F73" i="2"/>
  <c r="E73" i="2"/>
  <c r="D73" i="2"/>
  <c r="C73" i="2"/>
  <c r="B73" i="2"/>
  <c r="F72" i="2"/>
  <c r="E72" i="2"/>
  <c r="F71" i="2"/>
  <c r="E71" i="2"/>
  <c r="D71" i="2"/>
  <c r="C71" i="2"/>
  <c r="B71" i="2"/>
  <c r="X67" i="2"/>
  <c r="R67" i="2"/>
  <c r="L67" i="2"/>
  <c r="AA66" i="2"/>
  <c r="X66" i="2"/>
  <c r="R66" i="2"/>
  <c r="L66" i="2"/>
  <c r="X65" i="2"/>
  <c r="R65" i="2"/>
  <c r="L65" i="2"/>
  <c r="AA64" i="2"/>
  <c r="X64" i="2"/>
  <c r="R64" i="2"/>
  <c r="L64" i="2"/>
  <c r="X63" i="2"/>
  <c r="R63" i="2"/>
  <c r="L63" i="2"/>
  <c r="AA62" i="2"/>
  <c r="X62" i="2"/>
  <c r="R62" i="2"/>
  <c r="L62" i="2"/>
  <c r="Y61" i="2"/>
  <c r="X61" i="2"/>
  <c r="S61" i="2"/>
  <c r="R61" i="2"/>
  <c r="M61" i="2"/>
  <c r="L61" i="2"/>
  <c r="Y60" i="2"/>
  <c r="X60" i="2"/>
  <c r="S60" i="2"/>
  <c r="R60" i="2"/>
  <c r="M60" i="2"/>
  <c r="L60" i="2"/>
  <c r="Y59" i="2"/>
  <c r="X59" i="2"/>
  <c r="S59" i="2"/>
  <c r="R59" i="2"/>
  <c r="M59" i="2"/>
  <c r="L59" i="2"/>
  <c r="Y58" i="2"/>
  <c r="X58" i="2"/>
  <c r="S58" i="2"/>
  <c r="R58" i="2"/>
  <c r="M58" i="2"/>
  <c r="L58" i="2"/>
  <c r="X57" i="2"/>
  <c r="R57" i="2"/>
  <c r="L57" i="2"/>
  <c r="AA56" i="2"/>
  <c r="X56" i="2"/>
  <c r="R56" i="2"/>
  <c r="L56" i="2"/>
  <c r="D91" i="3"/>
  <c r="C91" i="3"/>
  <c r="D90" i="3"/>
  <c r="C90" i="3"/>
  <c r="D89" i="3"/>
  <c r="C89" i="3"/>
  <c r="D88" i="3"/>
  <c r="C88" i="3"/>
  <c r="B88" i="3"/>
  <c r="N84" i="3"/>
  <c r="M84" i="3"/>
  <c r="K84" i="3"/>
  <c r="J84" i="3"/>
  <c r="H84" i="3"/>
  <c r="G84" i="3"/>
  <c r="O83" i="3"/>
  <c r="S83" i="3" s="1"/>
  <c r="N83" i="3"/>
  <c r="M83" i="3"/>
  <c r="Q78" i="3"/>
  <c r="L78" i="3"/>
  <c r="G78" i="3"/>
  <c r="Z77" i="3"/>
  <c r="X77" i="3"/>
  <c r="V77" i="3"/>
  <c r="U77" i="3"/>
  <c r="AA77" i="3" s="1"/>
  <c r="Q77" i="3"/>
  <c r="L77" i="3"/>
  <c r="G77" i="3"/>
  <c r="Q76" i="3"/>
  <c r="L76" i="3"/>
  <c r="G76" i="3"/>
  <c r="Z75" i="3"/>
  <c r="X75" i="3"/>
  <c r="V75" i="3"/>
  <c r="U75" i="3"/>
  <c r="AA75" i="3" s="1"/>
  <c r="Q75" i="3"/>
  <c r="L75" i="3"/>
  <c r="G75" i="3"/>
  <c r="Q74" i="3"/>
  <c r="L74" i="3"/>
  <c r="G74" i="3"/>
  <c r="Z73" i="3"/>
  <c r="X73" i="3"/>
  <c r="V73" i="3"/>
  <c r="U73" i="3"/>
  <c r="AA73" i="3" s="1"/>
  <c r="Q73" i="3"/>
  <c r="L73" i="3"/>
  <c r="G73" i="3"/>
  <c r="Q72" i="3"/>
  <c r="L72" i="3"/>
  <c r="G72" i="3"/>
  <c r="Z71" i="3"/>
  <c r="X71" i="3"/>
  <c r="V71" i="3"/>
  <c r="U71" i="3"/>
  <c r="AA71" i="3" s="1"/>
  <c r="Q71" i="3"/>
  <c r="L71" i="3"/>
  <c r="G71" i="3"/>
  <c r="Q70" i="3"/>
  <c r="L70" i="3"/>
  <c r="G70" i="3"/>
  <c r="Z69" i="3"/>
  <c r="X69" i="3"/>
  <c r="V69" i="3"/>
  <c r="U69" i="3"/>
  <c r="AA69" i="3" s="1"/>
  <c r="Q69" i="3"/>
  <c r="L69" i="3"/>
  <c r="G69" i="3"/>
  <c r="Q68" i="3"/>
  <c r="L68" i="3"/>
  <c r="G68" i="3"/>
  <c r="Z67" i="3"/>
  <c r="X67" i="3"/>
  <c r="V67" i="3"/>
  <c r="U67" i="3"/>
  <c r="Q67" i="3"/>
  <c r="L67" i="3"/>
  <c r="G67" i="3"/>
  <c r="D62" i="3"/>
  <c r="C62" i="3"/>
  <c r="D61" i="3"/>
  <c r="C61" i="3"/>
  <c r="D60" i="3"/>
  <c r="C60" i="3"/>
  <c r="D59" i="3"/>
  <c r="C59" i="3"/>
  <c r="B59" i="3"/>
  <c r="N55" i="3"/>
  <c r="M55" i="3"/>
  <c r="K55" i="3"/>
  <c r="J55" i="3"/>
  <c r="H55" i="3"/>
  <c r="G55" i="3"/>
  <c r="O54" i="3"/>
  <c r="S54" i="3" s="1"/>
  <c r="N54" i="3"/>
  <c r="M54" i="3"/>
  <c r="Q49" i="3"/>
  <c r="L49" i="3"/>
  <c r="G49" i="3"/>
  <c r="Z48" i="3"/>
  <c r="X48" i="3"/>
  <c r="V48" i="3"/>
  <c r="U48" i="3"/>
  <c r="AA48" i="3" s="1"/>
  <c r="Q48" i="3"/>
  <c r="L48" i="3"/>
  <c r="G48" i="3"/>
  <c r="Q47" i="3"/>
  <c r="L47" i="3"/>
  <c r="G47" i="3"/>
  <c r="Z46" i="3"/>
  <c r="X46" i="3"/>
  <c r="V46" i="3"/>
  <c r="U46" i="3"/>
  <c r="AA46" i="3" s="1"/>
  <c r="Q46" i="3"/>
  <c r="L46" i="3"/>
  <c r="G46" i="3"/>
  <c r="Q45" i="3"/>
  <c r="L45" i="3"/>
  <c r="G45" i="3"/>
  <c r="Z44" i="3"/>
  <c r="X44" i="3"/>
  <c r="V44" i="3"/>
  <c r="U44" i="3"/>
  <c r="AA44" i="3" s="1"/>
  <c r="Q44" i="3"/>
  <c r="L44" i="3"/>
  <c r="G44" i="3"/>
  <c r="Q43" i="3"/>
  <c r="L43" i="3"/>
  <c r="G43" i="3"/>
  <c r="Z42" i="3"/>
  <c r="X42" i="3"/>
  <c r="V42" i="3"/>
  <c r="U42" i="3"/>
  <c r="AA42" i="3" s="1"/>
  <c r="Q42" i="3"/>
  <c r="L42" i="3"/>
  <c r="G42" i="3"/>
  <c r="Q41" i="3"/>
  <c r="L41" i="3"/>
  <c r="G41" i="3"/>
  <c r="Z40" i="3"/>
  <c r="X40" i="3"/>
  <c r="V40" i="3"/>
  <c r="U40" i="3"/>
  <c r="AA40" i="3" s="1"/>
  <c r="Q40" i="3"/>
  <c r="L40" i="3"/>
  <c r="G40" i="3"/>
  <c r="Q39" i="3"/>
  <c r="L39" i="3"/>
  <c r="G39" i="3"/>
  <c r="Z38" i="3"/>
  <c r="X38" i="3"/>
  <c r="V38" i="3"/>
  <c r="U38" i="3"/>
  <c r="Y38" i="3" s="1"/>
  <c r="Q38" i="3"/>
  <c r="L38" i="3"/>
  <c r="G38" i="3"/>
  <c r="F51" i="2"/>
  <c r="E51" i="2"/>
  <c r="D51" i="2"/>
  <c r="F50" i="2"/>
  <c r="E50" i="2"/>
  <c r="D50" i="2"/>
  <c r="C50" i="2"/>
  <c r="B50" i="2"/>
  <c r="F49" i="2"/>
  <c r="E49" i="2"/>
  <c r="F48" i="2"/>
  <c r="E48" i="2"/>
  <c r="D48" i="2"/>
  <c r="C48" i="2"/>
  <c r="B48" i="2"/>
  <c r="X44" i="2"/>
  <c r="R44" i="2"/>
  <c r="L44" i="2"/>
  <c r="AA43" i="2"/>
  <c r="X43" i="2"/>
  <c r="R43" i="2"/>
  <c r="L43" i="2"/>
  <c r="X42" i="2"/>
  <c r="R42" i="2"/>
  <c r="L42" i="2"/>
  <c r="AA41" i="2"/>
  <c r="X41" i="2"/>
  <c r="R41" i="2"/>
  <c r="L41" i="2"/>
  <c r="X40" i="2"/>
  <c r="R40" i="2"/>
  <c r="L40" i="2"/>
  <c r="AA39" i="2"/>
  <c r="X39" i="2"/>
  <c r="R39" i="2"/>
  <c r="L39" i="2"/>
  <c r="Y38" i="2"/>
  <c r="X38" i="2"/>
  <c r="S38" i="2"/>
  <c r="R38" i="2"/>
  <c r="M38" i="2"/>
  <c r="L38" i="2"/>
  <c r="Y37" i="2"/>
  <c r="X37" i="2"/>
  <c r="S37" i="2"/>
  <c r="R37" i="2"/>
  <c r="M37" i="2"/>
  <c r="L37" i="2"/>
  <c r="Y36" i="2"/>
  <c r="X36" i="2"/>
  <c r="S36" i="2"/>
  <c r="R36" i="2"/>
  <c r="M36" i="2"/>
  <c r="L36" i="2"/>
  <c r="Y35" i="2"/>
  <c r="X35" i="2"/>
  <c r="S35" i="2"/>
  <c r="R35" i="2"/>
  <c r="M35" i="2"/>
  <c r="L35" i="2"/>
  <c r="X34" i="2"/>
  <c r="R34" i="2"/>
  <c r="L34" i="2"/>
  <c r="AA33" i="2"/>
  <c r="X33" i="2"/>
  <c r="R33" i="2"/>
  <c r="L33" i="2"/>
  <c r="D33" i="3"/>
  <c r="C33" i="3"/>
  <c r="D32" i="3"/>
  <c r="C32" i="3"/>
  <c r="D31" i="3"/>
  <c r="C31" i="3"/>
  <c r="D30" i="3"/>
  <c r="C30" i="3"/>
  <c r="B30" i="3"/>
  <c r="N26" i="3"/>
  <c r="M26" i="3"/>
  <c r="K26" i="3"/>
  <c r="J26" i="3"/>
  <c r="H26" i="3"/>
  <c r="G26" i="3"/>
  <c r="O25" i="3"/>
  <c r="S25" i="3" s="1"/>
  <c r="N25" i="3"/>
  <c r="M25" i="3"/>
  <c r="Q20" i="3"/>
  <c r="L20" i="3"/>
  <c r="G20" i="3"/>
  <c r="Z19" i="3"/>
  <c r="X19" i="3"/>
  <c r="V19" i="3"/>
  <c r="U19" i="3"/>
  <c r="AA19" i="3" s="1"/>
  <c r="Q19" i="3"/>
  <c r="L19" i="3"/>
  <c r="G19" i="3"/>
  <c r="Q18" i="3"/>
  <c r="L18" i="3"/>
  <c r="G18" i="3"/>
  <c r="Z17" i="3"/>
  <c r="X17" i="3"/>
  <c r="V17" i="3"/>
  <c r="U17" i="3"/>
  <c r="AA17" i="3" s="1"/>
  <c r="Q17" i="3"/>
  <c r="L17" i="3"/>
  <c r="G17" i="3"/>
  <c r="Q16" i="3"/>
  <c r="L16" i="3"/>
  <c r="G16" i="3"/>
  <c r="Z15" i="3"/>
  <c r="X15" i="3"/>
  <c r="V15" i="3"/>
  <c r="U15" i="3"/>
  <c r="AA15" i="3" s="1"/>
  <c r="Q15" i="3"/>
  <c r="L15" i="3"/>
  <c r="G15" i="3"/>
  <c r="Q14" i="3"/>
  <c r="L14" i="3"/>
  <c r="G14" i="3"/>
  <c r="Z13" i="3"/>
  <c r="X13" i="3"/>
  <c r="V13" i="3"/>
  <c r="U13" i="3"/>
  <c r="AA13" i="3" s="1"/>
  <c r="Q13" i="3"/>
  <c r="L13" i="3"/>
  <c r="G13" i="3"/>
  <c r="Q12" i="3"/>
  <c r="L12" i="3"/>
  <c r="G12" i="3"/>
  <c r="Z11" i="3"/>
  <c r="X11" i="3"/>
  <c r="V11" i="3"/>
  <c r="U11" i="3"/>
  <c r="AA11" i="3" s="1"/>
  <c r="Q11" i="3"/>
  <c r="L11" i="3"/>
  <c r="G11" i="3"/>
  <c r="Q10" i="3"/>
  <c r="L10" i="3"/>
  <c r="G10" i="3"/>
  <c r="Z9" i="3"/>
  <c r="X9" i="3"/>
  <c r="V9" i="3"/>
  <c r="U9" i="3"/>
  <c r="W9" i="3" s="1"/>
  <c r="Q9" i="3"/>
  <c r="L9" i="3"/>
  <c r="G9" i="3"/>
  <c r="F28" i="2"/>
  <c r="E28" i="2"/>
  <c r="D28" i="2"/>
  <c r="F27" i="2"/>
  <c r="E27" i="2"/>
  <c r="D27" i="2"/>
  <c r="C27" i="2"/>
  <c r="B27" i="2"/>
  <c r="F26" i="2"/>
  <c r="E26" i="2"/>
  <c r="F25" i="2"/>
  <c r="E25" i="2"/>
  <c r="D25" i="2"/>
  <c r="C25" i="2"/>
  <c r="B25" i="2"/>
  <c r="X21" i="2"/>
  <c r="R21" i="2"/>
  <c r="L21" i="2"/>
  <c r="AA20" i="2"/>
  <c r="X20" i="2"/>
  <c r="R20" i="2"/>
  <c r="L20" i="2"/>
  <c r="X19" i="2"/>
  <c r="R19" i="2"/>
  <c r="L19" i="2"/>
  <c r="AA18" i="2"/>
  <c r="X18" i="2"/>
  <c r="R18" i="2"/>
  <c r="L18" i="2"/>
  <c r="X17" i="2"/>
  <c r="R17" i="2"/>
  <c r="L17" i="2"/>
  <c r="AA16" i="2"/>
  <c r="X16" i="2"/>
  <c r="R16" i="2"/>
  <c r="L16" i="2"/>
  <c r="Y15" i="2"/>
  <c r="X15" i="2"/>
  <c r="S15" i="2"/>
  <c r="R15" i="2"/>
  <c r="M15" i="2"/>
  <c r="L15" i="2"/>
  <c r="Y14" i="2"/>
  <c r="X14" i="2"/>
  <c r="S14" i="2"/>
  <c r="R14" i="2"/>
  <c r="M14" i="2"/>
  <c r="L14" i="2"/>
  <c r="Y13" i="2"/>
  <c r="X13" i="2"/>
  <c r="S13" i="2"/>
  <c r="R13" i="2"/>
  <c r="M13" i="2"/>
  <c r="L13" i="2"/>
  <c r="Y12" i="2"/>
  <c r="X12" i="2"/>
  <c r="S12" i="2"/>
  <c r="R12" i="2"/>
  <c r="M12" i="2"/>
  <c r="L12" i="2"/>
  <c r="X11" i="2"/>
  <c r="R11" i="2"/>
  <c r="L11" i="2"/>
  <c r="AA10" i="2"/>
  <c r="X10" i="2"/>
  <c r="R10" i="2"/>
  <c r="L10" i="2"/>
  <c r="Y9" i="3"/>
  <c r="W15" i="3"/>
  <c r="Y15" i="3"/>
  <c r="W19" i="3"/>
  <c r="Y19" i="3"/>
  <c r="W46" i="3"/>
  <c r="Y46" i="3"/>
  <c r="Q83" i="3"/>
  <c r="W69" i="3"/>
  <c r="Y69" i="3"/>
  <c r="W183" i="3"/>
  <c r="Y183" i="3"/>
  <c r="AA183" i="3"/>
  <c r="Q199" i="3"/>
  <c r="W154" i="3"/>
  <c r="Y154" i="3"/>
  <c r="AA154" i="3"/>
  <c r="W158" i="3"/>
  <c r="Y158" i="3"/>
  <c r="Q170" i="3"/>
  <c r="W156" i="3"/>
  <c r="Y156" i="3"/>
  <c r="W133" i="3"/>
  <c r="Y133" i="3"/>
  <c r="Y127" i="3"/>
  <c r="W131" i="3"/>
  <c r="Y131" i="3"/>
  <c r="W216" i="3"/>
  <c r="Y216" i="3"/>
  <c r="Y218" i="3"/>
  <c r="W218" i="3"/>
  <c r="W214" i="3"/>
  <c r="W363" i="3"/>
  <c r="Y363" i="3"/>
  <c r="W367" i="3"/>
  <c r="Y367" i="3"/>
  <c r="W328" i="3"/>
  <c r="Y328" i="3"/>
  <c r="AA328" i="3"/>
  <c r="Y330" i="3"/>
  <c r="W394" i="3"/>
  <c r="Y394" i="3"/>
  <c r="W396" i="3"/>
  <c r="Y396" i="3"/>
  <c r="W415" i="3"/>
  <c r="Y415" i="3"/>
  <c r="AA415" i="3"/>
  <c r="W417" i="3"/>
  <c r="Y417" i="3"/>
  <c r="Y425" i="3"/>
  <c r="W446" i="3"/>
  <c r="Y446" i="3"/>
  <c r="W450" i="3"/>
  <c r="Y450" i="3"/>
  <c r="W454" i="3"/>
  <c r="W564" i="3"/>
  <c r="Y564" i="3"/>
  <c r="W562" i="3"/>
  <c r="Y562" i="3"/>
  <c r="Y535" i="3"/>
  <c r="W539" i="3"/>
  <c r="Q547" i="3"/>
  <c r="W533" i="3"/>
  <c r="Q518" i="3"/>
  <c r="W504" i="3"/>
  <c r="Y504" i="3"/>
  <c r="W508" i="3"/>
  <c r="W477" i="3"/>
  <c r="Y477" i="3"/>
  <c r="Q489" i="3"/>
  <c r="Y475" i="3"/>
  <c r="W483" i="3"/>
  <c r="AA531" i="3"/>
  <c r="W593" i="3"/>
  <c r="Y593" i="3"/>
  <c r="W599" i="3"/>
  <c r="Y599" i="3"/>
  <c r="Y13" i="3" l="1"/>
  <c r="Y595" i="3"/>
  <c r="Y392" i="3"/>
  <c r="W13" i="3"/>
  <c r="W220" i="3"/>
  <c r="Y570" i="3"/>
  <c r="W595" i="3"/>
  <c r="W392" i="3"/>
  <c r="W479" i="3"/>
  <c r="Y508" i="3"/>
  <c r="W189" i="3"/>
  <c r="AA189" i="3"/>
  <c r="Y77" i="3"/>
  <c r="P634" i="3"/>
  <c r="W77" i="3"/>
  <c r="Y245" i="3"/>
  <c r="Y106" i="3"/>
  <c r="W510" i="3"/>
  <c r="W106" i="3"/>
  <c r="Y620" i="3"/>
  <c r="Y42" i="3"/>
  <c r="W42" i="3"/>
  <c r="Y193" i="3"/>
  <c r="Y214" i="3"/>
  <c r="AA481" i="3"/>
  <c r="Y129" i="3"/>
  <c r="W421" i="3"/>
  <c r="W129" i="3"/>
  <c r="W301" i="3"/>
  <c r="W475" i="3"/>
  <c r="W336" i="3"/>
  <c r="Y278" i="3"/>
  <c r="W568" i="3"/>
  <c r="W243" i="3"/>
  <c r="W278" i="3"/>
  <c r="Y448" i="3"/>
  <c r="Y591" i="3"/>
  <c r="W448" i="3"/>
  <c r="W531" i="3"/>
  <c r="Y336" i="3"/>
  <c r="W591" i="3"/>
  <c r="Y220" i="3"/>
  <c r="W193" i="3"/>
  <c r="Y626" i="3"/>
  <c r="W626" i="3"/>
  <c r="Y510" i="3"/>
  <c r="Y104" i="3"/>
  <c r="Y419" i="3"/>
  <c r="W104" i="3"/>
  <c r="Y162" i="3"/>
  <c r="W419" i="3"/>
  <c r="Y359" i="3"/>
  <c r="W162" i="3"/>
  <c r="W11" i="3"/>
  <c r="Y305" i="3"/>
  <c r="W127" i="3"/>
  <c r="Y533" i="3"/>
  <c r="W359" i="3"/>
  <c r="Y301" i="3"/>
  <c r="AA301" i="3"/>
  <c r="W38" i="3"/>
  <c r="AA508" i="3"/>
  <c r="AA98" i="3"/>
  <c r="R489" i="3"/>
  <c r="R112" i="3"/>
  <c r="W73" i="3"/>
  <c r="Y73" i="3"/>
  <c r="AA245" i="3"/>
  <c r="AA280" i="3"/>
  <c r="AA421" i="3"/>
  <c r="Y222" i="3"/>
  <c r="Y444" i="3"/>
  <c r="W249" i="3"/>
  <c r="V137" i="3"/>
  <c r="W444" i="3"/>
  <c r="R257" i="3"/>
  <c r="S257" i="3" s="1"/>
  <c r="AA568" i="3"/>
  <c r="R25" i="3"/>
  <c r="P112" i="3"/>
  <c r="Y241" i="3"/>
  <c r="AA251" i="3"/>
  <c r="AA274" i="3"/>
  <c r="AA309" i="3"/>
  <c r="AA272" i="3"/>
  <c r="Y483" i="3"/>
  <c r="W272" i="3"/>
  <c r="Y568" i="3"/>
  <c r="W330" i="3"/>
  <c r="Y365" i="3"/>
  <c r="Q112" i="3"/>
  <c r="Y48" i="3"/>
  <c r="Y11" i="3"/>
  <c r="P489" i="3"/>
  <c r="Y541" i="3"/>
  <c r="W365" i="3"/>
  <c r="Y44" i="3"/>
  <c r="W191" i="3"/>
  <c r="W44" i="3"/>
  <c r="Z200" i="2"/>
  <c r="AB200" i="2" s="1"/>
  <c r="Z499" i="2"/>
  <c r="AB499" i="2" s="1"/>
  <c r="AA96" i="3"/>
  <c r="AA242" i="2"/>
  <c r="Y247" i="3"/>
  <c r="Y96" i="3"/>
  <c r="Y212" i="3"/>
  <c r="AA311" i="2"/>
  <c r="Y537" i="3"/>
  <c r="U572" i="3"/>
  <c r="AA212" i="3"/>
  <c r="W512" i="3"/>
  <c r="Q605" i="3"/>
  <c r="X79" i="3"/>
  <c r="AA479" i="3"/>
  <c r="AA472" i="2"/>
  <c r="W361" i="3"/>
  <c r="Y566" i="3"/>
  <c r="Y102" i="3"/>
  <c r="Y17" i="3"/>
  <c r="Z33" i="2"/>
  <c r="AB33" i="2" s="1"/>
  <c r="Z106" i="2"/>
  <c r="AB106" i="2" s="1"/>
  <c r="V108" i="3"/>
  <c r="R402" i="3"/>
  <c r="S402" i="3" s="1"/>
  <c r="Z338" i="2"/>
  <c r="AB338" i="2" s="1"/>
  <c r="W566" i="3"/>
  <c r="W102" i="3"/>
  <c r="W17" i="3"/>
  <c r="Z89" i="2"/>
  <c r="AB89" i="2" s="1"/>
  <c r="W299" i="3"/>
  <c r="U369" i="3"/>
  <c r="AA369" i="3" s="1"/>
  <c r="AA334" i="2"/>
  <c r="W48" i="3"/>
  <c r="W280" i="3"/>
  <c r="AA589" i="3"/>
  <c r="Y506" i="3"/>
  <c r="Y280" i="3"/>
  <c r="Z104" i="2"/>
  <c r="AB104" i="2" s="1"/>
  <c r="AA193" i="3"/>
  <c r="V253" i="3"/>
  <c r="Z361" i="2"/>
  <c r="AB361" i="2" s="1"/>
  <c r="U514" i="3"/>
  <c r="Z434" i="2"/>
  <c r="AB434" i="2" s="1"/>
  <c r="Y589" i="3"/>
  <c r="W506" i="3"/>
  <c r="Y303" i="3"/>
  <c r="W222" i="3"/>
  <c r="U166" i="3"/>
  <c r="AA166" i="3" s="1"/>
  <c r="Z265" i="2"/>
  <c r="AB265" i="2" s="1"/>
  <c r="Z269" i="2"/>
  <c r="AB269" i="2" s="1"/>
  <c r="AA288" i="2"/>
  <c r="W560" i="3"/>
  <c r="Z503" i="2"/>
  <c r="AB503" i="2" s="1"/>
  <c r="Y481" i="3"/>
  <c r="W541" i="3"/>
  <c r="W303" i="3"/>
  <c r="Y160" i="3"/>
  <c r="Z16" i="2"/>
  <c r="AB16" i="2" s="1"/>
  <c r="Z60" i="2"/>
  <c r="AB60" i="2" s="1"/>
  <c r="P228" i="3"/>
  <c r="Q228" i="3" s="1"/>
  <c r="AA265" i="2"/>
  <c r="AA241" i="3"/>
  <c r="Z449" i="2"/>
  <c r="AB449" i="2" s="1"/>
  <c r="W245" i="3"/>
  <c r="Y338" i="3"/>
  <c r="W160" i="3"/>
  <c r="W185" i="3"/>
  <c r="AA12" i="2"/>
  <c r="U21" i="3"/>
  <c r="W21" i="3" s="1"/>
  <c r="R228" i="3"/>
  <c r="S228" i="3" s="1"/>
  <c r="Z196" i="2"/>
  <c r="Z198" i="2"/>
  <c r="R286" i="3"/>
  <c r="U485" i="3"/>
  <c r="Y361" i="3"/>
  <c r="W338" i="3"/>
  <c r="Z158" i="2"/>
  <c r="AB158" i="2" s="1"/>
  <c r="P141" i="3"/>
  <c r="AA164" i="3"/>
  <c r="Y191" i="3"/>
  <c r="Z365" i="2"/>
  <c r="AB365" i="2" s="1"/>
  <c r="AA380" i="2"/>
  <c r="AA510" i="3"/>
  <c r="W481" i="3"/>
  <c r="Y71" i="3"/>
  <c r="Z64" i="2"/>
  <c r="AB64" i="2" s="1"/>
  <c r="Z81" i="2"/>
  <c r="AB81" i="2" s="1"/>
  <c r="R141" i="3"/>
  <c r="Y270" i="3"/>
  <c r="AA305" i="3"/>
  <c r="Z388" i="2"/>
  <c r="AB388" i="2" s="1"/>
  <c r="Z409" i="2"/>
  <c r="AB409" i="2" s="1"/>
  <c r="Z426" i="2"/>
  <c r="AB426" i="2" s="1"/>
  <c r="Z430" i="2"/>
  <c r="AB430" i="2" s="1"/>
  <c r="W570" i="3"/>
  <c r="Y454" i="3"/>
  <c r="W71" i="3"/>
  <c r="Z225" i="2"/>
  <c r="AB225" i="2" s="1"/>
  <c r="Z334" i="2"/>
  <c r="AB334" i="2" s="1"/>
  <c r="Z476" i="2"/>
  <c r="AB476" i="2" s="1"/>
  <c r="AA560" i="3"/>
  <c r="AA196" i="2"/>
  <c r="X514" i="3"/>
  <c r="W535" i="3"/>
  <c r="Y560" i="3"/>
  <c r="Y274" i="3"/>
  <c r="Y135" i="3"/>
  <c r="Y125" i="3"/>
  <c r="Y40" i="3"/>
  <c r="X21" i="3"/>
  <c r="Z56" i="2"/>
  <c r="AB56" i="2" s="1"/>
  <c r="U108" i="3"/>
  <c r="Y108" i="3" s="1"/>
  <c r="Z273" i="2"/>
  <c r="AB273" i="2" s="1"/>
  <c r="AA276" i="3"/>
  <c r="Z311" i="2"/>
  <c r="AB311" i="2" s="1"/>
  <c r="AA537" i="3"/>
  <c r="Z495" i="2"/>
  <c r="AB495" i="2" s="1"/>
  <c r="AA125" i="3"/>
  <c r="AA426" i="2"/>
  <c r="W309" i="3"/>
  <c r="W135" i="3"/>
  <c r="W40" i="3"/>
  <c r="Z21" i="3"/>
  <c r="Z135" i="2"/>
  <c r="AB135" i="2" s="1"/>
  <c r="Z154" i="2"/>
  <c r="AB154" i="2" s="1"/>
  <c r="V224" i="3"/>
  <c r="Y309" i="3"/>
  <c r="Z319" i="2"/>
  <c r="AB319" i="2" s="1"/>
  <c r="U398" i="3"/>
  <c r="W398" i="3" s="1"/>
  <c r="Z378" i="2"/>
  <c r="AB378" i="2" s="1"/>
  <c r="AA495" i="2"/>
  <c r="Z20" i="2"/>
  <c r="AB20" i="2" s="1"/>
  <c r="W390" i="3"/>
  <c r="X137" i="3"/>
  <c r="Y98" i="3"/>
  <c r="Y164" i="3"/>
  <c r="Y187" i="3"/>
  <c r="Q54" i="3"/>
  <c r="Z18" i="2"/>
  <c r="AB18" i="2" s="1"/>
  <c r="X108" i="3"/>
  <c r="R170" i="3"/>
  <c r="P199" i="3"/>
  <c r="V398" i="3"/>
  <c r="AA512" i="3"/>
  <c r="U282" i="3"/>
  <c r="Y332" i="3"/>
  <c r="W187" i="3"/>
  <c r="Z12" i="2"/>
  <c r="AB12" i="2" s="1"/>
  <c r="Z41" i="2"/>
  <c r="AB41" i="2" s="1"/>
  <c r="Z85" i="2"/>
  <c r="AB85" i="2" s="1"/>
  <c r="Z150" i="2"/>
  <c r="Z108" i="3"/>
  <c r="Y185" i="3"/>
  <c r="Z204" i="2"/>
  <c r="AB204" i="2" s="1"/>
  <c r="AA244" i="2"/>
  <c r="Z246" i="2"/>
  <c r="AB246" i="2" s="1"/>
  <c r="Z315" i="2"/>
  <c r="AB315" i="2" s="1"/>
  <c r="Z386" i="2"/>
  <c r="AB386" i="2" s="1"/>
  <c r="Z403" i="2"/>
  <c r="AB403" i="2" s="1"/>
  <c r="Z407" i="2"/>
  <c r="AB407" i="2" s="1"/>
  <c r="Z424" i="2"/>
  <c r="AB424" i="2" s="1"/>
  <c r="U543" i="3"/>
  <c r="Z292" i="2"/>
  <c r="AB292" i="2" s="1"/>
  <c r="U224" i="3"/>
  <c r="V21" i="3"/>
  <c r="Y75" i="3"/>
  <c r="AA81" i="2"/>
  <c r="V195" i="3"/>
  <c r="Z217" i="2"/>
  <c r="AB217" i="2" s="1"/>
  <c r="Z242" i="2"/>
  <c r="AB242" i="2" s="1"/>
  <c r="Z250" i="2"/>
  <c r="AB250" i="2" s="1"/>
  <c r="V282" i="3"/>
  <c r="Z342" i="2"/>
  <c r="AB342" i="2" s="1"/>
  <c r="Z357" i="2"/>
  <c r="AB357" i="2" s="1"/>
  <c r="Z359" i="2"/>
  <c r="AA403" i="2"/>
  <c r="Z177" i="2"/>
  <c r="AB177" i="2" s="1"/>
  <c r="W537" i="3"/>
  <c r="W274" i="3"/>
  <c r="W75" i="3"/>
  <c r="P83" i="3"/>
  <c r="P170" i="3"/>
  <c r="AA247" i="3"/>
  <c r="R344" i="3"/>
  <c r="S344" i="3" s="1"/>
  <c r="AA357" i="2"/>
  <c r="AA359" i="2"/>
  <c r="Z411" i="2"/>
  <c r="AB411" i="2" s="1"/>
  <c r="X543" i="3"/>
  <c r="AA541" i="3"/>
  <c r="X630" i="3"/>
  <c r="Y512" i="3"/>
  <c r="Q576" i="3"/>
  <c r="Y388" i="3"/>
  <c r="AA299" i="3"/>
  <c r="AA357" i="3"/>
  <c r="Q141" i="3"/>
  <c r="U79" i="3"/>
  <c r="W79" i="3" s="1"/>
  <c r="Z79" i="3"/>
  <c r="Z127" i="2"/>
  <c r="AB127" i="2" s="1"/>
  <c r="Z129" i="2"/>
  <c r="AB129" i="2" s="1"/>
  <c r="Z131" i="2"/>
  <c r="AB131" i="2" s="1"/>
  <c r="Z148" i="2"/>
  <c r="AB148" i="2" s="1"/>
  <c r="AA218" i="3"/>
  <c r="AA243" i="3"/>
  <c r="Z282" i="3"/>
  <c r="P315" i="3"/>
  <c r="Q315" i="3" s="1"/>
  <c r="P344" i="3"/>
  <c r="Q344" i="3" s="1"/>
  <c r="P431" i="3"/>
  <c r="Q431" i="3" s="1"/>
  <c r="P518" i="3"/>
  <c r="Z543" i="3"/>
  <c r="Z355" i="2"/>
  <c r="AB355" i="2" s="1"/>
  <c r="Y423" i="3"/>
  <c r="W388" i="3"/>
  <c r="Y251" i="3"/>
  <c r="Y276" i="3"/>
  <c r="Y299" i="3"/>
  <c r="Y357" i="3"/>
  <c r="Y100" i="3"/>
  <c r="AA38" i="3"/>
  <c r="AA127" i="2"/>
  <c r="AA129" i="2"/>
  <c r="V166" i="3"/>
  <c r="R199" i="3"/>
  <c r="AA220" i="3"/>
  <c r="AA219" i="2"/>
  <c r="Z288" i="2"/>
  <c r="AB288" i="2" s="1"/>
  <c r="Z296" i="2"/>
  <c r="AB296" i="2" s="1"/>
  <c r="R315" i="3"/>
  <c r="S315" i="3" s="1"/>
  <c r="R431" i="3"/>
  <c r="S431" i="3" s="1"/>
  <c r="P460" i="3"/>
  <c r="Z453" i="2"/>
  <c r="AB453" i="2" s="1"/>
  <c r="AA539" i="3"/>
  <c r="Z472" i="2"/>
  <c r="AB472" i="2" s="1"/>
  <c r="Z480" i="2"/>
  <c r="AB480" i="2" s="1"/>
  <c r="Y624" i="3"/>
  <c r="Y390" i="3"/>
  <c r="U340" i="3"/>
  <c r="AA340" i="3" s="1"/>
  <c r="Y597" i="3"/>
  <c r="W597" i="3"/>
  <c r="Q460" i="3"/>
  <c r="W423" i="3"/>
  <c r="W251" i="3"/>
  <c r="W357" i="3"/>
  <c r="U195" i="3"/>
  <c r="W100" i="3"/>
  <c r="AA9" i="3"/>
  <c r="Z35" i="2"/>
  <c r="AB35" i="2" s="1"/>
  <c r="Z37" i="2"/>
  <c r="AB37" i="2" s="1"/>
  <c r="Z39" i="2"/>
  <c r="AB39" i="2" s="1"/>
  <c r="AA106" i="2"/>
  <c r="Y243" i="3"/>
  <c r="U456" i="3"/>
  <c r="AA456" i="3" s="1"/>
  <c r="Z380" i="2"/>
  <c r="AB380" i="2" s="1"/>
  <c r="Z384" i="2"/>
  <c r="AB384" i="2" s="1"/>
  <c r="Z401" i="2"/>
  <c r="AB401" i="2" s="1"/>
  <c r="P576" i="3"/>
  <c r="Z601" i="3"/>
  <c r="W624" i="3"/>
  <c r="AA21" i="3"/>
  <c r="AA35" i="2"/>
  <c r="AA37" i="2"/>
  <c r="V79" i="3"/>
  <c r="AA104" i="2"/>
  <c r="X166" i="3"/>
  <c r="X195" i="3"/>
  <c r="X224" i="3"/>
  <c r="AA198" i="2"/>
  <c r="Z227" i="2"/>
  <c r="AB227" i="2" s="1"/>
  <c r="X253" i="3"/>
  <c r="AA332" i="3"/>
  <c r="V485" i="3"/>
  <c r="V514" i="3"/>
  <c r="R518" i="3"/>
  <c r="Z493" i="2"/>
  <c r="AB493" i="2" s="1"/>
  <c r="Y473" i="3"/>
  <c r="Y452" i="3"/>
  <c r="Z108" i="2"/>
  <c r="AB108" i="2" s="1"/>
  <c r="Z125" i="2"/>
  <c r="AB125" i="2" s="1"/>
  <c r="Z179" i="2"/>
  <c r="AB179" i="2" s="1"/>
  <c r="Z166" i="3"/>
  <c r="Z195" i="3"/>
  <c r="Z224" i="3"/>
  <c r="Z294" i="2"/>
  <c r="AB294" i="2" s="1"/>
  <c r="Z253" i="3"/>
  <c r="Z317" i="2"/>
  <c r="AB317" i="2" s="1"/>
  <c r="X398" i="3"/>
  <c r="Z336" i="2"/>
  <c r="AB336" i="2" s="1"/>
  <c r="X485" i="3"/>
  <c r="Z478" i="2"/>
  <c r="AB478" i="2" s="1"/>
  <c r="Z43" i="2"/>
  <c r="AB43" i="2" s="1"/>
  <c r="P54" i="3"/>
  <c r="R83" i="3"/>
  <c r="Z83" i="2"/>
  <c r="AB83" i="2" s="1"/>
  <c r="AA222" i="3"/>
  <c r="Z271" i="2"/>
  <c r="AB271" i="2" s="1"/>
  <c r="AA278" i="3"/>
  <c r="P373" i="3"/>
  <c r="Q373" i="3" s="1"/>
  <c r="Z398" i="3"/>
  <c r="AA336" i="2"/>
  <c r="Z455" i="2"/>
  <c r="AB455" i="2" s="1"/>
  <c r="Z485" i="3"/>
  <c r="Z514" i="3"/>
  <c r="U601" i="3"/>
  <c r="P605" i="3"/>
  <c r="U630" i="3"/>
  <c r="Y502" i="3"/>
  <c r="W502" i="3"/>
  <c r="Q25" i="3"/>
  <c r="Z14" i="2"/>
  <c r="AB14" i="2" s="1"/>
  <c r="U50" i="3"/>
  <c r="AA50" i="3" s="1"/>
  <c r="R54" i="3"/>
  <c r="Z58" i="2"/>
  <c r="AB58" i="2" s="1"/>
  <c r="AA83" i="2"/>
  <c r="Z112" i="2"/>
  <c r="AB112" i="2" s="1"/>
  <c r="Z248" i="2"/>
  <c r="AB248" i="2" s="1"/>
  <c r="R373" i="3"/>
  <c r="S373" i="3" s="1"/>
  <c r="V601" i="3"/>
  <c r="R605" i="3"/>
  <c r="AA502" i="3"/>
  <c r="W473" i="3"/>
  <c r="W452" i="3"/>
  <c r="AA386" i="3"/>
  <c r="W282" i="3"/>
  <c r="W241" i="3"/>
  <c r="W212" i="3"/>
  <c r="AA67" i="3"/>
  <c r="AA14" i="2"/>
  <c r="V50" i="3"/>
  <c r="AA58" i="2"/>
  <c r="Z62" i="2"/>
  <c r="AB62" i="2" s="1"/>
  <c r="Z102" i="2"/>
  <c r="AB102" i="2" s="1"/>
  <c r="Z156" i="2"/>
  <c r="AB156" i="2" s="1"/>
  <c r="AA191" i="3"/>
  <c r="Z194" i="2"/>
  <c r="AB194" i="2" s="1"/>
  <c r="AA249" i="3"/>
  <c r="V369" i="3"/>
  <c r="Z332" i="2"/>
  <c r="AB332" i="2" s="1"/>
  <c r="Z432" i="2"/>
  <c r="AB432" i="2" s="1"/>
  <c r="X601" i="3"/>
  <c r="Y622" i="3"/>
  <c r="V630" i="3"/>
  <c r="Y386" i="3"/>
  <c r="AA282" i="3"/>
  <c r="Y334" i="3"/>
  <c r="Y67" i="3"/>
  <c r="X50" i="3"/>
  <c r="AA60" i="2"/>
  <c r="Z79" i="2"/>
  <c r="AB79" i="2" s="1"/>
  <c r="Z173" i="2"/>
  <c r="Z175" i="2"/>
  <c r="Z290" i="2"/>
  <c r="AB290" i="2" s="1"/>
  <c r="V340" i="3"/>
  <c r="X369" i="3"/>
  <c r="Z313" i="2"/>
  <c r="AB313" i="2" s="1"/>
  <c r="Z474" i="2"/>
  <c r="AB474" i="2" s="1"/>
  <c r="W622" i="3"/>
  <c r="Z501" i="2"/>
  <c r="AB501" i="2" s="1"/>
  <c r="AA473" i="3"/>
  <c r="W425" i="3"/>
  <c r="U311" i="3"/>
  <c r="W386" i="3"/>
  <c r="W334" i="3"/>
  <c r="W67" i="3"/>
  <c r="Z10" i="2"/>
  <c r="AB10" i="2" s="1"/>
  <c r="Z50" i="3"/>
  <c r="Z133" i="2"/>
  <c r="AB133" i="2" s="1"/>
  <c r="AA173" i="2"/>
  <c r="AA175" i="2"/>
  <c r="AB175" i="2" s="1"/>
  <c r="Z267" i="2"/>
  <c r="AB267" i="2" s="1"/>
  <c r="AA290" i="2"/>
  <c r="V311" i="3"/>
  <c r="X340" i="3"/>
  <c r="Z369" i="3"/>
  <c r="AA313" i="2"/>
  <c r="U427" i="3"/>
  <c r="V456" i="3"/>
  <c r="R460" i="3"/>
  <c r="Z451" i="2"/>
  <c r="AB451" i="2" s="1"/>
  <c r="R576" i="3"/>
  <c r="AA474" i="2"/>
  <c r="Z630" i="3"/>
  <c r="AA270" i="3"/>
  <c r="Z66" i="2"/>
  <c r="AB66" i="2" s="1"/>
  <c r="Z202" i="2"/>
  <c r="AB202" i="2" s="1"/>
  <c r="Z244" i="2"/>
  <c r="AB244" i="2" s="1"/>
  <c r="AA267" i="2"/>
  <c r="X311" i="3"/>
  <c r="Z340" i="3"/>
  <c r="Z363" i="2"/>
  <c r="AB363" i="2" s="1"/>
  <c r="X456" i="3"/>
  <c r="AA449" i="2"/>
  <c r="AA451" i="2"/>
  <c r="V572" i="3"/>
  <c r="Y531" i="3"/>
  <c r="Y307" i="3"/>
  <c r="P25" i="3"/>
  <c r="Z110" i="2"/>
  <c r="AB110" i="2" s="1"/>
  <c r="Z152" i="2"/>
  <c r="Z181" i="2"/>
  <c r="AB181" i="2" s="1"/>
  <c r="U137" i="3"/>
  <c r="W137" i="3" s="1"/>
  <c r="AA214" i="3"/>
  <c r="Z286" i="2"/>
  <c r="AB286" i="2" s="1"/>
  <c r="P286" i="3"/>
  <c r="Q286" i="3" s="1"/>
  <c r="Z311" i="3"/>
  <c r="Z309" i="2"/>
  <c r="AB309" i="2" s="1"/>
  <c r="V427" i="3"/>
  <c r="Z456" i="3"/>
  <c r="Z382" i="2"/>
  <c r="Z405" i="2"/>
  <c r="AB405" i="2" s="1"/>
  <c r="Z428" i="2"/>
  <c r="AB428" i="2" s="1"/>
  <c r="P547" i="3"/>
  <c r="X572" i="3"/>
  <c r="Z470" i="2"/>
  <c r="AB470" i="2" s="1"/>
  <c r="W307" i="3"/>
  <c r="AA150" i="2"/>
  <c r="AA152" i="2"/>
  <c r="Z219" i="2"/>
  <c r="Z221" i="2"/>
  <c r="AB221" i="2" s="1"/>
  <c r="Z223" i="2"/>
  <c r="AB223" i="2" s="1"/>
  <c r="Z263" i="2"/>
  <c r="AB263" i="2" s="1"/>
  <c r="Z340" i="2"/>
  <c r="AB340" i="2" s="1"/>
  <c r="X427" i="3"/>
  <c r="AA382" i="2"/>
  <c r="AA405" i="2"/>
  <c r="AA428" i="2"/>
  <c r="Z457" i="2"/>
  <c r="AB457" i="2" s="1"/>
  <c r="R547" i="3"/>
  <c r="Z572" i="3"/>
  <c r="Z497" i="2"/>
  <c r="AB497" i="2" s="1"/>
  <c r="Z137" i="3"/>
  <c r="Z87" i="2"/>
  <c r="AB87" i="2" s="1"/>
  <c r="Z171" i="2"/>
  <c r="AB171" i="2" s="1"/>
  <c r="AA221" i="2"/>
  <c r="Z240" i="2"/>
  <c r="AB240" i="2" s="1"/>
  <c r="U253" i="3"/>
  <c r="P257" i="3"/>
  <c r="Q257" i="3" s="1"/>
  <c r="X282" i="3"/>
  <c r="Y282" i="3" s="1"/>
  <c r="S286" i="3"/>
  <c r="P402" i="3"/>
  <c r="Q402" i="3" s="1"/>
  <c r="Z427" i="3"/>
  <c r="Z447" i="2"/>
  <c r="AB447" i="2" s="1"/>
  <c r="V543" i="3"/>
  <c r="AA570" i="3"/>
  <c r="AA497" i="2"/>
  <c r="Y79" i="3"/>
  <c r="AA79" i="3"/>
  <c r="AA108" i="3"/>
  <c r="W108" i="3"/>
  <c r="AA572" i="3" l="1"/>
  <c r="Y572" i="3"/>
  <c r="Y21" i="3"/>
  <c r="Y195" i="3"/>
  <c r="W572" i="3"/>
  <c r="W485" i="3"/>
  <c r="W456" i="3"/>
  <c r="W340" i="3"/>
  <c r="Y50" i="3"/>
  <c r="AA485" i="3"/>
  <c r="Y485" i="3"/>
  <c r="W50" i="3"/>
  <c r="AA514" i="3"/>
  <c r="Y340" i="3"/>
  <c r="Y514" i="3"/>
  <c r="AB382" i="2"/>
  <c r="AA543" i="3"/>
  <c r="W514" i="3"/>
  <c r="W195" i="3"/>
  <c r="AA137" i="3"/>
  <c r="AB150" i="2"/>
  <c r="Y543" i="3"/>
  <c r="W224" i="3"/>
  <c r="Y456" i="3"/>
  <c r="AB173" i="2"/>
  <c r="W369" i="3"/>
  <c r="AA224" i="3"/>
  <c r="W543" i="3"/>
  <c r="Y369" i="3"/>
  <c r="AB196" i="2"/>
  <c r="AB219" i="2"/>
  <c r="Y224" i="3"/>
  <c r="Y398" i="3"/>
  <c r="W166" i="3"/>
  <c r="AA398" i="3"/>
  <c r="Y166" i="3"/>
  <c r="AB198" i="2"/>
  <c r="AB359" i="2"/>
  <c r="AA195" i="3"/>
  <c r="Y137" i="3"/>
  <c r="Y601" i="3"/>
  <c r="AA601" i="3"/>
  <c r="W601" i="3"/>
  <c r="AA253" i="3"/>
  <c r="Y253" i="3"/>
  <c r="W253" i="3"/>
  <c r="W311" i="3"/>
  <c r="Y311" i="3"/>
  <c r="AA311" i="3"/>
  <c r="Y427" i="3"/>
  <c r="AA427" i="3"/>
  <c r="W427" i="3"/>
  <c r="AB152" i="2"/>
  <c r="Y630" i="3"/>
  <c r="W630" i="3"/>
  <c r="AA630" i="3"/>
</calcChain>
</file>

<file path=xl/comments1.xml><?xml version="1.0" encoding="utf-8"?>
<comments xmlns="http://schemas.openxmlformats.org/spreadsheetml/2006/main">
  <authors>
    <author>Nudam</author>
    <author>User</author>
  </authors>
  <commentList>
    <comment ref="R1" authorId="0">
      <text>
        <r>
          <rPr>
            <b/>
            <sz val="9"/>
            <color indexed="81"/>
            <rFont val="Tahoma"/>
            <family val="2"/>
          </rPr>
          <t>Data Entry Instructions:</t>
        </r>
        <r>
          <rPr>
            <sz val="9"/>
            <color indexed="81"/>
            <rFont val="Tahoma"/>
            <family val="2"/>
          </rPr>
          <t xml:space="preserve">
Data should only be entered within or above the highlighted range.
Use Keyboard shortcut `Ctrl-Shift-X` before entering data below the highlighted range.
Need to modify the code when more machines were added. (Current: 4)</t>
        </r>
      </text>
    </comment>
    <comment ref="Z5" authorId="1">
      <text>
        <r>
          <rPr>
            <b/>
            <sz val="9"/>
            <color indexed="81"/>
            <rFont val="Tahoma"/>
            <family val="2"/>
          </rPr>
          <t>Nathan:</t>
        </r>
        <r>
          <rPr>
            <sz val="9"/>
            <color indexed="81"/>
            <rFont val="Tahoma"/>
            <family val="2"/>
          </rPr>
          <t xml:space="preserve">
Subtracted #defects in [S1Qty], [S2Qty], and [S3Qty] already</t>
        </r>
      </text>
    </comment>
  </commentList>
</comments>
</file>

<file path=xl/comments2.xml><?xml version="1.0" encoding="utf-8"?>
<comments xmlns="http://schemas.openxmlformats.org/spreadsheetml/2006/main">
  <authors>
    <author>Nudam</author>
  </authors>
  <commentList>
    <comment ref="M1" authorId="0">
      <text>
        <r>
          <rPr>
            <b/>
            <sz val="9"/>
            <color indexed="81"/>
            <rFont val="Tahoma"/>
            <family val="2"/>
          </rPr>
          <t>Data Entry Instructions:</t>
        </r>
        <r>
          <rPr>
            <sz val="9"/>
            <color indexed="81"/>
            <rFont val="Tahoma"/>
            <family val="2"/>
          </rPr>
          <t xml:space="preserve">
Data should only be entered within or above the highlighted range.
Use Keyboard shortcut `Ctrl-Shift-C` before entering data below the highlighted range.
Need to modify the code when more machines were added. (Current: 2)</t>
        </r>
      </text>
    </comment>
  </commentList>
</comments>
</file>

<file path=xl/sharedStrings.xml><?xml version="1.0" encoding="utf-8"?>
<sst xmlns="http://schemas.openxmlformats.org/spreadsheetml/2006/main" count="4753" uniqueCount="225">
  <si>
    <t>MoldNo</t>
  </si>
  <si>
    <t>Running</t>
  </si>
  <si>
    <t>02B</t>
  </si>
  <si>
    <t>04B</t>
  </si>
  <si>
    <t>05B</t>
  </si>
  <si>
    <t>Qty</t>
  </si>
  <si>
    <t>02C</t>
  </si>
  <si>
    <t>03C</t>
  </si>
  <si>
    <t>DEO-C01</t>
  </si>
  <si>
    <t>DEO-S01</t>
  </si>
  <si>
    <t>Line NO</t>
  </si>
  <si>
    <t>Color</t>
  </si>
  <si>
    <t>Status</t>
  </si>
  <si>
    <t>Shift 1</t>
  </si>
  <si>
    <t>Shift 2</t>
  </si>
  <si>
    <t>Shift 3</t>
  </si>
  <si>
    <t>Resin</t>
  </si>
  <si>
    <t>ASS-01</t>
  </si>
  <si>
    <t>ASS-02</t>
  </si>
  <si>
    <t>ASS-03</t>
  </si>
  <si>
    <t>ASS-04</t>
  </si>
  <si>
    <t>ASS-05</t>
  </si>
  <si>
    <t>ASS-06</t>
  </si>
  <si>
    <t>Finch Assembly Line Status Report</t>
  </si>
  <si>
    <t>Finch DEO Production Line Status Report</t>
  </si>
  <si>
    <t>Index</t>
  </si>
  <si>
    <t>Notes</t>
  </si>
  <si>
    <t>Workers:</t>
  </si>
  <si>
    <t>Customer</t>
  </si>
  <si>
    <t>Quantity
(tray)</t>
  </si>
  <si>
    <t>Quantity
(carton)</t>
  </si>
  <si>
    <t>Defective</t>
  </si>
  <si>
    <t>pcs/tray</t>
  </si>
  <si>
    <t>pcs/carton</t>
  </si>
  <si>
    <t>Total Quantity (pcs)</t>
  </si>
  <si>
    <t>Line</t>
  </si>
  <si>
    <t>Final ASS</t>
  </si>
  <si>
    <t>Total 
Qty</t>
  </si>
  <si>
    <t>Note</t>
  </si>
  <si>
    <r>
      <t>Total</t>
    </r>
    <r>
      <rPr>
        <b/>
        <sz val="9"/>
        <rFont val="Arial"/>
        <family val="2"/>
      </rPr>
      <t xml:space="preserve"> Defective</t>
    </r>
  </si>
  <si>
    <t>Month:</t>
  </si>
  <si>
    <t xml:space="preserve">Down: </t>
  </si>
  <si>
    <t>Running:</t>
  </si>
  <si>
    <t>Down:</t>
  </si>
  <si>
    <t>Cavity</t>
  </si>
  <si>
    <t>Quantity
(pcs)</t>
  </si>
  <si>
    <t>Defective - Barrel (pcs)</t>
  </si>
  <si>
    <t>Defective - Cap (pcs)</t>
  </si>
  <si>
    <t>Total Defective - Barrel (pcs)</t>
  </si>
  <si>
    <t>Total Defective - Cap (pcs)</t>
  </si>
  <si>
    <t>Cycle Time (s)</t>
  </si>
  <si>
    <t>Hours (hr)</t>
  </si>
  <si>
    <t>Defective - Screw (pcs)</t>
  </si>
  <si>
    <t>Defective - Platform (pcs)</t>
  </si>
  <si>
    <t>Total Defective - Screw (pcs)</t>
  </si>
  <si>
    <t>Total Defective - Platform (pcs)</t>
  </si>
  <si>
    <t xml:space="preserve"> Defective Rate - Barrel</t>
  </si>
  <si>
    <t xml:space="preserve"> Defective Rate - Screw</t>
  </si>
  <si>
    <t xml:space="preserve"> Defective Rate - Platform</t>
  </si>
  <si>
    <t>Total</t>
  </si>
  <si>
    <t>Defective Rate - Barrel</t>
  </si>
  <si>
    <t>Defective Rate - Cap</t>
  </si>
  <si>
    <t>Defective Rate</t>
  </si>
  <si>
    <t>Shot</t>
  </si>
  <si>
    <t>Overmold</t>
  </si>
  <si>
    <t>Printing Quality</t>
  </si>
  <si>
    <t>Overlapped</t>
  </si>
  <si>
    <t>Defective Detail</t>
  </si>
  <si>
    <t>Type</t>
  </si>
  <si>
    <t>Shift</t>
  </si>
  <si>
    <t>First</t>
  </si>
  <si>
    <t>Second</t>
  </si>
  <si>
    <t>Third</t>
  </si>
  <si>
    <t>Label Seam Line Gap</t>
  </si>
  <si>
    <t>Damaged</t>
  </si>
  <si>
    <t>Discolor / Spot color</t>
  </si>
  <si>
    <t>Misaligned / Offset</t>
  </si>
  <si>
    <t>Barrel</t>
  </si>
  <si>
    <t>Cap</t>
  </si>
  <si>
    <t>Finish order `</t>
  </si>
  <si>
    <t>lume</t>
  </si>
  <si>
    <t>DEO-B02</t>
  </si>
  <si>
    <t>DEO-S02</t>
  </si>
  <si>
    <t>DEO-P02</t>
  </si>
  <si>
    <t>DEO-D02</t>
  </si>
  <si>
    <t>06B</t>
  </si>
  <si>
    <t>June, 2022</t>
  </si>
  <si>
    <t>no label</t>
  </si>
  <si>
    <t>21283-C</t>
  </si>
  <si>
    <t>Black</t>
  </si>
  <si>
    <t>21283-B</t>
  </si>
  <si>
    <t>PCR</t>
  </si>
  <si>
    <t>Clear</t>
  </si>
  <si>
    <t>21284-C</t>
  </si>
  <si>
    <t>21284-B</t>
  </si>
  <si>
    <t>unilever</t>
  </si>
  <si>
    <t>order complete</t>
  </si>
  <si>
    <t>label 静电大</t>
  </si>
  <si>
    <t>order complete     waiting next order label</t>
  </si>
  <si>
    <t xml:space="preserve">order complete    </t>
  </si>
  <si>
    <t>order complete   waiting next order label</t>
  </si>
  <si>
    <t>no label   waiting next order label</t>
  </si>
  <si>
    <t>20591-B</t>
  </si>
  <si>
    <t>Pink PMS</t>
  </si>
  <si>
    <t>Pink</t>
  </si>
  <si>
    <t>Shift-1 转色走顏色, 停电維修</t>
  </si>
  <si>
    <t>finished</t>
  </si>
  <si>
    <t>Date</t>
  </si>
  <si>
    <t>LineNo</t>
  </si>
  <si>
    <t>S1Cycle</t>
  </si>
  <si>
    <t>S1Hrs</t>
  </si>
  <si>
    <t>S1Shot</t>
  </si>
  <si>
    <t>S1Cavity</t>
  </si>
  <si>
    <t>S1Qty</t>
  </si>
  <si>
    <t>S1Dft</t>
  </si>
  <si>
    <t>S2Cycle</t>
  </si>
  <si>
    <t>S2Hrs</t>
  </si>
  <si>
    <t>S2Shot</t>
  </si>
  <si>
    <t>S2Cavity</t>
  </si>
  <si>
    <t>S2Qty</t>
  </si>
  <si>
    <t>S2Dft</t>
  </si>
  <si>
    <t>S3Cycle</t>
  </si>
  <si>
    <t>S3Hrs</t>
  </si>
  <si>
    <t>S3Shot</t>
  </si>
  <si>
    <t>S3Cavity</t>
  </si>
  <si>
    <t>S3Qty</t>
  </si>
  <si>
    <t>S3Dft</t>
  </si>
  <si>
    <t>TotalDft</t>
  </si>
  <si>
    <t>DftRte</t>
  </si>
  <si>
    <t>S1Mold</t>
  </si>
  <si>
    <t>S2Mold</t>
  </si>
  <si>
    <t>S3Mold</t>
  </si>
  <si>
    <t>S1Print</t>
  </si>
  <si>
    <t>S2Print</t>
  </si>
  <si>
    <t>S3Print</t>
  </si>
  <si>
    <t>S1Ovlp</t>
  </si>
  <si>
    <t>S2Ovlp</t>
  </si>
  <si>
    <t>S3Ovlp</t>
  </si>
  <si>
    <t>S1Seam</t>
  </si>
  <si>
    <t>S2Seam</t>
  </si>
  <si>
    <t>S3Seam</t>
  </si>
  <si>
    <t>S1Dmg</t>
  </si>
  <si>
    <t>S2Dmg</t>
  </si>
  <si>
    <t>S3Dmg</t>
  </si>
  <si>
    <t>Remarks</t>
  </si>
  <si>
    <t>S1%</t>
  </si>
  <si>
    <t>S2%</t>
  </si>
  <si>
    <t>S3%</t>
  </si>
  <si>
    <t>Daily%</t>
  </si>
  <si>
    <t>Machine Days</t>
  </si>
  <si>
    <t>Total Number of</t>
  </si>
  <si>
    <t>Defects</t>
  </si>
  <si>
    <t>HrStrtCls</t>
  </si>
  <si>
    <t>HrMaint</t>
  </si>
  <si>
    <t>HrSample</t>
  </si>
  <si>
    <t>Der (Good)</t>
  </si>
  <si>
    <t>Finch MEO Production Line Status Report</t>
  </si>
  <si>
    <t>MEO-C01</t>
  </si>
  <si>
    <t>10A</t>
  </si>
  <si>
    <t>Finch MEO Production Defects Count</t>
  </si>
  <si>
    <t>DailyTarget</t>
  </si>
  <si>
    <t>Grand Total</t>
  </si>
  <si>
    <t>Daily Output</t>
  </si>
  <si>
    <t>Pcs/Tray</t>
  </si>
  <si>
    <t>S1CycleNotZero</t>
  </si>
  <si>
    <t>S2CycleNotZero</t>
  </si>
  <si>
    <t>S3CycleNotZero</t>
  </si>
  <si>
    <t>Row Labels</t>
  </si>
  <si>
    <t>Sum of HrProd</t>
  </si>
  <si>
    <t>Sum of CycleTime</t>
  </si>
  <si>
    <t>Sum of CycleNotZero</t>
  </si>
  <si>
    <t>Sum of HrStrtCls</t>
  </si>
  <si>
    <t>Sum of HrMaint</t>
  </si>
  <si>
    <t>Sum of HrSample</t>
  </si>
  <si>
    <t>Max of Cavity</t>
  </si>
  <si>
    <t>AverageCycle</t>
  </si>
  <si>
    <t>StdOutputPerHr</t>
  </si>
  <si>
    <t>35U1R</t>
  </si>
  <si>
    <t>MEO-P02</t>
  </si>
  <si>
    <t>25A</t>
  </si>
  <si>
    <t>MEO-S02</t>
  </si>
  <si>
    <t>19A</t>
  </si>
  <si>
    <t>MEO-B02</t>
  </si>
  <si>
    <t>26A</t>
  </si>
  <si>
    <t>MEO-C02</t>
  </si>
  <si>
    <t>White</t>
  </si>
  <si>
    <t>Lume</t>
  </si>
  <si>
    <t>03B</t>
  </si>
  <si>
    <t>Base</t>
  </si>
  <si>
    <t>Yellow</t>
  </si>
  <si>
    <t>Sun Bum</t>
  </si>
  <si>
    <t>MEO-B01</t>
  </si>
  <si>
    <t>Manual</t>
  </si>
  <si>
    <t>Auto</t>
  </si>
  <si>
    <t>N/A</t>
  </si>
  <si>
    <t>Shift-1, 2, 3 自動機組裝 #25987</t>
  </si>
  <si>
    <t>Shift-2, 3 間中小露寶打 #25987</t>
  </si>
  <si>
    <t>Shift-1, 2, 3 子彈螺絲送料平台多次故障</t>
  </si>
  <si>
    <t>Shift-1 #27121 缺螺絲待貨轉打 #25987</t>
  </si>
  <si>
    <t>Shift-3 02:00 開機</t>
  </si>
  <si>
    <t>Shift-3 間中小露寶打 #26680</t>
  </si>
  <si>
    <t>Shift-1 缺螺絲待貨</t>
  </si>
  <si>
    <t>Shift-1 調修送料列位及吸樽前後; Shift-2 火警鐘停機</t>
  </si>
  <si>
    <t>B/C</t>
  </si>
  <si>
    <t>补货27124</t>
  </si>
  <si>
    <t>Shift-1 小露宝间中打#27121</t>
  </si>
  <si>
    <t>Shift-1 10:25AM停机维修1.5小时；平台送料经常出错</t>
  </si>
  <si>
    <t>Shift-3 转拉笼、分螺丝</t>
  </si>
  <si>
    <t>Shift-1, 2, 3 自動機組裝 #26680</t>
  </si>
  <si>
    <t>平台送料不到位，夹成品经常掉落</t>
  </si>
  <si>
    <t>Shift-3 3:15AM下机</t>
  </si>
  <si>
    <t>夹不住经常掉管子</t>
  </si>
  <si>
    <t>Shift-2 11:00PM缺管子，小露宝停机</t>
  </si>
  <si>
    <t>Shift-3 short of barrels</t>
  </si>
  <si>
    <t>Shift-1 开一台小露宝做半天</t>
  </si>
  <si>
    <t>MEO-B01 mold testing, short of barrels</t>
  </si>
  <si>
    <t>MEO-B01 mold testing.Shift-1 Maintain 1 hour</t>
  </si>
  <si>
    <t>Shift-1 12:00-13:00 Maintain 1 hour</t>
  </si>
  <si>
    <t>Shift-1, 2 自動機組裝 #26680</t>
  </si>
  <si>
    <t>Shift-2 子彈門閘斷開，轉盤斷電</t>
  </si>
  <si>
    <t>Shift-2 自动机子弹闸门铁片断，停机；螺絲機 19:00 開機</t>
  </si>
  <si>
    <t>Shift-2 Auto Machine stopped because of platform gate issue</t>
  </si>
  <si>
    <t>Shift-1 旋扭到位和夾成品維修；Shift-3 機器故障維修</t>
  </si>
  <si>
    <t>Shift-3 00:45 機器故障維修</t>
  </si>
  <si>
    <t>Shift-3 Machine maintanence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</si>
</sst>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0">
    <numFmt numFmtId="43" formatCode="_-* #,##0.00_-;\-* #,##0.00_-;_-* &quot;-&quot;??_-;_-@_-"/>
    <numFmt numFmtId="164" formatCode="_(* #,##0.00_);_(* \(#,##0.00\);_(* &quot;-&quot;??_);_(@_)"/>
    <numFmt numFmtId="165" formatCode="_(* #,##0.0_);_(* \(#,##0.0\);_(* &quot;-&quot;??_);_(@_)"/>
    <numFmt numFmtId="166" formatCode="_(* #,##0_);_(* \(#,##0\);_(* &quot;-&quot;??_);_(@_)"/>
    <numFmt numFmtId="167" formatCode="mmm\-dd"/>
    <numFmt numFmtId="168" formatCode="_(* #,##0.000_);_(* \(#,##0.000\);_(* &quot;-&quot;??_);_(@_)"/>
    <numFmt numFmtId="169" formatCode="0.0000"/>
    <numFmt numFmtId="170" formatCode="mmm\,\ yyyy"/>
    <numFmt numFmtId="171" formatCode="#,##0.0000"/>
    <numFmt numFmtId="172" formatCode="m/d/yyyy\ h:mm"/>
  </numFmts>
  <fonts count="32" x14ac:knownFonts="1">
    <font>
      <sz val="10"/>
      <name val="Arial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name val="Arial"/>
      <family val="2"/>
    </font>
    <font>
      <sz val="10"/>
      <name val="Arial"/>
      <family val="2"/>
    </font>
    <font>
      <sz val="14"/>
      <name val="Arial"/>
      <family val="2"/>
    </font>
    <font>
      <b/>
      <u/>
      <sz val="10"/>
      <name val="Arial"/>
      <family val="2"/>
    </font>
    <font>
      <b/>
      <sz val="10"/>
      <name val="Arial"/>
      <family val="2"/>
    </font>
    <font>
      <sz val="8"/>
      <name val="Arial"/>
      <family val="2"/>
    </font>
    <font>
      <b/>
      <sz val="9"/>
      <name val="Arial"/>
      <family val="2"/>
    </font>
    <font>
      <i/>
      <sz val="10"/>
      <name val="Arial"/>
      <family val="2"/>
    </font>
    <font>
      <b/>
      <sz val="11"/>
      <name val="Arial"/>
      <family val="2"/>
    </font>
    <font>
      <b/>
      <sz val="8"/>
      <name val="Arial"/>
      <family val="2"/>
    </font>
    <font>
      <b/>
      <i/>
      <sz val="10"/>
      <name val="Arial"/>
      <family val="2"/>
    </font>
    <font>
      <i/>
      <sz val="8"/>
      <name val="Arial"/>
      <family val="2"/>
    </font>
    <font>
      <sz val="20"/>
      <name val="Arial"/>
      <family val="2"/>
    </font>
    <font>
      <b/>
      <sz val="14"/>
      <name val="Arial"/>
      <family val="2"/>
    </font>
    <font>
      <b/>
      <u/>
      <sz val="20"/>
      <name val="Arial"/>
      <family val="2"/>
    </font>
    <font>
      <sz val="22"/>
      <name val="Arial"/>
      <family val="2"/>
    </font>
    <font>
      <b/>
      <sz val="16"/>
      <name val="Arial"/>
      <family val="2"/>
    </font>
    <font>
      <sz val="10"/>
      <name val="Calibri"/>
      <family val="2"/>
      <scheme val="minor"/>
    </font>
    <font>
      <sz val="10"/>
      <name val="Calibri"/>
      <family val="2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b/>
      <sz val="10"/>
      <color theme="1"/>
      <name val="Arial"/>
      <family val="2"/>
    </font>
    <font>
      <sz val="10"/>
      <name val="Arial"/>
      <family val="2"/>
    </font>
    <font>
      <sz val="10"/>
      <name val="Calibri"/>
      <family val="2"/>
      <scheme val="minor"/>
    </font>
    <font>
      <sz val="10"/>
      <name val="Calibri"/>
      <family val="2"/>
    </font>
    <font>
      <sz val="10"/>
      <name val="Calibri"/>
      <family val="2"/>
      <scheme val="minor"/>
    </font>
    <font>
      <sz val="10"/>
      <name val="Calibri"/>
      <family val="2"/>
      <scheme val="minor"/>
    </font>
    <font>
      <sz val="10"/>
      <name val="Calibri"/>
      <family val="2"/>
      <scheme val="minor"/>
    </font>
    <font>
      <sz val="10"/>
      <name val="Calibri"/>
      <scheme val="minor"/>
    </font>
  </fonts>
  <fills count="12">
    <fill>
      <patternFill patternType="none"/>
    </fill>
    <fill>
      <patternFill patternType="gray125"/>
    </fill>
    <fill>
      <patternFill patternType="solid">
        <fgColor indexed="9"/>
        <bgColor indexed="64"/>
      </patternFill>
    </fill>
    <fill>
      <patternFill patternType="solid">
        <fgColor indexed="41"/>
        <bgColor indexed="64"/>
      </patternFill>
    </fill>
    <fill>
      <patternFill patternType="solid">
        <fgColor indexed="27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55"/>
        <bgColor indexed="64"/>
      </patternFill>
    </fill>
    <fill>
      <patternFill patternType="solid">
        <fgColor indexed="26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4" tint="0.79998168889431442"/>
        <bgColor theme="4" tint="0.79998168889431442"/>
      </patternFill>
    </fill>
    <fill>
      <patternFill patternType="solid">
        <fgColor rgb="FFFFFF00"/>
        <bgColor indexed="64"/>
      </patternFill>
    </fill>
  </fills>
  <borders count="2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double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 diagonalUp="1"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 style="thin">
        <color indexed="64"/>
      </diagonal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/>
      <top/>
      <bottom style="double">
        <color indexed="64"/>
      </bottom>
      <diagonal/>
    </border>
    <border>
      <left/>
      <right/>
      <top/>
      <bottom style="thin">
        <color indexed="64"/>
      </bottom>
      <diagonal/>
    </border>
    <border diagonalUp="1">
      <left/>
      <right/>
      <top/>
      <bottom/>
      <diagonal style="thin">
        <color auto="1"/>
      </diagonal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16">
    <xf numFmtId="0" fontId="0" fillId="0" borderId="0"/>
    <xf numFmtId="164" fontId="3" fillId="0" borderId="0" applyFont="0" applyFill="0" applyBorder="0" applyAlignment="0" applyProtection="0"/>
    <xf numFmtId="164" fontId="4" fillId="0" borderId="0" applyFont="0" applyFill="0" applyBorder="0" applyAlignment="0" applyProtection="0"/>
    <xf numFmtId="0" fontId="4" fillId="0" borderId="0"/>
    <xf numFmtId="0" fontId="4" fillId="0" borderId="0"/>
    <xf numFmtId="9" fontId="3" fillId="0" borderId="0" applyFont="0" applyFill="0" applyBorder="0" applyAlignment="0" applyProtection="0"/>
    <xf numFmtId="0" fontId="2" fillId="0" borderId="0"/>
    <xf numFmtId="0" fontId="25" fillId="0" borderId="0"/>
    <xf numFmtId="164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3" fillId="0" borderId="0"/>
    <xf numFmtId="9" fontId="3" fillId="0" borderId="0" applyFont="0" applyFill="0" applyBorder="0" applyAlignment="0" applyProtection="0"/>
    <xf numFmtId="9" fontId="2" fillId="0" borderId="0" applyFont="0" applyFill="0" applyBorder="0" applyAlignment="0" applyProtection="0"/>
    <xf numFmtId="164" fontId="3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</cellStyleXfs>
  <cellXfs count="284">
    <xf numFmtId="0" fontId="0" fillId="0" borderId="0" xfId="0"/>
    <xf numFmtId="0" fontId="5" fillId="0" borderId="0" xfId="4" applyFont="1" applyAlignment="1">
      <alignment horizontal="left"/>
    </xf>
    <xf numFmtId="0" fontId="5" fillId="0" borderId="0" xfId="4" applyFont="1"/>
    <xf numFmtId="0" fontId="5" fillId="0" borderId="0" xfId="4" applyFont="1" applyAlignment="1">
      <alignment horizontal="center"/>
    </xf>
    <xf numFmtId="22" fontId="5" fillId="0" borderId="0" xfId="4" applyNumberFormat="1" applyFont="1" applyAlignment="1">
      <alignment horizontal="center"/>
    </xf>
    <xf numFmtId="38" fontId="6" fillId="0" borderId="0" xfId="4" applyNumberFormat="1" applyFont="1"/>
    <xf numFmtId="38" fontId="6" fillId="0" borderId="0" xfId="4" applyNumberFormat="1" applyFont="1" applyAlignment="1">
      <alignment horizontal="right"/>
    </xf>
    <xf numFmtId="38" fontId="4" fillId="0" borderId="0" xfId="4" applyNumberFormat="1" applyProtection="1">
      <protection locked="0"/>
    </xf>
    <xf numFmtId="10" fontId="6" fillId="0" borderId="0" xfId="4" applyNumberFormat="1" applyFont="1" applyAlignment="1">
      <alignment horizontal="right"/>
    </xf>
    <xf numFmtId="0" fontId="4" fillId="2" borderId="1" xfId="4" applyFill="1" applyBorder="1" applyAlignment="1">
      <alignment horizontal="center" vertical="center"/>
    </xf>
    <xf numFmtId="0" fontId="4" fillId="3" borderId="1" xfId="4" applyFill="1" applyBorder="1" applyAlignment="1">
      <alignment horizontal="center" vertical="center"/>
    </xf>
    <xf numFmtId="0" fontId="4" fillId="4" borderId="1" xfId="4" applyFill="1" applyBorder="1" applyAlignment="1">
      <alignment horizontal="center" vertical="center"/>
    </xf>
    <xf numFmtId="0" fontId="4" fillId="0" borderId="1" xfId="4" applyBorder="1" applyAlignment="1">
      <alignment horizontal="center" vertical="center"/>
    </xf>
    <xf numFmtId="166" fontId="4" fillId="0" borderId="1" xfId="1" applyNumberFormat="1" applyFont="1" applyBorder="1" applyAlignment="1">
      <alignment horizontal="right" vertical="center"/>
    </xf>
    <xf numFmtId="166" fontId="4" fillId="3" borderId="1" xfId="1" applyNumberFormat="1" applyFont="1" applyFill="1" applyBorder="1" applyAlignment="1">
      <alignment horizontal="right" vertical="center"/>
    </xf>
    <xf numFmtId="166" fontId="4" fillId="2" borderId="1" xfId="1" applyNumberFormat="1" applyFont="1" applyFill="1" applyBorder="1" applyAlignment="1">
      <alignment horizontal="right" vertical="center"/>
    </xf>
    <xf numFmtId="166" fontId="4" fillId="4" borderId="1" xfId="1" applyNumberFormat="1" applyFont="1" applyFill="1" applyBorder="1" applyAlignment="1">
      <alignment horizontal="right" vertical="center"/>
    </xf>
    <xf numFmtId="166" fontId="4" fillId="3" borderId="1" xfId="1" applyNumberFormat="1" applyFont="1" applyFill="1" applyBorder="1" applyAlignment="1">
      <alignment horizontal="center" vertical="center"/>
    </xf>
    <xf numFmtId="38" fontId="7" fillId="5" borderId="1" xfId="4" applyNumberFormat="1" applyFont="1" applyFill="1" applyBorder="1" applyAlignment="1">
      <alignment horizontal="center" vertical="center" wrapText="1"/>
    </xf>
    <xf numFmtId="38" fontId="7" fillId="0" borderId="2" xfId="4" applyNumberFormat="1" applyFont="1" applyBorder="1" applyAlignment="1">
      <alignment horizontal="right" vertical="center"/>
    </xf>
    <xf numFmtId="38" fontId="4" fillId="0" borderId="2" xfId="4" applyNumberFormat="1" applyBorder="1" applyAlignment="1">
      <alignment horizontal="left" vertical="center"/>
    </xf>
    <xf numFmtId="10" fontId="7" fillId="0" borderId="2" xfId="4" applyNumberFormat="1" applyFont="1" applyBorder="1" applyAlignment="1">
      <alignment horizontal="right" vertical="center"/>
    </xf>
    <xf numFmtId="14" fontId="7" fillId="0" borderId="0" xfId="4" applyNumberFormat="1" applyFont="1" applyAlignment="1" applyProtection="1">
      <alignment horizontal="right"/>
      <protection locked="0"/>
    </xf>
    <xf numFmtId="0" fontId="0" fillId="0" borderId="0" xfId="0" applyAlignment="1">
      <alignment horizontal="left" vertical="center"/>
    </xf>
    <xf numFmtId="3" fontId="7" fillId="5" borderId="1" xfId="4" applyNumberFormat="1" applyFont="1" applyFill="1" applyBorder="1" applyAlignment="1">
      <alignment horizontal="center" vertical="center" wrapText="1"/>
    </xf>
    <xf numFmtId="165" fontId="4" fillId="0" borderId="1" xfId="1" applyNumberFormat="1" applyFont="1" applyBorder="1" applyAlignment="1">
      <alignment horizontal="right" vertical="center"/>
    </xf>
    <xf numFmtId="165" fontId="4" fillId="3" borderId="1" xfId="1" applyNumberFormat="1" applyFont="1" applyFill="1" applyBorder="1" applyAlignment="1">
      <alignment horizontal="right" vertical="center"/>
    </xf>
    <xf numFmtId="165" fontId="4" fillId="2" borderId="1" xfId="1" applyNumberFormat="1" applyFont="1" applyFill="1" applyBorder="1" applyAlignment="1">
      <alignment horizontal="right" vertical="center"/>
    </xf>
    <xf numFmtId="165" fontId="4" fillId="4" borderId="1" xfId="1" applyNumberFormat="1" applyFont="1" applyFill="1" applyBorder="1" applyAlignment="1">
      <alignment horizontal="right" vertical="center"/>
    </xf>
    <xf numFmtId="166" fontId="4" fillId="0" borderId="1" xfId="1" applyNumberFormat="1" applyFont="1" applyBorder="1" applyAlignment="1">
      <alignment horizontal="center" vertical="center"/>
    </xf>
    <xf numFmtId="38" fontId="7" fillId="5" borderId="1" xfId="4" applyNumberFormat="1" applyFont="1" applyFill="1" applyBorder="1" applyAlignment="1">
      <alignment horizontal="center" vertical="center"/>
    </xf>
    <xf numFmtId="0" fontId="0" fillId="0" borderId="2" xfId="0" applyBorder="1" applyAlignment="1">
      <alignment vertical="center"/>
    </xf>
    <xf numFmtId="38" fontId="7" fillId="0" borderId="2" xfId="4" applyNumberFormat="1" applyFont="1" applyBorder="1" applyAlignment="1">
      <alignment vertical="center"/>
    </xf>
    <xf numFmtId="0" fontId="0" fillId="0" borderId="3" xfId="0" applyBorder="1" applyAlignment="1">
      <alignment vertical="center"/>
    </xf>
    <xf numFmtId="38" fontId="9" fillId="5" borderId="1" xfId="4" applyNumberFormat="1" applyFont="1" applyFill="1" applyBorder="1" applyAlignment="1">
      <alignment horizontal="center" vertical="center"/>
    </xf>
    <xf numFmtId="166" fontId="4" fillId="0" borderId="1" xfId="1" applyNumberFormat="1" applyFont="1" applyBorder="1" applyAlignment="1">
      <alignment vertical="center"/>
    </xf>
    <xf numFmtId="166" fontId="4" fillId="3" borderId="1" xfId="1" applyNumberFormat="1" applyFont="1" applyFill="1" applyBorder="1" applyAlignment="1">
      <alignment vertical="center"/>
    </xf>
    <xf numFmtId="166" fontId="4" fillId="2" borderId="1" xfId="1" applyNumberFormat="1" applyFont="1" applyFill="1" applyBorder="1" applyAlignment="1">
      <alignment vertical="center"/>
    </xf>
    <xf numFmtId="166" fontId="4" fillId="2" borderId="1" xfId="1" applyNumberFormat="1" applyFont="1" applyFill="1" applyBorder="1" applyAlignment="1">
      <alignment horizontal="center" vertical="center"/>
    </xf>
    <xf numFmtId="166" fontId="4" fillId="4" borderId="1" xfId="1" applyNumberFormat="1" applyFont="1" applyFill="1" applyBorder="1" applyAlignment="1">
      <alignment vertical="center"/>
    </xf>
    <xf numFmtId="166" fontId="4" fillId="4" borderId="1" xfId="1" applyNumberFormat="1" applyFont="1" applyFill="1" applyBorder="1" applyAlignment="1">
      <alignment horizontal="center" vertical="center"/>
    </xf>
    <xf numFmtId="38" fontId="10" fillId="0" borderId="2" xfId="4" applyNumberFormat="1" applyFont="1" applyBorder="1" applyAlignment="1">
      <alignment vertical="center"/>
    </xf>
    <xf numFmtId="10" fontId="10" fillId="0" borderId="2" xfId="4" applyNumberFormat="1" applyFont="1" applyBorder="1" applyAlignment="1">
      <alignment horizontal="left" vertical="center"/>
    </xf>
    <xf numFmtId="0" fontId="0" fillId="0" borderId="4" xfId="0" applyBorder="1" applyAlignment="1">
      <alignment vertical="center"/>
    </xf>
    <xf numFmtId="0" fontId="0" fillId="0" borderId="0" xfId="0" applyAlignment="1">
      <alignment vertical="center"/>
    </xf>
    <xf numFmtId="38" fontId="7" fillId="0" borderId="0" xfId="4" applyNumberFormat="1" applyFont="1" applyAlignment="1">
      <alignment horizontal="right" vertical="center"/>
    </xf>
    <xf numFmtId="0" fontId="0" fillId="0" borderId="5" xfId="0" applyBorder="1" applyAlignment="1">
      <alignment vertical="center"/>
    </xf>
    <xf numFmtId="164" fontId="4" fillId="0" borderId="1" xfId="1" applyFont="1" applyBorder="1" applyAlignment="1">
      <alignment vertical="center"/>
    </xf>
    <xf numFmtId="164" fontId="4" fillId="3" borderId="1" xfId="1" applyFont="1" applyFill="1" applyBorder="1" applyAlignment="1">
      <alignment vertical="center"/>
    </xf>
    <xf numFmtId="164" fontId="4" fillId="2" borderId="1" xfId="1" applyFont="1" applyFill="1" applyBorder="1" applyAlignment="1">
      <alignment vertical="center"/>
    </xf>
    <xf numFmtId="164" fontId="4" fillId="4" borderId="1" xfId="1" applyFont="1" applyFill="1" applyBorder="1" applyAlignment="1">
      <alignment vertical="center"/>
    </xf>
    <xf numFmtId="164" fontId="6" fillId="0" borderId="0" xfId="1" applyFont="1" applyBorder="1" applyAlignment="1"/>
    <xf numFmtId="164" fontId="7" fillId="0" borderId="2" xfId="1" applyFont="1" applyBorder="1" applyAlignment="1">
      <alignment vertical="center"/>
    </xf>
    <xf numFmtId="164" fontId="9" fillId="5" borderId="1" xfId="1" applyFont="1" applyFill="1" applyBorder="1" applyAlignment="1">
      <alignment horizontal="center" vertical="center" wrapText="1"/>
    </xf>
    <xf numFmtId="164" fontId="0" fillId="0" borderId="0" xfId="1" applyFont="1"/>
    <xf numFmtId="164" fontId="6" fillId="0" borderId="0" xfId="1" applyFont="1" applyBorder="1" applyAlignment="1">
      <alignment horizontal="right"/>
    </xf>
    <xf numFmtId="0" fontId="4" fillId="0" borderId="0" xfId="4" applyAlignment="1">
      <alignment horizontal="center" vertical="center"/>
    </xf>
    <xf numFmtId="166" fontId="4" fillId="0" borderId="0" xfId="1" applyNumberFormat="1" applyFont="1" applyFill="1" applyBorder="1" applyAlignment="1">
      <alignment horizontal="right" vertical="center"/>
    </xf>
    <xf numFmtId="165" fontId="4" fillId="0" borderId="0" xfId="1" applyNumberFormat="1" applyFont="1" applyFill="1" applyBorder="1" applyAlignment="1">
      <alignment horizontal="right" vertical="center"/>
    </xf>
    <xf numFmtId="0" fontId="4" fillId="0" borderId="5" xfId="1" applyNumberFormat="1" applyFont="1" applyFill="1" applyBorder="1" applyAlignment="1">
      <alignment horizontal="center" vertical="center"/>
    </xf>
    <xf numFmtId="166" fontId="7" fillId="6" borderId="6" xfId="1" applyNumberFormat="1" applyFont="1" applyFill="1" applyBorder="1" applyAlignment="1">
      <alignment horizontal="right" vertical="center"/>
    </xf>
    <xf numFmtId="166" fontId="7" fillId="6" borderId="6" xfId="1" applyNumberFormat="1" applyFont="1" applyFill="1" applyBorder="1" applyAlignment="1">
      <alignment horizontal="center" vertical="center"/>
    </xf>
    <xf numFmtId="10" fontId="7" fillId="6" borderId="6" xfId="5" applyNumberFormat="1" applyFont="1" applyFill="1" applyBorder="1" applyAlignment="1">
      <alignment horizontal="center" vertical="center"/>
    </xf>
    <xf numFmtId="165" fontId="4" fillId="0" borderId="1" xfId="1" applyNumberFormat="1" applyFont="1" applyBorder="1" applyAlignment="1">
      <alignment vertical="center"/>
    </xf>
    <xf numFmtId="165" fontId="6" fillId="0" borderId="0" xfId="1" applyNumberFormat="1" applyFont="1" applyBorder="1" applyAlignment="1"/>
    <xf numFmtId="165" fontId="7" fillId="0" borderId="2" xfId="1" applyNumberFormat="1" applyFont="1" applyBorder="1" applyAlignment="1">
      <alignment vertical="center"/>
    </xf>
    <xf numFmtId="165" fontId="7" fillId="5" borderId="1" xfId="1" applyNumberFormat="1" applyFont="1" applyFill="1" applyBorder="1" applyAlignment="1">
      <alignment horizontal="center" vertical="center" wrapText="1"/>
    </xf>
    <xf numFmtId="165" fontId="4" fillId="3" borderId="1" xfId="1" applyNumberFormat="1" applyFont="1" applyFill="1" applyBorder="1" applyAlignment="1">
      <alignment vertical="center"/>
    </xf>
    <xf numFmtId="165" fontId="4" fillId="2" borderId="1" xfId="1" applyNumberFormat="1" applyFont="1" applyFill="1" applyBorder="1" applyAlignment="1">
      <alignment vertical="center"/>
    </xf>
    <xf numFmtId="165" fontId="4" fillId="4" borderId="1" xfId="1" applyNumberFormat="1" applyFont="1" applyFill="1" applyBorder="1" applyAlignment="1">
      <alignment vertical="center"/>
    </xf>
    <xf numFmtId="165" fontId="0" fillId="0" borderId="0" xfId="1" applyNumberFormat="1" applyFont="1"/>
    <xf numFmtId="165" fontId="6" fillId="0" borderId="0" xfId="1" applyNumberFormat="1" applyFont="1" applyBorder="1" applyAlignment="1">
      <alignment horizontal="right"/>
    </xf>
    <xf numFmtId="166" fontId="6" fillId="0" borderId="0" xfId="1" applyNumberFormat="1" applyFont="1" applyBorder="1" applyAlignment="1"/>
    <xf numFmtId="166" fontId="7" fillId="0" borderId="2" xfId="1" applyNumberFormat="1" applyFont="1" applyBorder="1" applyAlignment="1">
      <alignment vertical="center"/>
    </xf>
    <xf numFmtId="166" fontId="7" fillId="5" borderId="1" xfId="1" applyNumberFormat="1" applyFont="1" applyFill="1" applyBorder="1" applyAlignment="1">
      <alignment horizontal="center" vertical="center" wrapText="1"/>
    </xf>
    <xf numFmtId="166" fontId="0" fillId="0" borderId="0" xfId="1" applyNumberFormat="1" applyFont="1"/>
    <xf numFmtId="164" fontId="4" fillId="0" borderId="0" xfId="1" applyFont="1" applyFill="1" applyBorder="1" applyAlignment="1">
      <alignment vertical="center"/>
    </xf>
    <xf numFmtId="165" fontId="4" fillId="0" borderId="0" xfId="1" applyNumberFormat="1" applyFont="1" applyFill="1" applyBorder="1" applyAlignment="1">
      <alignment vertical="center"/>
    </xf>
    <xf numFmtId="166" fontId="4" fillId="0" borderId="0" xfId="1" applyNumberFormat="1" applyFont="1" applyFill="1" applyBorder="1" applyAlignment="1">
      <alignment vertical="center"/>
    </xf>
    <xf numFmtId="166" fontId="4" fillId="0" borderId="0" xfId="1" applyNumberFormat="1" applyFont="1" applyFill="1" applyBorder="1" applyAlignment="1">
      <alignment horizontal="center" vertical="center"/>
    </xf>
    <xf numFmtId="10" fontId="4" fillId="0" borderId="0" xfId="5" applyNumberFormat="1" applyFont="1" applyFill="1" applyBorder="1" applyAlignment="1">
      <alignment horizontal="center" vertical="center"/>
    </xf>
    <xf numFmtId="38" fontId="12" fillId="5" borderId="1" xfId="4" applyNumberFormat="1" applyFont="1" applyFill="1" applyBorder="1" applyAlignment="1">
      <alignment horizontal="center" vertical="center"/>
    </xf>
    <xf numFmtId="0" fontId="10" fillId="5" borderId="1" xfId="4" applyFont="1" applyFill="1" applyBorder="1" applyAlignment="1">
      <alignment horizontal="center" vertical="center"/>
    </xf>
    <xf numFmtId="164" fontId="14" fillId="5" borderId="1" xfId="1" applyFont="1" applyFill="1" applyBorder="1" applyAlignment="1">
      <alignment horizontal="center" vertical="center"/>
    </xf>
    <xf numFmtId="166" fontId="14" fillId="5" borderId="1" xfId="1" applyNumberFormat="1" applyFont="1" applyFill="1" applyBorder="1" applyAlignment="1">
      <alignment horizontal="center" vertical="center"/>
    </xf>
    <xf numFmtId="166" fontId="10" fillId="5" borderId="1" xfId="1" applyNumberFormat="1" applyFont="1" applyFill="1" applyBorder="1" applyAlignment="1">
      <alignment horizontal="center" vertical="center"/>
    </xf>
    <xf numFmtId="166" fontId="10" fillId="5" borderId="7" xfId="1" applyNumberFormat="1" applyFont="1" applyFill="1" applyBorder="1" applyAlignment="1">
      <alignment horizontal="center" vertical="center"/>
    </xf>
    <xf numFmtId="166" fontId="10" fillId="5" borderId="1" xfId="1" applyNumberFormat="1" applyFont="1" applyFill="1" applyBorder="1" applyAlignment="1">
      <alignment vertical="center"/>
    </xf>
    <xf numFmtId="166" fontId="10" fillId="5" borderId="1" xfId="5" applyNumberFormat="1" applyFont="1" applyFill="1" applyBorder="1" applyAlignment="1">
      <alignment horizontal="center" vertical="center"/>
    </xf>
    <xf numFmtId="166" fontId="4" fillId="0" borderId="0" xfId="1" applyNumberFormat="1" applyFont="1" applyBorder="1" applyAlignment="1">
      <alignment horizontal="right" vertical="center"/>
    </xf>
    <xf numFmtId="166" fontId="4" fillId="0" borderId="0" xfId="1" applyNumberFormat="1" applyFont="1" applyBorder="1" applyAlignment="1">
      <alignment horizontal="center" vertical="center"/>
    </xf>
    <xf numFmtId="10" fontId="4" fillId="0" borderId="0" xfId="5" applyNumberFormat="1" applyFont="1" applyBorder="1" applyAlignment="1">
      <alignment horizontal="center" vertical="center"/>
    </xf>
    <xf numFmtId="0" fontId="4" fillId="0" borderId="0" xfId="1" applyNumberFormat="1" applyFont="1" applyBorder="1" applyAlignment="1">
      <alignment horizontal="center" vertical="center"/>
    </xf>
    <xf numFmtId="38" fontId="10" fillId="0" borderId="0" xfId="4" applyNumberFormat="1" applyFont="1" applyAlignment="1">
      <alignment vertical="center"/>
    </xf>
    <xf numFmtId="10" fontId="10" fillId="0" borderId="0" xfId="4" applyNumberFormat="1" applyFont="1" applyAlignment="1">
      <alignment horizontal="left" vertical="center"/>
    </xf>
    <xf numFmtId="0" fontId="4" fillId="0" borderId="5" xfId="1" applyNumberFormat="1" applyFont="1" applyBorder="1" applyAlignment="1">
      <alignment horizontal="center" vertical="center"/>
    </xf>
    <xf numFmtId="0" fontId="10" fillId="5" borderId="8" xfId="4" applyFont="1" applyFill="1" applyBorder="1" applyAlignment="1">
      <alignment horizontal="center" vertical="center"/>
    </xf>
    <xf numFmtId="0" fontId="10" fillId="5" borderId="9" xfId="4" applyFont="1" applyFill="1" applyBorder="1" applyAlignment="1">
      <alignment horizontal="center" vertical="center"/>
    </xf>
    <xf numFmtId="164" fontId="8" fillId="2" borderId="1" xfId="1" applyFont="1" applyFill="1" applyBorder="1" applyAlignment="1">
      <alignment horizontal="center" vertical="center"/>
    </xf>
    <xf numFmtId="166" fontId="8" fillId="2" borderId="1" xfId="1" applyNumberFormat="1" applyFont="1" applyFill="1" applyBorder="1" applyAlignment="1">
      <alignment horizontal="center" vertical="center"/>
    </xf>
    <xf numFmtId="0" fontId="15" fillId="0" borderId="0" xfId="4" applyFont="1" applyAlignment="1">
      <alignment horizontal="left"/>
    </xf>
    <xf numFmtId="0" fontId="15" fillId="0" borderId="0" xfId="4" applyFont="1"/>
    <xf numFmtId="0" fontId="15" fillId="0" borderId="0" xfId="4" applyFont="1" applyAlignment="1">
      <alignment horizontal="center"/>
    </xf>
    <xf numFmtId="0" fontId="15" fillId="0" borderId="0" xfId="0" applyFont="1"/>
    <xf numFmtId="14" fontId="16" fillId="0" borderId="0" xfId="4" applyNumberFormat="1" applyFont="1" applyAlignment="1" applyProtection="1">
      <alignment horizontal="right"/>
      <protection locked="0"/>
    </xf>
    <xf numFmtId="22" fontId="15" fillId="0" borderId="0" xfId="4" applyNumberFormat="1" applyFont="1" applyAlignment="1">
      <alignment horizontal="center"/>
    </xf>
    <xf numFmtId="38" fontId="17" fillId="0" borderId="0" xfId="4" applyNumberFormat="1" applyFont="1"/>
    <xf numFmtId="0" fontId="18" fillId="0" borderId="0" xfId="4" applyFont="1" applyAlignment="1">
      <alignment horizontal="left"/>
    </xf>
    <xf numFmtId="0" fontId="18" fillId="0" borderId="0" xfId="0" applyFont="1"/>
    <xf numFmtId="0" fontId="18" fillId="0" borderId="0" xfId="4" applyFont="1"/>
    <xf numFmtId="0" fontId="18" fillId="0" borderId="0" xfId="4" applyFont="1" applyAlignment="1">
      <alignment horizontal="center"/>
    </xf>
    <xf numFmtId="14" fontId="19" fillId="0" borderId="0" xfId="4" applyNumberFormat="1" applyFont="1" applyAlignment="1" applyProtection="1">
      <alignment horizontal="right"/>
      <protection locked="0"/>
    </xf>
    <xf numFmtId="166" fontId="4" fillId="2" borderId="1" xfId="5" applyNumberFormat="1" applyFont="1" applyFill="1" applyBorder="1" applyAlignment="1">
      <alignment horizontal="center" vertical="center"/>
    </xf>
    <xf numFmtId="0" fontId="4" fillId="0" borderId="0" xfId="0" applyFont="1"/>
    <xf numFmtId="164" fontId="4" fillId="0" borderId="0" xfId="1" applyFont="1"/>
    <xf numFmtId="165" fontId="4" fillId="0" borderId="0" xfId="1" applyNumberFormat="1" applyFont="1"/>
    <xf numFmtId="166" fontId="4" fillId="0" borderId="0" xfId="1" applyNumberFormat="1" applyFont="1"/>
    <xf numFmtId="167" fontId="0" fillId="0" borderId="0" xfId="0" applyNumberFormat="1"/>
    <xf numFmtId="0" fontId="4" fillId="0" borderId="0" xfId="0" applyFont="1" applyAlignment="1">
      <alignment horizontal="center"/>
    </xf>
    <xf numFmtId="0" fontId="0" fillId="0" borderId="0" xfId="0" applyAlignment="1">
      <alignment horizontal="center"/>
    </xf>
    <xf numFmtId="166" fontId="0" fillId="0" borderId="0" xfId="1" applyNumberFormat="1" applyFont="1" applyAlignment="1">
      <alignment horizontal="center"/>
    </xf>
    <xf numFmtId="10" fontId="0" fillId="0" borderId="0" xfId="5" applyNumberFormat="1" applyFont="1" applyAlignment="1">
      <alignment horizontal="center"/>
    </xf>
    <xf numFmtId="38" fontId="20" fillId="0" borderId="0" xfId="4" applyNumberFormat="1" applyFont="1"/>
    <xf numFmtId="0" fontId="20" fillId="0" borderId="0" xfId="0" applyFont="1" applyAlignment="1">
      <alignment horizontal="center"/>
    </xf>
    <xf numFmtId="166" fontId="21" fillId="0" borderId="0" xfId="1" applyNumberFormat="1" applyFont="1" applyAlignment="1">
      <alignment horizontal="center"/>
    </xf>
    <xf numFmtId="0" fontId="20" fillId="0" borderId="0" xfId="0" applyFont="1" applyAlignment="1">
      <alignment horizontal="left"/>
    </xf>
    <xf numFmtId="0" fontId="20" fillId="0" borderId="0" xfId="0" applyFont="1"/>
    <xf numFmtId="0" fontId="20" fillId="0" borderId="0" xfId="4" applyFont="1"/>
    <xf numFmtId="22" fontId="20" fillId="0" borderId="0" xfId="4" applyNumberFormat="1" applyFont="1"/>
    <xf numFmtId="10" fontId="20" fillId="0" borderId="0" xfId="4" applyNumberFormat="1" applyFont="1"/>
    <xf numFmtId="167" fontId="20" fillId="0" borderId="0" xfId="0" applyNumberFormat="1" applyFont="1" applyAlignment="1">
      <alignment horizontal="center"/>
    </xf>
    <xf numFmtId="166" fontId="3" fillId="0" borderId="0" xfId="1" applyNumberFormat="1" applyFont="1" applyAlignment="1">
      <alignment horizontal="center"/>
    </xf>
    <xf numFmtId="0" fontId="3" fillId="0" borderId="0" xfId="0" applyFont="1" applyAlignment="1">
      <alignment horizontal="center"/>
    </xf>
    <xf numFmtId="168" fontId="0" fillId="0" borderId="0" xfId="1" applyNumberFormat="1" applyFont="1" applyAlignment="1">
      <alignment horizontal="center"/>
    </xf>
    <xf numFmtId="169" fontId="0" fillId="0" borderId="0" xfId="0" applyNumberFormat="1"/>
    <xf numFmtId="166" fontId="0" fillId="0" borderId="16" xfId="1" applyNumberFormat="1" applyFont="1" applyBorder="1" applyAlignment="1">
      <alignment horizontal="center"/>
    </xf>
    <xf numFmtId="10" fontId="0" fillId="0" borderId="16" xfId="5" applyNumberFormat="1" applyFont="1" applyBorder="1" applyAlignment="1">
      <alignment horizontal="center"/>
    </xf>
    <xf numFmtId="166" fontId="0" fillId="0" borderId="0" xfId="1" applyNumberFormat="1" applyFont="1" applyBorder="1" applyAlignment="1">
      <alignment horizontal="center"/>
    </xf>
    <xf numFmtId="0" fontId="0" fillId="0" borderId="19" xfId="0" applyBorder="1" applyAlignment="1">
      <alignment horizontal="center"/>
    </xf>
    <xf numFmtId="0" fontId="0" fillId="0" borderId="20" xfId="0" applyBorder="1" applyAlignment="1">
      <alignment horizontal="center"/>
    </xf>
    <xf numFmtId="3" fontId="0" fillId="0" borderId="21" xfId="0" applyNumberFormat="1" applyBorder="1" applyAlignment="1">
      <alignment horizontal="center"/>
    </xf>
    <xf numFmtId="3" fontId="0" fillId="0" borderId="22" xfId="0" applyNumberFormat="1" applyBorder="1" applyAlignment="1">
      <alignment horizontal="center"/>
    </xf>
    <xf numFmtId="49" fontId="20" fillId="0" borderId="0" xfId="4" applyNumberFormat="1" applyFont="1" applyAlignment="1">
      <alignment horizontal="center"/>
    </xf>
    <xf numFmtId="0" fontId="0" fillId="0" borderId="0" xfId="0" pivotButton="1"/>
    <xf numFmtId="167" fontId="0" fillId="0" borderId="0" xfId="0" applyNumberFormat="1" applyAlignment="1">
      <alignment horizontal="left"/>
    </xf>
    <xf numFmtId="3" fontId="0" fillId="0" borderId="0" xfId="0" applyNumberFormat="1"/>
    <xf numFmtId="0" fontId="3" fillId="0" borderId="0" xfId="0" applyFont="1"/>
    <xf numFmtId="1" fontId="0" fillId="0" borderId="0" xfId="1" applyNumberFormat="1" applyFont="1" applyAlignment="1">
      <alignment horizontal="center"/>
    </xf>
    <xf numFmtId="0" fontId="0" fillId="0" borderId="0" xfId="0" applyAlignment="1">
      <alignment horizontal="left"/>
    </xf>
    <xf numFmtId="1" fontId="0" fillId="0" borderId="0" xfId="0" applyNumberFormat="1"/>
    <xf numFmtId="4" fontId="0" fillId="0" borderId="0" xfId="0" applyNumberFormat="1"/>
    <xf numFmtId="0" fontId="7" fillId="0" borderId="0" xfId="0" applyFont="1"/>
    <xf numFmtId="171" fontId="0" fillId="0" borderId="0" xfId="0" applyNumberFormat="1"/>
    <xf numFmtId="171" fontId="7" fillId="11" borderId="0" xfId="0" applyNumberFormat="1" applyFont="1" applyFill="1"/>
    <xf numFmtId="16" fontId="0" fillId="0" borderId="1" xfId="0" applyNumberFormat="1" applyBorder="1"/>
    <xf numFmtId="3" fontId="0" fillId="0" borderId="1" xfId="0" applyNumberFormat="1" applyBorder="1"/>
    <xf numFmtId="165" fontId="0" fillId="0" borderId="0" xfId="1" applyNumberFormat="1" applyFont="1" applyAlignment="1">
      <alignment horizontal="center"/>
    </xf>
    <xf numFmtId="164" fontId="0" fillId="0" borderId="0" xfId="1" applyFont="1" applyAlignment="1">
      <alignment horizontal="center"/>
    </xf>
    <xf numFmtId="0" fontId="0" fillId="0" borderId="1" xfId="0" applyBorder="1" applyAlignment="1">
      <alignment horizontal="center"/>
    </xf>
    <xf numFmtId="3" fontId="0" fillId="0" borderId="1" xfId="0" applyNumberFormat="1" applyBorder="1" applyAlignment="1">
      <alignment horizontal="right"/>
    </xf>
    <xf numFmtId="14" fontId="0" fillId="0" borderId="1" xfId="0" applyNumberFormat="1" applyBorder="1"/>
    <xf numFmtId="0" fontId="3" fillId="0" borderId="1" xfId="0" applyFont="1" applyBorder="1"/>
    <xf numFmtId="167" fontId="26" fillId="0" borderId="0" xfId="0" applyNumberFormat="1" applyFont="1" applyAlignment="1">
      <alignment horizontal="center"/>
    </xf>
    <xf numFmtId="0" fontId="26" fillId="0" borderId="0" xfId="4" applyFont="1" applyAlignment="1">
      <alignment horizontal="center"/>
    </xf>
    <xf numFmtId="0" fontId="26" fillId="0" borderId="0" xfId="0" applyFont="1" applyAlignment="1">
      <alignment horizontal="center"/>
    </xf>
    <xf numFmtId="172" fontId="26" fillId="0" borderId="0" xfId="4" applyNumberFormat="1" applyFont="1" applyAlignment="1">
      <alignment horizontal="center"/>
    </xf>
    <xf numFmtId="166" fontId="26" fillId="0" borderId="0" xfId="1" applyNumberFormat="1" applyFont="1" applyBorder="1" applyAlignment="1">
      <alignment horizontal="center"/>
    </xf>
    <xf numFmtId="166" fontId="26" fillId="0" borderId="0" xfId="1" applyNumberFormat="1" applyFont="1" applyAlignment="1">
      <alignment horizontal="center"/>
    </xf>
    <xf numFmtId="166" fontId="27" fillId="0" borderId="0" xfId="1" applyNumberFormat="1" applyFont="1" applyAlignment="1">
      <alignment horizontal="center"/>
    </xf>
    <xf numFmtId="3" fontId="27" fillId="0" borderId="0" xfId="0" applyNumberFormat="1" applyFont="1" applyAlignment="1">
      <alignment horizontal="center"/>
    </xf>
    <xf numFmtId="0" fontId="28" fillId="0" borderId="0" xfId="4" applyFont="1" applyAlignment="1">
      <alignment horizontal="center"/>
    </xf>
    <xf numFmtId="0" fontId="28" fillId="0" borderId="0" xfId="0" applyFont="1" applyAlignment="1">
      <alignment horizontal="center"/>
    </xf>
    <xf numFmtId="172" fontId="28" fillId="0" borderId="0" xfId="4" applyNumberFormat="1" applyFont="1" applyAlignment="1">
      <alignment horizontal="center"/>
    </xf>
    <xf numFmtId="166" fontId="28" fillId="0" borderId="0" xfId="1" applyNumberFormat="1" applyFont="1" applyBorder="1" applyAlignment="1">
      <alignment horizontal="center"/>
    </xf>
    <xf numFmtId="0" fontId="29" fillId="0" borderId="0" xfId="4" applyFont="1" applyAlignment="1">
      <alignment horizontal="center"/>
    </xf>
    <xf numFmtId="0" fontId="29" fillId="0" borderId="0" xfId="0" applyFont="1" applyAlignment="1">
      <alignment horizontal="center"/>
    </xf>
    <xf numFmtId="172" fontId="29" fillId="0" borderId="0" xfId="4" applyNumberFormat="1" applyFont="1" applyAlignment="1">
      <alignment horizontal="center"/>
    </xf>
    <xf numFmtId="166" fontId="29" fillId="0" borderId="0" xfId="1" applyNumberFormat="1" applyFont="1" applyBorder="1" applyAlignment="1">
      <alignment horizontal="center"/>
    </xf>
    <xf numFmtId="0" fontId="20" fillId="0" borderId="0" xfId="4" applyFont="1" applyAlignment="1">
      <alignment horizontal="center"/>
    </xf>
    <xf numFmtId="164" fontId="3" fillId="0" borderId="0" xfId="1" applyFont="1" applyAlignment="1">
      <alignment horizontal="center"/>
    </xf>
    <xf numFmtId="165" fontId="3" fillId="0" borderId="0" xfId="1" applyNumberFormat="1" applyFont="1" applyAlignment="1">
      <alignment horizontal="center"/>
    </xf>
    <xf numFmtId="172" fontId="20" fillId="0" borderId="0" xfId="4" applyNumberFormat="1" applyFont="1" applyAlignment="1">
      <alignment horizontal="center"/>
    </xf>
    <xf numFmtId="166" fontId="20" fillId="0" borderId="0" xfId="1" applyNumberFormat="1" applyFont="1" applyBorder="1" applyAlignment="1">
      <alignment horizontal="center"/>
    </xf>
    <xf numFmtId="0" fontId="30" fillId="0" borderId="0" xfId="4" applyFont="1" applyAlignment="1">
      <alignment horizontal="center"/>
    </xf>
    <xf numFmtId="0" fontId="30" fillId="0" borderId="0" xfId="0" applyFont="1" applyAlignment="1">
      <alignment horizontal="center"/>
    </xf>
    <xf numFmtId="172" fontId="30" fillId="0" borderId="0" xfId="4" applyNumberFormat="1" applyFont="1" applyAlignment="1">
      <alignment horizontal="center"/>
    </xf>
    <xf numFmtId="166" fontId="30" fillId="0" borderId="0" xfId="1" applyNumberFormat="1" applyFont="1" applyBorder="1" applyAlignment="1">
      <alignment horizontal="center"/>
    </xf>
    <xf numFmtId="0" fontId="24" fillId="10" borderId="1" xfId="0" applyFont="1" applyFill="1" applyBorder="1" applyAlignment="1">
      <alignment horizontal="center"/>
    </xf>
    <xf numFmtId="0" fontId="3" fillId="0" borderId="1" xfId="0" applyFont="1" applyBorder="1" applyAlignment="1">
      <alignment horizontal="center"/>
    </xf>
    <xf numFmtId="0" fontId="4" fillId="4" borderId="3" xfId="4" applyFill="1" applyBorder="1" applyAlignment="1">
      <alignment horizontal="center" vertical="center"/>
    </xf>
    <xf numFmtId="0" fontId="4" fillId="4" borderId="12" xfId="4" applyFill="1" applyBorder="1" applyAlignment="1">
      <alignment horizontal="center" vertical="center"/>
    </xf>
    <xf numFmtId="0" fontId="4" fillId="4" borderId="9" xfId="4" applyFill="1" applyBorder="1" applyAlignment="1">
      <alignment horizontal="center" vertical="center"/>
    </xf>
    <xf numFmtId="0" fontId="4" fillId="4" borderId="11" xfId="4" applyFill="1" applyBorder="1" applyAlignment="1">
      <alignment horizontal="center" vertical="center"/>
    </xf>
    <xf numFmtId="166" fontId="4" fillId="3" borderId="1" xfId="1" applyNumberFormat="1" applyFont="1" applyFill="1" applyBorder="1" applyAlignment="1">
      <alignment horizontal="center" vertical="center"/>
    </xf>
    <xf numFmtId="10" fontId="4" fillId="3" borderId="9" xfId="5" applyNumberFormat="1" applyFont="1" applyFill="1" applyBorder="1" applyAlignment="1">
      <alignment horizontal="center" vertical="center"/>
    </xf>
    <xf numFmtId="10" fontId="4" fillId="3" borderId="11" xfId="5" applyNumberFormat="1" applyFont="1" applyFill="1" applyBorder="1" applyAlignment="1">
      <alignment horizontal="center" vertical="center"/>
    </xf>
    <xf numFmtId="0" fontId="4" fillId="3" borderId="1" xfId="1" applyNumberFormat="1" applyFont="1" applyFill="1" applyBorder="1" applyAlignment="1">
      <alignment horizontal="center" vertical="center"/>
    </xf>
    <xf numFmtId="0" fontId="7" fillId="2" borderId="7" xfId="4" applyFont="1" applyFill="1" applyBorder="1" applyAlignment="1">
      <alignment horizontal="center" vertical="center"/>
    </xf>
    <xf numFmtId="0" fontId="7" fillId="2" borderId="1" xfId="4" applyFont="1" applyFill="1" applyBorder="1" applyAlignment="1">
      <alignment horizontal="center" vertical="center"/>
    </xf>
    <xf numFmtId="164" fontId="4" fillId="2" borderId="1" xfId="1" applyFont="1" applyFill="1" applyBorder="1" applyAlignment="1">
      <alignment horizontal="center" vertical="center"/>
    </xf>
    <xf numFmtId="0" fontId="4" fillId="2" borderId="1" xfId="1" applyNumberFormat="1" applyFont="1" applyFill="1" applyBorder="1" applyAlignment="1">
      <alignment horizontal="center" vertical="center"/>
    </xf>
    <xf numFmtId="0" fontId="4" fillId="2" borderId="7" xfId="4" applyFill="1" applyBorder="1" applyAlignment="1">
      <alignment horizontal="center" vertical="center"/>
    </xf>
    <xf numFmtId="0" fontId="4" fillId="9" borderId="1" xfId="4" applyFill="1" applyBorder="1" applyAlignment="1">
      <alignment horizontal="center" vertical="center"/>
    </xf>
    <xf numFmtId="0" fontId="4" fillId="2" borderId="10" xfId="4" applyFill="1" applyBorder="1" applyAlignment="1">
      <alignment horizontal="center" vertical="center"/>
    </xf>
    <xf numFmtId="0" fontId="4" fillId="3" borderId="9" xfId="1" applyNumberFormat="1" applyFont="1" applyFill="1" applyBorder="1" applyAlignment="1">
      <alignment horizontal="center" vertical="center"/>
    </xf>
    <xf numFmtId="0" fontId="4" fillId="3" borderId="11" xfId="1" applyNumberFormat="1" applyFont="1" applyFill="1" applyBorder="1" applyAlignment="1">
      <alignment horizontal="center" vertical="center"/>
    </xf>
    <xf numFmtId="0" fontId="4" fillId="2" borderId="3" xfId="4" applyFill="1" applyBorder="1" applyAlignment="1">
      <alignment horizontal="center" vertical="center"/>
    </xf>
    <xf numFmtId="0" fontId="4" fillId="2" borderId="12" xfId="4" applyFill="1" applyBorder="1" applyAlignment="1">
      <alignment horizontal="center" vertical="center"/>
    </xf>
    <xf numFmtId="0" fontId="4" fillId="2" borderId="9" xfId="4" applyFill="1" applyBorder="1" applyAlignment="1">
      <alignment horizontal="center" vertical="center"/>
    </xf>
    <xf numFmtId="0" fontId="4" fillId="2" borderId="11" xfId="4" applyFill="1" applyBorder="1" applyAlignment="1">
      <alignment horizontal="center" vertical="center"/>
    </xf>
    <xf numFmtId="166" fontId="4" fillId="0" borderId="9" xfId="1" applyNumberFormat="1" applyFont="1" applyBorder="1" applyAlignment="1">
      <alignment horizontal="center" vertical="center"/>
    </xf>
    <xf numFmtId="166" fontId="4" fillId="0" borderId="11" xfId="1" applyNumberFormat="1" applyFont="1" applyBorder="1" applyAlignment="1">
      <alignment horizontal="center" vertical="center"/>
    </xf>
    <xf numFmtId="10" fontId="4" fillId="0" borderId="9" xfId="5" applyNumberFormat="1" applyFont="1" applyBorder="1" applyAlignment="1">
      <alignment horizontal="center" vertical="center"/>
    </xf>
    <xf numFmtId="10" fontId="4" fillId="0" borderId="11" xfId="5" applyNumberFormat="1" applyFont="1" applyBorder="1" applyAlignment="1">
      <alignment horizontal="center" vertical="center"/>
    </xf>
    <xf numFmtId="0" fontId="4" fillId="0" borderId="9" xfId="1" applyNumberFormat="1" applyFont="1" applyBorder="1" applyAlignment="1">
      <alignment horizontal="center" vertical="center"/>
    </xf>
    <xf numFmtId="0" fontId="4" fillId="0" borderId="11" xfId="1" applyNumberFormat="1" applyFont="1" applyBorder="1" applyAlignment="1">
      <alignment horizontal="center" vertical="center"/>
    </xf>
    <xf numFmtId="0" fontId="4" fillId="3" borderId="3" xfId="4" applyFill="1" applyBorder="1" applyAlignment="1">
      <alignment horizontal="center" vertical="center"/>
    </xf>
    <xf numFmtId="0" fontId="4" fillId="3" borderId="12" xfId="4" applyFill="1" applyBorder="1" applyAlignment="1">
      <alignment horizontal="center" vertical="center"/>
    </xf>
    <xf numFmtId="0" fontId="4" fillId="3" borderId="9" xfId="4" applyFill="1" applyBorder="1" applyAlignment="1">
      <alignment horizontal="center" vertical="center"/>
    </xf>
    <xf numFmtId="0" fontId="4" fillId="3" borderId="11" xfId="4" applyFill="1" applyBorder="1" applyAlignment="1">
      <alignment horizontal="center" vertical="center"/>
    </xf>
    <xf numFmtId="166" fontId="4" fillId="3" borderId="9" xfId="1" applyNumberFormat="1" applyFont="1" applyFill="1" applyBorder="1" applyAlignment="1">
      <alignment horizontal="center" vertical="center"/>
    </xf>
    <xf numFmtId="166" fontId="4" fillId="3" borderId="11" xfId="1" applyNumberFormat="1" applyFont="1" applyFill="1" applyBorder="1" applyAlignment="1">
      <alignment horizontal="center" vertical="center"/>
    </xf>
    <xf numFmtId="38" fontId="7" fillId="5" borderId="8" xfId="4" applyNumberFormat="1" applyFont="1" applyFill="1" applyBorder="1" applyAlignment="1">
      <alignment horizontal="center" vertical="center"/>
    </xf>
    <xf numFmtId="38" fontId="7" fillId="5" borderId="4" xfId="4" applyNumberFormat="1" applyFont="1" applyFill="1" applyBorder="1" applyAlignment="1">
      <alignment horizontal="center" vertical="center"/>
    </xf>
    <xf numFmtId="38" fontId="7" fillId="5" borderId="7" xfId="4" applyNumberFormat="1" applyFont="1" applyFill="1" applyBorder="1" applyAlignment="1">
      <alignment horizontal="center" vertical="center"/>
    </xf>
    <xf numFmtId="38" fontId="7" fillId="5" borderId="9" xfId="4" applyNumberFormat="1" applyFont="1" applyFill="1" applyBorder="1" applyAlignment="1">
      <alignment horizontal="center" vertical="center" wrapText="1"/>
    </xf>
    <xf numFmtId="38" fontId="7" fillId="5" borderId="11" xfId="4" applyNumberFormat="1" applyFont="1" applyFill="1" applyBorder="1" applyAlignment="1">
      <alignment horizontal="center" vertical="center"/>
    </xf>
    <xf numFmtId="38" fontId="7" fillId="5" borderId="11" xfId="4" applyNumberFormat="1" applyFont="1" applyFill="1" applyBorder="1" applyAlignment="1">
      <alignment horizontal="center" vertical="center" wrapText="1"/>
    </xf>
    <xf numFmtId="167" fontId="11" fillId="7" borderId="1" xfId="0" applyNumberFormat="1" applyFont="1" applyFill="1" applyBorder="1" applyAlignment="1">
      <alignment horizontal="center" vertical="center"/>
    </xf>
    <xf numFmtId="0" fontId="7" fillId="5" borderId="7" xfId="4" applyFont="1" applyFill="1" applyBorder="1" applyAlignment="1">
      <alignment horizontal="center" vertical="center"/>
    </xf>
    <xf numFmtId="0" fontId="7" fillId="5" borderId="1" xfId="4" applyFont="1" applyFill="1" applyBorder="1" applyAlignment="1">
      <alignment horizontal="center" vertical="center"/>
    </xf>
    <xf numFmtId="10" fontId="7" fillId="5" borderId="1" xfId="4" applyNumberFormat="1" applyFont="1" applyFill="1" applyBorder="1" applyAlignment="1">
      <alignment horizontal="center" vertical="center"/>
    </xf>
    <xf numFmtId="0" fontId="4" fillId="0" borderId="3" xfId="4" applyBorder="1" applyAlignment="1">
      <alignment horizontal="center" vertical="center"/>
    </xf>
    <xf numFmtId="0" fontId="4" fillId="0" borderId="5" xfId="4" applyBorder="1" applyAlignment="1">
      <alignment horizontal="center" vertical="center"/>
    </xf>
    <xf numFmtId="0" fontId="4" fillId="0" borderId="9" xfId="4" applyBorder="1" applyAlignment="1">
      <alignment horizontal="center" vertical="center"/>
    </xf>
    <xf numFmtId="0" fontId="4" fillId="0" borderId="13" xfId="4" applyBorder="1" applyAlignment="1">
      <alignment horizontal="center" vertical="center"/>
    </xf>
    <xf numFmtId="0" fontId="4" fillId="0" borderId="11" xfId="4" applyBorder="1" applyAlignment="1">
      <alignment horizontal="center" vertical="center"/>
    </xf>
    <xf numFmtId="3" fontId="7" fillId="5" borderId="1" xfId="4" applyNumberFormat="1" applyFont="1" applyFill="1" applyBorder="1" applyAlignment="1">
      <alignment horizontal="center" vertical="center"/>
    </xf>
    <xf numFmtId="166" fontId="4" fillId="4" borderId="9" xfId="1" applyNumberFormat="1" applyFont="1" applyFill="1" applyBorder="1" applyAlignment="1">
      <alignment horizontal="center" vertical="center"/>
    </xf>
    <xf numFmtId="166" fontId="4" fillId="4" borderId="11" xfId="1" applyNumberFormat="1" applyFont="1" applyFill="1" applyBorder="1" applyAlignment="1">
      <alignment horizontal="center" vertical="center"/>
    </xf>
    <xf numFmtId="14" fontId="19" fillId="8" borderId="14" xfId="4" applyNumberFormat="1" applyFont="1" applyFill="1" applyBorder="1" applyAlignment="1" applyProtection="1">
      <alignment horizontal="center"/>
      <protection locked="0"/>
    </xf>
    <xf numFmtId="38" fontId="7" fillId="5" borderId="1" xfId="4" applyNumberFormat="1" applyFont="1" applyFill="1" applyBorder="1" applyAlignment="1">
      <alignment horizontal="center" vertical="center"/>
    </xf>
    <xf numFmtId="0" fontId="4" fillId="0" borderId="7" xfId="4" applyBorder="1" applyAlignment="1">
      <alignment horizontal="center" vertical="center"/>
    </xf>
    <xf numFmtId="0" fontId="4" fillId="0" borderId="1" xfId="4" applyBorder="1" applyAlignment="1">
      <alignment horizontal="center" vertical="center"/>
    </xf>
    <xf numFmtId="0" fontId="4" fillId="0" borderId="2" xfId="1" applyNumberFormat="1" applyFont="1" applyBorder="1" applyAlignment="1">
      <alignment horizontal="center" vertical="center"/>
    </xf>
    <xf numFmtId="0" fontId="4" fillId="0" borderId="3" xfId="1" applyNumberFormat="1" applyFont="1" applyBorder="1" applyAlignment="1">
      <alignment horizontal="center" vertical="center"/>
    </xf>
    <xf numFmtId="0" fontId="4" fillId="0" borderId="15" xfId="1" applyNumberFormat="1" applyFont="1" applyBorder="1" applyAlignment="1">
      <alignment horizontal="center" vertical="center"/>
    </xf>
    <xf numFmtId="0" fontId="4" fillId="0" borderId="12" xfId="1" applyNumberFormat="1" applyFont="1" applyBorder="1" applyAlignment="1">
      <alignment horizontal="center" vertical="center"/>
    </xf>
    <xf numFmtId="164" fontId="10" fillId="5" borderId="1" xfId="1" applyFont="1" applyFill="1" applyBorder="1" applyAlignment="1">
      <alignment horizontal="center" vertical="center"/>
    </xf>
    <xf numFmtId="0" fontId="0" fillId="5" borderId="1" xfId="0" applyFill="1" applyBorder="1" applyAlignment="1">
      <alignment horizontal="center" vertical="center"/>
    </xf>
    <xf numFmtId="0" fontId="4" fillId="0" borderId="12" xfId="4" applyBorder="1" applyAlignment="1">
      <alignment horizontal="center" vertical="center"/>
    </xf>
    <xf numFmtId="38" fontId="7" fillId="5" borderId="2" xfId="4" applyNumberFormat="1" applyFont="1" applyFill="1" applyBorder="1" applyAlignment="1">
      <alignment horizontal="center" vertical="center" wrapText="1"/>
    </xf>
    <xf numFmtId="38" fontId="7" fillId="5" borderId="3" xfId="4" applyNumberFormat="1" applyFont="1" applyFill="1" applyBorder="1" applyAlignment="1">
      <alignment horizontal="center" vertical="center" wrapText="1"/>
    </xf>
    <xf numFmtId="38" fontId="7" fillId="5" borderId="15" xfId="4" applyNumberFormat="1" applyFont="1" applyFill="1" applyBorder="1" applyAlignment="1">
      <alignment horizontal="center" vertical="center" wrapText="1"/>
    </xf>
    <xf numFmtId="38" fontId="7" fillId="5" borderId="12" xfId="4" applyNumberFormat="1" applyFont="1" applyFill="1" applyBorder="1" applyAlignment="1">
      <alignment horizontal="center" vertical="center" wrapText="1"/>
    </xf>
    <xf numFmtId="38" fontId="7" fillId="5" borderId="1" xfId="4" applyNumberFormat="1" applyFont="1" applyFill="1" applyBorder="1" applyAlignment="1">
      <alignment horizontal="center" vertical="center" wrapText="1"/>
    </xf>
    <xf numFmtId="0" fontId="13" fillId="5" borderId="2" xfId="4" applyFont="1" applyFill="1" applyBorder="1" applyAlignment="1">
      <alignment horizontal="center" vertical="center"/>
    </xf>
    <xf numFmtId="0" fontId="13" fillId="5" borderId="3" xfId="4" applyFont="1" applyFill="1" applyBorder="1" applyAlignment="1">
      <alignment horizontal="center" vertical="center"/>
    </xf>
    <xf numFmtId="0" fontId="13" fillId="5" borderId="15" xfId="4" applyFont="1" applyFill="1" applyBorder="1" applyAlignment="1">
      <alignment horizontal="center" vertical="center"/>
    </xf>
    <xf numFmtId="0" fontId="13" fillId="5" borderId="12" xfId="4" applyFont="1" applyFill="1" applyBorder="1" applyAlignment="1">
      <alignment horizontal="center" vertical="center"/>
    </xf>
    <xf numFmtId="0" fontId="10" fillId="5" borderId="7" xfId="4" applyFont="1" applyFill="1" applyBorder="1" applyAlignment="1">
      <alignment horizontal="center" vertical="center"/>
    </xf>
    <xf numFmtId="14" fontId="16" fillId="8" borderId="14" xfId="4" applyNumberFormat="1" applyFont="1" applyFill="1" applyBorder="1" applyAlignment="1" applyProtection="1">
      <alignment horizontal="center"/>
      <protection locked="0"/>
    </xf>
    <xf numFmtId="170" fontId="19" fillId="8" borderId="14" xfId="4" applyNumberFormat="1" applyFont="1" applyFill="1" applyBorder="1" applyAlignment="1" applyProtection="1">
      <alignment horizontal="center"/>
      <protection locked="0"/>
    </xf>
    <xf numFmtId="0" fontId="18" fillId="0" borderId="0" xfId="4" applyFont="1"/>
    <xf numFmtId="170" fontId="16" fillId="8" borderId="14" xfId="4" applyNumberFormat="1" applyFont="1" applyFill="1" applyBorder="1" applyAlignment="1" applyProtection="1">
      <alignment horizontal="center"/>
      <protection locked="0"/>
    </xf>
    <xf numFmtId="0" fontId="24" fillId="10" borderId="17" xfId="0" applyFont="1" applyFill="1" applyBorder="1" applyAlignment="1">
      <alignment horizontal="center"/>
    </xf>
    <xf numFmtId="0" fontId="24" fillId="10" borderId="18" xfId="0" applyFont="1" applyFill="1" applyBorder="1" applyAlignment="1">
      <alignment horizontal="center"/>
    </xf>
    <xf numFmtId="0" fontId="0" fillId="0" borderId="0" xfId="0" applyNumberFormat="1" applyAlignment="1">
      <alignment horizontal="center"/>
    </xf>
    <xf numFmtId="164" fontId="0" fillId="0" borderId="0" xfId="1" applyNumberFormat="1" applyFont="1" applyAlignment="1">
      <alignment horizontal="center"/>
    </xf>
    <xf numFmtId="0" fontId="31" fillId="0" borderId="0" xfId="4" applyFont="1" applyFill="1" applyAlignment="1">
      <alignment horizontal="center"/>
    </xf>
    <xf numFmtId="0" fontId="31" fillId="0" borderId="0" xfId="0" applyFont="1" applyAlignment="1">
      <alignment horizontal="center"/>
    </xf>
    <xf numFmtId="172" fontId="31" fillId="0" borderId="0" xfId="4" applyNumberFormat="1" applyFont="1" applyFill="1" applyAlignment="1">
      <alignment horizontal="center"/>
    </xf>
    <xf numFmtId="166" fontId="31" fillId="0" borderId="0" xfId="1" applyNumberFormat="1" applyFont="1" applyBorder="1" applyAlignment="1">
      <alignment horizontal="center"/>
    </xf>
    <xf numFmtId="49" fontId="31" fillId="0" borderId="0" xfId="4" applyNumberFormat="1" applyFont="1" applyFill="1" applyAlignment="1">
      <alignment horizontal="center"/>
    </xf>
    <xf numFmtId="0" fontId="3" fillId="0" borderId="9" xfId="0" applyFont="1" applyBorder="1" applyAlignment="1">
      <alignment horizontal="center" vertical="top"/>
    </xf>
    <xf numFmtId="0" fontId="3" fillId="0" borderId="11" xfId="0" applyFont="1" applyBorder="1" applyAlignment="1">
      <alignment horizontal="center" vertical="top"/>
    </xf>
    <xf numFmtId="0" fontId="3" fillId="0" borderId="8" xfId="0" applyFont="1" applyBorder="1" applyAlignment="1">
      <alignment horizontal="center"/>
    </xf>
    <xf numFmtId="0" fontId="3" fillId="0" borderId="7" xfId="0" applyFont="1" applyBorder="1" applyAlignment="1">
      <alignment horizontal="center"/>
    </xf>
    <xf numFmtId="0" fontId="24" fillId="10" borderId="8" xfId="0" applyFont="1" applyFill="1" applyBorder="1" applyAlignment="1">
      <alignment horizontal="center"/>
    </xf>
    <xf numFmtId="0" fontId="24" fillId="10" borderId="4" xfId="0" applyFont="1" applyFill="1" applyBorder="1" applyAlignment="1">
      <alignment horizontal="center"/>
    </xf>
    <xf numFmtId="0" fontId="24" fillId="10" borderId="7" xfId="0" applyFont="1" applyFill="1" applyBorder="1" applyAlignment="1">
      <alignment horizontal="center"/>
    </xf>
    <xf numFmtId="0" fontId="24" fillId="10" borderId="9" xfId="0" applyFont="1" applyFill="1" applyBorder="1" applyAlignment="1">
      <alignment horizontal="center" vertical="top"/>
    </xf>
    <xf numFmtId="0" fontId="24" fillId="10" borderId="13" xfId="0" applyFont="1" applyFill="1" applyBorder="1" applyAlignment="1">
      <alignment horizontal="center" vertical="top"/>
    </xf>
    <xf numFmtId="0" fontId="24" fillId="10" borderId="11" xfId="0" applyFont="1" applyFill="1" applyBorder="1" applyAlignment="1">
      <alignment horizontal="center" vertical="top"/>
    </xf>
  </cellXfs>
  <cellStyles count="16">
    <cellStyle name="Comma" xfId="1" builtinId="3"/>
    <cellStyle name="Comma 2" xfId="2"/>
    <cellStyle name="Comma 2 2" xfId="13"/>
    <cellStyle name="Comma 2 3" xfId="9"/>
    <cellStyle name="Comma 3" xfId="8"/>
    <cellStyle name="Normal" xfId="0" builtinId="0"/>
    <cellStyle name="Normal 2" xfId="3"/>
    <cellStyle name="Normal 2 2" xfId="10"/>
    <cellStyle name="Normal 3" xfId="7"/>
    <cellStyle name="Normal 4" xfId="6"/>
    <cellStyle name="Normal 5" xfId="14"/>
    <cellStyle name="Normal_Sheet2" xfId="4"/>
    <cellStyle name="Percent" xfId="5" builtinId="5"/>
    <cellStyle name="Percent 2" xfId="11"/>
    <cellStyle name="Percent 3" xfId="12"/>
    <cellStyle name="Percent 4" xfId="15"/>
  </cellStyles>
  <dxfs count="156"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numFmt numFmtId="3" formatCode="#,##0"/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alignment horizontal="center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none"/>
      </font>
      <numFmt numFmtId="3" formatCode="#,##0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numFmt numFmtId="166" formatCode="_(* #,##0_);_(* \(#,##0\);_(* &quot;-&quot;??_);_(@_)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none"/>
      </font>
      <numFmt numFmtId="166" formatCode="_(* #,##0_);_(* \(#,##0\);_(* &quot;-&quot;??_);_(@_)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numFmt numFmtId="166" formatCode="_(* #,##0_);_(* \(#,##0\);_(* &quot;-&quot;??_);_(@_)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numFmt numFmtId="166" formatCode="_(* #,##0_);_(* \(#,##0\);_(* &quot;-&quot;??_);_(@_)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numFmt numFmtId="166" formatCode="_(* #,##0_);_(* \(#,##0\);_(* &quot;-&quot;??_);_(@_)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numFmt numFmtId="166" formatCode="_(* #,##0_);_(* \(#,##0\);_(* &quot;-&quot;??_);_(@_)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numFmt numFmtId="166" formatCode="_(* #,##0_);_(* \(#,##0\);_(* &quot;-&quot;??_);_(@_)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numFmt numFmtId="167" formatCode="mmm\-dd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numFmt numFmtId="30" formatCode="@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numFmt numFmtId="166" formatCode="_(* #,##0_);_(* \(#,##0\);_(* &quot;-&quot;??_);_(@_)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numFmt numFmtId="166" formatCode="_(* #,##0_);_(* \(#,##0\);_(* &quot;-&quot;??_);_(@_)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numFmt numFmtId="166" formatCode="_(* #,##0_);_(* \(#,##0\);_(* &quot;-&quot;??_);_(@_)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numFmt numFmtId="166" formatCode="_(* #,##0_);_(* \(#,##0\);_(* &quot;-&quot;??_);_(@_)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numFmt numFmtId="172" formatCode="m/d/yyyy\ h:mm"/>
      <alignment horizontal="center" vertical="bottom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0"/>
        <color auto="1"/>
        <name val="Calibri"/>
        <scheme val="minor"/>
      </font>
      <alignment horizontal="center" vertical="bottom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0"/>
        <color auto="1"/>
        <name val="Calibri"/>
        <scheme val="minor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alignment horizontal="center" vertical="bottom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0"/>
        <color auto="1"/>
        <name val="Calibri"/>
        <scheme val="minor"/>
      </font>
      <numFmt numFmtId="167" formatCode="mmm\-dd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numFmt numFmtId="14" formatCode="0.00%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numFmt numFmtId="14" formatCode="0.00%"/>
      <alignment horizontal="general" vertical="bottom" textRotation="0" wrapText="0" indent="0" justifyLastLine="0" shrinkToFit="0" readingOrder="0"/>
    </dxf>
    <dxf>
      <numFmt numFmtId="1" formatCode="0"/>
      <alignment horizontal="center" vertical="bottom" textRotation="0" wrapText="0" indent="0" justifyLastLine="0" shrinkToFit="0" readingOrder="0"/>
    </dxf>
    <dxf>
      <numFmt numFmtId="1" formatCode="0"/>
      <alignment horizontal="center" vertical="bottom" textRotation="0" wrapText="0" indent="0" justifyLastLine="0" shrinkToFit="0" readingOrder="0"/>
    </dxf>
    <dxf>
      <numFmt numFmtId="1" formatCode="0"/>
      <alignment horizontal="center" vertical="bottom" textRotation="0" wrapText="0" indent="0" justifyLastLine="0" shrinkToFit="0" readingOrder="0"/>
    </dxf>
    <dxf>
      <numFmt numFmtId="1" formatCode="0"/>
      <alignment horizontal="center" vertical="bottom" textRotation="0" wrapText="0" indent="0" justifyLastLine="0" shrinkToFit="0" readingOrder="0"/>
    </dxf>
    <dxf>
      <numFmt numFmtId="1" formatCode="0"/>
      <alignment horizontal="center" vertical="bottom" textRotation="0" wrapText="0" indent="0" justifyLastLine="0" shrinkToFit="0" readingOrder="0"/>
    </dxf>
    <dxf>
      <numFmt numFmtId="168" formatCode="_(* #,##0.000_);_(* \(#,##0.000\);_(* &quot;-&quot;??_);_(@_)"/>
      <alignment horizontal="center" vertical="bottom" textRotation="0" wrapText="0" indent="0" justifyLastLine="0" shrinkToFit="0" readingOrder="0"/>
    </dxf>
    <dxf>
      <numFmt numFmtId="168" formatCode="_(* #,##0.000_);_(* \(#,##0.000\);_(* &quot;-&quot;??_);_(@_)"/>
      <alignment horizontal="center" vertical="bottom" textRotation="0" wrapText="0" indent="0" justifyLastLine="0" shrinkToFit="0" readingOrder="0"/>
    </dxf>
    <dxf>
      <numFmt numFmtId="168" formatCode="_(* #,##0.000_);_(* \(#,##0.000\);_(* &quot;-&quot;??_);_(@_)"/>
      <alignment horizontal="center" vertical="bottom" textRotation="0" wrapText="0" indent="0" justifyLastLine="0" shrinkToFit="0" readingOrder="0"/>
    </dxf>
    <dxf>
      <numFmt numFmtId="168" formatCode="_(* #,##0.000_);_(* \(#,##0.000\);_(* &quot;-&quot;??_);_(@_)"/>
      <alignment horizontal="center" vertical="bottom" textRotation="0" wrapText="0" indent="0" justifyLastLine="0" shrinkToFit="0" readingOrder="0"/>
    </dxf>
    <dxf>
      <numFmt numFmtId="168" formatCode="_(* #,##0.000_);_(* \(#,##0.000\);_(* &quot;-&quot;??_);_(@_)"/>
      <alignment horizontal="center" vertical="bottom" textRotation="0" wrapText="0" indent="0" justifyLastLine="0" shrinkToFit="0" readingOrder="0"/>
    </dxf>
    <dxf>
      <numFmt numFmtId="168" formatCode="_(* #,##0.000_);_(* \(#,##0.000\);_(* &quot;-&quot;??_);_(@_)"/>
      <alignment horizontal="center" vertical="bottom" textRotation="0" wrapText="0" indent="0" justifyLastLine="0" shrinkToFit="0" readingOrder="0"/>
    </dxf>
    <dxf>
      <numFmt numFmtId="168" formatCode="_(* #,##0.000_);_(* \(#,##0.000\);_(* &quot;-&quot;??_);_(@_)"/>
      <alignment horizontal="center" vertical="bottom" textRotation="0" wrapText="0" indent="0" justifyLastLine="0" shrinkToFit="0" readingOrder="0"/>
    </dxf>
    <dxf>
      <numFmt numFmtId="166" formatCode="_(* #,##0_);_(* \(#,##0\);_(* &quot;-&quot;??_);_(@_)"/>
      <alignment horizontal="center" vertical="bottom" textRotation="0" wrapText="0" indent="0" justifyLastLine="0" shrinkToFit="0" readingOrder="0"/>
    </dxf>
    <dxf>
      <numFmt numFmtId="166" formatCode="_(* #,##0_);_(* \(#,##0\);_(* &quot;-&quot;??_);_(@_)"/>
      <alignment horizontal="center" vertical="bottom" textRotation="0" wrapText="0" indent="0" justifyLastLine="0" shrinkToFit="0" readingOrder="0"/>
    </dxf>
    <dxf>
      <numFmt numFmtId="166" formatCode="_(* #,##0_);_(* \(#,##0\);_(* &quot;-&quot;??_);_(@_)"/>
      <alignment horizontal="center" vertical="bottom" textRotation="0" wrapText="0" indent="0" justifyLastLine="0" shrinkToFit="0" readingOrder="0"/>
    </dxf>
    <dxf>
      <numFmt numFmtId="166" formatCode="_(* #,##0_);_(* \(#,##0\);_(* &quot;-&quot;??_);_(@_)"/>
      <alignment horizontal="center" vertical="bottom" textRotation="0" wrapText="0" indent="0" justifyLastLine="0" shrinkToFit="0" readingOrder="0"/>
    </dxf>
    <dxf>
      <numFmt numFmtId="166" formatCode="_(* #,##0_);_(* \(#,##0\);_(* &quot;-&quot;??_);_(@_)"/>
      <alignment horizontal="center" vertical="bottom" textRotation="0" wrapText="0" indent="0" justifyLastLine="0" shrinkToFit="0" readingOrder="0"/>
    </dxf>
    <dxf>
      <numFmt numFmtId="166" formatCode="_(* #,##0_);_(* \(#,##0\);_(* &quot;-&quot;??_);_(@_)"/>
      <alignment horizontal="center" vertical="bottom" textRotation="0" wrapText="0" indent="0" justifyLastLine="0" shrinkToFit="0" readingOrder="0"/>
    </dxf>
    <dxf>
      <numFmt numFmtId="166" formatCode="_(* #,##0_);_(* \(#,##0\);_(* &quot;-&quot;??_);_(@_)"/>
      <alignment horizontal="center" vertical="bottom" textRotation="0" wrapText="0" indent="0" justifyLastLine="0" shrinkToFit="0" readingOrder="0"/>
    </dxf>
    <dxf>
      <numFmt numFmtId="166" formatCode="_(* #,##0_);_(* \(#,##0\);_(* &quot;-&quot;??_);_(@_)"/>
      <alignment horizontal="center" vertical="bottom" textRotation="0" wrapText="0" indent="0" justifyLastLine="0" shrinkToFit="0" readingOrder="0"/>
    </dxf>
    <dxf>
      <numFmt numFmtId="166" formatCode="_(* #,##0_);_(* \(#,##0\);_(* &quot;-&quot;??_);_(@_)"/>
      <alignment horizontal="center" vertical="bottom" textRotation="0" wrapText="0" indent="0" justifyLastLine="0" shrinkToFit="0" readingOrder="0"/>
    </dxf>
    <dxf>
      <numFmt numFmtId="166" formatCode="_(* #,##0_);_(* \(#,##0\);_(* &quot;-&quot;??_);_(@_)"/>
      <alignment horizontal="center" vertical="bottom" textRotation="0" wrapText="0" indent="0" justifyLastLine="0" shrinkToFit="0" readingOrder="0"/>
    </dxf>
    <dxf>
      <numFmt numFmtId="166" formatCode="_(* #,##0_);_(* \(#,##0\);_(* &quot;-&quot;??_);_(@_)"/>
      <alignment horizontal="center" vertical="bottom" textRotation="0" wrapText="0" indent="0" justifyLastLine="0" shrinkToFit="0" readingOrder="0"/>
    </dxf>
    <dxf>
      <numFmt numFmtId="166" formatCode="_(* #,##0_);_(* \(#,##0\);_(* &quot;-&quot;??_);_(@_)"/>
      <alignment horizontal="center" vertical="bottom" textRotation="0" wrapText="0" indent="0" justifyLastLine="0" shrinkToFit="0" readingOrder="0"/>
    </dxf>
    <dxf>
      <numFmt numFmtId="166" formatCode="_(* #,##0_);_(* \(#,##0\);_(* &quot;-&quot;??_);_(@_)"/>
      <alignment horizontal="center" vertical="bottom" textRotation="0" wrapText="0" indent="0" justifyLastLine="0" shrinkToFit="0" readingOrder="0"/>
    </dxf>
    <dxf>
      <numFmt numFmtId="166" formatCode="_(* #,##0_);_(* \(#,##0\);_(* &quot;-&quot;??_);_(@_)"/>
      <alignment horizontal="center" vertical="bottom" textRotation="0" wrapText="0" indent="0" justifyLastLine="0" shrinkToFit="0" readingOrder="0"/>
    </dxf>
    <dxf>
      <numFmt numFmtId="166" formatCode="_(* #,##0_);_(* \(#,##0\);_(* &quot;-&quot;??_);_(@_)"/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numFmt numFmtId="14" formatCode="0.00%"/>
      <alignment horizontal="center" vertical="bottom" textRotation="0" wrapText="0" indent="0" justifyLastLine="0" shrinkToFit="0" readingOrder="0"/>
    </dxf>
    <dxf>
      <numFmt numFmtId="166" formatCode="_(* #,##0_);_(* \(#,##0\);_(* &quot;-&quot;??_);_(@_)"/>
      <alignment horizontal="center" vertical="bottom" textRotation="0" wrapText="0" indent="0" justifyLastLine="0" shrinkToFit="0" readingOrder="0"/>
    </dxf>
    <dxf>
      <numFmt numFmtId="166" formatCode="_(* #,##0_);_(* \(#,##0\);_(* &quot;-&quot;??_);_(@_)"/>
      <alignment horizontal="center" vertical="bottom" textRotation="0" wrapText="0" indent="0" justifyLastLine="0" shrinkToFit="0" readingOrder="0"/>
    </dxf>
    <dxf>
      <numFmt numFmtId="166" formatCode="_(* #,##0_);_(* \(#,##0\);_(* &quot;-&quot;??_);_(@_)"/>
      <alignment horizontal="center" vertical="bottom" textRotation="0" wrapText="0" indent="0" justifyLastLine="0" shrinkToFit="0" readingOrder="0"/>
    </dxf>
    <dxf>
      <numFmt numFmtId="166" formatCode="_(* #,##0_);_(* \(#,##0\);_(* &quot;-&quot;??_);_(@_)"/>
      <alignment horizontal="center" vertical="bottom" textRotation="0" wrapText="0" indent="0" justifyLastLine="0" shrinkToFit="0" readingOrder="0"/>
    </dxf>
    <dxf>
      <numFmt numFmtId="166" formatCode="_(* #,##0_);_(* \(#,##0\);_(* &quot;-&quot;??_);_(@_)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166" formatCode="_(* #,##0_);_(* \(#,##0\);_(* &quot;-&quot;??_);_(@_)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165" formatCode="_(* #,##0.0_);_(* \(#,##0.0\);_(* &quot;-&quot;??_);_(@_)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164" formatCode="_(* #,##0.00_);_(* \(#,##0.00\);_(* &quot;-&quot;??_);_(@_)"/>
      <alignment horizontal="center" vertical="bottom" textRotation="0" wrapText="0" indent="0" justifyLastLine="0" shrinkToFit="0" readingOrder="0"/>
    </dxf>
    <dxf>
      <numFmt numFmtId="166" formatCode="_(* #,##0_);_(* \(#,##0\);_(* &quot;-&quot;??_);_(@_)"/>
      <alignment horizontal="center" vertical="bottom" textRotation="0" wrapText="0" indent="0" justifyLastLine="0" shrinkToFit="0" readingOrder="0"/>
    </dxf>
    <dxf>
      <numFmt numFmtId="166" formatCode="_(* #,##0_);_(* \(#,##0\);_(* &quot;-&quot;??_);_(@_)"/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166" formatCode="_(* #,##0_);_(* \(#,##0\);_(* &quot;-&quot;??_);_(@_)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165" formatCode="_(* #,##0.0_);_(* \(#,##0.0\);_(* &quot;-&quot;??_);_(@_)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164" formatCode="_(* #,##0.00_);_(* \(#,##0.00\);_(* &quot;-&quot;??_);_(@_)"/>
      <alignment horizontal="center" vertical="bottom" textRotation="0" wrapText="0" indent="0" justifyLastLine="0" shrinkToFit="0" readingOrder="0"/>
    </dxf>
    <dxf>
      <numFmt numFmtId="166" formatCode="_(* #,##0_);_(* \(#,##0\);_(* &quot;-&quot;??_);_(@_)"/>
      <alignment horizontal="center" vertical="bottom" textRotation="0" wrapText="0" indent="0" justifyLastLine="0" shrinkToFit="0" readingOrder="0"/>
    </dxf>
    <dxf>
      <numFmt numFmtId="166" formatCode="_(* #,##0_);_(* \(#,##0\);_(* &quot;-&quot;??_);_(@_)"/>
      <alignment horizontal="center" vertical="bottom" textRotation="0" wrapText="0" indent="0" justifyLastLine="0" shrinkToFit="0" readingOrder="0"/>
    </dxf>
    <dxf>
      <numFmt numFmtId="166" formatCode="_(* #,##0_);_(* \(#,##0\);_(* &quot;-&quot;??_);_(@_)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166" formatCode="_(* #,##0_);_(* \(#,##0\);_(* &quot;-&quot;??_);_(@_)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165" formatCode="_(* #,##0.0_);_(* \(#,##0.0\);_(* &quot;-&quot;??_);_(@_)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164" formatCode="_(* #,##0.00_);_(* \(#,##0.00\);_(* &quot;-&quot;??_);_(@_)"/>
      <alignment horizontal="center" vertical="bottom" textRotation="0" wrapText="0" indent="0" justifyLastLine="0" shrinkToFit="0" readingOrder="0"/>
    </dxf>
    <dxf>
      <numFmt numFmtId="0" formatCode="General"/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numFmt numFmtId="167" formatCode="mmm\-dd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pivotCacheDefinition" Target="pivotCache/pivotCacheDefinition2.xml"/><Relationship Id="rId4" Type="http://schemas.openxmlformats.org/officeDocument/2006/relationships/worksheet" Target="worksheets/sheet4.xml"/><Relationship Id="rId9" Type="http://schemas.openxmlformats.org/officeDocument/2006/relationships/pivotCacheDefinition" Target="pivotCache/pivotCacheDefinition1.xml"/><Relationship Id="rId14" Type="http://schemas.openxmlformats.org/officeDocument/2006/relationships/calcChain" Target="calcChain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CA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[Finch MEO Report 2024-05.xlsm]Graph Summary!FnlAssemSum</c:name>
    <c:fmtId val="0"/>
  </c:pivotSource>
  <c:chart>
    <c:title>
      <c:tx>
        <c:rich>
          <a:bodyPr/>
          <a:lstStyle/>
          <a:p>
            <a:pPr>
              <a:defRPr/>
            </a:pPr>
            <a:r>
              <a:rPr lang="en-CA"/>
              <a:t>Daily MEO Stick Output</a:t>
            </a:r>
          </a:p>
          <a:p>
            <a:pPr>
              <a:defRPr/>
            </a:pPr>
            <a:r>
              <a:rPr lang="en-CA"/>
              <a:t>(Mini Top Fill)</a:t>
            </a:r>
          </a:p>
        </c:rich>
      </c:tx>
      <c:layout/>
      <c:overlay val="0"/>
    </c:title>
    <c:autoTitleDeleted val="0"/>
    <c:pivotFmts>
      <c:pivotFmt>
        <c:idx val="0"/>
        <c:marker>
          <c:symbol val="none"/>
        </c:marker>
      </c:pivotFmt>
      <c:pivotFmt>
        <c:idx val="1"/>
        <c:spPr>
          <a:ln w="38100">
            <a:prstDash val="sysDot"/>
          </a:ln>
        </c:spPr>
        <c:marker>
          <c:symbol val="none"/>
        </c:marker>
        <c:dLbl>
          <c:idx val="0"/>
          <c:delete val="1"/>
          <c:extLst xmlns:c16r2="http://schemas.microsoft.com/office/drawing/2015/06/chart"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'Graph Summary'!$B$1</c:f>
              <c:strCache>
                <c:ptCount val="1"/>
                <c:pt idx="0">
                  <c:v>Total</c:v>
                </c:pt>
              </c:strCache>
            </c:strRef>
          </c:tx>
          <c:marker>
            <c:symbol val="none"/>
          </c:marker>
          <c:cat>
            <c:strRef>
              <c:f>'Graph Summary'!$A$2:$A$12</c:f>
              <c:strCache>
                <c:ptCount val="10"/>
                <c:pt idx="0">
                  <c:v>May-01</c:v>
                </c:pt>
                <c:pt idx="1">
                  <c:v>May-02</c:v>
                </c:pt>
                <c:pt idx="2">
                  <c:v>May-03</c:v>
                </c:pt>
                <c:pt idx="3">
                  <c:v>May-04</c:v>
                </c:pt>
                <c:pt idx="4">
                  <c:v>May-05</c:v>
                </c:pt>
                <c:pt idx="5">
                  <c:v>May-06</c:v>
                </c:pt>
                <c:pt idx="6">
                  <c:v>May-07</c:v>
                </c:pt>
                <c:pt idx="7">
                  <c:v>May-08</c:v>
                </c:pt>
                <c:pt idx="8">
                  <c:v>May-09</c:v>
                </c:pt>
                <c:pt idx="9">
                  <c:v>May-10</c:v>
                </c:pt>
              </c:strCache>
            </c:strRef>
          </c:cat>
          <c:val>
            <c:numRef>
              <c:f>'Graph Summary'!$B$2:$B$12</c:f>
              <c:numCache>
                <c:formatCode>#,##0</c:formatCode>
                <c:ptCount val="10"/>
                <c:pt idx="0">
                  <c:v>52304</c:v>
                </c:pt>
                <c:pt idx="1">
                  <c:v>57105</c:v>
                </c:pt>
                <c:pt idx="2">
                  <c:v>57107</c:v>
                </c:pt>
                <c:pt idx="3">
                  <c:v>56151</c:v>
                </c:pt>
                <c:pt idx="4">
                  <c:v>59034</c:v>
                </c:pt>
                <c:pt idx="5">
                  <c:v>50867</c:v>
                </c:pt>
                <c:pt idx="6">
                  <c:v>36945</c:v>
                </c:pt>
                <c:pt idx="7">
                  <c:v>35503</c:v>
                </c:pt>
                <c:pt idx="8">
                  <c:v>30711</c:v>
                </c:pt>
                <c:pt idx="9">
                  <c:v>38389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9FDF-4CA4-91FE-00A35FD6280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7657216"/>
        <c:axId val="73010560"/>
      </c:lineChart>
      <c:catAx>
        <c:axId val="57657216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crossAx val="73010560"/>
        <c:crosses val="autoZero"/>
        <c:auto val="1"/>
        <c:lblAlgn val="ctr"/>
        <c:lblOffset val="100"/>
        <c:noMultiLvlLbl val="0"/>
      </c:catAx>
      <c:valAx>
        <c:axId val="73010560"/>
        <c:scaling>
          <c:orientation val="minMax"/>
        </c:scaling>
        <c:delete val="0"/>
        <c:axPos val="l"/>
        <c:majorGridlines/>
        <c:numFmt formatCode="#,##0" sourceLinked="1"/>
        <c:majorTickMark val="out"/>
        <c:minorTickMark val="none"/>
        <c:tickLblPos val="nextTo"/>
        <c:crossAx val="57657216"/>
        <c:crosses val="autoZero"/>
        <c:crossBetween val="between"/>
      </c:valAx>
    </c:plotArea>
    <c:legend>
      <c:legendPos val="b"/>
      <c:layout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  <c:extLst xmlns:c16r2="http://schemas.microsoft.com/office/drawing/2015/06/chart"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</c:extLst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0</xdr:colOff>
      <xdr:row>0</xdr:row>
      <xdr:rowOff>1</xdr:rowOff>
    </xdr:from>
    <xdr:to>
      <xdr:col>14</xdr:col>
      <xdr:colOff>19050</xdr:colOff>
      <xdr:row>22</xdr:row>
      <xdr:rowOff>152401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xmlns="" id="{00000000-0008-0000-06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User" refreshedDate="45423.444519097226" createdVersion="4" refreshedVersion="4" minRefreshableVersion="3" recordCount="66">
  <cacheSource type="worksheet">
    <worksheetSource name="Prod"/>
  </cacheSource>
  <cacheFields count="59">
    <cacheField name="Date" numFmtId="167">
      <sharedItems containsSemiMixedTypes="0" containsNonDate="0" containsDate="1" containsString="0" minDate="2024-05-01T00:00:00" maxDate="2024-05-12T00:00:00"/>
    </cacheField>
    <cacheField name="LineNo" numFmtId="166">
      <sharedItems/>
    </cacheField>
    <cacheField name="MoldNo" numFmtId="0">
      <sharedItems count="11">
        <s v="MEO-B01"/>
        <s v="MEO-P02"/>
        <s v="MEO-B02"/>
        <s v="MEO-S02"/>
        <s v="MEO-C02"/>
        <s v="MEO-C01"/>
        <s v="MEO-B01-15g" u="1"/>
        <s v="MEO-S01-15g" u="1"/>
        <s v="DEO-S01" u="1"/>
        <s v="MEO-S01" u="1"/>
        <s v="MEO-P01" u="1"/>
      </sharedItems>
    </cacheField>
    <cacheField name="Index" numFmtId="0">
      <sharedItems containsString="0" containsBlank="1" containsNumber="1" containsInteger="1" minValue="26680" maxValue="27570"/>
    </cacheField>
    <cacheField name="Color" numFmtId="0">
      <sharedItems containsBlank="1"/>
    </cacheField>
    <cacheField name="Resin" numFmtId="0">
      <sharedItems containsString="0" containsBlank="1" containsNumber="1" containsInteger="1" minValue="814" maxValue="6331"/>
    </cacheField>
    <cacheField name="Status" numFmtId="0">
      <sharedItems/>
    </cacheField>
    <cacheField name="S1Cycle" numFmtId="164">
      <sharedItems containsSemiMixedTypes="0" containsString="0" containsNumber="1" minValue="0" maxValue="34.4"/>
    </cacheField>
    <cacheField name="S1Hrs" numFmtId="165">
      <sharedItems containsSemiMixedTypes="0" containsString="0" containsNumber="1" containsInteger="1" minValue="0" maxValue="8"/>
    </cacheField>
    <cacheField name="S1Shot" numFmtId="166">
      <sharedItems containsSemiMixedTypes="0" containsString="0" containsNumber="1" containsInteger="1" minValue="0" maxValue="1996"/>
    </cacheField>
    <cacheField name="S1Cavity" numFmtId="166">
      <sharedItems containsSemiMixedTypes="0" containsString="0" containsNumber="1" containsInteger="1" minValue="0" maxValue="17"/>
    </cacheField>
    <cacheField name="S1Qty" numFmtId="166">
      <sharedItems containsSemiMixedTypes="0" containsString="0" containsNumber="1" containsInteger="1" minValue="0" maxValue="31936"/>
    </cacheField>
    <cacheField name="S1Dft" numFmtId="166">
      <sharedItems containsString="0" containsBlank="1" containsNumber="1" containsInteger="1" minValue="0" maxValue="15"/>
    </cacheField>
    <cacheField name="S2Cycle" numFmtId="164">
      <sharedItems containsSemiMixedTypes="0" containsString="0" containsNumber="1" minValue="0" maxValue="34.4"/>
    </cacheField>
    <cacheField name="S2Hrs" numFmtId="165">
      <sharedItems containsSemiMixedTypes="0" containsString="0" containsNumber="1" minValue="0" maxValue="8"/>
    </cacheField>
    <cacheField name="S2Shot" numFmtId="166">
      <sharedItems containsSemiMixedTypes="0" containsString="0" containsNumber="1" containsInteger="1" minValue="0" maxValue="2485"/>
    </cacheField>
    <cacheField name="S2Cavity" numFmtId="166">
      <sharedItems containsSemiMixedTypes="0" containsString="0" containsNumber="1" containsInteger="1" minValue="0" maxValue="17"/>
    </cacheField>
    <cacheField name="S2Qty" numFmtId="166">
      <sharedItems containsSemiMixedTypes="0" containsString="0" containsNumber="1" containsInteger="1" minValue="0" maxValue="39755"/>
    </cacheField>
    <cacheField name="S2Dft" numFmtId="166">
      <sharedItems containsString="0" containsBlank="1" containsNumber="1" containsInteger="1" minValue="0" maxValue="10"/>
    </cacheField>
    <cacheField name="S3Cycle" numFmtId="164">
      <sharedItems containsSemiMixedTypes="0" containsString="0" containsNumber="1" minValue="0" maxValue="34.4"/>
    </cacheField>
    <cacheField name="S3Hrs" numFmtId="165">
      <sharedItems containsSemiMixedTypes="0" containsString="0" containsNumber="1" minValue="0" maxValue="8"/>
    </cacheField>
    <cacheField name="S3Shot" numFmtId="166">
      <sharedItems containsSemiMixedTypes="0" containsString="0" containsNumber="1" containsInteger="1" minValue="0" maxValue="1931"/>
    </cacheField>
    <cacheField name="S3Cavity" numFmtId="166">
      <sharedItems containsSemiMixedTypes="0" containsString="0" containsNumber="1" containsInteger="1" minValue="0" maxValue="16"/>
    </cacheField>
    <cacheField name="S3Qty" numFmtId="166">
      <sharedItems containsSemiMixedTypes="0" containsString="0" containsNumber="1" containsInteger="1" minValue="0" maxValue="30896"/>
    </cacheField>
    <cacheField name="S3Dft" numFmtId="166">
      <sharedItems containsString="0" containsBlank="1" containsNumber="1" containsInteger="1" minValue="0" maxValue="10"/>
    </cacheField>
    <cacheField name="Total" numFmtId="166">
      <sharedItems containsSemiMixedTypes="0" containsString="0" containsNumber="1" containsInteger="1" minValue="0" maxValue="95312"/>
    </cacheField>
    <cacheField name="TotalDft" numFmtId="166">
      <sharedItems containsString="0" containsBlank="1" containsNumber="1" containsInteger="1" minValue="0" maxValue="33"/>
    </cacheField>
    <cacheField name="DftRte" numFmtId="10">
      <sharedItems containsString="0" containsBlank="1" containsNumber="1" minValue="0" maxValue="8.1459356717928462E-4"/>
    </cacheField>
    <cacheField name="Remarks" numFmtId="0">
      <sharedItems containsBlank="1"/>
    </cacheField>
    <cacheField name="S1Mold" numFmtId="166">
      <sharedItems containsString="0" containsBlank="1" containsNumber="1" containsInteger="1" minValue="0" maxValue="15"/>
    </cacheField>
    <cacheField name="S2Mold" numFmtId="166">
      <sharedItems containsString="0" containsBlank="1" containsNumber="1" containsInteger="1" minValue="0" maxValue="10"/>
    </cacheField>
    <cacheField name="S3Mold" numFmtId="166">
      <sharedItems containsString="0" containsBlank="1" containsNumber="1" containsInteger="1" minValue="0" maxValue="10"/>
    </cacheField>
    <cacheField name="S1Print" numFmtId="166">
      <sharedItems containsString="0" containsBlank="1" containsNumber="1" containsInteger="1" minValue="0" maxValue="0"/>
    </cacheField>
    <cacheField name="S2Print" numFmtId="166">
      <sharedItems containsString="0" containsBlank="1" containsNumber="1" containsInteger="1" minValue="0" maxValue="0"/>
    </cacheField>
    <cacheField name="S3Print" numFmtId="166">
      <sharedItems containsString="0" containsBlank="1" containsNumber="1" containsInteger="1" minValue="0" maxValue="0"/>
    </cacheField>
    <cacheField name="S1Ovlp" numFmtId="166">
      <sharedItems containsString="0" containsBlank="1" containsNumber="1" containsInteger="1" minValue="0" maxValue="0"/>
    </cacheField>
    <cacheField name="S2Ovlp" numFmtId="166">
      <sharedItems containsString="0" containsBlank="1" containsNumber="1" containsInteger="1" minValue="0" maxValue="0"/>
    </cacheField>
    <cacheField name="S3Ovlp" numFmtId="166">
      <sharedItems containsString="0" containsBlank="1" containsNumber="1" containsInteger="1" minValue="0" maxValue="0"/>
    </cacheField>
    <cacheField name="S1Seam" numFmtId="166">
      <sharedItems containsString="0" containsBlank="1" containsNumber="1" containsInteger="1" minValue="0" maxValue="0"/>
    </cacheField>
    <cacheField name="S2Seam" numFmtId="166">
      <sharedItems containsString="0" containsBlank="1" containsNumber="1" containsInteger="1" minValue="0" maxValue="0"/>
    </cacheField>
    <cacheField name="S3Seam" numFmtId="166">
      <sharedItems containsString="0" containsBlank="1" containsNumber="1" containsInteger="1" minValue="0" maxValue="0"/>
    </cacheField>
    <cacheField name="S1Dmg" numFmtId="166">
      <sharedItems containsString="0" containsBlank="1" containsNumber="1" containsInteger="1" minValue="0" maxValue="0"/>
    </cacheField>
    <cacheField name="S2Dmg" numFmtId="166">
      <sharedItems containsString="0" containsBlank="1" containsNumber="1" containsInteger="1" minValue="0" maxValue="0"/>
    </cacheField>
    <cacheField name="S3Dmg" numFmtId="166">
      <sharedItems containsString="0" containsBlank="1" containsNumber="1" containsInteger="1" minValue="0" maxValue="0"/>
    </cacheField>
    <cacheField name="S1%" numFmtId="168">
      <sharedItems containsSemiMixedTypes="0" containsString="0" containsNumber="1" minValue="0" maxValue="1.2089777777777777"/>
    </cacheField>
    <cacheField name="S2%" numFmtId="168">
      <sharedItems containsSemiMixedTypes="0" containsString="0" containsNumber="1" minValue="0" maxValue="1.1003499999999999"/>
    </cacheField>
    <cacheField name="S3%" numFmtId="168">
      <sharedItems containsSemiMixedTypes="0" containsString="0" containsNumber="1" minValue="0" maxValue="1.0384152777777778"/>
    </cacheField>
    <cacheField name="Daily%" numFmtId="168">
      <sharedItems containsSemiMixedTypes="0" containsString="0" containsNumber="1" minValue="0" maxValue="1.0689675925925926"/>
    </cacheField>
    <cacheField name="HrStrtCls" numFmtId="168">
      <sharedItems containsSemiMixedTypes="0" containsString="0" containsNumber="1" minValue="0" maxValue="1"/>
    </cacheField>
    <cacheField name="HrMaint" numFmtId="168">
      <sharedItems containsSemiMixedTypes="0" containsString="0" containsNumber="1" containsInteger="1" minValue="0" maxValue="0"/>
    </cacheField>
    <cacheField name="HrSample" numFmtId="168">
      <sharedItems containsSemiMixedTypes="0" containsString="0" containsNumber="1" containsInteger="1" minValue="0" maxValue="0"/>
    </cacheField>
    <cacheField name="S1CycleNotZero" numFmtId="1">
      <sharedItems containsSemiMixedTypes="0" containsString="0" containsNumber="1" containsInteger="1" minValue="0" maxValue="1"/>
    </cacheField>
    <cacheField name="S2CycleNotZero" numFmtId="1">
      <sharedItems containsSemiMixedTypes="0" containsString="0" containsNumber="1" containsInteger="1" minValue="0" maxValue="1"/>
    </cacheField>
    <cacheField name="S3CycleNotZero" numFmtId="1">
      <sharedItems containsSemiMixedTypes="0" containsString="0" containsNumber="1" containsInteger="1" minValue="0" maxValue="1"/>
    </cacheField>
    <cacheField name="Cavity" numFmtId="1">
      <sharedItems containsSemiMixedTypes="0" containsString="0" containsNumber="1" containsInteger="1" minValue="0" maxValue="17"/>
    </cacheField>
    <cacheField name="B/C" numFmtId="1">
      <sharedItems/>
    </cacheField>
    <cacheField name="HrProd" numFmtId="0" formula="S1Hrs+S2Hrs+S3Hrs+HrStrtCls+HrMaint+HrSample" databaseField="0"/>
    <cacheField name="CycleTime" numFmtId="0" formula="S1Cycle+S2Cycle+S3Cycle" databaseField="0"/>
    <cacheField name="CycleNotZero" numFmtId="0" formula="S1CycleNotZero+S2CycleNotZero+S3CycleNotZero" databaseField="0"/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r:id="rId1" refreshedBy="User" refreshedDate="45423.444522800928" createdVersion="4" refreshedVersion="4" minRefreshableVersion="3" recordCount="35">
  <cacheSource type="worksheet">
    <worksheetSource name="FnlAssem"/>
  </cacheSource>
  <cacheFields count="13">
    <cacheField name="Date" numFmtId="167">
      <sharedItems containsSemiMixedTypes="0" containsNonDate="0" containsDate="1" containsString="0" minDate="2023-03-01T00:00:00" maxDate="2024-06-01T00:00:00" count="244">
        <d v="2024-05-01T00:00:00"/>
        <d v="2024-05-02T00:00:00"/>
        <d v="2024-05-03T00:00:00"/>
        <d v="2024-05-04T00:00:00"/>
        <d v="2024-05-05T00:00:00"/>
        <d v="2024-05-06T00:00:00"/>
        <d v="2024-05-07T00:00:00"/>
        <d v="2024-05-08T00:00:00"/>
        <d v="2024-05-09T00:00:00"/>
        <d v="2024-05-10T00:00:00"/>
        <d v="2024-05-11T00:00:00"/>
        <d v="2024-05-12T00:00:00"/>
        <d v="2024-05-13T00:00:00"/>
        <d v="2024-05-14T00:00:00"/>
        <d v="2024-05-15T00:00:00"/>
        <d v="2024-05-16T00:00:00"/>
        <d v="2024-05-17T00:00:00"/>
        <d v="2024-05-18T00:00:00"/>
        <d v="2024-05-19T00:00:00"/>
        <d v="2024-05-20T00:00:00"/>
        <d v="2024-05-21T00:00:00"/>
        <d v="2024-05-22T00:00:00"/>
        <d v="2024-05-23T00:00:00"/>
        <d v="2024-05-24T00:00:00"/>
        <d v="2024-05-25T00:00:00"/>
        <d v="2024-05-26T00:00:00"/>
        <d v="2024-05-27T00:00:00"/>
        <d v="2024-05-28T00:00:00"/>
        <d v="2024-05-29T00:00:00"/>
        <d v="2024-05-30T00:00:00"/>
        <d v="2024-05-31T00:00:00"/>
        <d v="2023-03-09T00:00:00" u="1"/>
        <d v="2023-12-04T00:00:00" u="1"/>
        <d v="2024-02-04T00:00:00" u="1"/>
        <d v="2023-04-14T00:00:00" u="1"/>
        <d v="2024-03-09T00:00:00" u="1"/>
        <d v="2023-03-28T00:00:00" u="1"/>
        <d v="2023-05-19T00:00:00" u="1"/>
        <d v="2023-12-23T00:00:00" u="1"/>
        <d v="2024-02-23T00:00:00" u="1"/>
        <d v="2024-04-14T00:00:00" u="1"/>
        <d v="2023-03-02T00:00:00" u="1"/>
        <d v="2024-03-28T00:00:00" u="1"/>
        <d v="2023-04-07T00:00:00" u="1"/>
        <d v="2024-03-02T00:00:00" u="1"/>
        <d v="2023-03-21T00:00:00" u="1"/>
        <d v="2023-05-12T00:00:00" u="1"/>
        <d v="2023-12-16T00:00:00" u="1"/>
        <d v="2024-02-16T00:00:00" u="1"/>
        <d v="2024-04-07T00:00:00" u="1"/>
        <d v="2023-04-26T00:00:00" u="1"/>
        <d v="2024-03-21T00:00:00" u="1"/>
        <d v="2023-05-31T00:00:00" u="1"/>
        <d v="2024-04-26T00:00:00" u="1"/>
        <d v="2023-03-14T00:00:00" u="1"/>
        <d v="2023-05-05T00:00:00" u="1"/>
        <d v="2023-12-09T00:00:00" u="1"/>
        <d v="2024-02-09T00:00:00" u="1"/>
        <d v="2023-04-19T00:00:00" u="1"/>
        <d v="2024-03-14T00:00:00" u="1"/>
        <d v="2023-05-24T00:00:00" u="1"/>
        <d v="2023-12-28T00:00:00" u="1"/>
        <d v="2024-02-28T00:00:00" u="1"/>
        <d v="2024-04-19T00:00:00" u="1"/>
        <d v="2023-03-07T00:00:00" u="1"/>
        <d v="2023-12-02T00:00:00" u="1"/>
        <d v="2024-02-02T00:00:00" u="1"/>
        <d v="2023-04-12T00:00:00" u="1"/>
        <d v="2024-03-07T00:00:00" u="1"/>
        <d v="2023-03-26T00:00:00" u="1"/>
        <d v="2023-05-17T00:00:00" u="1"/>
        <d v="2023-12-21T00:00:00" u="1"/>
        <d v="2024-02-21T00:00:00" u="1"/>
        <d v="2024-04-12T00:00:00" u="1"/>
        <d v="2024-03-26T00:00:00" u="1"/>
        <d v="2023-04-05T00:00:00" u="1"/>
        <d v="2023-03-19T00:00:00" u="1"/>
        <d v="2023-05-10T00:00:00" u="1"/>
        <d v="2023-12-14T00:00:00" u="1"/>
        <d v="2024-02-14T00:00:00" u="1"/>
        <d v="2024-04-05T00:00:00" u="1"/>
        <d v="2023-04-24T00:00:00" u="1"/>
        <d v="2024-03-19T00:00:00" u="1"/>
        <d v="2023-05-29T00:00:00" u="1"/>
        <d v="2024-04-24T00:00:00" u="1"/>
        <d v="2023-03-12T00:00:00" u="1"/>
        <d v="2023-05-03T00:00:00" u="1"/>
        <d v="2023-12-07T00:00:00" u="1"/>
        <d v="2024-02-07T00:00:00" u="1"/>
        <d v="2023-04-17T00:00:00" u="1"/>
        <d v="2024-03-12T00:00:00" u="1"/>
        <d v="2023-03-31T00:00:00" u="1"/>
        <d v="2023-05-22T00:00:00" u="1"/>
        <d v="2023-12-26T00:00:00" u="1"/>
        <d v="2024-02-26T00:00:00" u="1"/>
        <d v="2024-04-17T00:00:00" u="1"/>
        <d v="2023-03-05T00:00:00" u="1"/>
        <d v="2024-03-31T00:00:00" u="1"/>
        <d v="2023-04-10T00:00:00" u="1"/>
        <d v="2024-03-05T00:00:00" u="1"/>
        <d v="2023-03-24T00:00:00" u="1"/>
        <d v="2023-05-15T00:00:00" u="1"/>
        <d v="2023-12-19T00:00:00" u="1"/>
        <d v="2024-02-19T00:00:00" u="1"/>
        <d v="2024-04-10T00:00:00" u="1"/>
        <d v="2023-04-29T00:00:00" u="1"/>
        <d v="2024-03-24T00:00:00" u="1"/>
        <d v="2023-04-03T00:00:00" u="1"/>
        <d v="2024-04-29T00:00:00" u="1"/>
        <d v="2023-03-17T00:00:00" u="1"/>
        <d v="2023-05-08T00:00:00" u="1"/>
        <d v="2023-12-12T00:00:00" u="1"/>
        <d v="2024-02-12T00:00:00" u="1"/>
        <d v="2024-04-03T00:00:00" u="1"/>
        <d v="2023-04-22T00:00:00" u="1"/>
        <d v="2024-03-17T00:00:00" u="1"/>
        <d v="2023-05-27T00:00:00" u="1"/>
        <d v="2023-12-31T00:00:00" u="1"/>
        <d v="2024-04-22T00:00:00" u="1"/>
        <d v="2023-03-10T00:00:00" u="1"/>
        <d v="2023-05-01T00:00:00" u="1"/>
        <d v="2023-12-05T00:00:00" u="1"/>
        <d v="2024-02-05T00:00:00" u="1"/>
        <d v="2023-04-15T00:00:00" u="1"/>
        <d v="2024-03-10T00:00:00" u="1"/>
        <d v="2023-03-29T00:00:00" u="1"/>
        <d v="2023-05-20T00:00:00" u="1"/>
        <d v="2023-12-24T00:00:00" u="1"/>
        <d v="2024-02-24T00:00:00" u="1"/>
        <d v="2024-04-15T00:00:00" u="1"/>
        <d v="2023-03-03T00:00:00" u="1"/>
        <d v="2024-03-29T00:00:00" u="1"/>
        <d v="2023-04-08T00:00:00" u="1"/>
        <d v="2024-03-03T00:00:00" u="1"/>
        <d v="2023-03-22T00:00:00" u="1"/>
        <d v="2023-05-13T00:00:00" u="1"/>
        <d v="2023-12-17T00:00:00" u="1"/>
        <d v="2024-02-17T00:00:00" u="1"/>
        <d v="2024-04-08T00:00:00" u="1"/>
        <d v="2023-04-27T00:00:00" u="1"/>
        <d v="2024-03-22T00:00:00" u="1"/>
        <d v="2023-04-01T00:00:00" u="1"/>
        <d v="2024-04-27T00:00:00" u="1"/>
        <d v="2023-03-15T00:00:00" u="1"/>
        <d v="2023-05-06T00:00:00" u="1"/>
        <d v="2023-12-10T00:00:00" u="1"/>
        <d v="2024-02-10T00:00:00" u="1"/>
        <d v="2024-04-01T00:00:00" u="1"/>
        <d v="2023-04-20T00:00:00" u="1"/>
        <d v="2024-03-15T00:00:00" u="1"/>
        <d v="2023-05-25T00:00:00" u="1"/>
        <d v="2023-12-29T00:00:00" u="1"/>
        <d v="2024-02-29T00:00:00" u="1"/>
        <d v="2024-04-20T00:00:00" u="1"/>
        <d v="2023-03-08T00:00:00" u="1"/>
        <d v="2023-12-03T00:00:00" u="1"/>
        <d v="2024-02-03T00:00:00" u="1"/>
        <d v="2023-04-13T00:00:00" u="1"/>
        <d v="2024-03-08T00:00:00" u="1"/>
        <d v="2023-03-27T00:00:00" u="1"/>
        <d v="2023-05-18T00:00:00" u="1"/>
        <d v="2023-12-22T00:00:00" u="1"/>
        <d v="2024-02-22T00:00:00" u="1"/>
        <d v="2024-04-13T00:00:00" u="1"/>
        <d v="2023-03-01T00:00:00" u="1"/>
        <d v="2024-03-27T00:00:00" u="1"/>
        <d v="2023-04-06T00:00:00" u="1"/>
        <d v="2024-03-01T00:00:00" u="1"/>
        <d v="2023-03-20T00:00:00" u="1"/>
        <d v="2023-05-11T00:00:00" u="1"/>
        <d v="2023-12-15T00:00:00" u="1"/>
        <d v="2024-02-15T00:00:00" u="1"/>
        <d v="2024-04-06T00:00:00" u="1"/>
        <d v="2023-04-25T00:00:00" u="1"/>
        <d v="2024-03-20T00:00:00" u="1"/>
        <d v="2023-05-30T00:00:00" u="1"/>
        <d v="2024-04-25T00:00:00" u="1"/>
        <d v="2023-03-13T00:00:00" u="1"/>
        <d v="2023-05-04T00:00:00" u="1"/>
        <d v="2023-12-08T00:00:00" u="1"/>
        <d v="2024-02-08T00:00:00" u="1"/>
        <d v="2023-04-18T00:00:00" u="1"/>
        <d v="2024-03-13T00:00:00" u="1"/>
        <d v="2023-05-23T00:00:00" u="1"/>
        <d v="2023-12-27T00:00:00" u="1"/>
        <d v="2024-02-27T00:00:00" u="1"/>
        <d v="2024-04-18T00:00:00" u="1"/>
        <d v="2023-03-06T00:00:00" u="1"/>
        <d v="2023-12-01T00:00:00" u="1"/>
        <d v="2024-02-01T00:00:00" u="1"/>
        <d v="2023-04-11T00:00:00" u="1"/>
        <d v="2024-03-06T00:00:00" u="1"/>
        <d v="2023-03-25T00:00:00" u="1"/>
        <d v="2023-05-16T00:00:00" u="1"/>
        <d v="2023-12-20T00:00:00" u="1"/>
        <d v="2024-02-20T00:00:00" u="1"/>
        <d v="2024-04-11T00:00:00" u="1"/>
        <d v="2023-04-30T00:00:00" u="1"/>
        <d v="2024-03-25T00:00:00" u="1"/>
        <d v="2023-04-04T00:00:00" u="1"/>
        <d v="2024-04-30T00:00:00" u="1"/>
        <d v="2023-03-18T00:00:00" u="1"/>
        <d v="2023-05-09T00:00:00" u="1"/>
        <d v="2023-12-13T00:00:00" u="1"/>
        <d v="2024-02-13T00:00:00" u="1"/>
        <d v="2024-04-04T00:00:00" u="1"/>
        <d v="2023-04-23T00:00:00" u="1"/>
        <d v="2024-03-18T00:00:00" u="1"/>
        <d v="2023-05-28T00:00:00" u="1"/>
        <d v="2024-04-23T00:00:00" u="1"/>
        <d v="2023-03-11T00:00:00" u="1"/>
        <d v="2023-05-02T00:00:00" u="1"/>
        <d v="2023-12-06T00:00:00" u="1"/>
        <d v="2024-02-06T00:00:00" u="1"/>
        <d v="2023-04-16T00:00:00" u="1"/>
        <d v="2024-03-11T00:00:00" u="1"/>
        <d v="2023-03-30T00:00:00" u="1"/>
        <d v="2023-05-21T00:00:00" u="1"/>
        <d v="2023-12-25T00:00:00" u="1"/>
        <d v="2024-02-25T00:00:00" u="1"/>
        <d v="2024-04-16T00:00:00" u="1"/>
        <d v="2023-03-04T00:00:00" u="1"/>
        <d v="2024-03-30T00:00:00" u="1"/>
        <d v="2023-04-09T00:00:00" u="1"/>
        <d v="2024-03-04T00:00:00" u="1"/>
        <d v="2023-03-23T00:00:00" u="1"/>
        <d v="2023-05-14T00:00:00" u="1"/>
        <d v="2023-12-18T00:00:00" u="1"/>
        <d v="2024-02-18T00:00:00" u="1"/>
        <d v="2024-04-09T00:00:00" u="1"/>
        <d v="2023-04-28T00:00:00" u="1"/>
        <d v="2024-03-23T00:00:00" u="1"/>
        <d v="2023-04-02T00:00:00" u="1"/>
        <d v="2024-04-28T00:00:00" u="1"/>
        <d v="2023-03-16T00:00:00" u="1"/>
        <d v="2023-05-07T00:00:00" u="1"/>
        <d v="2023-12-11T00:00:00" u="1"/>
        <d v="2024-02-11T00:00:00" u="1"/>
        <d v="2024-04-02T00:00:00" u="1"/>
        <d v="2023-04-21T00:00:00" u="1"/>
        <d v="2024-03-16T00:00:00" u="1"/>
        <d v="2023-05-26T00:00:00" u="1"/>
        <d v="2023-12-30T00:00:00" u="1"/>
        <d v="2024-04-21T00:00:00" u="1"/>
      </sharedItems>
    </cacheField>
    <cacheField name="Line" numFmtId="0">
      <sharedItems/>
    </cacheField>
    <cacheField name="Index" numFmtId="0">
      <sharedItems containsString="0" containsBlank="1" containsNumber="1" containsInteger="1" minValue="25987" maxValue="27121"/>
    </cacheField>
    <cacheField name="Customer" numFmtId="0">
      <sharedItems containsBlank="1"/>
    </cacheField>
    <cacheField name="Status" numFmtId="0">
      <sharedItems/>
    </cacheField>
    <cacheField name="S1Qty" numFmtId="166">
      <sharedItems containsSemiMixedTypes="0" containsString="0" containsNumber="1" containsInteger="1" minValue="0" maxValue="44"/>
    </cacheField>
    <cacheField name="S2Qty" numFmtId="166">
      <sharedItems containsSemiMixedTypes="0" containsString="0" containsNumber="1" containsInteger="1" minValue="0" maxValue="41"/>
    </cacheField>
    <cacheField name="S3Qty" numFmtId="166">
      <sharedItems containsSemiMixedTypes="0" containsString="0" containsNumber="1" containsInteger="1" minValue="0" maxValue="41"/>
    </cacheField>
    <cacheField name="Total" numFmtId="166">
      <sharedItems containsSemiMixedTypes="0" containsString="0" containsNumber="1" containsInteger="1" minValue="0" maxValue="59034"/>
    </cacheField>
    <cacheField name="Defects" numFmtId="166">
      <sharedItems containsSemiMixedTypes="0" containsString="0" containsNumber="1" containsInteger="1" minValue="0" maxValue="17"/>
    </cacheField>
    <cacheField name="Remarks" numFmtId="166">
      <sharedItems containsBlank="1"/>
    </cacheField>
    <cacheField name="Pcs/Tray" numFmtId="0">
      <sharedItems containsSemiMixedTypes="0" containsString="0" containsNumber="1" containsInteger="1" minValue="480" maxValue="480"/>
    </cacheField>
    <cacheField name="DailyTarget" numFmtId="3">
      <sharedItems containsSemiMixedTypes="0" containsString="0" containsNumber="1" containsInteger="1" minValue="30000" maxValue="30000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66">
  <r>
    <d v="2024-05-01T00:00:00"/>
    <s v="10A"/>
    <x v="0"/>
    <n v="27121"/>
    <s v="Yellow"/>
    <n v="814"/>
    <s v="Running"/>
    <n v="18.29"/>
    <n v="8"/>
    <n v="1516"/>
    <n v="4"/>
    <n v="6059"/>
    <n v="5"/>
    <n v="18.29"/>
    <n v="8"/>
    <n v="1617"/>
    <n v="4"/>
    <n v="6463"/>
    <n v="5"/>
    <n v="18.29"/>
    <n v="8"/>
    <n v="1552"/>
    <n v="4"/>
    <n v="6204"/>
    <n v="4"/>
    <n v="18726"/>
    <n v="14"/>
    <n v="7.4762362490654708E-4"/>
    <m/>
    <n v="5"/>
    <n v="5"/>
    <n v="4"/>
    <n v="0"/>
    <n v="0"/>
    <n v="0"/>
    <n v="0"/>
    <n v="0"/>
    <n v="0"/>
    <n v="0"/>
    <n v="0"/>
    <n v="0"/>
    <n v="0"/>
    <n v="0"/>
    <n v="0"/>
    <n v="0.96276527777777776"/>
    <n v="1.0269072916666666"/>
    <n v="0.98562777777777766"/>
    <n v="0.99176678240740734"/>
    <n v="0"/>
    <n v="0"/>
    <n v="0"/>
    <n v="1"/>
    <n v="1"/>
    <n v="1"/>
    <n v="4"/>
    <b v="1"/>
  </r>
  <r>
    <d v="2024-05-01T00:00:00"/>
    <s v="03B"/>
    <x v="1"/>
    <n v="27570"/>
    <s v="Clear"/>
    <n v="2304"/>
    <s v="Running"/>
    <n v="14.92"/>
    <n v="8"/>
    <n v="1902"/>
    <n v="16"/>
    <n v="30432"/>
    <m/>
    <n v="14.92"/>
    <n v="8"/>
    <n v="1945"/>
    <n v="16"/>
    <n v="31120"/>
    <m/>
    <n v="14.92"/>
    <n v="8"/>
    <n v="1912"/>
    <n v="16"/>
    <n v="30592"/>
    <m/>
    <n v="92144"/>
    <m/>
    <m/>
    <m/>
    <m/>
    <m/>
    <m/>
    <m/>
    <m/>
    <m/>
    <m/>
    <m/>
    <m/>
    <m/>
    <m/>
    <m/>
    <m/>
    <m/>
    <m/>
    <n v="0.98534166666666667"/>
    <n v="1.0076180555555556"/>
    <n v="0.9905222222222223"/>
    <n v="0.9944939814814816"/>
    <n v="0"/>
    <n v="0"/>
    <n v="0"/>
    <n v="1"/>
    <n v="1"/>
    <n v="1"/>
    <n v="16"/>
    <b v="0"/>
  </r>
  <r>
    <d v="2024-05-01T00:00:00"/>
    <s v="19A"/>
    <x v="2"/>
    <n v="26680"/>
    <s v="White"/>
    <n v="6331"/>
    <s v="Running"/>
    <n v="34.29"/>
    <n v="8"/>
    <n v="792"/>
    <n v="16"/>
    <n v="12668"/>
    <n v="4"/>
    <n v="34.29"/>
    <n v="8"/>
    <n v="898"/>
    <n v="16"/>
    <n v="14363"/>
    <n v="5"/>
    <n v="34.299999999999997"/>
    <n v="8"/>
    <n v="774"/>
    <n v="16"/>
    <n v="12380"/>
    <n v="4"/>
    <n v="39411"/>
    <n v="13"/>
    <n v="3.2985714648194666E-4"/>
    <m/>
    <n v="4"/>
    <n v="5"/>
    <n v="4"/>
    <n v="0"/>
    <n v="0"/>
    <n v="0"/>
    <n v="0"/>
    <n v="0"/>
    <n v="0"/>
    <n v="0"/>
    <n v="0"/>
    <n v="0"/>
    <n v="0"/>
    <n v="0"/>
    <n v="0"/>
    <n v="0.94297500000000001"/>
    <n v="1.06918125"/>
    <n v="0.92181249999999992"/>
    <n v="0.9779895833333333"/>
    <n v="0"/>
    <n v="0"/>
    <n v="0"/>
    <n v="1"/>
    <n v="1"/>
    <n v="1"/>
    <n v="16"/>
    <b v="1"/>
  </r>
  <r>
    <d v="2024-05-01T00:00:00"/>
    <s v="25A"/>
    <x v="3"/>
    <n v="26680"/>
    <s v="White"/>
    <n v="6331"/>
    <s v="Running"/>
    <n v="0"/>
    <n v="0"/>
    <n v="0"/>
    <n v="0"/>
    <n v="0"/>
    <m/>
    <n v="18.559999999999999"/>
    <n v="5.5"/>
    <n v="1055"/>
    <n v="15"/>
    <n v="15825"/>
    <m/>
    <n v="18.55"/>
    <n v="8"/>
    <n v="1451"/>
    <n v="15"/>
    <n v="21765"/>
    <n v="0"/>
    <n v="37590"/>
    <n v="0"/>
    <n v="0"/>
    <m/>
    <m/>
    <m/>
    <m/>
    <m/>
    <m/>
    <m/>
    <m/>
    <m/>
    <m/>
    <m/>
    <m/>
    <m/>
    <m/>
    <m/>
    <m/>
    <n v="0"/>
    <n v="0.98892929292929288"/>
    <n v="0.93458506944444442"/>
    <n v="0.96175718118686859"/>
    <n v="0.5"/>
    <n v="0"/>
    <n v="0"/>
    <n v="0"/>
    <n v="1"/>
    <n v="1"/>
    <n v="15"/>
    <b v="0"/>
  </r>
  <r>
    <d v="2024-05-01T00:00:00"/>
    <s v="26A"/>
    <x v="4"/>
    <m/>
    <m/>
    <m/>
    <s v="Down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b v="1"/>
  </r>
  <r>
    <d v="2024-05-01T00:00:00"/>
    <s v="35U1R"/>
    <x v="5"/>
    <m/>
    <m/>
    <m/>
    <s v="Down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b v="1"/>
  </r>
  <r>
    <d v="2024-05-02T00:00:00"/>
    <s v="10A"/>
    <x v="0"/>
    <n v="27121"/>
    <s v="Yellow"/>
    <n v="814"/>
    <s v="Running"/>
    <n v="18.28"/>
    <n v="6"/>
    <n v="1192"/>
    <n v="4"/>
    <n v="4764"/>
    <n v="4"/>
    <n v="19.3"/>
    <n v="8"/>
    <n v="1472"/>
    <n v="8"/>
    <n v="11771"/>
    <n v="5"/>
    <n v="0"/>
    <n v="0"/>
    <n v="0"/>
    <n v="0"/>
    <n v="0"/>
    <n v="0"/>
    <n v="16535"/>
    <n v="9"/>
    <n v="5.4429996976111282E-4"/>
    <m/>
    <n v="4"/>
    <n v="5"/>
    <n v="0"/>
    <n v="0"/>
    <n v="0"/>
    <n v="0"/>
    <n v="0"/>
    <n v="0"/>
    <n v="0"/>
    <n v="0"/>
    <n v="0"/>
    <n v="0"/>
    <n v="0"/>
    <n v="0"/>
    <n v="0"/>
    <n v="1.0087851851851852"/>
    <n v="0.98644444444444457"/>
    <n v="0"/>
    <n v="0.99761481481481495"/>
    <n v="0"/>
    <n v="0"/>
    <n v="0"/>
    <n v="1"/>
    <n v="1"/>
    <n v="0"/>
    <n v="8"/>
    <b v="1"/>
  </r>
  <r>
    <d v="2024-05-02T00:00:00"/>
    <s v="03B"/>
    <x v="1"/>
    <n v="27570"/>
    <s v="Clear"/>
    <n v="2304"/>
    <s v="Running"/>
    <n v="14.92"/>
    <n v="8"/>
    <n v="1946"/>
    <n v="16"/>
    <n v="31136"/>
    <m/>
    <n v="14.92"/>
    <n v="8"/>
    <n v="2094"/>
    <n v="16"/>
    <n v="33504"/>
    <m/>
    <n v="14.92"/>
    <n v="8"/>
    <n v="1808"/>
    <n v="16"/>
    <n v="28928"/>
    <m/>
    <n v="93568"/>
    <m/>
    <m/>
    <m/>
    <m/>
    <m/>
    <m/>
    <m/>
    <m/>
    <m/>
    <m/>
    <m/>
    <m/>
    <m/>
    <m/>
    <m/>
    <m/>
    <m/>
    <m/>
    <n v="1.0081361111111111"/>
    <n v="1.0848083333333334"/>
    <n v="0.9366444444444445"/>
    <n v="1.009862962962963"/>
    <n v="0"/>
    <n v="0"/>
    <n v="0"/>
    <n v="1"/>
    <n v="1"/>
    <n v="1"/>
    <n v="16"/>
    <b v="0"/>
  </r>
  <r>
    <d v="2024-05-02T00:00:00"/>
    <s v="19A"/>
    <x v="2"/>
    <n v="26680"/>
    <s v="White"/>
    <n v="6331"/>
    <s v="Running"/>
    <n v="34.299999999999997"/>
    <n v="8"/>
    <n v="838"/>
    <n v="16"/>
    <n v="13405"/>
    <n v="3"/>
    <n v="34.29"/>
    <n v="8"/>
    <n v="903"/>
    <n v="16"/>
    <n v="14443"/>
    <n v="5"/>
    <n v="34.299999999999997"/>
    <n v="8"/>
    <n v="767"/>
    <n v="16"/>
    <n v="12268"/>
    <n v="4"/>
    <n v="40116"/>
    <n v="12"/>
    <n v="2.9913251570445708E-4"/>
    <m/>
    <n v="3"/>
    <n v="5"/>
    <n v="4"/>
    <n v="0"/>
    <n v="0"/>
    <n v="0"/>
    <n v="0"/>
    <n v="0"/>
    <n v="0"/>
    <n v="0"/>
    <n v="0"/>
    <n v="0"/>
    <n v="0"/>
    <n v="0"/>
    <n v="0"/>
    <n v="0.99803472222222211"/>
    <n v="1.075134375"/>
    <n v="0.91347569444444443"/>
    <n v="0.99554826388888884"/>
    <n v="0"/>
    <n v="0"/>
    <n v="0"/>
    <n v="1"/>
    <n v="1"/>
    <n v="1"/>
    <n v="16"/>
    <b v="1"/>
  </r>
  <r>
    <d v="2024-05-02T00:00:00"/>
    <s v="25A"/>
    <x v="3"/>
    <n v="26680"/>
    <s v="White"/>
    <n v="6331"/>
    <s v="Running"/>
    <n v="18.559999999999999"/>
    <n v="8"/>
    <n v="1581"/>
    <n v="15"/>
    <n v="23715"/>
    <m/>
    <n v="18.55"/>
    <n v="8"/>
    <n v="1367"/>
    <n v="15"/>
    <n v="20505"/>
    <m/>
    <n v="18.55"/>
    <n v="8"/>
    <n v="1471"/>
    <n v="15"/>
    <n v="22065"/>
    <n v="0"/>
    <n v="66285"/>
    <n v="0"/>
    <n v="0"/>
    <m/>
    <m/>
    <m/>
    <m/>
    <m/>
    <m/>
    <m/>
    <m/>
    <m/>
    <m/>
    <m/>
    <m/>
    <m/>
    <m/>
    <m/>
    <m/>
    <n v="1.0188666666666666"/>
    <n v="0.88048090277777791"/>
    <n v="0.94746701388888888"/>
    <n v="0.94893819444444449"/>
    <n v="0"/>
    <n v="0"/>
    <n v="0"/>
    <n v="1"/>
    <n v="1"/>
    <n v="1"/>
    <n v="15"/>
    <b v="0"/>
  </r>
  <r>
    <d v="2024-05-02T00:00:00"/>
    <s v="26A"/>
    <x v="4"/>
    <n v="27124"/>
    <s v="Yellow"/>
    <n v="814"/>
    <s v="Running"/>
    <n v="12.25"/>
    <n v="4"/>
    <n v="1120"/>
    <n v="16"/>
    <n v="17912"/>
    <n v="8"/>
    <n v="12.25"/>
    <n v="8"/>
    <n v="2485"/>
    <n v="16"/>
    <n v="39755"/>
    <n v="5"/>
    <n v="12.25"/>
    <n v="1.75"/>
    <n v="507"/>
    <n v="16"/>
    <n v="8102"/>
    <n v="10"/>
    <n v="65769"/>
    <n v="23"/>
    <n v="3.4970882938770544E-4"/>
    <s v="补货27124"/>
    <n v="8"/>
    <n v="5"/>
    <n v="10"/>
    <n v="0"/>
    <n v="0"/>
    <n v="0"/>
    <n v="0"/>
    <n v="0"/>
    <n v="0"/>
    <n v="0"/>
    <n v="0"/>
    <n v="0"/>
    <n v="0"/>
    <n v="0"/>
    <n v="0"/>
    <n v="0.95277777777777772"/>
    <n v="1.0569878472222223"/>
    <n v="0.98583333333333334"/>
    <n v="0.99853298611111108"/>
    <n v="1"/>
    <n v="0"/>
    <n v="0"/>
    <n v="1"/>
    <n v="1"/>
    <n v="1"/>
    <n v="16"/>
    <b v="1"/>
  </r>
  <r>
    <d v="2024-05-02T00:00:00"/>
    <s v="35U1R"/>
    <x v="5"/>
    <m/>
    <m/>
    <m/>
    <s v="Down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b v="1"/>
  </r>
  <r>
    <d v="2024-05-03T00:00:00"/>
    <s v="10A"/>
    <x v="0"/>
    <m/>
    <m/>
    <m/>
    <s v="Down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b v="1"/>
  </r>
  <r>
    <d v="2024-05-03T00:00:00"/>
    <s v="03B"/>
    <x v="1"/>
    <n v="27570"/>
    <s v="Clear"/>
    <n v="2304"/>
    <s v="Running"/>
    <n v="14.92"/>
    <n v="8"/>
    <n v="1873"/>
    <n v="16"/>
    <n v="29968"/>
    <m/>
    <n v="14.92"/>
    <n v="8"/>
    <n v="2124"/>
    <n v="16"/>
    <n v="33984"/>
    <m/>
    <n v="14.92"/>
    <n v="8"/>
    <n v="1789"/>
    <n v="16"/>
    <n v="28624"/>
    <m/>
    <n v="92576"/>
    <m/>
    <m/>
    <m/>
    <m/>
    <m/>
    <m/>
    <m/>
    <m/>
    <m/>
    <m/>
    <m/>
    <m/>
    <m/>
    <m/>
    <m/>
    <m/>
    <m/>
    <m/>
    <n v="0.9703180555555555"/>
    <n v="1.1003499999999999"/>
    <n v="0.92680138888888897"/>
    <n v="0.9991564814814814"/>
    <n v="0"/>
    <n v="0"/>
    <n v="0"/>
    <n v="1"/>
    <n v="1"/>
    <n v="1"/>
    <n v="16"/>
    <b v="0"/>
  </r>
  <r>
    <d v="2024-05-03T00:00:00"/>
    <s v="19A"/>
    <x v="2"/>
    <n v="26680"/>
    <s v="White"/>
    <n v="6331"/>
    <s v="Running"/>
    <n v="34.299999999999997"/>
    <n v="8"/>
    <n v="863"/>
    <n v="16"/>
    <n v="13796"/>
    <n v="12"/>
    <n v="34.299999999999997"/>
    <n v="8"/>
    <n v="720"/>
    <n v="16"/>
    <n v="11512"/>
    <n v="8"/>
    <n v="34.29"/>
    <n v="8"/>
    <n v="825"/>
    <n v="16"/>
    <n v="13195"/>
    <n v="5"/>
    <n v="38503"/>
    <n v="25"/>
    <n v="6.4930005454120457E-4"/>
    <m/>
    <n v="12"/>
    <n v="8"/>
    <n v="5"/>
    <n v="0"/>
    <n v="0"/>
    <n v="0"/>
    <n v="0"/>
    <n v="0"/>
    <n v="0"/>
    <n v="0"/>
    <n v="0"/>
    <n v="0"/>
    <n v="0"/>
    <n v="0"/>
    <n v="0"/>
    <n v="1.0278090277777776"/>
    <n v="0.85749999999999993"/>
    <n v="0.98226562500000003"/>
    <n v="0.95585821759259249"/>
    <n v="0"/>
    <n v="0"/>
    <n v="0"/>
    <n v="1"/>
    <n v="1"/>
    <n v="1"/>
    <n v="16"/>
    <b v="1"/>
  </r>
  <r>
    <d v="2024-05-03T00:00:00"/>
    <s v="25A"/>
    <x v="3"/>
    <n v="26680"/>
    <s v="White"/>
    <n v="6331"/>
    <s v="Running"/>
    <n v="18.559999999999999"/>
    <n v="4"/>
    <n v="938"/>
    <n v="15"/>
    <n v="14070"/>
    <m/>
    <n v="18.36"/>
    <n v="8"/>
    <n v="1669"/>
    <n v="15"/>
    <n v="25035"/>
    <m/>
    <n v="18.36"/>
    <n v="8"/>
    <n v="1465"/>
    <n v="15"/>
    <n v="21975"/>
    <n v="0"/>
    <n v="61080"/>
    <n v="0"/>
    <n v="0"/>
    <m/>
    <m/>
    <m/>
    <m/>
    <m/>
    <m/>
    <m/>
    <m/>
    <m/>
    <m/>
    <m/>
    <m/>
    <m/>
    <m/>
    <m/>
    <m/>
    <n v="1.2089777777777777"/>
    <n v="1.0639875000000001"/>
    <n v="0.93393749999999998"/>
    <n v="1.0689675925925926"/>
    <n v="0"/>
    <n v="0"/>
    <n v="0"/>
    <n v="1"/>
    <n v="1"/>
    <n v="1"/>
    <n v="15"/>
    <b v="0"/>
  </r>
  <r>
    <d v="2024-05-03T00:00:00"/>
    <s v="26A"/>
    <x v="4"/>
    <m/>
    <m/>
    <m/>
    <s v="Down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b v="1"/>
  </r>
  <r>
    <d v="2024-05-03T00:00:00"/>
    <s v="35U1R"/>
    <x v="5"/>
    <m/>
    <m/>
    <m/>
    <s v="Down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b v="1"/>
  </r>
  <r>
    <d v="2024-05-04T00:00:00"/>
    <s v="10A"/>
    <x v="0"/>
    <m/>
    <m/>
    <m/>
    <s v="Down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b v="1"/>
  </r>
  <r>
    <d v="2024-05-04T00:00:00"/>
    <s v="03B"/>
    <x v="1"/>
    <n v="27570"/>
    <s v="Clear"/>
    <n v="2304"/>
    <s v="Running"/>
    <n v="14.92"/>
    <n v="8"/>
    <n v="1861"/>
    <n v="16"/>
    <n v="29776"/>
    <m/>
    <n v="14.92"/>
    <n v="8"/>
    <n v="1830"/>
    <n v="16"/>
    <n v="29280"/>
    <m/>
    <n v="14.92"/>
    <n v="8"/>
    <n v="1834"/>
    <n v="16"/>
    <n v="29344"/>
    <m/>
    <n v="88400"/>
    <m/>
    <m/>
    <m/>
    <m/>
    <m/>
    <m/>
    <m/>
    <m/>
    <m/>
    <m/>
    <m/>
    <m/>
    <m/>
    <m/>
    <m/>
    <m/>
    <m/>
    <m/>
    <n v="0.96410138888888885"/>
    <n v="0.94804166666666667"/>
    <n v="0.95011388888888881"/>
    <n v="0.95408564814814811"/>
    <n v="0"/>
    <n v="0"/>
    <n v="0"/>
    <n v="1"/>
    <n v="1"/>
    <n v="1"/>
    <n v="16"/>
    <b v="0"/>
  </r>
  <r>
    <d v="2024-05-04T00:00:00"/>
    <s v="19A"/>
    <x v="2"/>
    <n v="26680"/>
    <s v="White"/>
    <n v="6331"/>
    <s v="Running"/>
    <n v="34.299999999999997"/>
    <n v="8"/>
    <n v="840"/>
    <n v="16"/>
    <n v="13425"/>
    <n v="15"/>
    <n v="34.299999999999997"/>
    <n v="8"/>
    <n v="843"/>
    <n v="16"/>
    <n v="13478"/>
    <n v="10"/>
    <n v="34.299999999999997"/>
    <n v="8"/>
    <n v="851"/>
    <n v="16"/>
    <n v="13608"/>
    <n v="8"/>
    <n v="40511"/>
    <n v="33"/>
    <n v="8.1459356717928462E-4"/>
    <m/>
    <n v="15"/>
    <n v="10"/>
    <n v="8"/>
    <n v="0"/>
    <n v="0"/>
    <n v="0"/>
    <n v="0"/>
    <n v="0"/>
    <n v="0"/>
    <n v="0"/>
    <n v="0"/>
    <n v="0"/>
    <n v="0"/>
    <n v="0"/>
    <n v="0"/>
    <n v="1.0004166666666665"/>
    <n v="1.0039895833333332"/>
    <n v="1.013517361111111"/>
    <n v="1.005974537037037"/>
    <n v="0"/>
    <n v="0"/>
    <n v="0"/>
    <n v="1"/>
    <n v="1"/>
    <n v="1"/>
    <n v="16"/>
    <b v="1"/>
  </r>
  <r>
    <d v="2024-05-04T00:00:00"/>
    <s v="25A"/>
    <x v="3"/>
    <n v="26680"/>
    <s v="White"/>
    <n v="6331"/>
    <s v="Running"/>
    <n v="18.36"/>
    <n v="8"/>
    <n v="1605"/>
    <n v="16"/>
    <n v="25680"/>
    <m/>
    <n v="18.36"/>
    <n v="8"/>
    <n v="1437"/>
    <n v="16"/>
    <n v="22992"/>
    <m/>
    <n v="18.36"/>
    <n v="8"/>
    <n v="1551"/>
    <n v="16"/>
    <n v="24816"/>
    <n v="0"/>
    <n v="73488"/>
    <n v="0"/>
    <n v="0"/>
    <m/>
    <m/>
    <m/>
    <m/>
    <m/>
    <m/>
    <m/>
    <m/>
    <m/>
    <m/>
    <m/>
    <m/>
    <m/>
    <m/>
    <m/>
    <m/>
    <n v="1.0231874999999999"/>
    <n v="0.91608749999999994"/>
    <n v="0.98876249999999999"/>
    <n v="0.97601249999999995"/>
    <n v="0"/>
    <n v="0"/>
    <n v="0"/>
    <n v="1"/>
    <n v="1"/>
    <n v="1"/>
    <n v="16"/>
    <b v="0"/>
  </r>
  <r>
    <d v="2024-05-04T00:00:00"/>
    <s v="26A"/>
    <x v="4"/>
    <m/>
    <m/>
    <m/>
    <s v="Down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b v="1"/>
  </r>
  <r>
    <d v="2024-05-04T00:00:00"/>
    <s v="35U1R"/>
    <x v="5"/>
    <m/>
    <m/>
    <m/>
    <s v="Down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b v="1"/>
  </r>
  <r>
    <d v="2024-05-05T00:00:00"/>
    <s v="10A"/>
    <x v="0"/>
    <m/>
    <m/>
    <m/>
    <s v="Down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b v="1"/>
  </r>
  <r>
    <d v="2024-05-05T00:00:00"/>
    <s v="03B"/>
    <x v="1"/>
    <n v="27570"/>
    <s v="Clear"/>
    <n v="2304"/>
    <s v="Running"/>
    <n v="14.92"/>
    <n v="8"/>
    <n v="1911"/>
    <n v="16"/>
    <n v="30576"/>
    <m/>
    <n v="14.92"/>
    <n v="8"/>
    <n v="1930"/>
    <n v="16"/>
    <n v="30880"/>
    <m/>
    <n v="14.92"/>
    <n v="8"/>
    <n v="1931"/>
    <n v="16"/>
    <n v="30896"/>
    <m/>
    <n v="92352"/>
    <m/>
    <m/>
    <m/>
    <m/>
    <m/>
    <m/>
    <m/>
    <m/>
    <m/>
    <m/>
    <m/>
    <m/>
    <m/>
    <m/>
    <m/>
    <m/>
    <m/>
    <m/>
    <n v="0.99000416666666669"/>
    <n v="0.99984722222222222"/>
    <n v="1.0003652777777778"/>
    <n v="0.99673888888888895"/>
    <n v="0"/>
    <n v="0"/>
    <n v="0"/>
    <n v="1"/>
    <n v="1"/>
    <n v="1"/>
    <n v="16"/>
    <b v="0"/>
  </r>
  <r>
    <d v="2024-05-05T00:00:00"/>
    <s v="19A"/>
    <x v="2"/>
    <n v="26680"/>
    <s v="White"/>
    <n v="6331"/>
    <s v="Running"/>
    <n v="34.299999999999997"/>
    <n v="8"/>
    <n v="791"/>
    <n v="16"/>
    <n v="12651"/>
    <n v="5"/>
    <n v="34.299999999999997"/>
    <n v="8"/>
    <n v="842"/>
    <n v="16"/>
    <n v="13467"/>
    <n v="5"/>
    <n v="34.299999999999997"/>
    <n v="8"/>
    <n v="839"/>
    <n v="16"/>
    <n v="13416"/>
    <n v="8"/>
    <n v="39534"/>
    <n v="18"/>
    <n v="4.5530429503718318E-4"/>
    <m/>
    <n v="5"/>
    <n v="5"/>
    <n v="8"/>
    <n v="0"/>
    <n v="0"/>
    <n v="0"/>
    <n v="0"/>
    <n v="0"/>
    <n v="0"/>
    <n v="0"/>
    <n v="0"/>
    <n v="0"/>
    <n v="0"/>
    <n v="0"/>
    <n v="0"/>
    <n v="0.94205902777777772"/>
    <n v="1.0027986111111111"/>
    <n v="0.99922569444444431"/>
    <n v="0.98136111111111102"/>
    <n v="0"/>
    <n v="0"/>
    <n v="0"/>
    <n v="1"/>
    <n v="1"/>
    <n v="1"/>
    <n v="16"/>
    <b v="1"/>
  </r>
  <r>
    <d v="2024-05-05T00:00:00"/>
    <s v="25A"/>
    <x v="3"/>
    <n v="26680"/>
    <s v="White"/>
    <n v="6331"/>
    <s v="Running"/>
    <n v="18.36"/>
    <n v="8"/>
    <n v="1462"/>
    <n v="15"/>
    <n v="21930"/>
    <m/>
    <n v="18.36"/>
    <n v="8"/>
    <n v="1628"/>
    <n v="15"/>
    <n v="24420"/>
    <m/>
    <n v="18.36"/>
    <n v="8"/>
    <n v="1564"/>
    <n v="15"/>
    <n v="23460"/>
    <n v="0"/>
    <n v="69810"/>
    <n v="0"/>
    <n v="0"/>
    <m/>
    <m/>
    <m/>
    <m/>
    <m/>
    <m/>
    <m/>
    <m/>
    <m/>
    <m/>
    <m/>
    <m/>
    <m/>
    <m/>
    <m/>
    <m/>
    <n v="0.93202499999999999"/>
    <n v="1.0378499999999999"/>
    <n v="0.99704999999999999"/>
    <n v="0.98897499999999994"/>
    <n v="0"/>
    <n v="0"/>
    <n v="0"/>
    <n v="1"/>
    <n v="1"/>
    <n v="1"/>
    <n v="15"/>
    <b v="0"/>
  </r>
  <r>
    <d v="2024-05-05T00:00:00"/>
    <s v="26A"/>
    <x v="4"/>
    <m/>
    <m/>
    <m/>
    <s v="Down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b v="1"/>
  </r>
  <r>
    <d v="2024-05-05T00:00:00"/>
    <s v="35U1R"/>
    <x v="5"/>
    <m/>
    <m/>
    <m/>
    <s v="Down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b v="1"/>
  </r>
  <r>
    <d v="2024-05-06T00:00:00"/>
    <s v="10A"/>
    <x v="0"/>
    <m/>
    <m/>
    <m/>
    <s v="Down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b v="1"/>
  </r>
  <r>
    <d v="2024-05-06T00:00:00"/>
    <s v="03B"/>
    <x v="1"/>
    <n v="27570"/>
    <s v="Clear"/>
    <n v="2304"/>
    <s v="Running"/>
    <n v="14.93"/>
    <n v="8"/>
    <n v="1925"/>
    <n v="16"/>
    <n v="30800"/>
    <m/>
    <n v="14.93"/>
    <n v="8"/>
    <n v="1887"/>
    <n v="16"/>
    <n v="30192"/>
    <m/>
    <n v="14.92"/>
    <n v="8"/>
    <n v="1825"/>
    <n v="16"/>
    <n v="29200"/>
    <m/>
    <n v="90192"/>
    <m/>
    <m/>
    <m/>
    <m/>
    <m/>
    <m/>
    <m/>
    <m/>
    <m/>
    <m/>
    <m/>
    <m/>
    <m/>
    <m/>
    <m/>
    <m/>
    <m/>
    <m/>
    <n v="0.99792534722222226"/>
    <n v="0.97822604166666671"/>
    <n v="0.94545138888888891"/>
    <n v="0.97386759259259259"/>
    <n v="0"/>
    <n v="0"/>
    <n v="0"/>
    <n v="1"/>
    <n v="1"/>
    <n v="1"/>
    <n v="16"/>
    <b v="0"/>
  </r>
  <r>
    <d v="2024-05-06T00:00:00"/>
    <s v="19A"/>
    <x v="2"/>
    <n v="26680"/>
    <s v="White"/>
    <n v="6331"/>
    <s v="Running"/>
    <n v="34.299999999999997"/>
    <n v="8"/>
    <n v="801"/>
    <n v="16"/>
    <n v="12806"/>
    <n v="10"/>
    <n v="34.31"/>
    <n v="8"/>
    <n v="916"/>
    <n v="16"/>
    <n v="14648"/>
    <n v="8"/>
    <n v="34.29"/>
    <n v="8"/>
    <n v="804"/>
    <n v="16"/>
    <n v="12859"/>
    <n v="5"/>
    <n v="40313"/>
    <n v="23"/>
    <n v="5.7053555924887751E-4"/>
    <m/>
    <n v="10"/>
    <n v="8"/>
    <n v="5"/>
    <n v="0"/>
    <n v="0"/>
    <n v="0"/>
    <n v="0"/>
    <n v="0"/>
    <n v="0"/>
    <n v="0"/>
    <n v="0"/>
    <n v="0"/>
    <n v="0"/>
    <n v="0"/>
    <n v="0"/>
    <n v="0.95396874999999992"/>
    <n v="1.0912486111111113"/>
    <n v="0.95726250000000002"/>
    <n v="1.0008266203703704"/>
    <n v="0"/>
    <n v="0"/>
    <n v="0"/>
    <n v="1"/>
    <n v="1"/>
    <n v="1"/>
    <n v="16"/>
    <b v="1"/>
  </r>
  <r>
    <d v="2024-05-06T00:00:00"/>
    <s v="25A"/>
    <x v="3"/>
    <n v="26680"/>
    <s v="White"/>
    <n v="6331"/>
    <s v="Running"/>
    <n v="18.37"/>
    <n v="8"/>
    <n v="1436"/>
    <n v="15"/>
    <n v="21540"/>
    <m/>
    <n v="18.36"/>
    <n v="8"/>
    <n v="1711"/>
    <n v="15"/>
    <n v="25665"/>
    <m/>
    <n v="18.36"/>
    <n v="8"/>
    <n v="1491"/>
    <n v="15"/>
    <n v="22365"/>
    <n v="0"/>
    <n v="69570"/>
    <n v="0"/>
    <n v="0"/>
    <m/>
    <m/>
    <m/>
    <m/>
    <m/>
    <m/>
    <m/>
    <m/>
    <m/>
    <m/>
    <m/>
    <m/>
    <m/>
    <m/>
    <m/>
    <m/>
    <n v="0.91594861111111114"/>
    <n v="1.0907625000000001"/>
    <n v="0.95051249999999998"/>
    <n v="0.98574120370370366"/>
    <n v="0"/>
    <n v="0"/>
    <n v="0"/>
    <n v="1"/>
    <n v="1"/>
    <n v="1"/>
    <n v="15"/>
    <b v="0"/>
  </r>
  <r>
    <d v="2024-05-06T00:00:00"/>
    <s v="26A"/>
    <x v="4"/>
    <m/>
    <m/>
    <m/>
    <s v="Down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b v="1"/>
  </r>
  <r>
    <d v="2024-05-06T00:00:00"/>
    <s v="35U1R"/>
    <x v="5"/>
    <m/>
    <m/>
    <m/>
    <s v="Down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b v="1"/>
  </r>
  <r>
    <d v="2024-05-07T00:00:00"/>
    <s v="10A"/>
    <x v="0"/>
    <m/>
    <m/>
    <m/>
    <s v="Down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b v="1"/>
  </r>
  <r>
    <d v="2024-05-07T00:00:00"/>
    <s v="03B"/>
    <x v="1"/>
    <n v="27570"/>
    <s v="Clear"/>
    <n v="2304"/>
    <s v="Running"/>
    <n v="14.92"/>
    <n v="8"/>
    <n v="1972"/>
    <n v="16"/>
    <n v="31552"/>
    <m/>
    <n v="14.92"/>
    <n v="8"/>
    <n v="2097"/>
    <n v="16"/>
    <n v="33552"/>
    <m/>
    <n v="14.92"/>
    <n v="8"/>
    <n v="1888"/>
    <n v="16"/>
    <n v="30208"/>
    <m/>
    <n v="95312"/>
    <m/>
    <m/>
    <m/>
    <m/>
    <m/>
    <m/>
    <m/>
    <m/>
    <m/>
    <m/>
    <m/>
    <m/>
    <m/>
    <m/>
    <m/>
    <m/>
    <m/>
    <m/>
    <n v="1.0216055555555557"/>
    <n v="1.0863625000000001"/>
    <n v="0.9780888888888889"/>
    <n v="1.0286856481481481"/>
    <n v="0"/>
    <n v="0"/>
    <n v="0"/>
    <n v="1"/>
    <n v="1"/>
    <n v="1"/>
    <n v="16"/>
    <b v="0"/>
  </r>
  <r>
    <d v="2024-05-07T00:00:00"/>
    <s v="19A"/>
    <x v="2"/>
    <n v="26680"/>
    <s v="White"/>
    <n v="6331"/>
    <s v="Running"/>
    <n v="34.4"/>
    <n v="8"/>
    <n v="849"/>
    <n v="16"/>
    <n v="13576"/>
    <n v="8"/>
    <n v="34.299999999999997"/>
    <n v="8"/>
    <n v="869"/>
    <n v="16"/>
    <n v="13899"/>
    <n v="5"/>
    <n v="34.299999999999997"/>
    <n v="8"/>
    <n v="782"/>
    <n v="16"/>
    <n v="12507"/>
    <n v="5"/>
    <n v="39982"/>
    <n v="18"/>
    <n v="4.5020259116602469E-4"/>
    <m/>
    <n v="8"/>
    <n v="5"/>
    <n v="5"/>
    <n v="0"/>
    <n v="0"/>
    <n v="0"/>
    <n v="0"/>
    <n v="0"/>
    <n v="0"/>
    <n v="0"/>
    <n v="0"/>
    <n v="0"/>
    <n v="0"/>
    <n v="0"/>
    <n v="0"/>
    <n v="1.0140833333333332"/>
    <n v="1.034954861111111"/>
    <n v="0.93134027777777773"/>
    <n v="0.99345949074074058"/>
    <n v="0"/>
    <n v="0"/>
    <n v="0"/>
    <n v="1"/>
    <n v="1"/>
    <n v="1"/>
    <n v="16"/>
    <b v="1"/>
  </r>
  <r>
    <d v="2024-05-07T00:00:00"/>
    <s v="25A"/>
    <x v="3"/>
    <n v="26680"/>
    <s v="White"/>
    <n v="6331"/>
    <s v="Running"/>
    <n v="18.36"/>
    <n v="8"/>
    <n v="1435"/>
    <n v="15"/>
    <n v="21525"/>
    <m/>
    <n v="18.36"/>
    <n v="8"/>
    <n v="1589"/>
    <n v="15"/>
    <n v="23835"/>
    <m/>
    <n v="18.36"/>
    <n v="8"/>
    <n v="1219"/>
    <n v="15"/>
    <n v="18285"/>
    <n v="0"/>
    <n v="63645"/>
    <n v="0"/>
    <n v="0"/>
    <m/>
    <m/>
    <m/>
    <m/>
    <m/>
    <m/>
    <m/>
    <m/>
    <m/>
    <m/>
    <m/>
    <m/>
    <m/>
    <m/>
    <m/>
    <m/>
    <n v="0.91481249999999992"/>
    <n v="1.0129874999999999"/>
    <n v="0.77711249999999998"/>
    <n v="0.90163749999999998"/>
    <n v="0"/>
    <n v="0"/>
    <n v="0"/>
    <n v="1"/>
    <n v="1"/>
    <n v="1"/>
    <n v="15"/>
    <b v="0"/>
  </r>
  <r>
    <d v="2024-05-07T00:00:00"/>
    <s v="26A"/>
    <x v="4"/>
    <m/>
    <m/>
    <m/>
    <s v="Down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b v="1"/>
  </r>
  <r>
    <d v="2024-05-07T00:00:00"/>
    <s v="35U1R"/>
    <x v="5"/>
    <m/>
    <m/>
    <m/>
    <s v="Down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b v="1"/>
  </r>
  <r>
    <d v="2024-05-08T00:00:00"/>
    <s v="10A"/>
    <x v="0"/>
    <m/>
    <m/>
    <m/>
    <s v="Down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b v="1"/>
  </r>
  <r>
    <d v="2024-05-08T00:00:00"/>
    <s v="03B"/>
    <x v="1"/>
    <n v="27570"/>
    <s v="Clear"/>
    <n v="2304"/>
    <s v="Running"/>
    <n v="14.9"/>
    <n v="8"/>
    <n v="1996"/>
    <n v="16"/>
    <n v="31936"/>
    <m/>
    <n v="14.9"/>
    <n v="8"/>
    <n v="1846"/>
    <n v="16"/>
    <n v="29536"/>
    <m/>
    <n v="14.92"/>
    <n v="8"/>
    <n v="1891"/>
    <n v="16"/>
    <n v="30256"/>
    <m/>
    <n v="91728"/>
    <m/>
    <m/>
    <m/>
    <m/>
    <m/>
    <m/>
    <m/>
    <m/>
    <m/>
    <m/>
    <m/>
    <m/>
    <m/>
    <m/>
    <m/>
    <m/>
    <m/>
    <m/>
    <n v="1.0326527777777779"/>
    <n v="0.95504861111111117"/>
    <n v="0.97964305555555564"/>
    <n v="0.98911481481481489"/>
    <n v="0"/>
    <n v="0"/>
    <n v="0"/>
    <n v="1"/>
    <n v="1"/>
    <n v="1"/>
    <n v="16"/>
    <b v="0"/>
  </r>
  <r>
    <d v="2024-05-08T00:00:00"/>
    <s v="19A"/>
    <x v="2"/>
    <n v="26680"/>
    <s v="White"/>
    <n v="6331"/>
    <s v="Running"/>
    <n v="34.299999999999997"/>
    <n v="8"/>
    <n v="841"/>
    <n v="16"/>
    <n v="13446"/>
    <n v="10"/>
    <n v="34.4"/>
    <n v="8"/>
    <n v="835"/>
    <n v="16"/>
    <n v="13352"/>
    <n v="8"/>
    <n v="34.4"/>
    <n v="8"/>
    <n v="762"/>
    <n v="16"/>
    <n v="12188"/>
    <n v="4"/>
    <n v="38986"/>
    <n v="22"/>
    <n v="5.6430513517673013E-4"/>
    <m/>
    <n v="10"/>
    <n v="8"/>
    <n v="4"/>
    <n v="0"/>
    <n v="0"/>
    <n v="0"/>
    <n v="0"/>
    <n v="0"/>
    <n v="0"/>
    <n v="0"/>
    <n v="0"/>
    <n v="0"/>
    <n v="0"/>
    <n v="0"/>
    <n v="0"/>
    <n v="1.0016076388888888"/>
    <n v="0.99736111111111114"/>
    <n v="0.91016666666666668"/>
    <n v="0.96971180555555547"/>
    <n v="0"/>
    <n v="0"/>
    <n v="0"/>
    <n v="1"/>
    <n v="1"/>
    <n v="1"/>
    <n v="16"/>
    <b v="1"/>
  </r>
  <r>
    <d v="2024-05-08T00:00:00"/>
    <s v="25A"/>
    <x v="3"/>
    <n v="26680"/>
    <s v="White"/>
    <n v="6331"/>
    <s v="Running"/>
    <n v="18.37"/>
    <n v="8"/>
    <n v="1540"/>
    <n v="15"/>
    <n v="23100"/>
    <m/>
    <n v="18.32"/>
    <n v="8"/>
    <n v="1506"/>
    <n v="15"/>
    <n v="22590"/>
    <m/>
    <n v="18.38"/>
    <n v="8"/>
    <n v="1274"/>
    <n v="8"/>
    <n v="10192"/>
    <n v="0"/>
    <n v="55882"/>
    <n v="0"/>
    <n v="0"/>
    <m/>
    <m/>
    <m/>
    <m/>
    <m/>
    <m/>
    <m/>
    <m/>
    <m/>
    <m/>
    <m/>
    <m/>
    <m/>
    <m/>
    <m/>
    <m/>
    <n v="0.9822847222222223"/>
    <n v="0.95798333333333341"/>
    <n v="0.81305972222222223"/>
    <n v="0.91777592592592594"/>
    <n v="0"/>
    <n v="0"/>
    <n v="0"/>
    <n v="1"/>
    <n v="1"/>
    <n v="1"/>
    <n v="15"/>
    <b v="0"/>
  </r>
  <r>
    <d v="2024-05-08T00:00:00"/>
    <s v="26A"/>
    <x v="4"/>
    <m/>
    <m/>
    <m/>
    <s v="Down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b v="1"/>
  </r>
  <r>
    <d v="2024-05-08T00:00:00"/>
    <s v="35U1R"/>
    <x v="5"/>
    <m/>
    <m/>
    <m/>
    <s v="Down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b v="1"/>
  </r>
  <r>
    <d v="2024-05-09T00:00:00"/>
    <s v="10A"/>
    <x v="0"/>
    <m/>
    <m/>
    <m/>
    <s v="Down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b v="1"/>
  </r>
  <r>
    <d v="2024-05-09T00:00:00"/>
    <s v="03B"/>
    <x v="1"/>
    <n v="27570"/>
    <s v="Clear"/>
    <n v="2304"/>
    <s v="Running"/>
    <n v="14.92"/>
    <n v="8"/>
    <n v="1928"/>
    <n v="16"/>
    <n v="30848"/>
    <m/>
    <n v="14.92"/>
    <n v="8"/>
    <n v="1909"/>
    <n v="16"/>
    <n v="30544"/>
    <m/>
    <n v="14.92"/>
    <n v="8"/>
    <n v="1792"/>
    <n v="16"/>
    <n v="28672"/>
    <m/>
    <n v="90064"/>
    <m/>
    <m/>
    <m/>
    <m/>
    <m/>
    <m/>
    <m/>
    <m/>
    <m/>
    <m/>
    <m/>
    <m/>
    <m/>
    <m/>
    <m/>
    <m/>
    <m/>
    <m/>
    <n v="0.99881111111111109"/>
    <n v="0.98896805555555556"/>
    <n v="0.92835555555555549"/>
    <n v="0.97204490740740734"/>
    <n v="0"/>
    <n v="0"/>
    <n v="0"/>
    <n v="1"/>
    <n v="1"/>
    <n v="1"/>
    <n v="16"/>
    <b v="0"/>
  </r>
  <r>
    <d v="2024-05-09T00:00:00"/>
    <s v="19A"/>
    <x v="2"/>
    <n v="26680"/>
    <s v="White"/>
    <n v="6331"/>
    <s v="Running"/>
    <n v="34.4"/>
    <n v="8"/>
    <n v="860"/>
    <n v="16"/>
    <n v="13752"/>
    <n v="8"/>
    <n v="34.4"/>
    <n v="8"/>
    <n v="848"/>
    <n v="16"/>
    <n v="13564"/>
    <n v="4"/>
    <n v="34.4"/>
    <n v="8"/>
    <n v="807"/>
    <n v="16"/>
    <n v="12904"/>
    <n v="8"/>
    <n v="40220"/>
    <n v="20"/>
    <n v="4.9726504226752855E-4"/>
    <m/>
    <n v="8"/>
    <n v="4"/>
    <n v="8"/>
    <n v="0"/>
    <n v="0"/>
    <n v="0"/>
    <n v="0"/>
    <n v="0"/>
    <n v="0"/>
    <n v="0"/>
    <n v="0"/>
    <n v="0"/>
    <n v="0"/>
    <n v="0"/>
    <n v="0"/>
    <n v="1.0272222222222223"/>
    <n v="1.0128888888888887"/>
    <n v="0.96391666666666664"/>
    <n v="1.0013425925925925"/>
    <n v="0"/>
    <n v="0"/>
    <n v="0"/>
    <n v="1"/>
    <n v="1"/>
    <n v="1"/>
    <n v="16"/>
    <b v="1"/>
  </r>
  <r>
    <d v="2024-05-09T00:00:00"/>
    <s v="25A"/>
    <x v="3"/>
    <n v="26680"/>
    <s v="White"/>
    <n v="6331"/>
    <s v="Running"/>
    <n v="18.36"/>
    <n v="8"/>
    <n v="1685"/>
    <n v="17"/>
    <n v="28645"/>
    <m/>
    <n v="18.36"/>
    <n v="8"/>
    <n v="1655"/>
    <n v="17"/>
    <n v="28135"/>
    <m/>
    <n v="18.37"/>
    <n v="8"/>
    <n v="1628"/>
    <n v="15"/>
    <n v="24420"/>
    <n v="0"/>
    <n v="81200"/>
    <n v="0"/>
    <n v="0"/>
    <m/>
    <m/>
    <m/>
    <m/>
    <m/>
    <m/>
    <m/>
    <m/>
    <m/>
    <m/>
    <m/>
    <m/>
    <m/>
    <m/>
    <m/>
    <m/>
    <n v="1.0741874999999999"/>
    <n v="1.0550625"/>
    <n v="1.0384152777777778"/>
    <n v="1.0558884259259258"/>
    <n v="0"/>
    <n v="0"/>
    <n v="0"/>
    <n v="1"/>
    <n v="1"/>
    <n v="1"/>
    <n v="17"/>
    <b v="0"/>
  </r>
  <r>
    <d v="2024-05-09T00:00:00"/>
    <s v="26A"/>
    <x v="4"/>
    <m/>
    <m/>
    <m/>
    <s v="Down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b v="1"/>
  </r>
  <r>
    <d v="2024-05-09T00:00:00"/>
    <s v="35U1R"/>
    <x v="5"/>
    <m/>
    <m/>
    <m/>
    <s v="Down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b v="1"/>
  </r>
  <r>
    <d v="2024-05-10T00:00:00"/>
    <s v="10A"/>
    <x v="0"/>
    <m/>
    <m/>
    <m/>
    <s v="Down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b v="1"/>
  </r>
  <r>
    <d v="2024-05-10T00:00:00"/>
    <s v="03B"/>
    <x v="1"/>
    <n v="27570"/>
    <s v="Clear"/>
    <n v="2304"/>
    <s v="Running"/>
    <n v="14.92"/>
    <n v="8"/>
    <n v="1872"/>
    <n v="16"/>
    <n v="29952"/>
    <m/>
    <n v="14.92"/>
    <n v="8"/>
    <n v="2056"/>
    <n v="16"/>
    <n v="32896"/>
    <m/>
    <n v="14.92"/>
    <n v="8"/>
    <n v="1862"/>
    <n v="16"/>
    <n v="29792"/>
    <m/>
    <n v="92640"/>
    <m/>
    <m/>
    <m/>
    <m/>
    <m/>
    <m/>
    <m/>
    <m/>
    <m/>
    <m/>
    <m/>
    <m/>
    <m/>
    <m/>
    <m/>
    <m/>
    <m/>
    <m/>
    <n v="0.96980000000000011"/>
    <n v="1.0651222222222223"/>
    <n v="0.96461944444444447"/>
    <n v="0.99984722222222222"/>
    <n v="0"/>
    <n v="0"/>
    <n v="0"/>
    <n v="1"/>
    <n v="1"/>
    <n v="1"/>
    <n v="16"/>
    <b v="0"/>
  </r>
  <r>
    <d v="2024-05-10T00:00:00"/>
    <s v="19A"/>
    <x v="2"/>
    <n v="26680"/>
    <s v="White"/>
    <n v="6331"/>
    <s v="Running"/>
    <n v="34.299999999999997"/>
    <n v="8"/>
    <n v="856"/>
    <n v="16"/>
    <n v="13686"/>
    <n v="10"/>
    <n v="34.299999999999997"/>
    <n v="8"/>
    <n v="880"/>
    <n v="16"/>
    <n v="14073"/>
    <n v="7"/>
    <n v="34.4"/>
    <n v="8"/>
    <n v="766"/>
    <n v="16"/>
    <n v="12251"/>
    <n v="5"/>
    <n v="40010"/>
    <n v="22"/>
    <n v="5.4986253436640836E-4"/>
    <m/>
    <n v="10"/>
    <n v="7"/>
    <n v="5"/>
    <n v="0"/>
    <n v="0"/>
    <n v="0"/>
    <n v="0"/>
    <n v="0"/>
    <n v="0"/>
    <n v="0"/>
    <n v="0"/>
    <n v="0"/>
    <n v="0"/>
    <n v="0"/>
    <n v="0"/>
    <n v="1.0194722222222221"/>
    <n v="1.0480555555555555"/>
    <n v="0.91494444444444434"/>
    <n v="0.99415740740740721"/>
    <n v="0"/>
    <n v="0"/>
    <n v="0"/>
    <n v="1"/>
    <n v="1"/>
    <n v="1"/>
    <n v="16"/>
    <b v="1"/>
  </r>
  <r>
    <d v="2024-05-10T00:00:00"/>
    <s v="25A"/>
    <x v="3"/>
    <n v="26680"/>
    <s v="White"/>
    <n v="6331"/>
    <s v="Running"/>
    <n v="18.36"/>
    <n v="8"/>
    <n v="1504"/>
    <n v="15"/>
    <n v="22560"/>
    <m/>
    <n v="18.37"/>
    <n v="8"/>
    <n v="1317"/>
    <n v="15"/>
    <n v="19755"/>
    <m/>
    <n v="18.36"/>
    <n v="8"/>
    <n v="1240"/>
    <n v="15"/>
    <n v="18600"/>
    <n v="0"/>
    <n v="60915"/>
    <n v="0"/>
    <n v="0"/>
    <m/>
    <m/>
    <m/>
    <m/>
    <m/>
    <m/>
    <m/>
    <m/>
    <m/>
    <m/>
    <m/>
    <m/>
    <m/>
    <m/>
    <m/>
    <m/>
    <n v="0.95879999999999999"/>
    <n v="0.84004479166666668"/>
    <n v="0.79049999999999987"/>
    <n v="0.86311493055555555"/>
    <n v="0"/>
    <n v="0"/>
    <n v="0"/>
    <n v="1"/>
    <n v="1"/>
    <n v="1"/>
    <n v="15"/>
    <b v="0"/>
  </r>
  <r>
    <d v="2024-05-10T00:00:00"/>
    <s v="26A"/>
    <x v="4"/>
    <m/>
    <m/>
    <m/>
    <s v="Down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b v="1"/>
  </r>
  <r>
    <d v="2024-05-10T00:00:00"/>
    <s v="35U1R"/>
    <x v="5"/>
    <m/>
    <m/>
    <m/>
    <s v="Down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b v="1"/>
  </r>
  <r>
    <d v="2024-05-11T00:00:00"/>
    <s v="10A"/>
    <x v="0"/>
    <m/>
    <m/>
    <m/>
    <s v="Down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b v="1"/>
  </r>
  <r>
    <d v="2024-05-11T00:00:00"/>
    <s v="03B"/>
    <x v="1"/>
    <m/>
    <m/>
    <m/>
    <s v="Down"/>
    <n v="0"/>
    <n v="0"/>
    <n v="0"/>
    <n v="0"/>
    <n v="0"/>
    <m/>
    <n v="0"/>
    <n v="0"/>
    <n v="0"/>
    <n v="0"/>
    <n v="0"/>
    <m/>
    <n v="0"/>
    <n v="0"/>
    <n v="0"/>
    <n v="0"/>
    <n v="0"/>
    <m/>
    <n v="0"/>
    <m/>
    <m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  <n v="0"/>
    <b v="0"/>
  </r>
  <r>
    <d v="2024-05-11T00:00:00"/>
    <s v="19A"/>
    <x v="2"/>
    <m/>
    <m/>
    <m/>
    <s v="Down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b v="1"/>
  </r>
  <r>
    <d v="2024-05-11T00:00:00"/>
    <s v="25A"/>
    <x v="3"/>
    <m/>
    <m/>
    <m/>
    <s v="Down"/>
    <n v="0"/>
    <n v="0"/>
    <n v="0"/>
    <n v="0"/>
    <n v="0"/>
    <m/>
    <n v="0"/>
    <n v="0"/>
    <n v="0"/>
    <n v="0"/>
    <n v="0"/>
    <m/>
    <n v="0"/>
    <n v="0"/>
    <n v="0"/>
    <n v="0"/>
    <n v="0"/>
    <n v="0"/>
    <n v="0"/>
    <n v="0"/>
    <n v="0"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  <n v="0"/>
    <b v="0"/>
  </r>
  <r>
    <d v="2024-05-11T00:00:00"/>
    <s v="26A"/>
    <x v="4"/>
    <m/>
    <m/>
    <m/>
    <s v="Down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b v="1"/>
  </r>
  <r>
    <d v="2024-05-11T00:00:00"/>
    <s v="35U1R"/>
    <x v="5"/>
    <m/>
    <m/>
    <m/>
    <s v="Down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b v="1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count="35">
  <r>
    <x v="0"/>
    <s v="Final ASS"/>
    <n v="27121"/>
    <s v="Sun Bum"/>
    <s v="Running"/>
    <n v="20"/>
    <n v="8"/>
    <n v="17"/>
    <n v="21593"/>
    <n v="7"/>
    <m/>
    <n v="480"/>
    <n v="30000"/>
  </r>
  <r>
    <x v="0"/>
    <s v="Final ASS"/>
    <n v="25987"/>
    <s v="Lume"/>
    <s v="Running"/>
    <n v="20"/>
    <n v="25"/>
    <n v="19"/>
    <n v="30711"/>
    <n v="9"/>
    <s v="Shift-1, 2, 3 子彈螺絲送料平台多次故障"/>
    <n v="480"/>
    <n v="30000"/>
  </r>
  <r>
    <x v="1"/>
    <s v="Final ASS"/>
    <n v="27121"/>
    <s v="Sun Bum"/>
    <s v="Running"/>
    <n v="10"/>
    <n v="0"/>
    <n v="0"/>
    <n v="4799"/>
    <n v="1"/>
    <s v="Shift-1 缺螺絲待貨"/>
    <n v="480"/>
    <n v="30000"/>
  </r>
  <r>
    <x v="1"/>
    <s v="Final ASS"/>
    <n v="25987"/>
    <s v="Lume"/>
    <s v="Running"/>
    <n v="35"/>
    <n v="39"/>
    <n v="14"/>
    <n v="42229"/>
    <n v="11"/>
    <s v="Shift-1 調修送料列位及吸樽前後; Shift-2 火警鐘停機"/>
    <n v="480"/>
    <n v="30000"/>
  </r>
  <r>
    <x v="1"/>
    <s v="Final ASS"/>
    <n v="26680"/>
    <s v="Lume"/>
    <s v="Running"/>
    <n v="0"/>
    <n v="0"/>
    <n v="21"/>
    <n v="10077"/>
    <n v="3"/>
    <m/>
    <n v="480"/>
    <n v="30000"/>
  </r>
  <r>
    <x v="2"/>
    <s v="Final ASS"/>
    <n v="27121"/>
    <s v="Sun Bum"/>
    <s v="Running"/>
    <n v="2"/>
    <n v="0"/>
    <n v="0"/>
    <n v="958"/>
    <n v="2"/>
    <m/>
    <n v="480"/>
    <n v="30000"/>
  </r>
  <r>
    <x v="2"/>
    <s v="Final ASS"/>
    <n v="26680"/>
    <s v="Lume"/>
    <s v="Running"/>
    <n v="35"/>
    <n v="41"/>
    <n v="41"/>
    <n v="56149"/>
    <n v="11"/>
    <s v="Shift-1 10:25AM停机维修1.5小时；平台送料经常出错"/>
    <n v="480"/>
    <n v="30000"/>
  </r>
  <r>
    <x v="3"/>
    <s v="Final ASS"/>
    <n v="26680"/>
    <s v="Lume"/>
    <s v="Running"/>
    <n v="42"/>
    <n v="41"/>
    <n v="34"/>
    <n v="56151"/>
    <n v="9"/>
    <s v="平台送料不到位，夹成品经常掉落"/>
    <n v="480"/>
    <n v="30000"/>
  </r>
  <r>
    <x v="4"/>
    <s v="Final ASS"/>
    <n v="26680"/>
    <s v="Lume"/>
    <s v="Running"/>
    <n v="44"/>
    <n v="40"/>
    <n v="39"/>
    <n v="59034"/>
    <n v="6"/>
    <s v="夹不住经常掉管子"/>
    <n v="480"/>
    <n v="30000"/>
  </r>
  <r>
    <x v="5"/>
    <s v="Final ASS"/>
    <n v="26680"/>
    <s v="Lume"/>
    <s v="Running"/>
    <n v="43"/>
    <n v="39"/>
    <n v="24"/>
    <n v="50867"/>
    <n v="13"/>
    <m/>
    <n v="480"/>
    <n v="30000"/>
  </r>
  <r>
    <x v="6"/>
    <s v="Final ASS"/>
    <n v="26680"/>
    <s v="Lume"/>
    <s v="Running"/>
    <n v="25"/>
    <n v="25"/>
    <n v="27"/>
    <n v="36945"/>
    <n v="15"/>
    <m/>
    <n v="480"/>
    <n v="30000"/>
  </r>
  <r>
    <x v="7"/>
    <s v="Final ASS"/>
    <n v="26680"/>
    <s v="Lume"/>
    <s v="Running"/>
    <n v="23"/>
    <n v="25"/>
    <n v="26"/>
    <n v="35503"/>
    <n v="17"/>
    <s v="Shift-1 12:00-13:00 Maintain 1 hour"/>
    <n v="480"/>
    <n v="30000"/>
  </r>
  <r>
    <x v="8"/>
    <s v="Final ASS"/>
    <n v="26680"/>
    <s v="Lume"/>
    <s v="Running"/>
    <n v="25"/>
    <n v="16"/>
    <n v="23"/>
    <n v="30711"/>
    <n v="9"/>
    <s v="Shift-2 子彈門閘斷開，轉盤斷電"/>
    <n v="480"/>
    <n v="30000"/>
  </r>
  <r>
    <x v="9"/>
    <s v="Final ASS"/>
    <n v="26680"/>
    <s v="Lume"/>
    <s v="Running"/>
    <n v="35"/>
    <n v="41"/>
    <n v="4"/>
    <n v="38389"/>
    <n v="11"/>
    <s v="Shift-3 00:45 機器故障維修"/>
    <n v="480"/>
    <n v="30000"/>
  </r>
  <r>
    <x v="10"/>
    <s v="Final ASS"/>
    <m/>
    <m/>
    <s v="Down"/>
    <n v="0"/>
    <n v="0"/>
    <n v="0"/>
    <n v="0"/>
    <n v="0"/>
    <m/>
    <n v="480"/>
    <n v="30000"/>
  </r>
  <r>
    <x v="11"/>
    <s v="Final ASS"/>
    <m/>
    <m/>
    <s v="Down"/>
    <n v="0"/>
    <n v="0"/>
    <n v="0"/>
    <n v="0"/>
    <n v="0"/>
    <m/>
    <n v="480"/>
    <n v="30000"/>
  </r>
  <r>
    <x v="12"/>
    <s v="Final ASS"/>
    <m/>
    <m/>
    <s v="Down"/>
    <n v="0"/>
    <n v="0"/>
    <n v="0"/>
    <n v="0"/>
    <n v="0"/>
    <m/>
    <n v="480"/>
    <n v="30000"/>
  </r>
  <r>
    <x v="13"/>
    <s v="Final ASS"/>
    <m/>
    <m/>
    <s v="Down"/>
    <n v="0"/>
    <n v="0"/>
    <n v="0"/>
    <n v="0"/>
    <n v="0"/>
    <m/>
    <n v="480"/>
    <n v="30000"/>
  </r>
  <r>
    <x v="14"/>
    <s v="Final ASS"/>
    <m/>
    <m/>
    <s v="Down"/>
    <n v="0"/>
    <n v="0"/>
    <n v="0"/>
    <n v="0"/>
    <n v="0"/>
    <m/>
    <n v="480"/>
    <n v="30000"/>
  </r>
  <r>
    <x v="15"/>
    <s v="Final ASS"/>
    <m/>
    <m/>
    <s v="Down"/>
    <n v="0"/>
    <n v="0"/>
    <n v="0"/>
    <n v="0"/>
    <n v="0"/>
    <m/>
    <n v="480"/>
    <n v="30000"/>
  </r>
  <r>
    <x v="16"/>
    <s v="Final ASS"/>
    <m/>
    <m/>
    <s v="Down"/>
    <n v="0"/>
    <n v="0"/>
    <n v="0"/>
    <n v="0"/>
    <n v="0"/>
    <m/>
    <n v="480"/>
    <n v="30000"/>
  </r>
  <r>
    <x v="17"/>
    <s v="Final ASS"/>
    <m/>
    <m/>
    <s v="Down"/>
    <n v="0"/>
    <n v="0"/>
    <n v="0"/>
    <n v="0"/>
    <n v="0"/>
    <m/>
    <n v="480"/>
    <n v="30000"/>
  </r>
  <r>
    <x v="18"/>
    <s v="Final ASS"/>
    <m/>
    <m/>
    <s v="Down"/>
    <n v="0"/>
    <n v="0"/>
    <n v="0"/>
    <n v="0"/>
    <n v="0"/>
    <m/>
    <n v="480"/>
    <n v="30000"/>
  </r>
  <r>
    <x v="19"/>
    <s v="Final ASS"/>
    <m/>
    <m/>
    <s v="Down"/>
    <n v="0"/>
    <n v="0"/>
    <n v="0"/>
    <n v="0"/>
    <n v="0"/>
    <m/>
    <n v="480"/>
    <n v="30000"/>
  </r>
  <r>
    <x v="20"/>
    <s v="Final ASS"/>
    <m/>
    <m/>
    <s v="Down"/>
    <n v="0"/>
    <n v="0"/>
    <n v="0"/>
    <n v="0"/>
    <n v="0"/>
    <m/>
    <n v="480"/>
    <n v="30000"/>
  </r>
  <r>
    <x v="21"/>
    <s v="Final ASS"/>
    <m/>
    <m/>
    <s v="Down"/>
    <n v="0"/>
    <n v="0"/>
    <n v="0"/>
    <n v="0"/>
    <n v="0"/>
    <m/>
    <n v="480"/>
    <n v="30000"/>
  </r>
  <r>
    <x v="22"/>
    <s v="Final ASS"/>
    <m/>
    <m/>
    <s v="Down"/>
    <n v="0"/>
    <n v="0"/>
    <n v="0"/>
    <n v="0"/>
    <n v="0"/>
    <m/>
    <n v="480"/>
    <n v="30000"/>
  </r>
  <r>
    <x v="23"/>
    <s v="Final ASS"/>
    <m/>
    <m/>
    <s v="Down"/>
    <n v="0"/>
    <n v="0"/>
    <n v="0"/>
    <n v="0"/>
    <n v="0"/>
    <m/>
    <n v="480"/>
    <n v="30000"/>
  </r>
  <r>
    <x v="24"/>
    <s v="Final ASS"/>
    <m/>
    <m/>
    <s v="Down"/>
    <n v="0"/>
    <n v="0"/>
    <n v="0"/>
    <n v="0"/>
    <n v="0"/>
    <m/>
    <n v="480"/>
    <n v="30000"/>
  </r>
  <r>
    <x v="25"/>
    <s v="Final ASS"/>
    <m/>
    <m/>
    <s v="Down"/>
    <n v="0"/>
    <n v="0"/>
    <n v="0"/>
    <n v="0"/>
    <n v="0"/>
    <m/>
    <n v="480"/>
    <n v="30000"/>
  </r>
  <r>
    <x v="26"/>
    <s v="Final ASS"/>
    <m/>
    <m/>
    <s v="Down"/>
    <n v="0"/>
    <n v="0"/>
    <n v="0"/>
    <n v="0"/>
    <n v="0"/>
    <m/>
    <n v="480"/>
    <n v="30000"/>
  </r>
  <r>
    <x v="27"/>
    <s v="Final ASS"/>
    <m/>
    <m/>
    <s v="Down"/>
    <n v="0"/>
    <n v="0"/>
    <n v="0"/>
    <n v="0"/>
    <n v="0"/>
    <m/>
    <n v="480"/>
    <n v="30000"/>
  </r>
  <r>
    <x v="28"/>
    <s v="Final ASS"/>
    <m/>
    <m/>
    <s v="Down"/>
    <n v="0"/>
    <n v="0"/>
    <n v="0"/>
    <n v="0"/>
    <n v="0"/>
    <m/>
    <n v="480"/>
    <n v="30000"/>
  </r>
  <r>
    <x v="29"/>
    <s v="Final ASS"/>
    <m/>
    <m/>
    <s v="Down"/>
    <n v="0"/>
    <n v="0"/>
    <n v="0"/>
    <n v="0"/>
    <n v="0"/>
    <m/>
    <n v="480"/>
    <n v="30000"/>
  </r>
  <r>
    <x v="30"/>
    <s v="Final ASS"/>
    <m/>
    <m/>
    <s v="Down"/>
    <n v="0"/>
    <n v="0"/>
    <n v="0"/>
    <n v="0"/>
    <n v="0"/>
    <m/>
    <n v="480"/>
    <n v="3000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PivotTable3" cacheId="18" applyNumberFormats="0" applyBorderFormats="0" applyFontFormats="0" applyPatternFormats="0" applyAlignmentFormats="0" applyWidthHeightFormats="1" dataCaption="Values" updatedVersion="4" minRefreshableVersion="3" useAutoFormatting="1" itemPrintTitles="1" createdVersion="4" indent="0" outline="1" outlineData="1" multipleFieldFilters="0">
  <location ref="A3:H5" firstHeaderRow="0" firstDataRow="1" firstDataCol="1"/>
  <pivotFields count="59">
    <pivotField numFmtId="167" showAll="0"/>
    <pivotField showAll="0"/>
    <pivotField axis="axisRow" showAll="0">
      <items count="12">
        <item h="1" m="1" x="8"/>
        <item x="0"/>
        <item h="1" x="5"/>
        <item h="1" m="1" x="10"/>
        <item h="1" m="1" x="9"/>
        <item h="1" x="1"/>
        <item h="1" x="2"/>
        <item h="1" x="3"/>
        <item h="1" x="4"/>
        <item h="1" m="1" x="7"/>
        <item h="1" m="1" x="6"/>
        <item t="default"/>
      </items>
    </pivotField>
    <pivotField showAll="0"/>
    <pivotField showAll="0"/>
    <pivotField showAll="0"/>
    <pivotField showAll="0"/>
    <pivotField numFmtId="164" showAll="0"/>
    <pivotField numFmtId="165" showAll="0"/>
    <pivotField numFmtId="166" showAll="0"/>
    <pivotField numFmtId="166" showAll="0"/>
    <pivotField numFmtId="166" showAll="0"/>
    <pivotField showAll="0"/>
    <pivotField numFmtId="164" showAll="0"/>
    <pivotField numFmtId="165" showAll="0"/>
    <pivotField numFmtId="166" showAll="0"/>
    <pivotField numFmtId="166" showAll="0"/>
    <pivotField numFmtId="166" showAll="0"/>
    <pivotField showAll="0"/>
    <pivotField numFmtId="164" showAll="0"/>
    <pivotField numFmtId="165" showAll="0"/>
    <pivotField numFmtId="166" showAll="0"/>
    <pivotField numFmtId="166" showAll="0"/>
    <pivotField numFmtId="166" showAll="0"/>
    <pivotField showAll="0"/>
    <pivotField numFmtId="166"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numFmtId="168" showAll="0"/>
    <pivotField numFmtId="168" showAll="0"/>
    <pivotField numFmtId="168" showAll="0"/>
    <pivotField numFmtId="168" showAll="0"/>
    <pivotField dataField="1" numFmtId="168" showAll="0"/>
    <pivotField dataField="1" numFmtId="168" showAll="0"/>
    <pivotField dataField="1" numFmtId="168" showAll="0"/>
    <pivotField numFmtId="1" showAll="0"/>
    <pivotField numFmtId="1" showAll="0"/>
    <pivotField numFmtId="1" showAll="0"/>
    <pivotField dataField="1" numFmtId="1" showAll="0"/>
    <pivotField showAll="0"/>
    <pivotField dataField="1" dragToRow="0" dragToCol="0" dragToPage="0" showAll="0" defaultSubtotal="0"/>
    <pivotField dataField="1" dragToRow="0" dragToCol="0" dragToPage="0" showAll="0" defaultSubtotal="0"/>
    <pivotField dataField="1" dragToRow="0" dragToCol="0" dragToPage="0" showAll="0" defaultSubtotal="0"/>
  </pivotFields>
  <rowFields count="1">
    <field x="2"/>
  </rowFields>
  <rowItems count="2">
    <i>
      <x v="1"/>
    </i>
    <i t="grand">
      <x/>
    </i>
  </rowItems>
  <colFields count="1">
    <field x="-2"/>
  </colFields>
  <colItems count="7">
    <i>
      <x/>
    </i>
    <i i="1">
      <x v="1"/>
    </i>
    <i i="2">
      <x v="2"/>
    </i>
    <i i="3">
      <x v="3"/>
    </i>
    <i i="4">
      <x v="4"/>
    </i>
    <i i="5">
      <x v="5"/>
    </i>
    <i i="6">
      <x v="6"/>
    </i>
  </colItems>
  <dataFields count="7">
    <dataField name="Sum of HrProd" fld="56" baseField="2" baseItem="1" numFmtId="4"/>
    <dataField name="Sum of HrStrtCls" fld="48" baseField="2" baseItem="1" numFmtId="4"/>
    <dataField name="Sum of HrMaint" fld="49" baseField="2" baseItem="1" numFmtId="4"/>
    <dataField name="Sum of HrSample" fld="50" baseField="2" baseItem="1" numFmtId="4"/>
    <dataField name="Max of Cavity" fld="54" subtotal="max" baseField="2" baseItem="1" numFmtId="3"/>
    <dataField name="Sum of CycleTime" fld="57" baseField="2" baseItem="1" numFmtId="4"/>
    <dataField name="Sum of CycleNotZero" fld="58" baseField="2" baseItem="1" numFmtId="1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name="FnlAssemSum" cacheId="21" applyNumberFormats="0" applyBorderFormats="0" applyFontFormats="0" applyPatternFormats="0" applyAlignmentFormats="0" applyWidthHeightFormats="1" dataCaption="Values" updatedVersion="4" minRefreshableVersion="3" useAutoFormatting="1" itemPrintTitles="1" createdVersion="4" indent="0" outline="1" outlineData="1" multipleFieldFilters="0" chartFormat="1" rowHeaderCaption="Date">
  <location ref="A1:B12" firstHeaderRow="1" firstDataRow="1" firstDataCol="1"/>
  <pivotFields count="13">
    <pivotField axis="axisRow" numFmtId="167" showAll="0">
      <items count="245">
        <item m="1" x="164"/>
        <item m="1" x="41"/>
        <item m="1" x="130"/>
        <item m="1" x="221"/>
        <item m="1" x="96"/>
        <item m="1" x="187"/>
        <item m="1" x="64"/>
        <item m="1" x="154"/>
        <item m="1" x="31"/>
        <item m="1" x="119"/>
        <item m="1" x="210"/>
        <item m="1" x="85"/>
        <item m="1" x="177"/>
        <item m="1" x="54"/>
        <item m="1" x="143"/>
        <item m="1" x="234"/>
        <item m="1" x="109"/>
        <item m="1" x="201"/>
        <item m="1" x="76"/>
        <item m="1" x="168"/>
        <item m="1" x="45"/>
        <item m="1" x="134"/>
        <item m="1" x="225"/>
        <item m="1" x="100"/>
        <item m="1" x="192"/>
        <item m="1" x="69"/>
        <item m="1" x="159"/>
        <item m="1" x="36"/>
        <item m="1" x="125"/>
        <item m="1" x="216"/>
        <item m="1" x="91"/>
        <item m="1" x="141"/>
        <item m="1" x="232"/>
        <item m="1" x="107"/>
        <item m="1" x="199"/>
        <item m="1" x="75"/>
        <item m="1" x="166"/>
        <item m="1" x="43"/>
        <item m="1" x="132"/>
        <item m="1" x="223"/>
        <item m="1" x="98"/>
        <item m="1" x="190"/>
        <item m="1" x="67"/>
        <item m="1" x="157"/>
        <item m="1" x="34"/>
        <item m="1" x="123"/>
        <item m="1" x="214"/>
        <item m="1" x="89"/>
        <item m="1" x="181"/>
        <item m="1" x="58"/>
        <item m="1" x="148"/>
        <item m="1" x="239"/>
        <item m="1" x="114"/>
        <item m="1" x="206"/>
        <item m="1" x="81"/>
        <item m="1" x="173"/>
        <item m="1" x="50"/>
        <item m="1" x="139"/>
        <item m="1" x="230"/>
        <item m="1" x="105"/>
        <item m="1" x="197"/>
        <item m="1" x="120"/>
        <item m="1" x="211"/>
        <item m="1" x="86"/>
        <item m="1" x="178"/>
        <item m="1" x="55"/>
        <item m="1" x="144"/>
        <item m="1" x="235"/>
        <item m="1" x="110"/>
        <item m="1" x="202"/>
        <item m="1" x="77"/>
        <item m="1" x="169"/>
        <item m="1" x="46"/>
        <item m="1" x="135"/>
        <item m="1" x="226"/>
        <item m="1" x="101"/>
        <item m="1" x="193"/>
        <item m="1" x="70"/>
        <item m="1" x="160"/>
        <item m="1" x="37"/>
        <item m="1" x="126"/>
        <item m="1" x="217"/>
        <item m="1" x="92"/>
        <item m="1" x="183"/>
        <item m="1" x="60"/>
        <item m="1" x="150"/>
        <item m="1" x="241"/>
        <item m="1" x="116"/>
        <item m="1" x="208"/>
        <item m="1" x="83"/>
        <item m="1" x="175"/>
        <item m="1" x="52"/>
        <item m="1" x="188"/>
        <item m="1" x="65"/>
        <item m="1" x="155"/>
        <item m="1" x="32"/>
        <item m="1" x="121"/>
        <item m="1" x="212"/>
        <item m="1" x="87"/>
        <item m="1" x="179"/>
        <item m="1" x="56"/>
        <item m="1" x="145"/>
        <item m="1" x="236"/>
        <item m="1" x="111"/>
        <item m="1" x="203"/>
        <item m="1" x="78"/>
        <item m="1" x="170"/>
        <item m="1" x="47"/>
        <item m="1" x="136"/>
        <item m="1" x="227"/>
        <item m="1" x="102"/>
        <item m="1" x="194"/>
        <item m="1" x="71"/>
        <item m="1" x="161"/>
        <item m="1" x="38"/>
        <item m="1" x="127"/>
        <item m="1" x="218"/>
        <item m="1" x="93"/>
        <item m="1" x="184"/>
        <item m="1" x="61"/>
        <item m="1" x="151"/>
        <item m="1" x="242"/>
        <item m="1" x="117"/>
        <item m="1" x="189"/>
        <item m="1" x="66"/>
        <item m="1" x="156"/>
        <item m="1" x="33"/>
        <item m="1" x="122"/>
        <item m="1" x="213"/>
        <item m="1" x="88"/>
        <item m="1" x="180"/>
        <item m="1" x="57"/>
        <item m="1" x="146"/>
        <item m="1" x="237"/>
        <item m="1" x="112"/>
        <item m="1" x="204"/>
        <item m="1" x="79"/>
        <item m="1" x="171"/>
        <item m="1" x="48"/>
        <item m="1" x="137"/>
        <item m="1" x="228"/>
        <item m="1" x="103"/>
        <item m="1" x="195"/>
        <item m="1" x="72"/>
        <item m="1" x="162"/>
        <item m="1" x="39"/>
        <item m="1" x="128"/>
        <item m="1" x="219"/>
        <item m="1" x="94"/>
        <item m="1" x="185"/>
        <item m="1" x="62"/>
        <item m="1" x="152"/>
        <item m="1" x="167"/>
        <item m="1" x="44"/>
        <item m="1" x="133"/>
        <item m="1" x="224"/>
        <item m="1" x="99"/>
        <item m="1" x="191"/>
        <item m="1" x="68"/>
        <item m="1" x="158"/>
        <item m="1" x="35"/>
        <item m="1" x="124"/>
        <item m="1" x="215"/>
        <item m="1" x="90"/>
        <item m="1" x="182"/>
        <item m="1" x="59"/>
        <item m="1" x="149"/>
        <item m="1" x="240"/>
        <item m="1" x="115"/>
        <item m="1" x="207"/>
        <item m="1" x="82"/>
        <item m="1" x="174"/>
        <item m="1" x="51"/>
        <item m="1" x="140"/>
        <item m="1" x="231"/>
        <item m="1" x="106"/>
        <item m="1" x="198"/>
        <item m="1" x="74"/>
        <item m="1" x="165"/>
        <item m="1" x="42"/>
        <item m="1" x="131"/>
        <item m="1" x="222"/>
        <item m="1" x="97"/>
        <item m="1" x="147"/>
        <item m="1" x="238"/>
        <item m="1" x="113"/>
        <item m="1" x="205"/>
        <item m="1" x="80"/>
        <item m="1" x="172"/>
        <item m="1" x="49"/>
        <item m="1" x="138"/>
        <item m="1" x="229"/>
        <item m="1" x="104"/>
        <item m="1" x="196"/>
        <item m="1" x="73"/>
        <item m="1" x="163"/>
        <item m="1" x="40"/>
        <item m="1" x="129"/>
        <item m="1" x="220"/>
        <item m="1" x="95"/>
        <item m="1" x="186"/>
        <item m="1" x="63"/>
        <item m="1" x="153"/>
        <item m="1" x="243"/>
        <item m="1" x="118"/>
        <item m="1" x="209"/>
        <item m="1" x="84"/>
        <item m="1" x="176"/>
        <item m="1" x="53"/>
        <item m="1" x="142"/>
        <item m="1" x="233"/>
        <item m="1" x="108"/>
        <item m="1" x="200"/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t="default"/>
      </items>
    </pivotField>
    <pivotField showAll="0"/>
    <pivotField showAll="0"/>
    <pivotField showAll="0"/>
    <pivotField showAll="0"/>
    <pivotField numFmtId="166" showAll="0"/>
    <pivotField numFmtId="166" showAll="0"/>
    <pivotField numFmtId="166" showAll="0"/>
    <pivotField dataField="1" numFmtId="166" showAll="0"/>
    <pivotField numFmtId="166" showAll="0" defaultSubtotal="0"/>
    <pivotField showAll="0"/>
    <pivotField showAll="0" defaultSubtotal="0"/>
    <pivotField numFmtId="3" showAll="0"/>
  </pivotFields>
  <rowFields count="1">
    <field x="0"/>
  </rowFields>
  <rowItems count="11">
    <i>
      <x v="213"/>
    </i>
    <i>
      <x v="214"/>
    </i>
    <i>
      <x v="215"/>
    </i>
    <i>
      <x v="216"/>
    </i>
    <i>
      <x v="217"/>
    </i>
    <i>
      <x v="218"/>
    </i>
    <i>
      <x v="219"/>
    </i>
    <i>
      <x v="220"/>
    </i>
    <i>
      <x v="221"/>
    </i>
    <i>
      <x v="222"/>
    </i>
    <i t="grand">
      <x/>
    </i>
  </rowItems>
  <colItems count="1">
    <i/>
  </colItems>
  <dataFields count="1">
    <dataField name="Daily Output" fld="8" baseField="0" baseItem="0" numFmtId="3"/>
  </dataFields>
  <chartFormats count="1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1" showColStripes="0" showLastColumn="1"/>
  <filters count="1">
    <filter fld="0" type="dateOlderThanOrEqual" evalOrder="-1" id="42">
      <autoFilter ref="A1">
        <filterColumn colId="0">
          <customFilters>
            <customFilter operator="lessThanOrEqual" val="45422"/>
          </customFilters>
        </filterColumn>
      </autoFilter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name="PivotTable3" cacheId="18" applyNumberFormats="0" applyBorderFormats="0" applyFontFormats="0" applyPatternFormats="0" applyAlignmentFormats="0" applyWidthHeightFormats="1" dataCaption="Values" updatedVersion="4" minRefreshableVersion="3" useAutoFormatting="1" itemPrintTitles="1" createdVersion="4" indent="0" outline="1" outlineData="1" multipleFieldFilters="0">
  <location ref="B5:C6" firstHeaderRow="0" firstDataRow="1" firstDataCol="0"/>
  <pivotFields count="59">
    <pivotField numFmtId="167" showAll="0"/>
    <pivotField showAll="0"/>
    <pivotField showAll="0"/>
    <pivotField showAll="0"/>
    <pivotField showAll="0"/>
    <pivotField showAll="0"/>
    <pivotField showAll="0"/>
    <pivotField numFmtId="164" showAll="0"/>
    <pivotField numFmtId="165" showAll="0"/>
    <pivotField numFmtId="166" showAll="0"/>
    <pivotField numFmtId="166" showAll="0"/>
    <pivotField numFmtId="166" showAll="0"/>
    <pivotField showAll="0"/>
    <pivotField numFmtId="164" showAll="0"/>
    <pivotField numFmtId="165" showAll="0"/>
    <pivotField numFmtId="166" showAll="0"/>
    <pivotField numFmtId="166" showAll="0"/>
    <pivotField numFmtId="166" showAll="0"/>
    <pivotField showAll="0"/>
    <pivotField numFmtId="164" showAll="0"/>
    <pivotField numFmtId="165" showAll="0"/>
    <pivotField numFmtId="166" showAll="0"/>
    <pivotField numFmtId="166" showAll="0"/>
    <pivotField numFmtId="166" showAll="0"/>
    <pivotField showAll="0"/>
    <pivotField dataField="1" numFmtId="166" showAll="0"/>
    <pivotField dataField="1" showAll="0"/>
    <pivotField showAll="0"/>
    <pivotField showAll="0" defaultSubtota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numFmtId="168" showAll="0"/>
    <pivotField numFmtId="168" showAll="0"/>
    <pivotField numFmtId="168" showAll="0"/>
    <pivotField numFmtId="168" showAll="0"/>
    <pivotField showAll="0" defaultSubtotal="0"/>
    <pivotField showAll="0" defaultSubtotal="0"/>
    <pivotField showAll="0" defaultSubtotal="0"/>
    <pivotField numFmtId="1" showAll="0" defaultSubtotal="0"/>
    <pivotField numFmtId="1" showAll="0" defaultSubtotal="0"/>
    <pivotField numFmtId="1" showAll="0" defaultSubtotal="0"/>
    <pivotField numFmtId="1" showAll="0" defaultSubtotal="0"/>
    <pivotField showAl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</pivotFields>
  <rowItems count="1">
    <i/>
  </rowItems>
  <colFields count="1">
    <field x="-2"/>
  </colFields>
  <colItems count="2">
    <i>
      <x/>
    </i>
    <i i="1">
      <x v="1"/>
    </i>
  </colItems>
  <dataFields count="2">
    <dataField name="Der (Good)" fld="25" baseField="0" baseItem="0"/>
    <dataField name="Defects" fld="26" baseField="0" baseItem="1"/>
  </dataFields>
  <formats count="3">
    <format dxfId="71">
      <pivotArea type="all" dataOnly="0" outline="0" fieldPosition="0"/>
    </format>
    <format dxfId="70">
      <pivotArea type="all" dataOnly="0" outline="0" fieldPosition="0"/>
    </format>
    <format dxfId="69">
      <pivotArea outline="0" collapsedLevelsAreSubtotals="1" fieldPosition="0"/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ables/table1.xml><?xml version="1.0" encoding="utf-8"?>
<table xmlns="http://schemas.openxmlformats.org/spreadsheetml/2006/main" id="1" name="Prod" displayName="Prod" ref="A5:BD71" totalsRowShown="0" headerRowDxfId="155">
  <autoFilter ref="A5:BD71"/>
  <tableColumns count="56">
    <tableColumn id="1" name="Date" dataDxfId="154"/>
    <tableColumn id="2" name="LineNo" dataDxfId="153"/>
    <tableColumn id="3" name="MoldNo" dataDxfId="152"/>
    <tableColumn id="4" name="Index" dataDxfId="151"/>
    <tableColumn id="5" name="Color" dataDxfId="150"/>
    <tableColumn id="6" name="Resin" dataDxfId="149"/>
    <tableColumn id="7" name="Status" dataDxfId="148">
      <calculatedColumnFormula>IF(OR(Prod[[#This Row],[S1Hrs]]&gt;0,Prod[[#This Row],[S2Hrs]]&gt;0,Prod[[#This Row],[S3Hrs]]&gt;0),"Running","Down")</calculatedColumnFormula>
    </tableColumn>
    <tableColumn id="8" name="S1Cycle" dataDxfId="147" dataCellStyle="Comma"/>
    <tableColumn id="9" name="S1Hrs" dataDxfId="146" dataCellStyle="Comma"/>
    <tableColumn id="10" name="S1Shot" dataDxfId="145" dataCellStyle="Comma"/>
    <tableColumn id="11" name="S1Cavity" dataDxfId="144" dataCellStyle="Comma"/>
    <tableColumn id="12" name="S1Qty" dataDxfId="143" dataCellStyle="Comma">
      <calculatedColumnFormula>Prod[[#This Row],[S1Shot]]*Prod[[#This Row],[S1Cavity]]-Prod[[#This Row],[S1Dft]]</calculatedColumnFormula>
    </tableColumn>
    <tableColumn id="13" name="S1Dft" dataDxfId="142" dataCellStyle="Comma"/>
    <tableColumn id="14" name="S2Cycle" dataDxfId="141" dataCellStyle="Comma"/>
    <tableColumn id="15" name="S2Hrs" dataDxfId="140" dataCellStyle="Comma"/>
    <tableColumn id="16" name="S2Shot" dataDxfId="139" dataCellStyle="Comma"/>
    <tableColumn id="17" name="S2Cavity" dataDxfId="138"/>
    <tableColumn id="18" name="S2Qty" dataDxfId="137" dataCellStyle="Comma">
      <calculatedColumnFormula>Prod[[#This Row],[S2Shot]]*Prod[[#This Row],[S2Cavity]]-Prod[[#This Row],[S2Dft]]</calculatedColumnFormula>
    </tableColumn>
    <tableColumn id="19" name="S2Dft" dataDxfId="136" dataCellStyle="Comma"/>
    <tableColumn id="20" name="S3Cycle" dataDxfId="135" dataCellStyle="Comma"/>
    <tableColumn id="21" name="S3Hrs" dataDxfId="134" dataCellStyle="Comma"/>
    <tableColumn id="22" name="S3Shot" dataDxfId="133" dataCellStyle="Comma"/>
    <tableColumn id="23" name="S3Cavity" dataDxfId="132" dataCellStyle="Comma"/>
    <tableColumn id="24" name="S3Qty" dataDxfId="131" dataCellStyle="Comma">
      <calculatedColumnFormula>Prod[[#This Row],[S3Shot]]*Prod[[#This Row],[S3Cavity]]-Prod[[#This Row],[S3Dft]]</calculatedColumnFormula>
    </tableColumn>
    <tableColumn id="25" name="S3Dft" dataDxfId="130" dataCellStyle="Comma"/>
    <tableColumn id="26" name="Total" dataDxfId="129" dataCellStyle="Comma">
      <calculatedColumnFormula>SUM(Prod[[#This Row],[S1Qty]],Prod[[#This Row],[S2Qty]],Prod[[#This Row],[S3Qty]])</calculatedColumnFormula>
    </tableColumn>
    <tableColumn id="27" name="TotalDft" dataDxfId="128" dataCellStyle="Comma"/>
    <tableColumn id="28" name="DftRte" dataDxfId="127" dataCellStyle="Percent"/>
    <tableColumn id="29" name="Remarks" dataDxfId="126"/>
    <tableColumn id="30" name="S1Mold" dataDxfId="125" dataCellStyle="Comma"/>
    <tableColumn id="31" name="S2Mold" dataDxfId="124" dataCellStyle="Comma"/>
    <tableColumn id="32" name="S3Mold" dataDxfId="123" dataCellStyle="Comma"/>
    <tableColumn id="36" name="S1Print" dataDxfId="122" dataCellStyle="Comma"/>
    <tableColumn id="37" name="S2Print" dataDxfId="121" dataCellStyle="Comma"/>
    <tableColumn id="38" name="S3Print" dataDxfId="120" dataCellStyle="Comma"/>
    <tableColumn id="39" name="S1Ovlp" dataDxfId="119" dataCellStyle="Comma"/>
    <tableColumn id="40" name="S2Ovlp" dataDxfId="118" dataCellStyle="Comma"/>
    <tableColumn id="41" name="S3Ovlp" dataDxfId="117" dataCellStyle="Comma"/>
    <tableColumn id="42" name="S1Seam" dataDxfId="116" dataCellStyle="Comma"/>
    <tableColumn id="43" name="S2Seam" dataDxfId="115" dataCellStyle="Comma"/>
    <tableColumn id="44" name="S3Seam" dataDxfId="114" dataCellStyle="Comma"/>
    <tableColumn id="45" name="S1Dmg" dataDxfId="113" dataCellStyle="Comma"/>
    <tableColumn id="46" name="S2Dmg" dataDxfId="112" dataCellStyle="Comma"/>
    <tableColumn id="47" name="S3Dmg" dataDxfId="111" dataCellStyle="Comma"/>
    <tableColumn id="33" name="S1%" dataDxfId="110" dataCellStyle="Comma">
      <calculatedColumnFormula>IF(Prod[[#This Row],[S1Hrs]]=0,0,Prod[[#This Row],[S1Shot]]*Prod[[#This Row],[S1Cycle]]/(Prod[[#This Row],[S1Hrs]]*60*60))</calculatedColumnFormula>
    </tableColumn>
    <tableColumn id="34" name="S2%" dataDxfId="109" dataCellStyle="Comma">
      <calculatedColumnFormula>IF(Prod[[#This Row],[S2Hrs]]=0,0,Prod[[#This Row],[S2Shot]]*Prod[[#This Row],[S2Cycle]]/(Prod[[#This Row],[S2Hrs]]*60*60))</calculatedColumnFormula>
    </tableColumn>
    <tableColumn id="35" name="S3%" dataDxfId="108" dataCellStyle="Comma">
      <calculatedColumnFormula>IF(Prod[[#This Row],[S3Hrs]]=0,0,Prod[[#This Row],[S3Shot]]*Prod[[#This Row],[S3Cycle]]/(Prod[[#This Row],[S3Hrs]]*60*60))</calculatedColumnFormula>
    </tableColumn>
    <tableColumn id="48" name="Daily%" dataDxfId="107" dataCellStyle="Comma">
      <calculatedColumnFormula>IFERROR(AVERAGEIF(Prod[[#This Row],[S1%]:[S3%]], "&lt;&gt;0"),0)</calculatedColumnFormula>
    </tableColumn>
    <tableColumn id="49" name="HrStrtCls" dataDxfId="106" dataCellStyle="Comma"/>
    <tableColumn id="50" name="HrMaint" dataDxfId="105" dataCellStyle="Comma"/>
    <tableColumn id="51" name="HrSample" dataDxfId="104" dataCellStyle="Comma"/>
    <tableColumn id="52" name="S1CycleNotZero" dataDxfId="103" dataCellStyle="Comma">
      <calculatedColumnFormula>IF(Prod[[#This Row],[S1Cycle]]&lt;&gt;0,1,0)</calculatedColumnFormula>
    </tableColumn>
    <tableColumn id="53" name="S2CycleNotZero" dataDxfId="102" dataCellStyle="Comma">
      <calculatedColumnFormula>IF(Prod[[#This Row],[S2Cycle]]&lt;&gt;0,1,0)</calculatedColumnFormula>
    </tableColumn>
    <tableColumn id="54" name="S3CycleNotZero" dataDxfId="101" dataCellStyle="Comma">
      <calculatedColumnFormula>IF(Prod[[#This Row],[S3Cycle]]&lt;&gt;0,1,0)</calculatedColumnFormula>
    </tableColumn>
    <tableColumn id="55" name="Cavity" dataDxfId="100" dataCellStyle="Comma">
      <calculatedColumnFormula>MAX(Prod[[#This Row],[S1Cavity]],Prod[[#This Row],[S2Cavity]],Prod[[#This Row],[S3Cavity]])</calculatedColumnFormula>
    </tableColumn>
    <tableColumn id="56" name="B/C" dataDxfId="99" dataCellStyle="Comma">
      <calculatedColumnFormula>RegExpMatch(Prod[[#This Row],[MoldNo]], "^MEO-(B|C)")</calculatedColumnFormula>
    </tableColumn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id="2" name="Assem" displayName="Assem" ref="A5:J29" totalsRowShown="0" headerRowDxfId="98" dataDxfId="97" headerRowCellStyle="Normal_Sheet2" dataCellStyle="Normal_Sheet2">
  <autoFilter ref="A5:J29"/>
  <tableColumns count="10">
    <tableColumn id="1" name="Date" dataDxfId="96"/>
    <tableColumn id="2" name="LineNo" dataDxfId="95" dataCellStyle="Normal_Sheet2"/>
    <tableColumn id="3" name="Index" dataDxfId="94"/>
    <tableColumn id="4" name="Customer" dataDxfId="93"/>
    <tableColumn id="5" name="Status" dataDxfId="92" dataCellStyle="Normal_Sheet2">
      <calculatedColumnFormula>IF(Assem[[#This Row],[Total]]&gt;0,"Running","Down")</calculatedColumnFormula>
    </tableColumn>
    <tableColumn id="6" name="S1Qty" dataDxfId="91" dataCellStyle="Comma"/>
    <tableColumn id="8" name="S2Qty" dataDxfId="90" dataCellStyle="Comma"/>
    <tableColumn id="7" name="S3Qty" dataDxfId="89" dataCellStyle="Comma"/>
    <tableColumn id="12" name="Total" dataDxfId="88" dataCellStyle="Comma">
      <calculatedColumnFormula>SUM(Assem[[#This Row],[S1Qty]],Assem[[#This Row],[S2Qty]],Assem[[#This Row],[S3Qty]])</calculatedColumnFormula>
    </tableColumn>
    <tableColumn id="15" name="Remarks" dataDxfId="87" dataCellStyle="Normal_Sheet2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id="5" name="FnlAssem" displayName="FnlAssem" ref="A5:M40" totalsRowShown="0" headerRowDxfId="86" dataDxfId="85">
  <autoFilter ref="A5:M40"/>
  <tableColumns count="13">
    <tableColumn id="1" name="Date" dataDxfId="84"/>
    <tableColumn id="2" name="Line" dataDxfId="83"/>
    <tableColumn id="3" name="Index" dataDxfId="82"/>
    <tableColumn id="4" name="Customer" dataDxfId="81"/>
    <tableColumn id="5" name="Status" dataDxfId="80">
      <calculatedColumnFormula>IF(FnlAssem[[#This Row],[Total]]&gt;0,"Running","Down")</calculatedColumnFormula>
    </tableColumn>
    <tableColumn id="6" name="S1Qty" dataDxfId="79" dataCellStyle="Comma"/>
    <tableColumn id="7" name="S2Qty" dataDxfId="78" dataCellStyle="Comma"/>
    <tableColumn id="11" name="S3Qty" dataDxfId="77" dataCellStyle="Comma"/>
    <tableColumn id="8" name="Total" dataDxfId="76" dataCellStyle="Comma">
      <calculatedColumnFormula>SUM(FnlAssem[[#This Row],[S1Qty]],FnlAssem[[#This Row],[S2Qty]],FnlAssem[[#This Row],[S3Qty]])*FnlAssem[[#This Row],[Pcs/Tray]]-FnlAssem[[#This Row],[Defects]]</calculatedColumnFormula>
    </tableColumn>
    <tableColumn id="13" name="Defects" dataDxfId="75" dataCellStyle="Comma"/>
    <tableColumn id="10" name="Remarks" dataDxfId="74" dataCellStyle="Comma"/>
    <tableColumn id="9" name="Pcs/Tray" dataDxfId="73" dataCellStyle="Comma"/>
    <tableColumn id="12" name="DailyTarget" dataDxfId="72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3.bin"/><Relationship Id="rId4" Type="http://schemas.openxmlformats.org/officeDocument/2006/relationships/comments" Target="../comments1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4.bin"/><Relationship Id="rId4" Type="http://schemas.openxmlformats.org/officeDocument/2006/relationships/comments" Target="../comments2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6.bin"/><Relationship Id="rId1" Type="http://schemas.openxmlformats.org/officeDocument/2006/relationships/pivotTable" Target="../pivotTables/pivotTable2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pageSetUpPr fitToPage="1"/>
  </sheetPr>
  <dimension ref="A2:AC511"/>
  <sheetViews>
    <sheetView zoomScale="79" zoomScaleNormal="79" workbookViewId="0">
      <selection sqref="A1:AC28"/>
    </sheetView>
  </sheetViews>
  <sheetFormatPr defaultRowHeight="12.75" x14ac:dyDescent="0.2"/>
  <cols>
    <col min="1" max="1" width="9.7109375" customWidth="1"/>
    <col min="2" max="2" width="10.42578125" customWidth="1"/>
    <col min="3" max="3" width="10.85546875" customWidth="1"/>
    <col min="4" max="4" width="10.140625" customWidth="1"/>
    <col min="5" max="6" width="15.140625" bestFit="1" customWidth="1"/>
    <col min="7" max="7" width="10.7109375" customWidth="1"/>
    <col min="8" max="8" width="7.7109375" style="54" customWidth="1"/>
    <col min="9" max="9" width="7.7109375" style="70" customWidth="1"/>
    <col min="10" max="10" width="7.7109375" style="75" customWidth="1"/>
    <col min="11" max="11" width="7.7109375" customWidth="1"/>
    <col min="12" max="12" width="10" customWidth="1"/>
    <col min="13" max="13" width="7.7109375" customWidth="1"/>
    <col min="14" max="14" width="7.7109375" style="54" customWidth="1"/>
    <col min="15" max="15" width="7.7109375" style="70" customWidth="1"/>
    <col min="16" max="16" width="7.7109375" style="75" customWidth="1"/>
    <col min="17" max="17" width="7.7109375" customWidth="1"/>
    <col min="18" max="18" width="9" customWidth="1"/>
    <col min="19" max="19" width="7.7109375" customWidth="1"/>
    <col min="20" max="20" width="7.7109375" style="54" customWidth="1"/>
    <col min="21" max="21" width="7.7109375" style="70" customWidth="1"/>
    <col min="22" max="22" width="7.7109375" style="75" customWidth="1"/>
    <col min="23" max="23" width="7.7109375" customWidth="1"/>
    <col min="24" max="24" width="10.42578125" customWidth="1"/>
    <col min="25" max="25" width="7.7109375" customWidth="1"/>
    <col min="26" max="28" width="9.7109375" customWidth="1"/>
    <col min="29" max="29" width="65" customWidth="1"/>
    <col min="32" max="32" width="11.42578125" bestFit="1" customWidth="1"/>
  </cols>
  <sheetData>
    <row r="2" spans="1:29" ht="27.75" thickBot="1" x14ac:dyDescent="0.4">
      <c r="A2" s="107" t="s">
        <v>24</v>
      </c>
      <c r="B2" s="108"/>
      <c r="C2" s="109"/>
      <c r="D2" s="109"/>
      <c r="E2" s="110"/>
      <c r="F2" s="4"/>
      <c r="G2" s="5"/>
      <c r="H2" s="51"/>
      <c r="I2" s="64"/>
      <c r="J2" s="72"/>
      <c r="K2" s="5"/>
      <c r="L2" s="111" t="s">
        <v>40</v>
      </c>
      <c r="M2" s="240" t="s">
        <v>86</v>
      </c>
      <c r="N2" s="240"/>
      <c r="O2" s="240"/>
      <c r="P2" s="240"/>
      <c r="Q2" s="240"/>
      <c r="R2" s="240"/>
      <c r="S2" s="6"/>
      <c r="T2" s="55"/>
      <c r="U2" s="71"/>
      <c r="V2" s="72"/>
      <c r="W2" s="6"/>
      <c r="X2" s="6"/>
      <c r="Y2" s="6"/>
      <c r="Z2" s="7"/>
      <c r="AA2" s="6"/>
      <c r="AB2" s="6"/>
    </row>
    <row r="3" spans="1:29" ht="18.75" thickTop="1" x14ac:dyDescent="0.25">
      <c r="B3" s="1"/>
      <c r="C3" s="2"/>
      <c r="D3" s="2"/>
      <c r="E3" s="3"/>
      <c r="F3" s="4"/>
      <c r="G3" s="5"/>
      <c r="H3" s="51"/>
      <c r="I3" s="64"/>
      <c r="J3" s="72"/>
      <c r="K3" s="5"/>
      <c r="L3" s="8"/>
      <c r="M3" s="8"/>
      <c r="N3" s="51"/>
      <c r="O3" s="64"/>
      <c r="P3" s="72"/>
      <c r="Q3" s="5"/>
      <c r="R3" s="8"/>
      <c r="S3" s="8"/>
      <c r="T3" s="51"/>
      <c r="U3" s="64"/>
      <c r="V3" s="72"/>
      <c r="W3" s="5"/>
      <c r="X3" s="8"/>
      <c r="Y3" s="8"/>
      <c r="Z3" s="8"/>
      <c r="AA3" s="8"/>
      <c r="AB3" s="8"/>
    </row>
    <row r="7" spans="1:29" ht="12.75" customHeight="1" x14ac:dyDescent="0.2">
      <c r="A7" s="228">
        <v>44713</v>
      </c>
      <c r="B7" s="19" t="s">
        <v>42</v>
      </c>
      <c r="C7" s="20"/>
      <c r="D7" s="21" t="s">
        <v>43</v>
      </c>
      <c r="E7" s="20">
        <v>0</v>
      </c>
      <c r="F7" s="31"/>
      <c r="G7" s="32"/>
      <c r="H7" s="52"/>
      <c r="I7" s="65"/>
      <c r="J7" s="73"/>
      <c r="K7" s="32"/>
      <c r="L7" s="21"/>
      <c r="M7" s="32"/>
      <c r="N7" s="52"/>
      <c r="O7" s="65"/>
      <c r="P7" s="73"/>
      <c r="Q7" s="32"/>
      <c r="R7" s="21"/>
      <c r="S7" s="32"/>
      <c r="T7" s="52"/>
      <c r="U7" s="65"/>
      <c r="V7" s="73"/>
      <c r="W7" s="32"/>
      <c r="X7" s="21"/>
      <c r="Y7" s="21"/>
      <c r="Z7" s="32"/>
      <c r="AA7" s="21"/>
      <c r="AB7" s="21"/>
      <c r="AC7" s="33"/>
    </row>
    <row r="8" spans="1:29" ht="12.75" customHeight="1" x14ac:dyDescent="0.2">
      <c r="A8" s="228"/>
      <c r="B8" s="229" t="s">
        <v>10</v>
      </c>
      <c r="C8" s="230" t="s">
        <v>0</v>
      </c>
      <c r="D8" s="230" t="s">
        <v>25</v>
      </c>
      <c r="E8" s="230" t="s">
        <v>11</v>
      </c>
      <c r="F8" s="230" t="s">
        <v>16</v>
      </c>
      <c r="G8" s="237" t="s">
        <v>12</v>
      </c>
      <c r="H8" s="222" t="s">
        <v>13</v>
      </c>
      <c r="I8" s="223"/>
      <c r="J8" s="223"/>
      <c r="K8" s="223"/>
      <c r="L8" s="223"/>
      <c r="M8" s="224"/>
      <c r="N8" s="222" t="s">
        <v>14</v>
      </c>
      <c r="O8" s="223"/>
      <c r="P8" s="223"/>
      <c r="Q8" s="223"/>
      <c r="R8" s="223"/>
      <c r="S8" s="224"/>
      <c r="T8" s="222" t="s">
        <v>15</v>
      </c>
      <c r="U8" s="223"/>
      <c r="V8" s="223"/>
      <c r="W8" s="223"/>
      <c r="X8" s="223"/>
      <c r="Y8" s="224"/>
      <c r="Z8" s="225" t="s">
        <v>37</v>
      </c>
      <c r="AA8" s="225" t="s">
        <v>39</v>
      </c>
      <c r="AB8" s="225" t="s">
        <v>62</v>
      </c>
      <c r="AC8" s="231" t="s">
        <v>26</v>
      </c>
    </row>
    <row r="9" spans="1:29" ht="45" customHeight="1" x14ac:dyDescent="0.2">
      <c r="A9" s="228"/>
      <c r="B9" s="229"/>
      <c r="C9" s="230"/>
      <c r="D9" s="230"/>
      <c r="E9" s="230"/>
      <c r="F9" s="230"/>
      <c r="G9" s="237"/>
      <c r="H9" s="53" t="s">
        <v>50</v>
      </c>
      <c r="I9" s="66" t="s">
        <v>51</v>
      </c>
      <c r="J9" s="74" t="s">
        <v>63</v>
      </c>
      <c r="K9" s="24" t="s">
        <v>44</v>
      </c>
      <c r="L9" s="18" t="s">
        <v>5</v>
      </c>
      <c r="M9" s="81" t="s">
        <v>31</v>
      </c>
      <c r="N9" s="53" t="s">
        <v>50</v>
      </c>
      <c r="O9" s="66" t="s">
        <v>51</v>
      </c>
      <c r="P9" s="74" t="s">
        <v>63</v>
      </c>
      <c r="Q9" s="24" t="s">
        <v>44</v>
      </c>
      <c r="R9" s="30" t="s">
        <v>5</v>
      </c>
      <c r="S9" s="34" t="s">
        <v>31</v>
      </c>
      <c r="T9" s="53" t="s">
        <v>50</v>
      </c>
      <c r="U9" s="66" t="s">
        <v>51</v>
      </c>
      <c r="V9" s="74" t="s">
        <v>63</v>
      </c>
      <c r="W9" s="24" t="s">
        <v>44</v>
      </c>
      <c r="X9" s="30" t="s">
        <v>5</v>
      </c>
      <c r="Y9" s="34" t="s">
        <v>31</v>
      </c>
      <c r="Z9" s="226"/>
      <c r="AA9" s="227"/>
      <c r="AB9" s="227"/>
      <c r="AC9" s="231"/>
    </row>
    <row r="10" spans="1:29" ht="12.75" customHeight="1" x14ac:dyDescent="0.2">
      <c r="A10" s="228"/>
      <c r="B10" s="232" t="s">
        <v>2</v>
      </c>
      <c r="C10" s="234" t="s">
        <v>84</v>
      </c>
      <c r="D10" s="12"/>
      <c r="E10" s="10"/>
      <c r="F10" s="12"/>
      <c r="G10" s="234" t="s">
        <v>1</v>
      </c>
      <c r="H10" s="47">
        <v>23.6</v>
      </c>
      <c r="I10" s="63">
        <v>0</v>
      </c>
      <c r="J10" s="35"/>
      <c r="K10" s="35">
        <v>16</v>
      </c>
      <c r="L10" s="35">
        <f>IF(ISBLANK(J10), , J10*K10)</f>
        <v>0</v>
      </c>
      <c r="M10" s="29"/>
      <c r="N10" s="47">
        <v>23.6</v>
      </c>
      <c r="O10" s="63">
        <v>0</v>
      </c>
      <c r="P10" s="35"/>
      <c r="Q10" s="35">
        <v>16</v>
      </c>
      <c r="R10" s="35">
        <f>IF(ISBLANK(P10), , P10*Q10)</f>
        <v>0</v>
      </c>
      <c r="S10" s="29"/>
      <c r="T10" s="47">
        <v>23.6</v>
      </c>
      <c r="U10" s="63">
        <v>0</v>
      </c>
      <c r="V10" s="35"/>
      <c r="W10" s="35">
        <v>16</v>
      </c>
      <c r="X10" s="35">
        <f>IF(ISBLANK(V10), , V10*W10)</f>
        <v>0</v>
      </c>
      <c r="Y10" s="29"/>
      <c r="Z10" s="210">
        <f>SUM(L10, R10, X10)+SUM(L11, R11, X11)</f>
        <v>0</v>
      </c>
      <c r="AA10" s="210">
        <f>SUM(M10, S10, Y10)+SUM(M11, S11, Y11)</f>
        <v>0</v>
      </c>
      <c r="AB10" s="212">
        <f>IF($Z10=0, ,AA10/$Z10)</f>
        <v>0</v>
      </c>
      <c r="AC10" s="214" t="s">
        <v>87</v>
      </c>
    </row>
    <row r="11" spans="1:29" ht="12.75" customHeight="1" x14ac:dyDescent="0.2">
      <c r="A11" s="228"/>
      <c r="B11" s="233"/>
      <c r="C11" s="235"/>
      <c r="D11" s="12"/>
      <c r="E11" s="12"/>
      <c r="F11" s="12"/>
      <c r="G11" s="236"/>
      <c r="H11" s="47"/>
      <c r="I11" s="63"/>
      <c r="J11" s="35"/>
      <c r="K11" s="35"/>
      <c r="L11" s="35">
        <f>IF(ISBLANK(J11), , J11*K11)</f>
        <v>0</v>
      </c>
      <c r="M11" s="29"/>
      <c r="N11" s="47"/>
      <c r="O11" s="63"/>
      <c r="P11" s="35"/>
      <c r="Q11" s="35"/>
      <c r="R11" s="35">
        <f>IF(ISBLANK(P11), , P11*Q11)</f>
        <v>0</v>
      </c>
      <c r="S11" s="29"/>
      <c r="T11" s="47"/>
      <c r="U11" s="63"/>
      <c r="V11" s="35"/>
      <c r="W11" s="35"/>
      <c r="X11" s="35">
        <f>IF(ISBLANK(V11), , V11*W11)</f>
        <v>0</v>
      </c>
      <c r="Y11" s="29"/>
      <c r="Z11" s="211"/>
      <c r="AA11" s="211"/>
      <c r="AB11" s="213"/>
      <c r="AC11" s="215"/>
    </row>
    <row r="12" spans="1:29" ht="12.75" customHeight="1" x14ac:dyDescent="0.2">
      <c r="A12" s="228"/>
      <c r="B12" s="216" t="s">
        <v>6</v>
      </c>
      <c r="C12" s="218" t="s">
        <v>8</v>
      </c>
      <c r="D12" s="10"/>
      <c r="E12" s="10"/>
      <c r="F12" s="10"/>
      <c r="G12" s="218" t="s">
        <v>1</v>
      </c>
      <c r="H12" s="48">
        <v>19.57</v>
      </c>
      <c r="I12" s="67">
        <v>0</v>
      </c>
      <c r="J12" s="39"/>
      <c r="K12" s="39">
        <v>8</v>
      </c>
      <c r="L12" s="39">
        <f>IF(ISBLANK(J12), , J12*K12)</f>
        <v>0</v>
      </c>
      <c r="M12" s="40">
        <f>H25+K25+N25+Q25+T25+W25+Z25</f>
        <v>0</v>
      </c>
      <c r="N12" s="48">
        <v>19.57</v>
      </c>
      <c r="O12" s="67">
        <v>0</v>
      </c>
      <c r="P12" s="39"/>
      <c r="Q12" s="39">
        <v>8</v>
      </c>
      <c r="R12" s="39">
        <f>IF(ISBLANK(P12), , P12*Q12)</f>
        <v>0</v>
      </c>
      <c r="S12" s="40">
        <f>I25+L25+O25+R25+U25+X25+AA25</f>
        <v>0</v>
      </c>
      <c r="T12" s="48">
        <v>19.57</v>
      </c>
      <c r="U12" s="67">
        <v>0</v>
      </c>
      <c r="V12" s="39"/>
      <c r="W12" s="39">
        <v>8</v>
      </c>
      <c r="X12" s="39">
        <f>IF(ISBLANK(V12), , V12*W12)</f>
        <v>0</v>
      </c>
      <c r="Y12" s="40">
        <f>J25+M25+P25+S25+V25+Y25+AB25</f>
        <v>0</v>
      </c>
      <c r="Z12" s="238">
        <f>SUM(L12, R12, X12)+SUM(L13, R13, X13)</f>
        <v>0</v>
      </c>
      <c r="AA12" s="220">
        <f>SUM(M12, S12, Y12)+SUM(M13, S13, Y13)</f>
        <v>0</v>
      </c>
      <c r="AB12" s="194">
        <f>IF($Z12=0, ,AA12/$Z12)</f>
        <v>0</v>
      </c>
      <c r="AC12" s="204" t="s">
        <v>87</v>
      </c>
    </row>
    <row r="13" spans="1:29" ht="12.75" customHeight="1" x14ac:dyDescent="0.2">
      <c r="A13" s="228"/>
      <c r="B13" s="217"/>
      <c r="C13" s="219"/>
      <c r="D13" s="10"/>
      <c r="E13" s="10"/>
      <c r="F13" s="10"/>
      <c r="G13" s="219"/>
      <c r="H13" s="48"/>
      <c r="I13" s="67"/>
      <c r="J13" s="39"/>
      <c r="K13" s="39"/>
      <c r="L13" s="39">
        <f>IF(ISBLANK(J13), , J13*K13)</f>
        <v>0</v>
      </c>
      <c r="M13" s="40">
        <f>H26+K26+N26+Q26+T26+W26+Z26</f>
        <v>0</v>
      </c>
      <c r="N13" s="48"/>
      <c r="O13" s="67"/>
      <c r="P13" s="39"/>
      <c r="Q13" s="39"/>
      <c r="R13" s="39">
        <f t="shared" ref="R13:R19" si="0">IF(ISBLANK(P13), , P13*Q13)</f>
        <v>0</v>
      </c>
      <c r="S13" s="40">
        <f>I26+L26+O26+R26+U26+X26+AA26</f>
        <v>0</v>
      </c>
      <c r="T13" s="48"/>
      <c r="U13" s="67"/>
      <c r="V13" s="39"/>
      <c r="W13" s="39"/>
      <c r="X13" s="39">
        <f>IF(ISBLANK(V13), , V13*W13)</f>
        <v>0</v>
      </c>
      <c r="Y13" s="40">
        <f>J26+M26+P26+S26+V26+Y26+AB26</f>
        <v>0</v>
      </c>
      <c r="Z13" s="239"/>
      <c r="AA13" s="221"/>
      <c r="AB13" s="195"/>
      <c r="AC13" s="205"/>
    </row>
    <row r="14" spans="1:29" ht="12.75" customHeight="1" x14ac:dyDescent="0.2">
      <c r="A14" s="228"/>
      <c r="B14" s="206" t="s">
        <v>7</v>
      </c>
      <c r="C14" s="208" t="s">
        <v>81</v>
      </c>
      <c r="D14" s="9"/>
      <c r="E14" s="9"/>
      <c r="F14" s="9"/>
      <c r="G14" s="208" t="s">
        <v>1</v>
      </c>
      <c r="H14" s="49">
        <v>20.5</v>
      </c>
      <c r="I14" s="68">
        <v>0</v>
      </c>
      <c r="J14" s="37"/>
      <c r="K14" s="37">
        <v>8</v>
      </c>
      <c r="L14" s="37">
        <f>IF(ISBLANK(J14), , J14*K14)</f>
        <v>0</v>
      </c>
      <c r="M14" s="38">
        <f>H27+K27+N27+Q27+T27+W27+Z27</f>
        <v>0</v>
      </c>
      <c r="N14" s="49">
        <v>21.95</v>
      </c>
      <c r="O14" s="68">
        <v>0</v>
      </c>
      <c r="P14" s="37"/>
      <c r="Q14" s="37">
        <v>8</v>
      </c>
      <c r="R14" s="37">
        <f t="shared" si="0"/>
        <v>0</v>
      </c>
      <c r="S14" s="38">
        <f>I27+L27+O27+R27+U27+X27+AA27</f>
        <v>0</v>
      </c>
      <c r="T14" s="49">
        <v>22</v>
      </c>
      <c r="U14" s="68">
        <v>0</v>
      </c>
      <c r="V14" s="37"/>
      <c r="W14" s="37">
        <v>8</v>
      </c>
      <c r="X14" s="37">
        <f>IF(ISBLANK(V14), , V14*W14)</f>
        <v>0</v>
      </c>
      <c r="Y14" s="38">
        <f>J27+M27+P27+S27+V27+Y27+AB27</f>
        <v>0</v>
      </c>
      <c r="Z14" s="210">
        <f>SUM(L14, R14, X14)+SUM(L15, R15, X15)</f>
        <v>0</v>
      </c>
      <c r="AA14" s="210">
        <f>SUM(M14, S14, Y14)+SUM(M15, S15, Y15)</f>
        <v>0</v>
      </c>
      <c r="AB14" s="212">
        <f>IF($Z14=0, ,AA14/$Z14)</f>
        <v>0</v>
      </c>
      <c r="AC14" s="214" t="s">
        <v>87</v>
      </c>
    </row>
    <row r="15" spans="1:29" ht="12.75" customHeight="1" x14ac:dyDescent="0.2">
      <c r="A15" s="228"/>
      <c r="B15" s="207"/>
      <c r="C15" s="209"/>
      <c r="D15" s="9"/>
      <c r="E15" s="9"/>
      <c r="F15" s="9"/>
      <c r="G15" s="209"/>
      <c r="H15" s="49"/>
      <c r="I15" s="68"/>
      <c r="J15" s="37"/>
      <c r="K15" s="37"/>
      <c r="L15" s="37">
        <f t="shared" ref="L15:L21" si="1">IF(ISBLANK(J15), , J15*K15)</f>
        <v>0</v>
      </c>
      <c r="M15" s="38">
        <f>H28+K28+N28+Q28+T28+W28+Z28</f>
        <v>0</v>
      </c>
      <c r="N15" s="49"/>
      <c r="O15" s="68"/>
      <c r="P15" s="37"/>
      <c r="Q15" s="37"/>
      <c r="R15" s="37">
        <f t="shared" si="0"/>
        <v>0</v>
      </c>
      <c r="S15" s="38">
        <f>I28+L28+O28+R28+U28+X28+AA28</f>
        <v>0</v>
      </c>
      <c r="T15" s="49"/>
      <c r="U15" s="68"/>
      <c r="V15" s="37"/>
      <c r="W15" s="37"/>
      <c r="X15" s="37">
        <f t="shared" ref="X15:X21" si="2">IF(ISBLANK(V15), , V15*W15)</f>
        <v>0</v>
      </c>
      <c r="Y15" s="38">
        <f>J28+M28+P28+S28+V28+Y28+AB28</f>
        <v>0</v>
      </c>
      <c r="Z15" s="211"/>
      <c r="AA15" s="211"/>
      <c r="AB15" s="213"/>
      <c r="AC15" s="215"/>
    </row>
    <row r="16" spans="1:29" ht="12.75" customHeight="1" x14ac:dyDescent="0.2">
      <c r="A16" s="228"/>
      <c r="B16" s="216" t="s">
        <v>3</v>
      </c>
      <c r="C16" s="218" t="s">
        <v>82</v>
      </c>
      <c r="D16" s="10"/>
      <c r="E16" s="10"/>
      <c r="F16" s="10"/>
      <c r="G16" s="218" t="s">
        <v>1</v>
      </c>
      <c r="H16" s="48">
        <v>19.71</v>
      </c>
      <c r="I16" s="67">
        <v>0</v>
      </c>
      <c r="J16" s="36"/>
      <c r="K16" s="36">
        <v>16</v>
      </c>
      <c r="L16" s="36">
        <f t="shared" si="1"/>
        <v>0</v>
      </c>
      <c r="M16" s="17"/>
      <c r="N16" s="48">
        <v>19.690000000000001</v>
      </c>
      <c r="O16" s="67">
        <v>0</v>
      </c>
      <c r="P16" s="36"/>
      <c r="Q16" s="36">
        <v>16</v>
      </c>
      <c r="R16" s="36">
        <f t="shared" si="0"/>
        <v>0</v>
      </c>
      <c r="S16" s="17"/>
      <c r="T16" s="48">
        <v>19.2</v>
      </c>
      <c r="U16" s="67">
        <v>0</v>
      </c>
      <c r="V16" s="36">
        <v>0</v>
      </c>
      <c r="W16" s="36">
        <v>16</v>
      </c>
      <c r="X16" s="36">
        <f t="shared" si="2"/>
        <v>0</v>
      </c>
      <c r="Y16" s="17"/>
      <c r="Z16" s="220">
        <f>SUM(L16, R16, X16)+SUM(L17, R17, X17)</f>
        <v>0</v>
      </c>
      <c r="AA16" s="220">
        <f>SUM(M16, S16, Y16)+SUM(M17, S17, Y17)</f>
        <v>0</v>
      </c>
      <c r="AB16" s="194">
        <f>IF($Z16=0, ,AA16/$Z16)</f>
        <v>0</v>
      </c>
      <c r="AC16" s="204" t="s">
        <v>87</v>
      </c>
    </row>
    <row r="17" spans="1:29" ht="12.75" customHeight="1" x14ac:dyDescent="0.2">
      <c r="A17" s="228"/>
      <c r="B17" s="217"/>
      <c r="C17" s="219"/>
      <c r="D17" s="10"/>
      <c r="E17" s="10"/>
      <c r="F17" s="10"/>
      <c r="G17" s="219"/>
      <c r="H17" s="48"/>
      <c r="I17" s="67"/>
      <c r="J17" s="36"/>
      <c r="K17" s="36"/>
      <c r="L17" s="36">
        <f t="shared" si="1"/>
        <v>0</v>
      </c>
      <c r="M17" s="17"/>
      <c r="N17" s="48"/>
      <c r="O17" s="67"/>
      <c r="P17" s="36"/>
      <c r="Q17" s="36"/>
      <c r="R17" s="36">
        <f t="shared" si="0"/>
        <v>0</v>
      </c>
      <c r="S17" s="17"/>
      <c r="T17" s="48"/>
      <c r="U17" s="67"/>
      <c r="V17" s="36"/>
      <c r="W17" s="36"/>
      <c r="X17" s="36">
        <f t="shared" si="2"/>
        <v>0</v>
      </c>
      <c r="Y17" s="17"/>
      <c r="Z17" s="221"/>
      <c r="AA17" s="221"/>
      <c r="AB17" s="195"/>
      <c r="AC17" s="205"/>
    </row>
    <row r="18" spans="1:29" ht="12.75" customHeight="1" x14ac:dyDescent="0.2">
      <c r="A18" s="228"/>
      <c r="B18" s="206" t="s">
        <v>4</v>
      </c>
      <c r="C18" s="208" t="s">
        <v>9</v>
      </c>
      <c r="D18" s="9"/>
      <c r="E18" s="10"/>
      <c r="F18" s="9"/>
      <c r="G18" s="208" t="s">
        <v>1</v>
      </c>
      <c r="H18" s="49">
        <v>20.58</v>
      </c>
      <c r="I18" s="68">
        <v>0</v>
      </c>
      <c r="J18" s="37">
        <v>0</v>
      </c>
      <c r="K18" s="37">
        <v>8</v>
      </c>
      <c r="L18" s="37">
        <f t="shared" si="1"/>
        <v>0</v>
      </c>
      <c r="M18" s="38"/>
      <c r="N18" s="49">
        <v>20.58</v>
      </c>
      <c r="O18" s="68">
        <v>0</v>
      </c>
      <c r="P18" s="37">
        <v>0</v>
      </c>
      <c r="Q18" s="37">
        <v>8</v>
      </c>
      <c r="R18" s="37">
        <f t="shared" si="0"/>
        <v>0</v>
      </c>
      <c r="S18" s="38"/>
      <c r="T18" s="49">
        <v>20.58</v>
      </c>
      <c r="U18" s="68">
        <v>0</v>
      </c>
      <c r="V18" s="37">
        <v>0</v>
      </c>
      <c r="W18" s="37">
        <v>8</v>
      </c>
      <c r="X18" s="37">
        <f t="shared" si="2"/>
        <v>0</v>
      </c>
      <c r="Y18" s="38"/>
      <c r="Z18" s="210">
        <f>SUM(L18, R18, X18)+SUM(L19, R19, X19)</f>
        <v>0</v>
      </c>
      <c r="AA18" s="210">
        <f>SUM(M18, S18, Y18)+SUM(M19, S19, Y19)</f>
        <v>0</v>
      </c>
      <c r="AB18" s="212">
        <f>IF($Z18=0, ,AA18/$Z18)</f>
        <v>0</v>
      </c>
      <c r="AC18" s="214" t="s">
        <v>87</v>
      </c>
    </row>
    <row r="19" spans="1:29" ht="12.75" customHeight="1" x14ac:dyDescent="0.2">
      <c r="A19" s="228"/>
      <c r="B19" s="207"/>
      <c r="C19" s="209"/>
      <c r="D19" s="9"/>
      <c r="E19" s="9"/>
      <c r="F19" s="9"/>
      <c r="G19" s="209"/>
      <c r="H19" s="49"/>
      <c r="I19" s="68"/>
      <c r="J19" s="37"/>
      <c r="K19" s="37"/>
      <c r="L19" s="37">
        <f t="shared" si="1"/>
        <v>0</v>
      </c>
      <c r="M19" s="38"/>
      <c r="N19" s="49"/>
      <c r="O19" s="68"/>
      <c r="P19" s="37"/>
      <c r="Q19" s="37"/>
      <c r="R19" s="37">
        <f t="shared" si="0"/>
        <v>0</v>
      </c>
      <c r="S19" s="38"/>
      <c r="T19" s="49"/>
      <c r="U19" s="68"/>
      <c r="V19" s="37"/>
      <c r="W19" s="37"/>
      <c r="X19" s="37">
        <f t="shared" si="2"/>
        <v>0</v>
      </c>
      <c r="Y19" s="38"/>
      <c r="Z19" s="211"/>
      <c r="AA19" s="211"/>
      <c r="AB19" s="213"/>
      <c r="AC19" s="215"/>
    </row>
    <row r="20" spans="1:29" ht="12.75" customHeight="1" x14ac:dyDescent="0.2">
      <c r="A20" s="228"/>
      <c r="B20" s="189" t="s">
        <v>85</v>
      </c>
      <c r="C20" s="191" t="s">
        <v>83</v>
      </c>
      <c r="D20" s="11"/>
      <c r="E20" s="10"/>
      <c r="F20" s="11"/>
      <c r="G20" s="191" t="s">
        <v>1</v>
      </c>
      <c r="H20" s="50">
        <v>12.89</v>
      </c>
      <c r="I20" s="69">
        <v>0</v>
      </c>
      <c r="J20" s="39">
        <v>0</v>
      </c>
      <c r="K20" s="39">
        <v>16</v>
      </c>
      <c r="L20" s="39">
        <f t="shared" si="1"/>
        <v>0</v>
      </c>
      <c r="M20" s="40"/>
      <c r="N20" s="50">
        <v>12.89</v>
      </c>
      <c r="O20" s="69">
        <v>0</v>
      </c>
      <c r="P20" s="39">
        <v>0</v>
      </c>
      <c r="Q20" s="39">
        <v>16</v>
      </c>
      <c r="R20" s="39">
        <f>IF(ISBLANK(P20), , P20*Q20)</f>
        <v>0</v>
      </c>
      <c r="S20" s="40"/>
      <c r="T20" s="50">
        <v>23.6</v>
      </c>
      <c r="U20" s="69">
        <v>0</v>
      </c>
      <c r="V20" s="39">
        <v>0</v>
      </c>
      <c r="W20" s="39">
        <v>16</v>
      </c>
      <c r="X20" s="39">
        <f t="shared" si="2"/>
        <v>0</v>
      </c>
      <c r="Y20" s="40"/>
      <c r="Z20" s="193">
        <f>SUM(L20, R20, X20)+SUM(L21, R21, X21)</f>
        <v>0</v>
      </c>
      <c r="AA20" s="193">
        <f>SUM(M20, S20, Y20)+SUM(M21, S21, Y21)</f>
        <v>0</v>
      </c>
      <c r="AB20" s="194">
        <f>IF($Z20=0, ,AA20/$Z20)</f>
        <v>0</v>
      </c>
      <c r="AC20" s="196" t="s">
        <v>87</v>
      </c>
    </row>
    <row r="21" spans="1:29" ht="12.75" customHeight="1" x14ac:dyDescent="0.2">
      <c r="A21" s="228"/>
      <c r="B21" s="190"/>
      <c r="C21" s="192"/>
      <c r="D21" s="11"/>
      <c r="E21" s="11"/>
      <c r="F21" s="11"/>
      <c r="G21" s="192"/>
      <c r="H21" s="50"/>
      <c r="I21" s="69"/>
      <c r="J21" s="39"/>
      <c r="K21" s="39"/>
      <c r="L21" s="39">
        <f t="shared" si="1"/>
        <v>0</v>
      </c>
      <c r="M21" s="40"/>
      <c r="N21" s="50"/>
      <c r="O21" s="69"/>
      <c r="P21" s="39"/>
      <c r="Q21" s="39"/>
      <c r="R21" s="39">
        <f>IF(ISBLANK(P21), , P21*Q21)</f>
        <v>0</v>
      </c>
      <c r="S21" s="40"/>
      <c r="T21" s="50"/>
      <c r="U21" s="69"/>
      <c r="V21" s="39"/>
      <c r="W21" s="39"/>
      <c r="X21" s="39">
        <f t="shared" si="2"/>
        <v>0</v>
      </c>
      <c r="Y21" s="40"/>
      <c r="Z21" s="193"/>
      <c r="AA21" s="193"/>
      <c r="AB21" s="195"/>
      <c r="AC21" s="196"/>
    </row>
    <row r="22" spans="1:29" ht="12.75" customHeight="1" x14ac:dyDescent="0.2">
      <c r="A22" s="228"/>
      <c r="B22" s="56"/>
      <c r="C22" s="56"/>
      <c r="D22" s="56"/>
      <c r="E22" s="56"/>
      <c r="F22" s="56"/>
      <c r="G22" s="56"/>
      <c r="H22" s="76"/>
      <c r="I22" s="77"/>
      <c r="J22" s="78"/>
      <c r="K22" s="78"/>
      <c r="L22" s="78"/>
      <c r="M22" s="79"/>
      <c r="N22" s="76"/>
      <c r="O22" s="77"/>
      <c r="P22" s="78"/>
      <c r="Q22" s="78"/>
      <c r="R22" s="78"/>
      <c r="S22" s="79"/>
      <c r="T22" s="76"/>
      <c r="U22" s="77"/>
      <c r="V22" s="78"/>
      <c r="W22" s="78"/>
      <c r="X22" s="78"/>
      <c r="Y22" s="79"/>
      <c r="Z22" s="79"/>
      <c r="AA22" s="79"/>
      <c r="AB22" s="80"/>
      <c r="AC22" s="59"/>
    </row>
    <row r="23" spans="1:29" ht="12.75" customHeight="1" x14ac:dyDescent="0.2">
      <c r="A23" s="228"/>
      <c r="B23" s="197" t="s">
        <v>67</v>
      </c>
      <c r="C23" s="198"/>
      <c r="D23" s="198"/>
      <c r="E23" s="198"/>
      <c r="F23" s="198"/>
      <c r="G23" s="9" t="s">
        <v>68</v>
      </c>
      <c r="H23" s="199" t="s">
        <v>64</v>
      </c>
      <c r="I23" s="199"/>
      <c r="J23" s="199"/>
      <c r="K23" s="199" t="s">
        <v>76</v>
      </c>
      <c r="L23" s="199"/>
      <c r="M23" s="199"/>
      <c r="N23" s="199" t="s">
        <v>65</v>
      </c>
      <c r="O23" s="199"/>
      <c r="P23" s="199"/>
      <c r="Q23" s="199" t="s">
        <v>66</v>
      </c>
      <c r="R23" s="199"/>
      <c r="S23" s="199"/>
      <c r="T23" s="199" t="s">
        <v>73</v>
      </c>
      <c r="U23" s="199"/>
      <c r="V23" s="199"/>
      <c r="W23" s="199" t="s">
        <v>74</v>
      </c>
      <c r="X23" s="199"/>
      <c r="Y23" s="199"/>
      <c r="Z23" s="199" t="s">
        <v>75</v>
      </c>
      <c r="AA23" s="199"/>
      <c r="AB23" s="199"/>
      <c r="AC23" s="200"/>
    </row>
    <row r="24" spans="1:29" ht="12.75" customHeight="1" x14ac:dyDescent="0.2">
      <c r="A24" s="228"/>
      <c r="B24" s="197"/>
      <c r="C24" s="198"/>
      <c r="D24" s="198"/>
      <c r="E24" s="198"/>
      <c r="F24" s="198"/>
      <c r="G24" s="9" t="s">
        <v>69</v>
      </c>
      <c r="H24" s="98" t="s">
        <v>70</v>
      </c>
      <c r="I24" s="98" t="s">
        <v>71</v>
      </c>
      <c r="J24" s="99" t="s">
        <v>72</v>
      </c>
      <c r="K24" s="98" t="s">
        <v>70</v>
      </c>
      <c r="L24" s="98" t="s">
        <v>71</v>
      </c>
      <c r="M24" s="99" t="s">
        <v>72</v>
      </c>
      <c r="N24" s="98" t="s">
        <v>70</v>
      </c>
      <c r="O24" s="98" t="s">
        <v>71</v>
      </c>
      <c r="P24" s="99" t="s">
        <v>72</v>
      </c>
      <c r="Q24" s="98" t="s">
        <v>70</v>
      </c>
      <c r="R24" s="98" t="s">
        <v>71</v>
      </c>
      <c r="S24" s="99" t="s">
        <v>72</v>
      </c>
      <c r="T24" s="98" t="s">
        <v>70</v>
      </c>
      <c r="U24" s="98" t="s">
        <v>71</v>
      </c>
      <c r="V24" s="99" t="s">
        <v>72</v>
      </c>
      <c r="W24" s="98" t="s">
        <v>70</v>
      </c>
      <c r="X24" s="98" t="s">
        <v>71</v>
      </c>
      <c r="Y24" s="99" t="s">
        <v>72</v>
      </c>
      <c r="Z24" s="98" t="s">
        <v>70</v>
      </c>
      <c r="AA24" s="98" t="s">
        <v>71</v>
      </c>
      <c r="AB24" s="99" t="s">
        <v>72</v>
      </c>
      <c r="AC24" s="200"/>
    </row>
    <row r="25" spans="1:29" ht="12.75" customHeight="1" x14ac:dyDescent="0.2">
      <c r="A25" s="228"/>
      <c r="B25" s="201" t="str">
        <f>B12</f>
        <v>02C</v>
      </c>
      <c r="C25" s="202" t="str">
        <f>C12</f>
        <v>DEO-C01</v>
      </c>
      <c r="D25" s="9" t="str">
        <f>IF(ISBLANK(D12), "", D12)</f>
        <v/>
      </c>
      <c r="E25" s="9" t="str">
        <f>IF(ISBLANK(E12), "", E12)</f>
        <v/>
      </c>
      <c r="F25" s="9" t="str">
        <f>IF(ISBLANK(F12), "", F12)</f>
        <v/>
      </c>
      <c r="G25" s="203"/>
      <c r="H25" s="38"/>
      <c r="I25" s="38"/>
      <c r="J25" s="38"/>
      <c r="K25" s="38"/>
      <c r="L25" s="38"/>
      <c r="M25" s="38"/>
      <c r="N25" s="37"/>
      <c r="O25" s="37"/>
      <c r="P25" s="37"/>
      <c r="Q25" s="37"/>
      <c r="R25" s="37"/>
      <c r="S25" s="38"/>
      <c r="T25" s="37"/>
      <c r="U25" s="37"/>
      <c r="V25" s="37"/>
      <c r="W25" s="37"/>
      <c r="X25" s="37"/>
      <c r="Y25" s="38"/>
      <c r="Z25" s="38"/>
      <c r="AA25" s="38"/>
      <c r="AB25" s="112"/>
      <c r="AC25" s="200"/>
    </row>
    <row r="26" spans="1:29" ht="12.75" customHeight="1" x14ac:dyDescent="0.2">
      <c r="A26" s="228"/>
      <c r="B26" s="201"/>
      <c r="C26" s="202"/>
      <c r="D26" s="9"/>
      <c r="E26" s="9" t="str">
        <f t="shared" ref="E26:F28" si="3">IF(ISBLANK(E13), "", E13)</f>
        <v/>
      </c>
      <c r="F26" s="9" t="str">
        <f t="shared" si="3"/>
        <v/>
      </c>
      <c r="G26" s="203"/>
      <c r="H26" s="37"/>
      <c r="I26" s="37"/>
      <c r="J26" s="37"/>
      <c r="K26" s="37"/>
      <c r="L26" s="37"/>
      <c r="M26" s="38"/>
      <c r="N26" s="37"/>
      <c r="O26" s="37"/>
      <c r="P26" s="37"/>
      <c r="Q26" s="37"/>
      <c r="R26" s="37"/>
      <c r="S26" s="38"/>
      <c r="T26" s="37"/>
      <c r="U26" s="37"/>
      <c r="V26" s="37"/>
      <c r="W26" s="37"/>
      <c r="X26" s="37"/>
      <c r="Y26" s="38"/>
      <c r="Z26" s="38"/>
      <c r="AA26" s="38"/>
      <c r="AB26" s="112"/>
      <c r="AC26" s="200"/>
    </row>
    <row r="27" spans="1:29" ht="12.75" customHeight="1" x14ac:dyDescent="0.2">
      <c r="A27" s="228"/>
      <c r="B27" s="201" t="str">
        <f>B14</f>
        <v>03C</v>
      </c>
      <c r="C27" s="202" t="str">
        <f>C14</f>
        <v>DEO-B02</v>
      </c>
      <c r="D27" s="9" t="str">
        <f>IF(ISBLANK(D14), "", D14)</f>
        <v/>
      </c>
      <c r="E27" s="9" t="str">
        <f t="shared" si="3"/>
        <v/>
      </c>
      <c r="F27" s="9" t="str">
        <f t="shared" si="3"/>
        <v/>
      </c>
      <c r="G27" s="203"/>
      <c r="H27" s="38"/>
      <c r="I27" s="38"/>
      <c r="J27" s="38"/>
      <c r="K27" s="37"/>
      <c r="L27" s="37"/>
      <c r="M27" s="38"/>
      <c r="N27" s="37"/>
      <c r="O27" s="37"/>
      <c r="P27" s="37"/>
      <c r="Q27" s="37"/>
      <c r="R27" s="37"/>
      <c r="S27" s="38"/>
      <c r="T27" s="37"/>
      <c r="U27" s="37"/>
      <c r="V27" s="37"/>
      <c r="W27" s="37"/>
      <c r="X27" s="37"/>
      <c r="Y27" s="38"/>
      <c r="Z27" s="38"/>
      <c r="AA27" s="38"/>
      <c r="AB27" s="112"/>
      <c r="AC27" s="200"/>
    </row>
    <row r="28" spans="1:29" ht="12.75" customHeight="1" x14ac:dyDescent="0.2">
      <c r="A28" s="228"/>
      <c r="B28" s="201"/>
      <c r="C28" s="202"/>
      <c r="D28" s="9" t="str">
        <f>IF(ISBLANK(D15), "", D15)</f>
        <v/>
      </c>
      <c r="E28" s="9" t="str">
        <f t="shared" si="3"/>
        <v/>
      </c>
      <c r="F28" s="9" t="str">
        <f t="shared" si="3"/>
        <v/>
      </c>
      <c r="G28" s="203"/>
      <c r="H28" s="37"/>
      <c r="I28" s="37"/>
      <c r="J28" s="37"/>
      <c r="K28" s="37"/>
      <c r="L28" s="37"/>
      <c r="M28" s="38"/>
      <c r="N28" s="37"/>
      <c r="O28" s="37"/>
      <c r="P28" s="37"/>
      <c r="Q28" s="37"/>
      <c r="R28" s="37"/>
      <c r="S28" s="38"/>
      <c r="T28" s="37"/>
      <c r="U28" s="37"/>
      <c r="V28" s="37"/>
      <c r="W28" s="37"/>
      <c r="X28" s="37"/>
      <c r="Y28" s="38"/>
      <c r="Z28" s="38"/>
      <c r="AA28" s="38"/>
      <c r="AB28" s="112"/>
      <c r="AC28" s="200"/>
    </row>
    <row r="30" spans="1:29" x14ac:dyDescent="0.2">
      <c r="A30" s="228">
        <v>44714</v>
      </c>
      <c r="B30" s="19" t="s">
        <v>42</v>
      </c>
      <c r="C30" s="20"/>
      <c r="D30" s="21" t="s">
        <v>43</v>
      </c>
      <c r="E30" s="20">
        <v>0</v>
      </c>
      <c r="F30" s="31"/>
      <c r="G30" s="32"/>
      <c r="H30" s="52"/>
      <c r="I30" s="65"/>
      <c r="J30" s="73"/>
      <c r="K30" s="32"/>
      <c r="L30" s="21"/>
      <c r="M30" s="32"/>
      <c r="N30" s="52"/>
      <c r="O30" s="65"/>
      <c r="P30" s="73"/>
      <c r="Q30" s="32"/>
      <c r="R30" s="21"/>
      <c r="S30" s="32"/>
      <c r="T30" s="52"/>
      <c r="U30" s="65"/>
      <c r="V30" s="73"/>
      <c r="W30" s="32"/>
      <c r="X30" s="21"/>
      <c r="Y30" s="21"/>
      <c r="Z30" s="32"/>
      <c r="AA30" s="21"/>
      <c r="AB30" s="21"/>
      <c r="AC30" s="33"/>
    </row>
    <row r="31" spans="1:29" x14ac:dyDescent="0.2">
      <c r="A31" s="228"/>
      <c r="B31" s="229" t="s">
        <v>10</v>
      </c>
      <c r="C31" s="230" t="s">
        <v>0</v>
      </c>
      <c r="D31" s="230" t="s">
        <v>25</v>
      </c>
      <c r="E31" s="230" t="s">
        <v>11</v>
      </c>
      <c r="F31" s="230" t="s">
        <v>16</v>
      </c>
      <c r="G31" s="237" t="s">
        <v>12</v>
      </c>
      <c r="H31" s="222" t="s">
        <v>13</v>
      </c>
      <c r="I31" s="223"/>
      <c r="J31" s="223"/>
      <c r="K31" s="223"/>
      <c r="L31" s="223"/>
      <c r="M31" s="224"/>
      <c r="N31" s="222" t="s">
        <v>14</v>
      </c>
      <c r="O31" s="223"/>
      <c r="P31" s="223"/>
      <c r="Q31" s="223"/>
      <c r="R31" s="223"/>
      <c r="S31" s="224"/>
      <c r="T31" s="222" t="s">
        <v>15</v>
      </c>
      <c r="U31" s="223"/>
      <c r="V31" s="223"/>
      <c r="W31" s="223"/>
      <c r="X31" s="223"/>
      <c r="Y31" s="224"/>
      <c r="Z31" s="225" t="s">
        <v>37</v>
      </c>
      <c r="AA31" s="225" t="s">
        <v>39</v>
      </c>
      <c r="AB31" s="225" t="s">
        <v>62</v>
      </c>
      <c r="AC31" s="231" t="s">
        <v>26</v>
      </c>
    </row>
    <row r="32" spans="1:29" ht="25.5" x14ac:dyDescent="0.2">
      <c r="A32" s="228"/>
      <c r="B32" s="229"/>
      <c r="C32" s="230"/>
      <c r="D32" s="230"/>
      <c r="E32" s="230"/>
      <c r="F32" s="230"/>
      <c r="G32" s="237"/>
      <c r="H32" s="53" t="s">
        <v>50</v>
      </c>
      <c r="I32" s="66" t="s">
        <v>51</v>
      </c>
      <c r="J32" s="74" t="s">
        <v>63</v>
      </c>
      <c r="K32" s="24" t="s">
        <v>44</v>
      </c>
      <c r="L32" s="18" t="s">
        <v>5</v>
      </c>
      <c r="M32" s="81" t="s">
        <v>31</v>
      </c>
      <c r="N32" s="53" t="s">
        <v>50</v>
      </c>
      <c r="O32" s="66" t="s">
        <v>51</v>
      </c>
      <c r="P32" s="74" t="s">
        <v>63</v>
      </c>
      <c r="Q32" s="24" t="s">
        <v>44</v>
      </c>
      <c r="R32" s="30" t="s">
        <v>5</v>
      </c>
      <c r="S32" s="34" t="s">
        <v>31</v>
      </c>
      <c r="T32" s="53" t="s">
        <v>50</v>
      </c>
      <c r="U32" s="66" t="s">
        <v>51</v>
      </c>
      <c r="V32" s="74" t="s">
        <v>63</v>
      </c>
      <c r="W32" s="24" t="s">
        <v>44</v>
      </c>
      <c r="X32" s="30" t="s">
        <v>5</v>
      </c>
      <c r="Y32" s="34" t="s">
        <v>31</v>
      </c>
      <c r="Z32" s="226"/>
      <c r="AA32" s="227"/>
      <c r="AB32" s="227"/>
      <c r="AC32" s="231"/>
    </row>
    <row r="33" spans="1:29" x14ac:dyDescent="0.2">
      <c r="A33" s="228"/>
      <c r="B33" s="232" t="s">
        <v>2</v>
      </c>
      <c r="C33" s="234" t="s">
        <v>84</v>
      </c>
      <c r="D33" s="12"/>
      <c r="E33" s="10"/>
      <c r="F33" s="12"/>
      <c r="G33" s="234" t="s">
        <v>1</v>
      </c>
      <c r="H33" s="47">
        <v>23.6</v>
      </c>
      <c r="I33" s="63">
        <v>0</v>
      </c>
      <c r="J33" s="35"/>
      <c r="K33" s="35">
        <v>16</v>
      </c>
      <c r="L33" s="35">
        <f>IF(ISBLANK(J33), , J33*K33)</f>
        <v>0</v>
      </c>
      <c r="M33" s="29"/>
      <c r="N33" s="47">
        <v>23.6</v>
      </c>
      <c r="O33" s="63">
        <v>0</v>
      </c>
      <c r="P33" s="35"/>
      <c r="Q33" s="35">
        <v>16</v>
      </c>
      <c r="R33" s="35">
        <f>IF(ISBLANK(P33), , P33*Q33)</f>
        <v>0</v>
      </c>
      <c r="S33" s="29"/>
      <c r="T33" s="47">
        <v>23.6</v>
      </c>
      <c r="U33" s="63">
        <v>0</v>
      </c>
      <c r="V33" s="35"/>
      <c r="W33" s="35">
        <v>16</v>
      </c>
      <c r="X33" s="35">
        <f>IF(ISBLANK(V33), , V33*W33)</f>
        <v>0</v>
      </c>
      <c r="Y33" s="29"/>
      <c r="Z33" s="210">
        <f>SUM(L33, R33, X33)+SUM(L34, R34, X34)</f>
        <v>0</v>
      </c>
      <c r="AA33" s="210">
        <f>SUM(M33, S33, Y33)+SUM(M34, S34, Y34)</f>
        <v>0</v>
      </c>
      <c r="AB33" s="212">
        <f>IF($Z33=0, ,AA33/$Z33)</f>
        <v>0</v>
      </c>
      <c r="AC33" s="214" t="s">
        <v>87</v>
      </c>
    </row>
    <row r="34" spans="1:29" x14ac:dyDescent="0.2">
      <c r="A34" s="228"/>
      <c r="B34" s="233"/>
      <c r="C34" s="235"/>
      <c r="D34" s="12"/>
      <c r="E34" s="12"/>
      <c r="F34" s="12"/>
      <c r="G34" s="236"/>
      <c r="H34" s="47"/>
      <c r="I34" s="63"/>
      <c r="J34" s="35"/>
      <c r="K34" s="35"/>
      <c r="L34" s="35">
        <f>IF(ISBLANK(J34), , J34*K34)</f>
        <v>0</v>
      </c>
      <c r="M34" s="29"/>
      <c r="N34" s="47"/>
      <c r="O34" s="63"/>
      <c r="P34" s="35"/>
      <c r="Q34" s="35"/>
      <c r="R34" s="35">
        <f>IF(ISBLANK(P34), , P34*Q34)</f>
        <v>0</v>
      </c>
      <c r="S34" s="29"/>
      <c r="T34" s="47"/>
      <c r="U34" s="63"/>
      <c r="V34" s="35"/>
      <c r="W34" s="35"/>
      <c r="X34" s="35">
        <f>IF(ISBLANK(V34), , V34*W34)</f>
        <v>0</v>
      </c>
      <c r="Y34" s="29"/>
      <c r="Z34" s="211"/>
      <c r="AA34" s="211"/>
      <c r="AB34" s="213"/>
      <c r="AC34" s="215"/>
    </row>
    <row r="35" spans="1:29" x14ac:dyDescent="0.2">
      <c r="A35" s="228"/>
      <c r="B35" s="216" t="s">
        <v>6</v>
      </c>
      <c r="C35" s="218" t="s">
        <v>8</v>
      </c>
      <c r="D35" s="10"/>
      <c r="E35" s="10"/>
      <c r="F35" s="10"/>
      <c r="G35" s="218" t="s">
        <v>1</v>
      </c>
      <c r="H35" s="48">
        <v>19.57</v>
      </c>
      <c r="I35" s="67">
        <v>0</v>
      </c>
      <c r="J35" s="39"/>
      <c r="K35" s="39">
        <v>8</v>
      </c>
      <c r="L35" s="39">
        <f>IF(ISBLANK(J35), , J35*K35)</f>
        <v>0</v>
      </c>
      <c r="M35" s="40">
        <f>H48+K48+N48+Q48+T48+W48+Z48</f>
        <v>0</v>
      </c>
      <c r="N35" s="48">
        <v>19.57</v>
      </c>
      <c r="O35" s="67">
        <v>0</v>
      </c>
      <c r="P35" s="39"/>
      <c r="Q35" s="39">
        <v>8</v>
      </c>
      <c r="R35" s="39">
        <f>IF(ISBLANK(P35), , P35*Q35)</f>
        <v>0</v>
      </c>
      <c r="S35" s="40">
        <f>I48+L48+O48+R48+U48+X48+AA48</f>
        <v>0</v>
      </c>
      <c r="T35" s="48">
        <v>19.57</v>
      </c>
      <c r="U35" s="67">
        <v>0</v>
      </c>
      <c r="V35" s="39"/>
      <c r="W35" s="39">
        <v>8</v>
      </c>
      <c r="X35" s="39">
        <f>IF(ISBLANK(V35), , V35*W35)</f>
        <v>0</v>
      </c>
      <c r="Y35" s="40">
        <f>J48+M48+P48+S48+V48+Y48+AB48</f>
        <v>0</v>
      </c>
      <c r="Z35" s="238">
        <f>SUM(L35, R35, X35)+SUM(L36, R36, X36)</f>
        <v>0</v>
      </c>
      <c r="AA35" s="220">
        <f>SUM(M35, S35, Y35)+SUM(M36, S36, Y36)</f>
        <v>0</v>
      </c>
      <c r="AB35" s="194">
        <f>IF($Z35=0, ,AA35/$Z35)</f>
        <v>0</v>
      </c>
      <c r="AC35" s="204" t="s">
        <v>87</v>
      </c>
    </row>
    <row r="36" spans="1:29" x14ac:dyDescent="0.2">
      <c r="A36" s="228"/>
      <c r="B36" s="217"/>
      <c r="C36" s="219"/>
      <c r="D36" s="10"/>
      <c r="E36" s="10"/>
      <c r="F36" s="10"/>
      <c r="G36" s="219"/>
      <c r="H36" s="48"/>
      <c r="I36" s="67"/>
      <c r="J36" s="39"/>
      <c r="K36" s="39"/>
      <c r="L36" s="39">
        <f>IF(ISBLANK(J36), , J36*K36)</f>
        <v>0</v>
      </c>
      <c r="M36" s="40">
        <f>H49+K49+N49+Q49+T49+W49+Z49</f>
        <v>0</v>
      </c>
      <c r="N36" s="48"/>
      <c r="O36" s="67"/>
      <c r="P36" s="39"/>
      <c r="Q36" s="39"/>
      <c r="R36" s="39">
        <f t="shared" ref="R36:R42" si="4">IF(ISBLANK(P36), , P36*Q36)</f>
        <v>0</v>
      </c>
      <c r="S36" s="40">
        <f>I49+L49+O49+R49+U49+X49+AA49</f>
        <v>0</v>
      </c>
      <c r="T36" s="48"/>
      <c r="U36" s="67"/>
      <c r="V36" s="39"/>
      <c r="W36" s="39"/>
      <c r="X36" s="39">
        <f>IF(ISBLANK(V36), , V36*W36)</f>
        <v>0</v>
      </c>
      <c r="Y36" s="40">
        <f>J49+M49+P49+S49+V49+Y49+AB49</f>
        <v>0</v>
      </c>
      <c r="Z36" s="239"/>
      <c r="AA36" s="221"/>
      <c r="AB36" s="195"/>
      <c r="AC36" s="205"/>
    </row>
    <row r="37" spans="1:29" x14ac:dyDescent="0.2">
      <c r="A37" s="228"/>
      <c r="B37" s="206" t="s">
        <v>7</v>
      </c>
      <c r="C37" s="208" t="s">
        <v>81</v>
      </c>
      <c r="D37" s="9"/>
      <c r="E37" s="9"/>
      <c r="F37" s="9"/>
      <c r="G37" s="208" t="s">
        <v>1</v>
      </c>
      <c r="H37" s="49">
        <v>20.5</v>
      </c>
      <c r="I37" s="68">
        <v>0</v>
      </c>
      <c r="J37" s="37"/>
      <c r="K37" s="37">
        <v>8</v>
      </c>
      <c r="L37" s="37">
        <f>IF(ISBLANK(J37), , J37*K37)</f>
        <v>0</v>
      </c>
      <c r="M37" s="38">
        <f>H50+K50+N50+Q50+T50+W50+Z50</f>
        <v>0</v>
      </c>
      <c r="N37" s="49">
        <v>21.95</v>
      </c>
      <c r="O37" s="68">
        <v>0</v>
      </c>
      <c r="P37" s="37"/>
      <c r="Q37" s="37">
        <v>8</v>
      </c>
      <c r="R37" s="37">
        <f t="shared" si="4"/>
        <v>0</v>
      </c>
      <c r="S37" s="38">
        <f>I50+L50+O50+R50+U50+X50+AA50</f>
        <v>0</v>
      </c>
      <c r="T37" s="49">
        <v>22</v>
      </c>
      <c r="U37" s="68">
        <v>0</v>
      </c>
      <c r="V37" s="37"/>
      <c r="W37" s="37">
        <v>8</v>
      </c>
      <c r="X37" s="37">
        <f>IF(ISBLANK(V37), , V37*W37)</f>
        <v>0</v>
      </c>
      <c r="Y37" s="38">
        <f>J50+M50+P50+S50+V50+Y50+AB50</f>
        <v>0</v>
      </c>
      <c r="Z37" s="210">
        <f>SUM(L37, R37, X37)+SUM(L38, R38, X38)</f>
        <v>0</v>
      </c>
      <c r="AA37" s="210">
        <f>SUM(M37, S37, Y37)+SUM(M38, S38, Y38)</f>
        <v>0</v>
      </c>
      <c r="AB37" s="212">
        <f>IF($Z37=0, ,AA37/$Z37)</f>
        <v>0</v>
      </c>
      <c r="AC37" s="214" t="s">
        <v>87</v>
      </c>
    </row>
    <row r="38" spans="1:29" x14ac:dyDescent="0.2">
      <c r="A38" s="228"/>
      <c r="B38" s="207"/>
      <c r="C38" s="209"/>
      <c r="D38" s="9"/>
      <c r="E38" s="9"/>
      <c r="F38" s="9"/>
      <c r="G38" s="209"/>
      <c r="H38" s="49"/>
      <c r="I38" s="68"/>
      <c r="J38" s="37"/>
      <c r="K38" s="37"/>
      <c r="L38" s="37">
        <f t="shared" ref="L38:L44" si="5">IF(ISBLANK(J38), , J38*K38)</f>
        <v>0</v>
      </c>
      <c r="M38" s="38">
        <f>H51+K51+N51+Q51+T51+W51+Z51</f>
        <v>0</v>
      </c>
      <c r="N38" s="49"/>
      <c r="O38" s="68"/>
      <c r="P38" s="37"/>
      <c r="Q38" s="37"/>
      <c r="R38" s="37">
        <f t="shared" si="4"/>
        <v>0</v>
      </c>
      <c r="S38" s="38">
        <f>I51+L51+O51+R51+U51+X51+AA51</f>
        <v>0</v>
      </c>
      <c r="T38" s="49"/>
      <c r="U38" s="68"/>
      <c r="V38" s="37"/>
      <c r="W38" s="37"/>
      <c r="X38" s="37">
        <f t="shared" ref="X38:X44" si="6">IF(ISBLANK(V38), , V38*W38)</f>
        <v>0</v>
      </c>
      <c r="Y38" s="38">
        <f>J51+M51+P51+S51+V51+Y51+AB51</f>
        <v>0</v>
      </c>
      <c r="Z38" s="211"/>
      <c r="AA38" s="211"/>
      <c r="AB38" s="213"/>
      <c r="AC38" s="215"/>
    </row>
    <row r="39" spans="1:29" x14ac:dyDescent="0.2">
      <c r="A39" s="228"/>
      <c r="B39" s="216" t="s">
        <v>3</v>
      </c>
      <c r="C39" s="218" t="s">
        <v>82</v>
      </c>
      <c r="D39" s="10"/>
      <c r="E39" s="10"/>
      <c r="F39" s="10"/>
      <c r="G39" s="218" t="s">
        <v>1</v>
      </c>
      <c r="H39" s="48">
        <v>19.71</v>
      </c>
      <c r="I39" s="67">
        <v>0</v>
      </c>
      <c r="J39" s="36"/>
      <c r="K39" s="36">
        <v>16</v>
      </c>
      <c r="L39" s="36">
        <f t="shared" si="5"/>
        <v>0</v>
      </c>
      <c r="M39" s="17"/>
      <c r="N39" s="48">
        <v>19.690000000000001</v>
      </c>
      <c r="O39" s="67">
        <v>0</v>
      </c>
      <c r="P39" s="36"/>
      <c r="Q39" s="36">
        <v>16</v>
      </c>
      <c r="R39" s="36">
        <f t="shared" si="4"/>
        <v>0</v>
      </c>
      <c r="S39" s="17"/>
      <c r="T39" s="48">
        <v>19.2</v>
      </c>
      <c r="U39" s="67">
        <v>0</v>
      </c>
      <c r="V39" s="36">
        <v>0</v>
      </c>
      <c r="W39" s="36">
        <v>16</v>
      </c>
      <c r="X39" s="36">
        <f t="shared" si="6"/>
        <v>0</v>
      </c>
      <c r="Y39" s="17"/>
      <c r="Z39" s="220">
        <f>SUM(L39, R39, X39)+SUM(L40, R40, X40)</f>
        <v>0</v>
      </c>
      <c r="AA39" s="220">
        <f>SUM(M39, S39, Y39)+SUM(M40, S40, Y40)</f>
        <v>0</v>
      </c>
      <c r="AB39" s="194">
        <f>IF($Z39=0, ,AA39/$Z39)</f>
        <v>0</v>
      </c>
      <c r="AC39" s="204" t="s">
        <v>87</v>
      </c>
    </row>
    <row r="40" spans="1:29" x14ac:dyDescent="0.2">
      <c r="A40" s="228"/>
      <c r="B40" s="217"/>
      <c r="C40" s="219"/>
      <c r="D40" s="10"/>
      <c r="E40" s="10"/>
      <c r="F40" s="10"/>
      <c r="G40" s="219"/>
      <c r="H40" s="48"/>
      <c r="I40" s="67"/>
      <c r="J40" s="36"/>
      <c r="K40" s="36"/>
      <c r="L40" s="36">
        <f t="shared" si="5"/>
        <v>0</v>
      </c>
      <c r="M40" s="17"/>
      <c r="N40" s="48"/>
      <c r="O40" s="67"/>
      <c r="P40" s="36"/>
      <c r="Q40" s="36"/>
      <c r="R40" s="36">
        <f t="shared" si="4"/>
        <v>0</v>
      </c>
      <c r="S40" s="17"/>
      <c r="T40" s="48"/>
      <c r="U40" s="67"/>
      <c r="V40" s="36"/>
      <c r="W40" s="36"/>
      <c r="X40" s="36">
        <f t="shared" si="6"/>
        <v>0</v>
      </c>
      <c r="Y40" s="17"/>
      <c r="Z40" s="221"/>
      <c r="AA40" s="221"/>
      <c r="AB40" s="195"/>
      <c r="AC40" s="205"/>
    </row>
    <row r="41" spans="1:29" x14ac:dyDescent="0.2">
      <c r="A41" s="228"/>
      <c r="B41" s="206" t="s">
        <v>4</v>
      </c>
      <c r="C41" s="208" t="s">
        <v>9</v>
      </c>
      <c r="D41" s="9"/>
      <c r="E41" s="10"/>
      <c r="F41" s="9"/>
      <c r="G41" s="208" t="s">
        <v>1</v>
      </c>
      <c r="H41" s="49">
        <v>20.58</v>
      </c>
      <c r="I41" s="68">
        <v>0</v>
      </c>
      <c r="J41" s="37">
        <v>0</v>
      </c>
      <c r="K41" s="37">
        <v>8</v>
      </c>
      <c r="L41" s="37">
        <f t="shared" si="5"/>
        <v>0</v>
      </c>
      <c r="M41" s="38"/>
      <c r="N41" s="49">
        <v>20.58</v>
      </c>
      <c r="O41" s="68">
        <v>0</v>
      </c>
      <c r="P41" s="37">
        <v>0</v>
      </c>
      <c r="Q41" s="37">
        <v>8</v>
      </c>
      <c r="R41" s="37">
        <f t="shared" si="4"/>
        <v>0</v>
      </c>
      <c r="S41" s="38"/>
      <c r="T41" s="49">
        <v>20.58</v>
      </c>
      <c r="U41" s="68">
        <v>0</v>
      </c>
      <c r="V41" s="37">
        <v>0</v>
      </c>
      <c r="W41" s="37">
        <v>8</v>
      </c>
      <c r="X41" s="37">
        <f t="shared" si="6"/>
        <v>0</v>
      </c>
      <c r="Y41" s="38"/>
      <c r="Z41" s="210">
        <f>SUM(L41, R41, X41)+SUM(L42, R42, X42)</f>
        <v>0</v>
      </c>
      <c r="AA41" s="210">
        <f>SUM(M41, S41, Y41)+SUM(M42, S42, Y42)</f>
        <v>0</v>
      </c>
      <c r="AB41" s="212">
        <f>IF($Z41=0, ,AA41/$Z41)</f>
        <v>0</v>
      </c>
      <c r="AC41" s="214" t="s">
        <v>87</v>
      </c>
    </row>
    <row r="42" spans="1:29" x14ac:dyDescent="0.2">
      <c r="A42" s="228"/>
      <c r="B42" s="207"/>
      <c r="C42" s="209"/>
      <c r="D42" s="9"/>
      <c r="E42" s="9"/>
      <c r="F42" s="9"/>
      <c r="G42" s="209"/>
      <c r="H42" s="49"/>
      <c r="I42" s="68"/>
      <c r="J42" s="37"/>
      <c r="K42" s="37"/>
      <c r="L42" s="37">
        <f t="shared" si="5"/>
        <v>0</v>
      </c>
      <c r="M42" s="38"/>
      <c r="N42" s="49"/>
      <c r="O42" s="68"/>
      <c r="P42" s="37"/>
      <c r="Q42" s="37"/>
      <c r="R42" s="37">
        <f t="shared" si="4"/>
        <v>0</v>
      </c>
      <c r="S42" s="38"/>
      <c r="T42" s="49"/>
      <c r="U42" s="68"/>
      <c r="V42" s="37"/>
      <c r="W42" s="37"/>
      <c r="X42" s="37">
        <f t="shared" si="6"/>
        <v>0</v>
      </c>
      <c r="Y42" s="38"/>
      <c r="Z42" s="211"/>
      <c r="AA42" s="211"/>
      <c r="AB42" s="213"/>
      <c r="AC42" s="215"/>
    </row>
    <row r="43" spans="1:29" x14ac:dyDescent="0.2">
      <c r="A43" s="228"/>
      <c r="B43" s="189" t="s">
        <v>85</v>
      </c>
      <c r="C43" s="191" t="s">
        <v>83</v>
      </c>
      <c r="D43" s="11"/>
      <c r="E43" s="10"/>
      <c r="F43" s="11"/>
      <c r="G43" s="191" t="s">
        <v>1</v>
      </c>
      <c r="H43" s="50">
        <v>12.89</v>
      </c>
      <c r="I43" s="69">
        <v>0</v>
      </c>
      <c r="J43" s="39">
        <v>0</v>
      </c>
      <c r="K43" s="39">
        <v>16</v>
      </c>
      <c r="L43" s="39">
        <f t="shared" si="5"/>
        <v>0</v>
      </c>
      <c r="M43" s="40"/>
      <c r="N43" s="50">
        <v>12.89</v>
      </c>
      <c r="O43" s="69">
        <v>0</v>
      </c>
      <c r="P43" s="39">
        <v>0</v>
      </c>
      <c r="Q43" s="39">
        <v>16</v>
      </c>
      <c r="R43" s="39">
        <f>IF(ISBLANK(P43), , P43*Q43)</f>
        <v>0</v>
      </c>
      <c r="S43" s="40"/>
      <c r="T43" s="50">
        <v>23.6</v>
      </c>
      <c r="U43" s="69">
        <v>0</v>
      </c>
      <c r="V43" s="39">
        <v>0</v>
      </c>
      <c r="W43" s="39">
        <v>16</v>
      </c>
      <c r="X43" s="39">
        <f t="shared" si="6"/>
        <v>0</v>
      </c>
      <c r="Y43" s="40"/>
      <c r="Z43" s="193">
        <f>SUM(L43, R43, X43)+SUM(L44, R44, X44)</f>
        <v>0</v>
      </c>
      <c r="AA43" s="193">
        <f>SUM(M43, S43, Y43)+SUM(M44, S44, Y44)</f>
        <v>0</v>
      </c>
      <c r="AB43" s="194">
        <f>IF($Z43=0, ,AA43/$Z43)</f>
        <v>0</v>
      </c>
      <c r="AC43" s="196" t="s">
        <v>87</v>
      </c>
    </row>
    <row r="44" spans="1:29" x14ac:dyDescent="0.2">
      <c r="A44" s="228"/>
      <c r="B44" s="190"/>
      <c r="C44" s="192"/>
      <c r="D44" s="11"/>
      <c r="E44" s="11"/>
      <c r="F44" s="11"/>
      <c r="G44" s="192"/>
      <c r="H44" s="50"/>
      <c r="I44" s="69"/>
      <c r="J44" s="39"/>
      <c r="K44" s="39"/>
      <c r="L44" s="39">
        <f t="shared" si="5"/>
        <v>0</v>
      </c>
      <c r="M44" s="40"/>
      <c r="N44" s="50"/>
      <c r="O44" s="69"/>
      <c r="P44" s="39"/>
      <c r="Q44" s="39"/>
      <c r="R44" s="39">
        <f>IF(ISBLANK(P44), , P44*Q44)</f>
        <v>0</v>
      </c>
      <c r="S44" s="40"/>
      <c r="T44" s="50"/>
      <c r="U44" s="69"/>
      <c r="V44" s="39"/>
      <c r="W44" s="39"/>
      <c r="X44" s="39">
        <f t="shared" si="6"/>
        <v>0</v>
      </c>
      <c r="Y44" s="40"/>
      <c r="Z44" s="193"/>
      <c r="AA44" s="193"/>
      <c r="AB44" s="195"/>
      <c r="AC44" s="196"/>
    </row>
    <row r="45" spans="1:29" x14ac:dyDescent="0.2">
      <c r="A45" s="228"/>
      <c r="B45" s="56"/>
      <c r="C45" s="56"/>
      <c r="D45" s="56"/>
      <c r="E45" s="56"/>
      <c r="F45" s="56"/>
      <c r="G45" s="56"/>
      <c r="H45" s="76"/>
      <c r="I45" s="77"/>
      <c r="J45" s="78"/>
      <c r="K45" s="78"/>
      <c r="L45" s="78"/>
      <c r="M45" s="79"/>
      <c r="N45" s="76"/>
      <c r="O45" s="77"/>
      <c r="P45" s="78"/>
      <c r="Q45" s="78"/>
      <c r="R45" s="78"/>
      <c r="S45" s="79"/>
      <c r="T45" s="76"/>
      <c r="U45" s="77"/>
      <c r="V45" s="78"/>
      <c r="W45" s="78"/>
      <c r="X45" s="78"/>
      <c r="Y45" s="79"/>
      <c r="Z45" s="79"/>
      <c r="AA45" s="79"/>
      <c r="AB45" s="80"/>
      <c r="AC45" s="59"/>
    </row>
    <row r="46" spans="1:29" x14ac:dyDescent="0.2">
      <c r="A46" s="228"/>
      <c r="B46" s="197" t="s">
        <v>67</v>
      </c>
      <c r="C46" s="198"/>
      <c r="D46" s="198"/>
      <c r="E46" s="198"/>
      <c r="F46" s="198"/>
      <c r="G46" s="9" t="s">
        <v>68</v>
      </c>
      <c r="H46" s="199" t="s">
        <v>64</v>
      </c>
      <c r="I46" s="199"/>
      <c r="J46" s="199"/>
      <c r="K46" s="199" t="s">
        <v>76</v>
      </c>
      <c r="L46" s="199"/>
      <c r="M46" s="199"/>
      <c r="N46" s="199" t="s">
        <v>65</v>
      </c>
      <c r="O46" s="199"/>
      <c r="P46" s="199"/>
      <c r="Q46" s="199" t="s">
        <v>66</v>
      </c>
      <c r="R46" s="199"/>
      <c r="S46" s="199"/>
      <c r="T46" s="199" t="s">
        <v>73</v>
      </c>
      <c r="U46" s="199"/>
      <c r="V46" s="199"/>
      <c r="W46" s="199" t="s">
        <v>74</v>
      </c>
      <c r="X46" s="199"/>
      <c r="Y46" s="199"/>
      <c r="Z46" s="199" t="s">
        <v>75</v>
      </c>
      <c r="AA46" s="199"/>
      <c r="AB46" s="199"/>
      <c r="AC46" s="200"/>
    </row>
    <row r="47" spans="1:29" x14ac:dyDescent="0.2">
      <c r="A47" s="228"/>
      <c r="B47" s="197"/>
      <c r="C47" s="198"/>
      <c r="D47" s="198"/>
      <c r="E47" s="198"/>
      <c r="F47" s="198"/>
      <c r="G47" s="9" t="s">
        <v>69</v>
      </c>
      <c r="H47" s="98" t="s">
        <v>70</v>
      </c>
      <c r="I47" s="98" t="s">
        <v>71</v>
      </c>
      <c r="J47" s="99" t="s">
        <v>72</v>
      </c>
      <c r="K47" s="98" t="s">
        <v>70</v>
      </c>
      <c r="L47" s="98" t="s">
        <v>71</v>
      </c>
      <c r="M47" s="99" t="s">
        <v>72</v>
      </c>
      <c r="N47" s="98" t="s">
        <v>70</v>
      </c>
      <c r="O47" s="98" t="s">
        <v>71</v>
      </c>
      <c r="P47" s="99" t="s">
        <v>72</v>
      </c>
      <c r="Q47" s="98" t="s">
        <v>70</v>
      </c>
      <c r="R47" s="98" t="s">
        <v>71</v>
      </c>
      <c r="S47" s="99" t="s">
        <v>72</v>
      </c>
      <c r="T47" s="98" t="s">
        <v>70</v>
      </c>
      <c r="U47" s="98" t="s">
        <v>71</v>
      </c>
      <c r="V47" s="99" t="s">
        <v>72</v>
      </c>
      <c r="W47" s="98" t="s">
        <v>70</v>
      </c>
      <c r="X47" s="98" t="s">
        <v>71</v>
      </c>
      <c r="Y47" s="99" t="s">
        <v>72</v>
      </c>
      <c r="Z47" s="98" t="s">
        <v>70</v>
      </c>
      <c r="AA47" s="98" t="s">
        <v>71</v>
      </c>
      <c r="AB47" s="99" t="s">
        <v>72</v>
      </c>
      <c r="AC47" s="200"/>
    </row>
    <row r="48" spans="1:29" x14ac:dyDescent="0.2">
      <c r="A48" s="228"/>
      <c r="B48" s="201" t="str">
        <f>B35</f>
        <v>02C</v>
      </c>
      <c r="C48" s="202" t="str">
        <f>C35</f>
        <v>DEO-C01</v>
      </c>
      <c r="D48" s="9" t="str">
        <f>IF(ISBLANK(D35), "", D35)</f>
        <v/>
      </c>
      <c r="E48" s="9" t="str">
        <f>IF(ISBLANK(E35), "", E35)</f>
        <v/>
      </c>
      <c r="F48" s="9" t="str">
        <f>IF(ISBLANK(F35), "", F35)</f>
        <v/>
      </c>
      <c r="G48" s="203"/>
      <c r="H48" s="38"/>
      <c r="I48" s="38"/>
      <c r="J48" s="38"/>
      <c r="K48" s="38"/>
      <c r="L48" s="38"/>
      <c r="M48" s="38"/>
      <c r="N48" s="37"/>
      <c r="O48" s="37"/>
      <c r="P48" s="37"/>
      <c r="Q48" s="37"/>
      <c r="R48" s="37"/>
      <c r="S48" s="38"/>
      <c r="T48" s="37"/>
      <c r="U48" s="37"/>
      <c r="V48" s="37"/>
      <c r="W48" s="37"/>
      <c r="X48" s="37"/>
      <c r="Y48" s="38"/>
      <c r="Z48" s="38"/>
      <c r="AA48" s="38"/>
      <c r="AB48" s="112"/>
      <c r="AC48" s="200"/>
    </row>
    <row r="49" spans="1:29" x14ac:dyDescent="0.2">
      <c r="A49" s="228"/>
      <c r="B49" s="201"/>
      <c r="C49" s="202"/>
      <c r="D49" s="9"/>
      <c r="E49" s="9" t="str">
        <f t="shared" ref="E49:F51" si="7">IF(ISBLANK(E36), "", E36)</f>
        <v/>
      </c>
      <c r="F49" s="9" t="str">
        <f t="shared" si="7"/>
        <v/>
      </c>
      <c r="G49" s="203"/>
      <c r="H49" s="37"/>
      <c r="I49" s="37"/>
      <c r="J49" s="37"/>
      <c r="K49" s="37"/>
      <c r="L49" s="37"/>
      <c r="M49" s="38"/>
      <c r="N49" s="37"/>
      <c r="O49" s="37"/>
      <c r="P49" s="37"/>
      <c r="Q49" s="37"/>
      <c r="R49" s="37"/>
      <c r="S49" s="38"/>
      <c r="T49" s="37"/>
      <c r="U49" s="37"/>
      <c r="V49" s="37"/>
      <c r="W49" s="37"/>
      <c r="X49" s="37"/>
      <c r="Y49" s="38"/>
      <c r="Z49" s="38"/>
      <c r="AA49" s="38"/>
      <c r="AB49" s="112"/>
      <c r="AC49" s="200"/>
    </row>
    <row r="50" spans="1:29" x14ac:dyDescent="0.2">
      <c r="A50" s="228"/>
      <c r="B50" s="201" t="str">
        <f>B37</f>
        <v>03C</v>
      </c>
      <c r="C50" s="202" t="str">
        <f>C37</f>
        <v>DEO-B02</v>
      </c>
      <c r="D50" s="9" t="str">
        <f>IF(ISBLANK(D37), "", D37)</f>
        <v/>
      </c>
      <c r="E50" s="9" t="str">
        <f t="shared" si="7"/>
        <v/>
      </c>
      <c r="F50" s="9" t="str">
        <f t="shared" si="7"/>
        <v/>
      </c>
      <c r="G50" s="203"/>
      <c r="H50" s="38"/>
      <c r="I50" s="38"/>
      <c r="J50" s="38"/>
      <c r="K50" s="37"/>
      <c r="L50" s="37"/>
      <c r="M50" s="38"/>
      <c r="N50" s="37"/>
      <c r="O50" s="37"/>
      <c r="P50" s="37"/>
      <c r="Q50" s="37"/>
      <c r="R50" s="37"/>
      <c r="S50" s="38"/>
      <c r="T50" s="37"/>
      <c r="U50" s="37"/>
      <c r="V50" s="37"/>
      <c r="W50" s="37"/>
      <c r="X50" s="37"/>
      <c r="Y50" s="38"/>
      <c r="Z50" s="38"/>
      <c r="AA50" s="38"/>
      <c r="AB50" s="112"/>
      <c r="AC50" s="200"/>
    </row>
    <row r="51" spans="1:29" x14ac:dyDescent="0.2">
      <c r="A51" s="228"/>
      <c r="B51" s="201"/>
      <c r="C51" s="202"/>
      <c r="D51" s="9" t="str">
        <f>IF(ISBLANK(D38), "", D38)</f>
        <v/>
      </c>
      <c r="E51" s="9" t="str">
        <f t="shared" si="7"/>
        <v/>
      </c>
      <c r="F51" s="9" t="str">
        <f t="shared" si="7"/>
        <v/>
      </c>
      <c r="G51" s="203"/>
      <c r="H51" s="37"/>
      <c r="I51" s="37"/>
      <c r="J51" s="37"/>
      <c r="K51" s="37"/>
      <c r="L51" s="37"/>
      <c r="M51" s="38"/>
      <c r="N51" s="37"/>
      <c r="O51" s="37"/>
      <c r="P51" s="37"/>
      <c r="Q51" s="37"/>
      <c r="R51" s="37"/>
      <c r="S51" s="38"/>
      <c r="T51" s="37"/>
      <c r="U51" s="37"/>
      <c r="V51" s="37"/>
      <c r="W51" s="37"/>
      <c r="X51" s="37"/>
      <c r="Y51" s="38"/>
      <c r="Z51" s="38"/>
      <c r="AA51" s="38"/>
      <c r="AB51" s="112"/>
      <c r="AC51" s="200"/>
    </row>
    <row r="53" spans="1:29" x14ac:dyDescent="0.2">
      <c r="A53" s="228">
        <v>44715</v>
      </c>
      <c r="B53" s="19" t="s">
        <v>42</v>
      </c>
      <c r="C53" s="20"/>
      <c r="D53" s="21" t="s">
        <v>43</v>
      </c>
      <c r="E53" s="20">
        <v>0</v>
      </c>
      <c r="F53" s="31"/>
      <c r="G53" s="32"/>
      <c r="H53" s="52"/>
      <c r="I53" s="65"/>
      <c r="J53" s="73"/>
      <c r="K53" s="32"/>
      <c r="L53" s="21"/>
      <c r="M53" s="32"/>
      <c r="N53" s="52"/>
      <c r="O53" s="65"/>
      <c r="P53" s="73"/>
      <c r="Q53" s="32"/>
      <c r="R53" s="21"/>
      <c r="S53" s="32"/>
      <c r="T53" s="52"/>
      <c r="U53" s="65"/>
      <c r="V53" s="73"/>
      <c r="W53" s="32"/>
      <c r="X53" s="21"/>
      <c r="Y53" s="21"/>
      <c r="Z53" s="32"/>
      <c r="AA53" s="21"/>
      <c r="AB53" s="21"/>
      <c r="AC53" s="33"/>
    </row>
    <row r="54" spans="1:29" x14ac:dyDescent="0.2">
      <c r="A54" s="228"/>
      <c r="B54" s="229" t="s">
        <v>10</v>
      </c>
      <c r="C54" s="230" t="s">
        <v>0</v>
      </c>
      <c r="D54" s="230" t="s">
        <v>25</v>
      </c>
      <c r="E54" s="230" t="s">
        <v>11</v>
      </c>
      <c r="F54" s="230" t="s">
        <v>16</v>
      </c>
      <c r="G54" s="237" t="s">
        <v>12</v>
      </c>
      <c r="H54" s="222" t="s">
        <v>13</v>
      </c>
      <c r="I54" s="223"/>
      <c r="J54" s="223"/>
      <c r="K54" s="223"/>
      <c r="L54" s="223"/>
      <c r="M54" s="224"/>
      <c r="N54" s="222" t="s">
        <v>14</v>
      </c>
      <c r="O54" s="223"/>
      <c r="P54" s="223"/>
      <c r="Q54" s="223"/>
      <c r="R54" s="223"/>
      <c r="S54" s="224"/>
      <c r="T54" s="222" t="s">
        <v>15</v>
      </c>
      <c r="U54" s="223"/>
      <c r="V54" s="223"/>
      <c r="W54" s="223"/>
      <c r="X54" s="223"/>
      <c r="Y54" s="224"/>
      <c r="Z54" s="225" t="s">
        <v>37</v>
      </c>
      <c r="AA54" s="225" t="s">
        <v>39</v>
      </c>
      <c r="AB54" s="225" t="s">
        <v>62</v>
      </c>
      <c r="AC54" s="231" t="s">
        <v>26</v>
      </c>
    </row>
    <row r="55" spans="1:29" ht="25.5" x14ac:dyDescent="0.2">
      <c r="A55" s="228"/>
      <c r="B55" s="229"/>
      <c r="C55" s="230"/>
      <c r="D55" s="230"/>
      <c r="E55" s="230"/>
      <c r="F55" s="230"/>
      <c r="G55" s="237"/>
      <c r="H55" s="53" t="s">
        <v>50</v>
      </c>
      <c r="I55" s="66" t="s">
        <v>51</v>
      </c>
      <c r="J55" s="74" t="s">
        <v>63</v>
      </c>
      <c r="K55" s="24" t="s">
        <v>44</v>
      </c>
      <c r="L55" s="18" t="s">
        <v>5</v>
      </c>
      <c r="M55" s="81" t="s">
        <v>31</v>
      </c>
      <c r="N55" s="53" t="s">
        <v>50</v>
      </c>
      <c r="O55" s="66" t="s">
        <v>51</v>
      </c>
      <c r="P55" s="74" t="s">
        <v>63</v>
      </c>
      <c r="Q55" s="24" t="s">
        <v>44</v>
      </c>
      <c r="R55" s="30" t="s">
        <v>5</v>
      </c>
      <c r="S55" s="34" t="s">
        <v>31</v>
      </c>
      <c r="T55" s="53" t="s">
        <v>50</v>
      </c>
      <c r="U55" s="66" t="s">
        <v>51</v>
      </c>
      <c r="V55" s="74" t="s">
        <v>63</v>
      </c>
      <c r="W55" s="24" t="s">
        <v>44</v>
      </c>
      <c r="X55" s="30" t="s">
        <v>5</v>
      </c>
      <c r="Y55" s="34" t="s">
        <v>31</v>
      </c>
      <c r="Z55" s="226"/>
      <c r="AA55" s="227"/>
      <c r="AB55" s="227"/>
      <c r="AC55" s="231"/>
    </row>
    <row r="56" spans="1:29" x14ac:dyDescent="0.2">
      <c r="A56" s="228"/>
      <c r="B56" s="232" t="s">
        <v>2</v>
      </c>
      <c r="C56" s="234" t="s">
        <v>84</v>
      </c>
      <c r="D56" s="12"/>
      <c r="E56" s="10"/>
      <c r="F56" s="12"/>
      <c r="G56" s="234" t="s">
        <v>1</v>
      </c>
      <c r="H56" s="47">
        <v>23.6</v>
      </c>
      <c r="I56" s="63">
        <v>0</v>
      </c>
      <c r="J56" s="35"/>
      <c r="K56" s="35">
        <v>16</v>
      </c>
      <c r="L56" s="35">
        <f>IF(ISBLANK(J56), , J56*K56)</f>
        <v>0</v>
      </c>
      <c r="M56" s="29"/>
      <c r="N56" s="47">
        <v>23.6</v>
      </c>
      <c r="O56" s="63">
        <v>0</v>
      </c>
      <c r="P56" s="35"/>
      <c r="Q56" s="35">
        <v>16</v>
      </c>
      <c r="R56" s="35">
        <f>IF(ISBLANK(P56), , P56*Q56)</f>
        <v>0</v>
      </c>
      <c r="S56" s="29"/>
      <c r="T56" s="47">
        <v>23.6</v>
      </c>
      <c r="U56" s="63">
        <v>0</v>
      </c>
      <c r="V56" s="35"/>
      <c r="W56" s="35">
        <v>16</v>
      </c>
      <c r="X56" s="35">
        <f>IF(ISBLANK(V56), , V56*W56)</f>
        <v>0</v>
      </c>
      <c r="Y56" s="29"/>
      <c r="Z56" s="210">
        <f>SUM(L56, R56, X56)+SUM(L57, R57, X57)</f>
        <v>0</v>
      </c>
      <c r="AA56" s="210">
        <f>SUM(M56, S56, Y56)+SUM(M57, S57, Y57)</f>
        <v>0</v>
      </c>
      <c r="AB56" s="212">
        <f>IF($Z56=0, ,AA56/$Z56)</f>
        <v>0</v>
      </c>
      <c r="AC56" s="214" t="s">
        <v>87</v>
      </c>
    </row>
    <row r="57" spans="1:29" x14ac:dyDescent="0.2">
      <c r="A57" s="228"/>
      <c r="B57" s="233"/>
      <c r="C57" s="235"/>
      <c r="D57" s="12"/>
      <c r="E57" s="12"/>
      <c r="F57" s="12"/>
      <c r="G57" s="236"/>
      <c r="H57" s="47"/>
      <c r="I57" s="63"/>
      <c r="J57" s="35"/>
      <c r="K57" s="35"/>
      <c r="L57" s="35">
        <f>IF(ISBLANK(J57), , J57*K57)</f>
        <v>0</v>
      </c>
      <c r="M57" s="29"/>
      <c r="N57" s="47"/>
      <c r="O57" s="63"/>
      <c r="P57" s="35"/>
      <c r="Q57" s="35"/>
      <c r="R57" s="35">
        <f>IF(ISBLANK(P57), , P57*Q57)</f>
        <v>0</v>
      </c>
      <c r="S57" s="29"/>
      <c r="T57" s="47"/>
      <c r="U57" s="63"/>
      <c r="V57" s="35"/>
      <c r="W57" s="35"/>
      <c r="X57" s="35">
        <f>IF(ISBLANK(V57), , V57*W57)</f>
        <v>0</v>
      </c>
      <c r="Y57" s="29"/>
      <c r="Z57" s="211"/>
      <c r="AA57" s="211"/>
      <c r="AB57" s="213"/>
      <c r="AC57" s="215"/>
    </row>
    <row r="58" spans="1:29" x14ac:dyDescent="0.2">
      <c r="A58" s="228"/>
      <c r="B58" s="216" t="s">
        <v>6</v>
      </c>
      <c r="C58" s="218" t="s">
        <v>8</v>
      </c>
      <c r="D58" s="10"/>
      <c r="E58" s="10"/>
      <c r="F58" s="10"/>
      <c r="G58" s="218" t="s">
        <v>1</v>
      </c>
      <c r="H58" s="48">
        <v>19.57</v>
      </c>
      <c r="I58" s="67">
        <v>0</v>
      </c>
      <c r="J58" s="39"/>
      <c r="K58" s="39">
        <v>8</v>
      </c>
      <c r="L58" s="39">
        <f>IF(ISBLANK(J58), , J58*K58)</f>
        <v>0</v>
      </c>
      <c r="M58" s="40">
        <f>H71+K71+N71+Q71+T71+W71+Z71</f>
        <v>0</v>
      </c>
      <c r="N58" s="48">
        <v>19.57</v>
      </c>
      <c r="O58" s="67">
        <v>0</v>
      </c>
      <c r="P58" s="39"/>
      <c r="Q58" s="39">
        <v>8</v>
      </c>
      <c r="R58" s="39">
        <f>IF(ISBLANK(P58), , P58*Q58)</f>
        <v>0</v>
      </c>
      <c r="S58" s="40">
        <f>I71+L71+O71+R71+U71+X71+AA71</f>
        <v>0</v>
      </c>
      <c r="T58" s="48">
        <v>19.57</v>
      </c>
      <c r="U58" s="67">
        <v>0</v>
      </c>
      <c r="V58" s="39"/>
      <c r="W58" s="39">
        <v>8</v>
      </c>
      <c r="X58" s="39">
        <f>IF(ISBLANK(V58), , V58*W58)</f>
        <v>0</v>
      </c>
      <c r="Y58" s="40">
        <f>J71+M71+P71+S71+V71+Y71+AB71</f>
        <v>0</v>
      </c>
      <c r="Z58" s="238">
        <f>SUM(L58, R58, X58)+SUM(L59, R59, X59)</f>
        <v>0</v>
      </c>
      <c r="AA58" s="220">
        <f>SUM(M58, S58, Y58)+SUM(M59, S59, Y59)</f>
        <v>0</v>
      </c>
      <c r="AB58" s="194">
        <f>IF($Z58=0, ,AA58/$Z58)</f>
        <v>0</v>
      </c>
      <c r="AC58" s="204" t="s">
        <v>87</v>
      </c>
    </row>
    <row r="59" spans="1:29" x14ac:dyDescent="0.2">
      <c r="A59" s="228"/>
      <c r="B59" s="217"/>
      <c r="C59" s="219"/>
      <c r="D59" s="10"/>
      <c r="E59" s="10"/>
      <c r="F59" s="10"/>
      <c r="G59" s="219"/>
      <c r="H59" s="48"/>
      <c r="I59" s="67"/>
      <c r="J59" s="39"/>
      <c r="K59" s="39"/>
      <c r="L59" s="39">
        <f>IF(ISBLANK(J59), , J59*K59)</f>
        <v>0</v>
      </c>
      <c r="M59" s="40">
        <f>H72+K72+N72+Q72+T72+W72+Z72</f>
        <v>0</v>
      </c>
      <c r="N59" s="48"/>
      <c r="O59" s="67"/>
      <c r="P59" s="39"/>
      <c r="Q59" s="39"/>
      <c r="R59" s="39">
        <f t="shared" ref="R59:R65" si="8">IF(ISBLANK(P59), , P59*Q59)</f>
        <v>0</v>
      </c>
      <c r="S59" s="40">
        <f>I72+L72+O72+R72+U72+X72+AA72</f>
        <v>0</v>
      </c>
      <c r="T59" s="48"/>
      <c r="U59" s="67"/>
      <c r="V59" s="39"/>
      <c r="W59" s="39"/>
      <c r="X59" s="39">
        <f>IF(ISBLANK(V59), , V59*W59)</f>
        <v>0</v>
      </c>
      <c r="Y59" s="40">
        <f>J72+M72+P72+S72+V72+Y72+AB72</f>
        <v>0</v>
      </c>
      <c r="Z59" s="239"/>
      <c r="AA59" s="221"/>
      <c r="AB59" s="195"/>
      <c r="AC59" s="205"/>
    </row>
    <row r="60" spans="1:29" x14ac:dyDescent="0.2">
      <c r="A60" s="228"/>
      <c r="B60" s="206" t="s">
        <v>7</v>
      </c>
      <c r="C60" s="208" t="s">
        <v>81</v>
      </c>
      <c r="D60" s="9"/>
      <c r="E60" s="9"/>
      <c r="F60" s="9"/>
      <c r="G60" s="208" t="s">
        <v>1</v>
      </c>
      <c r="H60" s="49">
        <v>20.5</v>
      </c>
      <c r="I60" s="68">
        <v>0</v>
      </c>
      <c r="J60" s="37"/>
      <c r="K60" s="37">
        <v>8</v>
      </c>
      <c r="L60" s="37">
        <f>IF(ISBLANK(J60), , J60*K60)</f>
        <v>0</v>
      </c>
      <c r="M60" s="38">
        <f>H73+K73+N73+Q73+T73+W73+Z73</f>
        <v>0</v>
      </c>
      <c r="N60" s="49">
        <v>21.95</v>
      </c>
      <c r="O60" s="68">
        <v>0</v>
      </c>
      <c r="P60" s="37"/>
      <c r="Q60" s="37">
        <v>8</v>
      </c>
      <c r="R60" s="37">
        <f t="shared" si="8"/>
        <v>0</v>
      </c>
      <c r="S60" s="38">
        <f>I73+L73+O73+R73+U73+X73+AA73</f>
        <v>0</v>
      </c>
      <c r="T60" s="49">
        <v>22</v>
      </c>
      <c r="U60" s="68">
        <v>0</v>
      </c>
      <c r="V60" s="37"/>
      <c r="W60" s="37">
        <v>8</v>
      </c>
      <c r="X60" s="37">
        <f>IF(ISBLANK(V60), , V60*W60)</f>
        <v>0</v>
      </c>
      <c r="Y60" s="38">
        <f>J73+M73+P73+S73+V73+Y73+AB73</f>
        <v>0</v>
      </c>
      <c r="Z60" s="210">
        <f>SUM(L60, R60, X60)+SUM(L61, R61, X61)</f>
        <v>0</v>
      </c>
      <c r="AA60" s="210">
        <f>SUM(M60, S60, Y60)+SUM(M61, S61, Y61)</f>
        <v>0</v>
      </c>
      <c r="AB60" s="212">
        <f>IF($Z60=0, ,AA60/$Z60)</f>
        <v>0</v>
      </c>
      <c r="AC60" s="214" t="s">
        <v>87</v>
      </c>
    </row>
    <row r="61" spans="1:29" x14ac:dyDescent="0.2">
      <c r="A61" s="228"/>
      <c r="B61" s="207"/>
      <c r="C61" s="209"/>
      <c r="D61" s="9"/>
      <c r="E61" s="9"/>
      <c r="F61" s="9"/>
      <c r="G61" s="209"/>
      <c r="H61" s="49"/>
      <c r="I61" s="68"/>
      <c r="J61" s="37"/>
      <c r="K61" s="37"/>
      <c r="L61" s="37">
        <f t="shared" ref="L61:L67" si="9">IF(ISBLANK(J61), , J61*K61)</f>
        <v>0</v>
      </c>
      <c r="M61" s="38">
        <f>H74+K74+N74+Q74+T74+W74+Z74</f>
        <v>0</v>
      </c>
      <c r="N61" s="49"/>
      <c r="O61" s="68"/>
      <c r="P61" s="37"/>
      <c r="Q61" s="37"/>
      <c r="R61" s="37">
        <f t="shared" si="8"/>
        <v>0</v>
      </c>
      <c r="S61" s="38">
        <f>I74+L74+O74+R74+U74+X74+AA74</f>
        <v>0</v>
      </c>
      <c r="T61" s="49"/>
      <c r="U61" s="68"/>
      <c r="V61" s="37"/>
      <c r="W61" s="37"/>
      <c r="X61" s="37">
        <f t="shared" ref="X61:X67" si="10">IF(ISBLANK(V61), , V61*W61)</f>
        <v>0</v>
      </c>
      <c r="Y61" s="38">
        <f>J74+M74+P74+S74+V74+Y74+AB74</f>
        <v>0</v>
      </c>
      <c r="Z61" s="211"/>
      <c r="AA61" s="211"/>
      <c r="AB61" s="213"/>
      <c r="AC61" s="215"/>
    </row>
    <row r="62" spans="1:29" x14ac:dyDescent="0.2">
      <c r="A62" s="228"/>
      <c r="B62" s="216" t="s">
        <v>3</v>
      </c>
      <c r="C62" s="218" t="s">
        <v>82</v>
      </c>
      <c r="D62" s="10"/>
      <c r="E62" s="10"/>
      <c r="F62" s="10"/>
      <c r="G62" s="218" t="s">
        <v>1</v>
      </c>
      <c r="H62" s="48">
        <v>19.71</v>
      </c>
      <c r="I62" s="67">
        <v>0</v>
      </c>
      <c r="J62" s="36"/>
      <c r="K62" s="36">
        <v>16</v>
      </c>
      <c r="L62" s="36">
        <f t="shared" si="9"/>
        <v>0</v>
      </c>
      <c r="M62" s="17"/>
      <c r="N62" s="48">
        <v>19.690000000000001</v>
      </c>
      <c r="O62" s="67">
        <v>0</v>
      </c>
      <c r="P62" s="36"/>
      <c r="Q62" s="36">
        <v>16</v>
      </c>
      <c r="R62" s="36">
        <f t="shared" si="8"/>
        <v>0</v>
      </c>
      <c r="S62" s="17"/>
      <c r="T62" s="48">
        <v>19.2</v>
      </c>
      <c r="U62" s="67">
        <v>0</v>
      </c>
      <c r="V62" s="36">
        <v>0</v>
      </c>
      <c r="W62" s="36">
        <v>16</v>
      </c>
      <c r="X62" s="36">
        <f t="shared" si="10"/>
        <v>0</v>
      </c>
      <c r="Y62" s="17"/>
      <c r="Z62" s="220">
        <f>SUM(L62, R62, X62)+SUM(L63, R63, X63)</f>
        <v>0</v>
      </c>
      <c r="AA62" s="220">
        <f>SUM(M62, S62, Y62)+SUM(M63, S63, Y63)</f>
        <v>0</v>
      </c>
      <c r="AB62" s="194">
        <f>IF($Z62=0, ,AA62/$Z62)</f>
        <v>0</v>
      </c>
      <c r="AC62" s="204" t="s">
        <v>87</v>
      </c>
    </row>
    <row r="63" spans="1:29" x14ac:dyDescent="0.2">
      <c r="A63" s="228"/>
      <c r="B63" s="217"/>
      <c r="C63" s="219"/>
      <c r="D63" s="10"/>
      <c r="E63" s="10"/>
      <c r="F63" s="10"/>
      <c r="G63" s="219"/>
      <c r="H63" s="48"/>
      <c r="I63" s="67"/>
      <c r="J63" s="36"/>
      <c r="K63" s="36"/>
      <c r="L63" s="36">
        <f t="shared" si="9"/>
        <v>0</v>
      </c>
      <c r="M63" s="17"/>
      <c r="N63" s="48"/>
      <c r="O63" s="67"/>
      <c r="P63" s="36"/>
      <c r="Q63" s="36"/>
      <c r="R63" s="36">
        <f t="shared" si="8"/>
        <v>0</v>
      </c>
      <c r="S63" s="17"/>
      <c r="T63" s="48"/>
      <c r="U63" s="67"/>
      <c r="V63" s="36"/>
      <c r="W63" s="36"/>
      <c r="X63" s="36">
        <f t="shared" si="10"/>
        <v>0</v>
      </c>
      <c r="Y63" s="17"/>
      <c r="Z63" s="221"/>
      <c r="AA63" s="221"/>
      <c r="AB63" s="195"/>
      <c r="AC63" s="205"/>
    </row>
    <row r="64" spans="1:29" x14ac:dyDescent="0.2">
      <c r="A64" s="228"/>
      <c r="B64" s="206" t="s">
        <v>4</v>
      </c>
      <c r="C64" s="208" t="s">
        <v>9</v>
      </c>
      <c r="D64" s="9"/>
      <c r="E64" s="10"/>
      <c r="F64" s="9"/>
      <c r="G64" s="208" t="s">
        <v>1</v>
      </c>
      <c r="H64" s="49">
        <v>20.58</v>
      </c>
      <c r="I64" s="68">
        <v>0</v>
      </c>
      <c r="J64" s="37">
        <v>0</v>
      </c>
      <c r="K64" s="37">
        <v>8</v>
      </c>
      <c r="L64" s="37">
        <f t="shared" si="9"/>
        <v>0</v>
      </c>
      <c r="M64" s="38"/>
      <c r="N64" s="49">
        <v>20.58</v>
      </c>
      <c r="O64" s="68">
        <v>0</v>
      </c>
      <c r="P64" s="37">
        <v>0</v>
      </c>
      <c r="Q64" s="37">
        <v>8</v>
      </c>
      <c r="R64" s="37">
        <f t="shared" si="8"/>
        <v>0</v>
      </c>
      <c r="S64" s="38"/>
      <c r="T64" s="49">
        <v>20.58</v>
      </c>
      <c r="U64" s="68">
        <v>0</v>
      </c>
      <c r="V64" s="37">
        <v>0</v>
      </c>
      <c r="W64" s="37">
        <v>8</v>
      </c>
      <c r="X64" s="37">
        <f t="shared" si="10"/>
        <v>0</v>
      </c>
      <c r="Y64" s="38"/>
      <c r="Z64" s="210">
        <f>SUM(L64, R64, X64)+SUM(L65, R65, X65)</f>
        <v>0</v>
      </c>
      <c r="AA64" s="210">
        <f>SUM(M64, S64, Y64)+SUM(M65, S65, Y65)</f>
        <v>0</v>
      </c>
      <c r="AB64" s="212">
        <f>IF($Z64=0, ,AA64/$Z64)</f>
        <v>0</v>
      </c>
      <c r="AC64" s="214" t="s">
        <v>87</v>
      </c>
    </row>
    <row r="65" spans="1:29" x14ac:dyDescent="0.2">
      <c r="A65" s="228"/>
      <c r="B65" s="207"/>
      <c r="C65" s="209"/>
      <c r="D65" s="9"/>
      <c r="E65" s="9"/>
      <c r="F65" s="9"/>
      <c r="G65" s="209"/>
      <c r="H65" s="49"/>
      <c r="I65" s="68"/>
      <c r="J65" s="37"/>
      <c r="K65" s="37"/>
      <c r="L65" s="37">
        <f t="shared" si="9"/>
        <v>0</v>
      </c>
      <c r="M65" s="38"/>
      <c r="N65" s="49"/>
      <c r="O65" s="68"/>
      <c r="P65" s="37"/>
      <c r="Q65" s="37"/>
      <c r="R65" s="37">
        <f t="shared" si="8"/>
        <v>0</v>
      </c>
      <c r="S65" s="38"/>
      <c r="T65" s="49"/>
      <c r="U65" s="68"/>
      <c r="V65" s="37"/>
      <c r="W65" s="37"/>
      <c r="X65" s="37">
        <f t="shared" si="10"/>
        <v>0</v>
      </c>
      <c r="Y65" s="38"/>
      <c r="Z65" s="211"/>
      <c r="AA65" s="211"/>
      <c r="AB65" s="213"/>
      <c r="AC65" s="215"/>
    </row>
    <row r="66" spans="1:29" x14ac:dyDescent="0.2">
      <c r="A66" s="228"/>
      <c r="B66" s="189" t="s">
        <v>85</v>
      </c>
      <c r="C66" s="191" t="s">
        <v>83</v>
      </c>
      <c r="D66" s="11"/>
      <c r="E66" s="10"/>
      <c r="F66" s="11"/>
      <c r="G66" s="191" t="s">
        <v>1</v>
      </c>
      <c r="H66" s="50">
        <v>12.89</v>
      </c>
      <c r="I66" s="69">
        <v>0</v>
      </c>
      <c r="J66" s="39">
        <v>0</v>
      </c>
      <c r="K66" s="39">
        <v>16</v>
      </c>
      <c r="L66" s="39">
        <f t="shared" si="9"/>
        <v>0</v>
      </c>
      <c r="M66" s="40"/>
      <c r="N66" s="50">
        <v>12.89</v>
      </c>
      <c r="O66" s="69">
        <v>0</v>
      </c>
      <c r="P66" s="39">
        <v>0</v>
      </c>
      <c r="Q66" s="39">
        <v>16</v>
      </c>
      <c r="R66" s="39">
        <f>IF(ISBLANK(P66), , P66*Q66)</f>
        <v>0</v>
      </c>
      <c r="S66" s="40"/>
      <c r="T66" s="50">
        <v>23.6</v>
      </c>
      <c r="U66" s="69">
        <v>0</v>
      </c>
      <c r="V66" s="39">
        <v>0</v>
      </c>
      <c r="W66" s="39">
        <v>16</v>
      </c>
      <c r="X66" s="39">
        <f t="shared" si="10"/>
        <v>0</v>
      </c>
      <c r="Y66" s="40"/>
      <c r="Z66" s="193">
        <f>SUM(L66, R66, X66)+SUM(L67, R67, X67)</f>
        <v>0</v>
      </c>
      <c r="AA66" s="193">
        <f>SUM(M66, S66, Y66)+SUM(M67, S67, Y67)</f>
        <v>0</v>
      </c>
      <c r="AB66" s="194">
        <f>IF($Z66=0, ,AA66/$Z66)</f>
        <v>0</v>
      </c>
      <c r="AC66" s="196" t="s">
        <v>87</v>
      </c>
    </row>
    <row r="67" spans="1:29" x14ac:dyDescent="0.2">
      <c r="A67" s="228"/>
      <c r="B67" s="190"/>
      <c r="C67" s="192"/>
      <c r="D67" s="11"/>
      <c r="E67" s="11"/>
      <c r="F67" s="11"/>
      <c r="G67" s="192"/>
      <c r="H67" s="50"/>
      <c r="I67" s="69"/>
      <c r="J67" s="39"/>
      <c r="K67" s="39"/>
      <c r="L67" s="39">
        <f t="shared" si="9"/>
        <v>0</v>
      </c>
      <c r="M67" s="40"/>
      <c r="N67" s="50"/>
      <c r="O67" s="69"/>
      <c r="P67" s="39"/>
      <c r="Q67" s="39"/>
      <c r="R67" s="39">
        <f>IF(ISBLANK(P67), , P67*Q67)</f>
        <v>0</v>
      </c>
      <c r="S67" s="40"/>
      <c r="T67" s="50"/>
      <c r="U67" s="69"/>
      <c r="V67" s="39"/>
      <c r="W67" s="39"/>
      <c r="X67" s="39">
        <f t="shared" si="10"/>
        <v>0</v>
      </c>
      <c r="Y67" s="40"/>
      <c r="Z67" s="193"/>
      <c r="AA67" s="193"/>
      <c r="AB67" s="195"/>
      <c r="AC67" s="196"/>
    </row>
    <row r="68" spans="1:29" x14ac:dyDescent="0.2">
      <c r="A68" s="228"/>
      <c r="B68" s="56"/>
      <c r="C68" s="56"/>
      <c r="D68" s="56"/>
      <c r="E68" s="56"/>
      <c r="F68" s="56"/>
      <c r="G68" s="56"/>
      <c r="H68" s="76"/>
      <c r="I68" s="77"/>
      <c r="J68" s="78"/>
      <c r="K68" s="78"/>
      <c r="L68" s="78"/>
      <c r="M68" s="79"/>
      <c r="N68" s="76"/>
      <c r="O68" s="77"/>
      <c r="P68" s="78"/>
      <c r="Q68" s="78"/>
      <c r="R68" s="78"/>
      <c r="S68" s="79"/>
      <c r="T68" s="76"/>
      <c r="U68" s="77"/>
      <c r="V68" s="78"/>
      <c r="W68" s="78"/>
      <c r="X68" s="78"/>
      <c r="Y68" s="79"/>
      <c r="Z68" s="79"/>
      <c r="AA68" s="79"/>
      <c r="AB68" s="80"/>
      <c r="AC68" s="59"/>
    </row>
    <row r="69" spans="1:29" x14ac:dyDescent="0.2">
      <c r="A69" s="228"/>
      <c r="B69" s="197" t="s">
        <v>67</v>
      </c>
      <c r="C69" s="198"/>
      <c r="D69" s="198"/>
      <c r="E69" s="198"/>
      <c r="F69" s="198"/>
      <c r="G69" s="9" t="s">
        <v>68</v>
      </c>
      <c r="H69" s="199" t="s">
        <v>64</v>
      </c>
      <c r="I69" s="199"/>
      <c r="J69" s="199"/>
      <c r="K69" s="199" t="s">
        <v>76</v>
      </c>
      <c r="L69" s="199"/>
      <c r="M69" s="199"/>
      <c r="N69" s="199" t="s">
        <v>65</v>
      </c>
      <c r="O69" s="199"/>
      <c r="P69" s="199"/>
      <c r="Q69" s="199" t="s">
        <v>66</v>
      </c>
      <c r="R69" s="199"/>
      <c r="S69" s="199"/>
      <c r="T69" s="199" t="s">
        <v>73</v>
      </c>
      <c r="U69" s="199"/>
      <c r="V69" s="199"/>
      <c r="W69" s="199" t="s">
        <v>74</v>
      </c>
      <c r="X69" s="199"/>
      <c r="Y69" s="199"/>
      <c r="Z69" s="199" t="s">
        <v>75</v>
      </c>
      <c r="AA69" s="199"/>
      <c r="AB69" s="199"/>
      <c r="AC69" s="200"/>
    </row>
    <row r="70" spans="1:29" x14ac:dyDescent="0.2">
      <c r="A70" s="228"/>
      <c r="B70" s="197"/>
      <c r="C70" s="198"/>
      <c r="D70" s="198"/>
      <c r="E70" s="198"/>
      <c r="F70" s="198"/>
      <c r="G70" s="9" t="s">
        <v>69</v>
      </c>
      <c r="H70" s="98" t="s">
        <v>70</v>
      </c>
      <c r="I70" s="98" t="s">
        <v>71</v>
      </c>
      <c r="J70" s="99" t="s">
        <v>72</v>
      </c>
      <c r="K70" s="98" t="s">
        <v>70</v>
      </c>
      <c r="L70" s="98" t="s">
        <v>71</v>
      </c>
      <c r="M70" s="99" t="s">
        <v>72</v>
      </c>
      <c r="N70" s="98" t="s">
        <v>70</v>
      </c>
      <c r="O70" s="98" t="s">
        <v>71</v>
      </c>
      <c r="P70" s="99" t="s">
        <v>72</v>
      </c>
      <c r="Q70" s="98" t="s">
        <v>70</v>
      </c>
      <c r="R70" s="98" t="s">
        <v>71</v>
      </c>
      <c r="S70" s="99" t="s">
        <v>72</v>
      </c>
      <c r="T70" s="98" t="s">
        <v>70</v>
      </c>
      <c r="U70" s="98" t="s">
        <v>71</v>
      </c>
      <c r="V70" s="99" t="s">
        <v>72</v>
      </c>
      <c r="W70" s="98" t="s">
        <v>70</v>
      </c>
      <c r="X70" s="98" t="s">
        <v>71</v>
      </c>
      <c r="Y70" s="99" t="s">
        <v>72</v>
      </c>
      <c r="Z70" s="98" t="s">
        <v>70</v>
      </c>
      <c r="AA70" s="98" t="s">
        <v>71</v>
      </c>
      <c r="AB70" s="99" t="s">
        <v>72</v>
      </c>
      <c r="AC70" s="200"/>
    </row>
    <row r="71" spans="1:29" x14ac:dyDescent="0.2">
      <c r="A71" s="228"/>
      <c r="B71" s="201" t="str">
        <f>B58</f>
        <v>02C</v>
      </c>
      <c r="C71" s="202" t="str">
        <f>C58</f>
        <v>DEO-C01</v>
      </c>
      <c r="D71" s="9" t="str">
        <f>IF(ISBLANK(D58), "", D58)</f>
        <v/>
      </c>
      <c r="E71" s="9" t="str">
        <f>IF(ISBLANK(E58), "", E58)</f>
        <v/>
      </c>
      <c r="F71" s="9" t="str">
        <f>IF(ISBLANK(F58), "", F58)</f>
        <v/>
      </c>
      <c r="G71" s="203"/>
      <c r="H71" s="38"/>
      <c r="I71" s="38"/>
      <c r="J71" s="38"/>
      <c r="K71" s="38"/>
      <c r="L71" s="38"/>
      <c r="M71" s="38"/>
      <c r="N71" s="37"/>
      <c r="O71" s="37"/>
      <c r="P71" s="37"/>
      <c r="Q71" s="37"/>
      <c r="R71" s="37"/>
      <c r="S71" s="38"/>
      <c r="T71" s="37"/>
      <c r="U71" s="37"/>
      <c r="V71" s="37"/>
      <c r="W71" s="37"/>
      <c r="X71" s="37"/>
      <c r="Y71" s="38"/>
      <c r="Z71" s="38"/>
      <c r="AA71" s="38"/>
      <c r="AB71" s="112"/>
      <c r="AC71" s="200"/>
    </row>
    <row r="72" spans="1:29" x14ac:dyDescent="0.2">
      <c r="A72" s="228"/>
      <c r="B72" s="201"/>
      <c r="C72" s="202"/>
      <c r="D72" s="9"/>
      <c r="E72" s="9" t="str">
        <f t="shared" ref="E72:F74" si="11">IF(ISBLANK(E59), "", E59)</f>
        <v/>
      </c>
      <c r="F72" s="9" t="str">
        <f t="shared" si="11"/>
        <v/>
      </c>
      <c r="G72" s="203"/>
      <c r="H72" s="37"/>
      <c r="I72" s="37"/>
      <c r="J72" s="37"/>
      <c r="K72" s="37"/>
      <c r="L72" s="37"/>
      <c r="M72" s="38"/>
      <c r="N72" s="37"/>
      <c r="O72" s="37"/>
      <c r="P72" s="37"/>
      <c r="Q72" s="37"/>
      <c r="R72" s="37"/>
      <c r="S72" s="38"/>
      <c r="T72" s="37"/>
      <c r="U72" s="37"/>
      <c r="V72" s="37"/>
      <c r="W72" s="37"/>
      <c r="X72" s="37"/>
      <c r="Y72" s="38"/>
      <c r="Z72" s="38"/>
      <c r="AA72" s="38"/>
      <c r="AB72" s="112"/>
      <c r="AC72" s="200"/>
    </row>
    <row r="73" spans="1:29" x14ac:dyDescent="0.2">
      <c r="A73" s="228"/>
      <c r="B73" s="201" t="str">
        <f>B60</f>
        <v>03C</v>
      </c>
      <c r="C73" s="202" t="str">
        <f>C60</f>
        <v>DEO-B02</v>
      </c>
      <c r="D73" s="9" t="str">
        <f>IF(ISBLANK(D60), "", D60)</f>
        <v/>
      </c>
      <c r="E73" s="9" t="str">
        <f t="shared" si="11"/>
        <v/>
      </c>
      <c r="F73" s="9" t="str">
        <f t="shared" si="11"/>
        <v/>
      </c>
      <c r="G73" s="203"/>
      <c r="H73" s="38"/>
      <c r="I73" s="38"/>
      <c r="J73" s="38"/>
      <c r="K73" s="37"/>
      <c r="L73" s="37"/>
      <c r="M73" s="38"/>
      <c r="N73" s="37"/>
      <c r="O73" s="37"/>
      <c r="P73" s="37"/>
      <c r="Q73" s="37"/>
      <c r="R73" s="37"/>
      <c r="S73" s="38"/>
      <c r="T73" s="37"/>
      <c r="U73" s="37"/>
      <c r="V73" s="37"/>
      <c r="W73" s="37"/>
      <c r="X73" s="37"/>
      <c r="Y73" s="38"/>
      <c r="Z73" s="38"/>
      <c r="AA73" s="38"/>
      <c r="AB73" s="112"/>
      <c r="AC73" s="200"/>
    </row>
    <row r="74" spans="1:29" x14ac:dyDescent="0.2">
      <c r="A74" s="228"/>
      <c r="B74" s="201"/>
      <c r="C74" s="202"/>
      <c r="D74" s="9" t="str">
        <f>IF(ISBLANK(D61), "", D61)</f>
        <v/>
      </c>
      <c r="E74" s="9" t="str">
        <f t="shared" si="11"/>
        <v/>
      </c>
      <c r="F74" s="9" t="str">
        <f t="shared" si="11"/>
        <v/>
      </c>
      <c r="G74" s="203"/>
      <c r="H74" s="37"/>
      <c r="I74" s="37"/>
      <c r="J74" s="37"/>
      <c r="K74" s="37"/>
      <c r="L74" s="37"/>
      <c r="M74" s="38"/>
      <c r="N74" s="37"/>
      <c r="O74" s="37"/>
      <c r="P74" s="37"/>
      <c r="Q74" s="37"/>
      <c r="R74" s="37"/>
      <c r="S74" s="38"/>
      <c r="T74" s="37"/>
      <c r="U74" s="37"/>
      <c r="V74" s="37"/>
      <c r="W74" s="37"/>
      <c r="X74" s="37"/>
      <c r="Y74" s="38"/>
      <c r="Z74" s="38"/>
      <c r="AA74" s="38"/>
      <c r="AB74" s="112"/>
      <c r="AC74" s="200"/>
    </row>
    <row r="76" spans="1:29" x14ac:dyDescent="0.2">
      <c r="A76" s="228">
        <v>44716</v>
      </c>
      <c r="B76" s="19" t="s">
        <v>42</v>
      </c>
      <c r="C76" s="20"/>
      <c r="D76" s="21" t="s">
        <v>43</v>
      </c>
      <c r="E76" s="20">
        <v>0</v>
      </c>
      <c r="F76" s="31"/>
      <c r="G76" s="32"/>
      <c r="H76" s="52"/>
      <c r="I76" s="65"/>
      <c r="J76" s="73"/>
      <c r="K76" s="32"/>
      <c r="L76" s="21"/>
      <c r="M76" s="32"/>
      <c r="N76" s="52"/>
      <c r="O76" s="65"/>
      <c r="P76" s="73"/>
      <c r="Q76" s="32"/>
      <c r="R76" s="21"/>
      <c r="S76" s="32"/>
      <c r="T76" s="52"/>
      <c r="U76" s="65"/>
      <c r="V76" s="73"/>
      <c r="W76" s="32"/>
      <c r="X76" s="21"/>
      <c r="Y76" s="21"/>
      <c r="Z76" s="32"/>
      <c r="AA76" s="21"/>
      <c r="AB76" s="21"/>
      <c r="AC76" s="33"/>
    </row>
    <row r="77" spans="1:29" x14ac:dyDescent="0.2">
      <c r="A77" s="228"/>
      <c r="B77" s="229" t="s">
        <v>10</v>
      </c>
      <c r="C77" s="230" t="s">
        <v>0</v>
      </c>
      <c r="D77" s="230" t="s">
        <v>25</v>
      </c>
      <c r="E77" s="230" t="s">
        <v>11</v>
      </c>
      <c r="F77" s="230" t="s">
        <v>16</v>
      </c>
      <c r="G77" s="237" t="s">
        <v>12</v>
      </c>
      <c r="H77" s="222" t="s">
        <v>13</v>
      </c>
      <c r="I77" s="223"/>
      <c r="J77" s="223"/>
      <c r="K77" s="223"/>
      <c r="L77" s="223"/>
      <c r="M77" s="224"/>
      <c r="N77" s="222" t="s">
        <v>14</v>
      </c>
      <c r="O77" s="223"/>
      <c r="P77" s="223"/>
      <c r="Q77" s="223"/>
      <c r="R77" s="223"/>
      <c r="S77" s="224"/>
      <c r="T77" s="222" t="s">
        <v>15</v>
      </c>
      <c r="U77" s="223"/>
      <c r="V77" s="223"/>
      <c r="W77" s="223"/>
      <c r="X77" s="223"/>
      <c r="Y77" s="224"/>
      <c r="Z77" s="225" t="s">
        <v>37</v>
      </c>
      <c r="AA77" s="225" t="s">
        <v>39</v>
      </c>
      <c r="AB77" s="225" t="s">
        <v>62</v>
      </c>
      <c r="AC77" s="231" t="s">
        <v>26</v>
      </c>
    </row>
    <row r="78" spans="1:29" ht="25.5" x14ac:dyDescent="0.2">
      <c r="A78" s="228"/>
      <c r="B78" s="229"/>
      <c r="C78" s="230"/>
      <c r="D78" s="230"/>
      <c r="E78" s="230"/>
      <c r="F78" s="230"/>
      <c r="G78" s="237"/>
      <c r="H78" s="53" t="s">
        <v>50</v>
      </c>
      <c r="I78" s="66" t="s">
        <v>51</v>
      </c>
      <c r="J78" s="74" t="s">
        <v>63</v>
      </c>
      <c r="K78" s="24" t="s">
        <v>44</v>
      </c>
      <c r="L78" s="18" t="s">
        <v>5</v>
      </c>
      <c r="M78" s="81" t="s">
        <v>31</v>
      </c>
      <c r="N78" s="53" t="s">
        <v>50</v>
      </c>
      <c r="O78" s="66" t="s">
        <v>51</v>
      </c>
      <c r="P78" s="74" t="s">
        <v>63</v>
      </c>
      <c r="Q78" s="24" t="s">
        <v>44</v>
      </c>
      <c r="R78" s="30" t="s">
        <v>5</v>
      </c>
      <c r="S78" s="34" t="s">
        <v>31</v>
      </c>
      <c r="T78" s="53" t="s">
        <v>50</v>
      </c>
      <c r="U78" s="66" t="s">
        <v>51</v>
      </c>
      <c r="V78" s="74" t="s">
        <v>63</v>
      </c>
      <c r="W78" s="24" t="s">
        <v>44</v>
      </c>
      <c r="X78" s="30" t="s">
        <v>5</v>
      </c>
      <c r="Y78" s="34" t="s">
        <v>31</v>
      </c>
      <c r="Z78" s="226"/>
      <c r="AA78" s="227"/>
      <c r="AB78" s="227"/>
      <c r="AC78" s="231"/>
    </row>
    <row r="79" spans="1:29" x14ac:dyDescent="0.2">
      <c r="A79" s="228"/>
      <c r="B79" s="232" t="s">
        <v>2</v>
      </c>
      <c r="C79" s="234" t="s">
        <v>84</v>
      </c>
      <c r="D79" s="12"/>
      <c r="E79" s="10"/>
      <c r="F79" s="12"/>
      <c r="G79" s="234" t="s">
        <v>1</v>
      </c>
      <c r="H79" s="47">
        <v>23.6</v>
      </c>
      <c r="I79" s="63">
        <v>0</v>
      </c>
      <c r="J79" s="35"/>
      <c r="K79" s="35">
        <v>16</v>
      </c>
      <c r="L79" s="35">
        <f>IF(ISBLANK(J79), , J79*K79)</f>
        <v>0</v>
      </c>
      <c r="M79" s="29"/>
      <c r="N79" s="47">
        <v>23.6</v>
      </c>
      <c r="O79" s="63">
        <v>0</v>
      </c>
      <c r="P79" s="35"/>
      <c r="Q79" s="35">
        <v>16</v>
      </c>
      <c r="R79" s="35">
        <f>IF(ISBLANK(P79), , P79*Q79)</f>
        <v>0</v>
      </c>
      <c r="S79" s="29"/>
      <c r="T79" s="47">
        <v>23.6</v>
      </c>
      <c r="U79" s="63">
        <v>0</v>
      </c>
      <c r="V79" s="35"/>
      <c r="W79" s="35">
        <v>16</v>
      </c>
      <c r="X79" s="35">
        <f>IF(ISBLANK(V79), , V79*W79)</f>
        <v>0</v>
      </c>
      <c r="Y79" s="29"/>
      <c r="Z79" s="210">
        <f>SUM(L79, R79, X79)+SUM(L80, R80, X80)</f>
        <v>0</v>
      </c>
      <c r="AA79" s="210">
        <f>SUM(M79, S79, Y79)+SUM(M80, S80, Y80)</f>
        <v>0</v>
      </c>
      <c r="AB79" s="212">
        <f>IF($Z79=0, ,AA79/$Z79)</f>
        <v>0</v>
      </c>
      <c r="AC79" s="214" t="s">
        <v>87</v>
      </c>
    </row>
    <row r="80" spans="1:29" x14ac:dyDescent="0.2">
      <c r="A80" s="228"/>
      <c r="B80" s="233"/>
      <c r="C80" s="235"/>
      <c r="D80" s="12"/>
      <c r="E80" s="12"/>
      <c r="F80" s="12"/>
      <c r="G80" s="236"/>
      <c r="H80" s="47"/>
      <c r="I80" s="63"/>
      <c r="J80" s="35"/>
      <c r="K80" s="35"/>
      <c r="L80" s="35">
        <f>IF(ISBLANK(J80), , J80*K80)</f>
        <v>0</v>
      </c>
      <c r="M80" s="29"/>
      <c r="N80" s="47"/>
      <c r="O80" s="63"/>
      <c r="P80" s="35"/>
      <c r="Q80" s="35"/>
      <c r="R80" s="35">
        <f>IF(ISBLANK(P80), , P80*Q80)</f>
        <v>0</v>
      </c>
      <c r="S80" s="29"/>
      <c r="T80" s="47"/>
      <c r="U80" s="63"/>
      <c r="V80" s="35"/>
      <c r="W80" s="35"/>
      <c r="X80" s="35">
        <f>IF(ISBLANK(V80), , V80*W80)</f>
        <v>0</v>
      </c>
      <c r="Y80" s="29"/>
      <c r="Z80" s="211"/>
      <c r="AA80" s="211"/>
      <c r="AB80" s="213"/>
      <c r="AC80" s="215"/>
    </row>
    <row r="81" spans="1:29" x14ac:dyDescent="0.2">
      <c r="A81" s="228"/>
      <c r="B81" s="216" t="s">
        <v>6</v>
      </c>
      <c r="C81" s="218" t="s">
        <v>8</v>
      </c>
      <c r="D81" s="10"/>
      <c r="E81" s="10"/>
      <c r="F81" s="10"/>
      <c r="G81" s="218" t="s">
        <v>1</v>
      </c>
      <c r="H81" s="48">
        <v>19.57</v>
      </c>
      <c r="I81" s="67">
        <v>0</v>
      </c>
      <c r="J81" s="39"/>
      <c r="K81" s="39">
        <v>8</v>
      </c>
      <c r="L81" s="39">
        <f>IF(ISBLANK(J81), , J81*K81)</f>
        <v>0</v>
      </c>
      <c r="M81" s="40">
        <f>H94+K94+N94+Q94+T94+W94+Z94</f>
        <v>0</v>
      </c>
      <c r="N81" s="48">
        <v>19.57</v>
      </c>
      <c r="O81" s="67">
        <v>0</v>
      </c>
      <c r="P81" s="39"/>
      <c r="Q81" s="39">
        <v>8</v>
      </c>
      <c r="R81" s="39">
        <f>IF(ISBLANK(P81), , P81*Q81)</f>
        <v>0</v>
      </c>
      <c r="S81" s="40">
        <f>I94+L94+O94+R94+U94+X94+AA94</f>
        <v>0</v>
      </c>
      <c r="T81" s="48">
        <v>19.57</v>
      </c>
      <c r="U81" s="67">
        <v>0</v>
      </c>
      <c r="V81" s="39"/>
      <c r="W81" s="39">
        <v>8</v>
      </c>
      <c r="X81" s="39">
        <f>IF(ISBLANK(V81), , V81*W81)</f>
        <v>0</v>
      </c>
      <c r="Y81" s="40">
        <f>J94+M94+P94+S94+V94+Y94+AB94</f>
        <v>0</v>
      </c>
      <c r="Z81" s="238">
        <f>SUM(L81, R81, X81)+SUM(L82, R82, X82)</f>
        <v>0</v>
      </c>
      <c r="AA81" s="220">
        <f>SUM(M81, S81, Y81)+SUM(M82, S82, Y82)</f>
        <v>0</v>
      </c>
      <c r="AB81" s="194">
        <f>IF($Z81=0, ,AA81/$Z81)</f>
        <v>0</v>
      </c>
      <c r="AC81" s="204" t="s">
        <v>87</v>
      </c>
    </row>
    <row r="82" spans="1:29" x14ac:dyDescent="0.2">
      <c r="A82" s="228"/>
      <c r="B82" s="217"/>
      <c r="C82" s="219"/>
      <c r="D82" s="10"/>
      <c r="E82" s="10"/>
      <c r="F82" s="10"/>
      <c r="G82" s="219"/>
      <c r="H82" s="48"/>
      <c r="I82" s="67"/>
      <c r="J82" s="39"/>
      <c r="K82" s="39"/>
      <c r="L82" s="39">
        <f>IF(ISBLANK(J82), , J82*K82)</f>
        <v>0</v>
      </c>
      <c r="M82" s="40">
        <f>H95+K95+N95+Q95+T95+W95+Z95</f>
        <v>0</v>
      </c>
      <c r="N82" s="48"/>
      <c r="O82" s="67"/>
      <c r="P82" s="39"/>
      <c r="Q82" s="39"/>
      <c r="R82" s="39">
        <f t="shared" ref="R82:R88" si="12">IF(ISBLANK(P82), , P82*Q82)</f>
        <v>0</v>
      </c>
      <c r="S82" s="40">
        <f>I95+L95+O95+R95+U95+X95+AA95</f>
        <v>0</v>
      </c>
      <c r="T82" s="48"/>
      <c r="U82" s="67"/>
      <c r="V82" s="39"/>
      <c r="W82" s="39"/>
      <c r="X82" s="39">
        <f>IF(ISBLANK(V82), , V82*W82)</f>
        <v>0</v>
      </c>
      <c r="Y82" s="40">
        <f>J95+M95+P95+S95+V95+Y95+AB95</f>
        <v>0</v>
      </c>
      <c r="Z82" s="239"/>
      <c r="AA82" s="221"/>
      <c r="AB82" s="195"/>
      <c r="AC82" s="205"/>
    </row>
    <row r="83" spans="1:29" x14ac:dyDescent="0.2">
      <c r="A83" s="228"/>
      <c r="B83" s="206" t="s">
        <v>7</v>
      </c>
      <c r="C83" s="208" t="s">
        <v>81</v>
      </c>
      <c r="D83" s="9"/>
      <c r="E83" s="9"/>
      <c r="F83" s="9"/>
      <c r="G83" s="208" t="s">
        <v>1</v>
      </c>
      <c r="H83" s="49">
        <v>20.5</v>
      </c>
      <c r="I83" s="68">
        <v>0</v>
      </c>
      <c r="J83" s="37"/>
      <c r="K83" s="37">
        <v>8</v>
      </c>
      <c r="L83" s="37">
        <f>IF(ISBLANK(J83), , J83*K83)</f>
        <v>0</v>
      </c>
      <c r="M83" s="38">
        <f>H96+K96+N96+Q96+T96+W96+Z96</f>
        <v>0</v>
      </c>
      <c r="N83" s="49">
        <v>21.95</v>
      </c>
      <c r="O83" s="68">
        <v>0</v>
      </c>
      <c r="P83" s="37"/>
      <c r="Q83" s="37">
        <v>8</v>
      </c>
      <c r="R83" s="37">
        <f t="shared" si="12"/>
        <v>0</v>
      </c>
      <c r="S83" s="38">
        <f>I96+L96+O96+R96+U96+X96+AA96</f>
        <v>0</v>
      </c>
      <c r="T83" s="49">
        <v>22</v>
      </c>
      <c r="U83" s="68">
        <v>0</v>
      </c>
      <c r="V83" s="37"/>
      <c r="W83" s="37">
        <v>8</v>
      </c>
      <c r="X83" s="37">
        <f>IF(ISBLANK(V83), , V83*W83)</f>
        <v>0</v>
      </c>
      <c r="Y83" s="38">
        <f>J96+M96+P96+S96+V96+Y96+AB96</f>
        <v>0</v>
      </c>
      <c r="Z83" s="210">
        <f>SUM(L83, R83, X83)+SUM(L84, R84, X84)</f>
        <v>0</v>
      </c>
      <c r="AA83" s="210">
        <f>SUM(M83, S83, Y83)+SUM(M84, S84, Y84)</f>
        <v>0</v>
      </c>
      <c r="AB83" s="212">
        <f>IF($Z83=0, ,AA83/$Z83)</f>
        <v>0</v>
      </c>
      <c r="AC83" s="214" t="s">
        <v>87</v>
      </c>
    </row>
    <row r="84" spans="1:29" x14ac:dyDescent="0.2">
      <c r="A84" s="228"/>
      <c r="B84" s="207"/>
      <c r="C84" s="209"/>
      <c r="D84" s="9"/>
      <c r="E84" s="9"/>
      <c r="F84" s="9"/>
      <c r="G84" s="209"/>
      <c r="H84" s="49"/>
      <c r="I84" s="68"/>
      <c r="J84" s="37"/>
      <c r="K84" s="37"/>
      <c r="L84" s="37">
        <f t="shared" ref="L84:L90" si="13">IF(ISBLANK(J84), , J84*K84)</f>
        <v>0</v>
      </c>
      <c r="M84" s="38">
        <f>H97+K97+N97+Q97+T97+W97+Z97</f>
        <v>0</v>
      </c>
      <c r="N84" s="49"/>
      <c r="O84" s="68"/>
      <c r="P84" s="37"/>
      <c r="Q84" s="37"/>
      <c r="R84" s="37">
        <f t="shared" si="12"/>
        <v>0</v>
      </c>
      <c r="S84" s="38">
        <f>I97+L97+O97+R97+U97+X97+AA97</f>
        <v>0</v>
      </c>
      <c r="T84" s="49"/>
      <c r="U84" s="68"/>
      <c r="V84" s="37"/>
      <c r="W84" s="37"/>
      <c r="X84" s="37">
        <f t="shared" ref="X84:X90" si="14">IF(ISBLANK(V84), , V84*W84)</f>
        <v>0</v>
      </c>
      <c r="Y84" s="38">
        <f>J97+M97+P97+S97+V97+Y97+AB97</f>
        <v>0</v>
      </c>
      <c r="Z84" s="211"/>
      <c r="AA84" s="211"/>
      <c r="AB84" s="213"/>
      <c r="AC84" s="215"/>
    </row>
    <row r="85" spans="1:29" x14ac:dyDescent="0.2">
      <c r="A85" s="228"/>
      <c r="B85" s="216" t="s">
        <v>3</v>
      </c>
      <c r="C85" s="218" t="s">
        <v>82</v>
      </c>
      <c r="D85" s="10"/>
      <c r="E85" s="10"/>
      <c r="F85" s="10"/>
      <c r="G85" s="218" t="s">
        <v>1</v>
      </c>
      <c r="H85" s="48">
        <v>19.71</v>
      </c>
      <c r="I85" s="67">
        <v>0</v>
      </c>
      <c r="J85" s="36"/>
      <c r="K85" s="36">
        <v>16</v>
      </c>
      <c r="L85" s="36">
        <f t="shared" si="13"/>
        <v>0</v>
      </c>
      <c r="M85" s="17"/>
      <c r="N85" s="48">
        <v>19.690000000000001</v>
      </c>
      <c r="O85" s="67">
        <v>0</v>
      </c>
      <c r="P85" s="36"/>
      <c r="Q85" s="36">
        <v>16</v>
      </c>
      <c r="R85" s="36">
        <f t="shared" si="12"/>
        <v>0</v>
      </c>
      <c r="S85" s="17"/>
      <c r="T85" s="48">
        <v>19.2</v>
      </c>
      <c r="U85" s="67">
        <v>0</v>
      </c>
      <c r="V85" s="36">
        <v>0</v>
      </c>
      <c r="W85" s="36">
        <v>16</v>
      </c>
      <c r="X85" s="36">
        <f t="shared" si="14"/>
        <v>0</v>
      </c>
      <c r="Y85" s="17"/>
      <c r="Z85" s="220">
        <f>SUM(L85, R85, X85)+SUM(L86, R86, X86)</f>
        <v>0</v>
      </c>
      <c r="AA85" s="220">
        <f>SUM(M85, S85, Y85)+SUM(M86, S86, Y86)</f>
        <v>0</v>
      </c>
      <c r="AB85" s="194">
        <f>IF($Z85=0, ,AA85/$Z85)</f>
        <v>0</v>
      </c>
      <c r="AC85" s="204" t="s">
        <v>87</v>
      </c>
    </row>
    <row r="86" spans="1:29" x14ac:dyDescent="0.2">
      <c r="A86" s="228"/>
      <c r="B86" s="217"/>
      <c r="C86" s="219"/>
      <c r="D86" s="10"/>
      <c r="E86" s="10"/>
      <c r="F86" s="10"/>
      <c r="G86" s="219"/>
      <c r="H86" s="48"/>
      <c r="I86" s="67"/>
      <c r="J86" s="36"/>
      <c r="K86" s="36"/>
      <c r="L86" s="36">
        <f t="shared" si="13"/>
        <v>0</v>
      </c>
      <c r="M86" s="17"/>
      <c r="N86" s="48"/>
      <c r="O86" s="67"/>
      <c r="P86" s="36"/>
      <c r="Q86" s="36"/>
      <c r="R86" s="36">
        <f t="shared" si="12"/>
        <v>0</v>
      </c>
      <c r="S86" s="17"/>
      <c r="T86" s="48"/>
      <c r="U86" s="67"/>
      <c r="V86" s="36"/>
      <c r="W86" s="36"/>
      <c r="X86" s="36">
        <f t="shared" si="14"/>
        <v>0</v>
      </c>
      <c r="Y86" s="17"/>
      <c r="Z86" s="221"/>
      <c r="AA86" s="221"/>
      <c r="AB86" s="195"/>
      <c r="AC86" s="205"/>
    </row>
    <row r="87" spans="1:29" x14ac:dyDescent="0.2">
      <c r="A87" s="228"/>
      <c r="B87" s="206" t="s">
        <v>4</v>
      </c>
      <c r="C87" s="208" t="s">
        <v>9</v>
      </c>
      <c r="D87" s="9"/>
      <c r="E87" s="10"/>
      <c r="F87" s="9"/>
      <c r="G87" s="208" t="s">
        <v>1</v>
      </c>
      <c r="H87" s="49">
        <v>20.58</v>
      </c>
      <c r="I87" s="68">
        <v>0</v>
      </c>
      <c r="J87" s="37">
        <v>0</v>
      </c>
      <c r="K87" s="37">
        <v>8</v>
      </c>
      <c r="L87" s="37">
        <f t="shared" si="13"/>
        <v>0</v>
      </c>
      <c r="M87" s="38"/>
      <c r="N87" s="49">
        <v>20.58</v>
      </c>
      <c r="O87" s="68">
        <v>0</v>
      </c>
      <c r="P87" s="37">
        <v>0</v>
      </c>
      <c r="Q87" s="37">
        <v>8</v>
      </c>
      <c r="R87" s="37">
        <f t="shared" si="12"/>
        <v>0</v>
      </c>
      <c r="S87" s="38"/>
      <c r="T87" s="49">
        <v>20.58</v>
      </c>
      <c r="U87" s="68">
        <v>0</v>
      </c>
      <c r="V87" s="37">
        <v>0</v>
      </c>
      <c r="W87" s="37">
        <v>8</v>
      </c>
      <c r="X87" s="37">
        <f t="shared" si="14"/>
        <v>0</v>
      </c>
      <c r="Y87" s="38"/>
      <c r="Z87" s="210">
        <f>SUM(L87, R87, X87)+SUM(L88, R88, X88)</f>
        <v>0</v>
      </c>
      <c r="AA87" s="210">
        <f>SUM(M87, S87, Y87)+SUM(M88, S88, Y88)</f>
        <v>0</v>
      </c>
      <c r="AB87" s="212">
        <f>IF($Z87=0, ,AA87/$Z87)</f>
        <v>0</v>
      </c>
      <c r="AC87" s="214" t="s">
        <v>87</v>
      </c>
    </row>
    <row r="88" spans="1:29" x14ac:dyDescent="0.2">
      <c r="A88" s="228"/>
      <c r="B88" s="207"/>
      <c r="C88" s="209"/>
      <c r="D88" s="9"/>
      <c r="E88" s="9"/>
      <c r="F88" s="9"/>
      <c r="G88" s="209"/>
      <c r="H88" s="49"/>
      <c r="I88" s="68"/>
      <c r="J88" s="37"/>
      <c r="K88" s="37"/>
      <c r="L88" s="37">
        <f t="shared" si="13"/>
        <v>0</v>
      </c>
      <c r="M88" s="38"/>
      <c r="N88" s="49"/>
      <c r="O88" s="68"/>
      <c r="P88" s="37"/>
      <c r="Q88" s="37"/>
      <c r="R88" s="37">
        <f t="shared" si="12"/>
        <v>0</v>
      </c>
      <c r="S88" s="38"/>
      <c r="T88" s="49"/>
      <c r="U88" s="68"/>
      <c r="V88" s="37"/>
      <c r="W88" s="37"/>
      <c r="X88" s="37">
        <f t="shared" si="14"/>
        <v>0</v>
      </c>
      <c r="Y88" s="38"/>
      <c r="Z88" s="211"/>
      <c r="AA88" s="211"/>
      <c r="AB88" s="213"/>
      <c r="AC88" s="215"/>
    </row>
    <row r="89" spans="1:29" x14ac:dyDescent="0.2">
      <c r="A89" s="228"/>
      <c r="B89" s="189" t="s">
        <v>85</v>
      </c>
      <c r="C89" s="191" t="s">
        <v>83</v>
      </c>
      <c r="D89" s="11"/>
      <c r="E89" s="10"/>
      <c r="F89" s="11"/>
      <c r="G89" s="191" t="s">
        <v>1</v>
      </c>
      <c r="H89" s="50">
        <v>12.89</v>
      </c>
      <c r="I89" s="69">
        <v>0</v>
      </c>
      <c r="J89" s="39">
        <v>0</v>
      </c>
      <c r="K89" s="39">
        <v>16</v>
      </c>
      <c r="L89" s="39">
        <f t="shared" si="13"/>
        <v>0</v>
      </c>
      <c r="M89" s="40"/>
      <c r="N89" s="50">
        <v>12.89</v>
      </c>
      <c r="O89" s="69">
        <v>0</v>
      </c>
      <c r="P89" s="39">
        <v>0</v>
      </c>
      <c r="Q89" s="39">
        <v>16</v>
      </c>
      <c r="R89" s="39">
        <f>IF(ISBLANK(P89), , P89*Q89)</f>
        <v>0</v>
      </c>
      <c r="S89" s="40"/>
      <c r="T89" s="50">
        <v>23.6</v>
      </c>
      <c r="U89" s="69">
        <v>0</v>
      </c>
      <c r="V89" s="39">
        <v>0</v>
      </c>
      <c r="W89" s="39">
        <v>16</v>
      </c>
      <c r="X89" s="39">
        <f t="shared" si="14"/>
        <v>0</v>
      </c>
      <c r="Y89" s="40"/>
      <c r="Z89" s="193">
        <f>SUM(L89, R89, X89)+SUM(L90, R90, X90)</f>
        <v>0</v>
      </c>
      <c r="AA89" s="193">
        <f>SUM(M89, S89, Y89)+SUM(M90, S90, Y90)</f>
        <v>0</v>
      </c>
      <c r="AB89" s="194">
        <f>IF($Z89=0, ,AA89/$Z89)</f>
        <v>0</v>
      </c>
      <c r="AC89" s="196" t="s">
        <v>87</v>
      </c>
    </row>
    <row r="90" spans="1:29" x14ac:dyDescent="0.2">
      <c r="A90" s="228"/>
      <c r="B90" s="190"/>
      <c r="C90" s="192"/>
      <c r="D90" s="11"/>
      <c r="E90" s="11"/>
      <c r="F90" s="11"/>
      <c r="G90" s="192"/>
      <c r="H90" s="50"/>
      <c r="I90" s="69"/>
      <c r="J90" s="39"/>
      <c r="K90" s="39"/>
      <c r="L90" s="39">
        <f t="shared" si="13"/>
        <v>0</v>
      </c>
      <c r="M90" s="40"/>
      <c r="N90" s="50"/>
      <c r="O90" s="69"/>
      <c r="P90" s="39"/>
      <c r="Q90" s="39"/>
      <c r="R90" s="39">
        <f>IF(ISBLANK(P90), , P90*Q90)</f>
        <v>0</v>
      </c>
      <c r="S90" s="40"/>
      <c r="T90" s="50"/>
      <c r="U90" s="69"/>
      <c r="V90" s="39"/>
      <c r="W90" s="39"/>
      <c r="X90" s="39">
        <f t="shared" si="14"/>
        <v>0</v>
      </c>
      <c r="Y90" s="40"/>
      <c r="Z90" s="193"/>
      <c r="AA90" s="193"/>
      <c r="AB90" s="195"/>
      <c r="AC90" s="196"/>
    </row>
    <row r="91" spans="1:29" x14ac:dyDescent="0.2">
      <c r="A91" s="228"/>
      <c r="B91" s="56"/>
      <c r="C91" s="56"/>
      <c r="D91" s="56"/>
      <c r="E91" s="56"/>
      <c r="F91" s="56"/>
      <c r="G91" s="56"/>
      <c r="H91" s="76"/>
      <c r="I91" s="77"/>
      <c r="J91" s="78"/>
      <c r="K91" s="78"/>
      <c r="L91" s="78"/>
      <c r="M91" s="79"/>
      <c r="N91" s="76"/>
      <c r="O91" s="77"/>
      <c r="P91" s="78"/>
      <c r="Q91" s="78"/>
      <c r="R91" s="78"/>
      <c r="S91" s="79"/>
      <c r="T91" s="76"/>
      <c r="U91" s="77"/>
      <c r="V91" s="78"/>
      <c r="W91" s="78"/>
      <c r="X91" s="78"/>
      <c r="Y91" s="79"/>
      <c r="Z91" s="79"/>
      <c r="AA91" s="79"/>
      <c r="AB91" s="80"/>
      <c r="AC91" s="59"/>
    </row>
    <row r="92" spans="1:29" x14ac:dyDescent="0.2">
      <c r="A92" s="228"/>
      <c r="B92" s="197" t="s">
        <v>67</v>
      </c>
      <c r="C92" s="198"/>
      <c r="D92" s="198"/>
      <c r="E92" s="198"/>
      <c r="F92" s="198"/>
      <c r="G92" s="9" t="s">
        <v>68</v>
      </c>
      <c r="H92" s="199" t="s">
        <v>64</v>
      </c>
      <c r="I92" s="199"/>
      <c r="J92" s="199"/>
      <c r="K92" s="199" t="s">
        <v>76</v>
      </c>
      <c r="L92" s="199"/>
      <c r="M92" s="199"/>
      <c r="N92" s="199" t="s">
        <v>65</v>
      </c>
      <c r="O92" s="199"/>
      <c r="P92" s="199"/>
      <c r="Q92" s="199" t="s">
        <v>66</v>
      </c>
      <c r="R92" s="199"/>
      <c r="S92" s="199"/>
      <c r="T92" s="199" t="s">
        <v>73</v>
      </c>
      <c r="U92" s="199"/>
      <c r="V92" s="199"/>
      <c r="W92" s="199" t="s">
        <v>74</v>
      </c>
      <c r="X92" s="199"/>
      <c r="Y92" s="199"/>
      <c r="Z92" s="199" t="s">
        <v>75</v>
      </c>
      <c r="AA92" s="199"/>
      <c r="AB92" s="199"/>
      <c r="AC92" s="200"/>
    </row>
    <row r="93" spans="1:29" x14ac:dyDescent="0.2">
      <c r="A93" s="228"/>
      <c r="B93" s="197"/>
      <c r="C93" s="198"/>
      <c r="D93" s="198"/>
      <c r="E93" s="198"/>
      <c r="F93" s="198"/>
      <c r="G93" s="9" t="s">
        <v>69</v>
      </c>
      <c r="H93" s="98" t="s">
        <v>70</v>
      </c>
      <c r="I93" s="98" t="s">
        <v>71</v>
      </c>
      <c r="J93" s="99" t="s">
        <v>72</v>
      </c>
      <c r="K93" s="98" t="s">
        <v>70</v>
      </c>
      <c r="L93" s="98" t="s">
        <v>71</v>
      </c>
      <c r="M93" s="99" t="s">
        <v>72</v>
      </c>
      <c r="N93" s="98" t="s">
        <v>70</v>
      </c>
      <c r="O93" s="98" t="s">
        <v>71</v>
      </c>
      <c r="P93" s="99" t="s">
        <v>72</v>
      </c>
      <c r="Q93" s="98" t="s">
        <v>70</v>
      </c>
      <c r="R93" s="98" t="s">
        <v>71</v>
      </c>
      <c r="S93" s="99" t="s">
        <v>72</v>
      </c>
      <c r="T93" s="98" t="s">
        <v>70</v>
      </c>
      <c r="U93" s="98" t="s">
        <v>71</v>
      </c>
      <c r="V93" s="99" t="s">
        <v>72</v>
      </c>
      <c r="W93" s="98" t="s">
        <v>70</v>
      </c>
      <c r="X93" s="98" t="s">
        <v>71</v>
      </c>
      <c r="Y93" s="99" t="s">
        <v>72</v>
      </c>
      <c r="Z93" s="98" t="s">
        <v>70</v>
      </c>
      <c r="AA93" s="98" t="s">
        <v>71</v>
      </c>
      <c r="AB93" s="99" t="s">
        <v>72</v>
      </c>
      <c r="AC93" s="200"/>
    </row>
    <row r="94" spans="1:29" x14ac:dyDescent="0.2">
      <c r="A94" s="228"/>
      <c r="B94" s="201" t="str">
        <f>B81</f>
        <v>02C</v>
      </c>
      <c r="C94" s="202" t="str">
        <f>C81</f>
        <v>DEO-C01</v>
      </c>
      <c r="D94" s="9" t="str">
        <f>IF(ISBLANK(D81), "", D81)</f>
        <v/>
      </c>
      <c r="E94" s="9" t="str">
        <f>IF(ISBLANK(E81), "", E81)</f>
        <v/>
      </c>
      <c r="F94" s="9" t="str">
        <f>IF(ISBLANK(F81), "", F81)</f>
        <v/>
      </c>
      <c r="G94" s="203"/>
      <c r="H94" s="38"/>
      <c r="I94" s="38"/>
      <c r="J94" s="38"/>
      <c r="K94" s="38"/>
      <c r="L94" s="38"/>
      <c r="M94" s="38"/>
      <c r="N94" s="37"/>
      <c r="O94" s="37"/>
      <c r="P94" s="37"/>
      <c r="Q94" s="37"/>
      <c r="R94" s="37"/>
      <c r="S94" s="38"/>
      <c r="T94" s="37"/>
      <c r="U94" s="37"/>
      <c r="V94" s="37"/>
      <c r="W94" s="37"/>
      <c r="X94" s="37"/>
      <c r="Y94" s="38"/>
      <c r="Z94" s="38"/>
      <c r="AA94" s="38"/>
      <c r="AB94" s="112"/>
      <c r="AC94" s="200"/>
    </row>
    <row r="95" spans="1:29" x14ac:dyDescent="0.2">
      <c r="A95" s="228"/>
      <c r="B95" s="201"/>
      <c r="C95" s="202"/>
      <c r="D95" s="9"/>
      <c r="E95" s="9" t="str">
        <f t="shared" ref="E95:F97" si="15">IF(ISBLANK(E82), "", E82)</f>
        <v/>
      </c>
      <c r="F95" s="9" t="str">
        <f t="shared" si="15"/>
        <v/>
      </c>
      <c r="G95" s="203"/>
      <c r="H95" s="37"/>
      <c r="I95" s="37"/>
      <c r="J95" s="37"/>
      <c r="K95" s="37"/>
      <c r="L95" s="37"/>
      <c r="M95" s="38"/>
      <c r="N95" s="37"/>
      <c r="O95" s="37"/>
      <c r="P95" s="37"/>
      <c r="Q95" s="37"/>
      <c r="R95" s="37"/>
      <c r="S95" s="38"/>
      <c r="T95" s="37"/>
      <c r="U95" s="37"/>
      <c r="V95" s="37"/>
      <c r="W95" s="37"/>
      <c r="X95" s="37"/>
      <c r="Y95" s="38"/>
      <c r="Z95" s="38"/>
      <c r="AA95" s="38"/>
      <c r="AB95" s="112"/>
      <c r="AC95" s="200"/>
    </row>
    <row r="96" spans="1:29" x14ac:dyDescent="0.2">
      <c r="A96" s="228"/>
      <c r="B96" s="201" t="str">
        <f>B83</f>
        <v>03C</v>
      </c>
      <c r="C96" s="202" t="str">
        <f>C83</f>
        <v>DEO-B02</v>
      </c>
      <c r="D96" s="9" t="str">
        <f>IF(ISBLANK(D83), "", D83)</f>
        <v/>
      </c>
      <c r="E96" s="9" t="str">
        <f t="shared" si="15"/>
        <v/>
      </c>
      <c r="F96" s="9" t="str">
        <f t="shared" si="15"/>
        <v/>
      </c>
      <c r="G96" s="203"/>
      <c r="H96" s="38"/>
      <c r="I96" s="38"/>
      <c r="J96" s="38"/>
      <c r="K96" s="37"/>
      <c r="L96" s="37"/>
      <c r="M96" s="38"/>
      <c r="N96" s="37"/>
      <c r="O96" s="37"/>
      <c r="P96" s="37"/>
      <c r="Q96" s="37"/>
      <c r="R96" s="37"/>
      <c r="S96" s="38"/>
      <c r="T96" s="37"/>
      <c r="U96" s="37"/>
      <c r="V96" s="37"/>
      <c r="W96" s="37"/>
      <c r="X96" s="37"/>
      <c r="Y96" s="38"/>
      <c r="Z96" s="38"/>
      <c r="AA96" s="38"/>
      <c r="AB96" s="112"/>
      <c r="AC96" s="200"/>
    </row>
    <row r="97" spans="1:29" x14ac:dyDescent="0.2">
      <c r="A97" s="228"/>
      <c r="B97" s="201"/>
      <c r="C97" s="202"/>
      <c r="D97" s="9" t="str">
        <f>IF(ISBLANK(D84), "", D84)</f>
        <v/>
      </c>
      <c r="E97" s="9" t="str">
        <f t="shared" si="15"/>
        <v/>
      </c>
      <c r="F97" s="9" t="str">
        <f t="shared" si="15"/>
        <v/>
      </c>
      <c r="G97" s="203"/>
      <c r="H97" s="37"/>
      <c r="I97" s="37"/>
      <c r="J97" s="37"/>
      <c r="K97" s="37"/>
      <c r="L97" s="37"/>
      <c r="M97" s="38"/>
      <c r="N97" s="37"/>
      <c r="O97" s="37"/>
      <c r="P97" s="37"/>
      <c r="Q97" s="37"/>
      <c r="R97" s="37"/>
      <c r="S97" s="38"/>
      <c r="T97" s="37"/>
      <c r="U97" s="37"/>
      <c r="V97" s="37"/>
      <c r="W97" s="37"/>
      <c r="X97" s="37"/>
      <c r="Y97" s="38"/>
      <c r="Z97" s="38"/>
      <c r="AA97" s="38"/>
      <c r="AB97" s="112"/>
      <c r="AC97" s="200"/>
    </row>
    <row r="99" spans="1:29" x14ac:dyDescent="0.2">
      <c r="A99" s="228">
        <v>44717</v>
      </c>
      <c r="B99" s="19" t="s">
        <v>42</v>
      </c>
      <c r="C99" s="20"/>
      <c r="D99" s="21" t="s">
        <v>43</v>
      </c>
      <c r="E99" s="20">
        <v>0</v>
      </c>
      <c r="F99" s="31"/>
      <c r="G99" s="32"/>
      <c r="H99" s="52"/>
      <c r="I99" s="65"/>
      <c r="J99" s="73"/>
      <c r="K99" s="32"/>
      <c r="L99" s="21"/>
      <c r="M99" s="32"/>
      <c r="N99" s="52"/>
      <c r="O99" s="65"/>
      <c r="P99" s="73"/>
      <c r="Q99" s="32"/>
      <c r="R99" s="21"/>
      <c r="S99" s="32"/>
      <c r="T99" s="52"/>
      <c r="U99" s="65"/>
      <c r="V99" s="73"/>
      <c r="W99" s="32"/>
      <c r="X99" s="21"/>
      <c r="Y99" s="21"/>
      <c r="Z99" s="32"/>
      <c r="AA99" s="21"/>
      <c r="AB99" s="21"/>
      <c r="AC99" s="33"/>
    </row>
    <row r="100" spans="1:29" x14ac:dyDescent="0.2">
      <c r="A100" s="228"/>
      <c r="B100" s="229" t="s">
        <v>10</v>
      </c>
      <c r="C100" s="230" t="s">
        <v>0</v>
      </c>
      <c r="D100" s="230" t="s">
        <v>25</v>
      </c>
      <c r="E100" s="230" t="s">
        <v>11</v>
      </c>
      <c r="F100" s="230" t="s">
        <v>16</v>
      </c>
      <c r="G100" s="237" t="s">
        <v>12</v>
      </c>
      <c r="H100" s="222" t="s">
        <v>13</v>
      </c>
      <c r="I100" s="223"/>
      <c r="J100" s="223"/>
      <c r="K100" s="223"/>
      <c r="L100" s="223"/>
      <c r="M100" s="224"/>
      <c r="N100" s="222" t="s">
        <v>14</v>
      </c>
      <c r="O100" s="223"/>
      <c r="P100" s="223"/>
      <c r="Q100" s="223"/>
      <c r="R100" s="223"/>
      <c r="S100" s="224"/>
      <c r="T100" s="222" t="s">
        <v>15</v>
      </c>
      <c r="U100" s="223"/>
      <c r="V100" s="223"/>
      <c r="W100" s="223"/>
      <c r="X100" s="223"/>
      <c r="Y100" s="224"/>
      <c r="Z100" s="225" t="s">
        <v>37</v>
      </c>
      <c r="AA100" s="225" t="s">
        <v>39</v>
      </c>
      <c r="AB100" s="225" t="s">
        <v>62</v>
      </c>
      <c r="AC100" s="231" t="s">
        <v>26</v>
      </c>
    </row>
    <row r="101" spans="1:29" ht="36" customHeight="1" x14ac:dyDescent="0.2">
      <c r="A101" s="228"/>
      <c r="B101" s="229"/>
      <c r="C101" s="230"/>
      <c r="D101" s="230"/>
      <c r="E101" s="230"/>
      <c r="F101" s="230"/>
      <c r="G101" s="237"/>
      <c r="H101" s="53" t="s">
        <v>50</v>
      </c>
      <c r="I101" s="66" t="s">
        <v>51</v>
      </c>
      <c r="J101" s="74" t="s">
        <v>63</v>
      </c>
      <c r="K101" s="24" t="s">
        <v>44</v>
      </c>
      <c r="L101" s="18" t="s">
        <v>5</v>
      </c>
      <c r="M101" s="81" t="s">
        <v>31</v>
      </c>
      <c r="N101" s="53" t="s">
        <v>50</v>
      </c>
      <c r="O101" s="66" t="s">
        <v>51</v>
      </c>
      <c r="P101" s="74" t="s">
        <v>63</v>
      </c>
      <c r="Q101" s="24" t="s">
        <v>44</v>
      </c>
      <c r="R101" s="30" t="s">
        <v>5</v>
      </c>
      <c r="S101" s="34" t="s">
        <v>31</v>
      </c>
      <c r="T101" s="53" t="s">
        <v>50</v>
      </c>
      <c r="U101" s="66" t="s">
        <v>51</v>
      </c>
      <c r="V101" s="74" t="s">
        <v>63</v>
      </c>
      <c r="W101" s="24" t="s">
        <v>44</v>
      </c>
      <c r="X101" s="30" t="s">
        <v>5</v>
      </c>
      <c r="Y101" s="34" t="s">
        <v>31</v>
      </c>
      <c r="Z101" s="226"/>
      <c r="AA101" s="227"/>
      <c r="AB101" s="227"/>
      <c r="AC101" s="231"/>
    </row>
    <row r="102" spans="1:29" x14ac:dyDescent="0.2">
      <c r="A102" s="228"/>
      <c r="B102" s="232" t="s">
        <v>2</v>
      </c>
      <c r="C102" s="234" t="s">
        <v>84</v>
      </c>
      <c r="D102" s="12"/>
      <c r="E102" s="10"/>
      <c r="F102" s="12"/>
      <c r="G102" s="234" t="s">
        <v>1</v>
      </c>
      <c r="H102" s="47">
        <v>23.6</v>
      </c>
      <c r="I102" s="63">
        <v>0</v>
      </c>
      <c r="J102" s="35"/>
      <c r="K102" s="35">
        <v>16</v>
      </c>
      <c r="L102" s="35">
        <f>IF(ISBLANK(J102), , J102*K102)</f>
        <v>0</v>
      </c>
      <c r="M102" s="29"/>
      <c r="N102" s="47">
        <v>23.6</v>
      </c>
      <c r="O102" s="63">
        <v>0</v>
      </c>
      <c r="P102" s="35"/>
      <c r="Q102" s="35">
        <v>16</v>
      </c>
      <c r="R102" s="35">
        <f>IF(ISBLANK(P102), , P102*Q102)</f>
        <v>0</v>
      </c>
      <c r="S102" s="29"/>
      <c r="T102" s="47">
        <v>23.6</v>
      </c>
      <c r="U102" s="63">
        <v>0</v>
      </c>
      <c r="V102" s="35"/>
      <c r="W102" s="35">
        <v>16</v>
      </c>
      <c r="X102" s="35">
        <f>IF(ISBLANK(V102), , V102*W102)</f>
        <v>0</v>
      </c>
      <c r="Y102" s="29"/>
      <c r="Z102" s="210">
        <f>SUM(L102, R102, X102)+SUM(L103, R103, X103)</f>
        <v>0</v>
      </c>
      <c r="AA102" s="210">
        <f>SUM(M102, S102, Y102)+SUM(M103, S103, Y103)</f>
        <v>0</v>
      </c>
      <c r="AB102" s="212">
        <f>IF($Z102=0, ,AA102/$Z102)</f>
        <v>0</v>
      </c>
      <c r="AC102" s="214" t="s">
        <v>87</v>
      </c>
    </row>
    <row r="103" spans="1:29" x14ac:dyDescent="0.2">
      <c r="A103" s="228"/>
      <c r="B103" s="233"/>
      <c r="C103" s="235"/>
      <c r="D103" s="12"/>
      <c r="E103" s="12"/>
      <c r="F103" s="12"/>
      <c r="G103" s="236"/>
      <c r="H103" s="47"/>
      <c r="I103" s="63"/>
      <c r="J103" s="35"/>
      <c r="K103" s="35"/>
      <c r="L103" s="35">
        <f>IF(ISBLANK(J103), , J103*K103)</f>
        <v>0</v>
      </c>
      <c r="M103" s="29"/>
      <c r="N103" s="47"/>
      <c r="O103" s="63"/>
      <c r="P103" s="35"/>
      <c r="Q103" s="35"/>
      <c r="R103" s="35">
        <f>IF(ISBLANK(P103), , P103*Q103)</f>
        <v>0</v>
      </c>
      <c r="S103" s="29"/>
      <c r="T103" s="47"/>
      <c r="U103" s="63"/>
      <c r="V103" s="35"/>
      <c r="W103" s="35"/>
      <c r="X103" s="35">
        <f>IF(ISBLANK(V103), , V103*W103)</f>
        <v>0</v>
      </c>
      <c r="Y103" s="29"/>
      <c r="Z103" s="211"/>
      <c r="AA103" s="211"/>
      <c r="AB103" s="213"/>
      <c r="AC103" s="215"/>
    </row>
    <row r="104" spans="1:29" x14ac:dyDescent="0.2">
      <c r="A104" s="228"/>
      <c r="B104" s="216" t="s">
        <v>6</v>
      </c>
      <c r="C104" s="218" t="s">
        <v>8</v>
      </c>
      <c r="D104" s="10"/>
      <c r="E104" s="10"/>
      <c r="F104" s="10"/>
      <c r="G104" s="218" t="s">
        <v>1</v>
      </c>
      <c r="H104" s="48">
        <v>19.57</v>
      </c>
      <c r="I104" s="67">
        <v>0</v>
      </c>
      <c r="J104" s="39"/>
      <c r="K104" s="39">
        <v>8</v>
      </c>
      <c r="L104" s="39">
        <f>IF(ISBLANK(J104), , J104*K104)</f>
        <v>0</v>
      </c>
      <c r="M104" s="40">
        <f>H117+K117+N117+Q117+T117+W117+Z117</f>
        <v>0</v>
      </c>
      <c r="N104" s="48">
        <v>19.57</v>
      </c>
      <c r="O104" s="67">
        <v>0</v>
      </c>
      <c r="P104" s="39"/>
      <c r="Q104" s="39">
        <v>8</v>
      </c>
      <c r="R104" s="39">
        <f>IF(ISBLANK(P104), , P104*Q104)</f>
        <v>0</v>
      </c>
      <c r="S104" s="40">
        <f>I117+L117+O117+R117+U117+X117+AA117</f>
        <v>0</v>
      </c>
      <c r="T104" s="48">
        <v>19.57</v>
      </c>
      <c r="U104" s="67">
        <v>0</v>
      </c>
      <c r="V104" s="39"/>
      <c r="W104" s="39">
        <v>8</v>
      </c>
      <c r="X104" s="39">
        <f>IF(ISBLANK(V104), , V104*W104)</f>
        <v>0</v>
      </c>
      <c r="Y104" s="40">
        <f>J117+M117+P117+S117+V117+Y117+AB117</f>
        <v>0</v>
      </c>
      <c r="Z104" s="238">
        <f>SUM(L104, R104, X104)+SUM(L105, R105, X105)</f>
        <v>0</v>
      </c>
      <c r="AA104" s="220">
        <f>SUM(M104, S104, Y104)+SUM(M105, S105, Y105)</f>
        <v>0</v>
      </c>
      <c r="AB104" s="194">
        <f>IF($Z104=0, ,AA104/$Z104)</f>
        <v>0</v>
      </c>
      <c r="AC104" s="204" t="s">
        <v>87</v>
      </c>
    </row>
    <row r="105" spans="1:29" x14ac:dyDescent="0.2">
      <c r="A105" s="228"/>
      <c r="B105" s="217"/>
      <c r="C105" s="219"/>
      <c r="D105" s="10"/>
      <c r="E105" s="10"/>
      <c r="F105" s="10"/>
      <c r="G105" s="219"/>
      <c r="H105" s="48"/>
      <c r="I105" s="67"/>
      <c r="J105" s="39"/>
      <c r="K105" s="39"/>
      <c r="L105" s="39">
        <f>IF(ISBLANK(J105), , J105*K105)</f>
        <v>0</v>
      </c>
      <c r="M105" s="40">
        <f>H118+K118+N118+Q118+T118+W118+Z118</f>
        <v>0</v>
      </c>
      <c r="N105" s="48"/>
      <c r="O105" s="67"/>
      <c r="P105" s="39"/>
      <c r="Q105" s="39"/>
      <c r="R105" s="39">
        <f t="shared" ref="R105:R111" si="16">IF(ISBLANK(P105), , P105*Q105)</f>
        <v>0</v>
      </c>
      <c r="S105" s="40">
        <f>I118+L118+O118+R118+U118+X118+AA118</f>
        <v>0</v>
      </c>
      <c r="T105" s="48"/>
      <c r="U105" s="67"/>
      <c r="V105" s="39"/>
      <c r="W105" s="39"/>
      <c r="X105" s="39">
        <f>IF(ISBLANK(V105), , V105*W105)</f>
        <v>0</v>
      </c>
      <c r="Y105" s="40">
        <f>J118+M118+P118+S118+V118+Y118+AB118</f>
        <v>0</v>
      </c>
      <c r="Z105" s="239"/>
      <c r="AA105" s="221"/>
      <c r="AB105" s="195"/>
      <c r="AC105" s="205"/>
    </row>
    <row r="106" spans="1:29" x14ac:dyDescent="0.2">
      <c r="A106" s="228"/>
      <c r="B106" s="206" t="s">
        <v>7</v>
      </c>
      <c r="C106" s="208" t="s">
        <v>81</v>
      </c>
      <c r="D106" s="9"/>
      <c r="E106" s="9"/>
      <c r="F106" s="9"/>
      <c r="G106" s="208" t="s">
        <v>1</v>
      </c>
      <c r="H106" s="49">
        <v>20.5</v>
      </c>
      <c r="I106" s="68">
        <v>0</v>
      </c>
      <c r="J106" s="37"/>
      <c r="K106" s="37">
        <v>8</v>
      </c>
      <c r="L106" s="37">
        <f>IF(ISBLANK(J106), , J106*K106)</f>
        <v>0</v>
      </c>
      <c r="M106" s="38">
        <f>H119+K119+N119+Q119+T119+W119+Z119</f>
        <v>0</v>
      </c>
      <c r="N106" s="49">
        <v>21.95</v>
      </c>
      <c r="O106" s="68">
        <v>0</v>
      </c>
      <c r="P106" s="37"/>
      <c r="Q106" s="37">
        <v>8</v>
      </c>
      <c r="R106" s="37">
        <f t="shared" si="16"/>
        <v>0</v>
      </c>
      <c r="S106" s="38">
        <f>I119+L119+O119+R119+U119+X119+AA119</f>
        <v>0</v>
      </c>
      <c r="T106" s="49">
        <v>22</v>
      </c>
      <c r="U106" s="68">
        <v>0</v>
      </c>
      <c r="V106" s="37"/>
      <c r="W106" s="37">
        <v>8</v>
      </c>
      <c r="X106" s="37">
        <f>IF(ISBLANK(V106), , V106*W106)</f>
        <v>0</v>
      </c>
      <c r="Y106" s="38">
        <f>J119+M119+P119+S119+V119+Y119+AB119</f>
        <v>0</v>
      </c>
      <c r="Z106" s="210">
        <f>SUM(L106, R106, X106)+SUM(L107, R107, X107)</f>
        <v>0</v>
      </c>
      <c r="AA106" s="210">
        <f>SUM(M106, S106, Y106)+SUM(M107, S107, Y107)</f>
        <v>0</v>
      </c>
      <c r="AB106" s="212">
        <f>IF($Z106=0, ,AA106/$Z106)</f>
        <v>0</v>
      </c>
      <c r="AC106" s="214" t="s">
        <v>87</v>
      </c>
    </row>
    <row r="107" spans="1:29" x14ac:dyDescent="0.2">
      <c r="A107" s="228"/>
      <c r="B107" s="207"/>
      <c r="C107" s="209"/>
      <c r="D107" s="9"/>
      <c r="E107" s="9"/>
      <c r="F107" s="9"/>
      <c r="G107" s="209"/>
      <c r="H107" s="49"/>
      <c r="I107" s="68"/>
      <c r="J107" s="37"/>
      <c r="K107" s="37"/>
      <c r="L107" s="37">
        <f t="shared" ref="L107:L113" si="17">IF(ISBLANK(J107), , J107*K107)</f>
        <v>0</v>
      </c>
      <c r="M107" s="38">
        <f>H120+K120+N120+Q120+T120+W120+Z120</f>
        <v>0</v>
      </c>
      <c r="N107" s="49"/>
      <c r="O107" s="68"/>
      <c r="P107" s="37"/>
      <c r="Q107" s="37"/>
      <c r="R107" s="37">
        <f t="shared" si="16"/>
        <v>0</v>
      </c>
      <c r="S107" s="38">
        <f>I120+L120+O120+R120+U120+X120+AA120</f>
        <v>0</v>
      </c>
      <c r="T107" s="49"/>
      <c r="U107" s="68"/>
      <c r="V107" s="37"/>
      <c r="W107" s="37"/>
      <c r="X107" s="37">
        <f t="shared" ref="X107:X113" si="18">IF(ISBLANK(V107), , V107*W107)</f>
        <v>0</v>
      </c>
      <c r="Y107" s="38">
        <f>J120+M120+P120+S120+V120+Y120+AB120</f>
        <v>0</v>
      </c>
      <c r="Z107" s="211"/>
      <c r="AA107" s="211"/>
      <c r="AB107" s="213"/>
      <c r="AC107" s="215"/>
    </row>
    <row r="108" spans="1:29" x14ac:dyDescent="0.2">
      <c r="A108" s="228"/>
      <c r="B108" s="216" t="s">
        <v>3</v>
      </c>
      <c r="C108" s="218" t="s">
        <v>82</v>
      </c>
      <c r="D108" s="10"/>
      <c r="E108" s="10"/>
      <c r="F108" s="10"/>
      <c r="G108" s="218" t="s">
        <v>1</v>
      </c>
      <c r="H108" s="48">
        <v>19.71</v>
      </c>
      <c r="I108" s="67">
        <v>0</v>
      </c>
      <c r="J108" s="36"/>
      <c r="K108" s="36">
        <v>16</v>
      </c>
      <c r="L108" s="36">
        <f t="shared" si="17"/>
        <v>0</v>
      </c>
      <c r="M108" s="17"/>
      <c r="N108" s="48">
        <v>19.690000000000001</v>
      </c>
      <c r="O108" s="67">
        <v>0</v>
      </c>
      <c r="P108" s="36"/>
      <c r="Q108" s="36">
        <v>16</v>
      </c>
      <c r="R108" s="36">
        <f t="shared" si="16"/>
        <v>0</v>
      </c>
      <c r="S108" s="17"/>
      <c r="T108" s="48">
        <v>19.2</v>
      </c>
      <c r="U108" s="67">
        <v>0</v>
      </c>
      <c r="V108" s="36">
        <v>0</v>
      </c>
      <c r="W108" s="36">
        <v>16</v>
      </c>
      <c r="X108" s="36">
        <f t="shared" si="18"/>
        <v>0</v>
      </c>
      <c r="Y108" s="17"/>
      <c r="Z108" s="220">
        <f>SUM(L108, R108, X108)+SUM(L109, R109, X109)</f>
        <v>0</v>
      </c>
      <c r="AA108" s="220">
        <f>SUM(M108, S108, Y108)+SUM(M109, S109, Y109)</f>
        <v>0</v>
      </c>
      <c r="AB108" s="194">
        <f>IF($Z108=0, ,AA108/$Z108)</f>
        <v>0</v>
      </c>
      <c r="AC108" s="204" t="s">
        <v>87</v>
      </c>
    </row>
    <row r="109" spans="1:29" x14ac:dyDescent="0.2">
      <c r="A109" s="228"/>
      <c r="B109" s="217"/>
      <c r="C109" s="219"/>
      <c r="D109" s="10"/>
      <c r="E109" s="10"/>
      <c r="F109" s="10"/>
      <c r="G109" s="219"/>
      <c r="H109" s="48"/>
      <c r="I109" s="67"/>
      <c r="J109" s="36"/>
      <c r="K109" s="36"/>
      <c r="L109" s="36">
        <f t="shared" si="17"/>
        <v>0</v>
      </c>
      <c r="M109" s="17"/>
      <c r="N109" s="48"/>
      <c r="O109" s="67"/>
      <c r="P109" s="36"/>
      <c r="Q109" s="36"/>
      <c r="R109" s="36">
        <f t="shared" si="16"/>
        <v>0</v>
      </c>
      <c r="S109" s="17"/>
      <c r="T109" s="48"/>
      <c r="U109" s="67"/>
      <c r="V109" s="36"/>
      <c r="W109" s="36"/>
      <c r="X109" s="36">
        <f t="shared" si="18"/>
        <v>0</v>
      </c>
      <c r="Y109" s="17"/>
      <c r="Z109" s="221"/>
      <c r="AA109" s="221"/>
      <c r="AB109" s="195"/>
      <c r="AC109" s="205"/>
    </row>
    <row r="110" spans="1:29" x14ac:dyDescent="0.2">
      <c r="A110" s="228"/>
      <c r="B110" s="206" t="s">
        <v>4</v>
      </c>
      <c r="C110" s="208" t="s">
        <v>9</v>
      </c>
      <c r="D110" s="9"/>
      <c r="E110" s="10"/>
      <c r="F110" s="9"/>
      <c r="G110" s="208" t="s">
        <v>1</v>
      </c>
      <c r="H110" s="49">
        <v>20.58</v>
      </c>
      <c r="I110" s="68">
        <v>0</v>
      </c>
      <c r="J110" s="37">
        <v>0</v>
      </c>
      <c r="K110" s="37">
        <v>8</v>
      </c>
      <c r="L110" s="37">
        <f t="shared" si="17"/>
        <v>0</v>
      </c>
      <c r="M110" s="38"/>
      <c r="N110" s="49">
        <v>20.58</v>
      </c>
      <c r="O110" s="68">
        <v>0</v>
      </c>
      <c r="P110" s="37">
        <v>0</v>
      </c>
      <c r="Q110" s="37">
        <v>8</v>
      </c>
      <c r="R110" s="37">
        <f t="shared" si="16"/>
        <v>0</v>
      </c>
      <c r="S110" s="38"/>
      <c r="T110" s="49">
        <v>20.58</v>
      </c>
      <c r="U110" s="68">
        <v>0</v>
      </c>
      <c r="V110" s="37">
        <v>0</v>
      </c>
      <c r="W110" s="37">
        <v>8</v>
      </c>
      <c r="X110" s="37">
        <f t="shared" si="18"/>
        <v>0</v>
      </c>
      <c r="Y110" s="38"/>
      <c r="Z110" s="210">
        <f>SUM(L110, R110, X110)+SUM(L111, R111, X111)</f>
        <v>0</v>
      </c>
      <c r="AA110" s="210">
        <f>SUM(M110, S110, Y110)+SUM(M111, S111, Y111)</f>
        <v>0</v>
      </c>
      <c r="AB110" s="212">
        <f>IF($Z110=0, ,AA110/$Z110)</f>
        <v>0</v>
      </c>
      <c r="AC110" s="214" t="s">
        <v>87</v>
      </c>
    </row>
    <row r="111" spans="1:29" x14ac:dyDescent="0.2">
      <c r="A111" s="228"/>
      <c r="B111" s="207"/>
      <c r="C111" s="209"/>
      <c r="D111" s="9"/>
      <c r="E111" s="9"/>
      <c r="F111" s="9"/>
      <c r="G111" s="209"/>
      <c r="H111" s="49"/>
      <c r="I111" s="68"/>
      <c r="J111" s="37"/>
      <c r="K111" s="37"/>
      <c r="L111" s="37">
        <f t="shared" si="17"/>
        <v>0</v>
      </c>
      <c r="M111" s="38"/>
      <c r="N111" s="49"/>
      <c r="O111" s="68"/>
      <c r="P111" s="37"/>
      <c r="Q111" s="37"/>
      <c r="R111" s="37">
        <f t="shared" si="16"/>
        <v>0</v>
      </c>
      <c r="S111" s="38"/>
      <c r="T111" s="49"/>
      <c r="U111" s="68"/>
      <c r="V111" s="37"/>
      <c r="W111" s="37"/>
      <c r="X111" s="37">
        <f t="shared" si="18"/>
        <v>0</v>
      </c>
      <c r="Y111" s="38"/>
      <c r="Z111" s="211"/>
      <c r="AA111" s="211"/>
      <c r="AB111" s="213"/>
      <c r="AC111" s="215"/>
    </row>
    <row r="112" spans="1:29" x14ac:dyDescent="0.2">
      <c r="A112" s="228"/>
      <c r="B112" s="189" t="s">
        <v>85</v>
      </c>
      <c r="C112" s="191" t="s">
        <v>83</v>
      </c>
      <c r="D112" s="11"/>
      <c r="E112" s="10"/>
      <c r="F112" s="11"/>
      <c r="G112" s="191" t="s">
        <v>1</v>
      </c>
      <c r="H112" s="50">
        <v>12.89</v>
      </c>
      <c r="I112" s="69">
        <v>0</v>
      </c>
      <c r="J112" s="39">
        <v>0</v>
      </c>
      <c r="K112" s="39">
        <v>16</v>
      </c>
      <c r="L112" s="39">
        <f t="shared" si="17"/>
        <v>0</v>
      </c>
      <c r="M112" s="40"/>
      <c r="N112" s="50">
        <v>12.89</v>
      </c>
      <c r="O112" s="69">
        <v>0</v>
      </c>
      <c r="P112" s="39">
        <v>0</v>
      </c>
      <c r="Q112" s="39">
        <v>16</v>
      </c>
      <c r="R112" s="39">
        <f>IF(ISBLANK(P112), , P112*Q112)</f>
        <v>0</v>
      </c>
      <c r="S112" s="40"/>
      <c r="T112" s="50">
        <v>23.6</v>
      </c>
      <c r="U112" s="69">
        <v>0</v>
      </c>
      <c r="V112" s="39">
        <v>0</v>
      </c>
      <c r="W112" s="39">
        <v>16</v>
      </c>
      <c r="X112" s="39">
        <f t="shared" si="18"/>
        <v>0</v>
      </c>
      <c r="Y112" s="40"/>
      <c r="Z112" s="193">
        <f>SUM(L112, R112, X112)+SUM(L113, R113, X113)</f>
        <v>0</v>
      </c>
      <c r="AA112" s="193">
        <f>SUM(M112, S112, Y112)+SUM(M113, S113, Y113)</f>
        <v>0</v>
      </c>
      <c r="AB112" s="194">
        <f>IF($Z112=0, ,AA112/$Z112)</f>
        <v>0</v>
      </c>
      <c r="AC112" s="196" t="s">
        <v>87</v>
      </c>
    </row>
    <row r="113" spans="1:29" x14ac:dyDescent="0.2">
      <c r="A113" s="228"/>
      <c r="B113" s="190"/>
      <c r="C113" s="192"/>
      <c r="D113" s="11"/>
      <c r="E113" s="11"/>
      <c r="F113" s="11"/>
      <c r="G113" s="192"/>
      <c r="H113" s="50"/>
      <c r="I113" s="69"/>
      <c r="J113" s="39"/>
      <c r="K113" s="39"/>
      <c r="L113" s="39">
        <f t="shared" si="17"/>
        <v>0</v>
      </c>
      <c r="M113" s="40"/>
      <c r="N113" s="50"/>
      <c r="O113" s="69"/>
      <c r="P113" s="39"/>
      <c r="Q113" s="39"/>
      <c r="R113" s="39">
        <f>IF(ISBLANK(P113), , P113*Q113)</f>
        <v>0</v>
      </c>
      <c r="S113" s="40"/>
      <c r="T113" s="50"/>
      <c r="U113" s="69"/>
      <c r="V113" s="39"/>
      <c r="W113" s="39"/>
      <c r="X113" s="39">
        <f t="shared" si="18"/>
        <v>0</v>
      </c>
      <c r="Y113" s="40"/>
      <c r="Z113" s="193"/>
      <c r="AA113" s="193"/>
      <c r="AB113" s="195"/>
      <c r="AC113" s="196"/>
    </row>
    <row r="114" spans="1:29" x14ac:dyDescent="0.2">
      <c r="A114" s="228"/>
      <c r="B114" s="56"/>
      <c r="C114" s="56"/>
      <c r="D114" s="56"/>
      <c r="E114" s="56"/>
      <c r="F114" s="56"/>
      <c r="G114" s="56"/>
      <c r="H114" s="76"/>
      <c r="I114" s="77"/>
      <c r="J114" s="78"/>
      <c r="K114" s="78"/>
      <c r="L114" s="78"/>
      <c r="M114" s="79"/>
      <c r="N114" s="76"/>
      <c r="O114" s="77"/>
      <c r="P114" s="78"/>
      <c r="Q114" s="78"/>
      <c r="R114" s="78"/>
      <c r="S114" s="79"/>
      <c r="T114" s="76"/>
      <c r="U114" s="77"/>
      <c r="V114" s="78"/>
      <c r="W114" s="78"/>
      <c r="X114" s="78"/>
      <c r="Y114" s="79"/>
      <c r="Z114" s="79"/>
      <c r="AA114" s="79"/>
      <c r="AB114" s="80"/>
      <c r="AC114" s="59"/>
    </row>
    <row r="115" spans="1:29" x14ac:dyDescent="0.2">
      <c r="A115" s="228"/>
      <c r="B115" s="197" t="s">
        <v>67</v>
      </c>
      <c r="C115" s="198"/>
      <c r="D115" s="198"/>
      <c r="E115" s="198"/>
      <c r="F115" s="198"/>
      <c r="G115" s="9" t="s">
        <v>68</v>
      </c>
      <c r="H115" s="199" t="s">
        <v>64</v>
      </c>
      <c r="I115" s="199"/>
      <c r="J115" s="199"/>
      <c r="K115" s="199" t="s">
        <v>76</v>
      </c>
      <c r="L115" s="199"/>
      <c r="M115" s="199"/>
      <c r="N115" s="199" t="s">
        <v>65</v>
      </c>
      <c r="O115" s="199"/>
      <c r="P115" s="199"/>
      <c r="Q115" s="199" t="s">
        <v>66</v>
      </c>
      <c r="R115" s="199"/>
      <c r="S115" s="199"/>
      <c r="T115" s="199" t="s">
        <v>73</v>
      </c>
      <c r="U115" s="199"/>
      <c r="V115" s="199"/>
      <c r="W115" s="199" t="s">
        <v>74</v>
      </c>
      <c r="X115" s="199"/>
      <c r="Y115" s="199"/>
      <c r="Z115" s="199" t="s">
        <v>75</v>
      </c>
      <c r="AA115" s="199"/>
      <c r="AB115" s="199"/>
      <c r="AC115" s="200"/>
    </row>
    <row r="116" spans="1:29" x14ac:dyDescent="0.2">
      <c r="A116" s="228"/>
      <c r="B116" s="197"/>
      <c r="C116" s="198"/>
      <c r="D116" s="198"/>
      <c r="E116" s="198"/>
      <c r="F116" s="198"/>
      <c r="G116" s="9" t="s">
        <v>69</v>
      </c>
      <c r="H116" s="98" t="s">
        <v>70</v>
      </c>
      <c r="I116" s="98" t="s">
        <v>71</v>
      </c>
      <c r="J116" s="99" t="s">
        <v>72</v>
      </c>
      <c r="K116" s="98" t="s">
        <v>70</v>
      </c>
      <c r="L116" s="98" t="s">
        <v>71</v>
      </c>
      <c r="M116" s="99" t="s">
        <v>72</v>
      </c>
      <c r="N116" s="98" t="s">
        <v>70</v>
      </c>
      <c r="O116" s="98" t="s">
        <v>71</v>
      </c>
      <c r="P116" s="99" t="s">
        <v>72</v>
      </c>
      <c r="Q116" s="98" t="s">
        <v>70</v>
      </c>
      <c r="R116" s="98" t="s">
        <v>71</v>
      </c>
      <c r="S116" s="99" t="s">
        <v>72</v>
      </c>
      <c r="T116" s="98" t="s">
        <v>70</v>
      </c>
      <c r="U116" s="98" t="s">
        <v>71</v>
      </c>
      <c r="V116" s="99" t="s">
        <v>72</v>
      </c>
      <c r="W116" s="98" t="s">
        <v>70</v>
      </c>
      <c r="X116" s="98" t="s">
        <v>71</v>
      </c>
      <c r="Y116" s="99" t="s">
        <v>72</v>
      </c>
      <c r="Z116" s="98" t="s">
        <v>70</v>
      </c>
      <c r="AA116" s="98" t="s">
        <v>71</v>
      </c>
      <c r="AB116" s="99" t="s">
        <v>72</v>
      </c>
      <c r="AC116" s="200"/>
    </row>
    <row r="117" spans="1:29" x14ac:dyDescent="0.2">
      <c r="A117" s="228"/>
      <c r="B117" s="201" t="str">
        <f>B104</f>
        <v>02C</v>
      </c>
      <c r="C117" s="202" t="str">
        <f>C104</f>
        <v>DEO-C01</v>
      </c>
      <c r="D117" s="9" t="str">
        <f>IF(ISBLANK(D104), "", D104)</f>
        <v/>
      </c>
      <c r="E117" s="9" t="str">
        <f>IF(ISBLANK(E104), "", E104)</f>
        <v/>
      </c>
      <c r="F117" s="9" t="str">
        <f>IF(ISBLANK(F104), "", F104)</f>
        <v/>
      </c>
      <c r="G117" s="203"/>
      <c r="H117" s="38"/>
      <c r="I117" s="38"/>
      <c r="J117" s="38"/>
      <c r="K117" s="38"/>
      <c r="L117" s="38"/>
      <c r="M117" s="38"/>
      <c r="N117" s="37"/>
      <c r="O117" s="37"/>
      <c r="P117" s="37"/>
      <c r="Q117" s="37"/>
      <c r="R117" s="37"/>
      <c r="S117" s="38"/>
      <c r="T117" s="37"/>
      <c r="U117" s="37"/>
      <c r="V117" s="37"/>
      <c r="W117" s="37"/>
      <c r="X117" s="37"/>
      <c r="Y117" s="38"/>
      <c r="Z117" s="38"/>
      <c r="AA117" s="38"/>
      <c r="AB117" s="112"/>
      <c r="AC117" s="200"/>
    </row>
    <row r="118" spans="1:29" x14ac:dyDescent="0.2">
      <c r="A118" s="228"/>
      <c r="B118" s="201"/>
      <c r="C118" s="202"/>
      <c r="D118" s="9"/>
      <c r="E118" s="9" t="str">
        <f t="shared" ref="E118:F120" si="19">IF(ISBLANK(E105), "", E105)</f>
        <v/>
      </c>
      <c r="F118" s="9" t="str">
        <f t="shared" si="19"/>
        <v/>
      </c>
      <c r="G118" s="203"/>
      <c r="H118" s="37"/>
      <c r="I118" s="37"/>
      <c r="J118" s="37"/>
      <c r="K118" s="37"/>
      <c r="L118" s="37"/>
      <c r="M118" s="38"/>
      <c r="N118" s="37"/>
      <c r="O118" s="37"/>
      <c r="P118" s="37"/>
      <c r="Q118" s="37"/>
      <c r="R118" s="37"/>
      <c r="S118" s="38"/>
      <c r="T118" s="37"/>
      <c r="U118" s="37"/>
      <c r="V118" s="37"/>
      <c r="W118" s="37"/>
      <c r="X118" s="37"/>
      <c r="Y118" s="38"/>
      <c r="Z118" s="38"/>
      <c r="AA118" s="38"/>
      <c r="AB118" s="112"/>
      <c r="AC118" s="200"/>
    </row>
    <row r="119" spans="1:29" x14ac:dyDescent="0.2">
      <c r="A119" s="228"/>
      <c r="B119" s="201" t="str">
        <f>B106</f>
        <v>03C</v>
      </c>
      <c r="C119" s="202" t="str">
        <f>C106</f>
        <v>DEO-B02</v>
      </c>
      <c r="D119" s="9" t="str">
        <f>IF(ISBLANK(D106), "", D106)</f>
        <v/>
      </c>
      <c r="E119" s="9" t="str">
        <f t="shared" si="19"/>
        <v/>
      </c>
      <c r="F119" s="9" t="str">
        <f t="shared" si="19"/>
        <v/>
      </c>
      <c r="G119" s="203"/>
      <c r="H119" s="38"/>
      <c r="I119" s="38"/>
      <c r="J119" s="38"/>
      <c r="K119" s="37"/>
      <c r="L119" s="37"/>
      <c r="M119" s="38"/>
      <c r="N119" s="37"/>
      <c r="O119" s="37"/>
      <c r="P119" s="37"/>
      <c r="Q119" s="37"/>
      <c r="R119" s="37"/>
      <c r="S119" s="38"/>
      <c r="T119" s="37"/>
      <c r="U119" s="37"/>
      <c r="V119" s="37"/>
      <c r="W119" s="37"/>
      <c r="X119" s="37"/>
      <c r="Y119" s="38"/>
      <c r="Z119" s="38"/>
      <c r="AA119" s="38"/>
      <c r="AB119" s="112"/>
      <c r="AC119" s="200"/>
    </row>
    <row r="120" spans="1:29" x14ac:dyDescent="0.2">
      <c r="A120" s="228"/>
      <c r="B120" s="201"/>
      <c r="C120" s="202"/>
      <c r="D120" s="9" t="str">
        <f>IF(ISBLANK(D107), "", D107)</f>
        <v/>
      </c>
      <c r="E120" s="9" t="str">
        <f t="shared" si="19"/>
        <v/>
      </c>
      <c r="F120" s="9" t="str">
        <f t="shared" si="19"/>
        <v/>
      </c>
      <c r="G120" s="203"/>
      <c r="H120" s="37"/>
      <c r="I120" s="37"/>
      <c r="J120" s="37"/>
      <c r="K120" s="37"/>
      <c r="L120" s="37"/>
      <c r="M120" s="38"/>
      <c r="N120" s="37"/>
      <c r="O120" s="37"/>
      <c r="P120" s="37"/>
      <c r="Q120" s="37"/>
      <c r="R120" s="37"/>
      <c r="S120" s="38"/>
      <c r="T120" s="37"/>
      <c r="U120" s="37"/>
      <c r="V120" s="37"/>
      <c r="W120" s="37"/>
      <c r="X120" s="37"/>
      <c r="Y120" s="38"/>
      <c r="Z120" s="38"/>
      <c r="AA120" s="38"/>
      <c r="AB120" s="112"/>
      <c r="AC120" s="200"/>
    </row>
    <row r="122" spans="1:29" x14ac:dyDescent="0.2">
      <c r="A122" s="228">
        <v>44718</v>
      </c>
      <c r="B122" s="19" t="s">
        <v>42</v>
      </c>
      <c r="C122" s="20"/>
      <c r="D122" s="21" t="s">
        <v>43</v>
      </c>
      <c r="E122" s="20">
        <v>0</v>
      </c>
      <c r="F122" s="31"/>
      <c r="G122" s="32"/>
      <c r="H122" s="52"/>
      <c r="I122" s="65"/>
      <c r="J122" s="73"/>
      <c r="K122" s="32"/>
      <c r="L122" s="21"/>
      <c r="M122" s="32"/>
      <c r="N122" s="52"/>
      <c r="O122" s="65"/>
      <c r="P122" s="73"/>
      <c r="Q122" s="32"/>
      <c r="R122" s="21"/>
      <c r="S122" s="32"/>
      <c r="T122" s="52"/>
      <c r="U122" s="65"/>
      <c r="V122" s="73"/>
      <c r="W122" s="32"/>
      <c r="X122" s="21"/>
      <c r="Y122" s="21"/>
      <c r="Z122" s="32"/>
      <c r="AA122" s="21"/>
      <c r="AB122" s="21"/>
      <c r="AC122" s="33"/>
    </row>
    <row r="123" spans="1:29" x14ac:dyDescent="0.2">
      <c r="A123" s="228"/>
      <c r="B123" s="229" t="s">
        <v>10</v>
      </c>
      <c r="C123" s="230" t="s">
        <v>0</v>
      </c>
      <c r="D123" s="230" t="s">
        <v>25</v>
      </c>
      <c r="E123" s="230" t="s">
        <v>11</v>
      </c>
      <c r="F123" s="230" t="s">
        <v>16</v>
      </c>
      <c r="G123" s="237" t="s">
        <v>12</v>
      </c>
      <c r="H123" s="222" t="s">
        <v>13</v>
      </c>
      <c r="I123" s="223"/>
      <c r="J123" s="223"/>
      <c r="K123" s="223"/>
      <c r="L123" s="223"/>
      <c r="M123" s="224"/>
      <c r="N123" s="222" t="s">
        <v>14</v>
      </c>
      <c r="O123" s="223"/>
      <c r="P123" s="223"/>
      <c r="Q123" s="223"/>
      <c r="R123" s="223"/>
      <c r="S123" s="224"/>
      <c r="T123" s="222" t="s">
        <v>15</v>
      </c>
      <c r="U123" s="223"/>
      <c r="V123" s="223"/>
      <c r="W123" s="223"/>
      <c r="X123" s="223"/>
      <c r="Y123" s="224"/>
      <c r="Z123" s="225" t="s">
        <v>37</v>
      </c>
      <c r="AA123" s="225" t="s">
        <v>39</v>
      </c>
      <c r="AB123" s="225" t="s">
        <v>62</v>
      </c>
      <c r="AC123" s="231" t="s">
        <v>26</v>
      </c>
    </row>
    <row r="124" spans="1:29" ht="39.75" customHeight="1" x14ac:dyDescent="0.2">
      <c r="A124" s="228"/>
      <c r="B124" s="229"/>
      <c r="C124" s="230"/>
      <c r="D124" s="230"/>
      <c r="E124" s="230"/>
      <c r="F124" s="230"/>
      <c r="G124" s="237"/>
      <c r="H124" s="53" t="s">
        <v>50</v>
      </c>
      <c r="I124" s="66" t="s">
        <v>51</v>
      </c>
      <c r="J124" s="74" t="s">
        <v>63</v>
      </c>
      <c r="K124" s="24" t="s">
        <v>44</v>
      </c>
      <c r="L124" s="18" t="s">
        <v>5</v>
      </c>
      <c r="M124" s="81" t="s">
        <v>31</v>
      </c>
      <c r="N124" s="53" t="s">
        <v>50</v>
      </c>
      <c r="O124" s="66" t="s">
        <v>51</v>
      </c>
      <c r="P124" s="74" t="s">
        <v>63</v>
      </c>
      <c r="Q124" s="24" t="s">
        <v>44</v>
      </c>
      <c r="R124" s="30" t="s">
        <v>5</v>
      </c>
      <c r="S124" s="34" t="s">
        <v>31</v>
      </c>
      <c r="T124" s="53" t="s">
        <v>50</v>
      </c>
      <c r="U124" s="66" t="s">
        <v>51</v>
      </c>
      <c r="V124" s="74" t="s">
        <v>63</v>
      </c>
      <c r="W124" s="24" t="s">
        <v>44</v>
      </c>
      <c r="X124" s="30" t="s">
        <v>5</v>
      </c>
      <c r="Y124" s="34" t="s">
        <v>31</v>
      </c>
      <c r="Z124" s="226"/>
      <c r="AA124" s="227"/>
      <c r="AB124" s="227"/>
      <c r="AC124" s="231"/>
    </row>
    <row r="125" spans="1:29" x14ac:dyDescent="0.2">
      <c r="A125" s="228"/>
      <c r="B125" s="232" t="s">
        <v>2</v>
      </c>
      <c r="C125" s="234" t="s">
        <v>84</v>
      </c>
      <c r="D125" s="12"/>
      <c r="E125" s="10"/>
      <c r="F125" s="12"/>
      <c r="G125" s="234" t="s">
        <v>1</v>
      </c>
      <c r="H125" s="47">
        <v>23.6</v>
      </c>
      <c r="I125" s="63">
        <v>0</v>
      </c>
      <c r="J125" s="35"/>
      <c r="K125" s="35">
        <v>16</v>
      </c>
      <c r="L125" s="35">
        <f>IF(ISBLANK(J125), , J125*K125)</f>
        <v>0</v>
      </c>
      <c r="M125" s="29"/>
      <c r="N125" s="47">
        <v>23.6</v>
      </c>
      <c r="O125" s="63">
        <v>0</v>
      </c>
      <c r="P125" s="35"/>
      <c r="Q125" s="35">
        <v>16</v>
      </c>
      <c r="R125" s="35">
        <f>IF(ISBLANK(P125), , P125*Q125)</f>
        <v>0</v>
      </c>
      <c r="S125" s="29"/>
      <c r="T125" s="47">
        <v>23.6</v>
      </c>
      <c r="U125" s="63">
        <v>0</v>
      </c>
      <c r="V125" s="35"/>
      <c r="W125" s="35">
        <v>16</v>
      </c>
      <c r="X125" s="35">
        <f>IF(ISBLANK(V125), , V125*W125)</f>
        <v>0</v>
      </c>
      <c r="Y125" s="29"/>
      <c r="Z125" s="210">
        <f>SUM(L125, R125, X125)+SUM(L126, R126, X126)</f>
        <v>0</v>
      </c>
      <c r="AA125" s="210">
        <f>SUM(M125, S125, Y125)+SUM(M126, S126, Y126)</f>
        <v>0</v>
      </c>
      <c r="AB125" s="212">
        <f>IF($Z125=0, ,AA125/$Z125)</f>
        <v>0</v>
      </c>
      <c r="AC125" s="214" t="s">
        <v>87</v>
      </c>
    </row>
    <row r="126" spans="1:29" x14ac:dyDescent="0.2">
      <c r="A126" s="228"/>
      <c r="B126" s="233"/>
      <c r="C126" s="235"/>
      <c r="D126" s="12"/>
      <c r="E126" s="12"/>
      <c r="F126" s="12"/>
      <c r="G126" s="236"/>
      <c r="H126" s="47"/>
      <c r="I126" s="63"/>
      <c r="J126" s="35"/>
      <c r="K126" s="35"/>
      <c r="L126" s="35">
        <f>IF(ISBLANK(J126), , J126*K126)</f>
        <v>0</v>
      </c>
      <c r="M126" s="29"/>
      <c r="N126" s="47"/>
      <c r="O126" s="63"/>
      <c r="P126" s="35"/>
      <c r="Q126" s="35"/>
      <c r="R126" s="35">
        <f>IF(ISBLANK(P126), , P126*Q126)</f>
        <v>0</v>
      </c>
      <c r="S126" s="29"/>
      <c r="T126" s="47"/>
      <c r="U126" s="63"/>
      <c r="V126" s="35"/>
      <c r="W126" s="35"/>
      <c r="X126" s="35">
        <f>IF(ISBLANK(V126), , V126*W126)</f>
        <v>0</v>
      </c>
      <c r="Y126" s="29"/>
      <c r="Z126" s="211"/>
      <c r="AA126" s="211"/>
      <c r="AB126" s="213"/>
      <c r="AC126" s="215"/>
    </row>
    <row r="127" spans="1:29" x14ac:dyDescent="0.2">
      <c r="A127" s="228"/>
      <c r="B127" s="216" t="s">
        <v>6</v>
      </c>
      <c r="C127" s="218" t="s">
        <v>8</v>
      </c>
      <c r="D127" s="10"/>
      <c r="E127" s="10"/>
      <c r="F127" s="10"/>
      <c r="G127" s="218" t="s">
        <v>1</v>
      </c>
      <c r="H127" s="48">
        <v>19.57</v>
      </c>
      <c r="I127" s="67">
        <v>0</v>
      </c>
      <c r="J127" s="39"/>
      <c r="K127" s="39">
        <v>8</v>
      </c>
      <c r="L127" s="39">
        <f>IF(ISBLANK(J127), , J127*K127)</f>
        <v>0</v>
      </c>
      <c r="M127" s="40">
        <f>H140+K140+N140+Q140+T140+W140+Z140</f>
        <v>0</v>
      </c>
      <c r="N127" s="48">
        <v>19.57</v>
      </c>
      <c r="O127" s="67">
        <v>0</v>
      </c>
      <c r="P127" s="39"/>
      <c r="Q127" s="39">
        <v>8</v>
      </c>
      <c r="R127" s="39">
        <f>IF(ISBLANK(P127), , P127*Q127)</f>
        <v>0</v>
      </c>
      <c r="S127" s="40">
        <f>I140+L140+O140+R140+U140+X140+AA140</f>
        <v>0</v>
      </c>
      <c r="T127" s="48">
        <v>19.57</v>
      </c>
      <c r="U127" s="67">
        <v>0</v>
      </c>
      <c r="V127" s="39"/>
      <c r="W127" s="39">
        <v>8</v>
      </c>
      <c r="X127" s="39">
        <f>IF(ISBLANK(V127), , V127*W127)</f>
        <v>0</v>
      </c>
      <c r="Y127" s="40">
        <f>J140+M140+P140+S140+V140+Y140+AB140</f>
        <v>0</v>
      </c>
      <c r="Z127" s="238">
        <f>SUM(L127, R127, X127)+SUM(L128, R128, X128)</f>
        <v>0</v>
      </c>
      <c r="AA127" s="220">
        <f>SUM(M127, S127, Y127)+SUM(M128, S128, Y128)</f>
        <v>0</v>
      </c>
      <c r="AB127" s="194">
        <f>IF($Z127=0, ,AA127/$Z127)</f>
        <v>0</v>
      </c>
      <c r="AC127" s="204" t="s">
        <v>87</v>
      </c>
    </row>
    <row r="128" spans="1:29" x14ac:dyDescent="0.2">
      <c r="A128" s="228"/>
      <c r="B128" s="217"/>
      <c r="C128" s="219"/>
      <c r="D128" s="10"/>
      <c r="E128" s="10"/>
      <c r="F128" s="10"/>
      <c r="G128" s="219"/>
      <c r="H128" s="48"/>
      <c r="I128" s="67"/>
      <c r="J128" s="39"/>
      <c r="K128" s="39"/>
      <c r="L128" s="39">
        <f>IF(ISBLANK(J128), , J128*K128)</f>
        <v>0</v>
      </c>
      <c r="M128" s="40">
        <f>H141+K141+N141+Q141+T141+W141+Z141</f>
        <v>0</v>
      </c>
      <c r="N128" s="48"/>
      <c r="O128" s="67"/>
      <c r="P128" s="39"/>
      <c r="Q128" s="39"/>
      <c r="R128" s="39">
        <f t="shared" ref="R128:R134" si="20">IF(ISBLANK(P128), , P128*Q128)</f>
        <v>0</v>
      </c>
      <c r="S128" s="40">
        <f>I141+L141+O141+R141+U141+X141+AA141</f>
        <v>0</v>
      </c>
      <c r="T128" s="48"/>
      <c r="U128" s="67"/>
      <c r="V128" s="39"/>
      <c r="W128" s="39"/>
      <c r="X128" s="39">
        <f>IF(ISBLANK(V128), , V128*W128)</f>
        <v>0</v>
      </c>
      <c r="Y128" s="40">
        <f>J141+M141+P141+S141+V141+Y141+AB141</f>
        <v>0</v>
      </c>
      <c r="Z128" s="239"/>
      <c r="AA128" s="221"/>
      <c r="AB128" s="195"/>
      <c r="AC128" s="205"/>
    </row>
    <row r="129" spans="1:29" x14ac:dyDescent="0.2">
      <c r="A129" s="228"/>
      <c r="B129" s="206" t="s">
        <v>7</v>
      </c>
      <c r="C129" s="208" t="s">
        <v>81</v>
      </c>
      <c r="D129" s="9"/>
      <c r="E129" s="9"/>
      <c r="F129" s="9"/>
      <c r="G129" s="208" t="s">
        <v>1</v>
      </c>
      <c r="H129" s="49">
        <v>20.5</v>
      </c>
      <c r="I129" s="68">
        <v>0</v>
      </c>
      <c r="J129" s="37"/>
      <c r="K129" s="37">
        <v>8</v>
      </c>
      <c r="L129" s="37">
        <f>IF(ISBLANK(J129), , J129*K129)</f>
        <v>0</v>
      </c>
      <c r="M129" s="38">
        <f>H142+K142+N142+Q142+T142+W142+Z142</f>
        <v>0</v>
      </c>
      <c r="N129" s="49">
        <v>21.95</v>
      </c>
      <c r="O129" s="68">
        <v>0</v>
      </c>
      <c r="P129" s="37"/>
      <c r="Q129" s="37">
        <v>8</v>
      </c>
      <c r="R129" s="37">
        <f t="shared" si="20"/>
        <v>0</v>
      </c>
      <c r="S129" s="38">
        <f>I142+L142+O142+R142+U142+X142+AA142</f>
        <v>0</v>
      </c>
      <c r="T129" s="49">
        <v>22</v>
      </c>
      <c r="U129" s="68">
        <v>0</v>
      </c>
      <c r="V129" s="37"/>
      <c r="W129" s="37">
        <v>8</v>
      </c>
      <c r="X129" s="37">
        <f>IF(ISBLANK(V129), , V129*W129)</f>
        <v>0</v>
      </c>
      <c r="Y129" s="38">
        <f>J142+M142+P142+S142+V142+Y142+AB142</f>
        <v>0</v>
      </c>
      <c r="Z129" s="210">
        <f>SUM(L129, R129, X129)+SUM(L130, R130, X130)</f>
        <v>0</v>
      </c>
      <c r="AA129" s="210">
        <f>SUM(M129, S129, Y129)+SUM(M130, S130, Y130)</f>
        <v>0</v>
      </c>
      <c r="AB129" s="212">
        <f>IF($Z129=0, ,AA129/$Z129)</f>
        <v>0</v>
      </c>
      <c r="AC129" s="214" t="s">
        <v>87</v>
      </c>
    </row>
    <row r="130" spans="1:29" x14ac:dyDescent="0.2">
      <c r="A130" s="228"/>
      <c r="B130" s="207"/>
      <c r="C130" s="209"/>
      <c r="D130" s="9"/>
      <c r="E130" s="9"/>
      <c r="F130" s="9"/>
      <c r="G130" s="209"/>
      <c r="H130" s="49"/>
      <c r="I130" s="68"/>
      <c r="J130" s="37"/>
      <c r="K130" s="37"/>
      <c r="L130" s="37">
        <f t="shared" ref="L130:L136" si="21">IF(ISBLANK(J130), , J130*K130)</f>
        <v>0</v>
      </c>
      <c r="M130" s="38">
        <f>H143+K143+N143+Q143+T143+W143+Z143</f>
        <v>0</v>
      </c>
      <c r="N130" s="49"/>
      <c r="O130" s="68"/>
      <c r="P130" s="37"/>
      <c r="Q130" s="37"/>
      <c r="R130" s="37">
        <f t="shared" si="20"/>
        <v>0</v>
      </c>
      <c r="S130" s="38">
        <f>I143+L143+O143+R143+U143+X143+AA143</f>
        <v>0</v>
      </c>
      <c r="T130" s="49"/>
      <c r="U130" s="68"/>
      <c r="V130" s="37"/>
      <c r="W130" s="37"/>
      <c r="X130" s="37">
        <f t="shared" ref="X130:X136" si="22">IF(ISBLANK(V130), , V130*W130)</f>
        <v>0</v>
      </c>
      <c r="Y130" s="38">
        <f>J143+M143+P143+S143+V143+Y143+AB143</f>
        <v>0</v>
      </c>
      <c r="Z130" s="211"/>
      <c r="AA130" s="211"/>
      <c r="AB130" s="213"/>
      <c r="AC130" s="215"/>
    </row>
    <row r="131" spans="1:29" x14ac:dyDescent="0.2">
      <c r="A131" s="228"/>
      <c r="B131" s="216" t="s">
        <v>3</v>
      </c>
      <c r="C131" s="218" t="s">
        <v>82</v>
      </c>
      <c r="D131" s="10"/>
      <c r="E131" s="10"/>
      <c r="F131" s="10"/>
      <c r="G131" s="218" t="s">
        <v>1</v>
      </c>
      <c r="H131" s="48">
        <v>19.71</v>
      </c>
      <c r="I131" s="67">
        <v>0</v>
      </c>
      <c r="J131" s="36"/>
      <c r="K131" s="36">
        <v>16</v>
      </c>
      <c r="L131" s="36">
        <f t="shared" si="21"/>
        <v>0</v>
      </c>
      <c r="M131" s="17"/>
      <c r="N131" s="48">
        <v>19.690000000000001</v>
      </c>
      <c r="O131" s="67">
        <v>0</v>
      </c>
      <c r="P131" s="36"/>
      <c r="Q131" s="36">
        <v>16</v>
      </c>
      <c r="R131" s="36">
        <f t="shared" si="20"/>
        <v>0</v>
      </c>
      <c r="S131" s="17"/>
      <c r="T131" s="48">
        <v>19.2</v>
      </c>
      <c r="U131" s="67">
        <v>0</v>
      </c>
      <c r="V131" s="36">
        <v>0</v>
      </c>
      <c r="W131" s="36">
        <v>16</v>
      </c>
      <c r="X131" s="36">
        <f t="shared" si="22"/>
        <v>0</v>
      </c>
      <c r="Y131" s="17"/>
      <c r="Z131" s="220">
        <f>SUM(L131, R131, X131)+SUM(L132, R132, X132)</f>
        <v>0</v>
      </c>
      <c r="AA131" s="220">
        <f>SUM(M131, S131, Y131)+SUM(M132, S132, Y132)</f>
        <v>0</v>
      </c>
      <c r="AB131" s="194">
        <f>IF($Z131=0, ,AA131/$Z131)</f>
        <v>0</v>
      </c>
      <c r="AC131" s="204" t="s">
        <v>87</v>
      </c>
    </row>
    <row r="132" spans="1:29" x14ac:dyDescent="0.2">
      <c r="A132" s="228"/>
      <c r="B132" s="217"/>
      <c r="C132" s="219"/>
      <c r="D132" s="10"/>
      <c r="E132" s="10"/>
      <c r="F132" s="10"/>
      <c r="G132" s="219"/>
      <c r="H132" s="48"/>
      <c r="I132" s="67"/>
      <c r="J132" s="36"/>
      <c r="K132" s="36"/>
      <c r="L132" s="36">
        <f t="shared" si="21"/>
        <v>0</v>
      </c>
      <c r="M132" s="17"/>
      <c r="N132" s="48"/>
      <c r="O132" s="67"/>
      <c r="P132" s="36"/>
      <c r="Q132" s="36"/>
      <c r="R132" s="36">
        <f t="shared" si="20"/>
        <v>0</v>
      </c>
      <c r="S132" s="17"/>
      <c r="T132" s="48"/>
      <c r="U132" s="67"/>
      <c r="V132" s="36"/>
      <c r="W132" s="36"/>
      <c r="X132" s="36">
        <f t="shared" si="22"/>
        <v>0</v>
      </c>
      <c r="Y132" s="17"/>
      <c r="Z132" s="221"/>
      <c r="AA132" s="221"/>
      <c r="AB132" s="195"/>
      <c r="AC132" s="205"/>
    </row>
    <row r="133" spans="1:29" x14ac:dyDescent="0.2">
      <c r="A133" s="228"/>
      <c r="B133" s="206" t="s">
        <v>4</v>
      </c>
      <c r="C133" s="208" t="s">
        <v>9</v>
      </c>
      <c r="D133" s="9"/>
      <c r="E133" s="10"/>
      <c r="F133" s="9"/>
      <c r="G133" s="208" t="s">
        <v>1</v>
      </c>
      <c r="H133" s="49">
        <v>20.58</v>
      </c>
      <c r="I133" s="68">
        <v>0</v>
      </c>
      <c r="J133" s="37">
        <v>0</v>
      </c>
      <c r="K133" s="37">
        <v>8</v>
      </c>
      <c r="L133" s="37">
        <f t="shared" si="21"/>
        <v>0</v>
      </c>
      <c r="M133" s="38"/>
      <c r="N133" s="49">
        <v>20.58</v>
      </c>
      <c r="O133" s="68">
        <v>0</v>
      </c>
      <c r="P133" s="37">
        <v>0</v>
      </c>
      <c r="Q133" s="37">
        <v>8</v>
      </c>
      <c r="R133" s="37">
        <f t="shared" si="20"/>
        <v>0</v>
      </c>
      <c r="S133" s="38"/>
      <c r="T133" s="49">
        <v>20.58</v>
      </c>
      <c r="U133" s="68">
        <v>0</v>
      </c>
      <c r="V133" s="37">
        <v>0</v>
      </c>
      <c r="W133" s="37">
        <v>8</v>
      </c>
      <c r="X133" s="37">
        <f t="shared" si="22"/>
        <v>0</v>
      </c>
      <c r="Y133" s="38"/>
      <c r="Z133" s="210">
        <f>SUM(L133, R133, X133)+SUM(L134, R134, X134)</f>
        <v>0</v>
      </c>
      <c r="AA133" s="210">
        <f>SUM(M133, S133, Y133)+SUM(M134, S134, Y134)</f>
        <v>0</v>
      </c>
      <c r="AB133" s="212">
        <f>IF($Z133=0, ,AA133/$Z133)</f>
        <v>0</v>
      </c>
      <c r="AC133" s="214" t="s">
        <v>87</v>
      </c>
    </row>
    <row r="134" spans="1:29" x14ac:dyDescent="0.2">
      <c r="A134" s="228"/>
      <c r="B134" s="207"/>
      <c r="C134" s="209"/>
      <c r="D134" s="9"/>
      <c r="E134" s="9"/>
      <c r="F134" s="9"/>
      <c r="G134" s="209"/>
      <c r="H134" s="49"/>
      <c r="I134" s="68"/>
      <c r="J134" s="37"/>
      <c r="K134" s="37"/>
      <c r="L134" s="37">
        <f t="shared" si="21"/>
        <v>0</v>
      </c>
      <c r="M134" s="38"/>
      <c r="N134" s="49"/>
      <c r="O134" s="68"/>
      <c r="P134" s="37"/>
      <c r="Q134" s="37"/>
      <c r="R134" s="37">
        <f t="shared" si="20"/>
        <v>0</v>
      </c>
      <c r="S134" s="38"/>
      <c r="T134" s="49"/>
      <c r="U134" s="68"/>
      <c r="V134" s="37"/>
      <c r="W134" s="37"/>
      <c r="X134" s="37">
        <f t="shared" si="22"/>
        <v>0</v>
      </c>
      <c r="Y134" s="38"/>
      <c r="Z134" s="211"/>
      <c r="AA134" s="211"/>
      <c r="AB134" s="213"/>
      <c r="AC134" s="215"/>
    </row>
    <row r="135" spans="1:29" x14ac:dyDescent="0.2">
      <c r="A135" s="228"/>
      <c r="B135" s="189" t="s">
        <v>85</v>
      </c>
      <c r="C135" s="191" t="s">
        <v>83</v>
      </c>
      <c r="D135" s="11"/>
      <c r="E135" s="10"/>
      <c r="F135" s="11"/>
      <c r="G135" s="191" t="s">
        <v>1</v>
      </c>
      <c r="H135" s="50">
        <v>12.89</v>
      </c>
      <c r="I135" s="69">
        <v>0</v>
      </c>
      <c r="J135" s="39">
        <v>0</v>
      </c>
      <c r="K135" s="39">
        <v>16</v>
      </c>
      <c r="L135" s="39">
        <f t="shared" si="21"/>
        <v>0</v>
      </c>
      <c r="M135" s="40"/>
      <c r="N135" s="50">
        <v>12.89</v>
      </c>
      <c r="O135" s="69">
        <v>0</v>
      </c>
      <c r="P135" s="39">
        <v>0</v>
      </c>
      <c r="Q135" s="39">
        <v>16</v>
      </c>
      <c r="R135" s="39">
        <f>IF(ISBLANK(P135), , P135*Q135)</f>
        <v>0</v>
      </c>
      <c r="S135" s="40"/>
      <c r="T135" s="50">
        <v>23.6</v>
      </c>
      <c r="U135" s="69">
        <v>0</v>
      </c>
      <c r="V135" s="39">
        <v>0</v>
      </c>
      <c r="W135" s="39">
        <v>16</v>
      </c>
      <c r="X135" s="39">
        <f t="shared" si="22"/>
        <v>0</v>
      </c>
      <c r="Y135" s="40"/>
      <c r="Z135" s="193">
        <f>SUM(L135, R135, X135)+SUM(L136, R136, X136)</f>
        <v>0</v>
      </c>
      <c r="AA135" s="193">
        <f>SUM(M135, S135, Y135)+SUM(M136, S136, Y136)</f>
        <v>0</v>
      </c>
      <c r="AB135" s="194">
        <f>IF($Z135=0, ,AA135/$Z135)</f>
        <v>0</v>
      </c>
      <c r="AC135" s="196" t="s">
        <v>87</v>
      </c>
    </row>
    <row r="136" spans="1:29" x14ac:dyDescent="0.2">
      <c r="A136" s="228"/>
      <c r="B136" s="190"/>
      <c r="C136" s="192"/>
      <c r="D136" s="11"/>
      <c r="E136" s="11"/>
      <c r="F136" s="11"/>
      <c r="G136" s="192"/>
      <c r="H136" s="50"/>
      <c r="I136" s="69"/>
      <c r="J136" s="39"/>
      <c r="K136" s="39"/>
      <c r="L136" s="39">
        <f t="shared" si="21"/>
        <v>0</v>
      </c>
      <c r="M136" s="40"/>
      <c r="N136" s="50"/>
      <c r="O136" s="69"/>
      <c r="P136" s="39"/>
      <c r="Q136" s="39"/>
      <c r="R136" s="39">
        <f>IF(ISBLANK(P136), , P136*Q136)</f>
        <v>0</v>
      </c>
      <c r="S136" s="40"/>
      <c r="T136" s="50"/>
      <c r="U136" s="69"/>
      <c r="V136" s="39"/>
      <c r="W136" s="39"/>
      <c r="X136" s="39">
        <f t="shared" si="22"/>
        <v>0</v>
      </c>
      <c r="Y136" s="40"/>
      <c r="Z136" s="193"/>
      <c r="AA136" s="193"/>
      <c r="AB136" s="195"/>
      <c r="AC136" s="196"/>
    </row>
    <row r="137" spans="1:29" x14ac:dyDescent="0.2">
      <c r="A137" s="228"/>
      <c r="B137" s="56"/>
      <c r="C137" s="56"/>
      <c r="D137" s="56"/>
      <c r="E137" s="56"/>
      <c r="F137" s="56"/>
      <c r="G137" s="56"/>
      <c r="H137" s="76"/>
      <c r="I137" s="77"/>
      <c r="J137" s="78"/>
      <c r="K137" s="78"/>
      <c r="L137" s="78"/>
      <c r="M137" s="79"/>
      <c r="N137" s="76"/>
      <c r="O137" s="77"/>
      <c r="P137" s="78"/>
      <c r="Q137" s="78"/>
      <c r="R137" s="78"/>
      <c r="S137" s="79"/>
      <c r="T137" s="76"/>
      <c r="U137" s="77"/>
      <c r="V137" s="78"/>
      <c r="W137" s="78"/>
      <c r="X137" s="78"/>
      <c r="Y137" s="79"/>
      <c r="Z137" s="79"/>
      <c r="AA137" s="79"/>
      <c r="AB137" s="80"/>
      <c r="AC137" s="59"/>
    </row>
    <row r="138" spans="1:29" x14ac:dyDescent="0.2">
      <c r="A138" s="228"/>
      <c r="B138" s="197" t="s">
        <v>67</v>
      </c>
      <c r="C138" s="198"/>
      <c r="D138" s="198"/>
      <c r="E138" s="198"/>
      <c r="F138" s="198"/>
      <c r="G138" s="9" t="s">
        <v>68</v>
      </c>
      <c r="H138" s="199" t="s">
        <v>64</v>
      </c>
      <c r="I138" s="199"/>
      <c r="J138" s="199"/>
      <c r="K138" s="199" t="s">
        <v>76</v>
      </c>
      <c r="L138" s="199"/>
      <c r="M138" s="199"/>
      <c r="N138" s="199" t="s">
        <v>65</v>
      </c>
      <c r="O138" s="199"/>
      <c r="P138" s="199"/>
      <c r="Q138" s="199" t="s">
        <v>66</v>
      </c>
      <c r="R138" s="199"/>
      <c r="S138" s="199"/>
      <c r="T138" s="199" t="s">
        <v>73</v>
      </c>
      <c r="U138" s="199"/>
      <c r="V138" s="199"/>
      <c r="W138" s="199" t="s">
        <v>74</v>
      </c>
      <c r="X138" s="199"/>
      <c r="Y138" s="199"/>
      <c r="Z138" s="199" t="s">
        <v>75</v>
      </c>
      <c r="AA138" s="199"/>
      <c r="AB138" s="199"/>
      <c r="AC138" s="200"/>
    </row>
    <row r="139" spans="1:29" x14ac:dyDescent="0.2">
      <c r="A139" s="228"/>
      <c r="B139" s="197"/>
      <c r="C139" s="198"/>
      <c r="D139" s="198"/>
      <c r="E139" s="198"/>
      <c r="F139" s="198"/>
      <c r="G139" s="9" t="s">
        <v>69</v>
      </c>
      <c r="H139" s="98" t="s">
        <v>70</v>
      </c>
      <c r="I139" s="98" t="s">
        <v>71</v>
      </c>
      <c r="J139" s="99" t="s">
        <v>72</v>
      </c>
      <c r="K139" s="98" t="s">
        <v>70</v>
      </c>
      <c r="L139" s="98" t="s">
        <v>71</v>
      </c>
      <c r="M139" s="99" t="s">
        <v>72</v>
      </c>
      <c r="N139" s="98" t="s">
        <v>70</v>
      </c>
      <c r="O139" s="98" t="s">
        <v>71</v>
      </c>
      <c r="P139" s="99" t="s">
        <v>72</v>
      </c>
      <c r="Q139" s="98" t="s">
        <v>70</v>
      </c>
      <c r="R139" s="98" t="s">
        <v>71</v>
      </c>
      <c r="S139" s="99" t="s">
        <v>72</v>
      </c>
      <c r="T139" s="98" t="s">
        <v>70</v>
      </c>
      <c r="U139" s="98" t="s">
        <v>71</v>
      </c>
      <c r="V139" s="99" t="s">
        <v>72</v>
      </c>
      <c r="W139" s="98" t="s">
        <v>70</v>
      </c>
      <c r="X139" s="98" t="s">
        <v>71</v>
      </c>
      <c r="Y139" s="99" t="s">
        <v>72</v>
      </c>
      <c r="Z139" s="98" t="s">
        <v>70</v>
      </c>
      <c r="AA139" s="98" t="s">
        <v>71</v>
      </c>
      <c r="AB139" s="99" t="s">
        <v>72</v>
      </c>
      <c r="AC139" s="200"/>
    </row>
    <row r="140" spans="1:29" x14ac:dyDescent="0.2">
      <c r="A140" s="228"/>
      <c r="B140" s="201" t="str">
        <f>B127</f>
        <v>02C</v>
      </c>
      <c r="C140" s="202" t="str">
        <f>C127</f>
        <v>DEO-C01</v>
      </c>
      <c r="D140" s="9" t="str">
        <f>IF(ISBLANK(D127), "", D127)</f>
        <v/>
      </c>
      <c r="E140" s="9" t="str">
        <f>IF(ISBLANK(E127), "", E127)</f>
        <v/>
      </c>
      <c r="F140" s="9" t="str">
        <f>IF(ISBLANK(F127), "", F127)</f>
        <v/>
      </c>
      <c r="G140" s="203"/>
      <c r="H140" s="38"/>
      <c r="I140" s="38"/>
      <c r="J140" s="38"/>
      <c r="K140" s="38"/>
      <c r="L140" s="38"/>
      <c r="M140" s="38"/>
      <c r="N140" s="37"/>
      <c r="O140" s="37"/>
      <c r="P140" s="37"/>
      <c r="Q140" s="37"/>
      <c r="R140" s="37"/>
      <c r="S140" s="38"/>
      <c r="T140" s="37"/>
      <c r="U140" s="37"/>
      <c r="V140" s="37"/>
      <c r="W140" s="37"/>
      <c r="X140" s="37"/>
      <c r="Y140" s="38"/>
      <c r="Z140" s="38"/>
      <c r="AA140" s="38"/>
      <c r="AB140" s="112"/>
      <c r="AC140" s="200"/>
    </row>
    <row r="141" spans="1:29" x14ac:dyDescent="0.2">
      <c r="A141" s="228"/>
      <c r="B141" s="201"/>
      <c r="C141" s="202"/>
      <c r="D141" s="9"/>
      <c r="E141" s="9" t="str">
        <f t="shared" ref="E141:F143" si="23">IF(ISBLANK(E128), "", E128)</f>
        <v/>
      </c>
      <c r="F141" s="9" t="str">
        <f t="shared" si="23"/>
        <v/>
      </c>
      <c r="G141" s="203"/>
      <c r="H141" s="37"/>
      <c r="I141" s="37"/>
      <c r="J141" s="37"/>
      <c r="K141" s="37"/>
      <c r="L141" s="37"/>
      <c r="M141" s="38"/>
      <c r="N141" s="37"/>
      <c r="O141" s="37"/>
      <c r="P141" s="37"/>
      <c r="Q141" s="37"/>
      <c r="R141" s="37"/>
      <c r="S141" s="38"/>
      <c r="T141" s="37"/>
      <c r="U141" s="37"/>
      <c r="V141" s="37"/>
      <c r="W141" s="37"/>
      <c r="X141" s="37"/>
      <c r="Y141" s="38"/>
      <c r="Z141" s="38"/>
      <c r="AA141" s="38"/>
      <c r="AB141" s="112"/>
      <c r="AC141" s="200"/>
    </row>
    <row r="142" spans="1:29" x14ac:dyDescent="0.2">
      <c r="A142" s="228"/>
      <c r="B142" s="201" t="str">
        <f>B129</f>
        <v>03C</v>
      </c>
      <c r="C142" s="202" t="str">
        <f>C129</f>
        <v>DEO-B02</v>
      </c>
      <c r="D142" s="9" t="str">
        <f>IF(ISBLANK(D129), "", D129)</f>
        <v/>
      </c>
      <c r="E142" s="9" t="str">
        <f t="shared" si="23"/>
        <v/>
      </c>
      <c r="F142" s="9" t="str">
        <f t="shared" si="23"/>
        <v/>
      </c>
      <c r="G142" s="203"/>
      <c r="H142" s="38"/>
      <c r="I142" s="38"/>
      <c r="J142" s="38"/>
      <c r="K142" s="37"/>
      <c r="L142" s="37"/>
      <c r="M142" s="38"/>
      <c r="N142" s="37"/>
      <c r="O142" s="37"/>
      <c r="P142" s="37"/>
      <c r="Q142" s="37"/>
      <c r="R142" s="37"/>
      <c r="S142" s="38"/>
      <c r="T142" s="37"/>
      <c r="U142" s="37"/>
      <c r="V142" s="37"/>
      <c r="W142" s="37"/>
      <c r="X142" s="37"/>
      <c r="Y142" s="38"/>
      <c r="Z142" s="38"/>
      <c r="AA142" s="38"/>
      <c r="AB142" s="112"/>
      <c r="AC142" s="200"/>
    </row>
    <row r="143" spans="1:29" x14ac:dyDescent="0.2">
      <c r="A143" s="228"/>
      <c r="B143" s="201"/>
      <c r="C143" s="202"/>
      <c r="D143" s="9" t="str">
        <f>IF(ISBLANK(D130), "", D130)</f>
        <v/>
      </c>
      <c r="E143" s="9" t="str">
        <f t="shared" si="23"/>
        <v/>
      </c>
      <c r="F143" s="9" t="str">
        <f t="shared" si="23"/>
        <v/>
      </c>
      <c r="G143" s="203"/>
      <c r="H143" s="37"/>
      <c r="I143" s="37"/>
      <c r="J143" s="37"/>
      <c r="K143" s="37"/>
      <c r="L143" s="37"/>
      <c r="M143" s="38"/>
      <c r="N143" s="37"/>
      <c r="O143" s="37"/>
      <c r="P143" s="37"/>
      <c r="Q143" s="37"/>
      <c r="R143" s="37"/>
      <c r="S143" s="38"/>
      <c r="T143" s="37"/>
      <c r="U143" s="37"/>
      <c r="V143" s="37"/>
      <c r="W143" s="37"/>
      <c r="X143" s="37"/>
      <c r="Y143" s="38"/>
      <c r="Z143" s="38"/>
      <c r="AA143" s="38"/>
      <c r="AB143" s="112"/>
      <c r="AC143" s="200"/>
    </row>
    <row r="145" spans="1:29" ht="12.75" customHeight="1" x14ac:dyDescent="0.2">
      <c r="A145" s="228">
        <v>44719</v>
      </c>
      <c r="B145" s="19" t="s">
        <v>42</v>
      </c>
      <c r="C145" s="20"/>
      <c r="D145" s="21" t="s">
        <v>43</v>
      </c>
      <c r="E145" s="20">
        <v>0</v>
      </c>
      <c r="F145" s="31"/>
      <c r="G145" s="32"/>
      <c r="H145" s="52"/>
      <c r="I145" s="65"/>
      <c r="J145" s="73"/>
      <c r="K145" s="32"/>
      <c r="L145" s="21"/>
      <c r="M145" s="32"/>
      <c r="N145" s="52"/>
      <c r="O145" s="65"/>
      <c r="P145" s="73"/>
      <c r="Q145" s="32"/>
      <c r="R145" s="21"/>
      <c r="S145" s="32"/>
      <c r="T145" s="52"/>
      <c r="U145" s="65"/>
      <c r="V145" s="73"/>
      <c r="W145" s="32"/>
      <c r="X145" s="21"/>
      <c r="Y145" s="21"/>
      <c r="Z145" s="32"/>
      <c r="AA145" s="21"/>
      <c r="AB145" s="21"/>
      <c r="AC145" s="33"/>
    </row>
    <row r="146" spans="1:29" ht="12.75" customHeight="1" x14ac:dyDescent="0.2">
      <c r="A146" s="228"/>
      <c r="B146" s="229" t="s">
        <v>10</v>
      </c>
      <c r="C146" s="230" t="s">
        <v>0</v>
      </c>
      <c r="D146" s="230" t="s">
        <v>25</v>
      </c>
      <c r="E146" s="230" t="s">
        <v>11</v>
      </c>
      <c r="F146" s="230" t="s">
        <v>16</v>
      </c>
      <c r="G146" s="237" t="s">
        <v>12</v>
      </c>
      <c r="H146" s="222" t="s">
        <v>13</v>
      </c>
      <c r="I146" s="223"/>
      <c r="J146" s="223"/>
      <c r="K146" s="223"/>
      <c r="L146" s="223"/>
      <c r="M146" s="224"/>
      <c r="N146" s="222" t="s">
        <v>14</v>
      </c>
      <c r="O146" s="223"/>
      <c r="P146" s="223"/>
      <c r="Q146" s="223"/>
      <c r="R146" s="223"/>
      <c r="S146" s="224"/>
      <c r="T146" s="222" t="s">
        <v>15</v>
      </c>
      <c r="U146" s="223"/>
      <c r="V146" s="223"/>
      <c r="W146" s="223"/>
      <c r="X146" s="223"/>
      <c r="Y146" s="224"/>
      <c r="Z146" s="225" t="s">
        <v>37</v>
      </c>
      <c r="AA146" s="225" t="s">
        <v>39</v>
      </c>
      <c r="AB146" s="225" t="s">
        <v>62</v>
      </c>
      <c r="AC146" s="231" t="s">
        <v>26</v>
      </c>
    </row>
    <row r="147" spans="1:29" ht="42.75" customHeight="1" x14ac:dyDescent="0.2">
      <c r="A147" s="228"/>
      <c r="B147" s="229"/>
      <c r="C147" s="230"/>
      <c r="D147" s="230"/>
      <c r="E147" s="230"/>
      <c r="F147" s="230"/>
      <c r="G147" s="237"/>
      <c r="H147" s="53" t="s">
        <v>50</v>
      </c>
      <c r="I147" s="66" t="s">
        <v>51</v>
      </c>
      <c r="J147" s="74" t="s">
        <v>63</v>
      </c>
      <c r="K147" s="24" t="s">
        <v>44</v>
      </c>
      <c r="L147" s="18" t="s">
        <v>5</v>
      </c>
      <c r="M147" s="81" t="s">
        <v>31</v>
      </c>
      <c r="N147" s="53" t="s">
        <v>50</v>
      </c>
      <c r="O147" s="66" t="s">
        <v>51</v>
      </c>
      <c r="P147" s="74" t="s">
        <v>63</v>
      </c>
      <c r="Q147" s="24" t="s">
        <v>44</v>
      </c>
      <c r="R147" s="30" t="s">
        <v>5</v>
      </c>
      <c r="S147" s="34" t="s">
        <v>31</v>
      </c>
      <c r="T147" s="53" t="s">
        <v>50</v>
      </c>
      <c r="U147" s="66" t="s">
        <v>51</v>
      </c>
      <c r="V147" s="74" t="s">
        <v>63</v>
      </c>
      <c r="W147" s="24" t="s">
        <v>44</v>
      </c>
      <c r="X147" s="30" t="s">
        <v>5</v>
      </c>
      <c r="Y147" s="34" t="s">
        <v>31</v>
      </c>
      <c r="Z147" s="226"/>
      <c r="AA147" s="227"/>
      <c r="AB147" s="227"/>
      <c r="AC147" s="231"/>
    </row>
    <row r="148" spans="1:29" ht="12.75" customHeight="1" x14ac:dyDescent="0.2">
      <c r="A148" s="228"/>
      <c r="B148" s="232" t="s">
        <v>2</v>
      </c>
      <c r="C148" s="234" t="s">
        <v>84</v>
      </c>
      <c r="D148" s="12"/>
      <c r="E148" s="10"/>
      <c r="F148" s="12"/>
      <c r="G148" s="234" t="s">
        <v>1</v>
      </c>
      <c r="H148" s="47">
        <v>23.6</v>
      </c>
      <c r="I148" s="63">
        <v>0</v>
      </c>
      <c r="J148" s="35"/>
      <c r="K148" s="35">
        <v>16</v>
      </c>
      <c r="L148" s="35">
        <f>IF(ISBLANK(J148), , J148*K148)</f>
        <v>0</v>
      </c>
      <c r="M148" s="29"/>
      <c r="N148" s="47">
        <v>23.6</v>
      </c>
      <c r="O148" s="63">
        <v>0</v>
      </c>
      <c r="P148" s="35"/>
      <c r="Q148" s="35">
        <v>16</v>
      </c>
      <c r="R148" s="35">
        <f>IF(ISBLANK(P148), , P148*Q148)</f>
        <v>0</v>
      </c>
      <c r="S148" s="29"/>
      <c r="T148" s="47">
        <v>23.6</v>
      </c>
      <c r="U148" s="63">
        <v>0</v>
      </c>
      <c r="V148" s="35"/>
      <c r="W148" s="35">
        <v>16</v>
      </c>
      <c r="X148" s="35">
        <f>IF(ISBLANK(V148), , V148*W148)</f>
        <v>0</v>
      </c>
      <c r="Y148" s="29"/>
      <c r="Z148" s="210">
        <f>SUM(L148, R148, X148)+SUM(L149, R149, X149)</f>
        <v>0</v>
      </c>
      <c r="AA148" s="210">
        <f>SUM(M148, S148, Y148)+SUM(M149, S149, Y149)</f>
        <v>0</v>
      </c>
      <c r="AB148" s="212">
        <f>IF($Z148=0, ,AA148/$Z148)</f>
        <v>0</v>
      </c>
      <c r="AC148" s="214"/>
    </row>
    <row r="149" spans="1:29" ht="12.75" customHeight="1" x14ac:dyDescent="0.2">
      <c r="A149" s="228"/>
      <c r="B149" s="233"/>
      <c r="C149" s="235"/>
      <c r="D149" s="12"/>
      <c r="E149" s="12"/>
      <c r="F149" s="12"/>
      <c r="G149" s="236"/>
      <c r="H149" s="47"/>
      <c r="I149" s="63"/>
      <c r="J149" s="35"/>
      <c r="K149" s="35"/>
      <c r="L149" s="35">
        <f>IF(ISBLANK(J149), , J149*K149)</f>
        <v>0</v>
      </c>
      <c r="M149" s="29"/>
      <c r="N149" s="47"/>
      <c r="O149" s="63"/>
      <c r="P149" s="35"/>
      <c r="Q149" s="35"/>
      <c r="R149" s="35">
        <f>IF(ISBLANK(P149), , P149*Q149)</f>
        <v>0</v>
      </c>
      <c r="S149" s="29"/>
      <c r="T149" s="47"/>
      <c r="U149" s="63"/>
      <c r="V149" s="35"/>
      <c r="W149" s="35"/>
      <c r="X149" s="35">
        <f>IF(ISBLANK(V149), , V149*W149)</f>
        <v>0</v>
      </c>
      <c r="Y149" s="29"/>
      <c r="Z149" s="211"/>
      <c r="AA149" s="211"/>
      <c r="AB149" s="213"/>
      <c r="AC149" s="215"/>
    </row>
    <row r="150" spans="1:29" ht="12.75" customHeight="1" x14ac:dyDescent="0.2">
      <c r="A150" s="228"/>
      <c r="B150" s="216" t="s">
        <v>6</v>
      </c>
      <c r="C150" s="218" t="s">
        <v>8</v>
      </c>
      <c r="D150" s="10" t="s">
        <v>88</v>
      </c>
      <c r="E150" s="10" t="s">
        <v>89</v>
      </c>
      <c r="F150" s="10">
        <v>621</v>
      </c>
      <c r="G150" s="218" t="s">
        <v>1</v>
      </c>
      <c r="H150" s="48">
        <v>19.57</v>
      </c>
      <c r="I150" s="67">
        <v>5.5</v>
      </c>
      <c r="J150" s="39">
        <v>2300</v>
      </c>
      <c r="K150" s="39">
        <v>8</v>
      </c>
      <c r="L150" s="39">
        <f>IF(ISBLANK(J150), , J150*K150)</f>
        <v>18400</v>
      </c>
      <c r="M150" s="40">
        <f>H163+K163+N163+Q163+T163+W163+Z163</f>
        <v>500</v>
      </c>
      <c r="N150" s="48">
        <v>19.57</v>
      </c>
      <c r="O150" s="67">
        <v>8</v>
      </c>
      <c r="P150" s="39">
        <v>1459</v>
      </c>
      <c r="Q150" s="39">
        <v>8</v>
      </c>
      <c r="R150" s="39">
        <f>IF(ISBLANK(P150), , P150*Q150)</f>
        <v>11672</v>
      </c>
      <c r="S150" s="40">
        <f>I163+L163+O163+R163+U163+X163+AA163</f>
        <v>50</v>
      </c>
      <c r="T150" s="48">
        <v>19.57</v>
      </c>
      <c r="U150" s="67">
        <v>8</v>
      </c>
      <c r="V150" s="39">
        <v>1500</v>
      </c>
      <c r="W150" s="39">
        <v>8</v>
      </c>
      <c r="X150" s="39">
        <f>IF(ISBLANK(V150), , V150*W150)</f>
        <v>12000</v>
      </c>
      <c r="Y150" s="40">
        <f>J163+M163+P163+S163+V163+Y163+AB163</f>
        <v>50</v>
      </c>
      <c r="Z150" s="238">
        <f>SUM(L150, R150, X150)+SUM(L151, R151, X151)</f>
        <v>42072</v>
      </c>
      <c r="AA150" s="220">
        <f>SUM(M150, S150, Y150)+SUM(M151, S151, Y151)</f>
        <v>600</v>
      </c>
      <c r="AB150" s="194">
        <f>IF($Z150=0, ,AA150/$Z150)</f>
        <v>1.4261266400456361E-2</v>
      </c>
      <c r="AC150" s="204"/>
    </row>
    <row r="151" spans="1:29" ht="12.75" customHeight="1" x14ac:dyDescent="0.2">
      <c r="A151" s="228"/>
      <c r="B151" s="217"/>
      <c r="C151" s="219"/>
      <c r="D151" s="10"/>
      <c r="E151" s="10"/>
      <c r="F151" s="10"/>
      <c r="G151" s="219"/>
      <c r="H151" s="48"/>
      <c r="I151" s="67"/>
      <c r="J151" s="39"/>
      <c r="K151" s="39"/>
      <c r="L151" s="39">
        <f>IF(ISBLANK(J151), , J151*K151)</f>
        <v>0</v>
      </c>
      <c r="M151" s="40">
        <f>H164+K164+N164+Q164+T164+W164+Z164</f>
        <v>0</v>
      </c>
      <c r="N151" s="48"/>
      <c r="O151" s="67"/>
      <c r="P151" s="39"/>
      <c r="Q151" s="39"/>
      <c r="R151" s="39">
        <f t="shared" ref="R151:R157" si="24">IF(ISBLANK(P151), , P151*Q151)</f>
        <v>0</v>
      </c>
      <c r="S151" s="40">
        <f>I164+L164+O164+R164+U164+X164+AA164</f>
        <v>0</v>
      </c>
      <c r="T151" s="48"/>
      <c r="U151" s="67"/>
      <c r="V151" s="39"/>
      <c r="W151" s="39"/>
      <c r="X151" s="39">
        <f>IF(ISBLANK(V151), , V151*W151)</f>
        <v>0</v>
      </c>
      <c r="Y151" s="40">
        <f>J164+M164+P164+S164+V164+Y164+AB164</f>
        <v>0</v>
      </c>
      <c r="Z151" s="239"/>
      <c r="AA151" s="221"/>
      <c r="AB151" s="195"/>
      <c r="AC151" s="205"/>
    </row>
    <row r="152" spans="1:29" ht="12.75" customHeight="1" x14ac:dyDescent="0.2">
      <c r="A152" s="228"/>
      <c r="B152" s="206" t="s">
        <v>7</v>
      </c>
      <c r="C152" s="208" t="s">
        <v>81</v>
      </c>
      <c r="D152" s="9" t="s">
        <v>90</v>
      </c>
      <c r="E152" s="9" t="s">
        <v>91</v>
      </c>
      <c r="F152" s="9">
        <v>621</v>
      </c>
      <c r="G152" s="208" t="s">
        <v>1</v>
      </c>
      <c r="H152" s="49">
        <v>20.5</v>
      </c>
      <c r="I152" s="68">
        <v>5.5</v>
      </c>
      <c r="J152" s="37">
        <v>1187</v>
      </c>
      <c r="K152" s="37">
        <v>8</v>
      </c>
      <c r="L152" s="37">
        <f>IF(ISBLANK(J152), , J152*K152)</f>
        <v>9496</v>
      </c>
      <c r="M152" s="38">
        <f>H165+K165+N165+Q165+T165+W165+Z165</f>
        <v>80</v>
      </c>
      <c r="N152" s="49">
        <v>21.95</v>
      </c>
      <c r="O152" s="68">
        <v>8</v>
      </c>
      <c r="P152" s="37">
        <v>1446</v>
      </c>
      <c r="Q152" s="37">
        <v>8</v>
      </c>
      <c r="R152" s="37">
        <f t="shared" si="24"/>
        <v>11568</v>
      </c>
      <c r="S152" s="38">
        <f>I165+L165+O165+R165+U165+X165+AA165</f>
        <v>10</v>
      </c>
      <c r="T152" s="49">
        <v>22</v>
      </c>
      <c r="U152" s="68">
        <v>8</v>
      </c>
      <c r="V152" s="37">
        <v>1476</v>
      </c>
      <c r="W152" s="37">
        <v>8</v>
      </c>
      <c r="X152" s="37">
        <f>IF(ISBLANK(V152), , V152*W152)</f>
        <v>11808</v>
      </c>
      <c r="Y152" s="38">
        <f>J165+M165+P165+S165+V165+Y165+AB165</f>
        <v>30</v>
      </c>
      <c r="Z152" s="210">
        <f>SUM(L152, R152, X152)+SUM(L153, R153, X153)</f>
        <v>32872</v>
      </c>
      <c r="AA152" s="210">
        <f>SUM(M152, S152, Y152)+SUM(M153, S153, Y153)</f>
        <v>120</v>
      </c>
      <c r="AB152" s="212">
        <f>IF($Z152=0, ,AA152/$Z152)</f>
        <v>3.6505232416646385E-3</v>
      </c>
      <c r="AC152" s="214"/>
    </row>
    <row r="153" spans="1:29" ht="12.75" customHeight="1" x14ac:dyDescent="0.2">
      <c r="A153" s="228"/>
      <c r="B153" s="207"/>
      <c r="C153" s="209"/>
      <c r="D153" s="9"/>
      <c r="E153" s="9"/>
      <c r="F153" s="9"/>
      <c r="G153" s="209"/>
      <c r="H153" s="49"/>
      <c r="I153" s="68"/>
      <c r="J153" s="37"/>
      <c r="K153" s="37"/>
      <c r="L153" s="37">
        <f t="shared" ref="L153:L159" si="25">IF(ISBLANK(J153), , J153*K153)</f>
        <v>0</v>
      </c>
      <c r="M153" s="38">
        <f>H166+K166+N166+Q166+T166+W166+Z166</f>
        <v>0</v>
      </c>
      <c r="N153" s="49"/>
      <c r="O153" s="68"/>
      <c r="P153" s="37"/>
      <c r="Q153" s="37"/>
      <c r="R153" s="37">
        <f t="shared" si="24"/>
        <v>0</v>
      </c>
      <c r="S153" s="38">
        <f>I166+L166+O166+R166+U166+X166+AA166</f>
        <v>0</v>
      </c>
      <c r="T153" s="49"/>
      <c r="U153" s="68"/>
      <c r="V153" s="37"/>
      <c r="W153" s="37"/>
      <c r="X153" s="37">
        <f t="shared" ref="X153:X159" si="26">IF(ISBLANK(V153), , V153*W153)</f>
        <v>0</v>
      </c>
      <c r="Y153" s="38">
        <f>J166+M166+P166+S166+V166+Y166+AB166</f>
        <v>0</v>
      </c>
      <c r="Z153" s="211"/>
      <c r="AA153" s="211"/>
      <c r="AB153" s="213"/>
      <c r="AC153" s="215"/>
    </row>
    <row r="154" spans="1:29" ht="12.75" customHeight="1" x14ac:dyDescent="0.2">
      <c r="A154" s="228"/>
      <c r="B154" s="216" t="s">
        <v>3</v>
      </c>
      <c r="C154" s="218" t="s">
        <v>82</v>
      </c>
      <c r="D154" s="10"/>
      <c r="E154" s="10"/>
      <c r="F154" s="10"/>
      <c r="G154" s="218" t="s">
        <v>1</v>
      </c>
      <c r="H154" s="48">
        <v>19.71</v>
      </c>
      <c r="I154" s="67">
        <v>0</v>
      </c>
      <c r="J154" s="36"/>
      <c r="K154" s="36">
        <v>16</v>
      </c>
      <c r="L154" s="36">
        <f t="shared" si="25"/>
        <v>0</v>
      </c>
      <c r="M154" s="17"/>
      <c r="N154" s="48">
        <v>19.690000000000001</v>
      </c>
      <c r="O154" s="67">
        <v>0</v>
      </c>
      <c r="P154" s="36"/>
      <c r="Q154" s="36">
        <v>16</v>
      </c>
      <c r="R154" s="36">
        <f t="shared" si="24"/>
        <v>0</v>
      </c>
      <c r="S154" s="17"/>
      <c r="T154" s="48">
        <v>19.2</v>
      </c>
      <c r="U154" s="67">
        <v>0</v>
      </c>
      <c r="V154" s="36">
        <v>0</v>
      </c>
      <c r="W154" s="36">
        <v>16</v>
      </c>
      <c r="X154" s="36">
        <f t="shared" si="26"/>
        <v>0</v>
      </c>
      <c r="Y154" s="17"/>
      <c r="Z154" s="220">
        <f>SUM(L154, R154, X154)+SUM(L155, R155, X155)</f>
        <v>0</v>
      </c>
      <c r="AA154" s="220">
        <f>SUM(M154, S154, Y154)+SUM(M155, S155, Y155)</f>
        <v>0</v>
      </c>
      <c r="AB154" s="194">
        <f>IF($Z154=0, ,AA154/$Z154)</f>
        <v>0</v>
      </c>
      <c r="AC154" s="204"/>
    </row>
    <row r="155" spans="1:29" ht="12.75" customHeight="1" x14ac:dyDescent="0.2">
      <c r="A155" s="228"/>
      <c r="B155" s="217"/>
      <c r="C155" s="219"/>
      <c r="D155" s="10"/>
      <c r="E155" s="10"/>
      <c r="F155" s="10"/>
      <c r="G155" s="219"/>
      <c r="H155" s="48"/>
      <c r="I155" s="67"/>
      <c r="J155" s="36"/>
      <c r="K155" s="36"/>
      <c r="L155" s="36">
        <f t="shared" si="25"/>
        <v>0</v>
      </c>
      <c r="M155" s="17"/>
      <c r="N155" s="48"/>
      <c r="O155" s="67"/>
      <c r="P155" s="36"/>
      <c r="Q155" s="36"/>
      <c r="R155" s="36">
        <f t="shared" si="24"/>
        <v>0</v>
      </c>
      <c r="S155" s="17"/>
      <c r="T155" s="48"/>
      <c r="U155" s="67"/>
      <c r="V155" s="36"/>
      <c r="W155" s="36"/>
      <c r="X155" s="36">
        <f t="shared" si="26"/>
        <v>0</v>
      </c>
      <c r="Y155" s="17"/>
      <c r="Z155" s="221"/>
      <c r="AA155" s="221"/>
      <c r="AB155" s="195"/>
      <c r="AC155" s="205"/>
    </row>
    <row r="156" spans="1:29" ht="12.75" customHeight="1" x14ac:dyDescent="0.2">
      <c r="A156" s="228"/>
      <c r="B156" s="206" t="s">
        <v>4</v>
      </c>
      <c r="C156" s="208" t="s">
        <v>9</v>
      </c>
      <c r="D156" s="9"/>
      <c r="E156" s="10"/>
      <c r="F156" s="9"/>
      <c r="G156" s="208" t="s">
        <v>1</v>
      </c>
      <c r="H156" s="49">
        <v>20.58</v>
      </c>
      <c r="I156" s="68">
        <v>0</v>
      </c>
      <c r="J156" s="37">
        <v>0</v>
      </c>
      <c r="K156" s="37">
        <v>8</v>
      </c>
      <c r="L156" s="37">
        <f t="shared" si="25"/>
        <v>0</v>
      </c>
      <c r="M156" s="38"/>
      <c r="N156" s="49">
        <v>20.58</v>
      </c>
      <c r="O156" s="68">
        <v>0</v>
      </c>
      <c r="P156" s="37">
        <v>0</v>
      </c>
      <c r="Q156" s="37">
        <v>8</v>
      </c>
      <c r="R156" s="37">
        <f t="shared" si="24"/>
        <v>0</v>
      </c>
      <c r="S156" s="38"/>
      <c r="T156" s="49">
        <v>20.58</v>
      </c>
      <c r="U156" s="68">
        <v>0</v>
      </c>
      <c r="V156" s="37">
        <v>0</v>
      </c>
      <c r="W156" s="37">
        <v>8</v>
      </c>
      <c r="X156" s="37">
        <f t="shared" si="26"/>
        <v>0</v>
      </c>
      <c r="Y156" s="38"/>
      <c r="Z156" s="210">
        <f>SUM(L156, R156, X156)+SUM(L157, R157, X157)</f>
        <v>0</v>
      </c>
      <c r="AA156" s="210">
        <f>SUM(M156, S156, Y156)+SUM(M157, S157, Y157)</f>
        <v>0</v>
      </c>
      <c r="AB156" s="212">
        <f>IF($Z156=0, ,AA156/$Z156)</f>
        <v>0</v>
      </c>
      <c r="AC156" s="214"/>
    </row>
    <row r="157" spans="1:29" ht="12.75" customHeight="1" x14ac:dyDescent="0.2">
      <c r="A157" s="228"/>
      <c r="B157" s="207"/>
      <c r="C157" s="209"/>
      <c r="D157" s="9"/>
      <c r="E157" s="9"/>
      <c r="F157" s="9"/>
      <c r="G157" s="209"/>
      <c r="H157" s="49"/>
      <c r="I157" s="68"/>
      <c r="J157" s="37"/>
      <c r="K157" s="37"/>
      <c r="L157" s="37">
        <f t="shared" si="25"/>
        <v>0</v>
      </c>
      <c r="M157" s="38"/>
      <c r="N157" s="49"/>
      <c r="O157" s="68"/>
      <c r="P157" s="37"/>
      <c r="Q157" s="37"/>
      <c r="R157" s="37">
        <f t="shared" si="24"/>
        <v>0</v>
      </c>
      <c r="S157" s="38"/>
      <c r="T157" s="49"/>
      <c r="U157" s="68"/>
      <c r="V157" s="37"/>
      <c r="W157" s="37"/>
      <c r="X157" s="37">
        <f t="shared" si="26"/>
        <v>0</v>
      </c>
      <c r="Y157" s="38"/>
      <c r="Z157" s="211"/>
      <c r="AA157" s="211"/>
      <c r="AB157" s="213"/>
      <c r="AC157" s="215"/>
    </row>
    <row r="158" spans="1:29" ht="12.75" customHeight="1" x14ac:dyDescent="0.2">
      <c r="A158" s="228"/>
      <c r="B158" s="189" t="s">
        <v>85</v>
      </c>
      <c r="C158" s="191" t="s">
        <v>83</v>
      </c>
      <c r="D158" s="11"/>
      <c r="E158" s="10"/>
      <c r="F158" s="11"/>
      <c r="G158" s="191" t="s">
        <v>1</v>
      </c>
      <c r="H158" s="50">
        <v>12.89</v>
      </c>
      <c r="I158" s="69">
        <v>0</v>
      </c>
      <c r="J158" s="39">
        <v>0</v>
      </c>
      <c r="K158" s="39">
        <v>16</v>
      </c>
      <c r="L158" s="39">
        <f t="shared" si="25"/>
        <v>0</v>
      </c>
      <c r="M158" s="40"/>
      <c r="N158" s="50">
        <v>12.89</v>
      </c>
      <c r="O158" s="69">
        <v>0</v>
      </c>
      <c r="P158" s="39">
        <v>0</v>
      </c>
      <c r="Q158" s="39">
        <v>16</v>
      </c>
      <c r="R158" s="39">
        <f>IF(ISBLANK(P158), , P158*Q158)</f>
        <v>0</v>
      </c>
      <c r="S158" s="40"/>
      <c r="T158" s="50">
        <v>23.6</v>
      </c>
      <c r="U158" s="69">
        <v>0</v>
      </c>
      <c r="V158" s="39">
        <v>0</v>
      </c>
      <c r="W158" s="39">
        <v>16</v>
      </c>
      <c r="X158" s="39">
        <f t="shared" si="26"/>
        <v>0</v>
      </c>
      <c r="Y158" s="40"/>
      <c r="Z158" s="193">
        <f>SUM(L158, R158, X158)+SUM(L159, R159, X159)</f>
        <v>0</v>
      </c>
      <c r="AA158" s="193">
        <f>SUM(M158, S158, Y158)+SUM(M159, S159, Y159)</f>
        <v>0</v>
      </c>
      <c r="AB158" s="194">
        <f>IF($Z158=0, ,AA158/$Z158)</f>
        <v>0</v>
      </c>
      <c r="AC158" s="196"/>
    </row>
    <row r="159" spans="1:29" ht="12.75" customHeight="1" x14ac:dyDescent="0.2">
      <c r="A159" s="228"/>
      <c r="B159" s="190"/>
      <c r="C159" s="192"/>
      <c r="D159" s="11"/>
      <c r="E159" s="11"/>
      <c r="F159" s="11"/>
      <c r="G159" s="192"/>
      <c r="H159" s="50"/>
      <c r="I159" s="69"/>
      <c r="J159" s="39"/>
      <c r="K159" s="39"/>
      <c r="L159" s="39">
        <f t="shared" si="25"/>
        <v>0</v>
      </c>
      <c r="M159" s="40"/>
      <c r="N159" s="50"/>
      <c r="O159" s="69"/>
      <c r="P159" s="39"/>
      <c r="Q159" s="39"/>
      <c r="R159" s="39">
        <f>IF(ISBLANK(P159), , P159*Q159)</f>
        <v>0</v>
      </c>
      <c r="S159" s="40"/>
      <c r="T159" s="50"/>
      <c r="U159" s="69"/>
      <c r="V159" s="39"/>
      <c r="W159" s="39"/>
      <c r="X159" s="39">
        <f t="shared" si="26"/>
        <v>0</v>
      </c>
      <c r="Y159" s="40"/>
      <c r="Z159" s="193"/>
      <c r="AA159" s="193"/>
      <c r="AB159" s="195"/>
      <c r="AC159" s="196"/>
    </row>
    <row r="160" spans="1:29" ht="12.75" customHeight="1" x14ac:dyDescent="0.2">
      <c r="A160" s="228"/>
      <c r="B160" s="56"/>
      <c r="C160" s="56"/>
      <c r="D160" s="56"/>
      <c r="E160" s="56"/>
      <c r="F160" s="56"/>
      <c r="G160" s="56"/>
      <c r="H160" s="76"/>
      <c r="I160" s="77"/>
      <c r="J160" s="78"/>
      <c r="K160" s="78"/>
      <c r="L160" s="78"/>
      <c r="M160" s="79"/>
      <c r="N160" s="76"/>
      <c r="O160" s="77"/>
      <c r="P160" s="78"/>
      <c r="Q160" s="78"/>
      <c r="R160" s="78"/>
      <c r="S160" s="79"/>
      <c r="T160" s="76"/>
      <c r="U160" s="77"/>
      <c r="V160" s="78"/>
      <c r="W160" s="78"/>
      <c r="X160" s="78"/>
      <c r="Y160" s="79"/>
      <c r="Z160" s="79"/>
      <c r="AA160" s="79"/>
      <c r="AB160" s="80"/>
      <c r="AC160" s="59"/>
    </row>
    <row r="161" spans="1:29" ht="12.75" customHeight="1" x14ac:dyDescent="0.2">
      <c r="A161" s="228"/>
      <c r="B161" s="197" t="s">
        <v>67</v>
      </c>
      <c r="C161" s="198"/>
      <c r="D161" s="198"/>
      <c r="E161" s="198"/>
      <c r="F161" s="198"/>
      <c r="G161" s="9" t="s">
        <v>68</v>
      </c>
      <c r="H161" s="199" t="s">
        <v>64</v>
      </c>
      <c r="I161" s="199"/>
      <c r="J161" s="199"/>
      <c r="K161" s="199" t="s">
        <v>76</v>
      </c>
      <c r="L161" s="199"/>
      <c r="M161" s="199"/>
      <c r="N161" s="199" t="s">
        <v>65</v>
      </c>
      <c r="O161" s="199"/>
      <c r="P161" s="199"/>
      <c r="Q161" s="199" t="s">
        <v>66</v>
      </c>
      <c r="R161" s="199"/>
      <c r="S161" s="199"/>
      <c r="T161" s="199" t="s">
        <v>73</v>
      </c>
      <c r="U161" s="199"/>
      <c r="V161" s="199"/>
      <c r="W161" s="199" t="s">
        <v>74</v>
      </c>
      <c r="X161" s="199"/>
      <c r="Y161" s="199"/>
      <c r="Z161" s="199" t="s">
        <v>75</v>
      </c>
      <c r="AA161" s="199"/>
      <c r="AB161" s="199"/>
      <c r="AC161" s="200" t="s">
        <v>97</v>
      </c>
    </row>
    <row r="162" spans="1:29" ht="12.75" customHeight="1" x14ac:dyDescent="0.2">
      <c r="A162" s="228"/>
      <c r="B162" s="197"/>
      <c r="C162" s="198"/>
      <c r="D162" s="198"/>
      <c r="E162" s="198"/>
      <c r="F162" s="198"/>
      <c r="G162" s="9" t="s">
        <v>69</v>
      </c>
      <c r="H162" s="98" t="s">
        <v>70</v>
      </c>
      <c r="I162" s="98" t="s">
        <v>71</v>
      </c>
      <c r="J162" s="99" t="s">
        <v>72</v>
      </c>
      <c r="K162" s="98" t="s">
        <v>70</v>
      </c>
      <c r="L162" s="98" t="s">
        <v>71</v>
      </c>
      <c r="M162" s="99" t="s">
        <v>72</v>
      </c>
      <c r="N162" s="98" t="s">
        <v>70</v>
      </c>
      <c r="O162" s="98" t="s">
        <v>71</v>
      </c>
      <c r="P162" s="99" t="s">
        <v>72</v>
      </c>
      <c r="Q162" s="98" t="s">
        <v>70</v>
      </c>
      <c r="R162" s="98" t="s">
        <v>71</v>
      </c>
      <c r="S162" s="99" t="s">
        <v>72</v>
      </c>
      <c r="T162" s="98" t="s">
        <v>70</v>
      </c>
      <c r="U162" s="98" t="s">
        <v>71</v>
      </c>
      <c r="V162" s="99" t="s">
        <v>72</v>
      </c>
      <c r="W162" s="98" t="s">
        <v>70</v>
      </c>
      <c r="X162" s="98" t="s">
        <v>71</v>
      </c>
      <c r="Y162" s="99" t="s">
        <v>72</v>
      </c>
      <c r="Z162" s="98" t="s">
        <v>70</v>
      </c>
      <c r="AA162" s="98" t="s">
        <v>71</v>
      </c>
      <c r="AB162" s="99" t="s">
        <v>72</v>
      </c>
      <c r="AC162" s="200"/>
    </row>
    <row r="163" spans="1:29" ht="12.75" customHeight="1" x14ac:dyDescent="0.2">
      <c r="A163" s="228"/>
      <c r="B163" s="201" t="str">
        <f>B150</f>
        <v>02C</v>
      </c>
      <c r="C163" s="202" t="str">
        <f>C150</f>
        <v>DEO-C01</v>
      </c>
      <c r="D163" s="9" t="str">
        <f>IF(ISBLANK(D150), "", D150)</f>
        <v>21283-C</v>
      </c>
      <c r="E163" s="9" t="str">
        <f>IF(ISBLANK(E150), "", E150)</f>
        <v>Black</v>
      </c>
      <c r="F163" s="9">
        <f>IF(ISBLANK(F150), "", F150)</f>
        <v>621</v>
      </c>
      <c r="G163" s="203"/>
      <c r="H163" s="38">
        <v>500</v>
      </c>
      <c r="I163" s="38">
        <v>50</v>
      </c>
      <c r="J163" s="38">
        <v>50</v>
      </c>
      <c r="K163" s="38"/>
      <c r="L163" s="38"/>
      <c r="M163" s="38"/>
      <c r="N163" s="37"/>
      <c r="O163" s="37"/>
      <c r="P163" s="37"/>
      <c r="Q163" s="37"/>
      <c r="R163" s="37"/>
      <c r="S163" s="38"/>
      <c r="T163" s="37"/>
      <c r="U163" s="37"/>
      <c r="V163" s="37"/>
      <c r="W163" s="37"/>
      <c r="X163" s="37"/>
      <c r="Y163" s="38"/>
      <c r="Z163" s="38"/>
      <c r="AA163" s="38"/>
      <c r="AB163" s="112"/>
      <c r="AC163" s="200"/>
    </row>
    <row r="164" spans="1:29" ht="12.75" customHeight="1" x14ac:dyDescent="0.2">
      <c r="A164" s="228"/>
      <c r="B164" s="201"/>
      <c r="C164" s="202"/>
      <c r="D164" s="9"/>
      <c r="E164" s="9" t="str">
        <f t="shared" ref="E164:F166" si="27">IF(ISBLANK(E151), "", E151)</f>
        <v/>
      </c>
      <c r="F164" s="9" t="str">
        <f t="shared" si="27"/>
        <v/>
      </c>
      <c r="G164" s="203"/>
      <c r="H164" s="37"/>
      <c r="I164" s="37"/>
      <c r="J164" s="37"/>
      <c r="K164" s="37"/>
      <c r="L164" s="37"/>
      <c r="M164" s="38"/>
      <c r="N164" s="37"/>
      <c r="O164" s="37"/>
      <c r="P164" s="37"/>
      <c r="Q164" s="37"/>
      <c r="R164" s="37"/>
      <c r="S164" s="38"/>
      <c r="T164" s="37"/>
      <c r="U164" s="37"/>
      <c r="V164" s="37"/>
      <c r="W164" s="37"/>
      <c r="X164" s="37"/>
      <c r="Y164" s="38"/>
      <c r="Z164" s="38"/>
      <c r="AA164" s="38"/>
      <c r="AB164" s="112"/>
      <c r="AC164" s="200"/>
    </row>
    <row r="165" spans="1:29" ht="12.75" customHeight="1" x14ac:dyDescent="0.2">
      <c r="A165" s="228"/>
      <c r="B165" s="201" t="str">
        <f>B152</f>
        <v>03C</v>
      </c>
      <c r="C165" s="202" t="str">
        <f>C152</f>
        <v>DEO-B02</v>
      </c>
      <c r="D165" s="9" t="str">
        <f>IF(ISBLANK(D152), "", D152)</f>
        <v>21283-B</v>
      </c>
      <c r="E165" s="9" t="str">
        <f t="shared" si="27"/>
        <v>PCR</v>
      </c>
      <c r="F165" s="9">
        <f t="shared" si="27"/>
        <v>621</v>
      </c>
      <c r="G165" s="203"/>
      <c r="H165" s="38">
        <v>80</v>
      </c>
      <c r="I165" s="38">
        <v>10</v>
      </c>
      <c r="J165" s="38">
        <v>30</v>
      </c>
      <c r="K165" s="37"/>
      <c r="L165" s="37"/>
      <c r="M165" s="38"/>
      <c r="N165" s="37"/>
      <c r="O165" s="37"/>
      <c r="P165" s="37"/>
      <c r="Q165" s="37"/>
      <c r="R165" s="37"/>
      <c r="S165" s="38"/>
      <c r="T165" s="37"/>
      <c r="U165" s="37"/>
      <c r="V165" s="37"/>
      <c r="W165" s="37"/>
      <c r="X165" s="37"/>
      <c r="Y165" s="38"/>
      <c r="Z165" s="38"/>
      <c r="AA165" s="38"/>
      <c r="AB165" s="112"/>
      <c r="AC165" s="200"/>
    </row>
    <row r="166" spans="1:29" ht="12.75" customHeight="1" x14ac:dyDescent="0.2">
      <c r="A166" s="228"/>
      <c r="B166" s="201"/>
      <c r="C166" s="202"/>
      <c r="D166" s="9" t="str">
        <f>IF(ISBLANK(D153), "", D153)</f>
        <v/>
      </c>
      <c r="E166" s="9" t="str">
        <f t="shared" si="27"/>
        <v/>
      </c>
      <c r="F166" s="9" t="str">
        <f t="shared" si="27"/>
        <v/>
      </c>
      <c r="G166" s="203"/>
      <c r="H166" s="37"/>
      <c r="I166" s="37"/>
      <c r="J166" s="37"/>
      <c r="K166" s="37"/>
      <c r="L166" s="37"/>
      <c r="M166" s="38"/>
      <c r="N166" s="37"/>
      <c r="O166" s="37"/>
      <c r="P166" s="37"/>
      <c r="Q166" s="37"/>
      <c r="R166" s="37"/>
      <c r="S166" s="38"/>
      <c r="T166" s="37"/>
      <c r="U166" s="37"/>
      <c r="V166" s="37"/>
      <c r="W166" s="37"/>
      <c r="X166" s="37"/>
      <c r="Y166" s="38"/>
      <c r="Z166" s="38"/>
      <c r="AA166" s="38"/>
      <c r="AB166" s="112"/>
      <c r="AC166" s="200"/>
    </row>
    <row r="168" spans="1:29" x14ac:dyDescent="0.2">
      <c r="A168" s="228">
        <v>44720</v>
      </c>
      <c r="B168" s="19" t="s">
        <v>42</v>
      </c>
      <c r="C168" s="20"/>
      <c r="D168" s="21" t="s">
        <v>43</v>
      </c>
      <c r="E168" s="20">
        <v>0</v>
      </c>
      <c r="F168" s="31"/>
      <c r="G168" s="32"/>
      <c r="H168" s="52"/>
      <c r="I168" s="65"/>
      <c r="J168" s="73"/>
      <c r="K168" s="32"/>
      <c r="L168" s="21"/>
      <c r="M168" s="32"/>
      <c r="N168" s="52"/>
      <c r="O168" s="65"/>
      <c r="P168" s="73"/>
      <c r="Q168" s="32"/>
      <c r="R168" s="21"/>
      <c r="S168" s="32"/>
      <c r="T168" s="52"/>
      <c r="U168" s="65"/>
      <c r="V168" s="73"/>
      <c r="W168" s="32"/>
      <c r="X168" s="21"/>
      <c r="Y168" s="21"/>
      <c r="Z168" s="32"/>
      <c r="AA168" s="21"/>
      <c r="AB168" s="21"/>
      <c r="AC168" s="33"/>
    </row>
    <row r="169" spans="1:29" x14ac:dyDescent="0.2">
      <c r="A169" s="228"/>
      <c r="B169" s="229" t="s">
        <v>10</v>
      </c>
      <c r="C169" s="230" t="s">
        <v>0</v>
      </c>
      <c r="D169" s="230" t="s">
        <v>25</v>
      </c>
      <c r="E169" s="230" t="s">
        <v>11</v>
      </c>
      <c r="F169" s="230" t="s">
        <v>16</v>
      </c>
      <c r="G169" s="237" t="s">
        <v>12</v>
      </c>
      <c r="H169" s="222" t="s">
        <v>13</v>
      </c>
      <c r="I169" s="223"/>
      <c r="J169" s="223"/>
      <c r="K169" s="223"/>
      <c r="L169" s="223"/>
      <c r="M169" s="224"/>
      <c r="N169" s="222" t="s">
        <v>14</v>
      </c>
      <c r="O169" s="223"/>
      <c r="P169" s="223"/>
      <c r="Q169" s="223"/>
      <c r="R169" s="223"/>
      <c r="S169" s="224"/>
      <c r="T169" s="222" t="s">
        <v>15</v>
      </c>
      <c r="U169" s="223"/>
      <c r="V169" s="223"/>
      <c r="W169" s="223"/>
      <c r="X169" s="223"/>
      <c r="Y169" s="224"/>
      <c r="Z169" s="225" t="s">
        <v>37</v>
      </c>
      <c r="AA169" s="225" t="s">
        <v>39</v>
      </c>
      <c r="AB169" s="225" t="s">
        <v>62</v>
      </c>
      <c r="AC169" s="231" t="s">
        <v>26</v>
      </c>
    </row>
    <row r="170" spans="1:29" ht="42.75" customHeight="1" x14ac:dyDescent="0.2">
      <c r="A170" s="228"/>
      <c r="B170" s="229"/>
      <c r="C170" s="230"/>
      <c r="D170" s="230"/>
      <c r="E170" s="230"/>
      <c r="F170" s="230"/>
      <c r="G170" s="237"/>
      <c r="H170" s="53" t="s">
        <v>50</v>
      </c>
      <c r="I170" s="66" t="s">
        <v>51</v>
      </c>
      <c r="J170" s="74" t="s">
        <v>63</v>
      </c>
      <c r="K170" s="24" t="s">
        <v>44</v>
      </c>
      <c r="L170" s="18" t="s">
        <v>5</v>
      </c>
      <c r="M170" s="81" t="s">
        <v>31</v>
      </c>
      <c r="N170" s="53" t="s">
        <v>50</v>
      </c>
      <c r="O170" s="66" t="s">
        <v>51</v>
      </c>
      <c r="P170" s="74" t="s">
        <v>63</v>
      </c>
      <c r="Q170" s="24" t="s">
        <v>44</v>
      </c>
      <c r="R170" s="30" t="s">
        <v>5</v>
      </c>
      <c r="S170" s="34" t="s">
        <v>31</v>
      </c>
      <c r="T170" s="53" t="s">
        <v>50</v>
      </c>
      <c r="U170" s="66" t="s">
        <v>51</v>
      </c>
      <c r="V170" s="74" t="s">
        <v>63</v>
      </c>
      <c r="W170" s="24" t="s">
        <v>44</v>
      </c>
      <c r="X170" s="30" t="s">
        <v>5</v>
      </c>
      <c r="Y170" s="34" t="s">
        <v>31</v>
      </c>
      <c r="Z170" s="226"/>
      <c r="AA170" s="227"/>
      <c r="AB170" s="227"/>
      <c r="AC170" s="231"/>
    </row>
    <row r="171" spans="1:29" x14ac:dyDescent="0.2">
      <c r="A171" s="228"/>
      <c r="B171" s="232" t="s">
        <v>2</v>
      </c>
      <c r="C171" s="234" t="s">
        <v>84</v>
      </c>
      <c r="D171" s="12"/>
      <c r="E171" s="10"/>
      <c r="F171" s="12"/>
      <c r="G171" s="234" t="s">
        <v>1</v>
      </c>
      <c r="H171" s="47">
        <v>23.6</v>
      </c>
      <c r="I171" s="63">
        <v>0</v>
      </c>
      <c r="J171" s="35"/>
      <c r="K171" s="35">
        <v>16</v>
      </c>
      <c r="L171" s="35">
        <f>IF(ISBLANK(J171), , J171*K171)</f>
        <v>0</v>
      </c>
      <c r="M171" s="29"/>
      <c r="N171" s="47">
        <v>23.6</v>
      </c>
      <c r="O171" s="63">
        <v>0</v>
      </c>
      <c r="P171" s="35"/>
      <c r="Q171" s="35">
        <v>16</v>
      </c>
      <c r="R171" s="35">
        <f>IF(ISBLANK(P171), , P171*Q171)</f>
        <v>0</v>
      </c>
      <c r="S171" s="29"/>
      <c r="T171" s="47">
        <v>23.6</v>
      </c>
      <c r="U171" s="63">
        <v>0</v>
      </c>
      <c r="V171" s="35"/>
      <c r="W171" s="35">
        <v>16</v>
      </c>
      <c r="X171" s="35">
        <f>IF(ISBLANK(V171), , V171*W171)</f>
        <v>0</v>
      </c>
      <c r="Y171" s="29"/>
      <c r="Z171" s="210">
        <f>SUM(L171, R171, X171)+SUM(L172, R172, X172)</f>
        <v>0</v>
      </c>
      <c r="AA171" s="210">
        <f>SUM(M171, S171, Y171)+SUM(M172, S172, Y172)</f>
        <v>0</v>
      </c>
      <c r="AB171" s="212">
        <f>IF($Z171=0, ,AA171/$Z171)</f>
        <v>0</v>
      </c>
      <c r="AC171" s="214"/>
    </row>
    <row r="172" spans="1:29" x14ac:dyDescent="0.2">
      <c r="A172" s="228"/>
      <c r="B172" s="233"/>
      <c r="C172" s="235"/>
      <c r="D172" s="12"/>
      <c r="E172" s="12"/>
      <c r="F172" s="12"/>
      <c r="G172" s="236"/>
      <c r="H172" s="47"/>
      <c r="I172" s="63"/>
      <c r="J172" s="35"/>
      <c r="K172" s="35"/>
      <c r="L172" s="35">
        <f>IF(ISBLANK(J172), , J172*K172)</f>
        <v>0</v>
      </c>
      <c r="M172" s="29"/>
      <c r="N172" s="47"/>
      <c r="O172" s="63"/>
      <c r="P172" s="35"/>
      <c r="Q172" s="35"/>
      <c r="R172" s="35">
        <f>IF(ISBLANK(P172), , P172*Q172)</f>
        <v>0</v>
      </c>
      <c r="S172" s="29"/>
      <c r="T172" s="47"/>
      <c r="U172" s="63"/>
      <c r="V172" s="35"/>
      <c r="W172" s="35"/>
      <c r="X172" s="35">
        <f>IF(ISBLANK(V172), , V172*W172)</f>
        <v>0</v>
      </c>
      <c r="Y172" s="29"/>
      <c r="Z172" s="211"/>
      <c r="AA172" s="211"/>
      <c r="AB172" s="213"/>
      <c r="AC172" s="215"/>
    </row>
    <row r="173" spans="1:29" x14ac:dyDescent="0.2">
      <c r="A173" s="228"/>
      <c r="B173" s="216" t="s">
        <v>6</v>
      </c>
      <c r="C173" s="218" t="s">
        <v>8</v>
      </c>
      <c r="D173" s="10">
        <v>21284</v>
      </c>
      <c r="E173" s="10" t="s">
        <v>89</v>
      </c>
      <c r="F173" s="10">
        <v>621</v>
      </c>
      <c r="G173" s="218" t="s">
        <v>1</v>
      </c>
      <c r="H173" s="48">
        <v>19.57</v>
      </c>
      <c r="I173" s="67">
        <v>8</v>
      </c>
      <c r="J173" s="39">
        <v>1418</v>
      </c>
      <c r="K173" s="39">
        <v>8</v>
      </c>
      <c r="L173" s="39">
        <f>IF(ISBLANK(J173), , J173*K173)</f>
        <v>11344</v>
      </c>
      <c r="M173" s="40">
        <f>H186+K186+N186+Q186+T186+W186+Z186</f>
        <v>100</v>
      </c>
      <c r="N173" s="48">
        <v>19.57</v>
      </c>
      <c r="O173" s="67">
        <v>8</v>
      </c>
      <c r="P173" s="39">
        <v>1484</v>
      </c>
      <c r="Q173" s="39">
        <v>8</v>
      </c>
      <c r="R173" s="39">
        <f>IF(ISBLANK(P173), , P173*Q173)</f>
        <v>11872</v>
      </c>
      <c r="S173" s="40">
        <f>I186+L186+O186+R186+U186+X186+AA186</f>
        <v>30</v>
      </c>
      <c r="T173" s="48">
        <v>19.57</v>
      </c>
      <c r="U173" s="67">
        <v>8</v>
      </c>
      <c r="V173" s="39">
        <v>1512</v>
      </c>
      <c r="W173" s="39">
        <v>8</v>
      </c>
      <c r="X173" s="39">
        <f>IF(ISBLANK(V173), , V173*W173)</f>
        <v>12096</v>
      </c>
      <c r="Y173" s="40">
        <f>J186+M186+P186+S186+V186+Y186+AB186</f>
        <v>50</v>
      </c>
      <c r="Z173" s="238">
        <f>SUM(L173, R173, X173)+SUM(L174, R174, X174)</f>
        <v>35312</v>
      </c>
      <c r="AA173" s="220">
        <f>SUM(M173, S173, Y173)+SUM(M174, S174, Y174)</f>
        <v>180</v>
      </c>
      <c r="AB173" s="194">
        <f>IF($Z173=0, ,AA173/$Z173)</f>
        <v>5.0974173085636607E-3</v>
      </c>
      <c r="AC173" s="204"/>
    </row>
    <row r="174" spans="1:29" x14ac:dyDescent="0.2">
      <c r="A174" s="228"/>
      <c r="B174" s="217"/>
      <c r="C174" s="219"/>
      <c r="D174" s="10"/>
      <c r="E174" s="10"/>
      <c r="F174" s="10"/>
      <c r="G174" s="219"/>
      <c r="H174" s="48"/>
      <c r="I174" s="67"/>
      <c r="J174" s="39"/>
      <c r="K174" s="39"/>
      <c r="L174" s="39">
        <f>IF(ISBLANK(J174), , J174*K174)</f>
        <v>0</v>
      </c>
      <c r="M174" s="40">
        <f>H187+K187+N187+Q187+T187+W187+Z187</f>
        <v>0</v>
      </c>
      <c r="N174" s="48"/>
      <c r="O174" s="67"/>
      <c r="P174" s="39"/>
      <c r="Q174" s="39"/>
      <c r="R174" s="39">
        <f t="shared" ref="R174:R180" si="28">IF(ISBLANK(P174), , P174*Q174)</f>
        <v>0</v>
      </c>
      <c r="S174" s="40">
        <f>I187+L187+O187+R187+U187+X187+AA187</f>
        <v>0</v>
      </c>
      <c r="T174" s="48"/>
      <c r="U174" s="67"/>
      <c r="V174" s="39"/>
      <c r="W174" s="39"/>
      <c r="X174" s="39">
        <f>IF(ISBLANK(V174), , V174*W174)</f>
        <v>0</v>
      </c>
      <c r="Y174" s="40">
        <f>J187+M187+P187+S187+V187+Y187+AB187</f>
        <v>0</v>
      </c>
      <c r="Z174" s="239"/>
      <c r="AA174" s="221"/>
      <c r="AB174" s="195"/>
      <c r="AC174" s="205"/>
    </row>
    <row r="175" spans="1:29" x14ac:dyDescent="0.2">
      <c r="A175" s="228"/>
      <c r="B175" s="206" t="s">
        <v>7</v>
      </c>
      <c r="C175" s="208" t="s">
        <v>81</v>
      </c>
      <c r="D175" s="9">
        <v>21284</v>
      </c>
      <c r="E175" s="9" t="s">
        <v>92</v>
      </c>
      <c r="F175" s="9">
        <v>621</v>
      </c>
      <c r="G175" s="208" t="s">
        <v>1</v>
      </c>
      <c r="H175" s="49">
        <v>20.5</v>
      </c>
      <c r="I175" s="68">
        <v>8</v>
      </c>
      <c r="J175" s="37">
        <v>1383</v>
      </c>
      <c r="K175" s="37">
        <v>8</v>
      </c>
      <c r="L175" s="37">
        <f>IF(ISBLANK(J175), , J175*K175)</f>
        <v>11064</v>
      </c>
      <c r="M175" s="38">
        <f>H188+K188+N188+Q188+T188+W188+Z188</f>
        <v>30</v>
      </c>
      <c r="N175" s="49">
        <v>21.95</v>
      </c>
      <c r="O175" s="68">
        <v>8</v>
      </c>
      <c r="P175" s="37">
        <v>1459</v>
      </c>
      <c r="Q175" s="37">
        <v>8</v>
      </c>
      <c r="R175" s="37">
        <f t="shared" si="28"/>
        <v>11672</v>
      </c>
      <c r="S175" s="38">
        <f>I188+L188+O188+R188+U188+X188+AA188</f>
        <v>10</v>
      </c>
      <c r="T175" s="49">
        <v>22</v>
      </c>
      <c r="U175" s="68">
        <v>8</v>
      </c>
      <c r="V175" s="37">
        <v>1384</v>
      </c>
      <c r="W175" s="37">
        <v>8</v>
      </c>
      <c r="X175" s="37">
        <f>IF(ISBLANK(V175), , V175*W175)</f>
        <v>11072</v>
      </c>
      <c r="Y175" s="38">
        <f>J188+M188+P188+S188+V188+Y188+AB188</f>
        <v>50</v>
      </c>
      <c r="Z175" s="210">
        <f>SUM(L175, R175, X175)+SUM(L176, R176, X176)</f>
        <v>33808</v>
      </c>
      <c r="AA175" s="210">
        <f>SUM(M175, S175, Y175)+SUM(M176, S176, Y176)</f>
        <v>90</v>
      </c>
      <c r="AB175" s="212">
        <f>IF($Z175=0, ,AA175/$Z175)</f>
        <v>2.6620918125887364E-3</v>
      </c>
      <c r="AC175" s="214"/>
    </row>
    <row r="176" spans="1:29" x14ac:dyDescent="0.2">
      <c r="A176" s="228"/>
      <c r="B176" s="207"/>
      <c r="C176" s="209"/>
      <c r="D176" s="9"/>
      <c r="E176" s="9"/>
      <c r="F176" s="9"/>
      <c r="G176" s="209"/>
      <c r="H176" s="49"/>
      <c r="I176" s="68"/>
      <c r="J176" s="37"/>
      <c r="K176" s="37"/>
      <c r="L176" s="37">
        <f t="shared" ref="L176:L182" si="29">IF(ISBLANK(J176), , J176*K176)</f>
        <v>0</v>
      </c>
      <c r="M176" s="38">
        <f>H189+K189+N189+Q189+T189+W189+Z189</f>
        <v>0</v>
      </c>
      <c r="N176" s="49"/>
      <c r="O176" s="68"/>
      <c r="P176" s="37"/>
      <c r="Q176" s="37"/>
      <c r="R176" s="37">
        <f t="shared" si="28"/>
        <v>0</v>
      </c>
      <c r="S176" s="38">
        <f>I189+L189+O189+R189+U189+X189+AA189</f>
        <v>0</v>
      </c>
      <c r="T176" s="49"/>
      <c r="U176" s="68"/>
      <c r="V176" s="37"/>
      <c r="W176" s="37"/>
      <c r="X176" s="37">
        <f t="shared" ref="X176:X182" si="30">IF(ISBLANK(V176), , V176*W176)</f>
        <v>0</v>
      </c>
      <c r="Y176" s="38">
        <f>J189+M189+P189+S189+V189+Y189+AB189</f>
        <v>0</v>
      </c>
      <c r="Z176" s="211"/>
      <c r="AA176" s="211"/>
      <c r="AB176" s="213"/>
      <c r="AC176" s="215"/>
    </row>
    <row r="177" spans="1:29" x14ac:dyDescent="0.2">
      <c r="A177" s="228"/>
      <c r="B177" s="216" t="s">
        <v>3</v>
      </c>
      <c r="C177" s="218" t="s">
        <v>82</v>
      </c>
      <c r="D177" s="10"/>
      <c r="E177" s="10"/>
      <c r="F177" s="10"/>
      <c r="G177" s="218" t="s">
        <v>1</v>
      </c>
      <c r="H177" s="48">
        <v>19.71</v>
      </c>
      <c r="I177" s="67">
        <v>0</v>
      </c>
      <c r="J177" s="36"/>
      <c r="K177" s="36">
        <v>16</v>
      </c>
      <c r="L177" s="36">
        <f t="shared" si="29"/>
        <v>0</v>
      </c>
      <c r="M177" s="17"/>
      <c r="N177" s="48">
        <v>19.690000000000001</v>
      </c>
      <c r="O177" s="67">
        <v>0</v>
      </c>
      <c r="P177" s="36"/>
      <c r="Q177" s="36">
        <v>16</v>
      </c>
      <c r="R177" s="36">
        <f t="shared" si="28"/>
        <v>0</v>
      </c>
      <c r="S177" s="17"/>
      <c r="T177" s="48">
        <v>19.2</v>
      </c>
      <c r="U177" s="67">
        <v>0</v>
      </c>
      <c r="V177" s="36">
        <v>0</v>
      </c>
      <c r="W177" s="36">
        <v>16</v>
      </c>
      <c r="X177" s="36">
        <f t="shared" si="30"/>
        <v>0</v>
      </c>
      <c r="Y177" s="17"/>
      <c r="Z177" s="220">
        <f>SUM(L177, R177, X177)+SUM(L178, R178, X178)</f>
        <v>0</v>
      </c>
      <c r="AA177" s="220">
        <f>SUM(M177, S177, Y177)+SUM(M178, S178, Y178)</f>
        <v>0</v>
      </c>
      <c r="AB177" s="194">
        <f>IF($Z177=0, ,AA177/$Z177)</f>
        <v>0</v>
      </c>
      <c r="AC177" s="204"/>
    </row>
    <row r="178" spans="1:29" x14ac:dyDescent="0.2">
      <c r="A178" s="228"/>
      <c r="B178" s="217"/>
      <c r="C178" s="219"/>
      <c r="D178" s="10"/>
      <c r="E178" s="10"/>
      <c r="F178" s="10"/>
      <c r="G178" s="219"/>
      <c r="H178" s="48"/>
      <c r="I178" s="67"/>
      <c r="J178" s="36"/>
      <c r="K178" s="36"/>
      <c r="L178" s="36">
        <f t="shared" si="29"/>
        <v>0</v>
      </c>
      <c r="M178" s="17"/>
      <c r="N178" s="48"/>
      <c r="O178" s="67"/>
      <c r="P178" s="36"/>
      <c r="Q178" s="36"/>
      <c r="R178" s="36">
        <f t="shared" si="28"/>
        <v>0</v>
      </c>
      <c r="S178" s="17"/>
      <c r="T178" s="48"/>
      <c r="U178" s="67"/>
      <c r="V178" s="36"/>
      <c r="W178" s="36"/>
      <c r="X178" s="36">
        <f t="shared" si="30"/>
        <v>0</v>
      </c>
      <c r="Y178" s="17"/>
      <c r="Z178" s="221"/>
      <c r="AA178" s="221"/>
      <c r="AB178" s="195"/>
      <c r="AC178" s="205"/>
    </row>
    <row r="179" spans="1:29" x14ac:dyDescent="0.2">
      <c r="A179" s="228"/>
      <c r="B179" s="206" t="s">
        <v>4</v>
      </c>
      <c r="C179" s="208" t="s">
        <v>9</v>
      </c>
      <c r="D179" s="9"/>
      <c r="E179" s="10"/>
      <c r="F179" s="9"/>
      <c r="G179" s="208" t="s">
        <v>1</v>
      </c>
      <c r="H179" s="49">
        <v>20.58</v>
      </c>
      <c r="I179" s="68">
        <v>0</v>
      </c>
      <c r="J179" s="37">
        <v>0</v>
      </c>
      <c r="K179" s="37">
        <v>8</v>
      </c>
      <c r="L179" s="37">
        <f t="shared" si="29"/>
        <v>0</v>
      </c>
      <c r="M179" s="38"/>
      <c r="N179" s="49">
        <v>20.58</v>
      </c>
      <c r="O179" s="68">
        <v>0</v>
      </c>
      <c r="P179" s="37">
        <v>0</v>
      </c>
      <c r="Q179" s="37">
        <v>8</v>
      </c>
      <c r="R179" s="37">
        <f t="shared" si="28"/>
        <v>0</v>
      </c>
      <c r="S179" s="38"/>
      <c r="T179" s="49">
        <v>20.58</v>
      </c>
      <c r="U179" s="68">
        <v>0</v>
      </c>
      <c r="V179" s="37">
        <v>0</v>
      </c>
      <c r="W179" s="37">
        <v>8</v>
      </c>
      <c r="X179" s="37">
        <f t="shared" si="30"/>
        <v>0</v>
      </c>
      <c r="Y179" s="38"/>
      <c r="Z179" s="210">
        <f>SUM(L179, R179, X179)+SUM(L180, R180, X180)</f>
        <v>0</v>
      </c>
      <c r="AA179" s="210">
        <f>SUM(M179, S179, Y179)+SUM(M180, S180, Y180)</f>
        <v>0</v>
      </c>
      <c r="AB179" s="212">
        <f>IF($Z179=0, ,AA179/$Z179)</f>
        <v>0</v>
      </c>
      <c r="AC179" s="214"/>
    </row>
    <row r="180" spans="1:29" x14ac:dyDescent="0.2">
      <c r="A180" s="228"/>
      <c r="B180" s="207"/>
      <c r="C180" s="209"/>
      <c r="D180" s="9"/>
      <c r="E180" s="9"/>
      <c r="F180" s="9"/>
      <c r="G180" s="209"/>
      <c r="H180" s="49"/>
      <c r="I180" s="68"/>
      <c r="J180" s="37"/>
      <c r="K180" s="37"/>
      <c r="L180" s="37">
        <f t="shared" si="29"/>
        <v>0</v>
      </c>
      <c r="M180" s="38"/>
      <c r="N180" s="49"/>
      <c r="O180" s="68"/>
      <c r="P180" s="37"/>
      <c r="Q180" s="37"/>
      <c r="R180" s="37">
        <f t="shared" si="28"/>
        <v>0</v>
      </c>
      <c r="S180" s="38"/>
      <c r="T180" s="49"/>
      <c r="U180" s="68"/>
      <c r="V180" s="37"/>
      <c r="W180" s="37"/>
      <c r="X180" s="37">
        <f t="shared" si="30"/>
        <v>0</v>
      </c>
      <c r="Y180" s="38"/>
      <c r="Z180" s="211"/>
      <c r="AA180" s="211"/>
      <c r="AB180" s="213"/>
      <c r="AC180" s="215"/>
    </row>
    <row r="181" spans="1:29" x14ac:dyDescent="0.2">
      <c r="A181" s="228"/>
      <c r="B181" s="189" t="s">
        <v>85</v>
      </c>
      <c r="C181" s="191" t="s">
        <v>83</v>
      </c>
      <c r="D181" s="11"/>
      <c r="E181" s="10"/>
      <c r="F181" s="11"/>
      <c r="G181" s="191" t="s">
        <v>1</v>
      </c>
      <c r="H181" s="50">
        <v>12.89</v>
      </c>
      <c r="I181" s="69">
        <v>0</v>
      </c>
      <c r="J181" s="39">
        <v>0</v>
      </c>
      <c r="K181" s="39">
        <v>16</v>
      </c>
      <c r="L181" s="39">
        <f t="shared" si="29"/>
        <v>0</v>
      </c>
      <c r="M181" s="40"/>
      <c r="N181" s="50">
        <v>12.89</v>
      </c>
      <c r="O181" s="69">
        <v>0</v>
      </c>
      <c r="P181" s="39">
        <v>0</v>
      </c>
      <c r="Q181" s="39">
        <v>16</v>
      </c>
      <c r="R181" s="39">
        <f>IF(ISBLANK(P181), , P181*Q181)</f>
        <v>0</v>
      </c>
      <c r="S181" s="40"/>
      <c r="T181" s="50">
        <v>23.6</v>
      </c>
      <c r="U181" s="69">
        <v>0</v>
      </c>
      <c r="V181" s="39">
        <v>0</v>
      </c>
      <c r="W181" s="39">
        <v>16</v>
      </c>
      <c r="X181" s="39">
        <f t="shared" si="30"/>
        <v>0</v>
      </c>
      <c r="Y181" s="40"/>
      <c r="Z181" s="193">
        <f>SUM(L181, R181, X181)+SUM(L182, R182, X182)</f>
        <v>0</v>
      </c>
      <c r="AA181" s="193">
        <f>SUM(M181, S181, Y181)+SUM(M182, S182, Y182)</f>
        <v>0</v>
      </c>
      <c r="AB181" s="194">
        <f>IF($Z181=0, ,AA181/$Z181)</f>
        <v>0</v>
      </c>
      <c r="AC181" s="196"/>
    </row>
    <row r="182" spans="1:29" x14ac:dyDescent="0.2">
      <c r="A182" s="228"/>
      <c r="B182" s="190"/>
      <c r="C182" s="192"/>
      <c r="D182" s="11"/>
      <c r="E182" s="11"/>
      <c r="F182" s="11"/>
      <c r="G182" s="192"/>
      <c r="H182" s="50"/>
      <c r="I182" s="69"/>
      <c r="J182" s="39"/>
      <c r="K182" s="39"/>
      <c r="L182" s="39">
        <f t="shared" si="29"/>
        <v>0</v>
      </c>
      <c r="M182" s="40"/>
      <c r="N182" s="50"/>
      <c r="O182" s="69"/>
      <c r="P182" s="39"/>
      <c r="Q182" s="39"/>
      <c r="R182" s="39">
        <f>IF(ISBLANK(P182), , P182*Q182)</f>
        <v>0</v>
      </c>
      <c r="S182" s="40"/>
      <c r="T182" s="50"/>
      <c r="U182" s="69"/>
      <c r="V182" s="39"/>
      <c r="W182" s="39"/>
      <c r="X182" s="39">
        <f t="shared" si="30"/>
        <v>0</v>
      </c>
      <c r="Y182" s="40"/>
      <c r="Z182" s="193"/>
      <c r="AA182" s="193"/>
      <c r="AB182" s="195"/>
      <c r="AC182" s="196"/>
    </row>
    <row r="183" spans="1:29" x14ac:dyDescent="0.2">
      <c r="A183" s="228"/>
      <c r="B183" s="56"/>
      <c r="C183" s="56"/>
      <c r="D183" s="56"/>
      <c r="E183" s="56"/>
      <c r="F183" s="56"/>
      <c r="G183" s="56"/>
      <c r="H183" s="76"/>
      <c r="I183" s="77"/>
      <c r="J183" s="78"/>
      <c r="K183" s="78"/>
      <c r="L183" s="78"/>
      <c r="M183" s="79"/>
      <c r="N183" s="76"/>
      <c r="O183" s="77"/>
      <c r="P183" s="78"/>
      <c r="Q183" s="78"/>
      <c r="R183" s="78"/>
      <c r="S183" s="79"/>
      <c r="T183" s="76"/>
      <c r="U183" s="77"/>
      <c r="V183" s="78"/>
      <c r="W183" s="78"/>
      <c r="X183" s="78"/>
      <c r="Y183" s="79"/>
      <c r="Z183" s="79"/>
      <c r="AA183" s="79"/>
      <c r="AB183" s="80"/>
      <c r="AC183" s="59"/>
    </row>
    <row r="184" spans="1:29" x14ac:dyDescent="0.2">
      <c r="A184" s="228"/>
      <c r="B184" s="197" t="s">
        <v>67</v>
      </c>
      <c r="C184" s="198"/>
      <c r="D184" s="198"/>
      <c r="E184" s="198"/>
      <c r="F184" s="198"/>
      <c r="G184" s="9" t="s">
        <v>68</v>
      </c>
      <c r="H184" s="199" t="s">
        <v>64</v>
      </c>
      <c r="I184" s="199"/>
      <c r="J184" s="199"/>
      <c r="K184" s="199" t="s">
        <v>76</v>
      </c>
      <c r="L184" s="199"/>
      <c r="M184" s="199"/>
      <c r="N184" s="199" t="s">
        <v>65</v>
      </c>
      <c r="O184" s="199"/>
      <c r="P184" s="199"/>
      <c r="Q184" s="199" t="s">
        <v>66</v>
      </c>
      <c r="R184" s="199"/>
      <c r="S184" s="199"/>
      <c r="T184" s="199" t="s">
        <v>73</v>
      </c>
      <c r="U184" s="199"/>
      <c r="V184" s="199"/>
      <c r="W184" s="199" t="s">
        <v>74</v>
      </c>
      <c r="X184" s="199"/>
      <c r="Y184" s="199"/>
      <c r="Z184" s="199" t="s">
        <v>75</v>
      </c>
      <c r="AA184" s="199"/>
      <c r="AB184" s="199"/>
      <c r="AC184" s="200" t="s">
        <v>97</v>
      </c>
    </row>
    <row r="185" spans="1:29" x14ac:dyDescent="0.2">
      <c r="A185" s="228"/>
      <c r="B185" s="197"/>
      <c r="C185" s="198"/>
      <c r="D185" s="198"/>
      <c r="E185" s="198"/>
      <c r="F185" s="198"/>
      <c r="G185" s="9" t="s">
        <v>69</v>
      </c>
      <c r="H185" s="98" t="s">
        <v>70</v>
      </c>
      <c r="I185" s="98" t="s">
        <v>71</v>
      </c>
      <c r="J185" s="99" t="s">
        <v>72</v>
      </c>
      <c r="K185" s="98" t="s">
        <v>70</v>
      </c>
      <c r="L185" s="98" t="s">
        <v>71</v>
      </c>
      <c r="M185" s="99" t="s">
        <v>72</v>
      </c>
      <c r="N185" s="98" t="s">
        <v>70</v>
      </c>
      <c r="O185" s="98" t="s">
        <v>71</v>
      </c>
      <c r="P185" s="99" t="s">
        <v>72</v>
      </c>
      <c r="Q185" s="98" t="s">
        <v>70</v>
      </c>
      <c r="R185" s="98" t="s">
        <v>71</v>
      </c>
      <c r="S185" s="99" t="s">
        <v>72</v>
      </c>
      <c r="T185" s="98" t="s">
        <v>70</v>
      </c>
      <c r="U185" s="98" t="s">
        <v>71</v>
      </c>
      <c r="V185" s="99" t="s">
        <v>72</v>
      </c>
      <c r="W185" s="98" t="s">
        <v>70</v>
      </c>
      <c r="X185" s="98" t="s">
        <v>71</v>
      </c>
      <c r="Y185" s="99" t="s">
        <v>72</v>
      </c>
      <c r="Z185" s="98" t="s">
        <v>70</v>
      </c>
      <c r="AA185" s="98" t="s">
        <v>71</v>
      </c>
      <c r="AB185" s="99" t="s">
        <v>72</v>
      </c>
      <c r="AC185" s="200"/>
    </row>
    <row r="186" spans="1:29" x14ac:dyDescent="0.2">
      <c r="A186" s="228"/>
      <c r="B186" s="201" t="str">
        <f>B173</f>
        <v>02C</v>
      </c>
      <c r="C186" s="202" t="str">
        <f>C173</f>
        <v>DEO-C01</v>
      </c>
      <c r="D186" s="9">
        <f>IF(ISBLANK(D173), "", D173)</f>
        <v>21284</v>
      </c>
      <c r="E186" s="9" t="str">
        <f>IF(ISBLANK(E173), "", E173)</f>
        <v>Black</v>
      </c>
      <c r="F186" s="9">
        <f>IF(ISBLANK(F173), "", F173)</f>
        <v>621</v>
      </c>
      <c r="G186" s="203"/>
      <c r="H186" s="38">
        <v>100</v>
      </c>
      <c r="I186" s="38">
        <v>30</v>
      </c>
      <c r="J186" s="38">
        <v>50</v>
      </c>
      <c r="K186" s="38"/>
      <c r="L186" s="38"/>
      <c r="M186" s="38"/>
      <c r="N186" s="37"/>
      <c r="O186" s="37"/>
      <c r="P186" s="37"/>
      <c r="Q186" s="37"/>
      <c r="R186" s="37"/>
      <c r="S186" s="38"/>
      <c r="T186" s="37"/>
      <c r="U186" s="37"/>
      <c r="V186" s="37"/>
      <c r="W186" s="37"/>
      <c r="X186" s="37"/>
      <c r="Y186" s="38"/>
      <c r="Z186" s="38"/>
      <c r="AA186" s="38"/>
      <c r="AB186" s="112"/>
      <c r="AC186" s="200"/>
    </row>
    <row r="187" spans="1:29" x14ac:dyDescent="0.2">
      <c r="A187" s="228"/>
      <c r="B187" s="201"/>
      <c r="C187" s="202"/>
      <c r="D187" s="9"/>
      <c r="E187" s="9" t="str">
        <f t="shared" ref="E187:F189" si="31">IF(ISBLANK(E174), "", E174)</f>
        <v/>
      </c>
      <c r="F187" s="9" t="str">
        <f t="shared" si="31"/>
        <v/>
      </c>
      <c r="G187" s="203"/>
      <c r="H187" s="37"/>
      <c r="I187" s="37"/>
      <c r="J187" s="37"/>
      <c r="K187" s="37"/>
      <c r="L187" s="37"/>
      <c r="M187" s="38"/>
      <c r="N187" s="37"/>
      <c r="O187" s="37"/>
      <c r="P187" s="37"/>
      <c r="Q187" s="37"/>
      <c r="R187" s="37"/>
      <c r="S187" s="38"/>
      <c r="T187" s="37"/>
      <c r="U187" s="37"/>
      <c r="V187" s="37"/>
      <c r="W187" s="37"/>
      <c r="X187" s="37"/>
      <c r="Y187" s="38"/>
      <c r="Z187" s="38"/>
      <c r="AA187" s="38"/>
      <c r="AB187" s="112"/>
      <c r="AC187" s="200"/>
    </row>
    <row r="188" spans="1:29" x14ac:dyDescent="0.2">
      <c r="A188" s="228"/>
      <c r="B188" s="201" t="str">
        <f>B175</f>
        <v>03C</v>
      </c>
      <c r="C188" s="202" t="str">
        <f>C175</f>
        <v>DEO-B02</v>
      </c>
      <c r="D188" s="9">
        <f>IF(ISBLANK(D175), "", D175)</f>
        <v>21284</v>
      </c>
      <c r="E188" s="9" t="str">
        <f t="shared" si="31"/>
        <v>Clear</v>
      </c>
      <c r="F188" s="9">
        <f t="shared" si="31"/>
        <v>621</v>
      </c>
      <c r="G188" s="203"/>
      <c r="H188" s="38">
        <v>30</v>
      </c>
      <c r="I188" s="38">
        <v>10</v>
      </c>
      <c r="J188" s="38">
        <v>50</v>
      </c>
      <c r="K188" s="37"/>
      <c r="L188" s="37"/>
      <c r="M188" s="38"/>
      <c r="N188" s="37"/>
      <c r="O188" s="37"/>
      <c r="P188" s="37"/>
      <c r="Q188" s="37"/>
      <c r="R188" s="37"/>
      <c r="S188" s="38"/>
      <c r="T188" s="37"/>
      <c r="U188" s="37"/>
      <c r="V188" s="37"/>
      <c r="W188" s="37"/>
      <c r="X188" s="37"/>
      <c r="Y188" s="38"/>
      <c r="Z188" s="38"/>
      <c r="AA188" s="38"/>
      <c r="AB188" s="112"/>
      <c r="AC188" s="200"/>
    </row>
    <row r="189" spans="1:29" x14ac:dyDescent="0.2">
      <c r="A189" s="228"/>
      <c r="B189" s="201"/>
      <c r="C189" s="202"/>
      <c r="D189" s="9" t="str">
        <f>IF(ISBLANK(D176), "", D176)</f>
        <v/>
      </c>
      <c r="E189" s="9" t="str">
        <f t="shared" si="31"/>
        <v/>
      </c>
      <c r="F189" s="9" t="str">
        <f t="shared" si="31"/>
        <v/>
      </c>
      <c r="G189" s="203"/>
      <c r="H189" s="37"/>
      <c r="I189" s="37"/>
      <c r="J189" s="37"/>
      <c r="K189" s="37"/>
      <c r="L189" s="37"/>
      <c r="M189" s="38"/>
      <c r="N189" s="37"/>
      <c r="O189" s="37"/>
      <c r="P189" s="37"/>
      <c r="Q189" s="37"/>
      <c r="R189" s="37"/>
      <c r="S189" s="38"/>
      <c r="T189" s="37"/>
      <c r="U189" s="37"/>
      <c r="V189" s="37"/>
      <c r="W189" s="37"/>
      <c r="X189" s="37"/>
      <c r="Y189" s="38"/>
      <c r="Z189" s="38"/>
      <c r="AA189" s="38"/>
      <c r="AB189" s="112"/>
      <c r="AC189" s="200"/>
    </row>
    <row r="191" spans="1:29" x14ac:dyDescent="0.2">
      <c r="A191" s="228">
        <v>44721</v>
      </c>
      <c r="B191" s="19" t="s">
        <v>42</v>
      </c>
      <c r="C191" s="20"/>
      <c r="D191" s="21" t="s">
        <v>43</v>
      </c>
      <c r="E191" s="20">
        <v>0</v>
      </c>
      <c r="F191" s="31"/>
      <c r="G191" s="32"/>
      <c r="H191" s="52"/>
      <c r="I191" s="65"/>
      <c r="J191" s="73"/>
      <c r="K191" s="32"/>
      <c r="L191" s="21"/>
      <c r="M191" s="32"/>
      <c r="N191" s="52"/>
      <c r="O191" s="65"/>
      <c r="P191" s="73"/>
      <c r="Q191" s="32"/>
      <c r="R191" s="21"/>
      <c r="S191" s="32"/>
      <c r="T191" s="52"/>
      <c r="U191" s="65"/>
      <c r="V191" s="73"/>
      <c r="W191" s="32"/>
      <c r="X191" s="21"/>
      <c r="Y191" s="21"/>
      <c r="Z191" s="32"/>
      <c r="AA191" s="21"/>
      <c r="AB191" s="21"/>
      <c r="AC191" s="33"/>
    </row>
    <row r="192" spans="1:29" x14ac:dyDescent="0.2">
      <c r="A192" s="228"/>
      <c r="B192" s="229" t="s">
        <v>10</v>
      </c>
      <c r="C192" s="230" t="s">
        <v>0</v>
      </c>
      <c r="D192" s="230" t="s">
        <v>25</v>
      </c>
      <c r="E192" s="230" t="s">
        <v>11</v>
      </c>
      <c r="F192" s="230" t="s">
        <v>16</v>
      </c>
      <c r="G192" s="237" t="s">
        <v>12</v>
      </c>
      <c r="H192" s="222" t="s">
        <v>13</v>
      </c>
      <c r="I192" s="223"/>
      <c r="J192" s="223"/>
      <c r="K192" s="223"/>
      <c r="L192" s="223"/>
      <c r="M192" s="224"/>
      <c r="N192" s="222" t="s">
        <v>14</v>
      </c>
      <c r="O192" s="223"/>
      <c r="P192" s="223"/>
      <c r="Q192" s="223"/>
      <c r="R192" s="223"/>
      <c r="S192" s="224"/>
      <c r="T192" s="222" t="s">
        <v>15</v>
      </c>
      <c r="U192" s="223"/>
      <c r="V192" s="223"/>
      <c r="W192" s="223"/>
      <c r="X192" s="223"/>
      <c r="Y192" s="224"/>
      <c r="Z192" s="225" t="s">
        <v>37</v>
      </c>
      <c r="AA192" s="225" t="s">
        <v>39</v>
      </c>
      <c r="AB192" s="225" t="s">
        <v>62</v>
      </c>
      <c r="AC192" s="231" t="s">
        <v>26</v>
      </c>
    </row>
    <row r="193" spans="1:29" ht="41.25" customHeight="1" x14ac:dyDescent="0.2">
      <c r="A193" s="228"/>
      <c r="B193" s="229"/>
      <c r="C193" s="230"/>
      <c r="D193" s="230"/>
      <c r="E193" s="230"/>
      <c r="F193" s="230"/>
      <c r="G193" s="237"/>
      <c r="H193" s="53" t="s">
        <v>50</v>
      </c>
      <c r="I193" s="66" t="s">
        <v>51</v>
      </c>
      <c r="J193" s="74" t="s">
        <v>63</v>
      </c>
      <c r="K193" s="24" t="s">
        <v>44</v>
      </c>
      <c r="L193" s="18" t="s">
        <v>5</v>
      </c>
      <c r="M193" s="81" t="s">
        <v>31</v>
      </c>
      <c r="N193" s="53" t="s">
        <v>50</v>
      </c>
      <c r="O193" s="66" t="s">
        <v>51</v>
      </c>
      <c r="P193" s="74" t="s">
        <v>63</v>
      </c>
      <c r="Q193" s="24" t="s">
        <v>44</v>
      </c>
      <c r="R193" s="30" t="s">
        <v>5</v>
      </c>
      <c r="S193" s="34" t="s">
        <v>31</v>
      </c>
      <c r="T193" s="53" t="s">
        <v>50</v>
      </c>
      <c r="U193" s="66" t="s">
        <v>51</v>
      </c>
      <c r="V193" s="74" t="s">
        <v>63</v>
      </c>
      <c r="W193" s="24" t="s">
        <v>44</v>
      </c>
      <c r="X193" s="30" t="s">
        <v>5</v>
      </c>
      <c r="Y193" s="34" t="s">
        <v>31</v>
      </c>
      <c r="Z193" s="226"/>
      <c r="AA193" s="227"/>
      <c r="AB193" s="227"/>
      <c r="AC193" s="231"/>
    </row>
    <row r="194" spans="1:29" x14ac:dyDescent="0.2">
      <c r="A194" s="228"/>
      <c r="B194" s="232" t="s">
        <v>2</v>
      </c>
      <c r="C194" s="234" t="s">
        <v>84</v>
      </c>
      <c r="D194" s="12"/>
      <c r="E194" s="10"/>
      <c r="F194" s="12"/>
      <c r="G194" s="234" t="s">
        <v>1</v>
      </c>
      <c r="H194" s="47">
        <v>23.6</v>
      </c>
      <c r="I194" s="63">
        <v>0</v>
      </c>
      <c r="J194" s="35"/>
      <c r="K194" s="35">
        <v>16</v>
      </c>
      <c r="L194" s="35">
        <f>IF(ISBLANK(J194), , J194*K194)</f>
        <v>0</v>
      </c>
      <c r="M194" s="29"/>
      <c r="N194" s="47">
        <v>23.6</v>
      </c>
      <c r="O194" s="63">
        <v>0</v>
      </c>
      <c r="P194" s="35"/>
      <c r="Q194" s="35">
        <v>16</v>
      </c>
      <c r="R194" s="35">
        <f>IF(ISBLANK(P194), , P194*Q194)</f>
        <v>0</v>
      </c>
      <c r="S194" s="29"/>
      <c r="T194" s="47">
        <v>23.6</v>
      </c>
      <c r="U194" s="63">
        <v>0</v>
      </c>
      <c r="V194" s="35"/>
      <c r="W194" s="35">
        <v>16</v>
      </c>
      <c r="X194" s="35">
        <f>IF(ISBLANK(V194), , V194*W194)</f>
        <v>0</v>
      </c>
      <c r="Y194" s="29"/>
      <c r="Z194" s="210">
        <f>SUM(L194, R194, X194)+SUM(L195, R195, X195)</f>
        <v>0</v>
      </c>
      <c r="AA194" s="210">
        <f>SUM(M194, S194, Y194)+SUM(M195, S195, Y195)</f>
        <v>0</v>
      </c>
      <c r="AB194" s="212">
        <f>IF($Z194=0, ,AA194/$Z194)</f>
        <v>0</v>
      </c>
      <c r="AC194" s="214"/>
    </row>
    <row r="195" spans="1:29" x14ac:dyDescent="0.2">
      <c r="A195" s="228"/>
      <c r="B195" s="233"/>
      <c r="C195" s="235"/>
      <c r="D195" s="12"/>
      <c r="E195" s="12"/>
      <c r="F195" s="12"/>
      <c r="G195" s="236"/>
      <c r="H195" s="47"/>
      <c r="I195" s="63"/>
      <c r="J195" s="35"/>
      <c r="K195" s="35"/>
      <c r="L195" s="35">
        <f>IF(ISBLANK(J195), , J195*K195)</f>
        <v>0</v>
      </c>
      <c r="M195" s="29"/>
      <c r="N195" s="47"/>
      <c r="O195" s="63"/>
      <c r="P195" s="35"/>
      <c r="Q195" s="35"/>
      <c r="R195" s="35">
        <f>IF(ISBLANK(P195), , P195*Q195)</f>
        <v>0</v>
      </c>
      <c r="S195" s="29"/>
      <c r="T195" s="47"/>
      <c r="U195" s="63"/>
      <c r="V195" s="35"/>
      <c r="W195" s="35"/>
      <c r="X195" s="35">
        <f>IF(ISBLANK(V195), , V195*W195)</f>
        <v>0</v>
      </c>
      <c r="Y195" s="29"/>
      <c r="Z195" s="211"/>
      <c r="AA195" s="211"/>
      <c r="AB195" s="213"/>
      <c r="AC195" s="215"/>
    </row>
    <row r="196" spans="1:29" x14ac:dyDescent="0.2">
      <c r="A196" s="228"/>
      <c r="B196" s="216" t="s">
        <v>6</v>
      </c>
      <c r="C196" s="218" t="s">
        <v>8</v>
      </c>
      <c r="D196" s="10" t="s">
        <v>93</v>
      </c>
      <c r="E196" s="10" t="s">
        <v>89</v>
      </c>
      <c r="F196" s="10">
        <v>621</v>
      </c>
      <c r="G196" s="218" t="s">
        <v>1</v>
      </c>
      <c r="H196" s="48">
        <v>19.57</v>
      </c>
      <c r="I196" s="67">
        <v>8</v>
      </c>
      <c r="J196" s="39">
        <v>1431</v>
      </c>
      <c r="K196" s="39">
        <v>8</v>
      </c>
      <c r="L196" s="39">
        <f>IF(ISBLANK(J196), , J196*K196)</f>
        <v>11448</v>
      </c>
      <c r="M196" s="40">
        <f>H209+K209+N209+Q209+T209+W209+Z209</f>
        <v>20</v>
      </c>
      <c r="N196" s="48">
        <v>19.57</v>
      </c>
      <c r="O196" s="67">
        <v>8</v>
      </c>
      <c r="P196" s="39">
        <v>1459</v>
      </c>
      <c r="Q196" s="39">
        <v>8</v>
      </c>
      <c r="R196" s="39">
        <f>IF(ISBLANK(P196), , P196*Q196)</f>
        <v>11672</v>
      </c>
      <c r="S196" s="40">
        <f>I209+L209+O209+R209+U209+X209+AA209</f>
        <v>15</v>
      </c>
      <c r="T196" s="48">
        <v>19.57</v>
      </c>
      <c r="U196" s="67">
        <v>8</v>
      </c>
      <c r="V196" s="39">
        <v>1470</v>
      </c>
      <c r="W196" s="39">
        <v>8</v>
      </c>
      <c r="X196" s="39">
        <f>IF(ISBLANK(V196), , V196*W196)</f>
        <v>11760</v>
      </c>
      <c r="Y196" s="40">
        <f>J209+M209+P209+S209+V209+Y209+AB209</f>
        <v>20</v>
      </c>
      <c r="Z196" s="238">
        <f>SUM(L196, R196, X196)+SUM(L197, R197, X197)</f>
        <v>34880</v>
      </c>
      <c r="AA196" s="220">
        <f>SUM(M196, S196, Y196)+SUM(M197, S197, Y197)</f>
        <v>55</v>
      </c>
      <c r="AB196" s="194">
        <f>IF($Z196=0, ,AA196/$Z196)</f>
        <v>1.5768348623853212E-3</v>
      </c>
      <c r="AC196" s="204"/>
    </row>
    <row r="197" spans="1:29" x14ac:dyDescent="0.2">
      <c r="A197" s="228"/>
      <c r="B197" s="217"/>
      <c r="C197" s="219"/>
      <c r="D197" s="10"/>
      <c r="E197" s="10"/>
      <c r="F197" s="10"/>
      <c r="G197" s="219"/>
      <c r="H197" s="48"/>
      <c r="I197" s="67"/>
      <c r="J197" s="39"/>
      <c r="K197" s="39"/>
      <c r="L197" s="39">
        <f>IF(ISBLANK(J197), , J197*K197)</f>
        <v>0</v>
      </c>
      <c r="M197" s="40">
        <f>H210+K210+N210+Q210+T210+W210+Z210</f>
        <v>0</v>
      </c>
      <c r="N197" s="48"/>
      <c r="O197" s="67"/>
      <c r="P197" s="39"/>
      <c r="Q197" s="39"/>
      <c r="R197" s="39">
        <f t="shared" ref="R197:R203" si="32">IF(ISBLANK(P197), , P197*Q197)</f>
        <v>0</v>
      </c>
      <c r="S197" s="40">
        <f>I210+L210+O210+R210+U210+X210+AA210</f>
        <v>0</v>
      </c>
      <c r="T197" s="48"/>
      <c r="U197" s="67"/>
      <c r="V197" s="39"/>
      <c r="W197" s="39"/>
      <c r="X197" s="39">
        <f>IF(ISBLANK(V197), , V197*W197)</f>
        <v>0</v>
      </c>
      <c r="Y197" s="40">
        <f>J210+M210+P210+S210+V210+Y210+AB210</f>
        <v>0</v>
      </c>
      <c r="Z197" s="239"/>
      <c r="AA197" s="221"/>
      <c r="AB197" s="195"/>
      <c r="AC197" s="205"/>
    </row>
    <row r="198" spans="1:29" x14ac:dyDescent="0.2">
      <c r="A198" s="228"/>
      <c r="B198" s="206" t="s">
        <v>7</v>
      </c>
      <c r="C198" s="208" t="s">
        <v>81</v>
      </c>
      <c r="D198" s="9" t="s">
        <v>94</v>
      </c>
      <c r="E198" s="9"/>
      <c r="F198" s="9">
        <v>621</v>
      </c>
      <c r="G198" s="208" t="s">
        <v>1</v>
      </c>
      <c r="H198" s="49">
        <v>20.5</v>
      </c>
      <c r="I198" s="68">
        <v>8</v>
      </c>
      <c r="J198" s="37">
        <v>1313</v>
      </c>
      <c r="K198" s="37">
        <v>8</v>
      </c>
      <c r="L198" s="37">
        <f>IF(ISBLANK(J198), , J198*K198)</f>
        <v>10504</v>
      </c>
      <c r="M198" s="38">
        <f>H211+K211+N211+Q211+T211+W211+Z211</f>
        <v>35</v>
      </c>
      <c r="N198" s="49">
        <v>21.95</v>
      </c>
      <c r="O198" s="68">
        <v>8</v>
      </c>
      <c r="P198" s="37">
        <v>1432</v>
      </c>
      <c r="Q198" s="37">
        <v>8</v>
      </c>
      <c r="R198" s="37">
        <f t="shared" si="32"/>
        <v>11456</v>
      </c>
      <c r="S198" s="38">
        <f>I211+L211+O211+R211+U211+X211+AA211</f>
        <v>20</v>
      </c>
      <c r="T198" s="49">
        <v>22</v>
      </c>
      <c r="U198" s="68">
        <v>8</v>
      </c>
      <c r="V198" s="37">
        <v>1418</v>
      </c>
      <c r="W198" s="37">
        <v>8</v>
      </c>
      <c r="X198" s="37">
        <f>IF(ISBLANK(V198), , V198*W198)</f>
        <v>11344</v>
      </c>
      <c r="Y198" s="38">
        <f>J211+M211+P211+S211+V211+Y211+AB211</f>
        <v>15</v>
      </c>
      <c r="Z198" s="210">
        <f>SUM(L198, R198, X198)+SUM(L199, R199, X199)</f>
        <v>33304</v>
      </c>
      <c r="AA198" s="210">
        <f>SUM(M198, S198, Y198)+SUM(M199, S199, Y199)</f>
        <v>70</v>
      </c>
      <c r="AB198" s="212">
        <f>IF($Z198=0, ,AA198/$Z198)</f>
        <v>2.1018496276723518E-3</v>
      </c>
      <c r="AC198" s="214"/>
    </row>
    <row r="199" spans="1:29" x14ac:dyDescent="0.2">
      <c r="A199" s="228"/>
      <c r="B199" s="207"/>
      <c r="C199" s="209"/>
      <c r="D199" s="9"/>
      <c r="E199" s="9"/>
      <c r="F199" s="9"/>
      <c r="G199" s="209"/>
      <c r="H199" s="49"/>
      <c r="I199" s="68"/>
      <c r="J199" s="37"/>
      <c r="K199" s="37"/>
      <c r="L199" s="37">
        <f t="shared" ref="L199:L205" si="33">IF(ISBLANK(J199), , J199*K199)</f>
        <v>0</v>
      </c>
      <c r="M199" s="38">
        <f>H212+K212+N212+Q212+T212+W212+Z212</f>
        <v>0</v>
      </c>
      <c r="N199" s="49"/>
      <c r="O199" s="68"/>
      <c r="P199" s="37"/>
      <c r="Q199" s="37"/>
      <c r="R199" s="37">
        <f t="shared" si="32"/>
        <v>0</v>
      </c>
      <c r="S199" s="38">
        <f>I212+L212+O212+R212+U212+X212+AA212</f>
        <v>0</v>
      </c>
      <c r="T199" s="49"/>
      <c r="U199" s="68"/>
      <c r="V199" s="37"/>
      <c r="W199" s="37"/>
      <c r="X199" s="37">
        <f t="shared" ref="X199:X205" si="34">IF(ISBLANK(V199), , V199*W199)</f>
        <v>0</v>
      </c>
      <c r="Y199" s="38">
        <f>J212+M212+P212+S212+V212+Y212+AB212</f>
        <v>0</v>
      </c>
      <c r="Z199" s="211"/>
      <c r="AA199" s="211"/>
      <c r="AB199" s="213"/>
      <c r="AC199" s="215"/>
    </row>
    <row r="200" spans="1:29" x14ac:dyDescent="0.2">
      <c r="A200" s="228"/>
      <c r="B200" s="216" t="s">
        <v>3</v>
      </c>
      <c r="C200" s="218" t="s">
        <v>82</v>
      </c>
      <c r="D200" s="10"/>
      <c r="E200" s="10"/>
      <c r="F200" s="10"/>
      <c r="G200" s="218" t="s">
        <v>1</v>
      </c>
      <c r="H200" s="48">
        <v>19.71</v>
      </c>
      <c r="I200" s="67">
        <v>0</v>
      </c>
      <c r="J200" s="36"/>
      <c r="K200" s="36">
        <v>16</v>
      </c>
      <c r="L200" s="36">
        <f t="shared" si="33"/>
        <v>0</v>
      </c>
      <c r="M200" s="17"/>
      <c r="N200" s="48">
        <v>19.690000000000001</v>
      </c>
      <c r="O200" s="67">
        <v>0</v>
      </c>
      <c r="P200" s="36"/>
      <c r="Q200" s="36">
        <v>16</v>
      </c>
      <c r="R200" s="36">
        <f t="shared" si="32"/>
        <v>0</v>
      </c>
      <c r="S200" s="17"/>
      <c r="T200" s="48">
        <v>19.2</v>
      </c>
      <c r="U200" s="67">
        <v>0</v>
      </c>
      <c r="V200" s="36">
        <v>0</v>
      </c>
      <c r="W200" s="36">
        <v>16</v>
      </c>
      <c r="X200" s="36">
        <f t="shared" si="34"/>
        <v>0</v>
      </c>
      <c r="Y200" s="17"/>
      <c r="Z200" s="220">
        <f>SUM(L200, R200, X200)+SUM(L201, R201, X201)</f>
        <v>0</v>
      </c>
      <c r="AA200" s="220">
        <f>SUM(M200, S200, Y200)+SUM(M201, S201, Y201)</f>
        <v>0</v>
      </c>
      <c r="AB200" s="194">
        <f>IF($Z200=0, ,AA200/$Z200)</f>
        <v>0</v>
      </c>
      <c r="AC200" s="204"/>
    </row>
    <row r="201" spans="1:29" x14ac:dyDescent="0.2">
      <c r="A201" s="228"/>
      <c r="B201" s="217"/>
      <c r="C201" s="219"/>
      <c r="D201" s="10"/>
      <c r="E201" s="10"/>
      <c r="F201" s="10"/>
      <c r="G201" s="219"/>
      <c r="H201" s="48"/>
      <c r="I201" s="67"/>
      <c r="J201" s="36"/>
      <c r="K201" s="36"/>
      <c r="L201" s="36">
        <f t="shared" si="33"/>
        <v>0</v>
      </c>
      <c r="M201" s="17"/>
      <c r="N201" s="48"/>
      <c r="O201" s="67"/>
      <c r="P201" s="36"/>
      <c r="Q201" s="36"/>
      <c r="R201" s="36">
        <f t="shared" si="32"/>
        <v>0</v>
      </c>
      <c r="S201" s="17"/>
      <c r="T201" s="48"/>
      <c r="U201" s="67"/>
      <c r="V201" s="36"/>
      <c r="W201" s="36"/>
      <c r="X201" s="36">
        <f t="shared" si="34"/>
        <v>0</v>
      </c>
      <c r="Y201" s="17"/>
      <c r="Z201" s="221"/>
      <c r="AA201" s="221"/>
      <c r="AB201" s="195"/>
      <c r="AC201" s="205"/>
    </row>
    <row r="202" spans="1:29" x14ac:dyDescent="0.2">
      <c r="A202" s="228"/>
      <c r="B202" s="206" t="s">
        <v>4</v>
      </c>
      <c r="C202" s="208" t="s">
        <v>9</v>
      </c>
      <c r="D202" s="9"/>
      <c r="E202" s="10"/>
      <c r="F202" s="9"/>
      <c r="G202" s="208" t="s">
        <v>1</v>
      </c>
      <c r="H202" s="49">
        <v>20.58</v>
      </c>
      <c r="I202" s="68">
        <v>0</v>
      </c>
      <c r="J202" s="37">
        <v>0</v>
      </c>
      <c r="K202" s="37">
        <v>8</v>
      </c>
      <c r="L202" s="37">
        <f t="shared" si="33"/>
        <v>0</v>
      </c>
      <c r="M202" s="38"/>
      <c r="N202" s="49">
        <v>20.58</v>
      </c>
      <c r="O202" s="68">
        <v>0</v>
      </c>
      <c r="P202" s="37">
        <v>0</v>
      </c>
      <c r="Q202" s="37">
        <v>8</v>
      </c>
      <c r="R202" s="37">
        <f t="shared" si="32"/>
        <v>0</v>
      </c>
      <c r="S202" s="38"/>
      <c r="T202" s="49">
        <v>20.58</v>
      </c>
      <c r="U202" s="68">
        <v>0</v>
      </c>
      <c r="V202" s="37">
        <v>0</v>
      </c>
      <c r="W202" s="37">
        <v>8</v>
      </c>
      <c r="X202" s="37">
        <f t="shared" si="34"/>
        <v>0</v>
      </c>
      <c r="Y202" s="38"/>
      <c r="Z202" s="210">
        <f>SUM(L202, R202, X202)+SUM(L203, R203, X203)</f>
        <v>0</v>
      </c>
      <c r="AA202" s="210">
        <f>SUM(M202, S202, Y202)+SUM(M203, S203, Y203)</f>
        <v>0</v>
      </c>
      <c r="AB202" s="212">
        <f>IF($Z202=0, ,AA202/$Z202)</f>
        <v>0</v>
      </c>
      <c r="AC202" s="214"/>
    </row>
    <row r="203" spans="1:29" x14ac:dyDescent="0.2">
      <c r="A203" s="228"/>
      <c r="B203" s="207"/>
      <c r="C203" s="209"/>
      <c r="D203" s="9"/>
      <c r="E203" s="9"/>
      <c r="F203" s="9"/>
      <c r="G203" s="209"/>
      <c r="H203" s="49"/>
      <c r="I203" s="68"/>
      <c r="J203" s="37"/>
      <c r="K203" s="37"/>
      <c r="L203" s="37">
        <f t="shared" si="33"/>
        <v>0</v>
      </c>
      <c r="M203" s="38"/>
      <c r="N203" s="49"/>
      <c r="O203" s="68"/>
      <c r="P203" s="37"/>
      <c r="Q203" s="37"/>
      <c r="R203" s="37">
        <f t="shared" si="32"/>
        <v>0</v>
      </c>
      <c r="S203" s="38"/>
      <c r="T203" s="49"/>
      <c r="U203" s="68"/>
      <c r="V203" s="37"/>
      <c r="W203" s="37"/>
      <c r="X203" s="37">
        <f t="shared" si="34"/>
        <v>0</v>
      </c>
      <c r="Y203" s="38"/>
      <c r="Z203" s="211"/>
      <c r="AA203" s="211"/>
      <c r="AB203" s="213"/>
      <c r="AC203" s="215"/>
    </row>
    <row r="204" spans="1:29" x14ac:dyDescent="0.2">
      <c r="A204" s="228"/>
      <c r="B204" s="189" t="s">
        <v>85</v>
      </c>
      <c r="C204" s="191" t="s">
        <v>83</v>
      </c>
      <c r="D204" s="11"/>
      <c r="E204" s="10"/>
      <c r="F204" s="11"/>
      <c r="G204" s="191" t="s">
        <v>1</v>
      </c>
      <c r="H204" s="50">
        <v>12.89</v>
      </c>
      <c r="I204" s="69">
        <v>0</v>
      </c>
      <c r="J204" s="39">
        <v>0</v>
      </c>
      <c r="K204" s="39">
        <v>16</v>
      </c>
      <c r="L204" s="39">
        <f t="shared" si="33"/>
        <v>0</v>
      </c>
      <c r="M204" s="40"/>
      <c r="N204" s="50">
        <v>12.89</v>
      </c>
      <c r="O204" s="69">
        <v>0</v>
      </c>
      <c r="P204" s="39">
        <v>0</v>
      </c>
      <c r="Q204" s="39">
        <v>16</v>
      </c>
      <c r="R204" s="39">
        <f>IF(ISBLANK(P204), , P204*Q204)</f>
        <v>0</v>
      </c>
      <c r="S204" s="40"/>
      <c r="T204" s="50">
        <v>23.6</v>
      </c>
      <c r="U204" s="69">
        <v>0</v>
      </c>
      <c r="V204" s="39">
        <v>0</v>
      </c>
      <c r="W204" s="39">
        <v>16</v>
      </c>
      <c r="X204" s="39">
        <f t="shared" si="34"/>
        <v>0</v>
      </c>
      <c r="Y204" s="40"/>
      <c r="Z204" s="193">
        <f>SUM(L204, R204, X204)+SUM(L205, R205, X205)</f>
        <v>0</v>
      </c>
      <c r="AA204" s="193">
        <f>SUM(M204, S204, Y204)+SUM(M205, S205, Y205)</f>
        <v>0</v>
      </c>
      <c r="AB204" s="194">
        <f>IF($Z204=0, ,AA204/$Z204)</f>
        <v>0</v>
      </c>
      <c r="AC204" s="196"/>
    </row>
    <row r="205" spans="1:29" x14ac:dyDescent="0.2">
      <c r="A205" s="228"/>
      <c r="B205" s="190"/>
      <c r="C205" s="192"/>
      <c r="D205" s="11"/>
      <c r="E205" s="11"/>
      <c r="F205" s="11"/>
      <c r="G205" s="192"/>
      <c r="H205" s="50"/>
      <c r="I205" s="69"/>
      <c r="J205" s="39"/>
      <c r="K205" s="39"/>
      <c r="L205" s="39">
        <f t="shared" si="33"/>
        <v>0</v>
      </c>
      <c r="M205" s="40"/>
      <c r="N205" s="50"/>
      <c r="O205" s="69"/>
      <c r="P205" s="39"/>
      <c r="Q205" s="39"/>
      <c r="R205" s="39">
        <f>IF(ISBLANK(P205), , P205*Q205)</f>
        <v>0</v>
      </c>
      <c r="S205" s="40"/>
      <c r="T205" s="50"/>
      <c r="U205" s="69"/>
      <c r="V205" s="39"/>
      <c r="W205" s="39"/>
      <c r="X205" s="39">
        <f t="shared" si="34"/>
        <v>0</v>
      </c>
      <c r="Y205" s="40"/>
      <c r="Z205" s="193"/>
      <c r="AA205" s="193"/>
      <c r="AB205" s="195"/>
      <c r="AC205" s="196"/>
    </row>
    <row r="206" spans="1:29" x14ac:dyDescent="0.2">
      <c r="A206" s="228"/>
      <c r="B206" s="56"/>
      <c r="C206" s="56"/>
      <c r="D206" s="56"/>
      <c r="E206" s="56"/>
      <c r="F206" s="56"/>
      <c r="G206" s="56"/>
      <c r="H206" s="76"/>
      <c r="I206" s="77"/>
      <c r="J206" s="78"/>
      <c r="K206" s="78"/>
      <c r="L206" s="78"/>
      <c r="M206" s="79"/>
      <c r="N206" s="76"/>
      <c r="O206" s="77"/>
      <c r="P206" s="78"/>
      <c r="Q206" s="78"/>
      <c r="R206" s="78"/>
      <c r="S206" s="79"/>
      <c r="T206" s="76"/>
      <c r="U206" s="77"/>
      <c r="V206" s="78"/>
      <c r="W206" s="78"/>
      <c r="X206" s="78"/>
      <c r="Y206" s="79"/>
      <c r="Z206" s="79"/>
      <c r="AA206" s="79"/>
      <c r="AB206" s="80"/>
      <c r="AC206" s="59"/>
    </row>
    <row r="207" spans="1:29" x14ac:dyDescent="0.2">
      <c r="A207" s="228"/>
      <c r="B207" s="197" t="s">
        <v>67</v>
      </c>
      <c r="C207" s="198"/>
      <c r="D207" s="198"/>
      <c r="E207" s="198"/>
      <c r="F207" s="198"/>
      <c r="G207" s="9" t="s">
        <v>68</v>
      </c>
      <c r="H207" s="199" t="s">
        <v>64</v>
      </c>
      <c r="I207" s="199"/>
      <c r="J207" s="199"/>
      <c r="K207" s="199" t="s">
        <v>76</v>
      </c>
      <c r="L207" s="199"/>
      <c r="M207" s="199"/>
      <c r="N207" s="199" t="s">
        <v>65</v>
      </c>
      <c r="O207" s="199"/>
      <c r="P207" s="199"/>
      <c r="Q207" s="199" t="s">
        <v>66</v>
      </c>
      <c r="R207" s="199"/>
      <c r="S207" s="199"/>
      <c r="T207" s="199" t="s">
        <v>73</v>
      </c>
      <c r="U207" s="199"/>
      <c r="V207" s="199"/>
      <c r="W207" s="199" t="s">
        <v>74</v>
      </c>
      <c r="X207" s="199"/>
      <c r="Y207" s="199"/>
      <c r="Z207" s="199" t="s">
        <v>75</v>
      </c>
      <c r="AA207" s="199"/>
      <c r="AB207" s="199"/>
      <c r="AC207" s="200"/>
    </row>
    <row r="208" spans="1:29" x14ac:dyDescent="0.2">
      <c r="A208" s="228"/>
      <c r="B208" s="197"/>
      <c r="C208" s="198"/>
      <c r="D208" s="198"/>
      <c r="E208" s="198"/>
      <c r="F208" s="198"/>
      <c r="G208" s="9" t="s">
        <v>69</v>
      </c>
      <c r="H208" s="98" t="s">
        <v>70</v>
      </c>
      <c r="I208" s="98" t="s">
        <v>71</v>
      </c>
      <c r="J208" s="99" t="s">
        <v>72</v>
      </c>
      <c r="K208" s="98" t="s">
        <v>70</v>
      </c>
      <c r="L208" s="98" t="s">
        <v>71</v>
      </c>
      <c r="M208" s="99" t="s">
        <v>72</v>
      </c>
      <c r="N208" s="98" t="s">
        <v>70</v>
      </c>
      <c r="O208" s="98" t="s">
        <v>71</v>
      </c>
      <c r="P208" s="99" t="s">
        <v>72</v>
      </c>
      <c r="Q208" s="98" t="s">
        <v>70</v>
      </c>
      <c r="R208" s="98" t="s">
        <v>71</v>
      </c>
      <c r="S208" s="99" t="s">
        <v>72</v>
      </c>
      <c r="T208" s="98" t="s">
        <v>70</v>
      </c>
      <c r="U208" s="98" t="s">
        <v>71</v>
      </c>
      <c r="V208" s="99" t="s">
        <v>72</v>
      </c>
      <c r="W208" s="98" t="s">
        <v>70</v>
      </c>
      <c r="X208" s="98" t="s">
        <v>71</v>
      </c>
      <c r="Y208" s="99" t="s">
        <v>72</v>
      </c>
      <c r="Z208" s="98" t="s">
        <v>70</v>
      </c>
      <c r="AA208" s="98" t="s">
        <v>71</v>
      </c>
      <c r="AB208" s="99" t="s">
        <v>72</v>
      </c>
      <c r="AC208" s="200"/>
    </row>
    <row r="209" spans="1:29" x14ac:dyDescent="0.2">
      <c r="A209" s="228"/>
      <c r="B209" s="201" t="str">
        <f>B196</f>
        <v>02C</v>
      </c>
      <c r="C209" s="202" t="str">
        <f>C196</f>
        <v>DEO-C01</v>
      </c>
      <c r="D209" s="9" t="str">
        <f>IF(ISBLANK(D196), "", D196)</f>
        <v>21284-C</v>
      </c>
      <c r="E209" s="9" t="str">
        <f>IF(ISBLANK(E196), "", E196)</f>
        <v>Black</v>
      </c>
      <c r="F209" s="9">
        <f>IF(ISBLANK(F196), "", F196)</f>
        <v>621</v>
      </c>
      <c r="G209" s="203"/>
      <c r="H209" s="38">
        <v>20</v>
      </c>
      <c r="I209" s="38">
        <v>15</v>
      </c>
      <c r="J209" s="38">
        <v>20</v>
      </c>
      <c r="K209" s="38"/>
      <c r="L209" s="38"/>
      <c r="M209" s="38"/>
      <c r="N209" s="37"/>
      <c r="O209" s="37"/>
      <c r="P209" s="37"/>
      <c r="Q209" s="37"/>
      <c r="R209" s="37"/>
      <c r="S209" s="38"/>
      <c r="T209" s="37"/>
      <c r="U209" s="37"/>
      <c r="V209" s="37"/>
      <c r="W209" s="37"/>
      <c r="X209" s="37"/>
      <c r="Y209" s="38"/>
      <c r="Z209" s="38"/>
      <c r="AA209" s="38"/>
      <c r="AB209" s="112"/>
      <c r="AC209" s="200"/>
    </row>
    <row r="210" spans="1:29" x14ac:dyDescent="0.2">
      <c r="A210" s="228"/>
      <c r="B210" s="201"/>
      <c r="C210" s="202"/>
      <c r="D210" s="9"/>
      <c r="E210" s="9" t="str">
        <f t="shared" ref="E210:F212" si="35">IF(ISBLANK(E197), "", E197)</f>
        <v/>
      </c>
      <c r="F210" s="9" t="str">
        <f t="shared" si="35"/>
        <v/>
      </c>
      <c r="G210" s="203"/>
      <c r="H210" s="37"/>
      <c r="I210" s="37"/>
      <c r="J210" s="37"/>
      <c r="K210" s="37"/>
      <c r="L210" s="37"/>
      <c r="M210" s="38"/>
      <c r="N210" s="37"/>
      <c r="O210" s="37"/>
      <c r="P210" s="37"/>
      <c r="Q210" s="37"/>
      <c r="R210" s="37"/>
      <c r="S210" s="38"/>
      <c r="T210" s="37"/>
      <c r="U210" s="37"/>
      <c r="V210" s="37"/>
      <c r="W210" s="37"/>
      <c r="X210" s="37"/>
      <c r="Y210" s="38"/>
      <c r="Z210" s="38"/>
      <c r="AA210" s="38"/>
      <c r="AB210" s="112"/>
      <c r="AC210" s="200"/>
    </row>
    <row r="211" spans="1:29" x14ac:dyDescent="0.2">
      <c r="A211" s="228"/>
      <c r="B211" s="201" t="str">
        <f>B198</f>
        <v>03C</v>
      </c>
      <c r="C211" s="202" t="str">
        <f>C198</f>
        <v>DEO-B02</v>
      </c>
      <c r="D211" s="9" t="str">
        <f>IF(ISBLANK(D198), "", D198)</f>
        <v>21284-B</v>
      </c>
      <c r="E211" s="9" t="str">
        <f t="shared" si="35"/>
        <v/>
      </c>
      <c r="F211" s="9">
        <f t="shared" si="35"/>
        <v>621</v>
      </c>
      <c r="G211" s="203"/>
      <c r="H211" s="38">
        <v>35</v>
      </c>
      <c r="I211" s="38">
        <v>20</v>
      </c>
      <c r="J211" s="38">
        <v>15</v>
      </c>
      <c r="K211" s="37"/>
      <c r="L211" s="37"/>
      <c r="M211" s="38"/>
      <c r="N211" s="37"/>
      <c r="O211" s="37"/>
      <c r="P211" s="37"/>
      <c r="Q211" s="37"/>
      <c r="R211" s="37"/>
      <c r="S211" s="38"/>
      <c r="T211" s="37"/>
      <c r="U211" s="37"/>
      <c r="V211" s="37"/>
      <c r="W211" s="37"/>
      <c r="X211" s="37"/>
      <c r="Y211" s="38"/>
      <c r="Z211" s="38"/>
      <c r="AA211" s="38"/>
      <c r="AB211" s="112"/>
      <c r="AC211" s="200"/>
    </row>
    <row r="212" spans="1:29" x14ac:dyDescent="0.2">
      <c r="A212" s="228"/>
      <c r="B212" s="201"/>
      <c r="C212" s="202"/>
      <c r="D212" s="9" t="str">
        <f>IF(ISBLANK(D199), "", D199)</f>
        <v/>
      </c>
      <c r="E212" s="9" t="str">
        <f t="shared" si="35"/>
        <v/>
      </c>
      <c r="F212" s="9" t="str">
        <f t="shared" si="35"/>
        <v/>
      </c>
      <c r="G212" s="203"/>
      <c r="H212" s="37"/>
      <c r="I212" s="37"/>
      <c r="J212" s="37"/>
      <c r="K212" s="37"/>
      <c r="L212" s="37"/>
      <c r="M212" s="38"/>
      <c r="N212" s="37"/>
      <c r="O212" s="37"/>
      <c r="P212" s="37"/>
      <c r="Q212" s="37"/>
      <c r="R212" s="37"/>
      <c r="S212" s="38"/>
      <c r="T212" s="37"/>
      <c r="U212" s="37"/>
      <c r="V212" s="37"/>
      <c r="W212" s="37"/>
      <c r="X212" s="37"/>
      <c r="Y212" s="38"/>
      <c r="Z212" s="38"/>
      <c r="AA212" s="38"/>
      <c r="AB212" s="112"/>
      <c r="AC212" s="200"/>
    </row>
    <row r="214" spans="1:29" x14ac:dyDescent="0.2">
      <c r="A214" s="228">
        <v>44722</v>
      </c>
      <c r="B214" s="19" t="s">
        <v>42</v>
      </c>
      <c r="C214" s="20"/>
      <c r="D214" s="21" t="s">
        <v>43</v>
      </c>
      <c r="E214" s="20">
        <v>0</v>
      </c>
      <c r="F214" s="31"/>
      <c r="G214" s="32"/>
      <c r="H214" s="52"/>
      <c r="I214" s="65"/>
      <c r="J214" s="73"/>
      <c r="K214" s="32"/>
      <c r="L214" s="21"/>
      <c r="M214" s="32"/>
      <c r="N214" s="52"/>
      <c r="O214" s="65"/>
      <c r="P214" s="73"/>
      <c r="Q214" s="32"/>
      <c r="R214" s="21"/>
      <c r="S214" s="32"/>
      <c r="T214" s="52"/>
      <c r="U214" s="65"/>
      <c r="V214" s="73"/>
      <c r="W214" s="32"/>
      <c r="X214" s="21"/>
      <c r="Y214" s="21"/>
      <c r="Z214" s="32"/>
      <c r="AA214" s="21"/>
      <c r="AB214" s="21"/>
      <c r="AC214" s="33"/>
    </row>
    <row r="215" spans="1:29" x14ac:dyDescent="0.2">
      <c r="A215" s="228"/>
      <c r="B215" s="229" t="s">
        <v>10</v>
      </c>
      <c r="C215" s="230" t="s">
        <v>0</v>
      </c>
      <c r="D215" s="230" t="s">
        <v>25</v>
      </c>
      <c r="E215" s="230" t="s">
        <v>11</v>
      </c>
      <c r="F215" s="230" t="s">
        <v>16</v>
      </c>
      <c r="G215" s="237" t="s">
        <v>12</v>
      </c>
      <c r="H215" s="222" t="s">
        <v>13</v>
      </c>
      <c r="I215" s="223"/>
      <c r="J215" s="223"/>
      <c r="K215" s="223"/>
      <c r="L215" s="223"/>
      <c r="M215" s="224"/>
      <c r="N215" s="222" t="s">
        <v>14</v>
      </c>
      <c r="O215" s="223"/>
      <c r="P215" s="223"/>
      <c r="Q215" s="223"/>
      <c r="R215" s="223"/>
      <c r="S215" s="224"/>
      <c r="T215" s="222" t="s">
        <v>15</v>
      </c>
      <c r="U215" s="223"/>
      <c r="V215" s="223"/>
      <c r="W215" s="223"/>
      <c r="X215" s="223"/>
      <c r="Y215" s="224"/>
      <c r="Z215" s="225" t="s">
        <v>37</v>
      </c>
      <c r="AA215" s="225" t="s">
        <v>39</v>
      </c>
      <c r="AB215" s="225" t="s">
        <v>62</v>
      </c>
      <c r="AC215" s="231" t="s">
        <v>26</v>
      </c>
    </row>
    <row r="216" spans="1:29" ht="41.25" customHeight="1" x14ac:dyDescent="0.2">
      <c r="A216" s="228"/>
      <c r="B216" s="229"/>
      <c r="C216" s="230"/>
      <c r="D216" s="230"/>
      <c r="E216" s="230"/>
      <c r="F216" s="230"/>
      <c r="G216" s="237"/>
      <c r="H216" s="53" t="s">
        <v>50</v>
      </c>
      <c r="I216" s="66" t="s">
        <v>51</v>
      </c>
      <c r="J216" s="74" t="s">
        <v>63</v>
      </c>
      <c r="K216" s="24" t="s">
        <v>44</v>
      </c>
      <c r="L216" s="18" t="s">
        <v>5</v>
      </c>
      <c r="M216" s="81" t="s">
        <v>31</v>
      </c>
      <c r="N216" s="53" t="s">
        <v>50</v>
      </c>
      <c r="O216" s="66" t="s">
        <v>51</v>
      </c>
      <c r="P216" s="74" t="s">
        <v>63</v>
      </c>
      <c r="Q216" s="24" t="s">
        <v>44</v>
      </c>
      <c r="R216" s="30" t="s">
        <v>5</v>
      </c>
      <c r="S216" s="34" t="s">
        <v>31</v>
      </c>
      <c r="T216" s="53" t="s">
        <v>50</v>
      </c>
      <c r="U216" s="66" t="s">
        <v>51</v>
      </c>
      <c r="V216" s="74" t="s">
        <v>63</v>
      </c>
      <c r="W216" s="24" t="s">
        <v>44</v>
      </c>
      <c r="X216" s="30" t="s">
        <v>5</v>
      </c>
      <c r="Y216" s="34" t="s">
        <v>31</v>
      </c>
      <c r="Z216" s="226"/>
      <c r="AA216" s="227"/>
      <c r="AB216" s="227"/>
      <c r="AC216" s="231"/>
    </row>
    <row r="217" spans="1:29" x14ac:dyDescent="0.2">
      <c r="A217" s="228"/>
      <c r="B217" s="232" t="s">
        <v>2</v>
      </c>
      <c r="C217" s="234" t="s">
        <v>84</v>
      </c>
      <c r="D217" s="12"/>
      <c r="E217" s="10"/>
      <c r="F217" s="12"/>
      <c r="G217" s="234" t="s">
        <v>1</v>
      </c>
      <c r="H217" s="47">
        <v>23.6</v>
      </c>
      <c r="I217" s="63">
        <v>0</v>
      </c>
      <c r="J217" s="35"/>
      <c r="K217" s="35">
        <v>16</v>
      </c>
      <c r="L217" s="35">
        <f>IF(ISBLANK(J217), , J217*K217)</f>
        <v>0</v>
      </c>
      <c r="M217" s="29"/>
      <c r="N217" s="47">
        <v>23.6</v>
      </c>
      <c r="O217" s="63">
        <v>0</v>
      </c>
      <c r="P217" s="35"/>
      <c r="Q217" s="35">
        <v>16</v>
      </c>
      <c r="R217" s="35">
        <f>IF(ISBLANK(P217), , P217*Q217)</f>
        <v>0</v>
      </c>
      <c r="S217" s="29"/>
      <c r="T217" s="47">
        <v>23.6</v>
      </c>
      <c r="U217" s="63">
        <v>0</v>
      </c>
      <c r="V217" s="35"/>
      <c r="W217" s="35">
        <v>16</v>
      </c>
      <c r="X217" s="35">
        <f>IF(ISBLANK(V217), , V217*W217)</f>
        <v>0</v>
      </c>
      <c r="Y217" s="29"/>
      <c r="Z217" s="210">
        <f>SUM(L217, R217, X217)+SUM(L218, R218, X218)</f>
        <v>0</v>
      </c>
      <c r="AA217" s="210">
        <f>SUM(M217, S217, Y217)+SUM(M218, S218, Y218)</f>
        <v>0</v>
      </c>
      <c r="AB217" s="212">
        <f>IF($Z217=0, ,AA217/$Z217)</f>
        <v>0</v>
      </c>
      <c r="AC217" s="214"/>
    </row>
    <row r="218" spans="1:29" x14ac:dyDescent="0.2">
      <c r="A218" s="228"/>
      <c r="B218" s="233"/>
      <c r="C218" s="235"/>
      <c r="D218" s="12"/>
      <c r="E218" s="12"/>
      <c r="F218" s="12"/>
      <c r="G218" s="236"/>
      <c r="H218" s="47"/>
      <c r="I218" s="63"/>
      <c r="J218" s="35"/>
      <c r="K218" s="35"/>
      <c r="L218" s="35">
        <f>IF(ISBLANK(J218), , J218*K218)</f>
        <v>0</v>
      </c>
      <c r="M218" s="29"/>
      <c r="N218" s="47"/>
      <c r="O218" s="63"/>
      <c r="P218" s="35"/>
      <c r="Q218" s="35"/>
      <c r="R218" s="35">
        <f>IF(ISBLANK(P218), , P218*Q218)</f>
        <v>0</v>
      </c>
      <c r="S218" s="29"/>
      <c r="T218" s="47"/>
      <c r="U218" s="63"/>
      <c r="V218" s="35"/>
      <c r="W218" s="35"/>
      <c r="X218" s="35">
        <f>IF(ISBLANK(V218), , V218*W218)</f>
        <v>0</v>
      </c>
      <c r="Y218" s="29"/>
      <c r="Z218" s="211"/>
      <c r="AA218" s="211"/>
      <c r="AB218" s="213"/>
      <c r="AC218" s="215"/>
    </row>
    <row r="219" spans="1:29" x14ac:dyDescent="0.2">
      <c r="A219" s="228"/>
      <c r="B219" s="216" t="s">
        <v>6</v>
      </c>
      <c r="C219" s="218" t="s">
        <v>8</v>
      </c>
      <c r="D219" s="10" t="s">
        <v>93</v>
      </c>
      <c r="E219" s="10" t="s">
        <v>89</v>
      </c>
      <c r="F219" s="10">
        <v>621</v>
      </c>
      <c r="G219" s="218" t="s">
        <v>1</v>
      </c>
      <c r="H219" s="48">
        <v>19.57</v>
      </c>
      <c r="I219" s="67">
        <v>8</v>
      </c>
      <c r="J219" s="39">
        <v>1461</v>
      </c>
      <c r="K219" s="39">
        <v>8</v>
      </c>
      <c r="L219" s="39">
        <f>IF(ISBLANK(J219), , J219*K219)</f>
        <v>11688</v>
      </c>
      <c r="M219" s="40">
        <f>H232+K232+N232+Q232+T232+W232+Z232</f>
        <v>10</v>
      </c>
      <c r="N219" s="48">
        <v>19.57</v>
      </c>
      <c r="O219" s="67">
        <v>8</v>
      </c>
      <c r="P219" s="39">
        <v>1465</v>
      </c>
      <c r="Q219" s="39">
        <v>8</v>
      </c>
      <c r="R219" s="39">
        <f>IF(ISBLANK(P219), , P219*Q219)</f>
        <v>11720</v>
      </c>
      <c r="S219" s="40">
        <f>I232+L232+O232+R232+U232+X232+AA232</f>
        <v>10</v>
      </c>
      <c r="T219" s="48">
        <v>19.57</v>
      </c>
      <c r="U219" s="67">
        <v>2</v>
      </c>
      <c r="V219" s="39">
        <v>491</v>
      </c>
      <c r="W219" s="39">
        <v>8</v>
      </c>
      <c r="X219" s="39">
        <f>IF(ISBLANK(V219), , V219*W219)</f>
        <v>3928</v>
      </c>
      <c r="Y219" s="40">
        <f>J232+M232+P232+S232+V232+Y232+AB232</f>
        <v>10</v>
      </c>
      <c r="Z219" s="238">
        <f>SUM(L219, R219, X219)+SUM(L220, R220, X220)</f>
        <v>27336</v>
      </c>
      <c r="AA219" s="220">
        <f>SUM(M219, S219, Y219)+SUM(M220, S220, Y220)</f>
        <v>30</v>
      </c>
      <c r="AB219" s="194">
        <f>IF($Z219=0, ,AA219/$Z219)</f>
        <v>1.0974539069359087E-3</v>
      </c>
      <c r="AC219" s="204"/>
    </row>
    <row r="220" spans="1:29" x14ac:dyDescent="0.2">
      <c r="A220" s="228"/>
      <c r="B220" s="217"/>
      <c r="C220" s="219"/>
      <c r="D220" s="10"/>
      <c r="E220" s="10"/>
      <c r="F220" s="10"/>
      <c r="G220" s="219"/>
      <c r="H220" s="48"/>
      <c r="I220" s="67"/>
      <c r="J220" s="39"/>
      <c r="K220" s="39"/>
      <c r="L220" s="39">
        <f>IF(ISBLANK(J220), , J220*K220)</f>
        <v>0</v>
      </c>
      <c r="M220" s="40">
        <f>H233+K233+N233+Q233+T233+W233+Z233</f>
        <v>0</v>
      </c>
      <c r="N220" s="48"/>
      <c r="O220" s="67"/>
      <c r="P220" s="39"/>
      <c r="Q220" s="39"/>
      <c r="R220" s="39">
        <f t="shared" ref="R220:R226" si="36">IF(ISBLANK(P220), , P220*Q220)</f>
        <v>0</v>
      </c>
      <c r="S220" s="40">
        <f>I233+L233+O233+R233+U233+X233+AA233</f>
        <v>0</v>
      </c>
      <c r="T220" s="48"/>
      <c r="U220" s="67"/>
      <c r="V220" s="39"/>
      <c r="W220" s="39"/>
      <c r="X220" s="39">
        <f>IF(ISBLANK(V220), , V220*W220)</f>
        <v>0</v>
      </c>
      <c r="Y220" s="40">
        <f>J233+M233+P233+S233+V233+Y233+AB233</f>
        <v>0</v>
      </c>
      <c r="Z220" s="239"/>
      <c r="AA220" s="221"/>
      <c r="AB220" s="195"/>
      <c r="AC220" s="205"/>
    </row>
    <row r="221" spans="1:29" x14ac:dyDescent="0.2">
      <c r="A221" s="228"/>
      <c r="B221" s="206" t="s">
        <v>7</v>
      </c>
      <c r="C221" s="208" t="s">
        <v>81</v>
      </c>
      <c r="D221" s="9" t="s">
        <v>94</v>
      </c>
      <c r="E221" s="9"/>
      <c r="F221" s="9">
        <v>621</v>
      </c>
      <c r="G221" s="208" t="s">
        <v>1</v>
      </c>
      <c r="H221" s="49">
        <v>20.5</v>
      </c>
      <c r="I221" s="68">
        <v>8</v>
      </c>
      <c r="J221" s="37">
        <v>1435</v>
      </c>
      <c r="K221" s="37">
        <v>8</v>
      </c>
      <c r="L221" s="37">
        <f>IF(ISBLANK(J221), , J221*K221)</f>
        <v>11480</v>
      </c>
      <c r="M221" s="38">
        <f>H234+K234+N234+Q234+T234+W234+Z234</f>
        <v>20</v>
      </c>
      <c r="N221" s="49">
        <v>21.95</v>
      </c>
      <c r="O221" s="68">
        <v>8</v>
      </c>
      <c r="P221" s="37">
        <v>1389</v>
      </c>
      <c r="Q221" s="37">
        <v>8</v>
      </c>
      <c r="R221" s="37">
        <f t="shared" si="36"/>
        <v>11112</v>
      </c>
      <c r="S221" s="38">
        <f>I234+L234+O234+R234+U234+X234+AA234</f>
        <v>10</v>
      </c>
      <c r="T221" s="49">
        <v>22</v>
      </c>
      <c r="U221" s="68">
        <v>2.5</v>
      </c>
      <c r="V221" s="37">
        <v>526</v>
      </c>
      <c r="W221" s="37">
        <v>8</v>
      </c>
      <c r="X221" s="37">
        <f>IF(ISBLANK(V221), , V221*W221)</f>
        <v>4208</v>
      </c>
      <c r="Y221" s="38">
        <f>J234+M234+P234+S234+V234+Y234+AB234</f>
        <v>10</v>
      </c>
      <c r="Z221" s="210">
        <f>SUM(L221, R221, X221)+SUM(L222, R222, X222)</f>
        <v>26800</v>
      </c>
      <c r="AA221" s="210">
        <f>SUM(M221, S221, Y221)+SUM(M222, S222, Y222)</f>
        <v>40</v>
      </c>
      <c r="AB221" s="212">
        <f>IF($Z221=0, ,AA221/$Z221)</f>
        <v>1.4925373134328358E-3</v>
      </c>
      <c r="AC221" s="214"/>
    </row>
    <row r="222" spans="1:29" x14ac:dyDescent="0.2">
      <c r="A222" s="228"/>
      <c r="B222" s="207"/>
      <c r="C222" s="209"/>
      <c r="D222" s="9"/>
      <c r="E222" s="9"/>
      <c r="F222" s="9"/>
      <c r="G222" s="209"/>
      <c r="H222" s="49"/>
      <c r="I222" s="68"/>
      <c r="J222" s="37"/>
      <c r="K222" s="37"/>
      <c r="L222" s="37">
        <f t="shared" ref="L222:L228" si="37">IF(ISBLANK(J222), , J222*K222)</f>
        <v>0</v>
      </c>
      <c r="M222" s="38">
        <f>H235+K235+N235+Q235+T235+W235+Z235</f>
        <v>0</v>
      </c>
      <c r="N222" s="49"/>
      <c r="O222" s="68"/>
      <c r="P222" s="37"/>
      <c r="Q222" s="37"/>
      <c r="R222" s="37">
        <f t="shared" si="36"/>
        <v>0</v>
      </c>
      <c r="S222" s="38">
        <f>I235+L235+O235+R235+U235+X235+AA235</f>
        <v>0</v>
      </c>
      <c r="T222" s="49"/>
      <c r="U222" s="68"/>
      <c r="V222" s="37"/>
      <c r="W222" s="37"/>
      <c r="X222" s="37">
        <f t="shared" ref="X222:X228" si="38">IF(ISBLANK(V222), , V222*W222)</f>
        <v>0</v>
      </c>
      <c r="Y222" s="38">
        <f>J235+M235+P235+S235+V235+Y235+AB235</f>
        <v>0</v>
      </c>
      <c r="Z222" s="211"/>
      <c r="AA222" s="211"/>
      <c r="AB222" s="213"/>
      <c r="AC222" s="215"/>
    </row>
    <row r="223" spans="1:29" x14ac:dyDescent="0.2">
      <c r="A223" s="228"/>
      <c r="B223" s="216" t="s">
        <v>3</v>
      </c>
      <c r="C223" s="218" t="s">
        <v>82</v>
      </c>
      <c r="D223" s="10"/>
      <c r="E223" s="10"/>
      <c r="F223" s="10"/>
      <c r="G223" s="218" t="s">
        <v>1</v>
      </c>
      <c r="H223" s="48">
        <v>19.71</v>
      </c>
      <c r="I223" s="67">
        <v>0</v>
      </c>
      <c r="J223" s="36"/>
      <c r="K223" s="36">
        <v>16</v>
      </c>
      <c r="L223" s="36">
        <f t="shared" si="37"/>
        <v>0</v>
      </c>
      <c r="M223" s="17"/>
      <c r="N223" s="48">
        <v>19.690000000000001</v>
      </c>
      <c r="O223" s="67">
        <v>0</v>
      </c>
      <c r="P223" s="36"/>
      <c r="Q223" s="36">
        <v>16</v>
      </c>
      <c r="R223" s="36">
        <f t="shared" si="36"/>
        <v>0</v>
      </c>
      <c r="S223" s="17"/>
      <c r="T223" s="48">
        <v>19.2</v>
      </c>
      <c r="U223" s="67">
        <v>0</v>
      </c>
      <c r="V223" s="36">
        <v>0</v>
      </c>
      <c r="W223" s="36">
        <v>16</v>
      </c>
      <c r="X223" s="36">
        <f t="shared" si="38"/>
        <v>0</v>
      </c>
      <c r="Y223" s="17"/>
      <c r="Z223" s="220">
        <f>SUM(L223, R223, X223)+SUM(L224, R224, X224)</f>
        <v>0</v>
      </c>
      <c r="AA223" s="220">
        <f>SUM(M223, S223, Y223)+SUM(M224, S224, Y224)</f>
        <v>0</v>
      </c>
      <c r="AB223" s="194">
        <f>IF($Z223=0, ,AA223/$Z223)</f>
        <v>0</v>
      </c>
      <c r="AC223" s="204"/>
    </row>
    <row r="224" spans="1:29" x14ac:dyDescent="0.2">
      <c r="A224" s="228"/>
      <c r="B224" s="217"/>
      <c r="C224" s="219"/>
      <c r="D224" s="10"/>
      <c r="E224" s="10"/>
      <c r="F224" s="10"/>
      <c r="G224" s="219"/>
      <c r="H224" s="48"/>
      <c r="I224" s="67"/>
      <c r="J224" s="36"/>
      <c r="K224" s="36"/>
      <c r="L224" s="36">
        <f t="shared" si="37"/>
        <v>0</v>
      </c>
      <c r="M224" s="17"/>
      <c r="N224" s="48"/>
      <c r="O224" s="67"/>
      <c r="P224" s="36"/>
      <c r="Q224" s="36"/>
      <c r="R224" s="36">
        <f t="shared" si="36"/>
        <v>0</v>
      </c>
      <c r="S224" s="17"/>
      <c r="T224" s="48"/>
      <c r="U224" s="67"/>
      <c r="V224" s="36"/>
      <c r="W224" s="36"/>
      <c r="X224" s="36">
        <f t="shared" si="38"/>
        <v>0</v>
      </c>
      <c r="Y224" s="17"/>
      <c r="Z224" s="221"/>
      <c r="AA224" s="221"/>
      <c r="AB224" s="195"/>
      <c r="AC224" s="205"/>
    </row>
    <row r="225" spans="1:29" x14ac:dyDescent="0.2">
      <c r="A225" s="228"/>
      <c r="B225" s="206" t="s">
        <v>4</v>
      </c>
      <c r="C225" s="208" t="s">
        <v>9</v>
      </c>
      <c r="D225" s="9"/>
      <c r="E225" s="10"/>
      <c r="F225" s="9"/>
      <c r="G225" s="208" t="s">
        <v>1</v>
      </c>
      <c r="H225" s="49">
        <v>20.58</v>
      </c>
      <c r="I225" s="68">
        <v>0</v>
      </c>
      <c r="J225" s="37">
        <v>0</v>
      </c>
      <c r="K225" s="37">
        <v>8</v>
      </c>
      <c r="L225" s="37">
        <f t="shared" si="37"/>
        <v>0</v>
      </c>
      <c r="M225" s="38"/>
      <c r="N225" s="49">
        <v>20.58</v>
      </c>
      <c r="O225" s="68">
        <v>0</v>
      </c>
      <c r="P225" s="37">
        <v>0</v>
      </c>
      <c r="Q225" s="37">
        <v>8</v>
      </c>
      <c r="R225" s="37">
        <f t="shared" si="36"/>
        <v>0</v>
      </c>
      <c r="S225" s="38"/>
      <c r="T225" s="49">
        <v>20.58</v>
      </c>
      <c r="U225" s="68">
        <v>0</v>
      </c>
      <c r="V225" s="37">
        <v>0</v>
      </c>
      <c r="W225" s="37">
        <v>8</v>
      </c>
      <c r="X225" s="37">
        <f t="shared" si="38"/>
        <v>0</v>
      </c>
      <c r="Y225" s="38"/>
      <c r="Z225" s="210">
        <f>SUM(L225, R225, X225)+SUM(L226, R226, X226)</f>
        <v>0</v>
      </c>
      <c r="AA225" s="210">
        <f>SUM(M225, S225, Y225)+SUM(M226, S226, Y226)</f>
        <v>0</v>
      </c>
      <c r="AB225" s="212">
        <f>IF($Z225=0, ,AA225/$Z225)</f>
        <v>0</v>
      </c>
      <c r="AC225" s="214"/>
    </row>
    <row r="226" spans="1:29" x14ac:dyDescent="0.2">
      <c r="A226" s="228"/>
      <c r="B226" s="207"/>
      <c r="C226" s="209"/>
      <c r="D226" s="9"/>
      <c r="E226" s="9"/>
      <c r="F226" s="9"/>
      <c r="G226" s="209"/>
      <c r="H226" s="49"/>
      <c r="I226" s="68"/>
      <c r="J226" s="37"/>
      <c r="K226" s="37"/>
      <c r="L226" s="37">
        <f t="shared" si="37"/>
        <v>0</v>
      </c>
      <c r="M226" s="38"/>
      <c r="N226" s="49"/>
      <c r="O226" s="68"/>
      <c r="P226" s="37"/>
      <c r="Q226" s="37"/>
      <c r="R226" s="37">
        <f t="shared" si="36"/>
        <v>0</v>
      </c>
      <c r="S226" s="38"/>
      <c r="T226" s="49"/>
      <c r="U226" s="68"/>
      <c r="V226" s="37"/>
      <c r="W226" s="37"/>
      <c r="X226" s="37">
        <f t="shared" si="38"/>
        <v>0</v>
      </c>
      <c r="Y226" s="38"/>
      <c r="Z226" s="211"/>
      <c r="AA226" s="211"/>
      <c r="AB226" s="213"/>
      <c r="AC226" s="215"/>
    </row>
    <row r="227" spans="1:29" x14ac:dyDescent="0.2">
      <c r="A227" s="228"/>
      <c r="B227" s="189" t="s">
        <v>85</v>
      </c>
      <c r="C227" s="191" t="s">
        <v>83</v>
      </c>
      <c r="D227" s="11"/>
      <c r="E227" s="10"/>
      <c r="F227" s="11"/>
      <c r="G227" s="191" t="s">
        <v>1</v>
      </c>
      <c r="H227" s="50">
        <v>12.89</v>
      </c>
      <c r="I227" s="69">
        <v>0</v>
      </c>
      <c r="J227" s="39">
        <v>0</v>
      </c>
      <c r="K227" s="39">
        <v>16</v>
      </c>
      <c r="L227" s="39">
        <f t="shared" si="37"/>
        <v>0</v>
      </c>
      <c r="M227" s="40"/>
      <c r="N227" s="50">
        <v>12.89</v>
      </c>
      <c r="O227" s="69">
        <v>0</v>
      </c>
      <c r="P227" s="39">
        <v>0</v>
      </c>
      <c r="Q227" s="39">
        <v>16</v>
      </c>
      <c r="R227" s="39">
        <f>IF(ISBLANK(P227), , P227*Q227)</f>
        <v>0</v>
      </c>
      <c r="S227" s="40"/>
      <c r="T227" s="50">
        <v>23.6</v>
      </c>
      <c r="U227" s="69">
        <v>0</v>
      </c>
      <c r="V227" s="39">
        <v>0</v>
      </c>
      <c r="W227" s="39">
        <v>16</v>
      </c>
      <c r="X227" s="39">
        <f t="shared" si="38"/>
        <v>0</v>
      </c>
      <c r="Y227" s="40"/>
      <c r="Z227" s="193">
        <f>SUM(L227, R227, X227)+SUM(L228, R228, X228)</f>
        <v>0</v>
      </c>
      <c r="AA227" s="193">
        <f>SUM(M227, S227, Y227)+SUM(M228, S228, Y228)</f>
        <v>0</v>
      </c>
      <c r="AB227" s="194">
        <f>IF($Z227=0, ,AA227/$Z227)</f>
        <v>0</v>
      </c>
      <c r="AC227" s="196"/>
    </row>
    <row r="228" spans="1:29" x14ac:dyDescent="0.2">
      <c r="A228" s="228"/>
      <c r="B228" s="190"/>
      <c r="C228" s="192"/>
      <c r="D228" s="11"/>
      <c r="E228" s="11"/>
      <c r="F228" s="11"/>
      <c r="G228" s="192"/>
      <c r="H228" s="50"/>
      <c r="I228" s="69"/>
      <c r="J228" s="39"/>
      <c r="K228" s="39"/>
      <c r="L228" s="39">
        <f t="shared" si="37"/>
        <v>0</v>
      </c>
      <c r="M228" s="40"/>
      <c r="N228" s="50"/>
      <c r="O228" s="69"/>
      <c r="P228" s="39"/>
      <c r="Q228" s="39"/>
      <c r="R228" s="39">
        <f>IF(ISBLANK(P228), , P228*Q228)</f>
        <v>0</v>
      </c>
      <c r="S228" s="40"/>
      <c r="T228" s="50"/>
      <c r="U228" s="69"/>
      <c r="V228" s="39"/>
      <c r="W228" s="39"/>
      <c r="X228" s="39">
        <f t="shared" si="38"/>
        <v>0</v>
      </c>
      <c r="Y228" s="40"/>
      <c r="Z228" s="193"/>
      <c r="AA228" s="193"/>
      <c r="AB228" s="195"/>
      <c r="AC228" s="196"/>
    </row>
    <row r="229" spans="1:29" x14ac:dyDescent="0.2">
      <c r="A229" s="228"/>
      <c r="B229" s="56"/>
      <c r="C229" s="56"/>
      <c r="D229" s="56"/>
      <c r="E229" s="56"/>
      <c r="F229" s="56"/>
      <c r="G229" s="56"/>
      <c r="H229" s="76"/>
      <c r="I229" s="77"/>
      <c r="J229" s="78"/>
      <c r="K229" s="78"/>
      <c r="L229" s="78"/>
      <c r="M229" s="79"/>
      <c r="N229" s="76"/>
      <c r="O229" s="77"/>
      <c r="P229" s="78"/>
      <c r="Q229" s="78"/>
      <c r="R229" s="78"/>
      <c r="S229" s="79"/>
      <c r="T229" s="76"/>
      <c r="U229" s="77"/>
      <c r="V229" s="78"/>
      <c r="W229" s="78"/>
      <c r="X229" s="78"/>
      <c r="Y229" s="79"/>
      <c r="Z229" s="79"/>
      <c r="AA229" s="79"/>
      <c r="AB229" s="80"/>
      <c r="AC229" s="59"/>
    </row>
    <row r="230" spans="1:29" x14ac:dyDescent="0.2">
      <c r="A230" s="228"/>
      <c r="B230" s="197" t="s">
        <v>67</v>
      </c>
      <c r="C230" s="198"/>
      <c r="D230" s="198"/>
      <c r="E230" s="198"/>
      <c r="F230" s="198"/>
      <c r="G230" s="9" t="s">
        <v>68</v>
      </c>
      <c r="H230" s="199" t="s">
        <v>64</v>
      </c>
      <c r="I230" s="199"/>
      <c r="J230" s="199"/>
      <c r="K230" s="199" t="s">
        <v>76</v>
      </c>
      <c r="L230" s="199"/>
      <c r="M230" s="199"/>
      <c r="N230" s="199" t="s">
        <v>65</v>
      </c>
      <c r="O230" s="199"/>
      <c r="P230" s="199"/>
      <c r="Q230" s="199" t="s">
        <v>66</v>
      </c>
      <c r="R230" s="199"/>
      <c r="S230" s="199"/>
      <c r="T230" s="199" t="s">
        <v>73</v>
      </c>
      <c r="U230" s="199"/>
      <c r="V230" s="199"/>
      <c r="W230" s="199" t="s">
        <v>74</v>
      </c>
      <c r="X230" s="199"/>
      <c r="Y230" s="199"/>
      <c r="Z230" s="199" t="s">
        <v>75</v>
      </c>
      <c r="AA230" s="199"/>
      <c r="AB230" s="199"/>
      <c r="AC230" s="200"/>
    </row>
    <row r="231" spans="1:29" x14ac:dyDescent="0.2">
      <c r="A231" s="228"/>
      <c r="B231" s="197"/>
      <c r="C231" s="198"/>
      <c r="D231" s="198"/>
      <c r="E231" s="198"/>
      <c r="F231" s="198"/>
      <c r="G231" s="9" t="s">
        <v>69</v>
      </c>
      <c r="H231" s="98" t="s">
        <v>70</v>
      </c>
      <c r="I231" s="98" t="s">
        <v>71</v>
      </c>
      <c r="J231" s="99" t="s">
        <v>72</v>
      </c>
      <c r="K231" s="98" t="s">
        <v>70</v>
      </c>
      <c r="L231" s="98" t="s">
        <v>71</v>
      </c>
      <c r="M231" s="99" t="s">
        <v>72</v>
      </c>
      <c r="N231" s="98" t="s">
        <v>70</v>
      </c>
      <c r="O231" s="98" t="s">
        <v>71</v>
      </c>
      <c r="P231" s="99" t="s">
        <v>72</v>
      </c>
      <c r="Q231" s="98" t="s">
        <v>70</v>
      </c>
      <c r="R231" s="98" t="s">
        <v>71</v>
      </c>
      <c r="S231" s="99" t="s">
        <v>72</v>
      </c>
      <c r="T231" s="98" t="s">
        <v>70</v>
      </c>
      <c r="U231" s="98" t="s">
        <v>71</v>
      </c>
      <c r="V231" s="99" t="s">
        <v>72</v>
      </c>
      <c r="W231" s="98" t="s">
        <v>70</v>
      </c>
      <c r="X231" s="98" t="s">
        <v>71</v>
      </c>
      <c r="Y231" s="99" t="s">
        <v>72</v>
      </c>
      <c r="Z231" s="98" t="s">
        <v>70</v>
      </c>
      <c r="AA231" s="98" t="s">
        <v>71</v>
      </c>
      <c r="AB231" s="99" t="s">
        <v>72</v>
      </c>
      <c r="AC231" s="200"/>
    </row>
    <row r="232" spans="1:29" x14ac:dyDescent="0.2">
      <c r="A232" s="228"/>
      <c r="B232" s="201" t="str">
        <f>B219</f>
        <v>02C</v>
      </c>
      <c r="C232" s="202" t="str">
        <f>C219</f>
        <v>DEO-C01</v>
      </c>
      <c r="D232" s="9" t="str">
        <f>IF(ISBLANK(D219), "", D219)</f>
        <v>21284-C</v>
      </c>
      <c r="E232" s="9" t="str">
        <f>IF(ISBLANK(E219), "", E219)</f>
        <v>Black</v>
      </c>
      <c r="F232" s="9">
        <f>IF(ISBLANK(F219), "", F219)</f>
        <v>621</v>
      </c>
      <c r="G232" s="203"/>
      <c r="H232" s="38">
        <v>10</v>
      </c>
      <c r="I232" s="38">
        <v>10</v>
      </c>
      <c r="J232" s="38">
        <v>10</v>
      </c>
      <c r="K232" s="38"/>
      <c r="L232" s="38"/>
      <c r="M232" s="38"/>
      <c r="N232" s="37"/>
      <c r="O232" s="37"/>
      <c r="P232" s="37"/>
      <c r="Q232" s="37"/>
      <c r="R232" s="37"/>
      <c r="S232" s="38"/>
      <c r="T232" s="37"/>
      <c r="U232" s="37"/>
      <c r="V232" s="37"/>
      <c r="W232" s="37"/>
      <c r="X232" s="37"/>
      <c r="Y232" s="38"/>
      <c r="Z232" s="38"/>
      <c r="AA232" s="38"/>
      <c r="AB232" s="112"/>
      <c r="AC232" s="200"/>
    </row>
    <row r="233" spans="1:29" x14ac:dyDescent="0.2">
      <c r="A233" s="228"/>
      <c r="B233" s="201"/>
      <c r="C233" s="202"/>
      <c r="D233" s="9"/>
      <c r="E233" s="9" t="str">
        <f t="shared" ref="E233:F235" si="39">IF(ISBLANK(E220), "", E220)</f>
        <v/>
      </c>
      <c r="F233" s="9" t="str">
        <f t="shared" si="39"/>
        <v/>
      </c>
      <c r="G233" s="203"/>
      <c r="H233" s="37"/>
      <c r="I233" s="37"/>
      <c r="J233" s="37"/>
      <c r="K233" s="37"/>
      <c r="L233" s="37"/>
      <c r="M233" s="38"/>
      <c r="N233" s="37"/>
      <c r="O233" s="37"/>
      <c r="P233" s="37"/>
      <c r="Q233" s="37"/>
      <c r="R233" s="37"/>
      <c r="S233" s="38"/>
      <c r="T233" s="37"/>
      <c r="U233" s="37"/>
      <c r="V233" s="37"/>
      <c r="W233" s="37"/>
      <c r="X233" s="37"/>
      <c r="Y233" s="38"/>
      <c r="Z233" s="38"/>
      <c r="AA233" s="38"/>
      <c r="AB233" s="112"/>
      <c r="AC233" s="200"/>
    </row>
    <row r="234" spans="1:29" x14ac:dyDescent="0.2">
      <c r="A234" s="228"/>
      <c r="B234" s="201" t="str">
        <f>B221</f>
        <v>03C</v>
      </c>
      <c r="C234" s="202" t="str">
        <f>C221</f>
        <v>DEO-B02</v>
      </c>
      <c r="D234" s="9" t="str">
        <f>IF(ISBLANK(D221), "", D221)</f>
        <v>21284-B</v>
      </c>
      <c r="E234" s="9" t="str">
        <f t="shared" si="39"/>
        <v/>
      </c>
      <c r="F234" s="9">
        <f t="shared" si="39"/>
        <v>621</v>
      </c>
      <c r="G234" s="203"/>
      <c r="H234" s="38">
        <v>20</v>
      </c>
      <c r="I234" s="38">
        <v>10</v>
      </c>
      <c r="J234" s="38">
        <v>10</v>
      </c>
      <c r="K234" s="37"/>
      <c r="L234" s="37"/>
      <c r="M234" s="38"/>
      <c r="N234" s="37"/>
      <c r="O234" s="37"/>
      <c r="P234" s="37"/>
      <c r="Q234" s="37"/>
      <c r="R234" s="37"/>
      <c r="S234" s="38"/>
      <c r="T234" s="37"/>
      <c r="U234" s="37"/>
      <c r="V234" s="37"/>
      <c r="W234" s="37"/>
      <c r="X234" s="37"/>
      <c r="Y234" s="38"/>
      <c r="Z234" s="38"/>
      <c r="AA234" s="38"/>
      <c r="AB234" s="112"/>
      <c r="AC234" s="200"/>
    </row>
    <row r="235" spans="1:29" x14ac:dyDescent="0.2">
      <c r="A235" s="228"/>
      <c r="B235" s="201"/>
      <c r="C235" s="202"/>
      <c r="D235" s="9" t="str">
        <f>IF(ISBLANK(D222), "", D222)</f>
        <v/>
      </c>
      <c r="E235" s="9" t="str">
        <f t="shared" si="39"/>
        <v/>
      </c>
      <c r="F235" s="9" t="str">
        <f t="shared" si="39"/>
        <v/>
      </c>
      <c r="G235" s="203"/>
      <c r="H235" s="37"/>
      <c r="I235" s="37"/>
      <c r="J235" s="37"/>
      <c r="K235" s="37"/>
      <c r="L235" s="37"/>
      <c r="M235" s="38"/>
      <c r="N235" s="37"/>
      <c r="O235" s="37"/>
      <c r="P235" s="37"/>
      <c r="Q235" s="37"/>
      <c r="R235" s="37"/>
      <c r="S235" s="38"/>
      <c r="T235" s="37"/>
      <c r="U235" s="37"/>
      <c r="V235" s="37"/>
      <c r="W235" s="37"/>
      <c r="X235" s="37"/>
      <c r="Y235" s="38"/>
      <c r="Z235" s="38"/>
      <c r="AA235" s="38"/>
      <c r="AB235" s="112"/>
      <c r="AC235" s="200"/>
    </row>
    <row r="237" spans="1:29" x14ac:dyDescent="0.2">
      <c r="A237" s="228">
        <v>44723</v>
      </c>
      <c r="B237" s="19" t="s">
        <v>42</v>
      </c>
      <c r="C237" s="20"/>
      <c r="D237" s="21" t="s">
        <v>43</v>
      </c>
      <c r="E237" s="20">
        <v>0</v>
      </c>
      <c r="F237" s="31"/>
      <c r="G237" s="32"/>
      <c r="H237" s="52"/>
      <c r="I237" s="65"/>
      <c r="J237" s="73"/>
      <c r="K237" s="32"/>
      <c r="L237" s="21"/>
      <c r="M237" s="32"/>
      <c r="N237" s="52"/>
      <c r="O237" s="65"/>
      <c r="P237" s="73"/>
      <c r="Q237" s="32"/>
      <c r="R237" s="21"/>
      <c r="S237" s="32"/>
      <c r="T237" s="52"/>
      <c r="U237" s="65"/>
      <c r="V237" s="73"/>
      <c r="W237" s="32"/>
      <c r="X237" s="21"/>
      <c r="Y237" s="21"/>
      <c r="Z237" s="32"/>
      <c r="AA237" s="21"/>
      <c r="AB237" s="21"/>
      <c r="AC237" s="33"/>
    </row>
    <row r="238" spans="1:29" x14ac:dyDescent="0.2">
      <c r="A238" s="228"/>
      <c r="B238" s="229" t="s">
        <v>10</v>
      </c>
      <c r="C238" s="230" t="s">
        <v>0</v>
      </c>
      <c r="D238" s="230" t="s">
        <v>25</v>
      </c>
      <c r="E238" s="230" t="s">
        <v>11</v>
      </c>
      <c r="F238" s="230" t="s">
        <v>16</v>
      </c>
      <c r="G238" s="237" t="s">
        <v>12</v>
      </c>
      <c r="H238" s="222" t="s">
        <v>13</v>
      </c>
      <c r="I238" s="223"/>
      <c r="J238" s="223"/>
      <c r="K238" s="223"/>
      <c r="L238" s="223"/>
      <c r="M238" s="224"/>
      <c r="N238" s="222" t="s">
        <v>14</v>
      </c>
      <c r="O238" s="223"/>
      <c r="P238" s="223"/>
      <c r="Q238" s="223"/>
      <c r="R238" s="223"/>
      <c r="S238" s="224"/>
      <c r="T238" s="222" t="s">
        <v>15</v>
      </c>
      <c r="U238" s="223"/>
      <c r="V238" s="223"/>
      <c r="W238" s="223"/>
      <c r="X238" s="223"/>
      <c r="Y238" s="224"/>
      <c r="Z238" s="225" t="s">
        <v>37</v>
      </c>
      <c r="AA238" s="225" t="s">
        <v>39</v>
      </c>
      <c r="AB238" s="225" t="s">
        <v>62</v>
      </c>
      <c r="AC238" s="231" t="s">
        <v>26</v>
      </c>
    </row>
    <row r="239" spans="1:29" ht="25.5" x14ac:dyDescent="0.2">
      <c r="A239" s="228"/>
      <c r="B239" s="229"/>
      <c r="C239" s="230"/>
      <c r="D239" s="230"/>
      <c r="E239" s="230"/>
      <c r="F239" s="230"/>
      <c r="G239" s="237"/>
      <c r="H239" s="53" t="s">
        <v>50</v>
      </c>
      <c r="I239" s="66" t="s">
        <v>51</v>
      </c>
      <c r="J239" s="74" t="s">
        <v>63</v>
      </c>
      <c r="K239" s="24" t="s">
        <v>44</v>
      </c>
      <c r="L239" s="18" t="s">
        <v>5</v>
      </c>
      <c r="M239" s="81" t="s">
        <v>31</v>
      </c>
      <c r="N239" s="53" t="s">
        <v>50</v>
      </c>
      <c r="O239" s="66" t="s">
        <v>51</v>
      </c>
      <c r="P239" s="74" t="s">
        <v>63</v>
      </c>
      <c r="Q239" s="24" t="s">
        <v>44</v>
      </c>
      <c r="R239" s="30" t="s">
        <v>5</v>
      </c>
      <c r="S239" s="34" t="s">
        <v>31</v>
      </c>
      <c r="T239" s="53" t="s">
        <v>50</v>
      </c>
      <c r="U239" s="66" t="s">
        <v>51</v>
      </c>
      <c r="V239" s="74" t="s">
        <v>63</v>
      </c>
      <c r="W239" s="24" t="s">
        <v>44</v>
      </c>
      <c r="X239" s="30" t="s">
        <v>5</v>
      </c>
      <c r="Y239" s="34" t="s">
        <v>31</v>
      </c>
      <c r="Z239" s="226"/>
      <c r="AA239" s="227"/>
      <c r="AB239" s="227"/>
      <c r="AC239" s="231"/>
    </row>
    <row r="240" spans="1:29" x14ac:dyDescent="0.2">
      <c r="A240" s="228"/>
      <c r="B240" s="232" t="s">
        <v>2</v>
      </c>
      <c r="C240" s="234" t="s">
        <v>84</v>
      </c>
      <c r="D240" s="12"/>
      <c r="E240" s="10"/>
      <c r="F240" s="12"/>
      <c r="G240" s="234" t="s">
        <v>1</v>
      </c>
      <c r="H240" s="47">
        <v>23.6</v>
      </c>
      <c r="I240" s="63">
        <v>0</v>
      </c>
      <c r="J240" s="35"/>
      <c r="K240" s="35">
        <v>16</v>
      </c>
      <c r="L240" s="35">
        <f>IF(ISBLANK(J240), , J240*K240)</f>
        <v>0</v>
      </c>
      <c r="M240" s="29"/>
      <c r="N240" s="47">
        <v>23.6</v>
      </c>
      <c r="O240" s="63">
        <v>0</v>
      </c>
      <c r="P240" s="35"/>
      <c r="Q240" s="35">
        <v>16</v>
      </c>
      <c r="R240" s="35">
        <f>IF(ISBLANK(P240), , P240*Q240)</f>
        <v>0</v>
      </c>
      <c r="S240" s="29"/>
      <c r="T240" s="47">
        <v>23.6</v>
      </c>
      <c r="U240" s="63">
        <v>0</v>
      </c>
      <c r="V240" s="35"/>
      <c r="W240" s="35">
        <v>16</v>
      </c>
      <c r="X240" s="35">
        <f>IF(ISBLANK(V240), , V240*W240)</f>
        <v>0</v>
      </c>
      <c r="Y240" s="29"/>
      <c r="Z240" s="210">
        <f>SUM(L240, R240, X240)+SUM(L241, R241, X241)</f>
        <v>0</v>
      </c>
      <c r="AA240" s="210">
        <f>SUM(M240, S240, Y240)+SUM(M241, S241, Y241)</f>
        <v>0</v>
      </c>
      <c r="AB240" s="212">
        <f>IF($Z240=0, ,AA240/$Z240)</f>
        <v>0</v>
      </c>
      <c r="AC240" s="214" t="s">
        <v>99</v>
      </c>
    </row>
    <row r="241" spans="1:29" x14ac:dyDescent="0.2">
      <c r="A241" s="228"/>
      <c r="B241" s="233"/>
      <c r="C241" s="235"/>
      <c r="D241" s="12"/>
      <c r="E241" s="12"/>
      <c r="F241" s="12"/>
      <c r="G241" s="236"/>
      <c r="H241" s="47"/>
      <c r="I241" s="63"/>
      <c r="J241" s="35"/>
      <c r="K241" s="35"/>
      <c r="L241" s="35">
        <f>IF(ISBLANK(J241), , J241*K241)</f>
        <v>0</v>
      </c>
      <c r="M241" s="29"/>
      <c r="N241" s="47"/>
      <c r="O241" s="63"/>
      <c r="P241" s="35"/>
      <c r="Q241" s="35"/>
      <c r="R241" s="35">
        <f>IF(ISBLANK(P241), , P241*Q241)</f>
        <v>0</v>
      </c>
      <c r="S241" s="29"/>
      <c r="T241" s="47"/>
      <c r="U241" s="63"/>
      <c r="V241" s="35"/>
      <c r="W241" s="35"/>
      <c r="X241" s="35">
        <f>IF(ISBLANK(V241), , V241*W241)</f>
        <v>0</v>
      </c>
      <c r="Y241" s="29"/>
      <c r="Z241" s="211"/>
      <c r="AA241" s="211"/>
      <c r="AB241" s="213"/>
      <c r="AC241" s="215"/>
    </row>
    <row r="242" spans="1:29" x14ac:dyDescent="0.2">
      <c r="A242" s="228"/>
      <c r="B242" s="216" t="s">
        <v>6</v>
      </c>
      <c r="C242" s="218" t="s">
        <v>8</v>
      </c>
      <c r="D242" s="10"/>
      <c r="E242" s="10"/>
      <c r="F242" s="10"/>
      <c r="G242" s="218" t="s">
        <v>1</v>
      </c>
      <c r="H242" s="48">
        <v>19.57</v>
      </c>
      <c r="I242" s="67">
        <v>0</v>
      </c>
      <c r="J242" s="39"/>
      <c r="K242" s="39">
        <v>8</v>
      </c>
      <c r="L242" s="39">
        <f>IF(ISBLANK(J242), , J242*K242)</f>
        <v>0</v>
      </c>
      <c r="M242" s="40">
        <f>H255+K255+N255+Q255+T255+W255+Z255</f>
        <v>0</v>
      </c>
      <c r="N242" s="48">
        <v>19.57</v>
      </c>
      <c r="O242" s="67">
        <v>0</v>
      </c>
      <c r="P242" s="39"/>
      <c r="Q242" s="39">
        <v>8</v>
      </c>
      <c r="R242" s="39">
        <f>IF(ISBLANK(P242), , P242*Q242)</f>
        <v>0</v>
      </c>
      <c r="S242" s="40">
        <f>I255+L255+O255+R255+U255+X255+AA255</f>
        <v>0</v>
      </c>
      <c r="T242" s="48">
        <v>19.57</v>
      </c>
      <c r="U242" s="67">
        <v>0</v>
      </c>
      <c r="V242" s="39"/>
      <c r="W242" s="39">
        <v>8</v>
      </c>
      <c r="X242" s="39">
        <f>IF(ISBLANK(V242), , V242*W242)</f>
        <v>0</v>
      </c>
      <c r="Y242" s="40">
        <f>J255+M255+P255+S255+V255+Y255+AB255</f>
        <v>0</v>
      </c>
      <c r="Z242" s="238">
        <f>SUM(L242, R242, X242)+SUM(L243, R243, X243)</f>
        <v>0</v>
      </c>
      <c r="AA242" s="220">
        <f>SUM(M242, S242, Y242)+SUM(M243, S243, Y243)</f>
        <v>0</v>
      </c>
      <c r="AB242" s="194">
        <f>IF($Z242=0, ,AA242/$Z242)</f>
        <v>0</v>
      </c>
      <c r="AC242" s="204" t="s">
        <v>98</v>
      </c>
    </row>
    <row r="243" spans="1:29" x14ac:dyDescent="0.2">
      <c r="A243" s="228"/>
      <c r="B243" s="217"/>
      <c r="C243" s="219"/>
      <c r="D243" s="10"/>
      <c r="E243" s="10"/>
      <c r="F243" s="10"/>
      <c r="G243" s="219"/>
      <c r="H243" s="48"/>
      <c r="I243" s="67"/>
      <c r="J243" s="39"/>
      <c r="K243" s="39"/>
      <c r="L243" s="39">
        <f>IF(ISBLANK(J243), , J243*K243)</f>
        <v>0</v>
      </c>
      <c r="M243" s="40">
        <f>H256+K256+N256+Q256+T256+W256+Z256</f>
        <v>0</v>
      </c>
      <c r="N243" s="48"/>
      <c r="O243" s="67"/>
      <c r="P243" s="39"/>
      <c r="Q243" s="39"/>
      <c r="R243" s="39">
        <f t="shared" ref="R243:R249" si="40">IF(ISBLANK(P243), , P243*Q243)</f>
        <v>0</v>
      </c>
      <c r="S243" s="40">
        <f>I256+L256+O256+R256+U256+X256+AA256</f>
        <v>0</v>
      </c>
      <c r="T243" s="48"/>
      <c r="U243" s="67"/>
      <c r="V243" s="39"/>
      <c r="W243" s="39"/>
      <c r="X243" s="39">
        <f>IF(ISBLANK(V243), , V243*W243)</f>
        <v>0</v>
      </c>
      <c r="Y243" s="40">
        <f>J256+M256+P256+S256+V256+Y256+AB256</f>
        <v>0</v>
      </c>
      <c r="Z243" s="239"/>
      <c r="AA243" s="221"/>
      <c r="AB243" s="195"/>
      <c r="AC243" s="205"/>
    </row>
    <row r="244" spans="1:29" x14ac:dyDescent="0.2">
      <c r="A244" s="228"/>
      <c r="B244" s="206" t="s">
        <v>7</v>
      </c>
      <c r="C244" s="208" t="s">
        <v>81</v>
      </c>
      <c r="D244" s="9"/>
      <c r="E244" s="9"/>
      <c r="F244" s="9"/>
      <c r="G244" s="208" t="s">
        <v>1</v>
      </c>
      <c r="H244" s="49">
        <v>20.5</v>
      </c>
      <c r="I244" s="68">
        <v>0</v>
      </c>
      <c r="J244" s="37"/>
      <c r="K244" s="37">
        <v>8</v>
      </c>
      <c r="L244" s="37">
        <f>IF(ISBLANK(J244), , J244*K244)</f>
        <v>0</v>
      </c>
      <c r="M244" s="38">
        <f>H257+K257+N257+Q257+T257+W257+Z257</f>
        <v>0</v>
      </c>
      <c r="N244" s="49">
        <v>21.95</v>
      </c>
      <c r="O244" s="68">
        <v>0</v>
      </c>
      <c r="P244" s="37"/>
      <c r="Q244" s="37">
        <v>8</v>
      </c>
      <c r="R244" s="37">
        <f t="shared" si="40"/>
        <v>0</v>
      </c>
      <c r="S244" s="38">
        <f>I257+L257+O257+R257+U257+X257+AA257</f>
        <v>0</v>
      </c>
      <c r="T244" s="49">
        <v>22</v>
      </c>
      <c r="U244" s="68">
        <v>0</v>
      </c>
      <c r="V244" s="37"/>
      <c r="W244" s="37">
        <v>8</v>
      </c>
      <c r="X244" s="37">
        <f>IF(ISBLANK(V244), , V244*W244)</f>
        <v>0</v>
      </c>
      <c r="Y244" s="38">
        <f>J257+M257+P257+S257+V257+Y257+AB257</f>
        <v>0</v>
      </c>
      <c r="Z244" s="210">
        <f>SUM(L244, R244, X244)+SUM(L245, R245, X245)</f>
        <v>0</v>
      </c>
      <c r="AA244" s="210">
        <f>SUM(M244, S244, Y244)+SUM(M245, S245, Y245)</f>
        <v>0</v>
      </c>
      <c r="AB244" s="212">
        <f>IF($Z244=0, ,AA244/$Z244)</f>
        <v>0</v>
      </c>
      <c r="AC244" s="214" t="s">
        <v>98</v>
      </c>
    </row>
    <row r="245" spans="1:29" x14ac:dyDescent="0.2">
      <c r="A245" s="228"/>
      <c r="B245" s="207"/>
      <c r="C245" s="209"/>
      <c r="D245" s="9"/>
      <c r="E245" s="9"/>
      <c r="F245" s="9"/>
      <c r="G245" s="209"/>
      <c r="H245" s="49"/>
      <c r="I245" s="68"/>
      <c r="J245" s="37"/>
      <c r="K245" s="37"/>
      <c r="L245" s="37">
        <f t="shared" ref="L245:L251" si="41">IF(ISBLANK(J245), , J245*K245)</f>
        <v>0</v>
      </c>
      <c r="M245" s="38">
        <f>H258+K258+N258+Q258+T258+W258+Z258</f>
        <v>0</v>
      </c>
      <c r="N245" s="49"/>
      <c r="O245" s="68"/>
      <c r="P245" s="37"/>
      <c r="Q245" s="37"/>
      <c r="R245" s="37">
        <f t="shared" si="40"/>
        <v>0</v>
      </c>
      <c r="S245" s="38">
        <f>I258+L258+O258+R258+U258+X258+AA258</f>
        <v>0</v>
      </c>
      <c r="T245" s="49"/>
      <c r="U245" s="68"/>
      <c r="V245" s="37"/>
      <c r="W245" s="37"/>
      <c r="X245" s="37">
        <f t="shared" ref="X245:X251" si="42">IF(ISBLANK(V245), , V245*W245)</f>
        <v>0</v>
      </c>
      <c r="Y245" s="38">
        <f>J258+M258+P258+S258+V258+Y258+AB258</f>
        <v>0</v>
      </c>
      <c r="Z245" s="211"/>
      <c r="AA245" s="211"/>
      <c r="AB245" s="213"/>
      <c r="AC245" s="215"/>
    </row>
    <row r="246" spans="1:29" x14ac:dyDescent="0.2">
      <c r="A246" s="228"/>
      <c r="B246" s="216" t="s">
        <v>3</v>
      </c>
      <c r="C246" s="218" t="s">
        <v>82</v>
      </c>
      <c r="D246" s="10"/>
      <c r="E246" s="10"/>
      <c r="F246" s="10"/>
      <c r="G246" s="218" t="s">
        <v>1</v>
      </c>
      <c r="H246" s="48">
        <v>19.71</v>
      </c>
      <c r="I246" s="67">
        <v>0</v>
      </c>
      <c r="J246" s="36"/>
      <c r="K246" s="36">
        <v>16</v>
      </c>
      <c r="L246" s="36">
        <f t="shared" si="41"/>
        <v>0</v>
      </c>
      <c r="M246" s="17"/>
      <c r="N246" s="48">
        <v>19.690000000000001</v>
      </c>
      <c r="O246" s="67">
        <v>0</v>
      </c>
      <c r="P246" s="36"/>
      <c r="Q246" s="36">
        <v>16</v>
      </c>
      <c r="R246" s="36">
        <f t="shared" si="40"/>
        <v>0</v>
      </c>
      <c r="S246" s="17"/>
      <c r="T246" s="48">
        <v>19.2</v>
      </c>
      <c r="U246" s="67">
        <v>0</v>
      </c>
      <c r="V246" s="36">
        <v>0</v>
      </c>
      <c r="W246" s="36">
        <v>16</v>
      </c>
      <c r="X246" s="36">
        <f t="shared" si="42"/>
        <v>0</v>
      </c>
      <c r="Y246" s="17"/>
      <c r="Z246" s="220">
        <f>SUM(L246, R246, X246)+SUM(L247, R247, X247)</f>
        <v>0</v>
      </c>
      <c r="AA246" s="220">
        <f>SUM(M246, S246, Y246)+SUM(M247, S247, Y247)</f>
        <v>0</v>
      </c>
      <c r="AB246" s="194">
        <f>IF($Z246=0, ,AA246/$Z246)</f>
        <v>0</v>
      </c>
      <c r="AC246" s="204" t="s">
        <v>96</v>
      </c>
    </row>
    <row r="247" spans="1:29" x14ac:dyDescent="0.2">
      <c r="A247" s="228"/>
      <c r="B247" s="217"/>
      <c r="C247" s="219"/>
      <c r="D247" s="10"/>
      <c r="E247" s="10"/>
      <c r="F247" s="10"/>
      <c r="G247" s="219"/>
      <c r="H247" s="48"/>
      <c r="I247" s="67"/>
      <c r="J247" s="36"/>
      <c r="K247" s="36"/>
      <c r="L247" s="36">
        <f t="shared" si="41"/>
        <v>0</v>
      </c>
      <c r="M247" s="17"/>
      <c r="N247" s="48"/>
      <c r="O247" s="67"/>
      <c r="P247" s="36"/>
      <c r="Q247" s="36"/>
      <c r="R247" s="36">
        <f t="shared" si="40"/>
        <v>0</v>
      </c>
      <c r="S247" s="17"/>
      <c r="T247" s="48"/>
      <c r="U247" s="67"/>
      <c r="V247" s="36"/>
      <c r="W247" s="36"/>
      <c r="X247" s="36">
        <f t="shared" si="42"/>
        <v>0</v>
      </c>
      <c r="Y247" s="17"/>
      <c r="Z247" s="221"/>
      <c r="AA247" s="221"/>
      <c r="AB247" s="195"/>
      <c r="AC247" s="205"/>
    </row>
    <row r="248" spans="1:29" x14ac:dyDescent="0.2">
      <c r="A248" s="228"/>
      <c r="B248" s="206" t="s">
        <v>4</v>
      </c>
      <c r="C248" s="208" t="s">
        <v>9</v>
      </c>
      <c r="D248" s="9"/>
      <c r="E248" s="10"/>
      <c r="F248" s="9"/>
      <c r="G248" s="208" t="s">
        <v>1</v>
      </c>
      <c r="H248" s="49">
        <v>20.58</v>
      </c>
      <c r="I248" s="68">
        <v>0</v>
      </c>
      <c r="J248" s="37">
        <v>0</v>
      </c>
      <c r="K248" s="37">
        <v>8</v>
      </c>
      <c r="L248" s="37">
        <f t="shared" si="41"/>
        <v>0</v>
      </c>
      <c r="M248" s="38"/>
      <c r="N248" s="49">
        <v>20.58</v>
      </c>
      <c r="O248" s="68">
        <v>0</v>
      </c>
      <c r="P248" s="37">
        <v>0</v>
      </c>
      <c r="Q248" s="37">
        <v>8</v>
      </c>
      <c r="R248" s="37">
        <f t="shared" si="40"/>
        <v>0</v>
      </c>
      <c r="S248" s="38"/>
      <c r="T248" s="49">
        <v>20.58</v>
      </c>
      <c r="U248" s="68">
        <v>0</v>
      </c>
      <c r="V248" s="37">
        <v>0</v>
      </c>
      <c r="W248" s="37">
        <v>8</v>
      </c>
      <c r="X248" s="37">
        <f t="shared" si="42"/>
        <v>0</v>
      </c>
      <c r="Y248" s="38"/>
      <c r="Z248" s="210">
        <f>SUM(L248, R248, X248)+SUM(L249, R249, X249)</f>
        <v>0</v>
      </c>
      <c r="AA248" s="210">
        <f>SUM(M248, S248, Y248)+SUM(M249, S249, Y249)</f>
        <v>0</v>
      </c>
      <c r="AB248" s="212">
        <f>IF($Z248=0, ,AA248/$Z248)</f>
        <v>0</v>
      </c>
      <c r="AC248" s="214" t="s">
        <v>96</v>
      </c>
    </row>
    <row r="249" spans="1:29" x14ac:dyDescent="0.2">
      <c r="A249" s="228"/>
      <c r="B249" s="207"/>
      <c r="C249" s="209"/>
      <c r="D249" s="9"/>
      <c r="E249" s="9"/>
      <c r="F249" s="9"/>
      <c r="G249" s="209"/>
      <c r="H249" s="49"/>
      <c r="I249" s="68"/>
      <c r="J249" s="37"/>
      <c r="K249" s="37"/>
      <c r="L249" s="37">
        <f t="shared" si="41"/>
        <v>0</v>
      </c>
      <c r="M249" s="38"/>
      <c r="N249" s="49"/>
      <c r="O249" s="68"/>
      <c r="P249" s="37"/>
      <c r="Q249" s="37"/>
      <c r="R249" s="37">
        <f t="shared" si="40"/>
        <v>0</v>
      </c>
      <c r="S249" s="38"/>
      <c r="T249" s="49"/>
      <c r="U249" s="68"/>
      <c r="V249" s="37"/>
      <c r="W249" s="37"/>
      <c r="X249" s="37">
        <f t="shared" si="42"/>
        <v>0</v>
      </c>
      <c r="Y249" s="38"/>
      <c r="Z249" s="211"/>
      <c r="AA249" s="211"/>
      <c r="AB249" s="213"/>
      <c r="AC249" s="215"/>
    </row>
    <row r="250" spans="1:29" x14ac:dyDescent="0.2">
      <c r="A250" s="228"/>
      <c r="B250" s="189" t="s">
        <v>85</v>
      </c>
      <c r="C250" s="191" t="s">
        <v>83</v>
      </c>
      <c r="D250" s="11"/>
      <c r="E250" s="10"/>
      <c r="F250" s="11"/>
      <c r="G250" s="191" t="s">
        <v>1</v>
      </c>
      <c r="H250" s="50">
        <v>12.89</v>
      </c>
      <c r="I250" s="69">
        <v>0</v>
      </c>
      <c r="J250" s="39">
        <v>0</v>
      </c>
      <c r="K250" s="39">
        <v>16</v>
      </c>
      <c r="L250" s="39">
        <f t="shared" si="41"/>
        <v>0</v>
      </c>
      <c r="M250" s="40"/>
      <c r="N250" s="50">
        <v>12.89</v>
      </c>
      <c r="O250" s="69">
        <v>0</v>
      </c>
      <c r="P250" s="39">
        <v>0</v>
      </c>
      <c r="Q250" s="39">
        <v>16</v>
      </c>
      <c r="R250" s="39">
        <f>IF(ISBLANK(P250), , P250*Q250)</f>
        <v>0</v>
      </c>
      <c r="S250" s="40"/>
      <c r="T250" s="50">
        <v>23.6</v>
      </c>
      <c r="U250" s="69">
        <v>0</v>
      </c>
      <c r="V250" s="39">
        <v>0</v>
      </c>
      <c r="W250" s="39">
        <v>16</v>
      </c>
      <c r="X250" s="39">
        <f t="shared" si="42"/>
        <v>0</v>
      </c>
      <c r="Y250" s="40"/>
      <c r="Z250" s="193">
        <f>SUM(L250, R250, X250)+SUM(L251, R251, X251)</f>
        <v>0</v>
      </c>
      <c r="AA250" s="193">
        <f>SUM(M250, S250, Y250)+SUM(M251, S251, Y251)</f>
        <v>0</v>
      </c>
      <c r="AB250" s="194">
        <f>IF($Z250=0, ,AA250/$Z250)</f>
        <v>0</v>
      </c>
      <c r="AC250" s="196" t="s">
        <v>96</v>
      </c>
    </row>
    <row r="251" spans="1:29" x14ac:dyDescent="0.2">
      <c r="A251" s="228"/>
      <c r="B251" s="190"/>
      <c r="C251" s="192"/>
      <c r="D251" s="11"/>
      <c r="E251" s="11"/>
      <c r="F251" s="11"/>
      <c r="G251" s="192"/>
      <c r="H251" s="50"/>
      <c r="I251" s="69"/>
      <c r="J251" s="39"/>
      <c r="K251" s="39"/>
      <c r="L251" s="39">
        <f t="shared" si="41"/>
        <v>0</v>
      </c>
      <c r="M251" s="40"/>
      <c r="N251" s="50"/>
      <c r="O251" s="69"/>
      <c r="P251" s="39"/>
      <c r="Q251" s="39"/>
      <c r="R251" s="39">
        <f>IF(ISBLANK(P251), , P251*Q251)</f>
        <v>0</v>
      </c>
      <c r="S251" s="40"/>
      <c r="T251" s="50"/>
      <c r="U251" s="69"/>
      <c r="V251" s="39"/>
      <c r="W251" s="39"/>
      <c r="X251" s="39">
        <f t="shared" si="42"/>
        <v>0</v>
      </c>
      <c r="Y251" s="40"/>
      <c r="Z251" s="193"/>
      <c r="AA251" s="193"/>
      <c r="AB251" s="195"/>
      <c r="AC251" s="196"/>
    </row>
    <row r="252" spans="1:29" x14ac:dyDescent="0.2">
      <c r="A252" s="228"/>
      <c r="B252" s="56"/>
      <c r="C252" s="56"/>
      <c r="D252" s="56"/>
      <c r="E252" s="56"/>
      <c r="F252" s="56"/>
      <c r="G252" s="56"/>
      <c r="H252" s="76"/>
      <c r="I252" s="77"/>
      <c r="J252" s="78"/>
      <c r="K252" s="78"/>
      <c r="L252" s="78"/>
      <c r="M252" s="79"/>
      <c r="N252" s="76"/>
      <c r="O252" s="77"/>
      <c r="P252" s="78"/>
      <c r="Q252" s="78"/>
      <c r="R252" s="78"/>
      <c r="S252" s="79"/>
      <c r="T252" s="76"/>
      <c r="U252" s="77"/>
      <c r="V252" s="78"/>
      <c r="W252" s="78"/>
      <c r="X252" s="78"/>
      <c r="Y252" s="79"/>
      <c r="Z252" s="79"/>
      <c r="AA252" s="79"/>
      <c r="AB252" s="80"/>
      <c r="AC252" s="59"/>
    </row>
    <row r="253" spans="1:29" x14ac:dyDescent="0.2">
      <c r="A253" s="228"/>
      <c r="B253" s="197" t="s">
        <v>67</v>
      </c>
      <c r="C253" s="198"/>
      <c r="D253" s="198"/>
      <c r="E253" s="198"/>
      <c r="F253" s="198"/>
      <c r="G253" s="9" t="s">
        <v>68</v>
      </c>
      <c r="H253" s="199" t="s">
        <v>64</v>
      </c>
      <c r="I253" s="199"/>
      <c r="J253" s="199"/>
      <c r="K253" s="199" t="s">
        <v>76</v>
      </c>
      <c r="L253" s="199"/>
      <c r="M253" s="199"/>
      <c r="N253" s="199" t="s">
        <v>65</v>
      </c>
      <c r="O253" s="199"/>
      <c r="P253" s="199"/>
      <c r="Q253" s="199" t="s">
        <v>66</v>
      </c>
      <c r="R253" s="199"/>
      <c r="S253" s="199"/>
      <c r="T253" s="199" t="s">
        <v>73</v>
      </c>
      <c r="U253" s="199"/>
      <c r="V253" s="199"/>
      <c r="W253" s="199" t="s">
        <v>74</v>
      </c>
      <c r="X253" s="199"/>
      <c r="Y253" s="199"/>
      <c r="Z253" s="199" t="s">
        <v>75</v>
      </c>
      <c r="AA253" s="199"/>
      <c r="AB253" s="199"/>
      <c r="AC253" s="200"/>
    </row>
    <row r="254" spans="1:29" x14ac:dyDescent="0.2">
      <c r="A254" s="228"/>
      <c r="B254" s="197"/>
      <c r="C254" s="198"/>
      <c r="D254" s="198"/>
      <c r="E254" s="198"/>
      <c r="F254" s="198"/>
      <c r="G254" s="9" t="s">
        <v>69</v>
      </c>
      <c r="H254" s="98" t="s">
        <v>70</v>
      </c>
      <c r="I254" s="98" t="s">
        <v>71</v>
      </c>
      <c r="J254" s="99" t="s">
        <v>72</v>
      </c>
      <c r="K254" s="98" t="s">
        <v>70</v>
      </c>
      <c r="L254" s="98" t="s">
        <v>71</v>
      </c>
      <c r="M254" s="99" t="s">
        <v>72</v>
      </c>
      <c r="N254" s="98" t="s">
        <v>70</v>
      </c>
      <c r="O254" s="98" t="s">
        <v>71</v>
      </c>
      <c r="P254" s="99" t="s">
        <v>72</v>
      </c>
      <c r="Q254" s="98" t="s">
        <v>70</v>
      </c>
      <c r="R254" s="98" t="s">
        <v>71</v>
      </c>
      <c r="S254" s="99" t="s">
        <v>72</v>
      </c>
      <c r="T254" s="98" t="s">
        <v>70</v>
      </c>
      <c r="U254" s="98" t="s">
        <v>71</v>
      </c>
      <c r="V254" s="99" t="s">
        <v>72</v>
      </c>
      <c r="W254" s="98" t="s">
        <v>70</v>
      </c>
      <c r="X254" s="98" t="s">
        <v>71</v>
      </c>
      <c r="Y254" s="99" t="s">
        <v>72</v>
      </c>
      <c r="Z254" s="98" t="s">
        <v>70</v>
      </c>
      <c r="AA254" s="98" t="s">
        <v>71</v>
      </c>
      <c r="AB254" s="99" t="s">
        <v>72</v>
      </c>
      <c r="AC254" s="200"/>
    </row>
    <row r="255" spans="1:29" x14ac:dyDescent="0.2">
      <c r="A255" s="228"/>
      <c r="B255" s="201" t="str">
        <f>B242</f>
        <v>02C</v>
      </c>
      <c r="C255" s="202" t="str">
        <f>C242</f>
        <v>DEO-C01</v>
      </c>
      <c r="D255" s="9" t="str">
        <f>IF(ISBLANK(D242), "", D242)</f>
        <v/>
      </c>
      <c r="E255" s="9" t="str">
        <f>IF(ISBLANK(E242), "", E242)</f>
        <v/>
      </c>
      <c r="F255" s="9" t="str">
        <f>IF(ISBLANK(F242), "", F242)</f>
        <v/>
      </c>
      <c r="G255" s="203"/>
      <c r="H255" s="38"/>
      <c r="I255" s="38"/>
      <c r="J255" s="38"/>
      <c r="K255" s="38"/>
      <c r="L255" s="38"/>
      <c r="M255" s="38"/>
      <c r="N255" s="37"/>
      <c r="O255" s="37"/>
      <c r="P255" s="37"/>
      <c r="Q255" s="37"/>
      <c r="R255" s="37"/>
      <c r="S255" s="38"/>
      <c r="T255" s="37"/>
      <c r="U255" s="37"/>
      <c r="V255" s="37"/>
      <c r="W255" s="37"/>
      <c r="X255" s="37"/>
      <c r="Y255" s="38"/>
      <c r="Z255" s="38"/>
      <c r="AA255" s="38"/>
      <c r="AB255" s="112"/>
      <c r="AC255" s="200"/>
    </row>
    <row r="256" spans="1:29" x14ac:dyDescent="0.2">
      <c r="A256" s="228"/>
      <c r="B256" s="201"/>
      <c r="C256" s="202"/>
      <c r="D256" s="9"/>
      <c r="E256" s="9" t="str">
        <f t="shared" ref="E256:F258" si="43">IF(ISBLANK(E243), "", E243)</f>
        <v/>
      </c>
      <c r="F256" s="9" t="str">
        <f t="shared" si="43"/>
        <v/>
      </c>
      <c r="G256" s="203"/>
      <c r="H256" s="37"/>
      <c r="I256" s="37"/>
      <c r="J256" s="37"/>
      <c r="K256" s="37"/>
      <c r="L256" s="37"/>
      <c r="M256" s="38"/>
      <c r="N256" s="37"/>
      <c r="O256" s="37"/>
      <c r="P256" s="37"/>
      <c r="Q256" s="37"/>
      <c r="R256" s="37"/>
      <c r="S256" s="38"/>
      <c r="T256" s="37"/>
      <c r="U256" s="37"/>
      <c r="V256" s="37"/>
      <c r="W256" s="37"/>
      <c r="X256" s="37"/>
      <c r="Y256" s="38"/>
      <c r="Z256" s="38"/>
      <c r="AA256" s="38"/>
      <c r="AB256" s="112"/>
      <c r="AC256" s="200"/>
    </row>
    <row r="257" spans="1:29" x14ac:dyDescent="0.2">
      <c r="A257" s="228"/>
      <c r="B257" s="201" t="str">
        <f>B244</f>
        <v>03C</v>
      </c>
      <c r="C257" s="202" t="str">
        <f>C244</f>
        <v>DEO-B02</v>
      </c>
      <c r="D257" s="9" t="str">
        <f>IF(ISBLANK(D244), "", D244)</f>
        <v/>
      </c>
      <c r="E257" s="9" t="str">
        <f t="shared" si="43"/>
        <v/>
      </c>
      <c r="F257" s="9" t="str">
        <f t="shared" si="43"/>
        <v/>
      </c>
      <c r="G257" s="203"/>
      <c r="H257" s="38"/>
      <c r="I257" s="38"/>
      <c r="J257" s="38"/>
      <c r="K257" s="37"/>
      <c r="L257" s="37"/>
      <c r="M257" s="38"/>
      <c r="N257" s="37"/>
      <c r="O257" s="37"/>
      <c r="P257" s="37"/>
      <c r="Q257" s="37"/>
      <c r="R257" s="37"/>
      <c r="S257" s="38"/>
      <c r="T257" s="37"/>
      <c r="U257" s="37"/>
      <c r="V257" s="37"/>
      <c r="W257" s="37"/>
      <c r="X257" s="37"/>
      <c r="Y257" s="38"/>
      <c r="Z257" s="38"/>
      <c r="AA257" s="38"/>
      <c r="AB257" s="112"/>
      <c r="AC257" s="200"/>
    </row>
    <row r="258" spans="1:29" x14ac:dyDescent="0.2">
      <c r="A258" s="228"/>
      <c r="B258" s="201"/>
      <c r="C258" s="202"/>
      <c r="D258" s="9" t="str">
        <f>IF(ISBLANK(D245), "", D245)</f>
        <v/>
      </c>
      <c r="E258" s="9" t="str">
        <f t="shared" si="43"/>
        <v/>
      </c>
      <c r="F258" s="9" t="str">
        <f t="shared" si="43"/>
        <v/>
      </c>
      <c r="G258" s="203"/>
      <c r="H258" s="37"/>
      <c r="I258" s="37"/>
      <c r="J258" s="37"/>
      <c r="K258" s="37"/>
      <c r="L258" s="37"/>
      <c r="M258" s="38"/>
      <c r="N258" s="37"/>
      <c r="O258" s="37"/>
      <c r="P258" s="37"/>
      <c r="Q258" s="37"/>
      <c r="R258" s="37"/>
      <c r="S258" s="38"/>
      <c r="T258" s="37"/>
      <c r="U258" s="37"/>
      <c r="V258" s="37"/>
      <c r="W258" s="37"/>
      <c r="X258" s="37"/>
      <c r="Y258" s="38"/>
      <c r="Z258" s="38"/>
      <c r="AA258" s="38"/>
      <c r="AB258" s="112"/>
      <c r="AC258" s="200"/>
    </row>
    <row r="260" spans="1:29" x14ac:dyDescent="0.2">
      <c r="A260" s="228">
        <v>44724</v>
      </c>
      <c r="B260" s="19" t="s">
        <v>42</v>
      </c>
      <c r="C260" s="20"/>
      <c r="D260" s="21" t="s">
        <v>43</v>
      </c>
      <c r="E260" s="20">
        <v>0</v>
      </c>
      <c r="F260" s="31"/>
      <c r="G260" s="32"/>
      <c r="H260" s="52"/>
      <c r="I260" s="65"/>
      <c r="J260" s="73"/>
      <c r="K260" s="32"/>
      <c r="L260" s="21"/>
      <c r="M260" s="32"/>
      <c r="N260" s="52"/>
      <c r="O260" s="65"/>
      <c r="P260" s="73"/>
      <c r="Q260" s="32"/>
      <c r="R260" s="21"/>
      <c r="S260" s="32"/>
      <c r="T260" s="52"/>
      <c r="U260" s="65"/>
      <c r="V260" s="73"/>
      <c r="W260" s="32"/>
      <c r="X260" s="21"/>
      <c r="Y260" s="21"/>
      <c r="Z260" s="32"/>
      <c r="AA260" s="21"/>
      <c r="AB260" s="21"/>
      <c r="AC260" s="33"/>
    </row>
    <row r="261" spans="1:29" x14ac:dyDescent="0.2">
      <c r="A261" s="228"/>
      <c r="B261" s="229" t="s">
        <v>10</v>
      </c>
      <c r="C261" s="230" t="s">
        <v>0</v>
      </c>
      <c r="D261" s="230" t="s">
        <v>25</v>
      </c>
      <c r="E261" s="230" t="s">
        <v>11</v>
      </c>
      <c r="F261" s="230" t="s">
        <v>16</v>
      </c>
      <c r="G261" s="237" t="s">
        <v>12</v>
      </c>
      <c r="H261" s="222" t="s">
        <v>13</v>
      </c>
      <c r="I261" s="223"/>
      <c r="J261" s="223"/>
      <c r="K261" s="223"/>
      <c r="L261" s="223"/>
      <c r="M261" s="224"/>
      <c r="N261" s="222" t="s">
        <v>14</v>
      </c>
      <c r="O261" s="223"/>
      <c r="P261" s="223"/>
      <c r="Q261" s="223"/>
      <c r="R261" s="223"/>
      <c r="S261" s="224"/>
      <c r="T261" s="222" t="s">
        <v>15</v>
      </c>
      <c r="U261" s="223"/>
      <c r="V261" s="223"/>
      <c r="W261" s="223"/>
      <c r="X261" s="223"/>
      <c r="Y261" s="224"/>
      <c r="Z261" s="225" t="s">
        <v>37</v>
      </c>
      <c r="AA261" s="225" t="s">
        <v>39</v>
      </c>
      <c r="AB261" s="225" t="s">
        <v>62</v>
      </c>
      <c r="AC261" s="231" t="s">
        <v>26</v>
      </c>
    </row>
    <row r="262" spans="1:29" ht="50.25" customHeight="1" x14ac:dyDescent="0.2">
      <c r="A262" s="228"/>
      <c r="B262" s="229"/>
      <c r="C262" s="230"/>
      <c r="D262" s="230"/>
      <c r="E262" s="230"/>
      <c r="F262" s="230"/>
      <c r="G262" s="237"/>
      <c r="H262" s="53" t="s">
        <v>50</v>
      </c>
      <c r="I262" s="66" t="s">
        <v>51</v>
      </c>
      <c r="J262" s="74" t="s">
        <v>63</v>
      </c>
      <c r="K262" s="24" t="s">
        <v>44</v>
      </c>
      <c r="L262" s="18" t="s">
        <v>5</v>
      </c>
      <c r="M262" s="81" t="s">
        <v>31</v>
      </c>
      <c r="N262" s="53" t="s">
        <v>50</v>
      </c>
      <c r="O262" s="66" t="s">
        <v>51</v>
      </c>
      <c r="P262" s="74" t="s">
        <v>63</v>
      </c>
      <c r="Q262" s="24" t="s">
        <v>44</v>
      </c>
      <c r="R262" s="30" t="s">
        <v>5</v>
      </c>
      <c r="S262" s="34" t="s">
        <v>31</v>
      </c>
      <c r="T262" s="53" t="s">
        <v>50</v>
      </c>
      <c r="U262" s="66" t="s">
        <v>51</v>
      </c>
      <c r="V262" s="74" t="s">
        <v>63</v>
      </c>
      <c r="W262" s="24" t="s">
        <v>44</v>
      </c>
      <c r="X262" s="30" t="s">
        <v>5</v>
      </c>
      <c r="Y262" s="34" t="s">
        <v>31</v>
      </c>
      <c r="Z262" s="226"/>
      <c r="AA262" s="227"/>
      <c r="AB262" s="227"/>
      <c r="AC262" s="231"/>
    </row>
    <row r="263" spans="1:29" x14ac:dyDescent="0.2">
      <c r="A263" s="228"/>
      <c r="B263" s="232" t="s">
        <v>2</v>
      </c>
      <c r="C263" s="234" t="s">
        <v>84</v>
      </c>
      <c r="D263" s="12"/>
      <c r="E263" s="10"/>
      <c r="F263" s="12"/>
      <c r="G263" s="234" t="s">
        <v>1</v>
      </c>
      <c r="H263" s="47">
        <v>23.6</v>
      </c>
      <c r="I263" s="63">
        <v>0</v>
      </c>
      <c r="J263" s="35"/>
      <c r="K263" s="35">
        <v>16</v>
      </c>
      <c r="L263" s="35">
        <f>IF(ISBLANK(J263), , J263*K263)</f>
        <v>0</v>
      </c>
      <c r="M263" s="29"/>
      <c r="N263" s="47">
        <v>23.6</v>
      </c>
      <c r="O263" s="63">
        <v>0</v>
      </c>
      <c r="P263" s="35"/>
      <c r="Q263" s="35">
        <v>16</v>
      </c>
      <c r="R263" s="35">
        <f>IF(ISBLANK(P263), , P263*Q263)</f>
        <v>0</v>
      </c>
      <c r="S263" s="29"/>
      <c r="T263" s="47">
        <v>23.6</v>
      </c>
      <c r="U263" s="63">
        <v>0</v>
      </c>
      <c r="V263" s="35"/>
      <c r="W263" s="35">
        <v>16</v>
      </c>
      <c r="X263" s="35">
        <f>IF(ISBLANK(V263), , V263*W263)</f>
        <v>0</v>
      </c>
      <c r="Y263" s="29"/>
      <c r="Z263" s="210">
        <f>SUM(L263, R263, X263)+SUM(L264, R264, X264)</f>
        <v>0</v>
      </c>
      <c r="AA263" s="210">
        <f>SUM(M263, S263, Y263)+SUM(M264, S264, Y264)</f>
        <v>0</v>
      </c>
      <c r="AB263" s="212">
        <f>IF($Z263=0, ,AA263/$Z263)</f>
        <v>0</v>
      </c>
      <c r="AC263" s="214" t="s">
        <v>96</v>
      </c>
    </row>
    <row r="264" spans="1:29" x14ac:dyDescent="0.2">
      <c r="A264" s="228"/>
      <c r="B264" s="233"/>
      <c r="C264" s="235"/>
      <c r="D264" s="12"/>
      <c r="E264" s="12"/>
      <c r="F264" s="12"/>
      <c r="G264" s="236"/>
      <c r="H264" s="47"/>
      <c r="I264" s="63"/>
      <c r="J264" s="35"/>
      <c r="K264" s="35"/>
      <c r="L264" s="35">
        <f>IF(ISBLANK(J264), , J264*K264)</f>
        <v>0</v>
      </c>
      <c r="M264" s="29"/>
      <c r="N264" s="47"/>
      <c r="O264" s="63"/>
      <c r="P264" s="35"/>
      <c r="Q264" s="35"/>
      <c r="R264" s="35">
        <f>IF(ISBLANK(P264), , P264*Q264)</f>
        <v>0</v>
      </c>
      <c r="S264" s="29"/>
      <c r="T264" s="47"/>
      <c r="U264" s="63"/>
      <c r="V264" s="35"/>
      <c r="W264" s="35"/>
      <c r="X264" s="35">
        <f>IF(ISBLANK(V264), , V264*W264)</f>
        <v>0</v>
      </c>
      <c r="Y264" s="29"/>
      <c r="Z264" s="211"/>
      <c r="AA264" s="211"/>
      <c r="AB264" s="213"/>
      <c r="AC264" s="215"/>
    </row>
    <row r="265" spans="1:29" x14ac:dyDescent="0.2">
      <c r="A265" s="228"/>
      <c r="B265" s="216" t="s">
        <v>6</v>
      </c>
      <c r="C265" s="218" t="s">
        <v>8</v>
      </c>
      <c r="D265" s="10"/>
      <c r="E265" s="10"/>
      <c r="F265" s="10"/>
      <c r="G265" s="218" t="s">
        <v>1</v>
      </c>
      <c r="H265" s="48">
        <v>19.57</v>
      </c>
      <c r="I265" s="67">
        <v>0</v>
      </c>
      <c r="J265" s="39"/>
      <c r="K265" s="39">
        <v>8</v>
      </c>
      <c r="L265" s="39">
        <f>IF(ISBLANK(J265), , J265*K265)</f>
        <v>0</v>
      </c>
      <c r="M265" s="40">
        <f>H278+K278+N278+Q278+T278+W278+Z278</f>
        <v>0</v>
      </c>
      <c r="N265" s="48">
        <v>19.57</v>
      </c>
      <c r="O265" s="67">
        <v>0</v>
      </c>
      <c r="P265" s="39"/>
      <c r="Q265" s="39">
        <v>8</v>
      </c>
      <c r="R265" s="39">
        <f>IF(ISBLANK(P265), , P265*Q265)</f>
        <v>0</v>
      </c>
      <c r="S265" s="40">
        <f>I278+L278+O278+R278+U278+X278+AA278</f>
        <v>0</v>
      </c>
      <c r="T265" s="48">
        <v>19.57</v>
      </c>
      <c r="U265" s="67">
        <v>0</v>
      </c>
      <c r="V265" s="39"/>
      <c r="W265" s="39">
        <v>8</v>
      </c>
      <c r="X265" s="39">
        <f>IF(ISBLANK(V265), , V265*W265)</f>
        <v>0</v>
      </c>
      <c r="Y265" s="40">
        <f>J278+M278+P278+S278+V278+Y278+AB278</f>
        <v>0</v>
      </c>
      <c r="Z265" s="238">
        <f>SUM(L265, R265, X265)+SUM(L266, R266, X266)</f>
        <v>0</v>
      </c>
      <c r="AA265" s="220">
        <f>SUM(M265, S265, Y265)+SUM(M266, S266, Y266)</f>
        <v>0</v>
      </c>
      <c r="AB265" s="194">
        <f>IF($Z265=0, ,AA265/$Z265)</f>
        <v>0</v>
      </c>
      <c r="AC265" s="204" t="s">
        <v>100</v>
      </c>
    </row>
    <row r="266" spans="1:29" x14ac:dyDescent="0.2">
      <c r="A266" s="228"/>
      <c r="B266" s="217"/>
      <c r="C266" s="219"/>
      <c r="D266" s="10"/>
      <c r="E266" s="10"/>
      <c r="F266" s="10"/>
      <c r="G266" s="219"/>
      <c r="H266" s="48"/>
      <c r="I266" s="67"/>
      <c r="J266" s="39"/>
      <c r="K266" s="39"/>
      <c r="L266" s="39">
        <f>IF(ISBLANK(J266), , J266*K266)</f>
        <v>0</v>
      </c>
      <c r="M266" s="40">
        <f>H279+K279+N279+Q279+T279+W279+Z279</f>
        <v>0</v>
      </c>
      <c r="N266" s="48"/>
      <c r="O266" s="67"/>
      <c r="P266" s="39"/>
      <c r="Q266" s="39"/>
      <c r="R266" s="39">
        <f t="shared" ref="R266:R272" si="44">IF(ISBLANK(P266), , P266*Q266)</f>
        <v>0</v>
      </c>
      <c r="S266" s="40">
        <f>I279+L279+O279+R279+U279+X279+AA279</f>
        <v>0</v>
      </c>
      <c r="T266" s="48"/>
      <c r="U266" s="67"/>
      <c r="V266" s="39"/>
      <c r="W266" s="39"/>
      <c r="X266" s="39">
        <f>IF(ISBLANK(V266), , V266*W266)</f>
        <v>0</v>
      </c>
      <c r="Y266" s="40">
        <f>J279+M279+P279+S279+V279+Y279+AB279</f>
        <v>0</v>
      </c>
      <c r="Z266" s="239"/>
      <c r="AA266" s="221"/>
      <c r="AB266" s="195"/>
      <c r="AC266" s="205"/>
    </row>
    <row r="267" spans="1:29" x14ac:dyDescent="0.2">
      <c r="A267" s="228"/>
      <c r="B267" s="206" t="s">
        <v>7</v>
      </c>
      <c r="C267" s="208" t="s">
        <v>81</v>
      </c>
      <c r="D267" s="9"/>
      <c r="E267" s="9"/>
      <c r="F267" s="9"/>
      <c r="G267" s="208" t="s">
        <v>1</v>
      </c>
      <c r="H267" s="49">
        <v>20.5</v>
      </c>
      <c r="I267" s="68">
        <v>0</v>
      </c>
      <c r="J267" s="37"/>
      <c r="K267" s="37">
        <v>8</v>
      </c>
      <c r="L267" s="37">
        <f>IF(ISBLANK(J267), , J267*K267)</f>
        <v>0</v>
      </c>
      <c r="M267" s="38">
        <f>H280+K280+N280+Q280+T280+W280+Z280</f>
        <v>0</v>
      </c>
      <c r="N267" s="49">
        <v>21.95</v>
      </c>
      <c r="O267" s="68">
        <v>0</v>
      </c>
      <c r="P267" s="37"/>
      <c r="Q267" s="37">
        <v>8</v>
      </c>
      <c r="R267" s="37">
        <f t="shared" si="44"/>
        <v>0</v>
      </c>
      <c r="S267" s="38">
        <f>I280+L280+O280+R280+U280+X280+AA280</f>
        <v>0</v>
      </c>
      <c r="T267" s="49">
        <v>22</v>
      </c>
      <c r="U267" s="68">
        <v>0</v>
      </c>
      <c r="V267" s="37"/>
      <c r="W267" s="37">
        <v>8</v>
      </c>
      <c r="X267" s="37">
        <f>IF(ISBLANK(V267), , V267*W267)</f>
        <v>0</v>
      </c>
      <c r="Y267" s="38">
        <f>J280+M280+P280+S280+V280+Y280+AB280</f>
        <v>0</v>
      </c>
      <c r="Z267" s="210">
        <f>SUM(L267, R267, X267)+SUM(L268, R268, X268)</f>
        <v>0</v>
      </c>
      <c r="AA267" s="210">
        <f>SUM(M267, S267, Y267)+SUM(M268, S268, Y268)</f>
        <v>0</v>
      </c>
      <c r="AB267" s="212">
        <f>IF($Z267=0, ,AA267/$Z267)</f>
        <v>0</v>
      </c>
      <c r="AC267" s="214" t="s">
        <v>100</v>
      </c>
    </row>
    <row r="268" spans="1:29" x14ac:dyDescent="0.2">
      <c r="A268" s="228"/>
      <c r="B268" s="207"/>
      <c r="C268" s="209"/>
      <c r="D268" s="9"/>
      <c r="E268" s="9"/>
      <c r="F268" s="9"/>
      <c r="G268" s="209"/>
      <c r="H268" s="49"/>
      <c r="I268" s="68"/>
      <c r="J268" s="37"/>
      <c r="K268" s="37"/>
      <c r="L268" s="37">
        <f t="shared" ref="L268:L274" si="45">IF(ISBLANK(J268), , J268*K268)</f>
        <v>0</v>
      </c>
      <c r="M268" s="38">
        <f>H281+K281+N281+Q281+T281+W281+Z281</f>
        <v>0</v>
      </c>
      <c r="N268" s="49"/>
      <c r="O268" s="68"/>
      <c r="P268" s="37"/>
      <c r="Q268" s="37"/>
      <c r="R268" s="37">
        <f t="shared" si="44"/>
        <v>0</v>
      </c>
      <c r="S268" s="38">
        <f>I281+L281+O281+R281+U281+X281+AA281</f>
        <v>0</v>
      </c>
      <c r="T268" s="49"/>
      <c r="U268" s="68"/>
      <c r="V268" s="37"/>
      <c r="W268" s="37"/>
      <c r="X268" s="37">
        <f t="shared" ref="X268:X274" si="46">IF(ISBLANK(V268), , V268*W268)</f>
        <v>0</v>
      </c>
      <c r="Y268" s="38">
        <f>J281+M281+P281+S281+V281+Y281+AB281</f>
        <v>0</v>
      </c>
      <c r="Z268" s="211"/>
      <c r="AA268" s="211"/>
      <c r="AB268" s="213"/>
      <c r="AC268" s="215"/>
    </row>
    <row r="269" spans="1:29" x14ac:dyDescent="0.2">
      <c r="A269" s="228"/>
      <c r="B269" s="216" t="s">
        <v>3</v>
      </c>
      <c r="C269" s="218" t="s">
        <v>82</v>
      </c>
      <c r="D269" s="10"/>
      <c r="E269" s="10"/>
      <c r="F269" s="10"/>
      <c r="G269" s="218" t="s">
        <v>1</v>
      </c>
      <c r="H269" s="48">
        <v>19.71</v>
      </c>
      <c r="I269" s="67">
        <v>0</v>
      </c>
      <c r="J269" s="36"/>
      <c r="K269" s="36">
        <v>16</v>
      </c>
      <c r="L269" s="36">
        <f t="shared" si="45"/>
        <v>0</v>
      </c>
      <c r="M269" s="17"/>
      <c r="N269" s="48">
        <v>19.690000000000001</v>
      </c>
      <c r="O269" s="67">
        <v>0</v>
      </c>
      <c r="P269" s="36"/>
      <c r="Q269" s="36">
        <v>16</v>
      </c>
      <c r="R269" s="36">
        <f t="shared" si="44"/>
        <v>0</v>
      </c>
      <c r="S269" s="17"/>
      <c r="T269" s="48">
        <v>19.2</v>
      </c>
      <c r="U269" s="67">
        <v>0</v>
      </c>
      <c r="V269" s="36">
        <v>0</v>
      </c>
      <c r="W269" s="36">
        <v>16</v>
      </c>
      <c r="X269" s="36">
        <f t="shared" si="46"/>
        <v>0</v>
      </c>
      <c r="Y269" s="17"/>
      <c r="Z269" s="220">
        <f>SUM(L269, R269, X269)+SUM(L270, R270, X270)</f>
        <v>0</v>
      </c>
      <c r="AA269" s="220">
        <f>SUM(M269, S269, Y269)+SUM(M270, S270, Y270)</f>
        <v>0</v>
      </c>
      <c r="AB269" s="194">
        <f>IF($Z269=0, ,AA269/$Z269)</f>
        <v>0</v>
      </c>
      <c r="AC269" s="204" t="s">
        <v>96</v>
      </c>
    </row>
    <row r="270" spans="1:29" x14ac:dyDescent="0.2">
      <c r="A270" s="228"/>
      <c r="B270" s="217"/>
      <c r="C270" s="219"/>
      <c r="D270" s="10"/>
      <c r="E270" s="10"/>
      <c r="F270" s="10"/>
      <c r="G270" s="219"/>
      <c r="H270" s="48"/>
      <c r="I270" s="67"/>
      <c r="J270" s="36"/>
      <c r="K270" s="36"/>
      <c r="L270" s="36">
        <f t="shared" si="45"/>
        <v>0</v>
      </c>
      <c r="M270" s="17"/>
      <c r="N270" s="48"/>
      <c r="O270" s="67"/>
      <c r="P270" s="36"/>
      <c r="Q270" s="36"/>
      <c r="R270" s="36">
        <f t="shared" si="44"/>
        <v>0</v>
      </c>
      <c r="S270" s="17"/>
      <c r="T270" s="48"/>
      <c r="U270" s="67"/>
      <c r="V270" s="36"/>
      <c r="W270" s="36"/>
      <c r="X270" s="36">
        <f t="shared" si="46"/>
        <v>0</v>
      </c>
      <c r="Y270" s="17"/>
      <c r="Z270" s="221"/>
      <c r="AA270" s="221"/>
      <c r="AB270" s="195"/>
      <c r="AC270" s="205"/>
    </row>
    <row r="271" spans="1:29" x14ac:dyDescent="0.2">
      <c r="A271" s="228"/>
      <c r="B271" s="206" t="s">
        <v>4</v>
      </c>
      <c r="C271" s="208" t="s">
        <v>9</v>
      </c>
      <c r="D271" s="9"/>
      <c r="E271" s="10"/>
      <c r="F271" s="9"/>
      <c r="G271" s="208" t="s">
        <v>1</v>
      </c>
      <c r="H271" s="49">
        <v>20.58</v>
      </c>
      <c r="I271" s="68">
        <v>0</v>
      </c>
      <c r="J271" s="37">
        <v>0</v>
      </c>
      <c r="K271" s="37">
        <v>8</v>
      </c>
      <c r="L271" s="37">
        <f t="shared" si="45"/>
        <v>0</v>
      </c>
      <c r="M271" s="38"/>
      <c r="N271" s="49">
        <v>20.58</v>
      </c>
      <c r="O271" s="68">
        <v>0</v>
      </c>
      <c r="P271" s="37">
        <v>0</v>
      </c>
      <c r="Q271" s="37">
        <v>8</v>
      </c>
      <c r="R271" s="37">
        <f t="shared" si="44"/>
        <v>0</v>
      </c>
      <c r="S271" s="38"/>
      <c r="T271" s="49">
        <v>20.58</v>
      </c>
      <c r="U271" s="68">
        <v>0</v>
      </c>
      <c r="V271" s="37">
        <v>0</v>
      </c>
      <c r="W271" s="37">
        <v>8</v>
      </c>
      <c r="X271" s="37">
        <f t="shared" si="46"/>
        <v>0</v>
      </c>
      <c r="Y271" s="38"/>
      <c r="Z271" s="210">
        <f>SUM(L271, R271, X271)+SUM(L272, R272, X272)</f>
        <v>0</v>
      </c>
      <c r="AA271" s="210">
        <f>SUM(M271, S271, Y271)+SUM(M272, S272, Y272)</f>
        <v>0</v>
      </c>
      <c r="AB271" s="212">
        <f>IF($Z271=0, ,AA271/$Z271)</f>
        <v>0</v>
      </c>
      <c r="AC271" s="214" t="s">
        <v>96</v>
      </c>
    </row>
    <row r="272" spans="1:29" x14ac:dyDescent="0.2">
      <c r="A272" s="228"/>
      <c r="B272" s="207"/>
      <c r="C272" s="209"/>
      <c r="D272" s="9"/>
      <c r="E272" s="9"/>
      <c r="F272" s="9"/>
      <c r="G272" s="209"/>
      <c r="H272" s="49"/>
      <c r="I272" s="68"/>
      <c r="J272" s="37"/>
      <c r="K272" s="37"/>
      <c r="L272" s="37">
        <f t="shared" si="45"/>
        <v>0</v>
      </c>
      <c r="M272" s="38"/>
      <c r="N272" s="49"/>
      <c r="O272" s="68"/>
      <c r="P272" s="37"/>
      <c r="Q272" s="37"/>
      <c r="R272" s="37">
        <f t="shared" si="44"/>
        <v>0</v>
      </c>
      <c r="S272" s="38"/>
      <c r="T272" s="49"/>
      <c r="U272" s="68"/>
      <c r="V272" s="37"/>
      <c r="W272" s="37"/>
      <c r="X272" s="37">
        <f t="shared" si="46"/>
        <v>0</v>
      </c>
      <c r="Y272" s="38"/>
      <c r="Z272" s="211"/>
      <c r="AA272" s="211"/>
      <c r="AB272" s="213"/>
      <c r="AC272" s="215"/>
    </row>
    <row r="273" spans="1:29" x14ac:dyDescent="0.2">
      <c r="A273" s="228"/>
      <c r="B273" s="189" t="s">
        <v>85</v>
      </c>
      <c r="C273" s="191" t="s">
        <v>83</v>
      </c>
      <c r="D273" s="11"/>
      <c r="E273" s="10"/>
      <c r="F273" s="11"/>
      <c r="G273" s="191" t="s">
        <v>1</v>
      </c>
      <c r="H273" s="50">
        <v>12.89</v>
      </c>
      <c r="I273" s="69">
        <v>0</v>
      </c>
      <c r="J273" s="39">
        <v>0</v>
      </c>
      <c r="K273" s="39">
        <v>16</v>
      </c>
      <c r="L273" s="39">
        <f t="shared" si="45"/>
        <v>0</v>
      </c>
      <c r="M273" s="40"/>
      <c r="N273" s="50">
        <v>12.89</v>
      </c>
      <c r="O273" s="69">
        <v>0</v>
      </c>
      <c r="P273" s="39">
        <v>0</v>
      </c>
      <c r="Q273" s="39">
        <v>16</v>
      </c>
      <c r="R273" s="39">
        <f>IF(ISBLANK(P273), , P273*Q273)</f>
        <v>0</v>
      </c>
      <c r="S273" s="40"/>
      <c r="T273" s="50">
        <v>23.6</v>
      </c>
      <c r="U273" s="69">
        <v>0</v>
      </c>
      <c r="V273" s="39">
        <v>0</v>
      </c>
      <c r="W273" s="39">
        <v>16</v>
      </c>
      <c r="X273" s="39">
        <f t="shared" si="46"/>
        <v>0</v>
      </c>
      <c r="Y273" s="40"/>
      <c r="Z273" s="193">
        <f>SUM(L273, R273, X273)+SUM(L274, R274, X274)</f>
        <v>0</v>
      </c>
      <c r="AA273" s="193">
        <f>SUM(M273, S273, Y273)+SUM(M274, S274, Y274)</f>
        <v>0</v>
      </c>
      <c r="AB273" s="194">
        <f>IF($Z273=0, ,AA273/$Z273)</f>
        <v>0</v>
      </c>
      <c r="AC273" s="196" t="s">
        <v>96</v>
      </c>
    </row>
    <row r="274" spans="1:29" x14ac:dyDescent="0.2">
      <c r="A274" s="228"/>
      <c r="B274" s="190"/>
      <c r="C274" s="192"/>
      <c r="D274" s="11"/>
      <c r="E274" s="11"/>
      <c r="F274" s="11"/>
      <c r="G274" s="192"/>
      <c r="H274" s="50"/>
      <c r="I274" s="69"/>
      <c r="J274" s="39"/>
      <c r="K274" s="39"/>
      <c r="L274" s="39">
        <f t="shared" si="45"/>
        <v>0</v>
      </c>
      <c r="M274" s="40"/>
      <c r="N274" s="50"/>
      <c r="O274" s="69"/>
      <c r="P274" s="39"/>
      <c r="Q274" s="39"/>
      <c r="R274" s="39">
        <f>IF(ISBLANK(P274), , P274*Q274)</f>
        <v>0</v>
      </c>
      <c r="S274" s="40"/>
      <c r="T274" s="50"/>
      <c r="U274" s="69"/>
      <c r="V274" s="39"/>
      <c r="W274" s="39"/>
      <c r="X274" s="39">
        <f t="shared" si="46"/>
        <v>0</v>
      </c>
      <c r="Y274" s="40"/>
      <c r="Z274" s="193"/>
      <c r="AA274" s="193"/>
      <c r="AB274" s="195"/>
      <c r="AC274" s="196"/>
    </row>
    <row r="275" spans="1:29" x14ac:dyDescent="0.2">
      <c r="A275" s="228"/>
      <c r="B275" s="56"/>
      <c r="C275" s="56"/>
      <c r="D275" s="56"/>
      <c r="E275" s="56"/>
      <c r="F275" s="56"/>
      <c r="G275" s="56"/>
      <c r="H275" s="76"/>
      <c r="I275" s="77"/>
      <c r="J275" s="78"/>
      <c r="K275" s="78"/>
      <c r="L275" s="78"/>
      <c r="M275" s="79"/>
      <c r="N275" s="76"/>
      <c r="O275" s="77"/>
      <c r="P275" s="78"/>
      <c r="Q275" s="78"/>
      <c r="R275" s="78"/>
      <c r="S275" s="79"/>
      <c r="T275" s="76"/>
      <c r="U275" s="77"/>
      <c r="V275" s="78"/>
      <c r="W275" s="78"/>
      <c r="X275" s="78"/>
      <c r="Y275" s="79"/>
      <c r="Z275" s="79"/>
      <c r="AA275" s="79"/>
      <c r="AB275" s="80"/>
      <c r="AC275" s="59"/>
    </row>
    <row r="276" spans="1:29" x14ac:dyDescent="0.2">
      <c r="A276" s="228"/>
      <c r="B276" s="197" t="s">
        <v>67</v>
      </c>
      <c r="C276" s="198"/>
      <c r="D276" s="198"/>
      <c r="E276" s="198"/>
      <c r="F276" s="198"/>
      <c r="G276" s="9" t="s">
        <v>68</v>
      </c>
      <c r="H276" s="199" t="s">
        <v>64</v>
      </c>
      <c r="I276" s="199"/>
      <c r="J276" s="199"/>
      <c r="K276" s="199" t="s">
        <v>76</v>
      </c>
      <c r="L276" s="199"/>
      <c r="M276" s="199"/>
      <c r="N276" s="199" t="s">
        <v>65</v>
      </c>
      <c r="O276" s="199"/>
      <c r="P276" s="199"/>
      <c r="Q276" s="199" t="s">
        <v>66</v>
      </c>
      <c r="R276" s="199"/>
      <c r="S276" s="199"/>
      <c r="T276" s="199" t="s">
        <v>73</v>
      </c>
      <c r="U276" s="199"/>
      <c r="V276" s="199"/>
      <c r="W276" s="199" t="s">
        <v>74</v>
      </c>
      <c r="X276" s="199"/>
      <c r="Y276" s="199"/>
      <c r="Z276" s="199" t="s">
        <v>75</v>
      </c>
      <c r="AA276" s="199"/>
      <c r="AB276" s="199"/>
      <c r="AC276" s="200"/>
    </row>
    <row r="277" spans="1:29" x14ac:dyDescent="0.2">
      <c r="A277" s="228"/>
      <c r="B277" s="197"/>
      <c r="C277" s="198"/>
      <c r="D277" s="198"/>
      <c r="E277" s="198"/>
      <c r="F277" s="198"/>
      <c r="G277" s="9" t="s">
        <v>69</v>
      </c>
      <c r="H277" s="98" t="s">
        <v>70</v>
      </c>
      <c r="I277" s="98" t="s">
        <v>71</v>
      </c>
      <c r="J277" s="99" t="s">
        <v>72</v>
      </c>
      <c r="K277" s="98" t="s">
        <v>70</v>
      </c>
      <c r="L277" s="98" t="s">
        <v>71</v>
      </c>
      <c r="M277" s="99" t="s">
        <v>72</v>
      </c>
      <c r="N277" s="98" t="s">
        <v>70</v>
      </c>
      <c r="O277" s="98" t="s">
        <v>71</v>
      </c>
      <c r="P277" s="99" t="s">
        <v>72</v>
      </c>
      <c r="Q277" s="98" t="s">
        <v>70</v>
      </c>
      <c r="R277" s="98" t="s">
        <v>71</v>
      </c>
      <c r="S277" s="99" t="s">
        <v>72</v>
      </c>
      <c r="T277" s="98" t="s">
        <v>70</v>
      </c>
      <c r="U277" s="98" t="s">
        <v>71</v>
      </c>
      <c r="V277" s="99" t="s">
        <v>72</v>
      </c>
      <c r="W277" s="98" t="s">
        <v>70</v>
      </c>
      <c r="X277" s="98" t="s">
        <v>71</v>
      </c>
      <c r="Y277" s="99" t="s">
        <v>72</v>
      </c>
      <c r="Z277" s="98" t="s">
        <v>70</v>
      </c>
      <c r="AA277" s="98" t="s">
        <v>71</v>
      </c>
      <c r="AB277" s="99" t="s">
        <v>72</v>
      </c>
      <c r="AC277" s="200"/>
    </row>
    <row r="278" spans="1:29" x14ac:dyDescent="0.2">
      <c r="A278" s="228"/>
      <c r="B278" s="201" t="str">
        <f>B265</f>
        <v>02C</v>
      </c>
      <c r="C278" s="202" t="str">
        <f>C265</f>
        <v>DEO-C01</v>
      </c>
      <c r="D278" s="9" t="str">
        <f>IF(ISBLANK(D265), "", D265)</f>
        <v/>
      </c>
      <c r="E278" s="9" t="str">
        <f>IF(ISBLANK(E265), "", E265)</f>
        <v/>
      </c>
      <c r="F278" s="9" t="str">
        <f>IF(ISBLANK(F265), "", F265)</f>
        <v/>
      </c>
      <c r="G278" s="203"/>
      <c r="H278" s="38"/>
      <c r="I278" s="38"/>
      <c r="J278" s="38"/>
      <c r="K278" s="38"/>
      <c r="L278" s="38"/>
      <c r="M278" s="38"/>
      <c r="N278" s="37"/>
      <c r="O278" s="37"/>
      <c r="P278" s="37"/>
      <c r="Q278" s="37"/>
      <c r="R278" s="37"/>
      <c r="S278" s="38"/>
      <c r="T278" s="37"/>
      <c r="U278" s="37"/>
      <c r="V278" s="37"/>
      <c r="W278" s="37"/>
      <c r="X278" s="37"/>
      <c r="Y278" s="38"/>
      <c r="Z278" s="38"/>
      <c r="AA278" s="38"/>
      <c r="AB278" s="112"/>
      <c r="AC278" s="200"/>
    </row>
    <row r="279" spans="1:29" x14ac:dyDescent="0.2">
      <c r="A279" s="228"/>
      <c r="B279" s="201"/>
      <c r="C279" s="202"/>
      <c r="D279" s="9"/>
      <c r="E279" s="9" t="str">
        <f t="shared" ref="E279:F281" si="47">IF(ISBLANK(E266), "", E266)</f>
        <v/>
      </c>
      <c r="F279" s="9" t="str">
        <f t="shared" si="47"/>
        <v/>
      </c>
      <c r="G279" s="203"/>
      <c r="H279" s="37"/>
      <c r="I279" s="37"/>
      <c r="J279" s="37"/>
      <c r="K279" s="37"/>
      <c r="L279" s="37"/>
      <c r="M279" s="38"/>
      <c r="N279" s="37"/>
      <c r="O279" s="37"/>
      <c r="P279" s="37"/>
      <c r="Q279" s="37"/>
      <c r="R279" s="37"/>
      <c r="S279" s="38"/>
      <c r="T279" s="37"/>
      <c r="U279" s="37"/>
      <c r="V279" s="37"/>
      <c r="W279" s="37"/>
      <c r="X279" s="37"/>
      <c r="Y279" s="38"/>
      <c r="Z279" s="38"/>
      <c r="AA279" s="38"/>
      <c r="AB279" s="112"/>
      <c r="AC279" s="200"/>
    </row>
    <row r="280" spans="1:29" x14ac:dyDescent="0.2">
      <c r="A280" s="228"/>
      <c r="B280" s="201" t="str">
        <f>B267</f>
        <v>03C</v>
      </c>
      <c r="C280" s="202" t="str">
        <f>C267</f>
        <v>DEO-B02</v>
      </c>
      <c r="D280" s="9" t="str">
        <f>IF(ISBLANK(D267), "", D267)</f>
        <v/>
      </c>
      <c r="E280" s="9" t="str">
        <f t="shared" si="47"/>
        <v/>
      </c>
      <c r="F280" s="9" t="str">
        <f t="shared" si="47"/>
        <v/>
      </c>
      <c r="G280" s="203"/>
      <c r="H280" s="38"/>
      <c r="I280" s="38"/>
      <c r="J280" s="38"/>
      <c r="K280" s="37"/>
      <c r="L280" s="37"/>
      <c r="M280" s="38"/>
      <c r="N280" s="37"/>
      <c r="O280" s="37"/>
      <c r="P280" s="37"/>
      <c r="Q280" s="37"/>
      <c r="R280" s="37"/>
      <c r="S280" s="38"/>
      <c r="T280" s="37"/>
      <c r="U280" s="37"/>
      <c r="V280" s="37"/>
      <c r="W280" s="37"/>
      <c r="X280" s="37"/>
      <c r="Y280" s="38"/>
      <c r="Z280" s="38"/>
      <c r="AA280" s="38"/>
      <c r="AB280" s="112"/>
      <c r="AC280" s="200"/>
    </row>
    <row r="281" spans="1:29" x14ac:dyDescent="0.2">
      <c r="A281" s="228"/>
      <c r="B281" s="201"/>
      <c r="C281" s="202"/>
      <c r="D281" s="9" t="str">
        <f>IF(ISBLANK(D268), "", D268)</f>
        <v/>
      </c>
      <c r="E281" s="9" t="str">
        <f t="shared" si="47"/>
        <v/>
      </c>
      <c r="F281" s="9" t="str">
        <f t="shared" si="47"/>
        <v/>
      </c>
      <c r="G281" s="203"/>
      <c r="H281" s="37"/>
      <c r="I281" s="37"/>
      <c r="J281" s="37"/>
      <c r="K281" s="37"/>
      <c r="L281" s="37"/>
      <c r="M281" s="38"/>
      <c r="N281" s="37"/>
      <c r="O281" s="37"/>
      <c r="P281" s="37"/>
      <c r="Q281" s="37"/>
      <c r="R281" s="37"/>
      <c r="S281" s="38"/>
      <c r="T281" s="37"/>
      <c r="U281" s="37"/>
      <c r="V281" s="37"/>
      <c r="W281" s="37"/>
      <c r="X281" s="37"/>
      <c r="Y281" s="38"/>
      <c r="Z281" s="38"/>
      <c r="AA281" s="38"/>
      <c r="AB281" s="112"/>
      <c r="AC281" s="200"/>
    </row>
    <row r="283" spans="1:29" x14ac:dyDescent="0.2">
      <c r="A283" s="228">
        <v>44725</v>
      </c>
      <c r="B283" s="19" t="s">
        <v>42</v>
      </c>
      <c r="C283" s="20"/>
      <c r="D283" s="21" t="s">
        <v>43</v>
      </c>
      <c r="E283" s="20">
        <v>0</v>
      </c>
      <c r="F283" s="31"/>
      <c r="G283" s="32"/>
      <c r="H283" s="52"/>
      <c r="I283" s="65"/>
      <c r="J283" s="73"/>
      <c r="K283" s="32"/>
      <c r="L283" s="21"/>
      <c r="M283" s="32"/>
      <c r="N283" s="52"/>
      <c r="O283" s="65"/>
      <c r="P283" s="73"/>
      <c r="Q283" s="32"/>
      <c r="R283" s="21"/>
      <c r="S283" s="32"/>
      <c r="T283" s="52"/>
      <c r="U283" s="65"/>
      <c r="V283" s="73"/>
      <c r="W283" s="32"/>
      <c r="X283" s="21"/>
      <c r="Y283" s="21"/>
      <c r="Z283" s="32"/>
      <c r="AA283" s="21"/>
      <c r="AB283" s="21"/>
      <c r="AC283" s="33"/>
    </row>
    <row r="284" spans="1:29" x14ac:dyDescent="0.2">
      <c r="A284" s="228"/>
      <c r="B284" s="229" t="s">
        <v>10</v>
      </c>
      <c r="C284" s="230" t="s">
        <v>0</v>
      </c>
      <c r="D284" s="230" t="s">
        <v>25</v>
      </c>
      <c r="E284" s="230" t="s">
        <v>11</v>
      </c>
      <c r="F284" s="230" t="s">
        <v>16</v>
      </c>
      <c r="G284" s="237" t="s">
        <v>12</v>
      </c>
      <c r="H284" s="222" t="s">
        <v>13</v>
      </c>
      <c r="I284" s="223"/>
      <c r="J284" s="223"/>
      <c r="K284" s="223"/>
      <c r="L284" s="223"/>
      <c r="M284" s="224"/>
      <c r="N284" s="222" t="s">
        <v>14</v>
      </c>
      <c r="O284" s="223"/>
      <c r="P284" s="223"/>
      <c r="Q284" s="223"/>
      <c r="R284" s="223"/>
      <c r="S284" s="224"/>
      <c r="T284" s="222" t="s">
        <v>15</v>
      </c>
      <c r="U284" s="223"/>
      <c r="V284" s="223"/>
      <c r="W284" s="223"/>
      <c r="X284" s="223"/>
      <c r="Y284" s="224"/>
      <c r="Z284" s="225" t="s">
        <v>37</v>
      </c>
      <c r="AA284" s="225" t="s">
        <v>39</v>
      </c>
      <c r="AB284" s="225" t="s">
        <v>62</v>
      </c>
      <c r="AC284" s="231" t="s">
        <v>26</v>
      </c>
    </row>
    <row r="285" spans="1:29" ht="48" customHeight="1" x14ac:dyDescent="0.2">
      <c r="A285" s="228"/>
      <c r="B285" s="229"/>
      <c r="C285" s="230"/>
      <c r="D285" s="230"/>
      <c r="E285" s="230"/>
      <c r="F285" s="230"/>
      <c r="G285" s="237"/>
      <c r="H285" s="53" t="s">
        <v>50</v>
      </c>
      <c r="I285" s="66" t="s">
        <v>51</v>
      </c>
      <c r="J285" s="74" t="s">
        <v>63</v>
      </c>
      <c r="K285" s="24" t="s">
        <v>44</v>
      </c>
      <c r="L285" s="18" t="s">
        <v>5</v>
      </c>
      <c r="M285" s="81" t="s">
        <v>31</v>
      </c>
      <c r="N285" s="53" t="s">
        <v>50</v>
      </c>
      <c r="O285" s="66" t="s">
        <v>51</v>
      </c>
      <c r="P285" s="74" t="s">
        <v>63</v>
      </c>
      <c r="Q285" s="24" t="s">
        <v>44</v>
      </c>
      <c r="R285" s="30" t="s">
        <v>5</v>
      </c>
      <c r="S285" s="34" t="s">
        <v>31</v>
      </c>
      <c r="T285" s="53" t="s">
        <v>50</v>
      </c>
      <c r="U285" s="66" t="s">
        <v>51</v>
      </c>
      <c r="V285" s="74" t="s">
        <v>63</v>
      </c>
      <c r="W285" s="24" t="s">
        <v>44</v>
      </c>
      <c r="X285" s="30" t="s">
        <v>5</v>
      </c>
      <c r="Y285" s="34" t="s">
        <v>31</v>
      </c>
      <c r="Z285" s="226"/>
      <c r="AA285" s="227"/>
      <c r="AB285" s="227"/>
      <c r="AC285" s="231"/>
    </row>
    <row r="286" spans="1:29" x14ac:dyDescent="0.2">
      <c r="A286" s="228"/>
      <c r="B286" s="232" t="s">
        <v>2</v>
      </c>
      <c r="C286" s="234" t="s">
        <v>84</v>
      </c>
      <c r="D286" s="12"/>
      <c r="E286" s="10"/>
      <c r="F286" s="12"/>
      <c r="G286" s="234" t="s">
        <v>1</v>
      </c>
      <c r="H286" s="47">
        <v>23.6</v>
      </c>
      <c r="I286" s="63">
        <v>0</v>
      </c>
      <c r="J286" s="35"/>
      <c r="K286" s="35">
        <v>16</v>
      </c>
      <c r="L286" s="35">
        <f>IF(ISBLANK(J286), , J286*K286)</f>
        <v>0</v>
      </c>
      <c r="M286" s="29"/>
      <c r="N286" s="47">
        <v>23.6</v>
      </c>
      <c r="O286" s="63">
        <v>0</v>
      </c>
      <c r="P286" s="35"/>
      <c r="Q286" s="35">
        <v>16</v>
      </c>
      <c r="R286" s="35">
        <f>IF(ISBLANK(P286), , P286*Q286)</f>
        <v>0</v>
      </c>
      <c r="S286" s="29"/>
      <c r="T286" s="47">
        <v>23.6</v>
      </c>
      <c r="U286" s="63">
        <v>0</v>
      </c>
      <c r="V286" s="35"/>
      <c r="W286" s="35">
        <v>16</v>
      </c>
      <c r="X286" s="35">
        <f>IF(ISBLANK(V286), , V286*W286)</f>
        <v>0</v>
      </c>
      <c r="Y286" s="29"/>
      <c r="Z286" s="210">
        <f>SUM(L286, R286, X286)+SUM(L287, R287, X287)</f>
        <v>0</v>
      </c>
      <c r="AA286" s="210">
        <f>SUM(M286, S286, Y286)+SUM(M287, S287, Y287)</f>
        <v>0</v>
      </c>
      <c r="AB286" s="212">
        <f>IF($Z286=0, ,AA286/$Z286)</f>
        <v>0</v>
      </c>
      <c r="AC286" s="214" t="s">
        <v>87</v>
      </c>
    </row>
    <row r="287" spans="1:29" x14ac:dyDescent="0.2">
      <c r="A287" s="228"/>
      <c r="B287" s="233"/>
      <c r="C287" s="235"/>
      <c r="D287" s="12"/>
      <c r="E287" s="12"/>
      <c r="F287" s="12"/>
      <c r="G287" s="236"/>
      <c r="H287" s="47"/>
      <c r="I287" s="63"/>
      <c r="J287" s="35"/>
      <c r="K287" s="35"/>
      <c r="L287" s="35">
        <f>IF(ISBLANK(J287), , J287*K287)</f>
        <v>0</v>
      </c>
      <c r="M287" s="29"/>
      <c r="N287" s="47"/>
      <c r="O287" s="63"/>
      <c r="P287" s="35"/>
      <c r="Q287" s="35"/>
      <c r="R287" s="35">
        <f>IF(ISBLANK(P287), , P287*Q287)</f>
        <v>0</v>
      </c>
      <c r="S287" s="29"/>
      <c r="T287" s="47"/>
      <c r="U287" s="63"/>
      <c r="V287" s="35"/>
      <c r="W287" s="35"/>
      <c r="X287" s="35">
        <f>IF(ISBLANK(V287), , V287*W287)</f>
        <v>0</v>
      </c>
      <c r="Y287" s="29"/>
      <c r="Z287" s="211"/>
      <c r="AA287" s="211"/>
      <c r="AB287" s="213"/>
      <c r="AC287" s="215"/>
    </row>
    <row r="288" spans="1:29" x14ac:dyDescent="0.2">
      <c r="A288" s="228"/>
      <c r="B288" s="216" t="s">
        <v>6</v>
      </c>
      <c r="C288" s="218" t="s">
        <v>8</v>
      </c>
      <c r="D288" s="10"/>
      <c r="E288" s="10"/>
      <c r="F288" s="10"/>
      <c r="G288" s="218" t="s">
        <v>1</v>
      </c>
      <c r="H288" s="48">
        <v>19.57</v>
      </c>
      <c r="I288" s="67">
        <v>0</v>
      </c>
      <c r="J288" s="39"/>
      <c r="K288" s="39">
        <v>8</v>
      </c>
      <c r="L288" s="39">
        <f>IF(ISBLANK(J288), , J288*K288)</f>
        <v>0</v>
      </c>
      <c r="M288" s="40">
        <f>H301+K301+N301+Q301+T301+W301+Z301</f>
        <v>0</v>
      </c>
      <c r="N288" s="48">
        <v>19.57</v>
      </c>
      <c r="O288" s="67">
        <v>0</v>
      </c>
      <c r="P288" s="39"/>
      <c r="Q288" s="39">
        <v>8</v>
      </c>
      <c r="R288" s="39">
        <f>IF(ISBLANK(P288), , P288*Q288)</f>
        <v>0</v>
      </c>
      <c r="S288" s="40">
        <f>I301+L301+O301+R301+U301+X301+AA301</f>
        <v>0</v>
      </c>
      <c r="T288" s="48">
        <v>19.57</v>
      </c>
      <c r="U288" s="67">
        <v>0</v>
      </c>
      <c r="V288" s="39"/>
      <c r="W288" s="39">
        <v>8</v>
      </c>
      <c r="X288" s="39">
        <f>IF(ISBLANK(V288), , V288*W288)</f>
        <v>0</v>
      </c>
      <c r="Y288" s="40">
        <f>J301+M301+P301+S301+V301+Y301+AB301</f>
        <v>0</v>
      </c>
      <c r="Z288" s="238">
        <f>SUM(L288, R288, X288)+SUM(L289, R289, X289)</f>
        <v>0</v>
      </c>
      <c r="AA288" s="220">
        <f>SUM(M288, S288, Y288)+SUM(M289, S289, Y289)</f>
        <v>0</v>
      </c>
      <c r="AB288" s="194">
        <f>IF($Z288=0, ,AA288/$Z288)</f>
        <v>0</v>
      </c>
      <c r="AC288" s="204" t="s">
        <v>101</v>
      </c>
    </row>
    <row r="289" spans="1:29" x14ac:dyDescent="0.2">
      <c r="A289" s="228"/>
      <c r="B289" s="217"/>
      <c r="C289" s="219"/>
      <c r="D289" s="10"/>
      <c r="E289" s="10"/>
      <c r="F289" s="10"/>
      <c r="G289" s="219"/>
      <c r="H289" s="48"/>
      <c r="I289" s="67"/>
      <c r="J289" s="39"/>
      <c r="K289" s="39"/>
      <c r="L289" s="39">
        <f>IF(ISBLANK(J289), , J289*K289)</f>
        <v>0</v>
      </c>
      <c r="M289" s="40">
        <f>H302+K302+N302+Q302+T302+W302+Z302</f>
        <v>0</v>
      </c>
      <c r="N289" s="48"/>
      <c r="O289" s="67"/>
      <c r="P289" s="39"/>
      <c r="Q289" s="39"/>
      <c r="R289" s="39">
        <f t="shared" ref="R289:R295" si="48">IF(ISBLANK(P289), , P289*Q289)</f>
        <v>0</v>
      </c>
      <c r="S289" s="40">
        <f>I302+L302+O302+R302+U302+X302+AA302</f>
        <v>0</v>
      </c>
      <c r="T289" s="48"/>
      <c r="U289" s="67"/>
      <c r="V289" s="39"/>
      <c r="W289" s="39"/>
      <c r="X289" s="39">
        <f>IF(ISBLANK(V289), , V289*W289)</f>
        <v>0</v>
      </c>
      <c r="Y289" s="40">
        <f>J302+M302+P302+S302+V302+Y302+AB302</f>
        <v>0</v>
      </c>
      <c r="Z289" s="239"/>
      <c r="AA289" s="221"/>
      <c r="AB289" s="195"/>
      <c r="AC289" s="205"/>
    </row>
    <row r="290" spans="1:29" x14ac:dyDescent="0.2">
      <c r="A290" s="228"/>
      <c r="B290" s="206" t="s">
        <v>7</v>
      </c>
      <c r="C290" s="208" t="s">
        <v>81</v>
      </c>
      <c r="D290" s="9"/>
      <c r="E290" s="9"/>
      <c r="F290" s="9"/>
      <c r="G290" s="208" t="s">
        <v>1</v>
      </c>
      <c r="H290" s="49">
        <v>20.5</v>
      </c>
      <c r="I290" s="68">
        <v>0</v>
      </c>
      <c r="J290" s="37"/>
      <c r="K290" s="37">
        <v>8</v>
      </c>
      <c r="L290" s="37">
        <f>IF(ISBLANK(J290), , J290*K290)</f>
        <v>0</v>
      </c>
      <c r="M290" s="38">
        <f>H303+K303+N303+Q303+T303+W303+Z303</f>
        <v>0</v>
      </c>
      <c r="N290" s="49">
        <v>21.95</v>
      </c>
      <c r="O290" s="68">
        <v>0</v>
      </c>
      <c r="P290" s="37"/>
      <c r="Q290" s="37">
        <v>8</v>
      </c>
      <c r="R290" s="37">
        <f t="shared" si="48"/>
        <v>0</v>
      </c>
      <c r="S290" s="38">
        <f>I303+L303+O303+R303+U303+X303+AA303</f>
        <v>0</v>
      </c>
      <c r="T290" s="49">
        <v>22</v>
      </c>
      <c r="U290" s="68">
        <v>0</v>
      </c>
      <c r="V290" s="37"/>
      <c r="W290" s="37">
        <v>8</v>
      </c>
      <c r="X290" s="37">
        <f>IF(ISBLANK(V290), , V290*W290)</f>
        <v>0</v>
      </c>
      <c r="Y290" s="38">
        <f>J303+M303+P303+S303+V303+Y303+AB303</f>
        <v>0</v>
      </c>
      <c r="Z290" s="210">
        <f>SUM(L290, R290, X290)+SUM(L291, R291, X291)</f>
        <v>0</v>
      </c>
      <c r="AA290" s="210">
        <f>SUM(M290, S290, Y290)+SUM(M291, S291, Y291)</f>
        <v>0</v>
      </c>
      <c r="AB290" s="212">
        <f>IF($Z290=0, ,AA290/$Z290)</f>
        <v>0</v>
      </c>
      <c r="AC290" s="214" t="s">
        <v>101</v>
      </c>
    </row>
    <row r="291" spans="1:29" x14ac:dyDescent="0.2">
      <c r="A291" s="228"/>
      <c r="B291" s="207"/>
      <c r="C291" s="209"/>
      <c r="D291" s="9"/>
      <c r="E291" s="9"/>
      <c r="F291" s="9"/>
      <c r="G291" s="209"/>
      <c r="H291" s="49"/>
      <c r="I291" s="68"/>
      <c r="J291" s="37"/>
      <c r="K291" s="37"/>
      <c r="L291" s="37">
        <f t="shared" ref="L291:L297" si="49">IF(ISBLANK(J291), , J291*K291)</f>
        <v>0</v>
      </c>
      <c r="M291" s="38">
        <f>H304+K304+N304+Q304+T304+W304+Z304</f>
        <v>0</v>
      </c>
      <c r="N291" s="49"/>
      <c r="O291" s="68"/>
      <c r="P291" s="37"/>
      <c r="Q291" s="37"/>
      <c r="R291" s="37">
        <f t="shared" si="48"/>
        <v>0</v>
      </c>
      <c r="S291" s="38">
        <f>I304+L304+O304+R304+U304+X304+AA304</f>
        <v>0</v>
      </c>
      <c r="T291" s="49"/>
      <c r="U291" s="68"/>
      <c r="V291" s="37"/>
      <c r="W291" s="37"/>
      <c r="X291" s="37">
        <f t="shared" ref="X291:X297" si="50">IF(ISBLANK(V291), , V291*W291)</f>
        <v>0</v>
      </c>
      <c r="Y291" s="38">
        <f>J304+M304+P304+S304+V304+Y304+AB304</f>
        <v>0</v>
      </c>
      <c r="Z291" s="211"/>
      <c r="AA291" s="211"/>
      <c r="AB291" s="213"/>
      <c r="AC291" s="215"/>
    </row>
    <row r="292" spans="1:29" x14ac:dyDescent="0.2">
      <c r="A292" s="228"/>
      <c r="B292" s="216" t="s">
        <v>3</v>
      </c>
      <c r="C292" s="218" t="s">
        <v>82</v>
      </c>
      <c r="D292" s="10"/>
      <c r="E292" s="10"/>
      <c r="F292" s="10"/>
      <c r="G292" s="218" t="s">
        <v>1</v>
      </c>
      <c r="H292" s="48">
        <v>19.71</v>
      </c>
      <c r="I292" s="67">
        <v>0</v>
      </c>
      <c r="J292" s="36"/>
      <c r="K292" s="36">
        <v>16</v>
      </c>
      <c r="L292" s="36">
        <f t="shared" si="49"/>
        <v>0</v>
      </c>
      <c r="M292" s="17"/>
      <c r="N292" s="48">
        <v>19.690000000000001</v>
      </c>
      <c r="O292" s="67">
        <v>0</v>
      </c>
      <c r="P292" s="36"/>
      <c r="Q292" s="36">
        <v>16</v>
      </c>
      <c r="R292" s="36">
        <f t="shared" si="48"/>
        <v>0</v>
      </c>
      <c r="S292" s="17"/>
      <c r="T292" s="48">
        <v>19.2</v>
      </c>
      <c r="U292" s="67">
        <v>0</v>
      </c>
      <c r="V292" s="36">
        <v>0</v>
      </c>
      <c r="W292" s="36">
        <v>16</v>
      </c>
      <c r="X292" s="36">
        <f t="shared" si="50"/>
        <v>0</v>
      </c>
      <c r="Y292" s="17"/>
      <c r="Z292" s="220">
        <f>SUM(L292, R292, X292)+SUM(L293, R293, X293)</f>
        <v>0</v>
      </c>
      <c r="AA292" s="220">
        <f>SUM(M292, S292, Y292)+SUM(M293, S293, Y293)</f>
        <v>0</v>
      </c>
      <c r="AB292" s="194">
        <f>IF($Z292=0, ,AA292/$Z292)</f>
        <v>0</v>
      </c>
      <c r="AC292" s="204" t="s">
        <v>87</v>
      </c>
    </row>
    <row r="293" spans="1:29" x14ac:dyDescent="0.2">
      <c r="A293" s="228"/>
      <c r="B293" s="217"/>
      <c r="C293" s="219"/>
      <c r="D293" s="10"/>
      <c r="E293" s="10"/>
      <c r="F293" s="10"/>
      <c r="G293" s="219"/>
      <c r="H293" s="48"/>
      <c r="I293" s="67"/>
      <c r="J293" s="36"/>
      <c r="K293" s="36"/>
      <c r="L293" s="36">
        <f t="shared" si="49"/>
        <v>0</v>
      </c>
      <c r="M293" s="17"/>
      <c r="N293" s="48"/>
      <c r="O293" s="67"/>
      <c r="P293" s="36"/>
      <c r="Q293" s="36"/>
      <c r="R293" s="36">
        <f t="shared" si="48"/>
        <v>0</v>
      </c>
      <c r="S293" s="17"/>
      <c r="T293" s="48"/>
      <c r="U293" s="67"/>
      <c r="V293" s="36"/>
      <c r="W293" s="36"/>
      <c r="X293" s="36">
        <f t="shared" si="50"/>
        <v>0</v>
      </c>
      <c r="Y293" s="17"/>
      <c r="Z293" s="221"/>
      <c r="AA293" s="221"/>
      <c r="AB293" s="195"/>
      <c r="AC293" s="205"/>
    </row>
    <row r="294" spans="1:29" x14ac:dyDescent="0.2">
      <c r="A294" s="228"/>
      <c r="B294" s="206" t="s">
        <v>4</v>
      </c>
      <c r="C294" s="208" t="s">
        <v>9</v>
      </c>
      <c r="D294" s="9"/>
      <c r="E294" s="10"/>
      <c r="F294" s="9"/>
      <c r="G294" s="208" t="s">
        <v>1</v>
      </c>
      <c r="H294" s="49">
        <v>20.58</v>
      </c>
      <c r="I294" s="68">
        <v>0</v>
      </c>
      <c r="J294" s="37">
        <v>0</v>
      </c>
      <c r="K294" s="37">
        <v>8</v>
      </c>
      <c r="L294" s="37">
        <f t="shared" si="49"/>
        <v>0</v>
      </c>
      <c r="M294" s="38"/>
      <c r="N294" s="49">
        <v>20.58</v>
      </c>
      <c r="O294" s="68">
        <v>0</v>
      </c>
      <c r="P294" s="37">
        <v>0</v>
      </c>
      <c r="Q294" s="37">
        <v>8</v>
      </c>
      <c r="R294" s="37">
        <f t="shared" si="48"/>
        <v>0</v>
      </c>
      <c r="S294" s="38"/>
      <c r="T294" s="49">
        <v>20.58</v>
      </c>
      <c r="U294" s="68">
        <v>0</v>
      </c>
      <c r="V294" s="37">
        <v>0</v>
      </c>
      <c r="W294" s="37">
        <v>8</v>
      </c>
      <c r="X294" s="37">
        <f t="shared" si="50"/>
        <v>0</v>
      </c>
      <c r="Y294" s="38"/>
      <c r="Z294" s="210">
        <f>SUM(L294, R294, X294)+SUM(L295, R295, X295)</f>
        <v>0</v>
      </c>
      <c r="AA294" s="210">
        <f>SUM(M294, S294, Y294)+SUM(M295, S295, Y295)</f>
        <v>0</v>
      </c>
      <c r="AB294" s="212">
        <f>IF($Z294=0, ,AA294/$Z294)</f>
        <v>0</v>
      </c>
      <c r="AC294" s="214" t="s">
        <v>87</v>
      </c>
    </row>
    <row r="295" spans="1:29" x14ac:dyDescent="0.2">
      <c r="A295" s="228"/>
      <c r="B295" s="207"/>
      <c r="C295" s="209"/>
      <c r="D295" s="9"/>
      <c r="E295" s="9"/>
      <c r="F295" s="9"/>
      <c r="G295" s="209"/>
      <c r="H295" s="49"/>
      <c r="I295" s="68"/>
      <c r="J295" s="37"/>
      <c r="K295" s="37"/>
      <c r="L295" s="37">
        <f t="shared" si="49"/>
        <v>0</v>
      </c>
      <c r="M295" s="38"/>
      <c r="N295" s="49"/>
      <c r="O295" s="68"/>
      <c r="P295" s="37"/>
      <c r="Q295" s="37"/>
      <c r="R295" s="37">
        <f t="shared" si="48"/>
        <v>0</v>
      </c>
      <c r="S295" s="38"/>
      <c r="T295" s="49"/>
      <c r="U295" s="68"/>
      <c r="V295" s="37"/>
      <c r="W295" s="37"/>
      <c r="X295" s="37">
        <f t="shared" si="50"/>
        <v>0</v>
      </c>
      <c r="Y295" s="38"/>
      <c r="Z295" s="211"/>
      <c r="AA295" s="211"/>
      <c r="AB295" s="213"/>
      <c r="AC295" s="215"/>
    </row>
    <row r="296" spans="1:29" x14ac:dyDescent="0.2">
      <c r="A296" s="228"/>
      <c r="B296" s="189" t="s">
        <v>85</v>
      </c>
      <c r="C296" s="191" t="s">
        <v>83</v>
      </c>
      <c r="D296" s="11"/>
      <c r="E296" s="10"/>
      <c r="F296" s="11"/>
      <c r="G296" s="191" t="s">
        <v>1</v>
      </c>
      <c r="H296" s="50">
        <v>12.89</v>
      </c>
      <c r="I296" s="69">
        <v>0</v>
      </c>
      <c r="J296" s="39">
        <v>0</v>
      </c>
      <c r="K296" s="39">
        <v>16</v>
      </c>
      <c r="L296" s="39">
        <f t="shared" si="49"/>
        <v>0</v>
      </c>
      <c r="M296" s="40"/>
      <c r="N296" s="50">
        <v>12.89</v>
      </c>
      <c r="O296" s="69">
        <v>0</v>
      </c>
      <c r="P296" s="39">
        <v>0</v>
      </c>
      <c r="Q296" s="39">
        <v>16</v>
      </c>
      <c r="R296" s="39">
        <f>IF(ISBLANK(P296), , P296*Q296)</f>
        <v>0</v>
      </c>
      <c r="S296" s="40"/>
      <c r="T296" s="50">
        <v>23.6</v>
      </c>
      <c r="U296" s="69">
        <v>0</v>
      </c>
      <c r="V296" s="39">
        <v>0</v>
      </c>
      <c r="W296" s="39">
        <v>16</v>
      </c>
      <c r="X296" s="39">
        <f t="shared" si="50"/>
        <v>0</v>
      </c>
      <c r="Y296" s="40"/>
      <c r="Z296" s="193">
        <f>SUM(L296, R296, X296)+SUM(L297, R297, X297)</f>
        <v>0</v>
      </c>
      <c r="AA296" s="193">
        <f>SUM(M296, S296, Y296)+SUM(M297, S297, Y297)</f>
        <v>0</v>
      </c>
      <c r="AB296" s="194">
        <f>IF($Z296=0, ,AA296/$Z296)</f>
        <v>0</v>
      </c>
      <c r="AC296" s="196" t="s">
        <v>87</v>
      </c>
    </row>
    <row r="297" spans="1:29" x14ac:dyDescent="0.2">
      <c r="A297" s="228"/>
      <c r="B297" s="190"/>
      <c r="C297" s="192"/>
      <c r="D297" s="11"/>
      <c r="E297" s="11"/>
      <c r="F297" s="11"/>
      <c r="G297" s="192"/>
      <c r="H297" s="50"/>
      <c r="I297" s="69"/>
      <c r="J297" s="39"/>
      <c r="K297" s="39"/>
      <c r="L297" s="39">
        <f t="shared" si="49"/>
        <v>0</v>
      </c>
      <c r="M297" s="40"/>
      <c r="N297" s="50"/>
      <c r="O297" s="69"/>
      <c r="P297" s="39"/>
      <c r="Q297" s="39"/>
      <c r="R297" s="39">
        <f>IF(ISBLANK(P297), , P297*Q297)</f>
        <v>0</v>
      </c>
      <c r="S297" s="40"/>
      <c r="T297" s="50"/>
      <c r="U297" s="69"/>
      <c r="V297" s="39"/>
      <c r="W297" s="39"/>
      <c r="X297" s="39">
        <f t="shared" si="50"/>
        <v>0</v>
      </c>
      <c r="Y297" s="40"/>
      <c r="Z297" s="193"/>
      <c r="AA297" s="193"/>
      <c r="AB297" s="195"/>
      <c r="AC297" s="196"/>
    </row>
    <row r="298" spans="1:29" x14ac:dyDescent="0.2">
      <c r="A298" s="228"/>
      <c r="B298" s="56"/>
      <c r="C298" s="56"/>
      <c r="D298" s="56"/>
      <c r="E298" s="56"/>
      <c r="F298" s="56"/>
      <c r="G298" s="56"/>
      <c r="H298" s="76"/>
      <c r="I298" s="77"/>
      <c r="J298" s="78"/>
      <c r="K298" s="78"/>
      <c r="L298" s="78"/>
      <c r="M298" s="79"/>
      <c r="N298" s="76"/>
      <c r="O298" s="77"/>
      <c r="P298" s="78"/>
      <c r="Q298" s="78"/>
      <c r="R298" s="78"/>
      <c r="S298" s="79"/>
      <c r="T298" s="76"/>
      <c r="U298" s="77"/>
      <c r="V298" s="78"/>
      <c r="W298" s="78"/>
      <c r="X298" s="78"/>
      <c r="Y298" s="79"/>
      <c r="Z298" s="79"/>
      <c r="AA298" s="79"/>
      <c r="AB298" s="80"/>
      <c r="AC298" s="59"/>
    </row>
    <row r="299" spans="1:29" x14ac:dyDescent="0.2">
      <c r="A299" s="228"/>
      <c r="B299" s="197" t="s">
        <v>67</v>
      </c>
      <c r="C299" s="198"/>
      <c r="D299" s="198"/>
      <c r="E299" s="198"/>
      <c r="F299" s="198"/>
      <c r="G299" s="9" t="s">
        <v>68</v>
      </c>
      <c r="H299" s="199" t="s">
        <v>64</v>
      </c>
      <c r="I299" s="199"/>
      <c r="J299" s="199"/>
      <c r="K299" s="199" t="s">
        <v>76</v>
      </c>
      <c r="L299" s="199"/>
      <c r="M299" s="199"/>
      <c r="N299" s="199" t="s">
        <v>65</v>
      </c>
      <c r="O299" s="199"/>
      <c r="P299" s="199"/>
      <c r="Q299" s="199" t="s">
        <v>66</v>
      </c>
      <c r="R299" s="199"/>
      <c r="S299" s="199"/>
      <c r="T299" s="199" t="s">
        <v>73</v>
      </c>
      <c r="U299" s="199"/>
      <c r="V299" s="199"/>
      <c r="W299" s="199" t="s">
        <v>74</v>
      </c>
      <c r="X299" s="199"/>
      <c r="Y299" s="199"/>
      <c r="Z299" s="199" t="s">
        <v>75</v>
      </c>
      <c r="AA299" s="199"/>
      <c r="AB299" s="199"/>
      <c r="AC299" s="200"/>
    </row>
    <row r="300" spans="1:29" x14ac:dyDescent="0.2">
      <c r="A300" s="228"/>
      <c r="B300" s="197"/>
      <c r="C300" s="198"/>
      <c r="D300" s="198"/>
      <c r="E300" s="198"/>
      <c r="F300" s="198"/>
      <c r="G300" s="9" t="s">
        <v>69</v>
      </c>
      <c r="H300" s="98" t="s">
        <v>70</v>
      </c>
      <c r="I300" s="98" t="s">
        <v>71</v>
      </c>
      <c r="J300" s="99" t="s">
        <v>72</v>
      </c>
      <c r="K300" s="98" t="s">
        <v>70</v>
      </c>
      <c r="L300" s="98" t="s">
        <v>71</v>
      </c>
      <c r="M300" s="99" t="s">
        <v>72</v>
      </c>
      <c r="N300" s="98" t="s">
        <v>70</v>
      </c>
      <c r="O300" s="98" t="s">
        <v>71</v>
      </c>
      <c r="P300" s="99" t="s">
        <v>72</v>
      </c>
      <c r="Q300" s="98" t="s">
        <v>70</v>
      </c>
      <c r="R300" s="98" t="s">
        <v>71</v>
      </c>
      <c r="S300" s="99" t="s">
        <v>72</v>
      </c>
      <c r="T300" s="98" t="s">
        <v>70</v>
      </c>
      <c r="U300" s="98" t="s">
        <v>71</v>
      </c>
      <c r="V300" s="99" t="s">
        <v>72</v>
      </c>
      <c r="W300" s="98" t="s">
        <v>70</v>
      </c>
      <c r="X300" s="98" t="s">
        <v>71</v>
      </c>
      <c r="Y300" s="99" t="s">
        <v>72</v>
      </c>
      <c r="Z300" s="98" t="s">
        <v>70</v>
      </c>
      <c r="AA300" s="98" t="s">
        <v>71</v>
      </c>
      <c r="AB300" s="99" t="s">
        <v>72</v>
      </c>
      <c r="AC300" s="200"/>
    </row>
    <row r="301" spans="1:29" x14ac:dyDescent="0.2">
      <c r="A301" s="228"/>
      <c r="B301" s="201" t="str">
        <f>B288</f>
        <v>02C</v>
      </c>
      <c r="C301" s="202" t="str">
        <f>C288</f>
        <v>DEO-C01</v>
      </c>
      <c r="D301" s="9" t="str">
        <f>IF(ISBLANK(D288), "", D288)</f>
        <v/>
      </c>
      <c r="E301" s="9" t="str">
        <f>IF(ISBLANK(E288), "", E288)</f>
        <v/>
      </c>
      <c r="F301" s="9" t="str">
        <f>IF(ISBLANK(F288), "", F288)</f>
        <v/>
      </c>
      <c r="G301" s="203"/>
      <c r="H301" s="38"/>
      <c r="I301" s="38"/>
      <c r="J301" s="38"/>
      <c r="K301" s="38"/>
      <c r="L301" s="38"/>
      <c r="M301" s="38"/>
      <c r="N301" s="37"/>
      <c r="O301" s="37"/>
      <c r="P301" s="37"/>
      <c r="Q301" s="37"/>
      <c r="R301" s="37"/>
      <c r="S301" s="38"/>
      <c r="T301" s="37"/>
      <c r="U301" s="37"/>
      <c r="V301" s="37"/>
      <c r="W301" s="37"/>
      <c r="X301" s="37"/>
      <c r="Y301" s="38"/>
      <c r="Z301" s="38"/>
      <c r="AA301" s="38"/>
      <c r="AB301" s="112"/>
      <c r="AC301" s="200"/>
    </row>
    <row r="302" spans="1:29" x14ac:dyDescent="0.2">
      <c r="A302" s="228"/>
      <c r="B302" s="201"/>
      <c r="C302" s="202"/>
      <c r="D302" s="9"/>
      <c r="E302" s="9" t="str">
        <f t="shared" ref="E302:F304" si="51">IF(ISBLANK(E289), "", E289)</f>
        <v/>
      </c>
      <c r="F302" s="9" t="str">
        <f t="shared" si="51"/>
        <v/>
      </c>
      <c r="G302" s="203"/>
      <c r="H302" s="37"/>
      <c r="I302" s="37"/>
      <c r="J302" s="37"/>
      <c r="K302" s="37"/>
      <c r="L302" s="37"/>
      <c r="M302" s="38"/>
      <c r="N302" s="37"/>
      <c r="O302" s="37"/>
      <c r="P302" s="37"/>
      <c r="Q302" s="37"/>
      <c r="R302" s="37"/>
      <c r="S302" s="38"/>
      <c r="T302" s="37"/>
      <c r="U302" s="37"/>
      <c r="V302" s="37"/>
      <c r="W302" s="37"/>
      <c r="X302" s="37"/>
      <c r="Y302" s="38"/>
      <c r="Z302" s="38"/>
      <c r="AA302" s="38"/>
      <c r="AB302" s="112"/>
      <c r="AC302" s="200"/>
    </row>
    <row r="303" spans="1:29" x14ac:dyDescent="0.2">
      <c r="A303" s="228"/>
      <c r="B303" s="201" t="str">
        <f>B290</f>
        <v>03C</v>
      </c>
      <c r="C303" s="202" t="str">
        <f>C290</f>
        <v>DEO-B02</v>
      </c>
      <c r="D303" s="9" t="str">
        <f>IF(ISBLANK(D290), "", D290)</f>
        <v/>
      </c>
      <c r="E303" s="9" t="str">
        <f t="shared" si="51"/>
        <v/>
      </c>
      <c r="F303" s="9" t="str">
        <f t="shared" si="51"/>
        <v/>
      </c>
      <c r="G303" s="203"/>
      <c r="H303" s="38"/>
      <c r="I303" s="38"/>
      <c r="J303" s="38"/>
      <c r="K303" s="37"/>
      <c r="L303" s="37"/>
      <c r="M303" s="38"/>
      <c r="N303" s="37"/>
      <c r="O303" s="37"/>
      <c r="P303" s="37"/>
      <c r="Q303" s="37"/>
      <c r="R303" s="37"/>
      <c r="S303" s="38"/>
      <c r="T303" s="37"/>
      <c r="U303" s="37"/>
      <c r="V303" s="37"/>
      <c r="W303" s="37"/>
      <c r="X303" s="37"/>
      <c r="Y303" s="38"/>
      <c r="Z303" s="38"/>
      <c r="AA303" s="38"/>
      <c r="AB303" s="112"/>
      <c r="AC303" s="200"/>
    </row>
    <row r="304" spans="1:29" x14ac:dyDescent="0.2">
      <c r="A304" s="228"/>
      <c r="B304" s="201"/>
      <c r="C304" s="202"/>
      <c r="D304" s="9" t="str">
        <f>IF(ISBLANK(D291), "", D291)</f>
        <v/>
      </c>
      <c r="E304" s="9" t="str">
        <f t="shared" si="51"/>
        <v/>
      </c>
      <c r="F304" s="9" t="str">
        <f t="shared" si="51"/>
        <v/>
      </c>
      <c r="G304" s="203"/>
      <c r="H304" s="37"/>
      <c r="I304" s="37"/>
      <c r="J304" s="37"/>
      <c r="K304" s="37"/>
      <c r="L304" s="37"/>
      <c r="M304" s="38"/>
      <c r="N304" s="37"/>
      <c r="O304" s="37"/>
      <c r="P304" s="37"/>
      <c r="Q304" s="37"/>
      <c r="R304" s="37"/>
      <c r="S304" s="38"/>
      <c r="T304" s="37"/>
      <c r="U304" s="37"/>
      <c r="V304" s="37"/>
      <c r="W304" s="37"/>
      <c r="X304" s="37"/>
      <c r="Y304" s="38"/>
      <c r="Z304" s="38"/>
      <c r="AA304" s="38"/>
      <c r="AB304" s="112"/>
      <c r="AC304" s="200"/>
    </row>
    <row r="306" spans="1:29" x14ac:dyDescent="0.2">
      <c r="A306" s="228">
        <v>44726</v>
      </c>
      <c r="B306" s="19" t="s">
        <v>42</v>
      </c>
      <c r="C306" s="20"/>
      <c r="D306" s="21" t="s">
        <v>43</v>
      </c>
      <c r="E306" s="20">
        <v>0</v>
      </c>
      <c r="F306" s="31"/>
      <c r="G306" s="32"/>
      <c r="H306" s="52"/>
      <c r="I306" s="65"/>
      <c r="J306" s="73"/>
      <c r="K306" s="32"/>
      <c r="L306" s="21"/>
      <c r="M306" s="32"/>
      <c r="N306" s="52"/>
      <c r="O306" s="65"/>
      <c r="P306" s="73"/>
      <c r="Q306" s="32"/>
      <c r="R306" s="21"/>
      <c r="S306" s="32"/>
      <c r="T306" s="52"/>
      <c r="U306" s="65"/>
      <c r="V306" s="73"/>
      <c r="W306" s="32"/>
      <c r="X306" s="21"/>
      <c r="Y306" s="21"/>
      <c r="Z306" s="32"/>
      <c r="AA306" s="21"/>
      <c r="AB306" s="21"/>
      <c r="AC306" s="33"/>
    </row>
    <row r="307" spans="1:29" x14ac:dyDescent="0.2">
      <c r="A307" s="228"/>
      <c r="B307" s="229" t="s">
        <v>10</v>
      </c>
      <c r="C307" s="230" t="s">
        <v>0</v>
      </c>
      <c r="D307" s="230" t="s">
        <v>25</v>
      </c>
      <c r="E307" s="230" t="s">
        <v>11</v>
      </c>
      <c r="F307" s="230" t="s">
        <v>16</v>
      </c>
      <c r="G307" s="237" t="s">
        <v>12</v>
      </c>
      <c r="H307" s="222" t="s">
        <v>13</v>
      </c>
      <c r="I307" s="223"/>
      <c r="J307" s="223"/>
      <c r="K307" s="223"/>
      <c r="L307" s="223"/>
      <c r="M307" s="224"/>
      <c r="N307" s="222" t="s">
        <v>14</v>
      </c>
      <c r="O307" s="223"/>
      <c r="P307" s="223"/>
      <c r="Q307" s="223"/>
      <c r="R307" s="223"/>
      <c r="S307" s="224"/>
      <c r="T307" s="222" t="s">
        <v>15</v>
      </c>
      <c r="U307" s="223"/>
      <c r="V307" s="223"/>
      <c r="W307" s="223"/>
      <c r="X307" s="223"/>
      <c r="Y307" s="224"/>
      <c r="Z307" s="225" t="s">
        <v>37</v>
      </c>
      <c r="AA307" s="225" t="s">
        <v>39</v>
      </c>
      <c r="AB307" s="225" t="s">
        <v>62</v>
      </c>
      <c r="AC307" s="231" t="s">
        <v>26</v>
      </c>
    </row>
    <row r="308" spans="1:29" ht="25.5" x14ac:dyDescent="0.2">
      <c r="A308" s="228"/>
      <c r="B308" s="229"/>
      <c r="C308" s="230"/>
      <c r="D308" s="230"/>
      <c r="E308" s="230"/>
      <c r="F308" s="230"/>
      <c r="G308" s="237"/>
      <c r="H308" s="53" t="s">
        <v>50</v>
      </c>
      <c r="I308" s="66" t="s">
        <v>51</v>
      </c>
      <c r="J308" s="74" t="s">
        <v>63</v>
      </c>
      <c r="K308" s="24" t="s">
        <v>44</v>
      </c>
      <c r="L308" s="18" t="s">
        <v>5</v>
      </c>
      <c r="M308" s="81" t="s">
        <v>31</v>
      </c>
      <c r="N308" s="53" t="s">
        <v>50</v>
      </c>
      <c r="O308" s="66" t="s">
        <v>51</v>
      </c>
      <c r="P308" s="74" t="s">
        <v>63</v>
      </c>
      <c r="Q308" s="24" t="s">
        <v>44</v>
      </c>
      <c r="R308" s="30" t="s">
        <v>5</v>
      </c>
      <c r="S308" s="34" t="s">
        <v>31</v>
      </c>
      <c r="T308" s="53" t="s">
        <v>50</v>
      </c>
      <c r="U308" s="66" t="s">
        <v>51</v>
      </c>
      <c r="V308" s="74" t="s">
        <v>63</v>
      </c>
      <c r="W308" s="24" t="s">
        <v>44</v>
      </c>
      <c r="X308" s="30" t="s">
        <v>5</v>
      </c>
      <c r="Y308" s="34" t="s">
        <v>31</v>
      </c>
      <c r="Z308" s="226"/>
      <c r="AA308" s="227"/>
      <c r="AB308" s="227"/>
      <c r="AC308" s="231"/>
    </row>
    <row r="309" spans="1:29" x14ac:dyDescent="0.2">
      <c r="A309" s="228"/>
      <c r="B309" s="232" t="s">
        <v>2</v>
      </c>
      <c r="C309" s="234" t="s">
        <v>84</v>
      </c>
      <c r="D309" s="12"/>
      <c r="E309" s="10"/>
      <c r="F309" s="12"/>
      <c r="G309" s="234" t="s">
        <v>1</v>
      </c>
      <c r="H309" s="47">
        <v>23.6</v>
      </c>
      <c r="I309" s="63">
        <v>0</v>
      </c>
      <c r="J309" s="35"/>
      <c r="K309" s="35">
        <v>16</v>
      </c>
      <c r="L309" s="35">
        <f>IF(ISBLANK(J309), , J309*K309)</f>
        <v>0</v>
      </c>
      <c r="M309" s="29"/>
      <c r="N309" s="47">
        <v>23.6</v>
      </c>
      <c r="O309" s="63">
        <v>0</v>
      </c>
      <c r="P309" s="35"/>
      <c r="Q309" s="35">
        <v>16</v>
      </c>
      <c r="R309" s="35">
        <f>IF(ISBLANK(P309), , P309*Q309)</f>
        <v>0</v>
      </c>
      <c r="S309" s="29"/>
      <c r="T309" s="47">
        <v>23.6</v>
      </c>
      <c r="U309" s="63">
        <v>0</v>
      </c>
      <c r="V309" s="35"/>
      <c r="W309" s="35">
        <v>16</v>
      </c>
      <c r="X309" s="35">
        <f>IF(ISBLANK(V309), , V309*W309)</f>
        <v>0</v>
      </c>
      <c r="Y309" s="29"/>
      <c r="Z309" s="210">
        <f>SUM(L309, R309, X309)+SUM(L310, R310, X310)</f>
        <v>0</v>
      </c>
      <c r="AA309" s="210">
        <f>SUM(M309, S309, Y309)+SUM(M310, S310, Y310)</f>
        <v>0</v>
      </c>
      <c r="AB309" s="212">
        <f>IF($Z309=0, ,AA309/$Z309)</f>
        <v>0</v>
      </c>
      <c r="AC309" s="214" t="s">
        <v>87</v>
      </c>
    </row>
    <row r="310" spans="1:29" x14ac:dyDescent="0.2">
      <c r="A310" s="228"/>
      <c r="B310" s="233"/>
      <c r="C310" s="235"/>
      <c r="D310" s="12"/>
      <c r="E310" s="12"/>
      <c r="F310" s="12"/>
      <c r="G310" s="236"/>
      <c r="H310" s="47"/>
      <c r="I310" s="63"/>
      <c r="J310" s="35"/>
      <c r="K310" s="35"/>
      <c r="L310" s="35">
        <f>IF(ISBLANK(J310), , J310*K310)</f>
        <v>0</v>
      </c>
      <c r="M310" s="29"/>
      <c r="N310" s="47"/>
      <c r="O310" s="63"/>
      <c r="P310" s="35"/>
      <c r="Q310" s="35"/>
      <c r="R310" s="35">
        <f>IF(ISBLANK(P310), , P310*Q310)</f>
        <v>0</v>
      </c>
      <c r="S310" s="29"/>
      <c r="T310" s="47"/>
      <c r="U310" s="63"/>
      <c r="V310" s="35"/>
      <c r="W310" s="35"/>
      <c r="X310" s="35">
        <f>IF(ISBLANK(V310), , V310*W310)</f>
        <v>0</v>
      </c>
      <c r="Y310" s="29"/>
      <c r="Z310" s="211"/>
      <c r="AA310" s="211"/>
      <c r="AB310" s="213"/>
      <c r="AC310" s="215"/>
    </row>
    <row r="311" spans="1:29" x14ac:dyDescent="0.2">
      <c r="A311" s="228"/>
      <c r="B311" s="216" t="s">
        <v>6</v>
      </c>
      <c r="C311" s="218" t="s">
        <v>8</v>
      </c>
      <c r="D311" s="10"/>
      <c r="E311" s="10"/>
      <c r="F311" s="10"/>
      <c r="G311" s="218" t="s">
        <v>1</v>
      </c>
      <c r="H311" s="48">
        <v>19.57</v>
      </c>
      <c r="I311" s="67">
        <v>0</v>
      </c>
      <c r="J311" s="39"/>
      <c r="K311" s="39">
        <v>8</v>
      </c>
      <c r="L311" s="39">
        <f>IF(ISBLANK(J311), , J311*K311)</f>
        <v>0</v>
      </c>
      <c r="M311" s="40">
        <f>H324+K324+N324+Q324+T324+W324+Z324</f>
        <v>0</v>
      </c>
      <c r="N311" s="48">
        <v>19.57</v>
      </c>
      <c r="O311" s="67">
        <v>0</v>
      </c>
      <c r="P311" s="39"/>
      <c r="Q311" s="39">
        <v>8</v>
      </c>
      <c r="R311" s="39">
        <f>IF(ISBLANK(P311), , P311*Q311)</f>
        <v>0</v>
      </c>
      <c r="S311" s="40">
        <f>I324+L324+O324+R324+U324+X324+AA324</f>
        <v>0</v>
      </c>
      <c r="T311" s="48">
        <v>19.57</v>
      </c>
      <c r="U311" s="67">
        <v>0</v>
      </c>
      <c r="V311" s="39"/>
      <c r="W311" s="39">
        <v>8</v>
      </c>
      <c r="X311" s="39">
        <f>IF(ISBLANK(V311), , V311*W311)</f>
        <v>0</v>
      </c>
      <c r="Y311" s="40">
        <f>J324+M324+P324+S324+V324+Y324+AB324</f>
        <v>0</v>
      </c>
      <c r="Z311" s="238">
        <f>SUM(L311, R311, X311)+SUM(L312, R312, X312)</f>
        <v>0</v>
      </c>
      <c r="AA311" s="220">
        <f>SUM(M311, S311, Y311)+SUM(M312, S312, Y312)</f>
        <v>0</v>
      </c>
      <c r="AB311" s="194">
        <f>IF($Z311=0, ,AA311/$Z311)</f>
        <v>0</v>
      </c>
      <c r="AC311" s="204" t="s">
        <v>87</v>
      </c>
    </row>
    <row r="312" spans="1:29" x14ac:dyDescent="0.2">
      <c r="A312" s="228"/>
      <c r="B312" s="217"/>
      <c r="C312" s="219"/>
      <c r="D312" s="10"/>
      <c r="E312" s="10"/>
      <c r="F312" s="10"/>
      <c r="G312" s="219"/>
      <c r="H312" s="48"/>
      <c r="I312" s="67"/>
      <c r="J312" s="39"/>
      <c r="K312" s="39"/>
      <c r="L312" s="39">
        <f>IF(ISBLANK(J312), , J312*K312)</f>
        <v>0</v>
      </c>
      <c r="M312" s="40">
        <f>H325+K325+N325+Q325+T325+W325+Z325</f>
        <v>0</v>
      </c>
      <c r="N312" s="48"/>
      <c r="O312" s="67"/>
      <c r="P312" s="39"/>
      <c r="Q312" s="39"/>
      <c r="R312" s="39">
        <f t="shared" ref="R312:R318" si="52">IF(ISBLANK(P312), , P312*Q312)</f>
        <v>0</v>
      </c>
      <c r="S312" s="40">
        <f>I325+L325+O325+R325+U325+X325+AA325</f>
        <v>0</v>
      </c>
      <c r="T312" s="48"/>
      <c r="U312" s="67"/>
      <c r="V312" s="39"/>
      <c r="W312" s="39"/>
      <c r="X312" s="39">
        <f>IF(ISBLANK(V312), , V312*W312)</f>
        <v>0</v>
      </c>
      <c r="Y312" s="40">
        <f>J325+M325+P325+S325+V325+Y325+AB325</f>
        <v>0</v>
      </c>
      <c r="Z312" s="239"/>
      <c r="AA312" s="221"/>
      <c r="AB312" s="195"/>
      <c r="AC312" s="205"/>
    </row>
    <row r="313" spans="1:29" x14ac:dyDescent="0.2">
      <c r="A313" s="228"/>
      <c r="B313" s="206" t="s">
        <v>7</v>
      </c>
      <c r="C313" s="208" t="s">
        <v>81</v>
      </c>
      <c r="D313" s="9"/>
      <c r="E313" s="9"/>
      <c r="F313" s="9"/>
      <c r="G313" s="208" t="s">
        <v>1</v>
      </c>
      <c r="H313" s="49">
        <v>20.5</v>
      </c>
      <c r="I313" s="68">
        <v>0</v>
      </c>
      <c r="J313" s="37"/>
      <c r="K313" s="37">
        <v>8</v>
      </c>
      <c r="L313" s="37">
        <f>IF(ISBLANK(J313), , J313*K313)</f>
        <v>0</v>
      </c>
      <c r="M313" s="38">
        <f>H326+K326+N326+Q326+T326+W326+Z326</f>
        <v>0</v>
      </c>
      <c r="N313" s="49">
        <v>21.95</v>
      </c>
      <c r="O313" s="68">
        <v>0</v>
      </c>
      <c r="P313" s="37"/>
      <c r="Q313" s="37">
        <v>8</v>
      </c>
      <c r="R313" s="37">
        <f t="shared" si="52"/>
        <v>0</v>
      </c>
      <c r="S313" s="38">
        <f>I326+L326+O326+R326+U326+X326+AA326</f>
        <v>0</v>
      </c>
      <c r="T313" s="49">
        <v>22</v>
      </c>
      <c r="U313" s="68">
        <v>0</v>
      </c>
      <c r="V313" s="37"/>
      <c r="W313" s="37">
        <v>8</v>
      </c>
      <c r="X313" s="37">
        <f>IF(ISBLANK(V313), , V313*W313)</f>
        <v>0</v>
      </c>
      <c r="Y313" s="38">
        <f>J326+M326+P326+S326+V326+Y326+AB326</f>
        <v>0</v>
      </c>
      <c r="Z313" s="210">
        <f>SUM(L313, R313, X313)+SUM(L314, R314, X314)</f>
        <v>0</v>
      </c>
      <c r="AA313" s="210">
        <f>SUM(M313, S313, Y313)+SUM(M314, S314, Y314)</f>
        <v>0</v>
      </c>
      <c r="AB313" s="212">
        <f>IF($Z313=0, ,AA313/$Z313)</f>
        <v>0</v>
      </c>
      <c r="AC313" s="214" t="s">
        <v>87</v>
      </c>
    </row>
    <row r="314" spans="1:29" x14ac:dyDescent="0.2">
      <c r="A314" s="228"/>
      <c r="B314" s="207"/>
      <c r="C314" s="209"/>
      <c r="D314" s="9"/>
      <c r="E314" s="9"/>
      <c r="F314" s="9"/>
      <c r="G314" s="209"/>
      <c r="H314" s="49"/>
      <c r="I314" s="68"/>
      <c r="J314" s="37"/>
      <c r="K314" s="37"/>
      <c r="L314" s="37">
        <f t="shared" ref="L314:L320" si="53">IF(ISBLANK(J314), , J314*K314)</f>
        <v>0</v>
      </c>
      <c r="M314" s="38">
        <f>H327+K327+N327+Q327+T327+W327+Z327</f>
        <v>0</v>
      </c>
      <c r="N314" s="49"/>
      <c r="O314" s="68"/>
      <c r="P314" s="37"/>
      <c r="Q314" s="37"/>
      <c r="R314" s="37">
        <f t="shared" si="52"/>
        <v>0</v>
      </c>
      <c r="S314" s="38">
        <f>I327+L327+O327+R327+U327+X327+AA327</f>
        <v>0</v>
      </c>
      <c r="T314" s="49"/>
      <c r="U314" s="68"/>
      <c r="V314" s="37"/>
      <c r="W314" s="37"/>
      <c r="X314" s="37">
        <f t="shared" ref="X314:X320" si="54">IF(ISBLANK(V314), , V314*W314)</f>
        <v>0</v>
      </c>
      <c r="Y314" s="38">
        <f>J327+M327+P327+S327+V327+Y327+AB327</f>
        <v>0</v>
      </c>
      <c r="Z314" s="211"/>
      <c r="AA314" s="211"/>
      <c r="AB314" s="213"/>
      <c r="AC314" s="215"/>
    </row>
    <row r="315" spans="1:29" x14ac:dyDescent="0.2">
      <c r="A315" s="228"/>
      <c r="B315" s="216" t="s">
        <v>3</v>
      </c>
      <c r="C315" s="218" t="s">
        <v>82</v>
      </c>
      <c r="D315" s="10"/>
      <c r="E315" s="10"/>
      <c r="F315" s="10"/>
      <c r="G315" s="218" t="s">
        <v>1</v>
      </c>
      <c r="H315" s="48">
        <v>19.71</v>
      </c>
      <c r="I315" s="67">
        <v>0</v>
      </c>
      <c r="J315" s="36"/>
      <c r="K315" s="36">
        <v>16</v>
      </c>
      <c r="L315" s="36">
        <f t="shared" si="53"/>
        <v>0</v>
      </c>
      <c r="M315" s="17"/>
      <c r="N315" s="48">
        <v>19.690000000000001</v>
      </c>
      <c r="O315" s="67">
        <v>0</v>
      </c>
      <c r="P315" s="36"/>
      <c r="Q315" s="36">
        <v>16</v>
      </c>
      <c r="R315" s="36">
        <f t="shared" si="52"/>
        <v>0</v>
      </c>
      <c r="S315" s="17"/>
      <c r="T315" s="48">
        <v>19.2</v>
      </c>
      <c r="U315" s="67">
        <v>0</v>
      </c>
      <c r="V315" s="36">
        <v>0</v>
      </c>
      <c r="W315" s="36">
        <v>16</v>
      </c>
      <c r="X315" s="36">
        <f t="shared" si="54"/>
        <v>0</v>
      </c>
      <c r="Y315" s="17"/>
      <c r="Z315" s="220">
        <f>SUM(L315, R315, X315)+SUM(L316, R316, X316)</f>
        <v>0</v>
      </c>
      <c r="AA315" s="220">
        <f>SUM(M315, S315, Y315)+SUM(M316, S316, Y316)</f>
        <v>0</v>
      </c>
      <c r="AB315" s="194">
        <f>IF($Z315=0, ,AA315/$Z315)</f>
        <v>0</v>
      </c>
      <c r="AC315" s="204" t="s">
        <v>87</v>
      </c>
    </row>
    <row r="316" spans="1:29" x14ac:dyDescent="0.2">
      <c r="A316" s="228"/>
      <c r="B316" s="217"/>
      <c r="C316" s="219"/>
      <c r="D316" s="10"/>
      <c r="E316" s="10"/>
      <c r="F316" s="10"/>
      <c r="G316" s="219"/>
      <c r="H316" s="48"/>
      <c r="I316" s="67"/>
      <c r="J316" s="36"/>
      <c r="K316" s="36"/>
      <c r="L316" s="36">
        <f t="shared" si="53"/>
        <v>0</v>
      </c>
      <c r="M316" s="17"/>
      <c r="N316" s="48"/>
      <c r="O316" s="67"/>
      <c r="P316" s="36"/>
      <c r="Q316" s="36"/>
      <c r="R316" s="36">
        <f t="shared" si="52"/>
        <v>0</v>
      </c>
      <c r="S316" s="17"/>
      <c r="T316" s="48"/>
      <c r="U316" s="67"/>
      <c r="V316" s="36"/>
      <c r="W316" s="36"/>
      <c r="X316" s="36">
        <f t="shared" si="54"/>
        <v>0</v>
      </c>
      <c r="Y316" s="17"/>
      <c r="Z316" s="221"/>
      <c r="AA316" s="221"/>
      <c r="AB316" s="195"/>
      <c r="AC316" s="205"/>
    </row>
    <row r="317" spans="1:29" x14ac:dyDescent="0.2">
      <c r="A317" s="228"/>
      <c r="B317" s="206" t="s">
        <v>4</v>
      </c>
      <c r="C317" s="208" t="s">
        <v>9</v>
      </c>
      <c r="D317" s="9"/>
      <c r="E317" s="10"/>
      <c r="F317" s="9"/>
      <c r="G317" s="208" t="s">
        <v>1</v>
      </c>
      <c r="H317" s="49">
        <v>20.58</v>
      </c>
      <c r="I317" s="68">
        <v>0</v>
      </c>
      <c r="J317" s="37">
        <v>0</v>
      </c>
      <c r="K317" s="37">
        <v>8</v>
      </c>
      <c r="L317" s="37">
        <f t="shared" si="53"/>
        <v>0</v>
      </c>
      <c r="M317" s="38"/>
      <c r="N317" s="49">
        <v>20.58</v>
      </c>
      <c r="O317" s="68">
        <v>0</v>
      </c>
      <c r="P317" s="37">
        <v>0</v>
      </c>
      <c r="Q317" s="37">
        <v>8</v>
      </c>
      <c r="R317" s="37">
        <f t="shared" si="52"/>
        <v>0</v>
      </c>
      <c r="S317" s="38"/>
      <c r="T317" s="49">
        <v>20.58</v>
      </c>
      <c r="U317" s="68">
        <v>0</v>
      </c>
      <c r="V317" s="37">
        <v>0</v>
      </c>
      <c r="W317" s="37">
        <v>8</v>
      </c>
      <c r="X317" s="37">
        <f t="shared" si="54"/>
        <v>0</v>
      </c>
      <c r="Y317" s="38"/>
      <c r="Z317" s="210">
        <f>SUM(L317, R317, X317)+SUM(L318, R318, X318)</f>
        <v>0</v>
      </c>
      <c r="AA317" s="210">
        <f>SUM(M317, S317, Y317)+SUM(M318, S318, Y318)</f>
        <v>0</v>
      </c>
      <c r="AB317" s="212">
        <f>IF($Z317=0, ,AA317/$Z317)</f>
        <v>0</v>
      </c>
      <c r="AC317" s="214" t="s">
        <v>87</v>
      </c>
    </row>
    <row r="318" spans="1:29" x14ac:dyDescent="0.2">
      <c r="A318" s="228"/>
      <c r="B318" s="207"/>
      <c r="C318" s="209"/>
      <c r="D318" s="9"/>
      <c r="E318" s="9"/>
      <c r="F318" s="9"/>
      <c r="G318" s="209"/>
      <c r="H318" s="49"/>
      <c r="I318" s="68"/>
      <c r="J318" s="37"/>
      <c r="K318" s="37"/>
      <c r="L318" s="37">
        <f t="shared" si="53"/>
        <v>0</v>
      </c>
      <c r="M318" s="38"/>
      <c r="N318" s="49"/>
      <c r="O318" s="68"/>
      <c r="P318" s="37"/>
      <c r="Q318" s="37"/>
      <c r="R318" s="37">
        <f t="shared" si="52"/>
        <v>0</v>
      </c>
      <c r="S318" s="38"/>
      <c r="T318" s="49"/>
      <c r="U318" s="68"/>
      <c r="V318" s="37"/>
      <c r="W318" s="37"/>
      <c r="X318" s="37">
        <f t="shared" si="54"/>
        <v>0</v>
      </c>
      <c r="Y318" s="38"/>
      <c r="Z318" s="211"/>
      <c r="AA318" s="211"/>
      <c r="AB318" s="213"/>
      <c r="AC318" s="215"/>
    </row>
    <row r="319" spans="1:29" x14ac:dyDescent="0.2">
      <c r="A319" s="228"/>
      <c r="B319" s="189" t="s">
        <v>85</v>
      </c>
      <c r="C319" s="191" t="s">
        <v>83</v>
      </c>
      <c r="D319" s="11"/>
      <c r="E319" s="10"/>
      <c r="F319" s="11"/>
      <c r="G319" s="191" t="s">
        <v>1</v>
      </c>
      <c r="H319" s="50">
        <v>12.89</v>
      </c>
      <c r="I319" s="69">
        <v>0</v>
      </c>
      <c r="J319" s="39">
        <v>0</v>
      </c>
      <c r="K319" s="39">
        <v>16</v>
      </c>
      <c r="L319" s="39">
        <f t="shared" si="53"/>
        <v>0</v>
      </c>
      <c r="M319" s="40"/>
      <c r="N319" s="50">
        <v>12.89</v>
      </c>
      <c r="O319" s="69">
        <v>0</v>
      </c>
      <c r="P319" s="39">
        <v>0</v>
      </c>
      <c r="Q319" s="39">
        <v>16</v>
      </c>
      <c r="R319" s="39">
        <f>IF(ISBLANK(P319), , P319*Q319)</f>
        <v>0</v>
      </c>
      <c r="S319" s="40"/>
      <c r="T319" s="50">
        <v>23.6</v>
      </c>
      <c r="U319" s="69">
        <v>0</v>
      </c>
      <c r="V319" s="39">
        <v>0</v>
      </c>
      <c r="W319" s="39">
        <v>16</v>
      </c>
      <c r="X319" s="39">
        <f t="shared" si="54"/>
        <v>0</v>
      </c>
      <c r="Y319" s="40"/>
      <c r="Z319" s="193">
        <f>SUM(L319, R319, X319)+SUM(L320, R320, X320)</f>
        <v>0</v>
      </c>
      <c r="AA319" s="193">
        <f>SUM(M319, S319, Y319)+SUM(M320, S320, Y320)</f>
        <v>0</v>
      </c>
      <c r="AB319" s="194">
        <f>IF($Z319=0, ,AA319/$Z319)</f>
        <v>0</v>
      </c>
      <c r="AC319" s="196" t="s">
        <v>87</v>
      </c>
    </row>
    <row r="320" spans="1:29" x14ac:dyDescent="0.2">
      <c r="A320" s="228"/>
      <c r="B320" s="190"/>
      <c r="C320" s="192"/>
      <c r="D320" s="11"/>
      <c r="E320" s="11"/>
      <c r="F320" s="11"/>
      <c r="G320" s="192"/>
      <c r="H320" s="50"/>
      <c r="I320" s="69"/>
      <c r="J320" s="39"/>
      <c r="K320" s="39"/>
      <c r="L320" s="39">
        <f t="shared" si="53"/>
        <v>0</v>
      </c>
      <c r="M320" s="40"/>
      <c r="N320" s="50"/>
      <c r="O320" s="69"/>
      <c r="P320" s="39"/>
      <c r="Q320" s="39"/>
      <c r="R320" s="39">
        <f>IF(ISBLANK(P320), , P320*Q320)</f>
        <v>0</v>
      </c>
      <c r="S320" s="40"/>
      <c r="T320" s="50"/>
      <c r="U320" s="69"/>
      <c r="V320" s="39"/>
      <c r="W320" s="39"/>
      <c r="X320" s="39">
        <f t="shared" si="54"/>
        <v>0</v>
      </c>
      <c r="Y320" s="40"/>
      <c r="Z320" s="193"/>
      <c r="AA320" s="193"/>
      <c r="AB320" s="195"/>
      <c r="AC320" s="196"/>
    </row>
    <row r="321" spans="1:29" x14ac:dyDescent="0.2">
      <c r="A321" s="228"/>
      <c r="B321" s="56"/>
      <c r="C321" s="56"/>
      <c r="D321" s="56"/>
      <c r="E321" s="56"/>
      <c r="F321" s="56"/>
      <c r="G321" s="56"/>
      <c r="H321" s="76"/>
      <c r="I321" s="77"/>
      <c r="J321" s="78"/>
      <c r="K321" s="78"/>
      <c r="L321" s="78"/>
      <c r="M321" s="79"/>
      <c r="N321" s="76"/>
      <c r="O321" s="77"/>
      <c r="P321" s="78"/>
      <c r="Q321" s="78"/>
      <c r="R321" s="78"/>
      <c r="S321" s="79"/>
      <c r="T321" s="76"/>
      <c r="U321" s="77"/>
      <c r="V321" s="78"/>
      <c r="W321" s="78"/>
      <c r="X321" s="78"/>
      <c r="Y321" s="79"/>
      <c r="Z321" s="79"/>
      <c r="AA321" s="79"/>
      <c r="AB321" s="80"/>
      <c r="AC321" s="59"/>
    </row>
    <row r="322" spans="1:29" x14ac:dyDescent="0.2">
      <c r="A322" s="228"/>
      <c r="B322" s="197" t="s">
        <v>67</v>
      </c>
      <c r="C322" s="198"/>
      <c r="D322" s="198"/>
      <c r="E322" s="198"/>
      <c r="F322" s="198"/>
      <c r="G322" s="9" t="s">
        <v>68</v>
      </c>
      <c r="H322" s="199" t="s">
        <v>64</v>
      </c>
      <c r="I322" s="199"/>
      <c r="J322" s="199"/>
      <c r="K322" s="199" t="s">
        <v>76</v>
      </c>
      <c r="L322" s="199"/>
      <c r="M322" s="199"/>
      <c r="N322" s="199" t="s">
        <v>65</v>
      </c>
      <c r="O322" s="199"/>
      <c r="P322" s="199"/>
      <c r="Q322" s="199" t="s">
        <v>66</v>
      </c>
      <c r="R322" s="199"/>
      <c r="S322" s="199"/>
      <c r="T322" s="199" t="s">
        <v>73</v>
      </c>
      <c r="U322" s="199"/>
      <c r="V322" s="199"/>
      <c r="W322" s="199" t="s">
        <v>74</v>
      </c>
      <c r="X322" s="199"/>
      <c r="Y322" s="199"/>
      <c r="Z322" s="199" t="s">
        <v>75</v>
      </c>
      <c r="AA322" s="199"/>
      <c r="AB322" s="199"/>
      <c r="AC322" s="200"/>
    </row>
    <row r="323" spans="1:29" x14ac:dyDescent="0.2">
      <c r="A323" s="228"/>
      <c r="B323" s="197"/>
      <c r="C323" s="198"/>
      <c r="D323" s="198"/>
      <c r="E323" s="198"/>
      <c r="F323" s="198"/>
      <c r="G323" s="9" t="s">
        <v>69</v>
      </c>
      <c r="H323" s="98" t="s">
        <v>70</v>
      </c>
      <c r="I323" s="98" t="s">
        <v>71</v>
      </c>
      <c r="J323" s="99" t="s">
        <v>72</v>
      </c>
      <c r="K323" s="98" t="s">
        <v>70</v>
      </c>
      <c r="L323" s="98" t="s">
        <v>71</v>
      </c>
      <c r="M323" s="99" t="s">
        <v>72</v>
      </c>
      <c r="N323" s="98" t="s">
        <v>70</v>
      </c>
      <c r="O323" s="98" t="s">
        <v>71</v>
      </c>
      <c r="P323" s="99" t="s">
        <v>72</v>
      </c>
      <c r="Q323" s="98" t="s">
        <v>70</v>
      </c>
      <c r="R323" s="98" t="s">
        <v>71</v>
      </c>
      <c r="S323" s="99" t="s">
        <v>72</v>
      </c>
      <c r="T323" s="98" t="s">
        <v>70</v>
      </c>
      <c r="U323" s="98" t="s">
        <v>71</v>
      </c>
      <c r="V323" s="99" t="s">
        <v>72</v>
      </c>
      <c r="W323" s="98" t="s">
        <v>70</v>
      </c>
      <c r="X323" s="98" t="s">
        <v>71</v>
      </c>
      <c r="Y323" s="99" t="s">
        <v>72</v>
      </c>
      <c r="Z323" s="98" t="s">
        <v>70</v>
      </c>
      <c r="AA323" s="98" t="s">
        <v>71</v>
      </c>
      <c r="AB323" s="99" t="s">
        <v>72</v>
      </c>
      <c r="AC323" s="200"/>
    </row>
    <row r="324" spans="1:29" x14ac:dyDescent="0.2">
      <c r="A324" s="228"/>
      <c r="B324" s="201" t="str">
        <f>B311</f>
        <v>02C</v>
      </c>
      <c r="C324" s="202" t="str">
        <f>C311</f>
        <v>DEO-C01</v>
      </c>
      <c r="D324" s="9" t="str">
        <f>IF(ISBLANK(D311), "", D311)</f>
        <v/>
      </c>
      <c r="E324" s="9" t="str">
        <f>IF(ISBLANK(E311), "", E311)</f>
        <v/>
      </c>
      <c r="F324" s="9" t="str">
        <f>IF(ISBLANK(F311), "", F311)</f>
        <v/>
      </c>
      <c r="G324" s="203"/>
      <c r="H324" s="38"/>
      <c r="I324" s="38"/>
      <c r="J324" s="38"/>
      <c r="K324" s="38"/>
      <c r="L324" s="38"/>
      <c r="M324" s="38"/>
      <c r="N324" s="37"/>
      <c r="O324" s="37"/>
      <c r="P324" s="37"/>
      <c r="Q324" s="37"/>
      <c r="R324" s="37"/>
      <c r="S324" s="38"/>
      <c r="T324" s="37"/>
      <c r="U324" s="37"/>
      <c r="V324" s="37"/>
      <c r="W324" s="37"/>
      <c r="X324" s="37"/>
      <c r="Y324" s="38"/>
      <c r="Z324" s="38"/>
      <c r="AA324" s="38"/>
      <c r="AB324" s="112"/>
      <c r="AC324" s="200"/>
    </row>
    <row r="325" spans="1:29" x14ac:dyDescent="0.2">
      <c r="A325" s="228"/>
      <c r="B325" s="201"/>
      <c r="C325" s="202"/>
      <c r="D325" s="9"/>
      <c r="E325" s="9" t="str">
        <f t="shared" ref="E325:F327" si="55">IF(ISBLANK(E312), "", E312)</f>
        <v/>
      </c>
      <c r="F325" s="9" t="str">
        <f t="shared" si="55"/>
        <v/>
      </c>
      <c r="G325" s="203"/>
      <c r="H325" s="37"/>
      <c r="I325" s="37"/>
      <c r="J325" s="37"/>
      <c r="K325" s="37"/>
      <c r="L325" s="37"/>
      <c r="M325" s="38"/>
      <c r="N325" s="37"/>
      <c r="O325" s="37"/>
      <c r="P325" s="37"/>
      <c r="Q325" s="37"/>
      <c r="R325" s="37"/>
      <c r="S325" s="38"/>
      <c r="T325" s="37"/>
      <c r="U325" s="37"/>
      <c r="V325" s="37"/>
      <c r="W325" s="37"/>
      <c r="X325" s="37"/>
      <c r="Y325" s="38"/>
      <c r="Z325" s="38"/>
      <c r="AA325" s="38"/>
      <c r="AB325" s="112"/>
      <c r="AC325" s="200"/>
    </row>
    <row r="326" spans="1:29" x14ac:dyDescent="0.2">
      <c r="A326" s="228"/>
      <c r="B326" s="201" t="str">
        <f>B313</f>
        <v>03C</v>
      </c>
      <c r="C326" s="202" t="str">
        <f>C313</f>
        <v>DEO-B02</v>
      </c>
      <c r="D326" s="9" t="str">
        <f>IF(ISBLANK(D313), "", D313)</f>
        <v/>
      </c>
      <c r="E326" s="9" t="str">
        <f t="shared" si="55"/>
        <v/>
      </c>
      <c r="F326" s="9" t="str">
        <f t="shared" si="55"/>
        <v/>
      </c>
      <c r="G326" s="203"/>
      <c r="H326" s="38"/>
      <c r="I326" s="38"/>
      <c r="J326" s="38"/>
      <c r="K326" s="37"/>
      <c r="L326" s="37"/>
      <c r="M326" s="38"/>
      <c r="N326" s="37"/>
      <c r="O326" s="37"/>
      <c r="P326" s="37"/>
      <c r="Q326" s="37"/>
      <c r="R326" s="37"/>
      <c r="S326" s="38"/>
      <c r="T326" s="37"/>
      <c r="U326" s="37"/>
      <c r="V326" s="37"/>
      <c r="W326" s="37"/>
      <c r="X326" s="37"/>
      <c r="Y326" s="38"/>
      <c r="Z326" s="38"/>
      <c r="AA326" s="38"/>
      <c r="AB326" s="112"/>
      <c r="AC326" s="200"/>
    </row>
    <row r="327" spans="1:29" x14ac:dyDescent="0.2">
      <c r="A327" s="228"/>
      <c r="B327" s="201"/>
      <c r="C327" s="202"/>
      <c r="D327" s="9" t="str">
        <f>IF(ISBLANK(D314), "", D314)</f>
        <v/>
      </c>
      <c r="E327" s="9" t="str">
        <f t="shared" si="55"/>
        <v/>
      </c>
      <c r="F327" s="9" t="str">
        <f t="shared" si="55"/>
        <v/>
      </c>
      <c r="G327" s="203"/>
      <c r="H327" s="37"/>
      <c r="I327" s="37"/>
      <c r="J327" s="37"/>
      <c r="K327" s="37"/>
      <c r="L327" s="37"/>
      <c r="M327" s="38"/>
      <c r="N327" s="37"/>
      <c r="O327" s="37"/>
      <c r="P327" s="37"/>
      <c r="Q327" s="37"/>
      <c r="R327" s="37"/>
      <c r="S327" s="38"/>
      <c r="T327" s="37"/>
      <c r="U327" s="37"/>
      <c r="V327" s="37"/>
      <c r="W327" s="37"/>
      <c r="X327" s="37"/>
      <c r="Y327" s="38"/>
      <c r="Z327" s="38"/>
      <c r="AA327" s="38"/>
      <c r="AB327" s="112"/>
      <c r="AC327" s="200"/>
    </row>
    <row r="329" spans="1:29" x14ac:dyDescent="0.2">
      <c r="A329" s="228">
        <v>44727</v>
      </c>
      <c r="B329" s="19" t="s">
        <v>42</v>
      </c>
      <c r="C329" s="20"/>
      <c r="D329" s="21" t="s">
        <v>43</v>
      </c>
      <c r="E329" s="20">
        <v>0</v>
      </c>
      <c r="F329" s="31"/>
      <c r="G329" s="32"/>
      <c r="H329" s="52"/>
      <c r="I329" s="65"/>
      <c r="J329" s="73"/>
      <c r="K329" s="32"/>
      <c r="L329" s="21"/>
      <c r="M329" s="32"/>
      <c r="N329" s="52"/>
      <c r="O329" s="65"/>
      <c r="P329" s="73"/>
      <c r="Q329" s="32"/>
      <c r="R329" s="21"/>
      <c r="S329" s="32"/>
      <c r="T329" s="52"/>
      <c r="U329" s="65"/>
      <c r="V329" s="73"/>
      <c r="W329" s="32"/>
      <c r="X329" s="21"/>
      <c r="Y329" s="21"/>
      <c r="Z329" s="32"/>
      <c r="AA329" s="21"/>
      <c r="AB329" s="21"/>
      <c r="AC329" s="33"/>
    </row>
    <row r="330" spans="1:29" x14ac:dyDescent="0.2">
      <c r="A330" s="228"/>
      <c r="B330" s="229" t="s">
        <v>10</v>
      </c>
      <c r="C330" s="230" t="s">
        <v>0</v>
      </c>
      <c r="D330" s="230" t="s">
        <v>25</v>
      </c>
      <c r="E330" s="230" t="s">
        <v>11</v>
      </c>
      <c r="F330" s="230" t="s">
        <v>16</v>
      </c>
      <c r="G330" s="237" t="s">
        <v>12</v>
      </c>
      <c r="H330" s="222" t="s">
        <v>13</v>
      </c>
      <c r="I330" s="223"/>
      <c r="J330" s="223"/>
      <c r="K330" s="223"/>
      <c r="L330" s="223"/>
      <c r="M330" s="224"/>
      <c r="N330" s="222" t="s">
        <v>14</v>
      </c>
      <c r="O330" s="223"/>
      <c r="P330" s="223"/>
      <c r="Q330" s="223"/>
      <c r="R330" s="223"/>
      <c r="S330" s="224"/>
      <c r="T330" s="222" t="s">
        <v>15</v>
      </c>
      <c r="U330" s="223"/>
      <c r="V330" s="223"/>
      <c r="W330" s="223"/>
      <c r="X330" s="223"/>
      <c r="Y330" s="224"/>
      <c r="Z330" s="225" t="s">
        <v>37</v>
      </c>
      <c r="AA330" s="225" t="s">
        <v>39</v>
      </c>
      <c r="AB330" s="225" t="s">
        <v>62</v>
      </c>
      <c r="AC330" s="231" t="s">
        <v>26</v>
      </c>
    </row>
    <row r="331" spans="1:29" ht="25.5" x14ac:dyDescent="0.2">
      <c r="A331" s="228"/>
      <c r="B331" s="229"/>
      <c r="C331" s="230"/>
      <c r="D331" s="230"/>
      <c r="E331" s="230"/>
      <c r="F331" s="230"/>
      <c r="G331" s="237"/>
      <c r="H331" s="53" t="s">
        <v>50</v>
      </c>
      <c r="I331" s="66" t="s">
        <v>51</v>
      </c>
      <c r="J331" s="74" t="s">
        <v>63</v>
      </c>
      <c r="K331" s="24" t="s">
        <v>44</v>
      </c>
      <c r="L331" s="18" t="s">
        <v>5</v>
      </c>
      <c r="M331" s="81" t="s">
        <v>31</v>
      </c>
      <c r="N331" s="53" t="s">
        <v>50</v>
      </c>
      <c r="O331" s="66" t="s">
        <v>51</v>
      </c>
      <c r="P331" s="74" t="s">
        <v>63</v>
      </c>
      <c r="Q331" s="24" t="s">
        <v>44</v>
      </c>
      <c r="R331" s="30" t="s">
        <v>5</v>
      </c>
      <c r="S331" s="34" t="s">
        <v>31</v>
      </c>
      <c r="T331" s="53" t="s">
        <v>50</v>
      </c>
      <c r="U331" s="66" t="s">
        <v>51</v>
      </c>
      <c r="V331" s="74" t="s">
        <v>63</v>
      </c>
      <c r="W331" s="24" t="s">
        <v>44</v>
      </c>
      <c r="X331" s="30" t="s">
        <v>5</v>
      </c>
      <c r="Y331" s="34" t="s">
        <v>31</v>
      </c>
      <c r="Z331" s="226"/>
      <c r="AA331" s="227"/>
      <c r="AB331" s="227"/>
      <c r="AC331" s="231"/>
    </row>
    <row r="332" spans="1:29" x14ac:dyDescent="0.2">
      <c r="A332" s="228"/>
      <c r="B332" s="232" t="s">
        <v>2</v>
      </c>
      <c r="C332" s="234" t="s">
        <v>84</v>
      </c>
      <c r="D332" s="12"/>
      <c r="E332" s="10"/>
      <c r="F332" s="12"/>
      <c r="G332" s="234" t="s">
        <v>1</v>
      </c>
      <c r="H332" s="47">
        <v>23.6</v>
      </c>
      <c r="I332" s="63">
        <v>0</v>
      </c>
      <c r="J332" s="35"/>
      <c r="K332" s="35">
        <v>16</v>
      </c>
      <c r="L332" s="35">
        <f>IF(ISBLANK(J332), , J332*K332)</f>
        <v>0</v>
      </c>
      <c r="M332" s="29"/>
      <c r="N332" s="47">
        <v>23.6</v>
      </c>
      <c r="O332" s="63">
        <v>0</v>
      </c>
      <c r="P332" s="35"/>
      <c r="Q332" s="35">
        <v>16</v>
      </c>
      <c r="R332" s="35">
        <f>IF(ISBLANK(P332), , P332*Q332)</f>
        <v>0</v>
      </c>
      <c r="S332" s="29"/>
      <c r="T332" s="47">
        <v>23.6</v>
      </c>
      <c r="U332" s="63">
        <v>0</v>
      </c>
      <c r="V332" s="35"/>
      <c r="W332" s="35">
        <v>16</v>
      </c>
      <c r="X332" s="35">
        <f>IF(ISBLANK(V332), , V332*W332)</f>
        <v>0</v>
      </c>
      <c r="Y332" s="29"/>
      <c r="Z332" s="210">
        <f>SUM(L332, R332, X332)+SUM(L333, R333, X333)</f>
        <v>0</v>
      </c>
      <c r="AA332" s="210">
        <f>SUM(M332, S332, Y332)+SUM(M333, S333, Y333)</f>
        <v>0</v>
      </c>
      <c r="AB332" s="212">
        <f>IF($Z332=0, ,AA332/$Z332)</f>
        <v>0</v>
      </c>
      <c r="AC332" s="214" t="s">
        <v>87</v>
      </c>
    </row>
    <row r="333" spans="1:29" x14ac:dyDescent="0.2">
      <c r="A333" s="228"/>
      <c r="B333" s="233"/>
      <c r="C333" s="235"/>
      <c r="D333" s="12"/>
      <c r="E333" s="12"/>
      <c r="F333" s="12"/>
      <c r="G333" s="236"/>
      <c r="H333" s="47"/>
      <c r="I333" s="63"/>
      <c r="J333" s="35"/>
      <c r="K333" s="35"/>
      <c r="L333" s="35">
        <f>IF(ISBLANK(J333), , J333*K333)</f>
        <v>0</v>
      </c>
      <c r="M333" s="29"/>
      <c r="N333" s="47"/>
      <c r="O333" s="63"/>
      <c r="P333" s="35"/>
      <c r="Q333" s="35"/>
      <c r="R333" s="35">
        <f>IF(ISBLANK(P333), , P333*Q333)</f>
        <v>0</v>
      </c>
      <c r="S333" s="29"/>
      <c r="T333" s="47"/>
      <c r="U333" s="63"/>
      <c r="V333" s="35"/>
      <c r="W333" s="35"/>
      <c r="X333" s="35">
        <f>IF(ISBLANK(V333), , V333*W333)</f>
        <v>0</v>
      </c>
      <c r="Y333" s="29"/>
      <c r="Z333" s="211"/>
      <c r="AA333" s="211"/>
      <c r="AB333" s="213"/>
      <c r="AC333" s="215"/>
    </row>
    <row r="334" spans="1:29" x14ac:dyDescent="0.2">
      <c r="A334" s="228"/>
      <c r="B334" s="216" t="s">
        <v>6</v>
      </c>
      <c r="C334" s="218" t="s">
        <v>8</v>
      </c>
      <c r="D334" s="10"/>
      <c r="E334" s="10"/>
      <c r="F334" s="10"/>
      <c r="G334" s="218" t="s">
        <v>1</v>
      </c>
      <c r="H334" s="48">
        <v>19.57</v>
      </c>
      <c r="I334" s="67">
        <v>0</v>
      </c>
      <c r="J334" s="39"/>
      <c r="K334" s="39">
        <v>8</v>
      </c>
      <c r="L334" s="39">
        <f>IF(ISBLANK(J334), , J334*K334)</f>
        <v>0</v>
      </c>
      <c r="M334" s="40">
        <f>H347+K347+N347+Q347+T347+W347+Z347</f>
        <v>0</v>
      </c>
      <c r="N334" s="48">
        <v>19.57</v>
      </c>
      <c r="O334" s="67">
        <v>0</v>
      </c>
      <c r="P334" s="39"/>
      <c r="Q334" s="39">
        <v>8</v>
      </c>
      <c r="R334" s="39">
        <f>IF(ISBLANK(P334), , P334*Q334)</f>
        <v>0</v>
      </c>
      <c r="S334" s="40">
        <f>I347+L347+O347+R347+U347+X347+AA347</f>
        <v>0</v>
      </c>
      <c r="T334" s="48">
        <v>19.57</v>
      </c>
      <c r="U334" s="67">
        <v>0</v>
      </c>
      <c r="V334" s="39"/>
      <c r="W334" s="39">
        <v>8</v>
      </c>
      <c r="X334" s="39">
        <f>IF(ISBLANK(V334), , V334*W334)</f>
        <v>0</v>
      </c>
      <c r="Y334" s="40">
        <f>J347+M347+P347+S347+V347+Y347+AB347</f>
        <v>0</v>
      </c>
      <c r="Z334" s="238">
        <f>SUM(L334, R334, X334)+SUM(L335, R335, X335)</f>
        <v>0</v>
      </c>
      <c r="AA334" s="220">
        <f>SUM(M334, S334, Y334)+SUM(M335, S335, Y335)</f>
        <v>0</v>
      </c>
      <c r="AB334" s="194">
        <f>IF($Z334=0, ,AA334/$Z334)</f>
        <v>0</v>
      </c>
      <c r="AC334" s="204" t="s">
        <v>87</v>
      </c>
    </row>
    <row r="335" spans="1:29" x14ac:dyDescent="0.2">
      <c r="A335" s="228"/>
      <c r="B335" s="217"/>
      <c r="C335" s="219"/>
      <c r="D335" s="10"/>
      <c r="E335" s="10"/>
      <c r="F335" s="10"/>
      <c r="G335" s="219"/>
      <c r="H335" s="48"/>
      <c r="I335" s="67"/>
      <c r="J335" s="39"/>
      <c r="K335" s="39"/>
      <c r="L335" s="39">
        <f>IF(ISBLANK(J335), , J335*K335)</f>
        <v>0</v>
      </c>
      <c r="M335" s="40">
        <f>H348+K348+N348+Q348+T348+W348+Z348</f>
        <v>0</v>
      </c>
      <c r="N335" s="48"/>
      <c r="O335" s="67"/>
      <c r="P335" s="39"/>
      <c r="Q335" s="39"/>
      <c r="R335" s="39">
        <f t="shared" ref="R335:R341" si="56">IF(ISBLANK(P335), , P335*Q335)</f>
        <v>0</v>
      </c>
      <c r="S335" s="40">
        <f>I348+L348+O348+R348+U348+X348+AA348</f>
        <v>0</v>
      </c>
      <c r="T335" s="48"/>
      <c r="U335" s="67"/>
      <c r="V335" s="39"/>
      <c r="W335" s="39"/>
      <c r="X335" s="39">
        <f>IF(ISBLANK(V335), , V335*W335)</f>
        <v>0</v>
      </c>
      <c r="Y335" s="40">
        <f>J348+M348+P348+S348+V348+Y348+AB348</f>
        <v>0</v>
      </c>
      <c r="Z335" s="239"/>
      <c r="AA335" s="221"/>
      <c r="AB335" s="195"/>
      <c r="AC335" s="205"/>
    </row>
    <row r="336" spans="1:29" x14ac:dyDescent="0.2">
      <c r="A336" s="228"/>
      <c r="B336" s="206" t="s">
        <v>7</v>
      </c>
      <c r="C336" s="208" t="s">
        <v>81</v>
      </c>
      <c r="D336" s="9"/>
      <c r="E336" s="9"/>
      <c r="F336" s="9"/>
      <c r="G336" s="208" t="s">
        <v>1</v>
      </c>
      <c r="H336" s="49">
        <v>20.5</v>
      </c>
      <c r="I336" s="68">
        <v>0</v>
      </c>
      <c r="J336" s="37"/>
      <c r="K336" s="37">
        <v>8</v>
      </c>
      <c r="L336" s="37">
        <f>IF(ISBLANK(J336), , J336*K336)</f>
        <v>0</v>
      </c>
      <c r="M336" s="38">
        <f>H349+K349+N349+Q349+T349+W349+Z349</f>
        <v>0</v>
      </c>
      <c r="N336" s="49">
        <v>21.95</v>
      </c>
      <c r="O336" s="68">
        <v>0</v>
      </c>
      <c r="P336" s="37"/>
      <c r="Q336" s="37">
        <v>8</v>
      </c>
      <c r="R336" s="37">
        <f t="shared" si="56"/>
        <v>0</v>
      </c>
      <c r="S336" s="38">
        <f>I349+L349+O349+R349+U349+X349+AA349</f>
        <v>0</v>
      </c>
      <c r="T336" s="49">
        <v>22</v>
      </c>
      <c r="U336" s="68">
        <v>0</v>
      </c>
      <c r="V336" s="37"/>
      <c r="W336" s="37">
        <v>8</v>
      </c>
      <c r="X336" s="37">
        <f>IF(ISBLANK(V336), , V336*W336)</f>
        <v>0</v>
      </c>
      <c r="Y336" s="38">
        <f>J349+M349+P349+S349+V349+Y349+AB349</f>
        <v>0</v>
      </c>
      <c r="Z336" s="210">
        <f>SUM(L336, R336, X336)+SUM(L337, R337, X337)</f>
        <v>0</v>
      </c>
      <c r="AA336" s="210">
        <f>SUM(M336, S336, Y336)+SUM(M337, S337, Y337)</f>
        <v>0</v>
      </c>
      <c r="AB336" s="212">
        <f>IF($Z336=0, ,AA336/$Z336)</f>
        <v>0</v>
      </c>
      <c r="AC336" s="214" t="s">
        <v>87</v>
      </c>
    </row>
    <row r="337" spans="1:29" x14ac:dyDescent="0.2">
      <c r="A337" s="228"/>
      <c r="B337" s="207"/>
      <c r="C337" s="209"/>
      <c r="D337" s="9"/>
      <c r="E337" s="9"/>
      <c r="F337" s="9"/>
      <c r="G337" s="209"/>
      <c r="H337" s="49"/>
      <c r="I337" s="68"/>
      <c r="J337" s="37"/>
      <c r="K337" s="37"/>
      <c r="L337" s="37">
        <f t="shared" ref="L337:L343" si="57">IF(ISBLANK(J337), , J337*K337)</f>
        <v>0</v>
      </c>
      <c r="M337" s="38">
        <f>H350+K350+N350+Q350+T350+W350+Z350</f>
        <v>0</v>
      </c>
      <c r="N337" s="49"/>
      <c r="O337" s="68"/>
      <c r="P337" s="37"/>
      <c r="Q337" s="37"/>
      <c r="R337" s="37">
        <f t="shared" si="56"/>
        <v>0</v>
      </c>
      <c r="S337" s="38">
        <f>I350+L350+O350+R350+U350+X350+AA350</f>
        <v>0</v>
      </c>
      <c r="T337" s="49"/>
      <c r="U337" s="68"/>
      <c r="V337" s="37"/>
      <c r="W337" s="37"/>
      <c r="X337" s="37">
        <f t="shared" ref="X337:X343" si="58">IF(ISBLANK(V337), , V337*W337)</f>
        <v>0</v>
      </c>
      <c r="Y337" s="38">
        <f>J350+M350+P350+S350+V350+Y350+AB350</f>
        <v>0</v>
      </c>
      <c r="Z337" s="211"/>
      <c r="AA337" s="211"/>
      <c r="AB337" s="213"/>
      <c r="AC337" s="215"/>
    </row>
    <row r="338" spans="1:29" x14ac:dyDescent="0.2">
      <c r="A338" s="228"/>
      <c r="B338" s="216" t="s">
        <v>3</v>
      </c>
      <c r="C338" s="218" t="s">
        <v>82</v>
      </c>
      <c r="D338" s="10"/>
      <c r="E338" s="10"/>
      <c r="F338" s="10"/>
      <c r="G338" s="218" t="s">
        <v>1</v>
      </c>
      <c r="H338" s="48">
        <v>19.71</v>
      </c>
      <c r="I338" s="67">
        <v>0</v>
      </c>
      <c r="J338" s="36"/>
      <c r="K338" s="36">
        <v>16</v>
      </c>
      <c r="L338" s="36">
        <f t="shared" si="57"/>
        <v>0</v>
      </c>
      <c r="M338" s="17"/>
      <c r="N338" s="48">
        <v>19.690000000000001</v>
      </c>
      <c r="O338" s="67">
        <v>0</v>
      </c>
      <c r="P338" s="36"/>
      <c r="Q338" s="36">
        <v>16</v>
      </c>
      <c r="R338" s="36">
        <f t="shared" si="56"/>
        <v>0</v>
      </c>
      <c r="S338" s="17"/>
      <c r="T338" s="48">
        <v>19.2</v>
      </c>
      <c r="U338" s="67">
        <v>0</v>
      </c>
      <c r="V338" s="36">
        <v>0</v>
      </c>
      <c r="W338" s="36">
        <v>16</v>
      </c>
      <c r="X338" s="36">
        <f t="shared" si="58"/>
        <v>0</v>
      </c>
      <c r="Y338" s="17"/>
      <c r="Z338" s="220">
        <f>SUM(L338, R338, X338)+SUM(L339, R339, X339)</f>
        <v>0</v>
      </c>
      <c r="AA338" s="220">
        <f>SUM(M338, S338, Y338)+SUM(M339, S339, Y339)</f>
        <v>0</v>
      </c>
      <c r="AB338" s="194">
        <f>IF($Z338=0, ,AA338/$Z338)</f>
        <v>0</v>
      </c>
      <c r="AC338" s="204" t="s">
        <v>87</v>
      </c>
    </row>
    <row r="339" spans="1:29" x14ac:dyDescent="0.2">
      <c r="A339" s="228"/>
      <c r="B339" s="217"/>
      <c r="C339" s="219"/>
      <c r="D339" s="10"/>
      <c r="E339" s="10"/>
      <c r="F339" s="10"/>
      <c r="G339" s="219"/>
      <c r="H339" s="48"/>
      <c r="I339" s="67"/>
      <c r="J339" s="36"/>
      <c r="K339" s="36"/>
      <c r="L339" s="36">
        <f t="shared" si="57"/>
        <v>0</v>
      </c>
      <c r="M339" s="17"/>
      <c r="N339" s="48"/>
      <c r="O339" s="67"/>
      <c r="P339" s="36"/>
      <c r="Q339" s="36"/>
      <c r="R339" s="36">
        <f t="shared" si="56"/>
        <v>0</v>
      </c>
      <c r="S339" s="17"/>
      <c r="T339" s="48"/>
      <c r="U339" s="67"/>
      <c r="V339" s="36"/>
      <c r="W339" s="36"/>
      <c r="X339" s="36">
        <f t="shared" si="58"/>
        <v>0</v>
      </c>
      <c r="Y339" s="17"/>
      <c r="Z339" s="221"/>
      <c r="AA339" s="221"/>
      <c r="AB339" s="195"/>
      <c r="AC339" s="205"/>
    </row>
    <row r="340" spans="1:29" x14ac:dyDescent="0.2">
      <c r="A340" s="228"/>
      <c r="B340" s="206" t="s">
        <v>4</v>
      </c>
      <c r="C340" s="208" t="s">
        <v>9</v>
      </c>
      <c r="D340" s="9"/>
      <c r="E340" s="10"/>
      <c r="F340" s="9"/>
      <c r="G340" s="208" t="s">
        <v>1</v>
      </c>
      <c r="H340" s="49">
        <v>20.58</v>
      </c>
      <c r="I340" s="68">
        <v>0</v>
      </c>
      <c r="J340" s="37">
        <v>0</v>
      </c>
      <c r="K340" s="37">
        <v>8</v>
      </c>
      <c r="L340" s="37">
        <f t="shared" si="57"/>
        <v>0</v>
      </c>
      <c r="M340" s="38"/>
      <c r="N340" s="49">
        <v>20.58</v>
      </c>
      <c r="O340" s="68">
        <v>0</v>
      </c>
      <c r="P340" s="37">
        <v>0</v>
      </c>
      <c r="Q340" s="37">
        <v>8</v>
      </c>
      <c r="R340" s="37">
        <f t="shared" si="56"/>
        <v>0</v>
      </c>
      <c r="S340" s="38"/>
      <c r="T340" s="49">
        <v>20.58</v>
      </c>
      <c r="U340" s="68">
        <v>0</v>
      </c>
      <c r="V340" s="37">
        <v>0</v>
      </c>
      <c r="W340" s="37">
        <v>8</v>
      </c>
      <c r="X340" s="37">
        <f t="shared" si="58"/>
        <v>0</v>
      </c>
      <c r="Y340" s="38"/>
      <c r="Z340" s="210">
        <f>SUM(L340, R340, X340)+SUM(L341, R341, X341)</f>
        <v>0</v>
      </c>
      <c r="AA340" s="210">
        <f>SUM(M340, S340, Y340)+SUM(M341, S341, Y341)</f>
        <v>0</v>
      </c>
      <c r="AB340" s="212">
        <f>IF($Z340=0, ,AA340/$Z340)</f>
        <v>0</v>
      </c>
      <c r="AC340" s="214" t="s">
        <v>87</v>
      </c>
    </row>
    <row r="341" spans="1:29" x14ac:dyDescent="0.2">
      <c r="A341" s="228"/>
      <c r="B341" s="207"/>
      <c r="C341" s="209"/>
      <c r="D341" s="9"/>
      <c r="E341" s="9"/>
      <c r="F341" s="9"/>
      <c r="G341" s="209"/>
      <c r="H341" s="49"/>
      <c r="I341" s="68"/>
      <c r="J341" s="37"/>
      <c r="K341" s="37"/>
      <c r="L341" s="37">
        <f t="shared" si="57"/>
        <v>0</v>
      </c>
      <c r="M341" s="38"/>
      <c r="N341" s="49"/>
      <c r="O341" s="68"/>
      <c r="P341" s="37"/>
      <c r="Q341" s="37"/>
      <c r="R341" s="37">
        <f t="shared" si="56"/>
        <v>0</v>
      </c>
      <c r="S341" s="38"/>
      <c r="T341" s="49"/>
      <c r="U341" s="68"/>
      <c r="V341" s="37"/>
      <c r="W341" s="37"/>
      <c r="X341" s="37">
        <f t="shared" si="58"/>
        <v>0</v>
      </c>
      <c r="Y341" s="38"/>
      <c r="Z341" s="211"/>
      <c r="AA341" s="211"/>
      <c r="AB341" s="213"/>
      <c r="AC341" s="215"/>
    </row>
    <row r="342" spans="1:29" x14ac:dyDescent="0.2">
      <c r="A342" s="228"/>
      <c r="B342" s="189" t="s">
        <v>85</v>
      </c>
      <c r="C342" s="191" t="s">
        <v>83</v>
      </c>
      <c r="D342" s="11"/>
      <c r="E342" s="10"/>
      <c r="F342" s="11"/>
      <c r="G342" s="191" t="s">
        <v>1</v>
      </c>
      <c r="H342" s="50">
        <v>12.89</v>
      </c>
      <c r="I342" s="69">
        <v>0</v>
      </c>
      <c r="J342" s="39">
        <v>0</v>
      </c>
      <c r="K342" s="39">
        <v>16</v>
      </c>
      <c r="L342" s="39">
        <f t="shared" si="57"/>
        <v>0</v>
      </c>
      <c r="M342" s="40"/>
      <c r="N342" s="50">
        <v>12.89</v>
      </c>
      <c r="O342" s="69">
        <v>0</v>
      </c>
      <c r="P342" s="39">
        <v>0</v>
      </c>
      <c r="Q342" s="39">
        <v>16</v>
      </c>
      <c r="R342" s="39">
        <f>IF(ISBLANK(P342), , P342*Q342)</f>
        <v>0</v>
      </c>
      <c r="S342" s="40"/>
      <c r="T342" s="50">
        <v>23.6</v>
      </c>
      <c r="U342" s="69">
        <v>0</v>
      </c>
      <c r="V342" s="39">
        <v>0</v>
      </c>
      <c r="W342" s="39">
        <v>16</v>
      </c>
      <c r="X342" s="39">
        <f t="shared" si="58"/>
        <v>0</v>
      </c>
      <c r="Y342" s="40"/>
      <c r="Z342" s="193">
        <f>SUM(L342, R342, X342)+SUM(L343, R343, X343)</f>
        <v>0</v>
      </c>
      <c r="AA342" s="193">
        <f>SUM(M342, S342, Y342)+SUM(M343, S343, Y343)</f>
        <v>0</v>
      </c>
      <c r="AB342" s="194">
        <f>IF($Z342=0, ,AA342/$Z342)</f>
        <v>0</v>
      </c>
      <c r="AC342" s="196" t="s">
        <v>87</v>
      </c>
    </row>
    <row r="343" spans="1:29" x14ac:dyDescent="0.2">
      <c r="A343" s="228"/>
      <c r="B343" s="190"/>
      <c r="C343" s="192"/>
      <c r="D343" s="11"/>
      <c r="E343" s="11"/>
      <c r="F343" s="11"/>
      <c r="G343" s="192"/>
      <c r="H343" s="50"/>
      <c r="I343" s="69"/>
      <c r="J343" s="39"/>
      <c r="K343" s="39"/>
      <c r="L343" s="39">
        <f t="shared" si="57"/>
        <v>0</v>
      </c>
      <c r="M343" s="40"/>
      <c r="N343" s="50"/>
      <c r="O343" s="69"/>
      <c r="P343" s="39"/>
      <c r="Q343" s="39"/>
      <c r="R343" s="39">
        <f>IF(ISBLANK(P343), , P343*Q343)</f>
        <v>0</v>
      </c>
      <c r="S343" s="40"/>
      <c r="T343" s="50"/>
      <c r="U343" s="69"/>
      <c r="V343" s="39"/>
      <c r="W343" s="39"/>
      <c r="X343" s="39">
        <f t="shared" si="58"/>
        <v>0</v>
      </c>
      <c r="Y343" s="40"/>
      <c r="Z343" s="193"/>
      <c r="AA343" s="193"/>
      <c r="AB343" s="195"/>
      <c r="AC343" s="196"/>
    </row>
    <row r="344" spans="1:29" x14ac:dyDescent="0.2">
      <c r="A344" s="228"/>
      <c r="B344" s="56"/>
      <c r="C344" s="56"/>
      <c r="D344" s="56"/>
      <c r="E344" s="56"/>
      <c r="F344" s="56"/>
      <c r="G344" s="56"/>
      <c r="H344" s="76"/>
      <c r="I344" s="77"/>
      <c r="J344" s="78"/>
      <c r="K344" s="78"/>
      <c r="L344" s="78"/>
      <c r="M344" s="79"/>
      <c r="N344" s="76"/>
      <c r="O344" s="77"/>
      <c r="P344" s="78"/>
      <c r="Q344" s="78"/>
      <c r="R344" s="78"/>
      <c r="S344" s="79"/>
      <c r="T344" s="76"/>
      <c r="U344" s="77"/>
      <c r="V344" s="78"/>
      <c r="W344" s="78"/>
      <c r="X344" s="78"/>
      <c r="Y344" s="79"/>
      <c r="Z344" s="79"/>
      <c r="AA344" s="79"/>
      <c r="AB344" s="80"/>
      <c r="AC344" s="59"/>
    </row>
    <row r="345" spans="1:29" x14ac:dyDescent="0.2">
      <c r="A345" s="228"/>
      <c r="B345" s="197" t="s">
        <v>67</v>
      </c>
      <c r="C345" s="198"/>
      <c r="D345" s="198"/>
      <c r="E345" s="198"/>
      <c r="F345" s="198"/>
      <c r="G345" s="9" t="s">
        <v>68</v>
      </c>
      <c r="H345" s="199" t="s">
        <v>64</v>
      </c>
      <c r="I345" s="199"/>
      <c r="J345" s="199"/>
      <c r="K345" s="199" t="s">
        <v>76</v>
      </c>
      <c r="L345" s="199"/>
      <c r="M345" s="199"/>
      <c r="N345" s="199" t="s">
        <v>65</v>
      </c>
      <c r="O345" s="199"/>
      <c r="P345" s="199"/>
      <c r="Q345" s="199" t="s">
        <v>66</v>
      </c>
      <c r="R345" s="199"/>
      <c r="S345" s="199"/>
      <c r="T345" s="199" t="s">
        <v>73</v>
      </c>
      <c r="U345" s="199"/>
      <c r="V345" s="199"/>
      <c r="W345" s="199" t="s">
        <v>74</v>
      </c>
      <c r="X345" s="199"/>
      <c r="Y345" s="199"/>
      <c r="Z345" s="199" t="s">
        <v>75</v>
      </c>
      <c r="AA345" s="199"/>
      <c r="AB345" s="199"/>
      <c r="AC345" s="200"/>
    </row>
    <row r="346" spans="1:29" x14ac:dyDescent="0.2">
      <c r="A346" s="228"/>
      <c r="B346" s="197"/>
      <c r="C346" s="198"/>
      <c r="D346" s="198"/>
      <c r="E346" s="198"/>
      <c r="F346" s="198"/>
      <c r="G346" s="9" t="s">
        <v>69</v>
      </c>
      <c r="H346" s="98" t="s">
        <v>70</v>
      </c>
      <c r="I346" s="98" t="s">
        <v>71</v>
      </c>
      <c r="J346" s="99" t="s">
        <v>72</v>
      </c>
      <c r="K346" s="98" t="s">
        <v>70</v>
      </c>
      <c r="L346" s="98" t="s">
        <v>71</v>
      </c>
      <c r="M346" s="99" t="s">
        <v>72</v>
      </c>
      <c r="N346" s="98" t="s">
        <v>70</v>
      </c>
      <c r="O346" s="98" t="s">
        <v>71</v>
      </c>
      <c r="P346" s="99" t="s">
        <v>72</v>
      </c>
      <c r="Q346" s="98" t="s">
        <v>70</v>
      </c>
      <c r="R346" s="98" t="s">
        <v>71</v>
      </c>
      <c r="S346" s="99" t="s">
        <v>72</v>
      </c>
      <c r="T346" s="98" t="s">
        <v>70</v>
      </c>
      <c r="U346" s="98" t="s">
        <v>71</v>
      </c>
      <c r="V346" s="99" t="s">
        <v>72</v>
      </c>
      <c r="W346" s="98" t="s">
        <v>70</v>
      </c>
      <c r="X346" s="98" t="s">
        <v>71</v>
      </c>
      <c r="Y346" s="99" t="s">
        <v>72</v>
      </c>
      <c r="Z346" s="98" t="s">
        <v>70</v>
      </c>
      <c r="AA346" s="98" t="s">
        <v>71</v>
      </c>
      <c r="AB346" s="99" t="s">
        <v>72</v>
      </c>
      <c r="AC346" s="200"/>
    </row>
    <row r="347" spans="1:29" x14ac:dyDescent="0.2">
      <c r="A347" s="228"/>
      <c r="B347" s="201" t="str">
        <f>B334</f>
        <v>02C</v>
      </c>
      <c r="C347" s="202" t="str">
        <f>C334</f>
        <v>DEO-C01</v>
      </c>
      <c r="D347" s="9" t="str">
        <f>IF(ISBLANK(D334), "", D334)</f>
        <v/>
      </c>
      <c r="E347" s="9" t="str">
        <f>IF(ISBLANK(E334), "", E334)</f>
        <v/>
      </c>
      <c r="F347" s="9" t="str">
        <f>IF(ISBLANK(F334), "", F334)</f>
        <v/>
      </c>
      <c r="G347" s="203"/>
      <c r="H347" s="38"/>
      <c r="I347" s="38"/>
      <c r="J347" s="38"/>
      <c r="K347" s="38"/>
      <c r="L347" s="38"/>
      <c r="M347" s="38"/>
      <c r="N347" s="37"/>
      <c r="O347" s="37"/>
      <c r="P347" s="37"/>
      <c r="Q347" s="37"/>
      <c r="R347" s="37"/>
      <c r="S347" s="38"/>
      <c r="T347" s="37"/>
      <c r="U347" s="37"/>
      <c r="V347" s="37"/>
      <c r="W347" s="37"/>
      <c r="X347" s="37"/>
      <c r="Y347" s="38"/>
      <c r="Z347" s="38"/>
      <c r="AA347" s="38"/>
      <c r="AB347" s="112"/>
      <c r="AC347" s="200"/>
    </row>
    <row r="348" spans="1:29" x14ac:dyDescent="0.2">
      <c r="A348" s="228"/>
      <c r="B348" s="201"/>
      <c r="C348" s="202"/>
      <c r="D348" s="9"/>
      <c r="E348" s="9" t="str">
        <f t="shared" ref="E348:F350" si="59">IF(ISBLANK(E335), "", E335)</f>
        <v/>
      </c>
      <c r="F348" s="9" t="str">
        <f t="shared" si="59"/>
        <v/>
      </c>
      <c r="G348" s="203"/>
      <c r="H348" s="37"/>
      <c r="I348" s="37"/>
      <c r="J348" s="37"/>
      <c r="K348" s="37"/>
      <c r="L348" s="37"/>
      <c r="M348" s="38"/>
      <c r="N348" s="37"/>
      <c r="O348" s="37"/>
      <c r="P348" s="37"/>
      <c r="Q348" s="37"/>
      <c r="R348" s="37"/>
      <c r="S348" s="38"/>
      <c r="T348" s="37"/>
      <c r="U348" s="37"/>
      <c r="V348" s="37"/>
      <c r="W348" s="37"/>
      <c r="X348" s="37"/>
      <c r="Y348" s="38"/>
      <c r="Z348" s="38"/>
      <c r="AA348" s="38"/>
      <c r="AB348" s="112"/>
      <c r="AC348" s="200"/>
    </row>
    <row r="349" spans="1:29" x14ac:dyDescent="0.2">
      <c r="A349" s="228"/>
      <c r="B349" s="201" t="str">
        <f>B336</f>
        <v>03C</v>
      </c>
      <c r="C349" s="202" t="str">
        <f>C336</f>
        <v>DEO-B02</v>
      </c>
      <c r="D349" s="9" t="str">
        <f>IF(ISBLANK(D336), "", D336)</f>
        <v/>
      </c>
      <c r="E349" s="9" t="str">
        <f t="shared" si="59"/>
        <v/>
      </c>
      <c r="F349" s="9" t="str">
        <f t="shared" si="59"/>
        <v/>
      </c>
      <c r="G349" s="203"/>
      <c r="H349" s="38"/>
      <c r="I349" s="38"/>
      <c r="J349" s="38"/>
      <c r="K349" s="37"/>
      <c r="L349" s="37"/>
      <c r="M349" s="38"/>
      <c r="N349" s="37"/>
      <c r="O349" s="37"/>
      <c r="P349" s="37"/>
      <c r="Q349" s="37"/>
      <c r="R349" s="37"/>
      <c r="S349" s="38"/>
      <c r="T349" s="37"/>
      <c r="U349" s="37"/>
      <c r="V349" s="37"/>
      <c r="W349" s="37"/>
      <c r="X349" s="37"/>
      <c r="Y349" s="38"/>
      <c r="Z349" s="38"/>
      <c r="AA349" s="38"/>
      <c r="AB349" s="112"/>
      <c r="AC349" s="200"/>
    </row>
    <row r="350" spans="1:29" x14ac:dyDescent="0.2">
      <c r="A350" s="228"/>
      <c r="B350" s="201"/>
      <c r="C350" s="202"/>
      <c r="D350" s="9" t="str">
        <f>IF(ISBLANK(D337), "", D337)</f>
        <v/>
      </c>
      <c r="E350" s="9" t="str">
        <f t="shared" si="59"/>
        <v/>
      </c>
      <c r="F350" s="9" t="str">
        <f t="shared" si="59"/>
        <v/>
      </c>
      <c r="G350" s="203"/>
      <c r="H350" s="37"/>
      <c r="I350" s="37"/>
      <c r="J350" s="37"/>
      <c r="K350" s="37"/>
      <c r="L350" s="37"/>
      <c r="M350" s="38"/>
      <c r="N350" s="37"/>
      <c r="O350" s="37"/>
      <c r="P350" s="37"/>
      <c r="Q350" s="37"/>
      <c r="R350" s="37"/>
      <c r="S350" s="38"/>
      <c r="T350" s="37"/>
      <c r="U350" s="37"/>
      <c r="V350" s="37"/>
      <c r="W350" s="37"/>
      <c r="X350" s="37"/>
      <c r="Y350" s="38"/>
      <c r="Z350" s="38"/>
      <c r="AA350" s="38"/>
      <c r="AB350" s="112"/>
      <c r="AC350" s="200"/>
    </row>
    <row r="352" spans="1:29" x14ac:dyDescent="0.2">
      <c r="A352" s="228">
        <v>44728</v>
      </c>
      <c r="B352" s="19" t="s">
        <v>42</v>
      </c>
      <c r="C352" s="20"/>
      <c r="D352" s="21" t="s">
        <v>43</v>
      </c>
      <c r="E352" s="20">
        <v>0</v>
      </c>
      <c r="F352" s="31"/>
      <c r="G352" s="32"/>
      <c r="H352" s="52"/>
      <c r="I352" s="65"/>
      <c r="J352" s="73"/>
      <c r="K352" s="32"/>
      <c r="L352" s="21"/>
      <c r="M352" s="32"/>
      <c r="N352" s="52"/>
      <c r="O352" s="65"/>
      <c r="P352" s="73"/>
      <c r="Q352" s="32"/>
      <c r="R352" s="21"/>
      <c r="S352" s="32"/>
      <c r="T352" s="52"/>
      <c r="U352" s="65"/>
      <c r="V352" s="73"/>
      <c r="W352" s="32"/>
      <c r="X352" s="21"/>
      <c r="Y352" s="21"/>
      <c r="Z352" s="32"/>
      <c r="AA352" s="21"/>
      <c r="AB352" s="21"/>
      <c r="AC352" s="33"/>
    </row>
    <row r="353" spans="1:29" x14ac:dyDescent="0.2">
      <c r="A353" s="228"/>
      <c r="B353" s="229" t="s">
        <v>10</v>
      </c>
      <c r="C353" s="230" t="s">
        <v>0</v>
      </c>
      <c r="D353" s="230" t="s">
        <v>25</v>
      </c>
      <c r="E353" s="230" t="s">
        <v>11</v>
      </c>
      <c r="F353" s="230" t="s">
        <v>16</v>
      </c>
      <c r="G353" s="237" t="s">
        <v>12</v>
      </c>
      <c r="H353" s="222" t="s">
        <v>13</v>
      </c>
      <c r="I353" s="223"/>
      <c r="J353" s="223"/>
      <c r="K353" s="223"/>
      <c r="L353" s="223"/>
      <c r="M353" s="224"/>
      <c r="N353" s="222" t="s">
        <v>14</v>
      </c>
      <c r="O353" s="223"/>
      <c r="P353" s="223"/>
      <c r="Q353" s="223"/>
      <c r="R353" s="223"/>
      <c r="S353" s="224"/>
      <c r="T353" s="222" t="s">
        <v>15</v>
      </c>
      <c r="U353" s="223"/>
      <c r="V353" s="223"/>
      <c r="W353" s="223"/>
      <c r="X353" s="223"/>
      <c r="Y353" s="224"/>
      <c r="Z353" s="225" t="s">
        <v>37</v>
      </c>
      <c r="AA353" s="225" t="s">
        <v>39</v>
      </c>
      <c r="AB353" s="225" t="s">
        <v>62</v>
      </c>
      <c r="AC353" s="231" t="s">
        <v>26</v>
      </c>
    </row>
    <row r="354" spans="1:29" ht="25.5" x14ac:dyDescent="0.2">
      <c r="A354" s="228"/>
      <c r="B354" s="229"/>
      <c r="C354" s="230"/>
      <c r="D354" s="230"/>
      <c r="E354" s="230"/>
      <c r="F354" s="230"/>
      <c r="G354" s="237"/>
      <c r="H354" s="53" t="s">
        <v>50</v>
      </c>
      <c r="I354" s="66" t="s">
        <v>51</v>
      </c>
      <c r="J354" s="74" t="s">
        <v>63</v>
      </c>
      <c r="K354" s="24" t="s">
        <v>44</v>
      </c>
      <c r="L354" s="18" t="s">
        <v>5</v>
      </c>
      <c r="M354" s="81" t="s">
        <v>31</v>
      </c>
      <c r="N354" s="53" t="s">
        <v>50</v>
      </c>
      <c r="O354" s="66" t="s">
        <v>51</v>
      </c>
      <c r="P354" s="74" t="s">
        <v>63</v>
      </c>
      <c r="Q354" s="24" t="s">
        <v>44</v>
      </c>
      <c r="R354" s="30" t="s">
        <v>5</v>
      </c>
      <c r="S354" s="34" t="s">
        <v>31</v>
      </c>
      <c r="T354" s="53" t="s">
        <v>50</v>
      </c>
      <c r="U354" s="66" t="s">
        <v>51</v>
      </c>
      <c r="V354" s="74" t="s">
        <v>63</v>
      </c>
      <c r="W354" s="24" t="s">
        <v>44</v>
      </c>
      <c r="X354" s="30" t="s">
        <v>5</v>
      </c>
      <c r="Y354" s="34" t="s">
        <v>31</v>
      </c>
      <c r="Z354" s="226"/>
      <c r="AA354" s="227"/>
      <c r="AB354" s="227"/>
      <c r="AC354" s="231"/>
    </row>
    <row r="355" spans="1:29" x14ac:dyDescent="0.2">
      <c r="A355" s="228"/>
      <c r="B355" s="232" t="s">
        <v>2</v>
      </c>
      <c r="C355" s="234" t="s">
        <v>84</v>
      </c>
      <c r="D355" s="12"/>
      <c r="E355" s="10" t="s">
        <v>92</v>
      </c>
      <c r="F355" s="12">
        <v>6331</v>
      </c>
      <c r="G355" s="234" t="s">
        <v>1</v>
      </c>
      <c r="H355" s="47">
        <v>23.6</v>
      </c>
      <c r="I355" s="63">
        <v>1.5</v>
      </c>
      <c r="J355" s="35">
        <v>409</v>
      </c>
      <c r="K355" s="35">
        <v>16</v>
      </c>
      <c r="L355" s="35">
        <f>IF(ISBLANK(J355), , J355*K355)</f>
        <v>6544</v>
      </c>
      <c r="M355" s="29"/>
      <c r="N355" s="47">
        <v>23.6</v>
      </c>
      <c r="O355" s="63">
        <v>8</v>
      </c>
      <c r="P355" s="35">
        <v>1188</v>
      </c>
      <c r="Q355" s="35">
        <v>16</v>
      </c>
      <c r="R355" s="35">
        <f>IF(ISBLANK(P355), , P355*Q355)</f>
        <v>19008</v>
      </c>
      <c r="S355" s="29"/>
      <c r="T355" s="47">
        <v>23.6</v>
      </c>
      <c r="U355" s="63">
        <v>8</v>
      </c>
      <c r="V355" s="35">
        <v>1228</v>
      </c>
      <c r="W355" s="35">
        <v>16</v>
      </c>
      <c r="X355" s="35">
        <f>IF(ISBLANK(V355), , V355*W355)</f>
        <v>19648</v>
      </c>
      <c r="Y355" s="29"/>
      <c r="Z355" s="210">
        <f>SUM(L355, R355, X355)+SUM(L356, R356, X356)</f>
        <v>45200</v>
      </c>
      <c r="AA355" s="210">
        <f>SUM(M355, S355, Y355)+SUM(M356, S356, Y356)</f>
        <v>0</v>
      </c>
      <c r="AB355" s="212">
        <f>IF($Z355=0, ,AA355/$Z355)</f>
        <v>0</v>
      </c>
      <c r="AC355" s="214"/>
    </row>
    <row r="356" spans="1:29" x14ac:dyDescent="0.2">
      <c r="A356" s="228"/>
      <c r="B356" s="233"/>
      <c r="C356" s="235"/>
      <c r="D356" s="12"/>
      <c r="E356" s="12"/>
      <c r="F356" s="12"/>
      <c r="G356" s="236"/>
      <c r="H356" s="47"/>
      <c r="I356" s="63"/>
      <c r="J356" s="35"/>
      <c r="K356" s="35"/>
      <c r="L356" s="35">
        <f>IF(ISBLANK(J356), , J356*K356)</f>
        <v>0</v>
      </c>
      <c r="M356" s="29"/>
      <c r="N356" s="47"/>
      <c r="O356" s="63"/>
      <c r="P356" s="35"/>
      <c r="Q356" s="35"/>
      <c r="R356" s="35">
        <f>IF(ISBLANK(P356), , P356*Q356)</f>
        <v>0</v>
      </c>
      <c r="S356" s="29"/>
      <c r="T356" s="47"/>
      <c r="U356" s="63"/>
      <c r="V356" s="35"/>
      <c r="W356" s="35"/>
      <c r="X356" s="35">
        <f>IF(ISBLANK(V356), , V356*W356)</f>
        <v>0</v>
      </c>
      <c r="Y356" s="29"/>
      <c r="Z356" s="211"/>
      <c r="AA356" s="211"/>
      <c r="AB356" s="213"/>
      <c r="AC356" s="215"/>
    </row>
    <row r="357" spans="1:29" x14ac:dyDescent="0.2">
      <c r="A357" s="228"/>
      <c r="B357" s="216" t="s">
        <v>6</v>
      </c>
      <c r="C357" s="218" t="s">
        <v>8</v>
      </c>
      <c r="D357" s="10"/>
      <c r="E357" s="10"/>
      <c r="F357" s="10"/>
      <c r="G357" s="218" t="s">
        <v>1</v>
      </c>
      <c r="H357" s="48">
        <v>19.57</v>
      </c>
      <c r="I357" s="67">
        <v>0</v>
      </c>
      <c r="J357" s="39"/>
      <c r="K357" s="39">
        <v>8</v>
      </c>
      <c r="L357" s="39">
        <f>IF(ISBLANK(J357), , J357*K357)</f>
        <v>0</v>
      </c>
      <c r="M357" s="40">
        <f>H370+K370+N370+Q370+T370+W370+Z370</f>
        <v>0</v>
      </c>
      <c r="N357" s="48">
        <v>19.57</v>
      </c>
      <c r="O357" s="67">
        <v>0</v>
      </c>
      <c r="P357" s="39"/>
      <c r="Q357" s="39">
        <v>8</v>
      </c>
      <c r="R357" s="39">
        <f>IF(ISBLANK(P357), , P357*Q357)</f>
        <v>0</v>
      </c>
      <c r="S357" s="40">
        <f>I370+L370+O370+R370+U370+X370+AA370</f>
        <v>0</v>
      </c>
      <c r="T357" s="48">
        <v>19.57</v>
      </c>
      <c r="U357" s="67">
        <v>0</v>
      </c>
      <c r="V357" s="39"/>
      <c r="W357" s="39">
        <v>8</v>
      </c>
      <c r="X357" s="39">
        <f>IF(ISBLANK(V357), , V357*W357)</f>
        <v>0</v>
      </c>
      <c r="Y357" s="40">
        <f>J370+M370+P370+S370+V370+Y370+AB370</f>
        <v>0</v>
      </c>
      <c r="Z357" s="238">
        <f>SUM(L357, R357, X357)+SUM(L358, R358, X358)</f>
        <v>0</v>
      </c>
      <c r="AA357" s="220">
        <f>SUM(M357, S357, Y357)+SUM(M358, S358, Y358)</f>
        <v>0</v>
      </c>
      <c r="AB357" s="194">
        <f>IF($Z357=0, ,AA357/$Z357)</f>
        <v>0</v>
      </c>
      <c r="AC357" s="204"/>
    </row>
    <row r="358" spans="1:29" x14ac:dyDescent="0.2">
      <c r="A358" s="228"/>
      <c r="B358" s="217"/>
      <c r="C358" s="219"/>
      <c r="D358" s="10"/>
      <c r="E358" s="10"/>
      <c r="F358" s="10"/>
      <c r="G358" s="219"/>
      <c r="H358" s="48"/>
      <c r="I358" s="67"/>
      <c r="J358" s="39"/>
      <c r="K358" s="39"/>
      <c r="L358" s="39">
        <f>IF(ISBLANK(J358), , J358*K358)</f>
        <v>0</v>
      </c>
      <c r="M358" s="40">
        <f>H371+K371+N371+Q371+T371+W371+Z371</f>
        <v>0</v>
      </c>
      <c r="N358" s="48"/>
      <c r="O358" s="67"/>
      <c r="P358" s="39"/>
      <c r="Q358" s="39"/>
      <c r="R358" s="39">
        <f t="shared" ref="R358:R364" si="60">IF(ISBLANK(P358), , P358*Q358)</f>
        <v>0</v>
      </c>
      <c r="S358" s="40">
        <f>I371+L371+O371+R371+U371+X371+AA371</f>
        <v>0</v>
      </c>
      <c r="T358" s="48"/>
      <c r="U358" s="67"/>
      <c r="V358" s="39"/>
      <c r="W358" s="39"/>
      <c r="X358" s="39">
        <f>IF(ISBLANK(V358), , V358*W358)</f>
        <v>0</v>
      </c>
      <c r="Y358" s="40">
        <f>J371+M371+P371+S371+V371+Y371+AB371</f>
        <v>0</v>
      </c>
      <c r="Z358" s="239"/>
      <c r="AA358" s="221"/>
      <c r="AB358" s="195"/>
      <c r="AC358" s="205"/>
    </row>
    <row r="359" spans="1:29" x14ac:dyDescent="0.2">
      <c r="A359" s="228"/>
      <c r="B359" s="206" t="s">
        <v>7</v>
      </c>
      <c r="C359" s="208" t="s">
        <v>81</v>
      </c>
      <c r="D359" s="9" t="s">
        <v>102</v>
      </c>
      <c r="E359" s="9" t="s">
        <v>103</v>
      </c>
      <c r="F359" s="9">
        <v>6331</v>
      </c>
      <c r="G359" s="208" t="s">
        <v>1</v>
      </c>
      <c r="H359" s="49">
        <v>20.5</v>
      </c>
      <c r="I359" s="68">
        <v>4</v>
      </c>
      <c r="J359" s="37">
        <v>704</v>
      </c>
      <c r="K359" s="37">
        <v>8</v>
      </c>
      <c r="L359" s="37">
        <f>IF(ISBLANK(J359), , J359*K359)</f>
        <v>5632</v>
      </c>
      <c r="M359" s="38">
        <f>H372+K372+N372+Q372+T372+W372+Z372</f>
        <v>500</v>
      </c>
      <c r="N359" s="49">
        <v>21.95</v>
      </c>
      <c r="O359" s="68">
        <v>8</v>
      </c>
      <c r="P359" s="37">
        <v>1312</v>
      </c>
      <c r="Q359" s="37">
        <v>8</v>
      </c>
      <c r="R359" s="37">
        <f t="shared" si="60"/>
        <v>10496</v>
      </c>
      <c r="S359" s="38">
        <f>I372+L372+O372+R372+U372+X372+AA372</f>
        <v>100</v>
      </c>
      <c r="T359" s="49">
        <v>22</v>
      </c>
      <c r="U359" s="68">
        <v>8</v>
      </c>
      <c r="V359" s="37">
        <v>1396</v>
      </c>
      <c r="W359" s="37">
        <v>8</v>
      </c>
      <c r="X359" s="37">
        <f>IF(ISBLANK(V359), , V359*W359)</f>
        <v>11168</v>
      </c>
      <c r="Y359" s="38">
        <f>J372+M372+P372+S372+V372+Y372+AB372</f>
        <v>0</v>
      </c>
      <c r="Z359" s="210">
        <f>SUM(L359, R359, X359)+SUM(L360, R360, X360)</f>
        <v>27296</v>
      </c>
      <c r="AA359" s="210">
        <f>SUM(M359, S359, Y359)+SUM(M360, S360, Y360)</f>
        <v>600</v>
      </c>
      <c r="AB359" s="212">
        <f>IF($Z359=0, ,AA359/$Z359)</f>
        <v>2.1981242672919107E-2</v>
      </c>
      <c r="AC359" s="214" t="s">
        <v>105</v>
      </c>
    </row>
    <row r="360" spans="1:29" x14ac:dyDescent="0.2">
      <c r="A360" s="228"/>
      <c r="B360" s="207"/>
      <c r="C360" s="209"/>
      <c r="D360" s="9"/>
      <c r="E360" s="9"/>
      <c r="F360" s="9"/>
      <c r="G360" s="209"/>
      <c r="H360" s="49"/>
      <c r="I360" s="68"/>
      <c r="J360" s="37"/>
      <c r="K360" s="37"/>
      <c r="L360" s="37">
        <f t="shared" ref="L360:L366" si="61">IF(ISBLANK(J360), , J360*K360)</f>
        <v>0</v>
      </c>
      <c r="M360" s="38">
        <f>H373+K373+N373+Q373+T373+W373+Z373</f>
        <v>0</v>
      </c>
      <c r="N360" s="49"/>
      <c r="O360" s="68"/>
      <c r="P360" s="37"/>
      <c r="Q360" s="37"/>
      <c r="R360" s="37">
        <f t="shared" si="60"/>
        <v>0</v>
      </c>
      <c r="S360" s="38">
        <f>I373+L373+O373+R373+U373+X373+AA373</f>
        <v>0</v>
      </c>
      <c r="T360" s="49"/>
      <c r="U360" s="68"/>
      <c r="V360" s="37"/>
      <c r="W360" s="37"/>
      <c r="X360" s="37">
        <f t="shared" ref="X360:X366" si="62">IF(ISBLANK(V360), , V360*W360)</f>
        <v>0</v>
      </c>
      <c r="Y360" s="38">
        <f>J373+M373+P373+S373+V373+Y373+AB373</f>
        <v>0</v>
      </c>
      <c r="Z360" s="211"/>
      <c r="AA360" s="211"/>
      <c r="AB360" s="213"/>
      <c r="AC360" s="215"/>
    </row>
    <row r="361" spans="1:29" x14ac:dyDescent="0.2">
      <c r="A361" s="228"/>
      <c r="B361" s="216" t="s">
        <v>3</v>
      </c>
      <c r="C361" s="218" t="s">
        <v>82</v>
      </c>
      <c r="D361" s="10"/>
      <c r="E361" s="10" t="s">
        <v>104</v>
      </c>
      <c r="F361" s="10">
        <v>6331</v>
      </c>
      <c r="G361" s="218" t="s">
        <v>1</v>
      </c>
      <c r="H361" s="48">
        <v>19.71</v>
      </c>
      <c r="I361" s="67">
        <v>2.5</v>
      </c>
      <c r="J361" s="36">
        <v>850</v>
      </c>
      <c r="K361" s="36">
        <v>16</v>
      </c>
      <c r="L361" s="36">
        <f t="shared" si="61"/>
        <v>13600</v>
      </c>
      <c r="M361" s="17"/>
      <c r="N361" s="48">
        <v>18.850000000000001</v>
      </c>
      <c r="O361" s="67">
        <v>8</v>
      </c>
      <c r="P361" s="36">
        <v>1378</v>
      </c>
      <c r="Q361" s="36">
        <v>16</v>
      </c>
      <c r="R361" s="36">
        <f t="shared" si="60"/>
        <v>22048</v>
      </c>
      <c r="S361" s="17"/>
      <c r="T361" s="48">
        <v>21.4</v>
      </c>
      <c r="U361" s="67">
        <v>2.5</v>
      </c>
      <c r="V361" s="36">
        <v>578</v>
      </c>
      <c r="W361" s="36">
        <v>16</v>
      </c>
      <c r="X361" s="36">
        <f t="shared" si="62"/>
        <v>9248</v>
      </c>
      <c r="Y361" s="17"/>
      <c r="Z361" s="220">
        <f>SUM(L361, R361, X361)+SUM(L362, R362, X362)</f>
        <v>44896</v>
      </c>
      <c r="AA361" s="220">
        <f>SUM(M361, S361, Y361)+SUM(M362, S362, Y362)</f>
        <v>0</v>
      </c>
      <c r="AB361" s="194">
        <f>IF($Z361=0, ,AA361/$Z361)</f>
        <v>0</v>
      </c>
      <c r="AC361" s="204"/>
    </row>
    <row r="362" spans="1:29" x14ac:dyDescent="0.2">
      <c r="A362" s="228"/>
      <c r="B362" s="217"/>
      <c r="C362" s="219"/>
      <c r="D362" s="10"/>
      <c r="E362" s="10"/>
      <c r="F362" s="10"/>
      <c r="G362" s="219"/>
      <c r="H362" s="48"/>
      <c r="I362" s="67"/>
      <c r="J362" s="36"/>
      <c r="K362" s="36"/>
      <c r="L362" s="36">
        <f t="shared" si="61"/>
        <v>0</v>
      </c>
      <c r="M362" s="17"/>
      <c r="N362" s="48"/>
      <c r="O362" s="67"/>
      <c r="P362" s="36"/>
      <c r="Q362" s="36"/>
      <c r="R362" s="36">
        <f t="shared" si="60"/>
        <v>0</v>
      </c>
      <c r="S362" s="17"/>
      <c r="T362" s="48"/>
      <c r="U362" s="67"/>
      <c r="V362" s="36"/>
      <c r="W362" s="36"/>
      <c r="X362" s="36">
        <f t="shared" si="62"/>
        <v>0</v>
      </c>
      <c r="Y362" s="17"/>
      <c r="Z362" s="221"/>
      <c r="AA362" s="221"/>
      <c r="AB362" s="195"/>
      <c r="AC362" s="205"/>
    </row>
    <row r="363" spans="1:29" x14ac:dyDescent="0.2">
      <c r="A363" s="228"/>
      <c r="B363" s="206" t="s">
        <v>4</v>
      </c>
      <c r="C363" s="208" t="s">
        <v>9</v>
      </c>
      <c r="D363" s="9"/>
      <c r="E363" s="10"/>
      <c r="F363" s="9"/>
      <c r="G363" s="208" t="s">
        <v>1</v>
      </c>
      <c r="H363" s="49">
        <v>20.58</v>
      </c>
      <c r="I363" s="68">
        <v>0</v>
      </c>
      <c r="J363" s="37">
        <v>0</v>
      </c>
      <c r="K363" s="37">
        <v>8</v>
      </c>
      <c r="L363" s="37">
        <f t="shared" si="61"/>
        <v>0</v>
      </c>
      <c r="M363" s="38"/>
      <c r="N363" s="49">
        <v>20.58</v>
      </c>
      <c r="O363" s="68">
        <v>0</v>
      </c>
      <c r="P363" s="37">
        <v>0</v>
      </c>
      <c r="Q363" s="37">
        <v>8</v>
      </c>
      <c r="R363" s="37">
        <f t="shared" si="60"/>
        <v>0</v>
      </c>
      <c r="S363" s="38"/>
      <c r="T363" s="49">
        <v>20.58</v>
      </c>
      <c r="U363" s="68">
        <v>0</v>
      </c>
      <c r="V363" s="37">
        <v>0</v>
      </c>
      <c r="W363" s="37">
        <v>8</v>
      </c>
      <c r="X363" s="37">
        <f t="shared" si="62"/>
        <v>0</v>
      </c>
      <c r="Y363" s="38"/>
      <c r="Z363" s="210">
        <f>SUM(L363, R363, X363)+SUM(L364, R364, X364)</f>
        <v>0</v>
      </c>
      <c r="AA363" s="210">
        <f>SUM(M363, S363, Y363)+SUM(M364, S364, Y364)</f>
        <v>0</v>
      </c>
      <c r="AB363" s="212">
        <f>IF($Z363=0, ,AA363/$Z363)</f>
        <v>0</v>
      </c>
      <c r="AC363" s="214"/>
    </row>
    <row r="364" spans="1:29" x14ac:dyDescent="0.2">
      <c r="A364" s="228"/>
      <c r="B364" s="207"/>
      <c r="C364" s="209"/>
      <c r="D364" s="9"/>
      <c r="E364" s="9"/>
      <c r="F364" s="9"/>
      <c r="G364" s="209"/>
      <c r="H364" s="49"/>
      <c r="I364" s="68"/>
      <c r="J364" s="37"/>
      <c r="K364" s="37"/>
      <c r="L364" s="37">
        <f t="shared" si="61"/>
        <v>0</v>
      </c>
      <c r="M364" s="38"/>
      <c r="N364" s="49"/>
      <c r="O364" s="68"/>
      <c r="P364" s="37"/>
      <c r="Q364" s="37"/>
      <c r="R364" s="37">
        <f t="shared" si="60"/>
        <v>0</v>
      </c>
      <c r="S364" s="38"/>
      <c r="T364" s="49"/>
      <c r="U364" s="68"/>
      <c r="V364" s="37"/>
      <c r="W364" s="37"/>
      <c r="X364" s="37">
        <f t="shared" si="62"/>
        <v>0</v>
      </c>
      <c r="Y364" s="38"/>
      <c r="Z364" s="211"/>
      <c r="AA364" s="211"/>
      <c r="AB364" s="213"/>
      <c r="AC364" s="215"/>
    </row>
    <row r="365" spans="1:29" x14ac:dyDescent="0.2">
      <c r="A365" s="228"/>
      <c r="B365" s="189" t="s">
        <v>85</v>
      </c>
      <c r="C365" s="191" t="s">
        <v>83</v>
      </c>
      <c r="D365" s="11"/>
      <c r="E365" s="10"/>
      <c r="F365" s="11">
        <v>6331</v>
      </c>
      <c r="G365" s="191" t="s">
        <v>1</v>
      </c>
      <c r="H365" s="50">
        <v>12.89</v>
      </c>
      <c r="I365" s="69">
        <v>0</v>
      </c>
      <c r="J365" s="39">
        <v>0</v>
      </c>
      <c r="K365" s="39">
        <v>16</v>
      </c>
      <c r="L365" s="39">
        <f t="shared" si="61"/>
        <v>0</v>
      </c>
      <c r="M365" s="40"/>
      <c r="N365" s="50">
        <v>9.51</v>
      </c>
      <c r="O365" s="69">
        <v>4</v>
      </c>
      <c r="P365" s="39">
        <v>3174</v>
      </c>
      <c r="Q365" s="39">
        <v>16</v>
      </c>
      <c r="R365" s="39">
        <f>IF(ISBLANK(P365), , P365*Q365)</f>
        <v>50784</v>
      </c>
      <c r="S365" s="40"/>
      <c r="T365" s="50">
        <v>9.48</v>
      </c>
      <c r="U365" s="69">
        <v>7</v>
      </c>
      <c r="V365" s="39">
        <v>2860</v>
      </c>
      <c r="W365" s="39">
        <v>16</v>
      </c>
      <c r="X365" s="39">
        <f t="shared" si="62"/>
        <v>45760</v>
      </c>
      <c r="Y365" s="40"/>
      <c r="Z365" s="193">
        <f>SUM(L365, R365, X365)+SUM(L366, R366, X366)</f>
        <v>96544</v>
      </c>
      <c r="AA365" s="193">
        <f>SUM(M365, S365, Y365)+SUM(M366, S366, Y366)</f>
        <v>0</v>
      </c>
      <c r="AB365" s="194">
        <f>IF($Z365=0, ,AA365/$Z365)</f>
        <v>0</v>
      </c>
      <c r="AC365" s="196"/>
    </row>
    <row r="366" spans="1:29" x14ac:dyDescent="0.2">
      <c r="A366" s="228"/>
      <c r="B366" s="190"/>
      <c r="C366" s="192"/>
      <c r="D366" s="11"/>
      <c r="E366" s="11"/>
      <c r="F366" s="11"/>
      <c r="G366" s="192"/>
      <c r="H366" s="50"/>
      <c r="I366" s="69"/>
      <c r="J366" s="39"/>
      <c r="K366" s="39"/>
      <c r="L366" s="39">
        <f t="shared" si="61"/>
        <v>0</v>
      </c>
      <c r="M366" s="40"/>
      <c r="N366" s="50"/>
      <c r="O366" s="69"/>
      <c r="P366" s="39"/>
      <c r="Q366" s="39"/>
      <c r="R366" s="39">
        <f>IF(ISBLANK(P366), , P366*Q366)</f>
        <v>0</v>
      </c>
      <c r="S366" s="40"/>
      <c r="T366" s="50"/>
      <c r="U366" s="69"/>
      <c r="V366" s="39"/>
      <c r="W366" s="39"/>
      <c r="X366" s="39">
        <f t="shared" si="62"/>
        <v>0</v>
      </c>
      <c r="Y366" s="40"/>
      <c r="Z366" s="193"/>
      <c r="AA366" s="193"/>
      <c r="AB366" s="195"/>
      <c r="AC366" s="196"/>
    </row>
    <row r="367" spans="1:29" x14ac:dyDescent="0.2">
      <c r="A367" s="228"/>
      <c r="B367" s="56"/>
      <c r="C367" s="56"/>
      <c r="D367" s="56"/>
      <c r="E367" s="56"/>
      <c r="F367" s="56"/>
      <c r="G367" s="56"/>
      <c r="H367" s="76"/>
      <c r="I367" s="77"/>
      <c r="J367" s="78"/>
      <c r="K367" s="78"/>
      <c r="L367" s="78"/>
      <c r="M367" s="79"/>
      <c r="N367" s="76"/>
      <c r="O367" s="77"/>
      <c r="P367" s="78"/>
      <c r="Q367" s="78"/>
      <c r="R367" s="78"/>
      <c r="S367" s="79"/>
      <c r="T367" s="76"/>
      <c r="U367" s="77"/>
      <c r="V367" s="78"/>
      <c r="W367" s="78"/>
      <c r="X367" s="78"/>
      <c r="Y367" s="79"/>
      <c r="Z367" s="79"/>
      <c r="AA367" s="79"/>
      <c r="AB367" s="80"/>
      <c r="AC367" s="59"/>
    </row>
    <row r="368" spans="1:29" x14ac:dyDescent="0.2">
      <c r="A368" s="228"/>
      <c r="B368" s="197" t="s">
        <v>67</v>
      </c>
      <c r="C368" s="198"/>
      <c r="D368" s="198"/>
      <c r="E368" s="198"/>
      <c r="F368" s="198"/>
      <c r="G368" s="9" t="s">
        <v>68</v>
      </c>
      <c r="H368" s="199" t="s">
        <v>64</v>
      </c>
      <c r="I368" s="199"/>
      <c r="J368" s="199"/>
      <c r="K368" s="199" t="s">
        <v>76</v>
      </c>
      <c r="L368" s="199"/>
      <c r="M368" s="199"/>
      <c r="N368" s="199" t="s">
        <v>65</v>
      </c>
      <c r="O368" s="199"/>
      <c r="P368" s="199"/>
      <c r="Q368" s="199" t="s">
        <v>66</v>
      </c>
      <c r="R368" s="199"/>
      <c r="S368" s="199"/>
      <c r="T368" s="199" t="s">
        <v>73</v>
      </c>
      <c r="U368" s="199"/>
      <c r="V368" s="199"/>
      <c r="W368" s="199" t="s">
        <v>74</v>
      </c>
      <c r="X368" s="199"/>
      <c r="Y368" s="199"/>
      <c r="Z368" s="199" t="s">
        <v>75</v>
      </c>
      <c r="AA368" s="199"/>
      <c r="AB368" s="199"/>
      <c r="AC368" s="200"/>
    </row>
    <row r="369" spans="1:29" x14ac:dyDescent="0.2">
      <c r="A369" s="228"/>
      <c r="B369" s="197"/>
      <c r="C369" s="198"/>
      <c r="D369" s="198"/>
      <c r="E369" s="198"/>
      <c r="F369" s="198"/>
      <c r="G369" s="9" t="s">
        <v>69</v>
      </c>
      <c r="H369" s="98" t="s">
        <v>70</v>
      </c>
      <c r="I369" s="98" t="s">
        <v>71</v>
      </c>
      <c r="J369" s="99" t="s">
        <v>72</v>
      </c>
      <c r="K369" s="98" t="s">
        <v>70</v>
      </c>
      <c r="L369" s="98" t="s">
        <v>71</v>
      </c>
      <c r="M369" s="99" t="s">
        <v>72</v>
      </c>
      <c r="N369" s="98" t="s">
        <v>70</v>
      </c>
      <c r="O369" s="98" t="s">
        <v>71</v>
      </c>
      <c r="P369" s="99" t="s">
        <v>72</v>
      </c>
      <c r="Q369" s="98" t="s">
        <v>70</v>
      </c>
      <c r="R369" s="98" t="s">
        <v>71</v>
      </c>
      <c r="S369" s="99" t="s">
        <v>72</v>
      </c>
      <c r="T369" s="98" t="s">
        <v>70</v>
      </c>
      <c r="U369" s="98" t="s">
        <v>71</v>
      </c>
      <c r="V369" s="99" t="s">
        <v>72</v>
      </c>
      <c r="W369" s="98" t="s">
        <v>70</v>
      </c>
      <c r="X369" s="98" t="s">
        <v>71</v>
      </c>
      <c r="Y369" s="99" t="s">
        <v>72</v>
      </c>
      <c r="Z369" s="98" t="s">
        <v>70</v>
      </c>
      <c r="AA369" s="98" t="s">
        <v>71</v>
      </c>
      <c r="AB369" s="99" t="s">
        <v>72</v>
      </c>
      <c r="AC369" s="200"/>
    </row>
    <row r="370" spans="1:29" x14ac:dyDescent="0.2">
      <c r="A370" s="228"/>
      <c r="B370" s="201" t="str">
        <f>B357</f>
        <v>02C</v>
      </c>
      <c r="C370" s="202" t="str">
        <f>C357</f>
        <v>DEO-C01</v>
      </c>
      <c r="D370" s="9" t="str">
        <f>IF(ISBLANK(D357), "", D357)</f>
        <v/>
      </c>
      <c r="E370" s="9" t="str">
        <f>IF(ISBLANK(E357), "", E357)</f>
        <v/>
      </c>
      <c r="F370" s="9" t="str">
        <f>IF(ISBLANK(F357), "", F357)</f>
        <v/>
      </c>
      <c r="G370" s="203"/>
      <c r="H370" s="38"/>
      <c r="I370" s="38"/>
      <c r="J370" s="38"/>
      <c r="K370" s="38"/>
      <c r="L370" s="38"/>
      <c r="M370" s="38"/>
      <c r="N370" s="37"/>
      <c r="O370" s="37"/>
      <c r="P370" s="37"/>
      <c r="Q370" s="37"/>
      <c r="R370" s="37"/>
      <c r="S370" s="38"/>
      <c r="T370" s="37"/>
      <c r="U370" s="37"/>
      <c r="V370" s="37"/>
      <c r="W370" s="37"/>
      <c r="X370" s="37"/>
      <c r="Y370" s="38"/>
      <c r="Z370" s="38"/>
      <c r="AA370" s="38"/>
      <c r="AB370" s="112"/>
      <c r="AC370" s="200"/>
    </row>
    <row r="371" spans="1:29" x14ac:dyDescent="0.2">
      <c r="A371" s="228"/>
      <c r="B371" s="201"/>
      <c r="C371" s="202"/>
      <c r="D371" s="9"/>
      <c r="E371" s="9" t="str">
        <f t="shared" ref="E371:F373" si="63">IF(ISBLANK(E358), "", E358)</f>
        <v/>
      </c>
      <c r="F371" s="9" t="str">
        <f t="shared" si="63"/>
        <v/>
      </c>
      <c r="G371" s="203"/>
      <c r="H371" s="37"/>
      <c r="I371" s="37"/>
      <c r="J371" s="37"/>
      <c r="K371" s="37"/>
      <c r="L371" s="37"/>
      <c r="M371" s="38"/>
      <c r="N371" s="37"/>
      <c r="O371" s="37"/>
      <c r="P371" s="37"/>
      <c r="Q371" s="37"/>
      <c r="R371" s="37"/>
      <c r="S371" s="38"/>
      <c r="T371" s="37"/>
      <c r="U371" s="37"/>
      <c r="V371" s="37"/>
      <c r="W371" s="37"/>
      <c r="X371" s="37"/>
      <c r="Y371" s="38"/>
      <c r="Z371" s="38"/>
      <c r="AA371" s="38"/>
      <c r="AB371" s="112"/>
      <c r="AC371" s="200"/>
    </row>
    <row r="372" spans="1:29" x14ac:dyDescent="0.2">
      <c r="A372" s="228"/>
      <c r="B372" s="201" t="str">
        <f>B359</f>
        <v>03C</v>
      </c>
      <c r="C372" s="202" t="str">
        <f>C359</f>
        <v>DEO-B02</v>
      </c>
      <c r="D372" s="9" t="str">
        <f>IF(ISBLANK(D359), "", D359)</f>
        <v>20591-B</v>
      </c>
      <c r="E372" s="9" t="str">
        <f t="shared" si="63"/>
        <v>Pink PMS</v>
      </c>
      <c r="F372" s="9">
        <f t="shared" si="63"/>
        <v>6331</v>
      </c>
      <c r="G372" s="203"/>
      <c r="H372" s="38">
        <v>500</v>
      </c>
      <c r="I372" s="38"/>
      <c r="J372" s="38"/>
      <c r="K372" s="37"/>
      <c r="L372" s="37">
        <v>100</v>
      </c>
      <c r="M372" s="38"/>
      <c r="N372" s="37"/>
      <c r="O372" s="37"/>
      <c r="P372" s="37"/>
      <c r="Q372" s="37"/>
      <c r="R372" s="37"/>
      <c r="S372" s="38"/>
      <c r="T372" s="37"/>
      <c r="U372" s="37"/>
      <c r="V372" s="37"/>
      <c r="W372" s="37"/>
      <c r="X372" s="37"/>
      <c r="Y372" s="38"/>
      <c r="Z372" s="38"/>
      <c r="AA372" s="38"/>
      <c r="AB372" s="112"/>
      <c r="AC372" s="200"/>
    </row>
    <row r="373" spans="1:29" x14ac:dyDescent="0.2">
      <c r="A373" s="228"/>
      <c r="B373" s="201"/>
      <c r="C373" s="202"/>
      <c r="D373" s="9" t="str">
        <f>IF(ISBLANK(D360), "", D360)</f>
        <v/>
      </c>
      <c r="E373" s="9" t="str">
        <f t="shared" si="63"/>
        <v/>
      </c>
      <c r="F373" s="9" t="str">
        <f t="shared" si="63"/>
        <v/>
      </c>
      <c r="G373" s="203"/>
      <c r="H373" s="37"/>
      <c r="I373" s="37"/>
      <c r="J373" s="37"/>
      <c r="K373" s="37"/>
      <c r="L373" s="37"/>
      <c r="M373" s="38"/>
      <c r="N373" s="37"/>
      <c r="O373" s="37"/>
      <c r="P373" s="37"/>
      <c r="Q373" s="37"/>
      <c r="R373" s="37"/>
      <c r="S373" s="38"/>
      <c r="T373" s="37"/>
      <c r="U373" s="37"/>
      <c r="V373" s="37"/>
      <c r="W373" s="37"/>
      <c r="X373" s="37"/>
      <c r="Y373" s="38"/>
      <c r="Z373" s="38"/>
      <c r="AA373" s="38"/>
      <c r="AB373" s="112"/>
      <c r="AC373" s="200"/>
    </row>
    <row r="375" spans="1:29" x14ac:dyDescent="0.2">
      <c r="A375" s="228">
        <v>44729</v>
      </c>
      <c r="B375" s="19" t="s">
        <v>42</v>
      </c>
      <c r="C375" s="20"/>
      <c r="D375" s="21" t="s">
        <v>43</v>
      </c>
      <c r="E375" s="20">
        <v>0</v>
      </c>
      <c r="F375" s="31"/>
      <c r="G375" s="32"/>
      <c r="H375" s="52"/>
      <c r="I375" s="65"/>
      <c r="J375" s="73"/>
      <c r="K375" s="32"/>
      <c r="L375" s="21"/>
      <c r="M375" s="32"/>
      <c r="N375" s="52"/>
      <c r="O375" s="65"/>
      <c r="P375" s="73"/>
      <c r="Q375" s="32"/>
      <c r="R375" s="21"/>
      <c r="S375" s="32"/>
      <c r="T375" s="52"/>
      <c r="U375" s="65"/>
      <c r="V375" s="73"/>
      <c r="W375" s="32"/>
      <c r="X375" s="21"/>
      <c r="Y375" s="21"/>
      <c r="Z375" s="32"/>
      <c r="AA375" s="21"/>
      <c r="AB375" s="21"/>
      <c r="AC375" s="33"/>
    </row>
    <row r="376" spans="1:29" x14ac:dyDescent="0.2">
      <c r="A376" s="228"/>
      <c r="B376" s="229" t="s">
        <v>10</v>
      </c>
      <c r="C376" s="230" t="s">
        <v>0</v>
      </c>
      <c r="D376" s="230" t="s">
        <v>25</v>
      </c>
      <c r="E376" s="230" t="s">
        <v>11</v>
      </c>
      <c r="F376" s="230" t="s">
        <v>16</v>
      </c>
      <c r="G376" s="237" t="s">
        <v>12</v>
      </c>
      <c r="H376" s="222" t="s">
        <v>13</v>
      </c>
      <c r="I376" s="223"/>
      <c r="J376" s="223"/>
      <c r="K376" s="223"/>
      <c r="L376" s="223"/>
      <c r="M376" s="224"/>
      <c r="N376" s="222" t="s">
        <v>14</v>
      </c>
      <c r="O376" s="223"/>
      <c r="P376" s="223"/>
      <c r="Q376" s="223"/>
      <c r="R376" s="223"/>
      <c r="S376" s="224"/>
      <c r="T376" s="222" t="s">
        <v>15</v>
      </c>
      <c r="U376" s="223"/>
      <c r="V376" s="223"/>
      <c r="W376" s="223"/>
      <c r="X376" s="223"/>
      <c r="Y376" s="224"/>
      <c r="Z376" s="225" t="s">
        <v>37</v>
      </c>
      <c r="AA376" s="225" t="s">
        <v>39</v>
      </c>
      <c r="AB376" s="225" t="s">
        <v>62</v>
      </c>
      <c r="AC376" s="231" t="s">
        <v>26</v>
      </c>
    </row>
    <row r="377" spans="1:29" ht="25.5" x14ac:dyDescent="0.2">
      <c r="A377" s="228"/>
      <c r="B377" s="229"/>
      <c r="C377" s="230"/>
      <c r="D377" s="230"/>
      <c r="E377" s="230"/>
      <c r="F377" s="230"/>
      <c r="G377" s="237"/>
      <c r="H377" s="53" t="s">
        <v>50</v>
      </c>
      <c r="I377" s="66" t="s">
        <v>51</v>
      </c>
      <c r="J377" s="74" t="s">
        <v>63</v>
      </c>
      <c r="K377" s="24" t="s">
        <v>44</v>
      </c>
      <c r="L377" s="18" t="s">
        <v>5</v>
      </c>
      <c r="M377" s="81" t="s">
        <v>31</v>
      </c>
      <c r="N377" s="53" t="s">
        <v>50</v>
      </c>
      <c r="O377" s="66" t="s">
        <v>51</v>
      </c>
      <c r="P377" s="74" t="s">
        <v>63</v>
      </c>
      <c r="Q377" s="24" t="s">
        <v>44</v>
      </c>
      <c r="R377" s="30" t="s">
        <v>5</v>
      </c>
      <c r="S377" s="34" t="s">
        <v>31</v>
      </c>
      <c r="T377" s="53" t="s">
        <v>50</v>
      </c>
      <c r="U377" s="66" t="s">
        <v>51</v>
      </c>
      <c r="V377" s="74" t="s">
        <v>63</v>
      </c>
      <c r="W377" s="24" t="s">
        <v>44</v>
      </c>
      <c r="X377" s="30" t="s">
        <v>5</v>
      </c>
      <c r="Y377" s="34" t="s">
        <v>31</v>
      </c>
      <c r="Z377" s="226"/>
      <c r="AA377" s="227"/>
      <c r="AB377" s="227"/>
      <c r="AC377" s="231"/>
    </row>
    <row r="378" spans="1:29" x14ac:dyDescent="0.2">
      <c r="A378" s="228"/>
      <c r="B378" s="232" t="s">
        <v>2</v>
      </c>
      <c r="C378" s="234" t="s">
        <v>84</v>
      </c>
      <c r="D378" s="12"/>
      <c r="E378" s="10" t="s">
        <v>92</v>
      </c>
      <c r="F378" s="12">
        <v>6331</v>
      </c>
      <c r="G378" s="234" t="s">
        <v>1</v>
      </c>
      <c r="H378" s="47">
        <v>23.6</v>
      </c>
      <c r="I378" s="63">
        <v>8</v>
      </c>
      <c r="J378" s="35">
        <v>1231</v>
      </c>
      <c r="K378" s="35">
        <v>16</v>
      </c>
      <c r="L378" s="35">
        <f>IF(ISBLANK(J378), , J378*K378)</f>
        <v>19696</v>
      </c>
      <c r="M378" s="29"/>
      <c r="N378" s="47">
        <v>23.6</v>
      </c>
      <c r="O378" s="63">
        <v>3</v>
      </c>
      <c r="P378" s="35">
        <v>483</v>
      </c>
      <c r="Q378" s="35">
        <v>16</v>
      </c>
      <c r="R378" s="35">
        <f>IF(ISBLANK(P378), , P378*Q378)</f>
        <v>7728</v>
      </c>
      <c r="S378" s="29"/>
      <c r="T378" s="47">
        <v>23.6</v>
      </c>
      <c r="U378" s="63">
        <v>0</v>
      </c>
      <c r="V378" s="35"/>
      <c r="W378" s="35">
        <v>16</v>
      </c>
      <c r="X378" s="35">
        <f>IF(ISBLANK(V378), , V378*W378)</f>
        <v>0</v>
      </c>
      <c r="Y378" s="29"/>
      <c r="Z378" s="210">
        <f>SUM(L378, R378, X378)+SUM(L379, R379, X379)</f>
        <v>27424</v>
      </c>
      <c r="AA378" s="210">
        <f>SUM(M378, S378, Y378)+SUM(M379, S379, Y379)</f>
        <v>0</v>
      </c>
      <c r="AB378" s="212">
        <f>IF($Z378=0, ,AA378/$Z378)</f>
        <v>0</v>
      </c>
      <c r="AC378" s="214"/>
    </row>
    <row r="379" spans="1:29" x14ac:dyDescent="0.2">
      <c r="A379" s="228"/>
      <c r="B379" s="233"/>
      <c r="C379" s="235"/>
      <c r="D379" s="12"/>
      <c r="E379" s="12"/>
      <c r="F379" s="12"/>
      <c r="G379" s="236"/>
      <c r="H379" s="47"/>
      <c r="I379" s="63"/>
      <c r="J379" s="35"/>
      <c r="K379" s="35"/>
      <c r="L379" s="35">
        <f>IF(ISBLANK(J379), , J379*K379)</f>
        <v>0</v>
      </c>
      <c r="M379" s="29"/>
      <c r="N379" s="47"/>
      <c r="O379" s="63"/>
      <c r="P379" s="35"/>
      <c r="Q379" s="35"/>
      <c r="R379" s="35">
        <f>IF(ISBLANK(P379), , P379*Q379)</f>
        <v>0</v>
      </c>
      <c r="S379" s="29"/>
      <c r="T379" s="47"/>
      <c r="U379" s="63"/>
      <c r="V379" s="35"/>
      <c r="W379" s="35"/>
      <c r="X379" s="35">
        <f>IF(ISBLANK(V379), , V379*W379)</f>
        <v>0</v>
      </c>
      <c r="Y379" s="29"/>
      <c r="Z379" s="211"/>
      <c r="AA379" s="211"/>
      <c r="AB379" s="213"/>
      <c r="AC379" s="215"/>
    </row>
    <row r="380" spans="1:29" x14ac:dyDescent="0.2">
      <c r="A380" s="228"/>
      <c r="B380" s="216" t="s">
        <v>6</v>
      </c>
      <c r="C380" s="218" t="s">
        <v>8</v>
      </c>
      <c r="D380" s="10"/>
      <c r="E380" s="10"/>
      <c r="F380" s="10"/>
      <c r="G380" s="218" t="s">
        <v>1</v>
      </c>
      <c r="H380" s="48">
        <v>19.57</v>
      </c>
      <c r="I380" s="67">
        <v>0</v>
      </c>
      <c r="J380" s="39"/>
      <c r="K380" s="39">
        <v>8</v>
      </c>
      <c r="L380" s="39">
        <f>IF(ISBLANK(J380), , J380*K380)</f>
        <v>0</v>
      </c>
      <c r="M380" s="40">
        <f>H393+K393+N393+Q393+T393+W393+Z393</f>
        <v>0</v>
      </c>
      <c r="N380" s="48">
        <v>19.57</v>
      </c>
      <c r="O380" s="67">
        <v>0</v>
      </c>
      <c r="P380" s="39"/>
      <c r="Q380" s="39">
        <v>8</v>
      </c>
      <c r="R380" s="39">
        <f>IF(ISBLANK(P380), , P380*Q380)</f>
        <v>0</v>
      </c>
      <c r="S380" s="40">
        <f>I393+L393+O393+R393+U393+X393+AA393</f>
        <v>0</v>
      </c>
      <c r="T380" s="48">
        <v>19.57</v>
      </c>
      <c r="U380" s="67">
        <v>0</v>
      </c>
      <c r="V380" s="39"/>
      <c r="W380" s="39">
        <v>8</v>
      </c>
      <c r="X380" s="39">
        <f>IF(ISBLANK(V380), , V380*W380)</f>
        <v>0</v>
      </c>
      <c r="Y380" s="40">
        <f>J393+M393+P393+S393+V393+Y393+AB393</f>
        <v>0</v>
      </c>
      <c r="Z380" s="238">
        <f>SUM(L380, R380, X380)+SUM(L381, R381, X381)</f>
        <v>0</v>
      </c>
      <c r="AA380" s="220">
        <f>SUM(M380, S380, Y380)+SUM(M381, S381, Y381)</f>
        <v>0</v>
      </c>
      <c r="AB380" s="194">
        <f>IF($Z380=0, ,AA380/$Z380)</f>
        <v>0</v>
      </c>
      <c r="AC380" s="204"/>
    </row>
    <row r="381" spans="1:29" x14ac:dyDescent="0.2">
      <c r="A381" s="228"/>
      <c r="B381" s="217"/>
      <c r="C381" s="219"/>
      <c r="D381" s="10"/>
      <c r="E381" s="10"/>
      <c r="F381" s="10"/>
      <c r="G381" s="219"/>
      <c r="H381" s="48"/>
      <c r="I381" s="67"/>
      <c r="J381" s="39"/>
      <c r="K381" s="39"/>
      <c r="L381" s="39">
        <f>IF(ISBLANK(J381), , J381*K381)</f>
        <v>0</v>
      </c>
      <c r="M381" s="40">
        <f>H394+K394+N394+Q394+T394+W394+Z394</f>
        <v>0</v>
      </c>
      <c r="N381" s="48"/>
      <c r="O381" s="67"/>
      <c r="P381" s="39"/>
      <c r="Q381" s="39"/>
      <c r="R381" s="39">
        <f t="shared" ref="R381:R387" si="64">IF(ISBLANK(P381), , P381*Q381)</f>
        <v>0</v>
      </c>
      <c r="S381" s="40">
        <f>I394+L394+O394+R394+U394+X394+AA394</f>
        <v>0</v>
      </c>
      <c r="T381" s="48"/>
      <c r="U381" s="67"/>
      <c r="V381" s="39"/>
      <c r="W381" s="39"/>
      <c r="X381" s="39">
        <f>IF(ISBLANK(V381), , V381*W381)</f>
        <v>0</v>
      </c>
      <c r="Y381" s="40">
        <f>J394+M394+P394+S394+V394+Y394+AB394</f>
        <v>0</v>
      </c>
      <c r="Z381" s="239"/>
      <c r="AA381" s="221"/>
      <c r="AB381" s="195"/>
      <c r="AC381" s="205"/>
    </row>
    <row r="382" spans="1:29" x14ac:dyDescent="0.2">
      <c r="A382" s="228"/>
      <c r="B382" s="206" t="s">
        <v>7</v>
      </c>
      <c r="C382" s="208" t="s">
        <v>81</v>
      </c>
      <c r="D382" s="9" t="s">
        <v>102</v>
      </c>
      <c r="E382" s="9" t="s">
        <v>103</v>
      </c>
      <c r="F382" s="9">
        <v>6331</v>
      </c>
      <c r="G382" s="208" t="s">
        <v>1</v>
      </c>
      <c r="H382" s="49">
        <v>20.5</v>
      </c>
      <c r="I382" s="68">
        <v>8</v>
      </c>
      <c r="J382" s="37">
        <v>1390</v>
      </c>
      <c r="K382" s="37">
        <v>8</v>
      </c>
      <c r="L382" s="37">
        <f>IF(ISBLANK(J382), , J382*K382)</f>
        <v>11120</v>
      </c>
      <c r="M382" s="38">
        <f>H395+K395+N395+Q395+T395+W395+Z395</f>
        <v>35</v>
      </c>
      <c r="N382" s="49">
        <v>21.95</v>
      </c>
      <c r="O382" s="68">
        <v>0</v>
      </c>
      <c r="P382" s="37"/>
      <c r="Q382" s="37">
        <v>8</v>
      </c>
      <c r="R382" s="37">
        <f t="shared" si="64"/>
        <v>0</v>
      </c>
      <c r="S382" s="38">
        <f>I395+L395+O395+R395+U395+X395+AA395</f>
        <v>0</v>
      </c>
      <c r="T382" s="49">
        <v>22</v>
      </c>
      <c r="U382" s="68">
        <v>0</v>
      </c>
      <c r="V382" s="37"/>
      <c r="W382" s="37">
        <v>8</v>
      </c>
      <c r="X382" s="37">
        <f>IF(ISBLANK(V382), , V382*W382)</f>
        <v>0</v>
      </c>
      <c r="Y382" s="38">
        <f>J395+M395+P395+S395+V395+Y395+AB395</f>
        <v>0</v>
      </c>
      <c r="Z382" s="210">
        <f>SUM(L382, R382, X382)+SUM(L383, R383, X383)</f>
        <v>11120</v>
      </c>
      <c r="AA382" s="210">
        <f>SUM(M382, S382, Y382)+SUM(M383, S383, Y383)</f>
        <v>35</v>
      </c>
      <c r="AB382" s="212">
        <f>IF($Z382=0, ,AA382/$Z382)</f>
        <v>3.1474820143884892E-3</v>
      </c>
      <c r="AC382" s="214"/>
    </row>
    <row r="383" spans="1:29" x14ac:dyDescent="0.2">
      <c r="A383" s="228"/>
      <c r="B383" s="207"/>
      <c r="C383" s="209"/>
      <c r="D383" s="9"/>
      <c r="E383" s="9"/>
      <c r="F383" s="9"/>
      <c r="G383" s="209"/>
      <c r="H383" s="49"/>
      <c r="I383" s="68"/>
      <c r="J383" s="37"/>
      <c r="K383" s="37"/>
      <c r="L383" s="37">
        <f t="shared" ref="L383:L389" si="65">IF(ISBLANK(J383), , J383*K383)</f>
        <v>0</v>
      </c>
      <c r="M383" s="38">
        <f>H396+K396+N396+Q396+T396+W396+Z396</f>
        <v>0</v>
      </c>
      <c r="N383" s="49"/>
      <c r="O383" s="68"/>
      <c r="P383" s="37"/>
      <c r="Q383" s="37"/>
      <c r="R383" s="37">
        <f t="shared" si="64"/>
        <v>0</v>
      </c>
      <c r="S383" s="38">
        <f>I396+L396+O396+R396+U396+X396+AA396</f>
        <v>0</v>
      </c>
      <c r="T383" s="49"/>
      <c r="U383" s="68"/>
      <c r="V383" s="37"/>
      <c r="W383" s="37"/>
      <c r="X383" s="37">
        <f t="shared" ref="X383:X389" si="66">IF(ISBLANK(V383), , V383*W383)</f>
        <v>0</v>
      </c>
      <c r="Y383" s="38">
        <f>J396+M396+P396+S396+V396+Y396+AB396</f>
        <v>0</v>
      </c>
      <c r="Z383" s="211"/>
      <c r="AA383" s="211"/>
      <c r="AB383" s="213"/>
      <c r="AC383" s="215"/>
    </row>
    <row r="384" spans="1:29" x14ac:dyDescent="0.2">
      <c r="A384" s="228"/>
      <c r="B384" s="216" t="s">
        <v>3</v>
      </c>
      <c r="C384" s="218" t="s">
        <v>82</v>
      </c>
      <c r="D384" s="10"/>
      <c r="E384" s="10" t="s">
        <v>103</v>
      </c>
      <c r="F384" s="10">
        <v>6331</v>
      </c>
      <c r="G384" s="218" t="s">
        <v>1</v>
      </c>
      <c r="H384" s="48">
        <v>19.71</v>
      </c>
      <c r="I384" s="67">
        <v>6.5</v>
      </c>
      <c r="J384" s="36">
        <v>1010</v>
      </c>
      <c r="K384" s="36">
        <v>16</v>
      </c>
      <c r="L384" s="36">
        <f t="shared" si="65"/>
        <v>16160</v>
      </c>
      <c r="M384" s="17"/>
      <c r="N384" s="48">
        <v>19.690000000000001</v>
      </c>
      <c r="O384" s="67">
        <v>8</v>
      </c>
      <c r="P384" s="36">
        <v>1400</v>
      </c>
      <c r="Q384" s="36">
        <v>16</v>
      </c>
      <c r="R384" s="36">
        <f t="shared" si="64"/>
        <v>22400</v>
      </c>
      <c r="S384" s="17"/>
      <c r="T384" s="48">
        <v>19.2</v>
      </c>
      <c r="U384" s="67">
        <v>0</v>
      </c>
      <c r="V384" s="36">
        <v>0</v>
      </c>
      <c r="W384" s="36">
        <v>16</v>
      </c>
      <c r="X384" s="36">
        <f t="shared" si="66"/>
        <v>0</v>
      </c>
      <c r="Y384" s="17"/>
      <c r="Z384" s="220">
        <f>SUM(L384, R384, X384)+SUM(L385, R385, X385)</f>
        <v>38560</v>
      </c>
      <c r="AA384" s="220">
        <f>SUM(M384, S384, Y384)+SUM(M385, S385, Y385)</f>
        <v>0</v>
      </c>
      <c r="AB384" s="194">
        <f>IF($Z384=0, ,AA384/$Z384)</f>
        <v>0</v>
      </c>
      <c r="AC384" s="204"/>
    </row>
    <row r="385" spans="1:29" x14ac:dyDescent="0.2">
      <c r="A385" s="228"/>
      <c r="B385" s="217"/>
      <c r="C385" s="219"/>
      <c r="D385" s="10"/>
      <c r="E385" s="10"/>
      <c r="F385" s="10"/>
      <c r="G385" s="219"/>
      <c r="H385" s="48"/>
      <c r="I385" s="67"/>
      <c r="J385" s="36"/>
      <c r="K385" s="36"/>
      <c r="L385" s="36">
        <f t="shared" si="65"/>
        <v>0</v>
      </c>
      <c r="M385" s="17"/>
      <c r="N385" s="48"/>
      <c r="O385" s="67"/>
      <c r="P385" s="36"/>
      <c r="Q385" s="36"/>
      <c r="R385" s="36">
        <f t="shared" si="64"/>
        <v>0</v>
      </c>
      <c r="S385" s="17"/>
      <c r="T385" s="48"/>
      <c r="U385" s="67"/>
      <c r="V385" s="36"/>
      <c r="W385" s="36"/>
      <c r="X385" s="36">
        <f t="shared" si="66"/>
        <v>0</v>
      </c>
      <c r="Y385" s="17"/>
      <c r="Z385" s="221"/>
      <c r="AA385" s="221"/>
      <c r="AB385" s="195"/>
      <c r="AC385" s="205"/>
    </row>
    <row r="386" spans="1:29" x14ac:dyDescent="0.2">
      <c r="A386" s="228"/>
      <c r="B386" s="206" t="s">
        <v>4</v>
      </c>
      <c r="C386" s="208" t="s">
        <v>9</v>
      </c>
      <c r="D386" s="9"/>
      <c r="E386" s="10"/>
      <c r="F386" s="9"/>
      <c r="G386" s="208" t="s">
        <v>1</v>
      </c>
      <c r="H386" s="49">
        <v>20.58</v>
      </c>
      <c r="I386" s="68">
        <v>0</v>
      </c>
      <c r="J386" s="37">
        <v>0</v>
      </c>
      <c r="K386" s="37">
        <v>8</v>
      </c>
      <c r="L386" s="37">
        <f t="shared" si="65"/>
        <v>0</v>
      </c>
      <c r="M386" s="38"/>
      <c r="N386" s="49">
        <v>20.58</v>
      </c>
      <c r="O386" s="68">
        <v>0</v>
      </c>
      <c r="P386" s="37">
        <v>0</v>
      </c>
      <c r="Q386" s="37">
        <v>8</v>
      </c>
      <c r="R386" s="37">
        <f t="shared" si="64"/>
        <v>0</v>
      </c>
      <c r="S386" s="38"/>
      <c r="T386" s="49">
        <v>20.58</v>
      </c>
      <c r="U386" s="68">
        <v>0</v>
      </c>
      <c r="V386" s="37">
        <v>0</v>
      </c>
      <c r="W386" s="37">
        <v>8</v>
      </c>
      <c r="X386" s="37">
        <f t="shared" si="66"/>
        <v>0</v>
      </c>
      <c r="Y386" s="38"/>
      <c r="Z386" s="210">
        <f>SUM(L386, R386, X386)+SUM(L387, R387, X387)</f>
        <v>0</v>
      </c>
      <c r="AA386" s="210">
        <f>SUM(M386, S386, Y386)+SUM(M387, S387, Y387)</f>
        <v>0</v>
      </c>
      <c r="AB386" s="212">
        <f>IF($Z386=0, ,AA386/$Z386)</f>
        <v>0</v>
      </c>
      <c r="AC386" s="214"/>
    </row>
    <row r="387" spans="1:29" x14ac:dyDescent="0.2">
      <c r="A387" s="228"/>
      <c r="B387" s="207"/>
      <c r="C387" s="209"/>
      <c r="D387" s="9"/>
      <c r="E387" s="9"/>
      <c r="F387" s="9"/>
      <c r="G387" s="209"/>
      <c r="H387" s="49"/>
      <c r="I387" s="68"/>
      <c r="J387" s="37"/>
      <c r="K387" s="37"/>
      <c r="L387" s="37">
        <f t="shared" si="65"/>
        <v>0</v>
      </c>
      <c r="M387" s="38"/>
      <c r="N387" s="49"/>
      <c r="O387" s="68"/>
      <c r="P387" s="37"/>
      <c r="Q387" s="37"/>
      <c r="R387" s="37">
        <f t="shared" si="64"/>
        <v>0</v>
      </c>
      <c r="S387" s="38"/>
      <c r="T387" s="49"/>
      <c r="U387" s="68"/>
      <c r="V387" s="37"/>
      <c r="W387" s="37"/>
      <c r="X387" s="37">
        <f t="shared" si="66"/>
        <v>0</v>
      </c>
      <c r="Y387" s="38"/>
      <c r="Z387" s="211"/>
      <c r="AA387" s="211"/>
      <c r="AB387" s="213"/>
      <c r="AC387" s="215"/>
    </row>
    <row r="388" spans="1:29" x14ac:dyDescent="0.2">
      <c r="A388" s="228"/>
      <c r="B388" s="189" t="s">
        <v>85</v>
      </c>
      <c r="C388" s="191" t="s">
        <v>83</v>
      </c>
      <c r="D388" s="11"/>
      <c r="E388" s="10"/>
      <c r="F388" s="11"/>
      <c r="G388" s="191" t="s">
        <v>1</v>
      </c>
      <c r="H388" s="50">
        <v>12.89</v>
      </c>
      <c r="I388" s="69">
        <v>0</v>
      </c>
      <c r="J388" s="39">
        <v>0</v>
      </c>
      <c r="K388" s="39">
        <v>16</v>
      </c>
      <c r="L388" s="39">
        <f t="shared" si="65"/>
        <v>0</v>
      </c>
      <c r="M388" s="40"/>
      <c r="N388" s="50">
        <v>12.89</v>
      </c>
      <c r="O388" s="69">
        <v>0</v>
      </c>
      <c r="P388" s="39">
        <v>0</v>
      </c>
      <c r="Q388" s="39">
        <v>16</v>
      </c>
      <c r="R388" s="39">
        <f>IF(ISBLANK(P388), , P388*Q388)</f>
        <v>0</v>
      </c>
      <c r="S388" s="40"/>
      <c r="T388" s="50">
        <v>23.6</v>
      </c>
      <c r="U388" s="69">
        <v>0</v>
      </c>
      <c r="V388" s="39">
        <v>0</v>
      </c>
      <c r="W388" s="39">
        <v>16</v>
      </c>
      <c r="X388" s="39">
        <f t="shared" si="66"/>
        <v>0</v>
      </c>
      <c r="Y388" s="40"/>
      <c r="Z388" s="193">
        <f>SUM(L388, R388, X388)+SUM(L389, R389, X389)</f>
        <v>0</v>
      </c>
      <c r="AA388" s="193">
        <f>SUM(M388, S388, Y388)+SUM(M389, S389, Y389)</f>
        <v>0</v>
      </c>
      <c r="AB388" s="194">
        <f>IF($Z388=0, ,AA388/$Z388)</f>
        <v>0</v>
      </c>
      <c r="AC388" s="196"/>
    </row>
    <row r="389" spans="1:29" x14ac:dyDescent="0.2">
      <c r="A389" s="228"/>
      <c r="B389" s="190"/>
      <c r="C389" s="192"/>
      <c r="D389" s="11"/>
      <c r="E389" s="11"/>
      <c r="F389" s="11"/>
      <c r="G389" s="192"/>
      <c r="H389" s="50"/>
      <c r="I389" s="69"/>
      <c r="J389" s="39"/>
      <c r="K389" s="39"/>
      <c r="L389" s="39">
        <f t="shared" si="65"/>
        <v>0</v>
      </c>
      <c r="M389" s="40"/>
      <c r="N389" s="50"/>
      <c r="O389" s="69"/>
      <c r="P389" s="39"/>
      <c r="Q389" s="39"/>
      <c r="R389" s="39">
        <f>IF(ISBLANK(P389), , P389*Q389)</f>
        <v>0</v>
      </c>
      <c r="S389" s="40"/>
      <c r="T389" s="50"/>
      <c r="U389" s="69"/>
      <c r="V389" s="39"/>
      <c r="W389" s="39"/>
      <c r="X389" s="39">
        <f t="shared" si="66"/>
        <v>0</v>
      </c>
      <c r="Y389" s="40"/>
      <c r="Z389" s="193"/>
      <c r="AA389" s="193"/>
      <c r="AB389" s="195"/>
      <c r="AC389" s="196"/>
    </row>
    <row r="390" spans="1:29" x14ac:dyDescent="0.2">
      <c r="A390" s="228"/>
      <c r="B390" s="56"/>
      <c r="C390" s="56"/>
      <c r="D390" s="56"/>
      <c r="E390" s="56"/>
      <c r="F390" s="56"/>
      <c r="G390" s="56"/>
      <c r="H390" s="76"/>
      <c r="I390" s="77"/>
      <c r="J390" s="78"/>
      <c r="K390" s="78"/>
      <c r="L390" s="78"/>
      <c r="M390" s="79"/>
      <c r="N390" s="76"/>
      <c r="O390" s="77"/>
      <c r="P390" s="78"/>
      <c r="Q390" s="78"/>
      <c r="R390" s="78"/>
      <c r="S390" s="79"/>
      <c r="T390" s="76"/>
      <c r="U390" s="77"/>
      <c r="V390" s="78"/>
      <c r="W390" s="78"/>
      <c r="X390" s="78"/>
      <c r="Y390" s="79"/>
      <c r="Z390" s="79"/>
      <c r="AA390" s="79"/>
      <c r="AB390" s="80"/>
      <c r="AC390" s="59"/>
    </row>
    <row r="391" spans="1:29" x14ac:dyDescent="0.2">
      <c r="A391" s="228"/>
      <c r="B391" s="197" t="s">
        <v>67</v>
      </c>
      <c r="C391" s="198"/>
      <c r="D391" s="198"/>
      <c r="E391" s="198"/>
      <c r="F391" s="198"/>
      <c r="G391" s="9" t="s">
        <v>68</v>
      </c>
      <c r="H391" s="199" t="s">
        <v>64</v>
      </c>
      <c r="I391" s="199"/>
      <c r="J391" s="199"/>
      <c r="K391" s="199" t="s">
        <v>76</v>
      </c>
      <c r="L391" s="199"/>
      <c r="M391" s="199"/>
      <c r="N391" s="199" t="s">
        <v>65</v>
      </c>
      <c r="O391" s="199"/>
      <c r="P391" s="199"/>
      <c r="Q391" s="199" t="s">
        <v>66</v>
      </c>
      <c r="R391" s="199"/>
      <c r="S391" s="199"/>
      <c r="T391" s="199" t="s">
        <v>73</v>
      </c>
      <c r="U391" s="199"/>
      <c r="V391" s="199"/>
      <c r="W391" s="199" t="s">
        <v>74</v>
      </c>
      <c r="X391" s="199"/>
      <c r="Y391" s="199"/>
      <c r="Z391" s="199" t="s">
        <v>75</v>
      </c>
      <c r="AA391" s="199"/>
      <c r="AB391" s="199"/>
      <c r="AC391" s="200" t="s">
        <v>106</v>
      </c>
    </row>
    <row r="392" spans="1:29" x14ac:dyDescent="0.2">
      <c r="A392" s="228"/>
      <c r="B392" s="197"/>
      <c r="C392" s="198"/>
      <c r="D392" s="198"/>
      <c r="E392" s="198"/>
      <c r="F392" s="198"/>
      <c r="G392" s="9" t="s">
        <v>69</v>
      </c>
      <c r="H392" s="98" t="s">
        <v>70</v>
      </c>
      <c r="I392" s="98" t="s">
        <v>71</v>
      </c>
      <c r="J392" s="99" t="s">
        <v>72</v>
      </c>
      <c r="K392" s="98" t="s">
        <v>70</v>
      </c>
      <c r="L392" s="98" t="s">
        <v>71</v>
      </c>
      <c r="M392" s="99" t="s">
        <v>72</v>
      </c>
      <c r="N392" s="98" t="s">
        <v>70</v>
      </c>
      <c r="O392" s="98" t="s">
        <v>71</v>
      </c>
      <c r="P392" s="99" t="s">
        <v>72</v>
      </c>
      <c r="Q392" s="98" t="s">
        <v>70</v>
      </c>
      <c r="R392" s="98" t="s">
        <v>71</v>
      </c>
      <c r="S392" s="99" t="s">
        <v>72</v>
      </c>
      <c r="T392" s="98" t="s">
        <v>70</v>
      </c>
      <c r="U392" s="98" t="s">
        <v>71</v>
      </c>
      <c r="V392" s="99" t="s">
        <v>72</v>
      </c>
      <c r="W392" s="98" t="s">
        <v>70</v>
      </c>
      <c r="X392" s="98" t="s">
        <v>71</v>
      </c>
      <c r="Y392" s="99" t="s">
        <v>72</v>
      </c>
      <c r="Z392" s="98" t="s">
        <v>70</v>
      </c>
      <c r="AA392" s="98" t="s">
        <v>71</v>
      </c>
      <c r="AB392" s="99" t="s">
        <v>72</v>
      </c>
      <c r="AC392" s="200"/>
    </row>
    <row r="393" spans="1:29" x14ac:dyDescent="0.2">
      <c r="A393" s="228"/>
      <c r="B393" s="201" t="str">
        <f>B380</f>
        <v>02C</v>
      </c>
      <c r="C393" s="202" t="str">
        <f>C380</f>
        <v>DEO-C01</v>
      </c>
      <c r="D393" s="9" t="str">
        <f>IF(ISBLANK(D380), "", D380)</f>
        <v/>
      </c>
      <c r="E393" s="9" t="str">
        <f>IF(ISBLANK(E380), "", E380)</f>
        <v/>
      </c>
      <c r="F393" s="9" t="str">
        <f>IF(ISBLANK(F380), "", F380)</f>
        <v/>
      </c>
      <c r="G393" s="203"/>
      <c r="H393" s="38"/>
      <c r="I393" s="38"/>
      <c r="J393" s="38"/>
      <c r="K393" s="38"/>
      <c r="L393" s="38"/>
      <c r="M393" s="38"/>
      <c r="N393" s="37"/>
      <c r="O393" s="37"/>
      <c r="P393" s="37"/>
      <c r="Q393" s="37"/>
      <c r="R393" s="37"/>
      <c r="S393" s="38"/>
      <c r="T393" s="37"/>
      <c r="U393" s="37"/>
      <c r="V393" s="37"/>
      <c r="W393" s="37"/>
      <c r="X393" s="37"/>
      <c r="Y393" s="38"/>
      <c r="Z393" s="38"/>
      <c r="AA393" s="38"/>
      <c r="AB393" s="112"/>
      <c r="AC393" s="200"/>
    </row>
    <row r="394" spans="1:29" x14ac:dyDescent="0.2">
      <c r="A394" s="228"/>
      <c r="B394" s="201"/>
      <c r="C394" s="202"/>
      <c r="D394" s="9"/>
      <c r="E394" s="9" t="str">
        <f t="shared" ref="E394:F396" si="67">IF(ISBLANK(E381), "", E381)</f>
        <v/>
      </c>
      <c r="F394" s="9" t="str">
        <f t="shared" si="67"/>
        <v/>
      </c>
      <c r="G394" s="203"/>
      <c r="H394" s="37"/>
      <c r="I394" s="37"/>
      <c r="J394" s="37"/>
      <c r="K394" s="37"/>
      <c r="L394" s="37"/>
      <c r="M394" s="38"/>
      <c r="N394" s="37"/>
      <c r="O394" s="37"/>
      <c r="P394" s="37"/>
      <c r="Q394" s="37"/>
      <c r="R394" s="37"/>
      <c r="S394" s="38"/>
      <c r="T394" s="37"/>
      <c r="U394" s="37"/>
      <c r="V394" s="37"/>
      <c r="W394" s="37"/>
      <c r="X394" s="37"/>
      <c r="Y394" s="38"/>
      <c r="Z394" s="38"/>
      <c r="AA394" s="38"/>
      <c r="AB394" s="112"/>
      <c r="AC394" s="200"/>
    </row>
    <row r="395" spans="1:29" x14ac:dyDescent="0.2">
      <c r="A395" s="228"/>
      <c r="B395" s="201" t="str">
        <f>B382</f>
        <v>03C</v>
      </c>
      <c r="C395" s="202" t="str">
        <f>C382</f>
        <v>DEO-B02</v>
      </c>
      <c r="D395" s="9" t="str">
        <f>IF(ISBLANK(D382), "", D382)</f>
        <v>20591-B</v>
      </c>
      <c r="E395" s="9" t="str">
        <f t="shared" si="67"/>
        <v>Pink PMS</v>
      </c>
      <c r="F395" s="9">
        <f t="shared" si="67"/>
        <v>6331</v>
      </c>
      <c r="G395" s="203"/>
      <c r="H395" s="38">
        <v>35</v>
      </c>
      <c r="I395" s="38"/>
      <c r="J395" s="38"/>
      <c r="K395" s="37"/>
      <c r="L395" s="37"/>
      <c r="M395" s="38"/>
      <c r="N395" s="37"/>
      <c r="O395" s="37"/>
      <c r="P395" s="37"/>
      <c r="Q395" s="37"/>
      <c r="R395" s="37"/>
      <c r="S395" s="38"/>
      <c r="T395" s="37"/>
      <c r="U395" s="37"/>
      <c r="V395" s="37"/>
      <c r="W395" s="37"/>
      <c r="X395" s="37"/>
      <c r="Y395" s="38"/>
      <c r="Z395" s="38"/>
      <c r="AA395" s="38"/>
      <c r="AB395" s="112"/>
      <c r="AC395" s="200"/>
    </row>
    <row r="396" spans="1:29" x14ac:dyDescent="0.2">
      <c r="A396" s="228"/>
      <c r="B396" s="201"/>
      <c r="C396" s="202"/>
      <c r="D396" s="9" t="str">
        <f>IF(ISBLANK(D383), "", D383)</f>
        <v/>
      </c>
      <c r="E396" s="9" t="str">
        <f t="shared" si="67"/>
        <v/>
      </c>
      <c r="F396" s="9" t="str">
        <f t="shared" si="67"/>
        <v/>
      </c>
      <c r="G396" s="203"/>
      <c r="H396" s="37"/>
      <c r="I396" s="37"/>
      <c r="J396" s="37"/>
      <c r="K396" s="37"/>
      <c r="L396" s="37"/>
      <c r="M396" s="38"/>
      <c r="N396" s="37"/>
      <c r="O396" s="37"/>
      <c r="P396" s="37"/>
      <c r="Q396" s="37"/>
      <c r="R396" s="37"/>
      <c r="S396" s="38"/>
      <c r="T396" s="37"/>
      <c r="U396" s="37"/>
      <c r="V396" s="37"/>
      <c r="W396" s="37"/>
      <c r="X396" s="37"/>
      <c r="Y396" s="38"/>
      <c r="Z396" s="38"/>
      <c r="AA396" s="38"/>
      <c r="AB396" s="112"/>
      <c r="AC396" s="200"/>
    </row>
    <row r="398" spans="1:29" x14ac:dyDescent="0.2">
      <c r="A398" s="228">
        <v>44730</v>
      </c>
      <c r="B398" s="19" t="s">
        <v>42</v>
      </c>
      <c r="C398" s="20"/>
      <c r="D398" s="21" t="s">
        <v>43</v>
      </c>
      <c r="E398" s="20">
        <v>0</v>
      </c>
      <c r="F398" s="31"/>
      <c r="G398" s="32"/>
      <c r="H398" s="52"/>
      <c r="I398" s="65"/>
      <c r="J398" s="73"/>
      <c r="K398" s="32"/>
      <c r="L398" s="21"/>
      <c r="M398" s="32"/>
      <c r="N398" s="52"/>
      <c r="O398" s="65"/>
      <c r="P398" s="73"/>
      <c r="Q398" s="32"/>
      <c r="R398" s="21"/>
      <c r="S398" s="32"/>
      <c r="T398" s="52"/>
      <c r="U398" s="65"/>
      <c r="V398" s="73"/>
      <c r="W398" s="32"/>
      <c r="X398" s="21"/>
      <c r="Y398" s="21"/>
      <c r="Z398" s="32"/>
      <c r="AA398" s="21"/>
      <c r="AB398" s="21"/>
      <c r="AC398" s="33"/>
    </row>
    <row r="399" spans="1:29" x14ac:dyDescent="0.2">
      <c r="A399" s="228"/>
      <c r="B399" s="229" t="s">
        <v>10</v>
      </c>
      <c r="C399" s="230" t="s">
        <v>0</v>
      </c>
      <c r="D399" s="230" t="s">
        <v>25</v>
      </c>
      <c r="E399" s="230" t="s">
        <v>11</v>
      </c>
      <c r="F399" s="230" t="s">
        <v>16</v>
      </c>
      <c r="G399" s="237" t="s">
        <v>12</v>
      </c>
      <c r="H399" s="222" t="s">
        <v>13</v>
      </c>
      <c r="I399" s="223"/>
      <c r="J399" s="223"/>
      <c r="K399" s="223"/>
      <c r="L399" s="223"/>
      <c r="M399" s="224"/>
      <c r="N399" s="222" t="s">
        <v>14</v>
      </c>
      <c r="O399" s="223"/>
      <c r="P399" s="223"/>
      <c r="Q399" s="223"/>
      <c r="R399" s="223"/>
      <c r="S399" s="224"/>
      <c r="T399" s="222" t="s">
        <v>15</v>
      </c>
      <c r="U399" s="223"/>
      <c r="V399" s="223"/>
      <c r="W399" s="223"/>
      <c r="X399" s="223"/>
      <c r="Y399" s="224"/>
      <c r="Z399" s="225" t="s">
        <v>37</v>
      </c>
      <c r="AA399" s="225" t="s">
        <v>39</v>
      </c>
      <c r="AB399" s="225" t="s">
        <v>62</v>
      </c>
      <c r="AC399" s="231" t="s">
        <v>26</v>
      </c>
    </row>
    <row r="400" spans="1:29" ht="25.5" x14ac:dyDescent="0.2">
      <c r="A400" s="228"/>
      <c r="B400" s="229"/>
      <c r="C400" s="230"/>
      <c r="D400" s="230"/>
      <c r="E400" s="230"/>
      <c r="F400" s="230"/>
      <c r="G400" s="237"/>
      <c r="H400" s="53" t="s">
        <v>50</v>
      </c>
      <c r="I400" s="66" t="s">
        <v>51</v>
      </c>
      <c r="J400" s="74" t="s">
        <v>63</v>
      </c>
      <c r="K400" s="24" t="s">
        <v>44</v>
      </c>
      <c r="L400" s="18" t="s">
        <v>5</v>
      </c>
      <c r="M400" s="81" t="s">
        <v>31</v>
      </c>
      <c r="N400" s="53" t="s">
        <v>50</v>
      </c>
      <c r="O400" s="66" t="s">
        <v>51</v>
      </c>
      <c r="P400" s="74" t="s">
        <v>63</v>
      </c>
      <c r="Q400" s="24" t="s">
        <v>44</v>
      </c>
      <c r="R400" s="30" t="s">
        <v>5</v>
      </c>
      <c r="S400" s="34" t="s">
        <v>31</v>
      </c>
      <c r="T400" s="53" t="s">
        <v>50</v>
      </c>
      <c r="U400" s="66" t="s">
        <v>51</v>
      </c>
      <c r="V400" s="74" t="s">
        <v>63</v>
      </c>
      <c r="W400" s="24" t="s">
        <v>44</v>
      </c>
      <c r="X400" s="30" t="s">
        <v>5</v>
      </c>
      <c r="Y400" s="34" t="s">
        <v>31</v>
      </c>
      <c r="Z400" s="226"/>
      <c r="AA400" s="227"/>
      <c r="AB400" s="227"/>
      <c r="AC400" s="231"/>
    </row>
    <row r="401" spans="1:29" x14ac:dyDescent="0.2">
      <c r="A401" s="228"/>
      <c r="B401" s="232" t="s">
        <v>2</v>
      </c>
      <c r="C401" s="234" t="s">
        <v>84</v>
      </c>
      <c r="D401" s="12"/>
      <c r="E401" s="10"/>
      <c r="F401" s="12"/>
      <c r="G401" s="234" t="s">
        <v>1</v>
      </c>
      <c r="H401" s="47">
        <v>23.6</v>
      </c>
      <c r="I401" s="63">
        <v>0</v>
      </c>
      <c r="J401" s="35"/>
      <c r="K401" s="35">
        <v>16</v>
      </c>
      <c r="L401" s="35">
        <f>IF(ISBLANK(J401), , J401*K401)</f>
        <v>0</v>
      </c>
      <c r="M401" s="29"/>
      <c r="N401" s="47">
        <v>23.6</v>
      </c>
      <c r="O401" s="63">
        <v>0</v>
      </c>
      <c r="P401" s="35"/>
      <c r="Q401" s="35">
        <v>16</v>
      </c>
      <c r="R401" s="35">
        <f>IF(ISBLANK(P401), , P401*Q401)</f>
        <v>0</v>
      </c>
      <c r="S401" s="29"/>
      <c r="T401" s="47">
        <v>23.6</v>
      </c>
      <c r="U401" s="63">
        <v>0</v>
      </c>
      <c r="V401" s="35"/>
      <c r="W401" s="35">
        <v>16</v>
      </c>
      <c r="X401" s="35">
        <f>IF(ISBLANK(V401), , V401*W401)</f>
        <v>0</v>
      </c>
      <c r="Y401" s="29"/>
      <c r="Z401" s="210">
        <f>SUM(L401, R401, X401)+SUM(L402, R402, X402)</f>
        <v>0</v>
      </c>
      <c r="AA401" s="210">
        <f>SUM(M401, S401, Y401)+SUM(M402, S402, Y402)</f>
        <v>0</v>
      </c>
      <c r="AB401" s="212">
        <f>IF($Z401=0, ,AA401/$Z401)</f>
        <v>0</v>
      </c>
      <c r="AC401" s="214"/>
    </row>
    <row r="402" spans="1:29" x14ac:dyDescent="0.2">
      <c r="A402" s="228"/>
      <c r="B402" s="233"/>
      <c r="C402" s="235"/>
      <c r="D402" s="12"/>
      <c r="E402" s="12"/>
      <c r="F402" s="12"/>
      <c r="G402" s="236"/>
      <c r="H402" s="47"/>
      <c r="I402" s="63"/>
      <c r="J402" s="35"/>
      <c r="K402" s="35"/>
      <c r="L402" s="35">
        <f>IF(ISBLANK(J402), , J402*K402)</f>
        <v>0</v>
      </c>
      <c r="M402" s="29"/>
      <c r="N402" s="47"/>
      <c r="O402" s="63"/>
      <c r="P402" s="35"/>
      <c r="Q402" s="35"/>
      <c r="R402" s="35">
        <f>IF(ISBLANK(P402), , P402*Q402)</f>
        <v>0</v>
      </c>
      <c r="S402" s="29"/>
      <c r="T402" s="47"/>
      <c r="U402" s="63"/>
      <c r="V402" s="35"/>
      <c r="W402" s="35"/>
      <c r="X402" s="35">
        <f>IF(ISBLANK(V402), , V402*W402)</f>
        <v>0</v>
      </c>
      <c r="Y402" s="29"/>
      <c r="Z402" s="211"/>
      <c r="AA402" s="211"/>
      <c r="AB402" s="213"/>
      <c r="AC402" s="215"/>
    </row>
    <row r="403" spans="1:29" x14ac:dyDescent="0.2">
      <c r="A403" s="228"/>
      <c r="B403" s="216" t="s">
        <v>6</v>
      </c>
      <c r="C403" s="218" t="s">
        <v>8</v>
      </c>
      <c r="D403" s="10"/>
      <c r="E403" s="10"/>
      <c r="F403" s="10"/>
      <c r="G403" s="218" t="s">
        <v>1</v>
      </c>
      <c r="H403" s="48">
        <v>19.57</v>
      </c>
      <c r="I403" s="67">
        <v>0</v>
      </c>
      <c r="J403" s="39"/>
      <c r="K403" s="39">
        <v>8</v>
      </c>
      <c r="L403" s="39">
        <f>IF(ISBLANK(J403), , J403*K403)</f>
        <v>0</v>
      </c>
      <c r="M403" s="40">
        <f>H416+K416+N416+Q416+T416+W416+Z416</f>
        <v>0</v>
      </c>
      <c r="N403" s="48">
        <v>19.57</v>
      </c>
      <c r="O403" s="67">
        <v>0</v>
      </c>
      <c r="P403" s="39"/>
      <c r="Q403" s="39">
        <v>8</v>
      </c>
      <c r="R403" s="39">
        <f>IF(ISBLANK(P403), , P403*Q403)</f>
        <v>0</v>
      </c>
      <c r="S403" s="40">
        <f>I416+L416+O416+R416+U416+X416+AA416</f>
        <v>0</v>
      </c>
      <c r="T403" s="48">
        <v>19.57</v>
      </c>
      <c r="U403" s="67">
        <v>0</v>
      </c>
      <c r="V403" s="39"/>
      <c r="W403" s="39">
        <v>8</v>
      </c>
      <c r="X403" s="39">
        <f>IF(ISBLANK(V403), , V403*W403)</f>
        <v>0</v>
      </c>
      <c r="Y403" s="40">
        <f>J416+M416+P416+S416+V416+Y416+AB416</f>
        <v>0</v>
      </c>
      <c r="Z403" s="238">
        <f>SUM(L403, R403, X403)+SUM(L404, R404, X404)</f>
        <v>0</v>
      </c>
      <c r="AA403" s="220">
        <f>SUM(M403, S403, Y403)+SUM(M404, S404, Y404)</f>
        <v>0</v>
      </c>
      <c r="AB403" s="194">
        <f>IF($Z403=0, ,AA403/$Z403)</f>
        <v>0</v>
      </c>
      <c r="AC403" s="204"/>
    </row>
    <row r="404" spans="1:29" x14ac:dyDescent="0.2">
      <c r="A404" s="228"/>
      <c r="B404" s="217"/>
      <c r="C404" s="219"/>
      <c r="D404" s="10"/>
      <c r="E404" s="10"/>
      <c r="F404" s="10"/>
      <c r="G404" s="219"/>
      <c r="H404" s="48"/>
      <c r="I404" s="67"/>
      <c r="J404" s="39"/>
      <c r="K404" s="39"/>
      <c r="L404" s="39">
        <f>IF(ISBLANK(J404), , J404*K404)</f>
        <v>0</v>
      </c>
      <c r="M404" s="40">
        <f>H417+K417+N417+Q417+T417+W417+Z417</f>
        <v>0</v>
      </c>
      <c r="N404" s="48"/>
      <c r="O404" s="67"/>
      <c r="P404" s="39"/>
      <c r="Q404" s="39"/>
      <c r="R404" s="39">
        <f t="shared" ref="R404:R410" si="68">IF(ISBLANK(P404), , P404*Q404)</f>
        <v>0</v>
      </c>
      <c r="S404" s="40">
        <f>I417+L417+O417+R417+U417+X417+AA417</f>
        <v>0</v>
      </c>
      <c r="T404" s="48"/>
      <c r="U404" s="67"/>
      <c r="V404" s="39"/>
      <c r="W404" s="39"/>
      <c r="X404" s="39">
        <f>IF(ISBLANK(V404), , V404*W404)</f>
        <v>0</v>
      </c>
      <c r="Y404" s="40">
        <f>J417+M417+P417+S417+V417+Y417+AB417</f>
        <v>0</v>
      </c>
      <c r="Z404" s="239"/>
      <c r="AA404" s="221"/>
      <c r="AB404" s="195"/>
      <c r="AC404" s="205"/>
    </row>
    <row r="405" spans="1:29" x14ac:dyDescent="0.2">
      <c r="A405" s="228"/>
      <c r="B405" s="206" t="s">
        <v>7</v>
      </c>
      <c r="C405" s="208" t="s">
        <v>81</v>
      </c>
      <c r="D405" s="9"/>
      <c r="E405" s="9"/>
      <c r="F405" s="9"/>
      <c r="G405" s="208" t="s">
        <v>1</v>
      </c>
      <c r="H405" s="49">
        <v>20.5</v>
      </c>
      <c r="I405" s="68">
        <v>0</v>
      </c>
      <c r="J405" s="37"/>
      <c r="K405" s="37">
        <v>8</v>
      </c>
      <c r="L405" s="37">
        <f>IF(ISBLANK(J405), , J405*K405)</f>
        <v>0</v>
      </c>
      <c r="M405" s="38">
        <f>H418+K418+N418+Q418+T418+W418+Z418</f>
        <v>0</v>
      </c>
      <c r="N405" s="49">
        <v>21.95</v>
      </c>
      <c r="O405" s="68">
        <v>0</v>
      </c>
      <c r="P405" s="37"/>
      <c r="Q405" s="37">
        <v>8</v>
      </c>
      <c r="R405" s="37">
        <f t="shared" si="68"/>
        <v>0</v>
      </c>
      <c r="S405" s="38">
        <f>I418+L418+O418+R418+U418+X418+AA418</f>
        <v>0</v>
      </c>
      <c r="T405" s="49">
        <v>22</v>
      </c>
      <c r="U405" s="68">
        <v>0</v>
      </c>
      <c r="V405" s="37"/>
      <c r="W405" s="37">
        <v>8</v>
      </c>
      <c r="X405" s="37">
        <f>IF(ISBLANK(V405), , V405*W405)</f>
        <v>0</v>
      </c>
      <c r="Y405" s="38">
        <f>J418+M418+P418+S418+V418+Y418+AB418</f>
        <v>0</v>
      </c>
      <c r="Z405" s="210">
        <f>SUM(L405, R405, X405)+SUM(L406, R406, X406)</f>
        <v>0</v>
      </c>
      <c r="AA405" s="210">
        <f>SUM(M405, S405, Y405)+SUM(M406, S406, Y406)</f>
        <v>0</v>
      </c>
      <c r="AB405" s="212">
        <f>IF($Z405=0, ,AA405/$Z405)</f>
        <v>0</v>
      </c>
      <c r="AC405" s="214"/>
    </row>
    <row r="406" spans="1:29" x14ac:dyDescent="0.2">
      <c r="A406" s="228"/>
      <c r="B406" s="207"/>
      <c r="C406" s="209"/>
      <c r="D406" s="9"/>
      <c r="E406" s="9"/>
      <c r="F406" s="9"/>
      <c r="G406" s="209"/>
      <c r="H406" s="49"/>
      <c r="I406" s="68"/>
      <c r="J406" s="37"/>
      <c r="K406" s="37"/>
      <c r="L406" s="37">
        <f t="shared" ref="L406:L412" si="69">IF(ISBLANK(J406), , J406*K406)</f>
        <v>0</v>
      </c>
      <c r="M406" s="38">
        <f>H419+K419+N419+Q419+T419+W419+Z419</f>
        <v>0</v>
      </c>
      <c r="N406" s="49"/>
      <c r="O406" s="68"/>
      <c r="P406" s="37"/>
      <c r="Q406" s="37"/>
      <c r="R406" s="37">
        <f t="shared" si="68"/>
        <v>0</v>
      </c>
      <c r="S406" s="38">
        <f>I419+L419+O419+R419+U419+X419+AA419</f>
        <v>0</v>
      </c>
      <c r="T406" s="49"/>
      <c r="U406" s="68"/>
      <c r="V406" s="37"/>
      <c r="W406" s="37"/>
      <c r="X406" s="37">
        <f t="shared" ref="X406:X412" si="70">IF(ISBLANK(V406), , V406*W406)</f>
        <v>0</v>
      </c>
      <c r="Y406" s="38">
        <f>J419+M419+P419+S419+V419+Y419+AB419</f>
        <v>0</v>
      </c>
      <c r="Z406" s="211"/>
      <c r="AA406" s="211"/>
      <c r="AB406" s="213"/>
      <c r="AC406" s="215"/>
    </row>
    <row r="407" spans="1:29" x14ac:dyDescent="0.2">
      <c r="A407" s="228"/>
      <c r="B407" s="216" t="s">
        <v>3</v>
      </c>
      <c r="C407" s="218" t="s">
        <v>82</v>
      </c>
      <c r="D407" s="10"/>
      <c r="E407" s="10"/>
      <c r="F407" s="10"/>
      <c r="G407" s="218" t="s">
        <v>1</v>
      </c>
      <c r="H407" s="48">
        <v>19.71</v>
      </c>
      <c r="I407" s="67">
        <v>0</v>
      </c>
      <c r="J407" s="36"/>
      <c r="K407" s="36">
        <v>16</v>
      </c>
      <c r="L407" s="36">
        <f t="shared" si="69"/>
        <v>0</v>
      </c>
      <c r="M407" s="17"/>
      <c r="N407" s="48">
        <v>19.690000000000001</v>
      </c>
      <c r="O407" s="67">
        <v>0</v>
      </c>
      <c r="P407" s="36"/>
      <c r="Q407" s="36">
        <v>16</v>
      </c>
      <c r="R407" s="36">
        <f t="shared" si="68"/>
        <v>0</v>
      </c>
      <c r="S407" s="17"/>
      <c r="T407" s="48">
        <v>19.2</v>
      </c>
      <c r="U407" s="67">
        <v>0</v>
      </c>
      <c r="V407" s="36">
        <v>0</v>
      </c>
      <c r="W407" s="36">
        <v>16</v>
      </c>
      <c r="X407" s="36">
        <f t="shared" si="70"/>
        <v>0</v>
      </c>
      <c r="Y407" s="17"/>
      <c r="Z407" s="220">
        <f>SUM(L407, R407, X407)+SUM(L408, R408, X408)</f>
        <v>0</v>
      </c>
      <c r="AA407" s="220">
        <f>SUM(M407, S407, Y407)+SUM(M408, S408, Y408)</f>
        <v>0</v>
      </c>
      <c r="AB407" s="194">
        <f>IF($Z407=0, ,AA407/$Z407)</f>
        <v>0</v>
      </c>
      <c r="AC407" s="204"/>
    </row>
    <row r="408" spans="1:29" x14ac:dyDescent="0.2">
      <c r="A408" s="228"/>
      <c r="B408" s="217"/>
      <c r="C408" s="219"/>
      <c r="D408" s="10"/>
      <c r="E408" s="10"/>
      <c r="F408" s="10"/>
      <c r="G408" s="219"/>
      <c r="H408" s="48"/>
      <c r="I408" s="67"/>
      <c r="J408" s="36"/>
      <c r="K408" s="36"/>
      <c r="L408" s="36">
        <f t="shared" si="69"/>
        <v>0</v>
      </c>
      <c r="M408" s="17"/>
      <c r="N408" s="48"/>
      <c r="O408" s="67"/>
      <c r="P408" s="36"/>
      <c r="Q408" s="36"/>
      <c r="R408" s="36">
        <f t="shared" si="68"/>
        <v>0</v>
      </c>
      <c r="S408" s="17"/>
      <c r="T408" s="48"/>
      <c r="U408" s="67"/>
      <c r="V408" s="36"/>
      <c r="W408" s="36"/>
      <c r="X408" s="36">
        <f t="shared" si="70"/>
        <v>0</v>
      </c>
      <c r="Y408" s="17"/>
      <c r="Z408" s="221"/>
      <c r="AA408" s="221"/>
      <c r="AB408" s="195"/>
      <c r="AC408" s="205"/>
    </row>
    <row r="409" spans="1:29" x14ac:dyDescent="0.2">
      <c r="A409" s="228"/>
      <c r="B409" s="206" t="s">
        <v>4</v>
      </c>
      <c r="C409" s="208" t="s">
        <v>9</v>
      </c>
      <c r="D409" s="9"/>
      <c r="E409" s="10"/>
      <c r="F409" s="9"/>
      <c r="G409" s="208" t="s">
        <v>1</v>
      </c>
      <c r="H409" s="49">
        <v>20.58</v>
      </c>
      <c r="I409" s="68">
        <v>0</v>
      </c>
      <c r="J409" s="37">
        <v>0</v>
      </c>
      <c r="K409" s="37">
        <v>8</v>
      </c>
      <c r="L409" s="37">
        <f t="shared" si="69"/>
        <v>0</v>
      </c>
      <c r="M409" s="38"/>
      <c r="N409" s="49">
        <v>20.58</v>
      </c>
      <c r="O409" s="68">
        <v>0</v>
      </c>
      <c r="P409" s="37">
        <v>0</v>
      </c>
      <c r="Q409" s="37">
        <v>8</v>
      </c>
      <c r="R409" s="37">
        <f t="shared" si="68"/>
        <v>0</v>
      </c>
      <c r="S409" s="38"/>
      <c r="T409" s="49">
        <v>20.58</v>
      </c>
      <c r="U409" s="68">
        <v>0</v>
      </c>
      <c r="V409" s="37">
        <v>0</v>
      </c>
      <c r="W409" s="37">
        <v>8</v>
      </c>
      <c r="X409" s="37">
        <f t="shared" si="70"/>
        <v>0</v>
      </c>
      <c r="Y409" s="38"/>
      <c r="Z409" s="210">
        <f>SUM(L409, R409, X409)+SUM(L410, R410, X410)</f>
        <v>0</v>
      </c>
      <c r="AA409" s="210">
        <f>SUM(M409, S409, Y409)+SUM(M410, S410, Y410)</f>
        <v>0</v>
      </c>
      <c r="AB409" s="212">
        <f>IF($Z409=0, ,AA409/$Z409)</f>
        <v>0</v>
      </c>
      <c r="AC409" s="214"/>
    </row>
    <row r="410" spans="1:29" x14ac:dyDescent="0.2">
      <c r="A410" s="228"/>
      <c r="B410" s="207"/>
      <c r="C410" s="209"/>
      <c r="D410" s="9"/>
      <c r="E410" s="9"/>
      <c r="F410" s="9"/>
      <c r="G410" s="209"/>
      <c r="H410" s="49"/>
      <c r="I410" s="68"/>
      <c r="J410" s="37"/>
      <c r="K410" s="37"/>
      <c r="L410" s="37">
        <f t="shared" si="69"/>
        <v>0</v>
      </c>
      <c r="M410" s="38"/>
      <c r="N410" s="49"/>
      <c r="O410" s="68"/>
      <c r="P410" s="37"/>
      <c r="Q410" s="37"/>
      <c r="R410" s="37">
        <f t="shared" si="68"/>
        <v>0</v>
      </c>
      <c r="S410" s="38"/>
      <c r="T410" s="49"/>
      <c r="U410" s="68"/>
      <c r="V410" s="37"/>
      <c r="W410" s="37"/>
      <c r="X410" s="37">
        <f t="shared" si="70"/>
        <v>0</v>
      </c>
      <c r="Y410" s="38"/>
      <c r="Z410" s="211"/>
      <c r="AA410" s="211"/>
      <c r="AB410" s="213"/>
      <c r="AC410" s="215"/>
    </row>
    <row r="411" spans="1:29" x14ac:dyDescent="0.2">
      <c r="A411" s="228"/>
      <c r="B411" s="189" t="s">
        <v>85</v>
      </c>
      <c r="C411" s="191" t="s">
        <v>83</v>
      </c>
      <c r="D411" s="11"/>
      <c r="E411" s="10"/>
      <c r="F411" s="11"/>
      <c r="G411" s="191" t="s">
        <v>1</v>
      </c>
      <c r="H411" s="50">
        <v>12.89</v>
      </c>
      <c r="I411" s="69">
        <v>0</v>
      </c>
      <c r="J411" s="39">
        <v>0</v>
      </c>
      <c r="K411" s="39">
        <v>16</v>
      </c>
      <c r="L411" s="39">
        <f t="shared" si="69"/>
        <v>0</v>
      </c>
      <c r="M411" s="40"/>
      <c r="N411" s="50">
        <v>12.89</v>
      </c>
      <c r="O411" s="69">
        <v>0</v>
      </c>
      <c r="P411" s="39">
        <v>0</v>
      </c>
      <c r="Q411" s="39">
        <v>16</v>
      </c>
      <c r="R411" s="39">
        <f>IF(ISBLANK(P411), , P411*Q411)</f>
        <v>0</v>
      </c>
      <c r="S411" s="40"/>
      <c r="T411" s="50">
        <v>23.6</v>
      </c>
      <c r="U411" s="69">
        <v>0</v>
      </c>
      <c r="V411" s="39">
        <v>0</v>
      </c>
      <c r="W411" s="39">
        <v>16</v>
      </c>
      <c r="X411" s="39">
        <f t="shared" si="70"/>
        <v>0</v>
      </c>
      <c r="Y411" s="40"/>
      <c r="Z411" s="193">
        <f>SUM(L411, R411, X411)+SUM(L412, R412, X412)</f>
        <v>0</v>
      </c>
      <c r="AA411" s="193">
        <f>SUM(M411, S411, Y411)+SUM(M412, S412, Y412)</f>
        <v>0</v>
      </c>
      <c r="AB411" s="194">
        <f>IF($Z411=0, ,AA411/$Z411)</f>
        <v>0</v>
      </c>
      <c r="AC411" s="196"/>
    </row>
    <row r="412" spans="1:29" x14ac:dyDescent="0.2">
      <c r="A412" s="228"/>
      <c r="B412" s="190"/>
      <c r="C412" s="192"/>
      <c r="D412" s="11"/>
      <c r="E412" s="11"/>
      <c r="F412" s="11"/>
      <c r="G412" s="192"/>
      <c r="H412" s="50"/>
      <c r="I412" s="69"/>
      <c r="J412" s="39"/>
      <c r="K412" s="39"/>
      <c r="L412" s="39">
        <f t="shared" si="69"/>
        <v>0</v>
      </c>
      <c r="M412" s="40"/>
      <c r="N412" s="50"/>
      <c r="O412" s="69"/>
      <c r="P412" s="39"/>
      <c r="Q412" s="39"/>
      <c r="R412" s="39">
        <f>IF(ISBLANK(P412), , P412*Q412)</f>
        <v>0</v>
      </c>
      <c r="S412" s="40"/>
      <c r="T412" s="50"/>
      <c r="U412" s="69"/>
      <c r="V412" s="39"/>
      <c r="W412" s="39"/>
      <c r="X412" s="39">
        <f t="shared" si="70"/>
        <v>0</v>
      </c>
      <c r="Y412" s="40"/>
      <c r="Z412" s="193"/>
      <c r="AA412" s="193"/>
      <c r="AB412" s="195"/>
      <c r="AC412" s="196"/>
    </row>
    <row r="413" spans="1:29" x14ac:dyDescent="0.2">
      <c r="A413" s="228"/>
      <c r="B413" s="56"/>
      <c r="C413" s="56"/>
      <c r="D413" s="56"/>
      <c r="E413" s="56"/>
      <c r="F413" s="56"/>
      <c r="G413" s="56"/>
      <c r="H413" s="76"/>
      <c r="I413" s="77"/>
      <c r="J413" s="78"/>
      <c r="K413" s="78"/>
      <c r="L413" s="78"/>
      <c r="M413" s="79"/>
      <c r="N413" s="76"/>
      <c r="O413" s="77"/>
      <c r="P413" s="78"/>
      <c r="Q413" s="78"/>
      <c r="R413" s="78"/>
      <c r="S413" s="79"/>
      <c r="T413" s="76"/>
      <c r="U413" s="77"/>
      <c r="V413" s="78"/>
      <c r="W413" s="78"/>
      <c r="X413" s="78"/>
      <c r="Y413" s="79"/>
      <c r="Z413" s="79"/>
      <c r="AA413" s="79"/>
      <c r="AB413" s="80"/>
      <c r="AC413" s="59"/>
    </row>
    <row r="414" spans="1:29" x14ac:dyDescent="0.2">
      <c r="A414" s="228"/>
      <c r="B414" s="197" t="s">
        <v>67</v>
      </c>
      <c r="C414" s="198"/>
      <c r="D414" s="198"/>
      <c r="E414" s="198"/>
      <c r="F414" s="198"/>
      <c r="G414" s="9" t="s">
        <v>68</v>
      </c>
      <c r="H414" s="199" t="s">
        <v>64</v>
      </c>
      <c r="I414" s="199"/>
      <c r="J414" s="199"/>
      <c r="K414" s="199" t="s">
        <v>76</v>
      </c>
      <c r="L414" s="199"/>
      <c r="M414" s="199"/>
      <c r="N414" s="199" t="s">
        <v>65</v>
      </c>
      <c r="O414" s="199"/>
      <c r="P414" s="199"/>
      <c r="Q414" s="199" t="s">
        <v>66</v>
      </c>
      <c r="R414" s="199"/>
      <c r="S414" s="199"/>
      <c r="T414" s="199" t="s">
        <v>73</v>
      </c>
      <c r="U414" s="199"/>
      <c r="V414" s="199"/>
      <c r="W414" s="199" t="s">
        <v>74</v>
      </c>
      <c r="X414" s="199"/>
      <c r="Y414" s="199"/>
      <c r="Z414" s="199" t="s">
        <v>75</v>
      </c>
      <c r="AA414" s="199"/>
      <c r="AB414" s="199"/>
      <c r="AC414" s="200" t="s">
        <v>106</v>
      </c>
    </row>
    <row r="415" spans="1:29" x14ac:dyDescent="0.2">
      <c r="A415" s="228"/>
      <c r="B415" s="197"/>
      <c r="C415" s="198"/>
      <c r="D415" s="198"/>
      <c r="E415" s="198"/>
      <c r="F415" s="198"/>
      <c r="G415" s="9" t="s">
        <v>69</v>
      </c>
      <c r="H415" s="98" t="s">
        <v>70</v>
      </c>
      <c r="I415" s="98" t="s">
        <v>71</v>
      </c>
      <c r="J415" s="99" t="s">
        <v>72</v>
      </c>
      <c r="K415" s="98" t="s">
        <v>70</v>
      </c>
      <c r="L415" s="98" t="s">
        <v>71</v>
      </c>
      <c r="M415" s="99" t="s">
        <v>72</v>
      </c>
      <c r="N415" s="98" t="s">
        <v>70</v>
      </c>
      <c r="O415" s="98" t="s">
        <v>71</v>
      </c>
      <c r="P415" s="99" t="s">
        <v>72</v>
      </c>
      <c r="Q415" s="98" t="s">
        <v>70</v>
      </c>
      <c r="R415" s="98" t="s">
        <v>71</v>
      </c>
      <c r="S415" s="99" t="s">
        <v>72</v>
      </c>
      <c r="T415" s="98" t="s">
        <v>70</v>
      </c>
      <c r="U415" s="98" t="s">
        <v>71</v>
      </c>
      <c r="V415" s="99" t="s">
        <v>72</v>
      </c>
      <c r="W415" s="98" t="s">
        <v>70</v>
      </c>
      <c r="X415" s="98" t="s">
        <v>71</v>
      </c>
      <c r="Y415" s="99" t="s">
        <v>72</v>
      </c>
      <c r="Z415" s="98" t="s">
        <v>70</v>
      </c>
      <c r="AA415" s="98" t="s">
        <v>71</v>
      </c>
      <c r="AB415" s="99" t="s">
        <v>72</v>
      </c>
      <c r="AC415" s="200"/>
    </row>
    <row r="416" spans="1:29" x14ac:dyDescent="0.2">
      <c r="A416" s="228"/>
      <c r="B416" s="201" t="str">
        <f>B403</f>
        <v>02C</v>
      </c>
      <c r="C416" s="202" t="str">
        <f>C403</f>
        <v>DEO-C01</v>
      </c>
      <c r="D416" s="9" t="str">
        <f>IF(ISBLANK(D403), "", D403)</f>
        <v/>
      </c>
      <c r="E416" s="9" t="str">
        <f>IF(ISBLANK(E403), "", E403)</f>
        <v/>
      </c>
      <c r="F416" s="9" t="str">
        <f>IF(ISBLANK(F403), "", F403)</f>
        <v/>
      </c>
      <c r="G416" s="203"/>
      <c r="H416" s="38"/>
      <c r="I416" s="38"/>
      <c r="J416" s="38"/>
      <c r="K416" s="38"/>
      <c r="L416" s="38"/>
      <c r="M416" s="38"/>
      <c r="N416" s="37"/>
      <c r="O416" s="37"/>
      <c r="P416" s="37"/>
      <c r="Q416" s="37"/>
      <c r="R416" s="37"/>
      <c r="S416" s="38"/>
      <c r="T416" s="37"/>
      <c r="U416" s="37"/>
      <c r="V416" s="37"/>
      <c r="W416" s="37"/>
      <c r="X416" s="37"/>
      <c r="Y416" s="38"/>
      <c r="Z416" s="38"/>
      <c r="AA416" s="38"/>
      <c r="AB416" s="112"/>
      <c r="AC416" s="200"/>
    </row>
    <row r="417" spans="1:29" x14ac:dyDescent="0.2">
      <c r="A417" s="228"/>
      <c r="B417" s="201"/>
      <c r="C417" s="202"/>
      <c r="D417" s="9"/>
      <c r="E417" s="9" t="str">
        <f t="shared" ref="E417:F419" si="71">IF(ISBLANK(E404), "", E404)</f>
        <v/>
      </c>
      <c r="F417" s="9" t="str">
        <f t="shared" si="71"/>
        <v/>
      </c>
      <c r="G417" s="203"/>
      <c r="H417" s="37"/>
      <c r="I417" s="37"/>
      <c r="J417" s="37"/>
      <c r="K417" s="37"/>
      <c r="L417" s="37"/>
      <c r="M417" s="38"/>
      <c r="N417" s="37"/>
      <c r="O417" s="37"/>
      <c r="P417" s="37"/>
      <c r="Q417" s="37"/>
      <c r="R417" s="37"/>
      <c r="S417" s="38"/>
      <c r="T417" s="37"/>
      <c r="U417" s="37"/>
      <c r="V417" s="37"/>
      <c r="W417" s="37"/>
      <c r="X417" s="37"/>
      <c r="Y417" s="38"/>
      <c r="Z417" s="38"/>
      <c r="AA417" s="38"/>
      <c r="AB417" s="112"/>
      <c r="AC417" s="200"/>
    </row>
    <row r="418" spans="1:29" x14ac:dyDescent="0.2">
      <c r="A418" s="228"/>
      <c r="B418" s="201" t="str">
        <f>B405</f>
        <v>03C</v>
      </c>
      <c r="C418" s="202" t="str">
        <f>C405</f>
        <v>DEO-B02</v>
      </c>
      <c r="D418" s="9" t="str">
        <f>IF(ISBLANK(D405), "", D405)</f>
        <v/>
      </c>
      <c r="E418" s="9" t="str">
        <f t="shared" si="71"/>
        <v/>
      </c>
      <c r="F418" s="9" t="str">
        <f t="shared" si="71"/>
        <v/>
      </c>
      <c r="G418" s="203"/>
      <c r="H418" s="38"/>
      <c r="I418" s="38"/>
      <c r="J418" s="38"/>
      <c r="K418" s="37"/>
      <c r="L418" s="37"/>
      <c r="M418" s="38"/>
      <c r="N418" s="37"/>
      <c r="O418" s="37"/>
      <c r="P418" s="37"/>
      <c r="Q418" s="37"/>
      <c r="R418" s="37"/>
      <c r="S418" s="38"/>
      <c r="T418" s="37"/>
      <c r="U418" s="37"/>
      <c r="V418" s="37"/>
      <c r="W418" s="37"/>
      <c r="X418" s="37"/>
      <c r="Y418" s="38"/>
      <c r="Z418" s="38"/>
      <c r="AA418" s="38"/>
      <c r="AB418" s="112"/>
      <c r="AC418" s="200"/>
    </row>
    <row r="419" spans="1:29" x14ac:dyDescent="0.2">
      <c r="A419" s="228"/>
      <c r="B419" s="201"/>
      <c r="C419" s="202"/>
      <c r="D419" s="9" t="str">
        <f>IF(ISBLANK(D406), "", D406)</f>
        <v/>
      </c>
      <c r="E419" s="9" t="str">
        <f t="shared" si="71"/>
        <v/>
      </c>
      <c r="F419" s="9" t="str">
        <f t="shared" si="71"/>
        <v/>
      </c>
      <c r="G419" s="203"/>
      <c r="H419" s="37"/>
      <c r="I419" s="37"/>
      <c r="J419" s="37"/>
      <c r="K419" s="37"/>
      <c r="L419" s="37"/>
      <c r="M419" s="38"/>
      <c r="N419" s="37"/>
      <c r="O419" s="37"/>
      <c r="P419" s="37"/>
      <c r="Q419" s="37"/>
      <c r="R419" s="37"/>
      <c r="S419" s="38"/>
      <c r="T419" s="37"/>
      <c r="U419" s="37"/>
      <c r="V419" s="37"/>
      <c r="W419" s="37"/>
      <c r="X419" s="37"/>
      <c r="Y419" s="38"/>
      <c r="Z419" s="38"/>
      <c r="AA419" s="38"/>
      <c r="AB419" s="112"/>
      <c r="AC419" s="200"/>
    </row>
    <row r="421" spans="1:29" x14ac:dyDescent="0.2">
      <c r="A421" s="228">
        <v>44731</v>
      </c>
      <c r="B421" s="19" t="s">
        <v>42</v>
      </c>
      <c r="C421" s="20"/>
      <c r="D421" s="21" t="s">
        <v>43</v>
      </c>
      <c r="E421" s="20">
        <v>0</v>
      </c>
      <c r="F421" s="31"/>
      <c r="G421" s="32"/>
      <c r="H421" s="52"/>
      <c r="I421" s="65"/>
      <c r="J421" s="73"/>
      <c r="K421" s="32"/>
      <c r="L421" s="21"/>
      <c r="M421" s="32"/>
      <c r="N421" s="52"/>
      <c r="O421" s="65"/>
      <c r="P421" s="73"/>
      <c r="Q421" s="32"/>
      <c r="R421" s="21"/>
      <c r="S421" s="32"/>
      <c r="T421" s="52"/>
      <c r="U421" s="65"/>
      <c r="V421" s="73"/>
      <c r="W421" s="32"/>
      <c r="X421" s="21"/>
      <c r="Y421" s="21"/>
      <c r="Z421" s="32"/>
      <c r="AA421" s="21"/>
      <c r="AB421" s="21"/>
      <c r="AC421" s="33"/>
    </row>
    <row r="422" spans="1:29" x14ac:dyDescent="0.2">
      <c r="A422" s="228"/>
      <c r="B422" s="229" t="s">
        <v>10</v>
      </c>
      <c r="C422" s="230" t="s">
        <v>0</v>
      </c>
      <c r="D422" s="230" t="s">
        <v>25</v>
      </c>
      <c r="E422" s="230" t="s">
        <v>11</v>
      </c>
      <c r="F422" s="230" t="s">
        <v>16</v>
      </c>
      <c r="G422" s="237" t="s">
        <v>12</v>
      </c>
      <c r="H422" s="222" t="s">
        <v>13</v>
      </c>
      <c r="I422" s="223"/>
      <c r="J422" s="223"/>
      <c r="K422" s="223"/>
      <c r="L422" s="223"/>
      <c r="M422" s="224"/>
      <c r="N422" s="222" t="s">
        <v>14</v>
      </c>
      <c r="O422" s="223"/>
      <c r="P422" s="223"/>
      <c r="Q422" s="223"/>
      <c r="R422" s="223"/>
      <c r="S422" s="224"/>
      <c r="T422" s="222" t="s">
        <v>15</v>
      </c>
      <c r="U422" s="223"/>
      <c r="V422" s="223"/>
      <c r="W422" s="223"/>
      <c r="X422" s="223"/>
      <c r="Y422" s="224"/>
      <c r="Z422" s="225" t="s">
        <v>37</v>
      </c>
      <c r="AA422" s="225" t="s">
        <v>39</v>
      </c>
      <c r="AB422" s="225" t="s">
        <v>62</v>
      </c>
      <c r="AC422" s="231" t="s">
        <v>26</v>
      </c>
    </row>
    <row r="423" spans="1:29" ht="25.5" x14ac:dyDescent="0.2">
      <c r="A423" s="228"/>
      <c r="B423" s="229"/>
      <c r="C423" s="230"/>
      <c r="D423" s="230"/>
      <c r="E423" s="230"/>
      <c r="F423" s="230"/>
      <c r="G423" s="237"/>
      <c r="H423" s="53" t="s">
        <v>50</v>
      </c>
      <c r="I423" s="66" t="s">
        <v>51</v>
      </c>
      <c r="J423" s="74" t="s">
        <v>63</v>
      </c>
      <c r="K423" s="24" t="s">
        <v>44</v>
      </c>
      <c r="L423" s="18" t="s">
        <v>5</v>
      </c>
      <c r="M423" s="81" t="s">
        <v>31</v>
      </c>
      <c r="N423" s="53" t="s">
        <v>50</v>
      </c>
      <c r="O423" s="66" t="s">
        <v>51</v>
      </c>
      <c r="P423" s="74" t="s">
        <v>63</v>
      </c>
      <c r="Q423" s="24" t="s">
        <v>44</v>
      </c>
      <c r="R423" s="30" t="s">
        <v>5</v>
      </c>
      <c r="S423" s="34" t="s">
        <v>31</v>
      </c>
      <c r="T423" s="53" t="s">
        <v>50</v>
      </c>
      <c r="U423" s="66" t="s">
        <v>51</v>
      </c>
      <c r="V423" s="74" t="s">
        <v>63</v>
      </c>
      <c r="W423" s="24" t="s">
        <v>44</v>
      </c>
      <c r="X423" s="30" t="s">
        <v>5</v>
      </c>
      <c r="Y423" s="34" t="s">
        <v>31</v>
      </c>
      <c r="Z423" s="226"/>
      <c r="AA423" s="227"/>
      <c r="AB423" s="227"/>
      <c r="AC423" s="231"/>
    </row>
    <row r="424" spans="1:29" x14ac:dyDescent="0.2">
      <c r="A424" s="228"/>
      <c r="B424" s="232" t="s">
        <v>2</v>
      </c>
      <c r="C424" s="234" t="s">
        <v>84</v>
      </c>
      <c r="D424" s="12"/>
      <c r="E424" s="10"/>
      <c r="F424" s="12"/>
      <c r="G424" s="234" t="s">
        <v>1</v>
      </c>
      <c r="H424" s="47">
        <v>23.6</v>
      </c>
      <c r="I424" s="63">
        <v>0</v>
      </c>
      <c r="J424" s="35"/>
      <c r="K424" s="35">
        <v>16</v>
      </c>
      <c r="L424" s="35">
        <f>IF(ISBLANK(J424), , J424*K424)</f>
        <v>0</v>
      </c>
      <c r="M424" s="29"/>
      <c r="N424" s="47">
        <v>23.6</v>
      </c>
      <c r="O424" s="63">
        <v>0</v>
      </c>
      <c r="P424" s="35"/>
      <c r="Q424" s="35">
        <v>16</v>
      </c>
      <c r="R424" s="35">
        <f>IF(ISBLANK(P424), , P424*Q424)</f>
        <v>0</v>
      </c>
      <c r="S424" s="29"/>
      <c r="T424" s="47">
        <v>23.6</v>
      </c>
      <c r="U424" s="63">
        <v>0</v>
      </c>
      <c r="V424" s="35"/>
      <c r="W424" s="35">
        <v>16</v>
      </c>
      <c r="X424" s="35">
        <f>IF(ISBLANK(V424), , V424*W424)</f>
        <v>0</v>
      </c>
      <c r="Y424" s="29"/>
      <c r="Z424" s="210">
        <f>SUM(L424, R424, X424)+SUM(L425, R425, X425)</f>
        <v>0</v>
      </c>
      <c r="AA424" s="210">
        <f>SUM(M424, S424, Y424)+SUM(M425, S425, Y425)</f>
        <v>0</v>
      </c>
      <c r="AB424" s="212">
        <f>IF($Z424=0, ,AA424/$Z424)</f>
        <v>0</v>
      </c>
      <c r="AC424" s="214"/>
    </row>
    <row r="425" spans="1:29" x14ac:dyDescent="0.2">
      <c r="A425" s="228"/>
      <c r="B425" s="233"/>
      <c r="C425" s="235"/>
      <c r="D425" s="12"/>
      <c r="E425" s="12"/>
      <c r="F425" s="12"/>
      <c r="G425" s="236"/>
      <c r="H425" s="47"/>
      <c r="I425" s="63"/>
      <c r="J425" s="35"/>
      <c r="K425" s="35"/>
      <c r="L425" s="35">
        <f>IF(ISBLANK(J425), , J425*K425)</f>
        <v>0</v>
      </c>
      <c r="M425" s="29"/>
      <c r="N425" s="47"/>
      <c r="O425" s="63"/>
      <c r="P425" s="35"/>
      <c r="Q425" s="35"/>
      <c r="R425" s="35">
        <f>IF(ISBLANK(P425), , P425*Q425)</f>
        <v>0</v>
      </c>
      <c r="S425" s="29"/>
      <c r="T425" s="47"/>
      <c r="U425" s="63"/>
      <c r="V425" s="35"/>
      <c r="W425" s="35"/>
      <c r="X425" s="35">
        <f>IF(ISBLANK(V425), , V425*W425)</f>
        <v>0</v>
      </c>
      <c r="Y425" s="29"/>
      <c r="Z425" s="211"/>
      <c r="AA425" s="211"/>
      <c r="AB425" s="213"/>
      <c r="AC425" s="215"/>
    </row>
    <row r="426" spans="1:29" x14ac:dyDescent="0.2">
      <c r="A426" s="228"/>
      <c r="B426" s="216" t="s">
        <v>6</v>
      </c>
      <c r="C426" s="218" t="s">
        <v>8</v>
      </c>
      <c r="D426" s="10"/>
      <c r="E426" s="10"/>
      <c r="F426" s="10"/>
      <c r="G426" s="218" t="s">
        <v>1</v>
      </c>
      <c r="H426" s="48">
        <v>19.57</v>
      </c>
      <c r="I426" s="67">
        <v>0</v>
      </c>
      <c r="J426" s="39"/>
      <c r="K426" s="39">
        <v>8</v>
      </c>
      <c r="L426" s="39">
        <f>IF(ISBLANK(J426), , J426*K426)</f>
        <v>0</v>
      </c>
      <c r="M426" s="40">
        <f>H439+K439+N439+Q439+T439+W439+Z439</f>
        <v>0</v>
      </c>
      <c r="N426" s="48">
        <v>19.57</v>
      </c>
      <c r="O426" s="67">
        <v>0</v>
      </c>
      <c r="P426" s="39"/>
      <c r="Q426" s="39">
        <v>8</v>
      </c>
      <c r="R426" s="39">
        <f>IF(ISBLANK(P426), , P426*Q426)</f>
        <v>0</v>
      </c>
      <c r="S426" s="40">
        <f>I439+L439+O439+R439+U439+X439+AA439</f>
        <v>0</v>
      </c>
      <c r="T426" s="48">
        <v>19.57</v>
      </c>
      <c r="U426" s="67">
        <v>0</v>
      </c>
      <c r="V426" s="39"/>
      <c r="W426" s="39">
        <v>8</v>
      </c>
      <c r="X426" s="39">
        <f>IF(ISBLANK(V426), , V426*W426)</f>
        <v>0</v>
      </c>
      <c r="Y426" s="40">
        <f>J439+M439+P439+S439+V439+Y439+AB439</f>
        <v>0</v>
      </c>
      <c r="Z426" s="238">
        <f>SUM(L426, R426, X426)+SUM(L427, R427, X427)</f>
        <v>0</v>
      </c>
      <c r="AA426" s="220">
        <f>SUM(M426, S426, Y426)+SUM(M427, S427, Y427)</f>
        <v>0</v>
      </c>
      <c r="AB426" s="194">
        <f>IF($Z426=0, ,AA426/$Z426)</f>
        <v>0</v>
      </c>
      <c r="AC426" s="204"/>
    </row>
    <row r="427" spans="1:29" x14ac:dyDescent="0.2">
      <c r="A427" s="228"/>
      <c r="B427" s="217"/>
      <c r="C427" s="219"/>
      <c r="D427" s="10"/>
      <c r="E427" s="10"/>
      <c r="F427" s="10"/>
      <c r="G427" s="219"/>
      <c r="H427" s="48"/>
      <c r="I427" s="67"/>
      <c r="J427" s="39"/>
      <c r="K427" s="39"/>
      <c r="L427" s="39">
        <f>IF(ISBLANK(J427), , J427*K427)</f>
        <v>0</v>
      </c>
      <c r="M427" s="40">
        <f>H440+K440+N440+Q440+T440+W440+Z440</f>
        <v>0</v>
      </c>
      <c r="N427" s="48"/>
      <c r="O427" s="67"/>
      <c r="P427" s="39"/>
      <c r="Q427" s="39"/>
      <c r="R427" s="39">
        <f t="shared" ref="R427:R433" si="72">IF(ISBLANK(P427), , P427*Q427)</f>
        <v>0</v>
      </c>
      <c r="S427" s="40">
        <f>I440+L440+O440+R440+U440+X440+AA440</f>
        <v>0</v>
      </c>
      <c r="T427" s="48"/>
      <c r="U427" s="67"/>
      <c r="V427" s="39"/>
      <c r="W427" s="39"/>
      <c r="X427" s="39">
        <f>IF(ISBLANK(V427), , V427*W427)</f>
        <v>0</v>
      </c>
      <c r="Y427" s="40">
        <f>J440+M440+P440+S440+V440+Y440+AB440</f>
        <v>0</v>
      </c>
      <c r="Z427" s="239"/>
      <c r="AA427" s="221"/>
      <c r="AB427" s="195"/>
      <c r="AC427" s="205"/>
    </row>
    <row r="428" spans="1:29" x14ac:dyDescent="0.2">
      <c r="A428" s="228"/>
      <c r="B428" s="206" t="s">
        <v>7</v>
      </c>
      <c r="C428" s="208" t="s">
        <v>81</v>
      </c>
      <c r="D428" s="9"/>
      <c r="E428" s="9"/>
      <c r="F428" s="9"/>
      <c r="G428" s="208" t="s">
        <v>1</v>
      </c>
      <c r="H428" s="49">
        <v>20.5</v>
      </c>
      <c r="I428" s="68">
        <v>0</v>
      </c>
      <c r="J428" s="37"/>
      <c r="K428" s="37">
        <v>8</v>
      </c>
      <c r="L428" s="37">
        <f>IF(ISBLANK(J428), , J428*K428)</f>
        <v>0</v>
      </c>
      <c r="M428" s="38">
        <f>H441+K441+N441+Q441+T441+W441+Z441</f>
        <v>0</v>
      </c>
      <c r="N428" s="49">
        <v>21.95</v>
      </c>
      <c r="O428" s="68">
        <v>0</v>
      </c>
      <c r="P428" s="37"/>
      <c r="Q428" s="37">
        <v>8</v>
      </c>
      <c r="R428" s="37">
        <f t="shared" si="72"/>
        <v>0</v>
      </c>
      <c r="S428" s="38">
        <f>I441+L441+O441+R441+U441+X441+AA441</f>
        <v>0</v>
      </c>
      <c r="T428" s="49">
        <v>22</v>
      </c>
      <c r="U428" s="68">
        <v>0</v>
      </c>
      <c r="V428" s="37"/>
      <c r="W428" s="37">
        <v>8</v>
      </c>
      <c r="X428" s="37">
        <f>IF(ISBLANK(V428), , V428*W428)</f>
        <v>0</v>
      </c>
      <c r="Y428" s="38">
        <f>J441+M441+P441+S441+V441+Y441+AB441</f>
        <v>0</v>
      </c>
      <c r="Z428" s="210">
        <f>SUM(L428, R428, X428)+SUM(L429, R429, X429)</f>
        <v>0</v>
      </c>
      <c r="AA428" s="210">
        <f>SUM(M428, S428, Y428)+SUM(M429, S429, Y429)</f>
        <v>0</v>
      </c>
      <c r="AB428" s="212">
        <f>IF($Z428=0, ,AA428/$Z428)</f>
        <v>0</v>
      </c>
      <c r="AC428" s="214"/>
    </row>
    <row r="429" spans="1:29" x14ac:dyDescent="0.2">
      <c r="A429" s="228"/>
      <c r="B429" s="207"/>
      <c r="C429" s="209"/>
      <c r="D429" s="9"/>
      <c r="E429" s="9"/>
      <c r="F429" s="9"/>
      <c r="G429" s="209"/>
      <c r="H429" s="49"/>
      <c r="I429" s="68"/>
      <c r="J429" s="37"/>
      <c r="K429" s="37"/>
      <c r="L429" s="37">
        <f t="shared" ref="L429:L435" si="73">IF(ISBLANK(J429), , J429*K429)</f>
        <v>0</v>
      </c>
      <c r="M429" s="38">
        <f>H442+K442+N442+Q442+T442+W442+Z442</f>
        <v>0</v>
      </c>
      <c r="N429" s="49"/>
      <c r="O429" s="68"/>
      <c r="P429" s="37"/>
      <c r="Q429" s="37"/>
      <c r="R429" s="37">
        <f t="shared" si="72"/>
        <v>0</v>
      </c>
      <c r="S429" s="38">
        <f>I442+L442+O442+R442+U442+X442+AA442</f>
        <v>0</v>
      </c>
      <c r="T429" s="49"/>
      <c r="U429" s="68"/>
      <c r="V429" s="37"/>
      <c r="W429" s="37"/>
      <c r="X429" s="37">
        <f t="shared" ref="X429:X435" si="74">IF(ISBLANK(V429), , V429*W429)</f>
        <v>0</v>
      </c>
      <c r="Y429" s="38">
        <f>J442+M442+P442+S442+V442+Y442+AB442</f>
        <v>0</v>
      </c>
      <c r="Z429" s="211"/>
      <c r="AA429" s="211"/>
      <c r="AB429" s="213"/>
      <c r="AC429" s="215"/>
    </row>
    <row r="430" spans="1:29" x14ac:dyDescent="0.2">
      <c r="A430" s="228"/>
      <c r="B430" s="216" t="s">
        <v>3</v>
      </c>
      <c r="C430" s="218" t="s">
        <v>82</v>
      </c>
      <c r="D430" s="10"/>
      <c r="E430" s="10"/>
      <c r="F430" s="10"/>
      <c r="G430" s="218" t="s">
        <v>1</v>
      </c>
      <c r="H430" s="48">
        <v>19.71</v>
      </c>
      <c r="I430" s="67">
        <v>0</v>
      </c>
      <c r="J430" s="36"/>
      <c r="K430" s="36">
        <v>16</v>
      </c>
      <c r="L430" s="36">
        <f t="shared" si="73"/>
        <v>0</v>
      </c>
      <c r="M430" s="17"/>
      <c r="N430" s="48">
        <v>19.690000000000001</v>
      </c>
      <c r="O430" s="67">
        <v>0</v>
      </c>
      <c r="P430" s="36"/>
      <c r="Q430" s="36">
        <v>16</v>
      </c>
      <c r="R430" s="36">
        <f t="shared" si="72"/>
        <v>0</v>
      </c>
      <c r="S430" s="17"/>
      <c r="T430" s="48">
        <v>19.2</v>
      </c>
      <c r="U430" s="67">
        <v>0</v>
      </c>
      <c r="V430" s="36">
        <v>0</v>
      </c>
      <c r="W430" s="36">
        <v>16</v>
      </c>
      <c r="X430" s="36">
        <f t="shared" si="74"/>
        <v>0</v>
      </c>
      <c r="Y430" s="17"/>
      <c r="Z430" s="220">
        <f>SUM(L430, R430, X430)+SUM(L431, R431, X431)</f>
        <v>0</v>
      </c>
      <c r="AA430" s="220">
        <f>SUM(M430, S430, Y430)+SUM(M431, S431, Y431)</f>
        <v>0</v>
      </c>
      <c r="AB430" s="194">
        <f>IF($Z430=0, ,AA430/$Z430)</f>
        <v>0</v>
      </c>
      <c r="AC430" s="204"/>
    </row>
    <row r="431" spans="1:29" x14ac:dyDescent="0.2">
      <c r="A431" s="228"/>
      <c r="B431" s="217"/>
      <c r="C431" s="219"/>
      <c r="D431" s="10"/>
      <c r="E431" s="10"/>
      <c r="F431" s="10"/>
      <c r="G431" s="219"/>
      <c r="H431" s="48"/>
      <c r="I431" s="67"/>
      <c r="J431" s="36"/>
      <c r="K431" s="36"/>
      <c r="L431" s="36">
        <f t="shared" si="73"/>
        <v>0</v>
      </c>
      <c r="M431" s="17"/>
      <c r="N431" s="48"/>
      <c r="O431" s="67"/>
      <c r="P431" s="36"/>
      <c r="Q431" s="36"/>
      <c r="R431" s="36">
        <f t="shared" si="72"/>
        <v>0</v>
      </c>
      <c r="S431" s="17"/>
      <c r="T431" s="48"/>
      <c r="U431" s="67"/>
      <c r="V431" s="36"/>
      <c r="W431" s="36"/>
      <c r="X431" s="36">
        <f t="shared" si="74"/>
        <v>0</v>
      </c>
      <c r="Y431" s="17"/>
      <c r="Z431" s="221"/>
      <c r="AA431" s="221"/>
      <c r="AB431" s="195"/>
      <c r="AC431" s="205"/>
    </row>
    <row r="432" spans="1:29" x14ac:dyDescent="0.2">
      <c r="A432" s="228"/>
      <c r="B432" s="206" t="s">
        <v>4</v>
      </c>
      <c r="C432" s="208" t="s">
        <v>9</v>
      </c>
      <c r="D432" s="9"/>
      <c r="E432" s="10"/>
      <c r="F432" s="9"/>
      <c r="G432" s="208" t="s">
        <v>1</v>
      </c>
      <c r="H432" s="49">
        <v>20.58</v>
      </c>
      <c r="I432" s="68">
        <v>0</v>
      </c>
      <c r="J432" s="37">
        <v>0</v>
      </c>
      <c r="K432" s="37">
        <v>8</v>
      </c>
      <c r="L432" s="37">
        <f t="shared" si="73"/>
        <v>0</v>
      </c>
      <c r="M432" s="38"/>
      <c r="N432" s="49">
        <v>20.58</v>
      </c>
      <c r="O432" s="68">
        <v>0</v>
      </c>
      <c r="P432" s="37">
        <v>0</v>
      </c>
      <c r="Q432" s="37">
        <v>8</v>
      </c>
      <c r="R432" s="37">
        <f t="shared" si="72"/>
        <v>0</v>
      </c>
      <c r="S432" s="38"/>
      <c r="T432" s="49">
        <v>20.58</v>
      </c>
      <c r="U432" s="68">
        <v>0</v>
      </c>
      <c r="V432" s="37">
        <v>0</v>
      </c>
      <c r="W432" s="37">
        <v>8</v>
      </c>
      <c r="X432" s="37">
        <f t="shared" si="74"/>
        <v>0</v>
      </c>
      <c r="Y432" s="38"/>
      <c r="Z432" s="210">
        <f>SUM(L432, R432, X432)+SUM(L433, R433, X433)</f>
        <v>0</v>
      </c>
      <c r="AA432" s="210">
        <f>SUM(M432, S432, Y432)+SUM(M433, S433, Y433)</f>
        <v>0</v>
      </c>
      <c r="AB432" s="212">
        <f>IF($Z432=0, ,AA432/$Z432)</f>
        <v>0</v>
      </c>
      <c r="AC432" s="214"/>
    </row>
    <row r="433" spans="1:29" x14ac:dyDescent="0.2">
      <c r="A433" s="228"/>
      <c r="B433" s="207"/>
      <c r="C433" s="209"/>
      <c r="D433" s="9"/>
      <c r="E433" s="9"/>
      <c r="F433" s="9"/>
      <c r="G433" s="209"/>
      <c r="H433" s="49"/>
      <c r="I433" s="68"/>
      <c r="J433" s="37"/>
      <c r="K433" s="37"/>
      <c r="L433" s="37">
        <f t="shared" si="73"/>
        <v>0</v>
      </c>
      <c r="M433" s="38"/>
      <c r="N433" s="49"/>
      <c r="O433" s="68"/>
      <c r="P433" s="37"/>
      <c r="Q433" s="37"/>
      <c r="R433" s="37">
        <f t="shared" si="72"/>
        <v>0</v>
      </c>
      <c r="S433" s="38"/>
      <c r="T433" s="49"/>
      <c r="U433" s="68"/>
      <c r="V433" s="37"/>
      <c r="W433" s="37"/>
      <c r="X433" s="37">
        <f t="shared" si="74"/>
        <v>0</v>
      </c>
      <c r="Y433" s="38"/>
      <c r="Z433" s="211"/>
      <c r="AA433" s="211"/>
      <c r="AB433" s="213"/>
      <c r="AC433" s="215"/>
    </row>
    <row r="434" spans="1:29" x14ac:dyDescent="0.2">
      <c r="A434" s="228"/>
      <c r="B434" s="189" t="s">
        <v>85</v>
      </c>
      <c r="C434" s="191" t="s">
        <v>83</v>
      </c>
      <c r="D434" s="11"/>
      <c r="E434" s="10"/>
      <c r="F434" s="11"/>
      <c r="G434" s="191" t="s">
        <v>1</v>
      </c>
      <c r="H434" s="50">
        <v>12.89</v>
      </c>
      <c r="I434" s="69">
        <v>0</v>
      </c>
      <c r="J434" s="39">
        <v>0</v>
      </c>
      <c r="K434" s="39">
        <v>16</v>
      </c>
      <c r="L434" s="39">
        <f t="shared" si="73"/>
        <v>0</v>
      </c>
      <c r="M434" s="40"/>
      <c r="N434" s="50">
        <v>12.89</v>
      </c>
      <c r="O434" s="69">
        <v>0</v>
      </c>
      <c r="P434" s="39">
        <v>0</v>
      </c>
      <c r="Q434" s="39">
        <v>16</v>
      </c>
      <c r="R434" s="39">
        <f>IF(ISBLANK(P434), , P434*Q434)</f>
        <v>0</v>
      </c>
      <c r="S434" s="40"/>
      <c r="T434" s="50">
        <v>23.6</v>
      </c>
      <c r="U434" s="69">
        <v>0</v>
      </c>
      <c r="V434" s="39">
        <v>0</v>
      </c>
      <c r="W434" s="39">
        <v>16</v>
      </c>
      <c r="X434" s="39">
        <f t="shared" si="74"/>
        <v>0</v>
      </c>
      <c r="Y434" s="40"/>
      <c r="Z434" s="193">
        <f>SUM(L434, R434, X434)+SUM(L435, R435, X435)</f>
        <v>0</v>
      </c>
      <c r="AA434" s="193">
        <f>SUM(M434, S434, Y434)+SUM(M435, S435, Y435)</f>
        <v>0</v>
      </c>
      <c r="AB434" s="194">
        <f>IF($Z434=0, ,AA434/$Z434)</f>
        <v>0</v>
      </c>
      <c r="AC434" s="196"/>
    </row>
    <row r="435" spans="1:29" x14ac:dyDescent="0.2">
      <c r="A435" s="228"/>
      <c r="B435" s="190"/>
      <c r="C435" s="192"/>
      <c r="D435" s="11"/>
      <c r="E435" s="11"/>
      <c r="F435" s="11"/>
      <c r="G435" s="192"/>
      <c r="H435" s="50"/>
      <c r="I435" s="69"/>
      <c r="J435" s="39"/>
      <c r="K435" s="39"/>
      <c r="L435" s="39">
        <f t="shared" si="73"/>
        <v>0</v>
      </c>
      <c r="M435" s="40"/>
      <c r="N435" s="50"/>
      <c r="O435" s="69"/>
      <c r="P435" s="39"/>
      <c r="Q435" s="39"/>
      <c r="R435" s="39">
        <f>IF(ISBLANK(P435), , P435*Q435)</f>
        <v>0</v>
      </c>
      <c r="S435" s="40"/>
      <c r="T435" s="50"/>
      <c r="U435" s="69"/>
      <c r="V435" s="39"/>
      <c r="W435" s="39"/>
      <c r="X435" s="39">
        <f t="shared" si="74"/>
        <v>0</v>
      </c>
      <c r="Y435" s="40"/>
      <c r="Z435" s="193"/>
      <c r="AA435" s="193"/>
      <c r="AB435" s="195"/>
      <c r="AC435" s="196"/>
    </row>
    <row r="436" spans="1:29" x14ac:dyDescent="0.2">
      <c r="A436" s="228"/>
      <c r="B436" s="56"/>
      <c r="C436" s="56"/>
      <c r="D436" s="56"/>
      <c r="E436" s="56"/>
      <c r="F436" s="56"/>
      <c r="G436" s="56"/>
      <c r="H436" s="76"/>
      <c r="I436" s="77"/>
      <c r="J436" s="78"/>
      <c r="K436" s="78"/>
      <c r="L436" s="78"/>
      <c r="M436" s="79"/>
      <c r="N436" s="76"/>
      <c r="O436" s="77"/>
      <c r="P436" s="78"/>
      <c r="Q436" s="78"/>
      <c r="R436" s="78"/>
      <c r="S436" s="79"/>
      <c r="T436" s="76"/>
      <c r="U436" s="77"/>
      <c r="V436" s="78"/>
      <c r="W436" s="78"/>
      <c r="X436" s="78"/>
      <c r="Y436" s="79"/>
      <c r="Z436" s="79"/>
      <c r="AA436" s="79"/>
      <c r="AB436" s="80"/>
      <c r="AC436" s="59"/>
    </row>
    <row r="437" spans="1:29" x14ac:dyDescent="0.2">
      <c r="A437" s="228"/>
      <c r="B437" s="197" t="s">
        <v>67</v>
      </c>
      <c r="C437" s="198"/>
      <c r="D437" s="198"/>
      <c r="E437" s="198"/>
      <c r="F437" s="198"/>
      <c r="G437" s="9" t="s">
        <v>68</v>
      </c>
      <c r="H437" s="199" t="s">
        <v>64</v>
      </c>
      <c r="I437" s="199"/>
      <c r="J437" s="199"/>
      <c r="K437" s="199" t="s">
        <v>76</v>
      </c>
      <c r="L437" s="199"/>
      <c r="M437" s="199"/>
      <c r="N437" s="199" t="s">
        <v>65</v>
      </c>
      <c r="O437" s="199"/>
      <c r="P437" s="199"/>
      <c r="Q437" s="199" t="s">
        <v>66</v>
      </c>
      <c r="R437" s="199"/>
      <c r="S437" s="199"/>
      <c r="T437" s="199" t="s">
        <v>73</v>
      </c>
      <c r="U437" s="199"/>
      <c r="V437" s="199"/>
      <c r="W437" s="199" t="s">
        <v>74</v>
      </c>
      <c r="X437" s="199"/>
      <c r="Y437" s="199"/>
      <c r="Z437" s="199" t="s">
        <v>75</v>
      </c>
      <c r="AA437" s="199"/>
      <c r="AB437" s="199"/>
      <c r="AC437" s="200" t="s">
        <v>106</v>
      </c>
    </row>
    <row r="438" spans="1:29" x14ac:dyDescent="0.2">
      <c r="A438" s="228"/>
      <c r="B438" s="197"/>
      <c r="C438" s="198"/>
      <c r="D438" s="198"/>
      <c r="E438" s="198"/>
      <c r="F438" s="198"/>
      <c r="G438" s="9" t="s">
        <v>69</v>
      </c>
      <c r="H438" s="98" t="s">
        <v>70</v>
      </c>
      <c r="I438" s="98" t="s">
        <v>71</v>
      </c>
      <c r="J438" s="99" t="s">
        <v>72</v>
      </c>
      <c r="K438" s="98" t="s">
        <v>70</v>
      </c>
      <c r="L438" s="98" t="s">
        <v>71</v>
      </c>
      <c r="M438" s="99" t="s">
        <v>72</v>
      </c>
      <c r="N438" s="98" t="s">
        <v>70</v>
      </c>
      <c r="O438" s="98" t="s">
        <v>71</v>
      </c>
      <c r="P438" s="99" t="s">
        <v>72</v>
      </c>
      <c r="Q438" s="98" t="s">
        <v>70</v>
      </c>
      <c r="R438" s="98" t="s">
        <v>71</v>
      </c>
      <c r="S438" s="99" t="s">
        <v>72</v>
      </c>
      <c r="T438" s="98" t="s">
        <v>70</v>
      </c>
      <c r="U438" s="98" t="s">
        <v>71</v>
      </c>
      <c r="V438" s="99" t="s">
        <v>72</v>
      </c>
      <c r="W438" s="98" t="s">
        <v>70</v>
      </c>
      <c r="X438" s="98" t="s">
        <v>71</v>
      </c>
      <c r="Y438" s="99" t="s">
        <v>72</v>
      </c>
      <c r="Z438" s="98" t="s">
        <v>70</v>
      </c>
      <c r="AA438" s="98" t="s">
        <v>71</v>
      </c>
      <c r="AB438" s="99" t="s">
        <v>72</v>
      </c>
      <c r="AC438" s="200"/>
    </row>
    <row r="439" spans="1:29" x14ac:dyDescent="0.2">
      <c r="A439" s="228"/>
      <c r="B439" s="201" t="str">
        <f>B426</f>
        <v>02C</v>
      </c>
      <c r="C439" s="202" t="str">
        <f>C426</f>
        <v>DEO-C01</v>
      </c>
      <c r="D439" s="9" t="str">
        <f>IF(ISBLANK(D426), "", D426)</f>
        <v/>
      </c>
      <c r="E439" s="9" t="str">
        <f>IF(ISBLANK(E426), "", E426)</f>
        <v/>
      </c>
      <c r="F439" s="9" t="str">
        <f>IF(ISBLANK(F426), "", F426)</f>
        <v/>
      </c>
      <c r="G439" s="203"/>
      <c r="H439" s="38"/>
      <c r="I439" s="38"/>
      <c r="J439" s="38"/>
      <c r="K439" s="38"/>
      <c r="L439" s="38"/>
      <c r="M439" s="38"/>
      <c r="N439" s="37"/>
      <c r="O439" s="37"/>
      <c r="P439" s="37"/>
      <c r="Q439" s="37"/>
      <c r="R439" s="37"/>
      <c r="S439" s="38"/>
      <c r="T439" s="37"/>
      <c r="U439" s="37"/>
      <c r="V439" s="37"/>
      <c r="W439" s="37"/>
      <c r="X439" s="37"/>
      <c r="Y439" s="38"/>
      <c r="Z439" s="38"/>
      <c r="AA439" s="38"/>
      <c r="AB439" s="112"/>
      <c r="AC439" s="200"/>
    </row>
    <row r="440" spans="1:29" x14ac:dyDescent="0.2">
      <c r="A440" s="228"/>
      <c r="B440" s="201"/>
      <c r="C440" s="202"/>
      <c r="D440" s="9"/>
      <c r="E440" s="9" t="str">
        <f t="shared" ref="E440:F442" si="75">IF(ISBLANK(E427), "", E427)</f>
        <v/>
      </c>
      <c r="F440" s="9" t="str">
        <f t="shared" si="75"/>
        <v/>
      </c>
      <c r="G440" s="203"/>
      <c r="H440" s="37"/>
      <c r="I440" s="37"/>
      <c r="J440" s="37"/>
      <c r="K440" s="37"/>
      <c r="L440" s="37"/>
      <c r="M440" s="38"/>
      <c r="N440" s="37"/>
      <c r="O440" s="37"/>
      <c r="P440" s="37"/>
      <c r="Q440" s="37"/>
      <c r="R440" s="37"/>
      <c r="S440" s="38"/>
      <c r="T440" s="37"/>
      <c r="U440" s="37"/>
      <c r="V440" s="37"/>
      <c r="W440" s="37"/>
      <c r="X440" s="37"/>
      <c r="Y440" s="38"/>
      <c r="Z440" s="38"/>
      <c r="AA440" s="38"/>
      <c r="AB440" s="112"/>
      <c r="AC440" s="200"/>
    </row>
    <row r="441" spans="1:29" x14ac:dyDescent="0.2">
      <c r="A441" s="228"/>
      <c r="B441" s="201" t="str">
        <f>B428</f>
        <v>03C</v>
      </c>
      <c r="C441" s="202" t="str">
        <f>C428</f>
        <v>DEO-B02</v>
      </c>
      <c r="D441" s="9" t="str">
        <f>IF(ISBLANK(D428), "", D428)</f>
        <v/>
      </c>
      <c r="E441" s="9" t="str">
        <f t="shared" si="75"/>
        <v/>
      </c>
      <c r="F441" s="9" t="str">
        <f t="shared" si="75"/>
        <v/>
      </c>
      <c r="G441" s="203"/>
      <c r="H441" s="38"/>
      <c r="I441" s="38"/>
      <c r="J441" s="38"/>
      <c r="K441" s="37"/>
      <c r="L441" s="37"/>
      <c r="M441" s="38"/>
      <c r="N441" s="37"/>
      <c r="O441" s="37"/>
      <c r="P441" s="37"/>
      <c r="Q441" s="37"/>
      <c r="R441" s="37"/>
      <c r="S441" s="38"/>
      <c r="T441" s="37"/>
      <c r="U441" s="37"/>
      <c r="V441" s="37"/>
      <c r="W441" s="37"/>
      <c r="X441" s="37"/>
      <c r="Y441" s="38"/>
      <c r="Z441" s="38"/>
      <c r="AA441" s="38"/>
      <c r="AB441" s="112"/>
      <c r="AC441" s="200"/>
    </row>
    <row r="442" spans="1:29" x14ac:dyDescent="0.2">
      <c r="A442" s="228"/>
      <c r="B442" s="201"/>
      <c r="C442" s="202"/>
      <c r="D442" s="9" t="str">
        <f>IF(ISBLANK(D429), "", D429)</f>
        <v/>
      </c>
      <c r="E442" s="9" t="str">
        <f t="shared" si="75"/>
        <v/>
      </c>
      <c r="F442" s="9" t="str">
        <f t="shared" si="75"/>
        <v/>
      </c>
      <c r="G442" s="203"/>
      <c r="H442" s="37"/>
      <c r="I442" s="37"/>
      <c r="J442" s="37"/>
      <c r="K442" s="37"/>
      <c r="L442" s="37"/>
      <c r="M442" s="38"/>
      <c r="N442" s="37"/>
      <c r="O442" s="37"/>
      <c r="P442" s="37"/>
      <c r="Q442" s="37"/>
      <c r="R442" s="37"/>
      <c r="S442" s="38"/>
      <c r="T442" s="37"/>
      <c r="U442" s="37"/>
      <c r="V442" s="37"/>
      <c r="W442" s="37"/>
      <c r="X442" s="37"/>
      <c r="Y442" s="38"/>
      <c r="Z442" s="38"/>
      <c r="AA442" s="38"/>
      <c r="AB442" s="112"/>
      <c r="AC442" s="200"/>
    </row>
    <row r="444" spans="1:29" x14ac:dyDescent="0.2">
      <c r="A444" s="228">
        <v>44732</v>
      </c>
      <c r="B444" s="19" t="s">
        <v>42</v>
      </c>
      <c r="C444" s="20"/>
      <c r="D444" s="21" t="s">
        <v>43</v>
      </c>
      <c r="E444" s="20">
        <v>0</v>
      </c>
      <c r="F444" s="31"/>
      <c r="G444" s="32"/>
      <c r="H444" s="52"/>
      <c r="I444" s="65"/>
      <c r="J444" s="73"/>
      <c r="K444" s="32"/>
      <c r="L444" s="21"/>
      <c r="M444" s="32"/>
      <c r="N444" s="52"/>
      <c r="O444" s="65"/>
      <c r="P444" s="73"/>
      <c r="Q444" s="32"/>
      <c r="R444" s="21"/>
      <c r="S444" s="32"/>
      <c r="T444" s="52"/>
      <c r="U444" s="65"/>
      <c r="V444" s="73"/>
      <c r="W444" s="32"/>
      <c r="X444" s="21"/>
      <c r="Y444" s="21"/>
      <c r="Z444" s="32"/>
      <c r="AA444" s="21"/>
      <c r="AB444" s="21"/>
      <c r="AC444" s="33"/>
    </row>
    <row r="445" spans="1:29" x14ac:dyDescent="0.2">
      <c r="A445" s="228"/>
      <c r="B445" s="229" t="s">
        <v>10</v>
      </c>
      <c r="C445" s="230" t="s">
        <v>0</v>
      </c>
      <c r="D445" s="230" t="s">
        <v>25</v>
      </c>
      <c r="E445" s="230" t="s">
        <v>11</v>
      </c>
      <c r="F445" s="230" t="s">
        <v>16</v>
      </c>
      <c r="G445" s="237" t="s">
        <v>12</v>
      </c>
      <c r="H445" s="222" t="s">
        <v>13</v>
      </c>
      <c r="I445" s="223"/>
      <c r="J445" s="223"/>
      <c r="K445" s="223"/>
      <c r="L445" s="223"/>
      <c r="M445" s="224"/>
      <c r="N445" s="222" t="s">
        <v>14</v>
      </c>
      <c r="O445" s="223"/>
      <c r="P445" s="223"/>
      <c r="Q445" s="223"/>
      <c r="R445" s="223"/>
      <c r="S445" s="224"/>
      <c r="T445" s="222" t="s">
        <v>15</v>
      </c>
      <c r="U445" s="223"/>
      <c r="V445" s="223"/>
      <c r="W445" s="223"/>
      <c r="X445" s="223"/>
      <c r="Y445" s="224"/>
      <c r="Z445" s="225" t="s">
        <v>37</v>
      </c>
      <c r="AA445" s="225" t="s">
        <v>39</v>
      </c>
      <c r="AB445" s="225" t="s">
        <v>62</v>
      </c>
      <c r="AC445" s="231" t="s">
        <v>26</v>
      </c>
    </row>
    <row r="446" spans="1:29" ht="25.5" x14ac:dyDescent="0.2">
      <c r="A446" s="228"/>
      <c r="B446" s="229"/>
      <c r="C446" s="230"/>
      <c r="D446" s="230"/>
      <c r="E446" s="230"/>
      <c r="F446" s="230"/>
      <c r="G446" s="237"/>
      <c r="H446" s="53" t="s">
        <v>50</v>
      </c>
      <c r="I446" s="66" t="s">
        <v>51</v>
      </c>
      <c r="J446" s="74" t="s">
        <v>63</v>
      </c>
      <c r="K446" s="24" t="s">
        <v>44</v>
      </c>
      <c r="L446" s="18" t="s">
        <v>5</v>
      </c>
      <c r="M446" s="81" t="s">
        <v>31</v>
      </c>
      <c r="N446" s="53" t="s">
        <v>50</v>
      </c>
      <c r="O446" s="66" t="s">
        <v>51</v>
      </c>
      <c r="P446" s="74" t="s">
        <v>63</v>
      </c>
      <c r="Q446" s="24" t="s">
        <v>44</v>
      </c>
      <c r="R446" s="30" t="s">
        <v>5</v>
      </c>
      <c r="S446" s="34" t="s">
        <v>31</v>
      </c>
      <c r="T446" s="53" t="s">
        <v>50</v>
      </c>
      <c r="U446" s="66" t="s">
        <v>51</v>
      </c>
      <c r="V446" s="74" t="s">
        <v>63</v>
      </c>
      <c r="W446" s="24" t="s">
        <v>44</v>
      </c>
      <c r="X446" s="30" t="s">
        <v>5</v>
      </c>
      <c r="Y446" s="34" t="s">
        <v>31</v>
      </c>
      <c r="Z446" s="226"/>
      <c r="AA446" s="227"/>
      <c r="AB446" s="227"/>
      <c r="AC446" s="231"/>
    </row>
    <row r="447" spans="1:29" x14ac:dyDescent="0.2">
      <c r="A447" s="228"/>
      <c r="B447" s="232" t="s">
        <v>2</v>
      </c>
      <c r="C447" s="234" t="s">
        <v>84</v>
      </c>
      <c r="D447" s="12"/>
      <c r="E447" s="10"/>
      <c r="F447" s="12"/>
      <c r="G447" s="234" t="s">
        <v>1</v>
      </c>
      <c r="H447" s="47">
        <v>23.6</v>
      </c>
      <c r="I447" s="63">
        <v>0</v>
      </c>
      <c r="J447" s="35"/>
      <c r="K447" s="35">
        <v>16</v>
      </c>
      <c r="L447" s="35">
        <f>IF(ISBLANK(J447), , J447*K447)</f>
        <v>0</v>
      </c>
      <c r="M447" s="29"/>
      <c r="N447" s="47">
        <v>23.6</v>
      </c>
      <c r="O447" s="63">
        <v>0</v>
      </c>
      <c r="P447" s="35"/>
      <c r="Q447" s="35">
        <v>16</v>
      </c>
      <c r="R447" s="35">
        <f>IF(ISBLANK(P447), , P447*Q447)</f>
        <v>0</v>
      </c>
      <c r="S447" s="29"/>
      <c r="T447" s="47">
        <v>23.6</v>
      </c>
      <c r="U447" s="63">
        <v>0</v>
      </c>
      <c r="V447" s="35"/>
      <c r="W447" s="35">
        <v>16</v>
      </c>
      <c r="X447" s="35">
        <f>IF(ISBLANK(V447), , V447*W447)</f>
        <v>0</v>
      </c>
      <c r="Y447" s="29"/>
      <c r="Z447" s="210">
        <f>SUM(L447, R447, X447)+SUM(L448, R448, X448)</f>
        <v>0</v>
      </c>
      <c r="AA447" s="210">
        <f>SUM(M447, S447, Y447)+SUM(M448, S448, Y448)</f>
        <v>0</v>
      </c>
      <c r="AB447" s="212">
        <f>IF($Z447=0, ,AA447/$Z447)</f>
        <v>0</v>
      </c>
      <c r="AC447" s="214"/>
    </row>
    <row r="448" spans="1:29" x14ac:dyDescent="0.2">
      <c r="A448" s="228"/>
      <c r="B448" s="233"/>
      <c r="C448" s="235"/>
      <c r="D448" s="12"/>
      <c r="E448" s="12"/>
      <c r="F448" s="12"/>
      <c r="G448" s="236"/>
      <c r="H448" s="47"/>
      <c r="I448" s="63"/>
      <c r="J448" s="35"/>
      <c r="K448" s="35"/>
      <c r="L448" s="35">
        <f>IF(ISBLANK(J448), , J448*K448)</f>
        <v>0</v>
      </c>
      <c r="M448" s="29"/>
      <c r="N448" s="47"/>
      <c r="O448" s="63"/>
      <c r="P448" s="35"/>
      <c r="Q448" s="35"/>
      <c r="R448" s="35">
        <f>IF(ISBLANK(P448), , P448*Q448)</f>
        <v>0</v>
      </c>
      <c r="S448" s="29"/>
      <c r="T448" s="47"/>
      <c r="U448" s="63"/>
      <c r="V448" s="35"/>
      <c r="W448" s="35"/>
      <c r="X448" s="35">
        <f>IF(ISBLANK(V448), , V448*W448)</f>
        <v>0</v>
      </c>
      <c r="Y448" s="29"/>
      <c r="Z448" s="211"/>
      <c r="AA448" s="211"/>
      <c r="AB448" s="213"/>
      <c r="AC448" s="215"/>
    </row>
    <row r="449" spans="1:29" x14ac:dyDescent="0.2">
      <c r="A449" s="228"/>
      <c r="B449" s="216" t="s">
        <v>6</v>
      </c>
      <c r="C449" s="218" t="s">
        <v>8</v>
      </c>
      <c r="D449" s="10"/>
      <c r="E449" s="10"/>
      <c r="F449" s="10"/>
      <c r="G449" s="218" t="s">
        <v>1</v>
      </c>
      <c r="H449" s="48">
        <v>19.57</v>
      </c>
      <c r="I449" s="67">
        <v>0</v>
      </c>
      <c r="J449" s="39"/>
      <c r="K449" s="39">
        <v>8</v>
      </c>
      <c r="L449" s="39">
        <f>IF(ISBLANK(J449), , J449*K449)</f>
        <v>0</v>
      </c>
      <c r="M449" s="40">
        <f>H462+K462+N462+Q462+T462+W462+Z462</f>
        <v>0</v>
      </c>
      <c r="N449" s="48">
        <v>19.57</v>
      </c>
      <c r="O449" s="67">
        <v>0</v>
      </c>
      <c r="P449" s="39"/>
      <c r="Q449" s="39">
        <v>8</v>
      </c>
      <c r="R449" s="39">
        <f>IF(ISBLANK(P449), , P449*Q449)</f>
        <v>0</v>
      </c>
      <c r="S449" s="40">
        <f>I462+L462+O462+R462+U462+X462+AA462</f>
        <v>0</v>
      </c>
      <c r="T449" s="48">
        <v>19.57</v>
      </c>
      <c r="U449" s="67">
        <v>0</v>
      </c>
      <c r="V449" s="39"/>
      <c r="W449" s="39">
        <v>8</v>
      </c>
      <c r="X449" s="39">
        <f>IF(ISBLANK(V449), , V449*W449)</f>
        <v>0</v>
      </c>
      <c r="Y449" s="40">
        <f>J462+M462+P462+S462+V462+Y462+AB462</f>
        <v>0</v>
      </c>
      <c r="Z449" s="238">
        <f>SUM(L449, R449, X449)+SUM(L450, R450, X450)</f>
        <v>0</v>
      </c>
      <c r="AA449" s="220">
        <f>SUM(M449, S449, Y449)+SUM(M450, S450, Y450)</f>
        <v>0</v>
      </c>
      <c r="AB449" s="194">
        <f>IF($Z449=0, ,AA449/$Z449)</f>
        <v>0</v>
      </c>
      <c r="AC449" s="204"/>
    </row>
    <row r="450" spans="1:29" x14ac:dyDescent="0.2">
      <c r="A450" s="228"/>
      <c r="B450" s="217"/>
      <c r="C450" s="219"/>
      <c r="D450" s="10"/>
      <c r="E450" s="10"/>
      <c r="F450" s="10"/>
      <c r="G450" s="219"/>
      <c r="H450" s="48"/>
      <c r="I450" s="67"/>
      <c r="J450" s="39"/>
      <c r="K450" s="39"/>
      <c r="L450" s="39">
        <f>IF(ISBLANK(J450), , J450*K450)</f>
        <v>0</v>
      </c>
      <c r="M450" s="40">
        <f>H463+K463+N463+Q463+T463+W463+Z463</f>
        <v>0</v>
      </c>
      <c r="N450" s="48"/>
      <c r="O450" s="67"/>
      <c r="P450" s="39"/>
      <c r="Q450" s="39"/>
      <c r="R450" s="39">
        <f t="shared" ref="R450:R456" si="76">IF(ISBLANK(P450), , P450*Q450)</f>
        <v>0</v>
      </c>
      <c r="S450" s="40">
        <f>I463+L463+O463+R463+U463+X463+AA463</f>
        <v>0</v>
      </c>
      <c r="T450" s="48"/>
      <c r="U450" s="67"/>
      <c r="V450" s="39"/>
      <c r="W450" s="39"/>
      <c r="X450" s="39">
        <f>IF(ISBLANK(V450), , V450*W450)</f>
        <v>0</v>
      </c>
      <c r="Y450" s="40">
        <f>J463+M463+P463+S463+V463+Y463+AB463</f>
        <v>0</v>
      </c>
      <c r="Z450" s="239"/>
      <c r="AA450" s="221"/>
      <c r="AB450" s="195"/>
      <c r="AC450" s="205"/>
    </row>
    <row r="451" spans="1:29" x14ac:dyDescent="0.2">
      <c r="A451" s="228"/>
      <c r="B451" s="206" t="s">
        <v>7</v>
      </c>
      <c r="C451" s="208" t="s">
        <v>81</v>
      </c>
      <c r="D451" s="9"/>
      <c r="E451" s="9"/>
      <c r="F451" s="9"/>
      <c r="G451" s="208" t="s">
        <v>1</v>
      </c>
      <c r="H451" s="49">
        <v>20.5</v>
      </c>
      <c r="I451" s="68">
        <v>0</v>
      </c>
      <c r="J451" s="37"/>
      <c r="K451" s="37">
        <v>8</v>
      </c>
      <c r="L451" s="37">
        <f>IF(ISBLANK(J451), , J451*K451)</f>
        <v>0</v>
      </c>
      <c r="M451" s="38">
        <f>H464+K464+N464+Q464+T464+W464+Z464</f>
        <v>0</v>
      </c>
      <c r="N451" s="49">
        <v>21.95</v>
      </c>
      <c r="O451" s="68">
        <v>0</v>
      </c>
      <c r="P451" s="37"/>
      <c r="Q451" s="37">
        <v>8</v>
      </c>
      <c r="R451" s="37">
        <f t="shared" si="76"/>
        <v>0</v>
      </c>
      <c r="S451" s="38">
        <f>I464+L464+O464+R464+U464+X464+AA464</f>
        <v>0</v>
      </c>
      <c r="T451" s="49">
        <v>22</v>
      </c>
      <c r="U451" s="68">
        <v>0</v>
      </c>
      <c r="V451" s="37"/>
      <c r="W451" s="37">
        <v>8</v>
      </c>
      <c r="X451" s="37">
        <f>IF(ISBLANK(V451), , V451*W451)</f>
        <v>0</v>
      </c>
      <c r="Y451" s="38">
        <f>J464+M464+P464+S464+V464+Y464+AB464</f>
        <v>0</v>
      </c>
      <c r="Z451" s="210">
        <f>SUM(L451, R451, X451)+SUM(L452, R452, X452)</f>
        <v>0</v>
      </c>
      <c r="AA451" s="210">
        <f>SUM(M451, S451, Y451)+SUM(M452, S452, Y452)</f>
        <v>0</v>
      </c>
      <c r="AB451" s="212">
        <f>IF($Z451=0, ,AA451/$Z451)</f>
        <v>0</v>
      </c>
      <c r="AC451" s="214"/>
    </row>
    <row r="452" spans="1:29" x14ac:dyDescent="0.2">
      <c r="A452" s="228"/>
      <c r="B452" s="207"/>
      <c r="C452" s="209"/>
      <c r="D452" s="9"/>
      <c r="E452" s="9"/>
      <c r="F452" s="9"/>
      <c r="G452" s="209"/>
      <c r="H452" s="49"/>
      <c r="I452" s="68"/>
      <c r="J452" s="37"/>
      <c r="K452" s="37"/>
      <c r="L452" s="37">
        <f t="shared" ref="L452:L458" si="77">IF(ISBLANK(J452), , J452*K452)</f>
        <v>0</v>
      </c>
      <c r="M452" s="38">
        <f>H465+K465+N465+Q465+T465+W465+Z465</f>
        <v>0</v>
      </c>
      <c r="N452" s="49"/>
      <c r="O452" s="68"/>
      <c r="P452" s="37"/>
      <c r="Q452" s="37"/>
      <c r="R452" s="37">
        <f t="shared" si="76"/>
        <v>0</v>
      </c>
      <c r="S452" s="38">
        <f>I465+L465+O465+R465+U465+X465+AA465</f>
        <v>0</v>
      </c>
      <c r="T452" s="49"/>
      <c r="U452" s="68"/>
      <c r="V452" s="37"/>
      <c r="W452" s="37"/>
      <c r="X452" s="37">
        <f t="shared" ref="X452:X458" si="78">IF(ISBLANK(V452), , V452*W452)</f>
        <v>0</v>
      </c>
      <c r="Y452" s="38">
        <f>J465+M465+P465+S465+V465+Y465+AB465</f>
        <v>0</v>
      </c>
      <c r="Z452" s="211"/>
      <c r="AA452" s="211"/>
      <c r="AB452" s="213"/>
      <c r="AC452" s="215"/>
    </row>
    <row r="453" spans="1:29" x14ac:dyDescent="0.2">
      <c r="A453" s="228"/>
      <c r="B453" s="216" t="s">
        <v>3</v>
      </c>
      <c r="C453" s="218" t="s">
        <v>82</v>
      </c>
      <c r="D453" s="10"/>
      <c r="E453" s="10"/>
      <c r="F453" s="10"/>
      <c r="G453" s="218" t="s">
        <v>1</v>
      </c>
      <c r="H453" s="48">
        <v>19.71</v>
      </c>
      <c r="I453" s="67">
        <v>0</v>
      </c>
      <c r="J453" s="36"/>
      <c r="K453" s="36">
        <v>16</v>
      </c>
      <c r="L453" s="36">
        <f t="shared" si="77"/>
        <v>0</v>
      </c>
      <c r="M453" s="17"/>
      <c r="N453" s="48">
        <v>19.690000000000001</v>
      </c>
      <c r="O453" s="67">
        <v>0</v>
      </c>
      <c r="P453" s="36"/>
      <c r="Q453" s="36">
        <v>16</v>
      </c>
      <c r="R453" s="36">
        <f t="shared" si="76"/>
        <v>0</v>
      </c>
      <c r="S453" s="17"/>
      <c r="T453" s="48">
        <v>19.2</v>
      </c>
      <c r="U453" s="67">
        <v>0</v>
      </c>
      <c r="V453" s="36">
        <v>0</v>
      </c>
      <c r="W453" s="36">
        <v>16</v>
      </c>
      <c r="X453" s="36">
        <f t="shared" si="78"/>
        <v>0</v>
      </c>
      <c r="Y453" s="17"/>
      <c r="Z453" s="220">
        <f>SUM(L453, R453, X453)+SUM(L454, R454, X454)</f>
        <v>0</v>
      </c>
      <c r="AA453" s="220">
        <f>SUM(M453, S453, Y453)+SUM(M454, S454, Y454)</f>
        <v>0</v>
      </c>
      <c r="AB453" s="194">
        <f>IF($Z453=0, ,AA453/$Z453)</f>
        <v>0</v>
      </c>
      <c r="AC453" s="204"/>
    </row>
    <row r="454" spans="1:29" x14ac:dyDescent="0.2">
      <c r="A454" s="228"/>
      <c r="B454" s="217"/>
      <c r="C454" s="219"/>
      <c r="D454" s="10"/>
      <c r="E454" s="10"/>
      <c r="F454" s="10"/>
      <c r="G454" s="219"/>
      <c r="H454" s="48"/>
      <c r="I454" s="67"/>
      <c r="J454" s="36"/>
      <c r="K454" s="36"/>
      <c r="L454" s="36">
        <f t="shared" si="77"/>
        <v>0</v>
      </c>
      <c r="M454" s="17"/>
      <c r="N454" s="48"/>
      <c r="O454" s="67"/>
      <c r="P454" s="36"/>
      <c r="Q454" s="36"/>
      <c r="R454" s="36">
        <f t="shared" si="76"/>
        <v>0</v>
      </c>
      <c r="S454" s="17"/>
      <c r="T454" s="48"/>
      <c r="U454" s="67"/>
      <c r="V454" s="36"/>
      <c r="W454" s="36"/>
      <c r="X454" s="36">
        <f t="shared" si="78"/>
        <v>0</v>
      </c>
      <c r="Y454" s="17"/>
      <c r="Z454" s="221"/>
      <c r="AA454" s="221"/>
      <c r="AB454" s="195"/>
      <c r="AC454" s="205"/>
    </row>
    <row r="455" spans="1:29" x14ac:dyDescent="0.2">
      <c r="A455" s="228"/>
      <c r="B455" s="206" t="s">
        <v>4</v>
      </c>
      <c r="C455" s="208" t="s">
        <v>9</v>
      </c>
      <c r="D455" s="9"/>
      <c r="E455" s="10"/>
      <c r="F455" s="9"/>
      <c r="G455" s="208" t="s">
        <v>1</v>
      </c>
      <c r="H455" s="49">
        <v>20.58</v>
      </c>
      <c r="I455" s="68">
        <v>0</v>
      </c>
      <c r="J455" s="37">
        <v>0</v>
      </c>
      <c r="K455" s="37">
        <v>8</v>
      </c>
      <c r="L455" s="37">
        <f t="shared" si="77"/>
        <v>0</v>
      </c>
      <c r="M455" s="38"/>
      <c r="N455" s="49">
        <v>20.58</v>
      </c>
      <c r="O455" s="68">
        <v>0</v>
      </c>
      <c r="P455" s="37">
        <v>0</v>
      </c>
      <c r="Q455" s="37">
        <v>8</v>
      </c>
      <c r="R455" s="37">
        <f t="shared" si="76"/>
        <v>0</v>
      </c>
      <c r="S455" s="38"/>
      <c r="T455" s="49">
        <v>20.58</v>
      </c>
      <c r="U455" s="68">
        <v>0</v>
      </c>
      <c r="V455" s="37">
        <v>0</v>
      </c>
      <c r="W455" s="37">
        <v>8</v>
      </c>
      <c r="X455" s="37">
        <f t="shared" si="78"/>
        <v>0</v>
      </c>
      <c r="Y455" s="38"/>
      <c r="Z455" s="210">
        <f>SUM(L455, R455, X455)+SUM(L456, R456, X456)</f>
        <v>0</v>
      </c>
      <c r="AA455" s="210">
        <f>SUM(M455, S455, Y455)+SUM(M456, S456, Y456)</f>
        <v>0</v>
      </c>
      <c r="AB455" s="212">
        <f>IF($Z455=0, ,AA455/$Z455)</f>
        <v>0</v>
      </c>
      <c r="AC455" s="214"/>
    </row>
    <row r="456" spans="1:29" x14ac:dyDescent="0.2">
      <c r="A456" s="228"/>
      <c r="B456" s="207"/>
      <c r="C456" s="209"/>
      <c r="D456" s="9"/>
      <c r="E456" s="9"/>
      <c r="F456" s="9"/>
      <c r="G456" s="209"/>
      <c r="H456" s="49"/>
      <c r="I456" s="68"/>
      <c r="J456" s="37"/>
      <c r="K456" s="37"/>
      <c r="L456" s="37">
        <f t="shared" si="77"/>
        <v>0</v>
      </c>
      <c r="M456" s="38"/>
      <c r="N456" s="49"/>
      <c r="O456" s="68"/>
      <c r="P456" s="37"/>
      <c r="Q456" s="37"/>
      <c r="R456" s="37">
        <f t="shared" si="76"/>
        <v>0</v>
      </c>
      <c r="S456" s="38"/>
      <c r="T456" s="49"/>
      <c r="U456" s="68"/>
      <c r="V456" s="37"/>
      <c r="W456" s="37"/>
      <c r="X456" s="37">
        <f t="shared" si="78"/>
        <v>0</v>
      </c>
      <c r="Y456" s="38"/>
      <c r="Z456" s="211"/>
      <c r="AA456" s="211"/>
      <c r="AB456" s="213"/>
      <c r="AC456" s="215"/>
    </row>
    <row r="457" spans="1:29" x14ac:dyDescent="0.2">
      <c r="A457" s="228"/>
      <c r="B457" s="189" t="s">
        <v>85</v>
      </c>
      <c r="C457" s="191" t="s">
        <v>83</v>
      </c>
      <c r="D457" s="11"/>
      <c r="E457" s="10"/>
      <c r="F457" s="11"/>
      <c r="G457" s="191" t="s">
        <v>1</v>
      </c>
      <c r="H457" s="50">
        <v>12.89</v>
      </c>
      <c r="I457" s="69">
        <v>0</v>
      </c>
      <c r="J457" s="39">
        <v>0</v>
      </c>
      <c r="K457" s="39">
        <v>16</v>
      </c>
      <c r="L457" s="39">
        <f t="shared" si="77"/>
        <v>0</v>
      </c>
      <c r="M457" s="40"/>
      <c r="N457" s="50">
        <v>12.89</v>
      </c>
      <c r="O457" s="69">
        <v>0</v>
      </c>
      <c r="P457" s="39">
        <v>0</v>
      </c>
      <c r="Q457" s="39">
        <v>16</v>
      </c>
      <c r="R457" s="39">
        <f>IF(ISBLANK(P457), , P457*Q457)</f>
        <v>0</v>
      </c>
      <c r="S457" s="40"/>
      <c r="T457" s="50">
        <v>23.6</v>
      </c>
      <c r="U457" s="69">
        <v>0</v>
      </c>
      <c r="V457" s="39">
        <v>0</v>
      </c>
      <c r="W457" s="39">
        <v>16</v>
      </c>
      <c r="X457" s="39">
        <f t="shared" si="78"/>
        <v>0</v>
      </c>
      <c r="Y457" s="40"/>
      <c r="Z457" s="193">
        <f>SUM(L457, R457, X457)+SUM(L458, R458, X458)</f>
        <v>0</v>
      </c>
      <c r="AA457" s="193">
        <f>SUM(M457, S457, Y457)+SUM(M458, S458, Y458)</f>
        <v>0</v>
      </c>
      <c r="AB457" s="194">
        <f>IF($Z457=0, ,AA457/$Z457)</f>
        <v>0</v>
      </c>
      <c r="AC457" s="196"/>
    </row>
    <row r="458" spans="1:29" x14ac:dyDescent="0.2">
      <c r="A458" s="228"/>
      <c r="B458" s="190"/>
      <c r="C458" s="192"/>
      <c r="D458" s="11"/>
      <c r="E458" s="11"/>
      <c r="F458" s="11"/>
      <c r="G458" s="192"/>
      <c r="H458" s="50"/>
      <c r="I458" s="69"/>
      <c r="J458" s="39"/>
      <c r="K458" s="39"/>
      <c r="L458" s="39">
        <f t="shared" si="77"/>
        <v>0</v>
      </c>
      <c r="M458" s="40"/>
      <c r="N458" s="50"/>
      <c r="O458" s="69"/>
      <c r="P458" s="39"/>
      <c r="Q458" s="39"/>
      <c r="R458" s="39">
        <f>IF(ISBLANK(P458), , P458*Q458)</f>
        <v>0</v>
      </c>
      <c r="S458" s="40"/>
      <c r="T458" s="50"/>
      <c r="U458" s="69"/>
      <c r="V458" s="39"/>
      <c r="W458" s="39"/>
      <c r="X458" s="39">
        <f t="shared" si="78"/>
        <v>0</v>
      </c>
      <c r="Y458" s="40"/>
      <c r="Z458" s="193"/>
      <c r="AA458" s="193"/>
      <c r="AB458" s="195"/>
      <c r="AC458" s="196"/>
    </row>
    <row r="459" spans="1:29" x14ac:dyDescent="0.2">
      <c r="A459" s="228"/>
      <c r="B459" s="56"/>
      <c r="C459" s="56"/>
      <c r="D459" s="56"/>
      <c r="E459" s="56"/>
      <c r="F459" s="56"/>
      <c r="G459" s="56"/>
      <c r="H459" s="76"/>
      <c r="I459" s="77"/>
      <c r="J459" s="78"/>
      <c r="K459" s="78"/>
      <c r="L459" s="78"/>
      <c r="M459" s="79"/>
      <c r="N459" s="76"/>
      <c r="O459" s="77"/>
      <c r="P459" s="78"/>
      <c r="Q459" s="78"/>
      <c r="R459" s="78"/>
      <c r="S459" s="79"/>
      <c r="T459" s="76"/>
      <c r="U459" s="77"/>
      <c r="V459" s="78"/>
      <c r="W459" s="78"/>
      <c r="X459" s="78"/>
      <c r="Y459" s="79"/>
      <c r="Z459" s="79"/>
      <c r="AA459" s="79"/>
      <c r="AB459" s="80"/>
      <c r="AC459" s="59"/>
    </row>
    <row r="460" spans="1:29" x14ac:dyDescent="0.2">
      <c r="A460" s="228"/>
      <c r="B460" s="197" t="s">
        <v>67</v>
      </c>
      <c r="C460" s="198"/>
      <c r="D460" s="198"/>
      <c r="E460" s="198"/>
      <c r="F460" s="198"/>
      <c r="G460" s="9" t="s">
        <v>68</v>
      </c>
      <c r="H460" s="199" t="s">
        <v>64</v>
      </c>
      <c r="I460" s="199"/>
      <c r="J460" s="199"/>
      <c r="K460" s="199" t="s">
        <v>76</v>
      </c>
      <c r="L460" s="199"/>
      <c r="M460" s="199"/>
      <c r="N460" s="199" t="s">
        <v>65</v>
      </c>
      <c r="O460" s="199"/>
      <c r="P460" s="199"/>
      <c r="Q460" s="199" t="s">
        <v>66</v>
      </c>
      <c r="R460" s="199"/>
      <c r="S460" s="199"/>
      <c r="T460" s="199" t="s">
        <v>73</v>
      </c>
      <c r="U460" s="199"/>
      <c r="V460" s="199"/>
      <c r="W460" s="199" t="s">
        <v>74</v>
      </c>
      <c r="X460" s="199"/>
      <c r="Y460" s="199"/>
      <c r="Z460" s="199" t="s">
        <v>75</v>
      </c>
      <c r="AA460" s="199"/>
      <c r="AB460" s="199"/>
      <c r="AC460" s="200" t="s">
        <v>106</v>
      </c>
    </row>
    <row r="461" spans="1:29" x14ac:dyDescent="0.2">
      <c r="A461" s="228"/>
      <c r="B461" s="197"/>
      <c r="C461" s="198"/>
      <c r="D461" s="198"/>
      <c r="E461" s="198"/>
      <c r="F461" s="198"/>
      <c r="G461" s="9" t="s">
        <v>69</v>
      </c>
      <c r="H461" s="98" t="s">
        <v>70</v>
      </c>
      <c r="I461" s="98" t="s">
        <v>71</v>
      </c>
      <c r="J461" s="99" t="s">
        <v>72</v>
      </c>
      <c r="K461" s="98" t="s">
        <v>70</v>
      </c>
      <c r="L461" s="98" t="s">
        <v>71</v>
      </c>
      <c r="M461" s="99" t="s">
        <v>72</v>
      </c>
      <c r="N461" s="98" t="s">
        <v>70</v>
      </c>
      <c r="O461" s="98" t="s">
        <v>71</v>
      </c>
      <c r="P461" s="99" t="s">
        <v>72</v>
      </c>
      <c r="Q461" s="98" t="s">
        <v>70</v>
      </c>
      <c r="R461" s="98" t="s">
        <v>71</v>
      </c>
      <c r="S461" s="99" t="s">
        <v>72</v>
      </c>
      <c r="T461" s="98" t="s">
        <v>70</v>
      </c>
      <c r="U461" s="98" t="s">
        <v>71</v>
      </c>
      <c r="V461" s="99" t="s">
        <v>72</v>
      </c>
      <c r="W461" s="98" t="s">
        <v>70</v>
      </c>
      <c r="X461" s="98" t="s">
        <v>71</v>
      </c>
      <c r="Y461" s="99" t="s">
        <v>72</v>
      </c>
      <c r="Z461" s="98" t="s">
        <v>70</v>
      </c>
      <c r="AA461" s="98" t="s">
        <v>71</v>
      </c>
      <c r="AB461" s="99" t="s">
        <v>72</v>
      </c>
      <c r="AC461" s="200"/>
    </row>
    <row r="462" spans="1:29" x14ac:dyDescent="0.2">
      <c r="A462" s="228"/>
      <c r="B462" s="201" t="str">
        <f>B449</f>
        <v>02C</v>
      </c>
      <c r="C462" s="202" t="str">
        <f>C449</f>
        <v>DEO-C01</v>
      </c>
      <c r="D462" s="9" t="str">
        <f>IF(ISBLANK(D449), "", D449)</f>
        <v/>
      </c>
      <c r="E462" s="9" t="str">
        <f>IF(ISBLANK(E449), "", E449)</f>
        <v/>
      </c>
      <c r="F462" s="9" t="str">
        <f>IF(ISBLANK(F449), "", F449)</f>
        <v/>
      </c>
      <c r="G462" s="203"/>
      <c r="H462" s="38"/>
      <c r="I462" s="38"/>
      <c r="J462" s="38"/>
      <c r="K462" s="38"/>
      <c r="L462" s="38"/>
      <c r="M462" s="38"/>
      <c r="N462" s="37"/>
      <c r="O462" s="37"/>
      <c r="P462" s="37"/>
      <c r="Q462" s="37"/>
      <c r="R462" s="37"/>
      <c r="S462" s="38"/>
      <c r="T462" s="37"/>
      <c r="U462" s="37"/>
      <c r="V462" s="37"/>
      <c r="W462" s="37"/>
      <c r="X462" s="37"/>
      <c r="Y462" s="38"/>
      <c r="Z462" s="38"/>
      <c r="AA462" s="38"/>
      <c r="AB462" s="112"/>
      <c r="AC462" s="200"/>
    </row>
    <row r="463" spans="1:29" x14ac:dyDescent="0.2">
      <c r="A463" s="228"/>
      <c r="B463" s="201"/>
      <c r="C463" s="202"/>
      <c r="D463" s="9"/>
      <c r="E463" s="9" t="str">
        <f t="shared" ref="E463:F465" si="79">IF(ISBLANK(E450), "", E450)</f>
        <v/>
      </c>
      <c r="F463" s="9" t="str">
        <f t="shared" si="79"/>
        <v/>
      </c>
      <c r="G463" s="203"/>
      <c r="H463" s="37"/>
      <c r="I463" s="37"/>
      <c r="J463" s="37"/>
      <c r="K463" s="37"/>
      <c r="L463" s="37"/>
      <c r="M463" s="38"/>
      <c r="N463" s="37"/>
      <c r="O463" s="37"/>
      <c r="P463" s="37"/>
      <c r="Q463" s="37"/>
      <c r="R463" s="37"/>
      <c r="S463" s="38"/>
      <c r="T463" s="37"/>
      <c r="U463" s="37"/>
      <c r="V463" s="37"/>
      <c r="W463" s="37"/>
      <c r="X463" s="37"/>
      <c r="Y463" s="38"/>
      <c r="Z463" s="38"/>
      <c r="AA463" s="38"/>
      <c r="AB463" s="112"/>
      <c r="AC463" s="200"/>
    </row>
    <row r="464" spans="1:29" x14ac:dyDescent="0.2">
      <c r="A464" s="228"/>
      <c r="B464" s="201" t="str">
        <f>B451</f>
        <v>03C</v>
      </c>
      <c r="C464" s="202" t="str">
        <f>C451</f>
        <v>DEO-B02</v>
      </c>
      <c r="D464" s="9" t="str">
        <f>IF(ISBLANK(D451), "", D451)</f>
        <v/>
      </c>
      <c r="E464" s="9" t="str">
        <f t="shared" si="79"/>
        <v/>
      </c>
      <c r="F464" s="9" t="str">
        <f t="shared" si="79"/>
        <v/>
      </c>
      <c r="G464" s="203"/>
      <c r="H464" s="38"/>
      <c r="I464" s="38"/>
      <c r="J464" s="38"/>
      <c r="K464" s="37"/>
      <c r="L464" s="37"/>
      <c r="M464" s="38"/>
      <c r="N464" s="37"/>
      <c r="O464" s="37"/>
      <c r="P464" s="37"/>
      <c r="Q464" s="37"/>
      <c r="R464" s="37"/>
      <c r="S464" s="38"/>
      <c r="T464" s="37"/>
      <c r="U464" s="37"/>
      <c r="V464" s="37"/>
      <c r="W464" s="37"/>
      <c r="X464" s="37"/>
      <c r="Y464" s="38"/>
      <c r="Z464" s="38"/>
      <c r="AA464" s="38"/>
      <c r="AB464" s="112"/>
      <c r="AC464" s="200"/>
    </row>
    <row r="465" spans="1:29" x14ac:dyDescent="0.2">
      <c r="A465" s="228"/>
      <c r="B465" s="201"/>
      <c r="C465" s="202"/>
      <c r="D465" s="9" t="str">
        <f>IF(ISBLANK(D452), "", D452)</f>
        <v/>
      </c>
      <c r="E465" s="9" t="str">
        <f t="shared" si="79"/>
        <v/>
      </c>
      <c r="F465" s="9" t="str">
        <f t="shared" si="79"/>
        <v/>
      </c>
      <c r="G465" s="203"/>
      <c r="H465" s="37"/>
      <c r="I465" s="37"/>
      <c r="J465" s="37"/>
      <c r="K465" s="37"/>
      <c r="L465" s="37"/>
      <c r="M465" s="38"/>
      <c r="N465" s="37"/>
      <c r="O465" s="37"/>
      <c r="P465" s="37"/>
      <c r="Q465" s="37"/>
      <c r="R465" s="37"/>
      <c r="S465" s="38"/>
      <c r="T465" s="37"/>
      <c r="U465" s="37"/>
      <c r="V465" s="37"/>
      <c r="W465" s="37"/>
      <c r="X465" s="37"/>
      <c r="Y465" s="38"/>
      <c r="Z465" s="38"/>
      <c r="AA465" s="38"/>
      <c r="AB465" s="112"/>
      <c r="AC465" s="200"/>
    </row>
    <row r="467" spans="1:29" x14ac:dyDescent="0.2">
      <c r="A467" s="228">
        <v>44733</v>
      </c>
      <c r="B467" s="19" t="s">
        <v>42</v>
      </c>
      <c r="C467" s="20"/>
      <c r="D467" s="21" t="s">
        <v>43</v>
      </c>
      <c r="E467" s="20">
        <v>0</v>
      </c>
      <c r="F467" s="31"/>
      <c r="G467" s="32"/>
      <c r="H467" s="52"/>
      <c r="I467" s="65"/>
      <c r="J467" s="73"/>
      <c r="K467" s="32"/>
      <c r="L467" s="21"/>
      <c r="M467" s="32"/>
      <c r="N467" s="52"/>
      <c r="O467" s="65"/>
      <c r="P467" s="73"/>
      <c r="Q467" s="32"/>
      <c r="R467" s="21"/>
      <c r="S467" s="32"/>
      <c r="T467" s="52"/>
      <c r="U467" s="65"/>
      <c r="V467" s="73"/>
      <c r="W467" s="32"/>
      <c r="X467" s="21"/>
      <c r="Y467" s="21"/>
      <c r="Z467" s="32"/>
      <c r="AA467" s="21"/>
      <c r="AB467" s="21"/>
      <c r="AC467" s="33"/>
    </row>
    <row r="468" spans="1:29" x14ac:dyDescent="0.2">
      <c r="A468" s="228"/>
      <c r="B468" s="229" t="s">
        <v>10</v>
      </c>
      <c r="C468" s="230" t="s">
        <v>0</v>
      </c>
      <c r="D468" s="230" t="s">
        <v>25</v>
      </c>
      <c r="E468" s="230" t="s">
        <v>11</v>
      </c>
      <c r="F468" s="230" t="s">
        <v>16</v>
      </c>
      <c r="G468" s="237" t="s">
        <v>12</v>
      </c>
      <c r="H468" s="222" t="s">
        <v>13</v>
      </c>
      <c r="I468" s="223"/>
      <c r="J468" s="223"/>
      <c r="K468" s="223"/>
      <c r="L468" s="223"/>
      <c r="M468" s="224"/>
      <c r="N468" s="222" t="s">
        <v>14</v>
      </c>
      <c r="O468" s="223"/>
      <c r="P468" s="223"/>
      <c r="Q468" s="223"/>
      <c r="R468" s="223"/>
      <c r="S468" s="224"/>
      <c r="T468" s="222" t="s">
        <v>15</v>
      </c>
      <c r="U468" s="223"/>
      <c r="V468" s="223"/>
      <c r="W468" s="223"/>
      <c r="X468" s="223"/>
      <c r="Y468" s="224"/>
      <c r="Z468" s="225" t="s">
        <v>37</v>
      </c>
      <c r="AA468" s="225" t="s">
        <v>39</v>
      </c>
      <c r="AB468" s="225" t="s">
        <v>62</v>
      </c>
      <c r="AC468" s="231" t="s">
        <v>26</v>
      </c>
    </row>
    <row r="469" spans="1:29" ht="25.5" x14ac:dyDescent="0.2">
      <c r="A469" s="228"/>
      <c r="B469" s="229"/>
      <c r="C469" s="230"/>
      <c r="D469" s="230"/>
      <c r="E469" s="230"/>
      <c r="F469" s="230"/>
      <c r="G469" s="237"/>
      <c r="H469" s="53" t="s">
        <v>50</v>
      </c>
      <c r="I469" s="66" t="s">
        <v>51</v>
      </c>
      <c r="J469" s="74" t="s">
        <v>63</v>
      </c>
      <c r="K469" s="24" t="s">
        <v>44</v>
      </c>
      <c r="L469" s="18" t="s">
        <v>5</v>
      </c>
      <c r="M469" s="81" t="s">
        <v>31</v>
      </c>
      <c r="N469" s="53" t="s">
        <v>50</v>
      </c>
      <c r="O469" s="66" t="s">
        <v>51</v>
      </c>
      <c r="P469" s="74" t="s">
        <v>63</v>
      </c>
      <c r="Q469" s="24" t="s">
        <v>44</v>
      </c>
      <c r="R469" s="30" t="s">
        <v>5</v>
      </c>
      <c r="S469" s="34" t="s">
        <v>31</v>
      </c>
      <c r="T469" s="53" t="s">
        <v>50</v>
      </c>
      <c r="U469" s="66" t="s">
        <v>51</v>
      </c>
      <c r="V469" s="74" t="s">
        <v>63</v>
      </c>
      <c r="W469" s="24" t="s">
        <v>44</v>
      </c>
      <c r="X469" s="30" t="s">
        <v>5</v>
      </c>
      <c r="Y469" s="34" t="s">
        <v>31</v>
      </c>
      <c r="Z469" s="226"/>
      <c r="AA469" s="227"/>
      <c r="AB469" s="227"/>
      <c r="AC469" s="231"/>
    </row>
    <row r="470" spans="1:29" x14ac:dyDescent="0.2">
      <c r="A470" s="228"/>
      <c r="B470" s="232" t="s">
        <v>2</v>
      </c>
      <c r="C470" s="234" t="s">
        <v>84</v>
      </c>
      <c r="D470" s="12"/>
      <c r="E470" s="10"/>
      <c r="F470" s="12"/>
      <c r="G470" s="234" t="s">
        <v>1</v>
      </c>
      <c r="H470" s="47">
        <v>23.6</v>
      </c>
      <c r="I470" s="63">
        <v>0</v>
      </c>
      <c r="J470" s="35"/>
      <c r="K470" s="35">
        <v>16</v>
      </c>
      <c r="L470" s="35">
        <f>IF(ISBLANK(J470), , J470*K470)</f>
        <v>0</v>
      </c>
      <c r="M470" s="29"/>
      <c r="N470" s="47">
        <v>23.6</v>
      </c>
      <c r="O470" s="63">
        <v>0</v>
      </c>
      <c r="P470" s="35"/>
      <c r="Q470" s="35">
        <v>16</v>
      </c>
      <c r="R470" s="35">
        <f>IF(ISBLANK(P470), , P470*Q470)</f>
        <v>0</v>
      </c>
      <c r="S470" s="29"/>
      <c r="T470" s="47">
        <v>23.6</v>
      </c>
      <c r="U470" s="63">
        <v>0</v>
      </c>
      <c r="V470" s="35"/>
      <c r="W470" s="35">
        <v>16</v>
      </c>
      <c r="X470" s="35">
        <f>IF(ISBLANK(V470), , V470*W470)</f>
        <v>0</v>
      </c>
      <c r="Y470" s="29"/>
      <c r="Z470" s="210">
        <f>SUM(L470, R470, X470)+SUM(L471, R471, X471)</f>
        <v>0</v>
      </c>
      <c r="AA470" s="210">
        <f>SUM(M470, S470, Y470)+SUM(M471, S471, Y471)</f>
        <v>0</v>
      </c>
      <c r="AB470" s="212">
        <f>IF($Z470=0, ,AA470/$Z470)</f>
        <v>0</v>
      </c>
      <c r="AC470" s="214"/>
    </row>
    <row r="471" spans="1:29" x14ac:dyDescent="0.2">
      <c r="A471" s="228"/>
      <c r="B471" s="233"/>
      <c r="C471" s="235"/>
      <c r="D471" s="12"/>
      <c r="E471" s="12"/>
      <c r="F471" s="12"/>
      <c r="G471" s="236"/>
      <c r="H471" s="47"/>
      <c r="I471" s="63"/>
      <c r="J471" s="35"/>
      <c r="K471" s="35"/>
      <c r="L471" s="35">
        <f>IF(ISBLANK(J471), , J471*K471)</f>
        <v>0</v>
      </c>
      <c r="M471" s="29"/>
      <c r="N471" s="47"/>
      <c r="O471" s="63"/>
      <c r="P471" s="35"/>
      <c r="Q471" s="35"/>
      <c r="R471" s="35">
        <f>IF(ISBLANK(P471), , P471*Q471)</f>
        <v>0</v>
      </c>
      <c r="S471" s="29"/>
      <c r="T471" s="47"/>
      <c r="U471" s="63"/>
      <c r="V471" s="35"/>
      <c r="W471" s="35"/>
      <c r="X471" s="35">
        <f>IF(ISBLANK(V471), , V471*W471)</f>
        <v>0</v>
      </c>
      <c r="Y471" s="29"/>
      <c r="Z471" s="211"/>
      <c r="AA471" s="211"/>
      <c r="AB471" s="213"/>
      <c r="AC471" s="215"/>
    </row>
    <row r="472" spans="1:29" x14ac:dyDescent="0.2">
      <c r="A472" s="228"/>
      <c r="B472" s="216" t="s">
        <v>6</v>
      </c>
      <c r="C472" s="218" t="s">
        <v>8</v>
      </c>
      <c r="D472" s="10"/>
      <c r="E472" s="10"/>
      <c r="F472" s="10"/>
      <c r="G472" s="218" t="s">
        <v>1</v>
      </c>
      <c r="H472" s="48">
        <v>19.57</v>
      </c>
      <c r="I472" s="67">
        <v>0</v>
      </c>
      <c r="J472" s="39"/>
      <c r="K472" s="39">
        <v>8</v>
      </c>
      <c r="L472" s="39">
        <f>IF(ISBLANK(J472), , J472*K472)</f>
        <v>0</v>
      </c>
      <c r="M472" s="40">
        <f>H485+K485+N485+Q485+T485+W485+Z485</f>
        <v>0</v>
      </c>
      <c r="N472" s="48">
        <v>19.57</v>
      </c>
      <c r="O472" s="67">
        <v>0</v>
      </c>
      <c r="P472" s="39"/>
      <c r="Q472" s="39">
        <v>8</v>
      </c>
      <c r="R472" s="39">
        <f>IF(ISBLANK(P472), , P472*Q472)</f>
        <v>0</v>
      </c>
      <c r="S472" s="40">
        <f>I485+L485+O485+R485+U485+X485+AA485</f>
        <v>0</v>
      </c>
      <c r="T472" s="48">
        <v>19.57</v>
      </c>
      <c r="U472" s="67">
        <v>0</v>
      </c>
      <c r="V472" s="39"/>
      <c r="W472" s="39">
        <v>8</v>
      </c>
      <c r="X472" s="39">
        <f>IF(ISBLANK(V472), , V472*W472)</f>
        <v>0</v>
      </c>
      <c r="Y472" s="40">
        <f>J485+M485+P485+S485+V485+Y485+AB485</f>
        <v>0</v>
      </c>
      <c r="Z472" s="238">
        <f>SUM(L472, R472, X472)+SUM(L473, R473, X473)</f>
        <v>0</v>
      </c>
      <c r="AA472" s="220">
        <f>SUM(M472, S472, Y472)+SUM(M473, S473, Y473)</f>
        <v>0</v>
      </c>
      <c r="AB472" s="194">
        <f>IF($Z472=0, ,AA472/$Z472)</f>
        <v>0</v>
      </c>
      <c r="AC472" s="204"/>
    </row>
    <row r="473" spans="1:29" x14ac:dyDescent="0.2">
      <c r="A473" s="228"/>
      <c r="B473" s="217"/>
      <c r="C473" s="219"/>
      <c r="D473" s="10"/>
      <c r="E473" s="10"/>
      <c r="F473" s="10"/>
      <c r="G473" s="219"/>
      <c r="H473" s="48"/>
      <c r="I473" s="67"/>
      <c r="J473" s="39"/>
      <c r="K473" s="39"/>
      <c r="L473" s="39">
        <f>IF(ISBLANK(J473), , J473*K473)</f>
        <v>0</v>
      </c>
      <c r="M473" s="40">
        <f>H486+K486+N486+Q486+T486+W486+Z486</f>
        <v>0</v>
      </c>
      <c r="N473" s="48"/>
      <c r="O473" s="67"/>
      <c r="P473" s="39"/>
      <c r="Q473" s="39"/>
      <c r="R473" s="39">
        <f t="shared" ref="R473:R479" si="80">IF(ISBLANK(P473), , P473*Q473)</f>
        <v>0</v>
      </c>
      <c r="S473" s="40">
        <f>I486+L486+O486+R486+U486+X486+AA486</f>
        <v>0</v>
      </c>
      <c r="T473" s="48"/>
      <c r="U473" s="67"/>
      <c r="V473" s="39"/>
      <c r="W473" s="39"/>
      <c r="X473" s="39">
        <f>IF(ISBLANK(V473), , V473*W473)</f>
        <v>0</v>
      </c>
      <c r="Y473" s="40">
        <f>J486+M486+P486+S486+V486+Y486+AB486</f>
        <v>0</v>
      </c>
      <c r="Z473" s="239"/>
      <c r="AA473" s="221"/>
      <c r="AB473" s="195"/>
      <c r="AC473" s="205"/>
    </row>
    <row r="474" spans="1:29" x14ac:dyDescent="0.2">
      <c r="A474" s="228"/>
      <c r="B474" s="206" t="s">
        <v>7</v>
      </c>
      <c r="C474" s="208" t="s">
        <v>81</v>
      </c>
      <c r="D474" s="9"/>
      <c r="E474" s="9"/>
      <c r="F474" s="9"/>
      <c r="G474" s="208" t="s">
        <v>1</v>
      </c>
      <c r="H474" s="49">
        <v>20.5</v>
      </c>
      <c r="I474" s="68">
        <v>0</v>
      </c>
      <c r="J474" s="37"/>
      <c r="K474" s="37">
        <v>8</v>
      </c>
      <c r="L474" s="37">
        <f>IF(ISBLANK(J474), , J474*K474)</f>
        <v>0</v>
      </c>
      <c r="M474" s="38">
        <f>H487+K487+N487+Q487+T487+W487+Z487</f>
        <v>0</v>
      </c>
      <c r="N474" s="49">
        <v>21.95</v>
      </c>
      <c r="O474" s="68">
        <v>0</v>
      </c>
      <c r="P474" s="37"/>
      <c r="Q474" s="37">
        <v>8</v>
      </c>
      <c r="R474" s="37">
        <f t="shared" si="80"/>
        <v>0</v>
      </c>
      <c r="S474" s="38">
        <f>I487+L487+O487+R487+U487+X487+AA487</f>
        <v>0</v>
      </c>
      <c r="T474" s="49">
        <v>22</v>
      </c>
      <c r="U474" s="68">
        <v>0</v>
      </c>
      <c r="V474" s="37"/>
      <c r="W474" s="37">
        <v>8</v>
      </c>
      <c r="X474" s="37">
        <f>IF(ISBLANK(V474), , V474*W474)</f>
        <v>0</v>
      </c>
      <c r="Y474" s="38">
        <f>J487+M487+P487+S487+V487+Y487+AB487</f>
        <v>0</v>
      </c>
      <c r="Z474" s="210">
        <f>SUM(L474, R474, X474)+SUM(L475, R475, X475)</f>
        <v>0</v>
      </c>
      <c r="AA474" s="210">
        <f>SUM(M474, S474, Y474)+SUM(M475, S475, Y475)</f>
        <v>0</v>
      </c>
      <c r="AB474" s="212">
        <f>IF($Z474=0, ,AA474/$Z474)</f>
        <v>0</v>
      </c>
      <c r="AC474" s="214"/>
    </row>
    <row r="475" spans="1:29" x14ac:dyDescent="0.2">
      <c r="A475" s="228"/>
      <c r="B475" s="207"/>
      <c r="C475" s="209"/>
      <c r="D475" s="9"/>
      <c r="E475" s="9"/>
      <c r="F475" s="9"/>
      <c r="G475" s="209"/>
      <c r="H475" s="49"/>
      <c r="I475" s="68"/>
      <c r="J475" s="37"/>
      <c r="K475" s="37"/>
      <c r="L475" s="37">
        <f t="shared" ref="L475:L481" si="81">IF(ISBLANK(J475), , J475*K475)</f>
        <v>0</v>
      </c>
      <c r="M475" s="38">
        <f>H488+K488+N488+Q488+T488+W488+Z488</f>
        <v>0</v>
      </c>
      <c r="N475" s="49"/>
      <c r="O475" s="68"/>
      <c r="P475" s="37"/>
      <c r="Q475" s="37"/>
      <c r="R475" s="37">
        <f t="shared" si="80"/>
        <v>0</v>
      </c>
      <c r="S475" s="38">
        <f>I488+L488+O488+R488+U488+X488+AA488</f>
        <v>0</v>
      </c>
      <c r="T475" s="49"/>
      <c r="U475" s="68"/>
      <c r="V475" s="37"/>
      <c r="W475" s="37"/>
      <c r="X475" s="37">
        <f t="shared" ref="X475:X481" si="82">IF(ISBLANK(V475), , V475*W475)</f>
        <v>0</v>
      </c>
      <c r="Y475" s="38">
        <f>J488+M488+P488+S488+V488+Y488+AB488</f>
        <v>0</v>
      </c>
      <c r="Z475" s="211"/>
      <c r="AA475" s="211"/>
      <c r="AB475" s="213"/>
      <c r="AC475" s="215"/>
    </row>
    <row r="476" spans="1:29" x14ac:dyDescent="0.2">
      <c r="A476" s="228"/>
      <c r="B476" s="216" t="s">
        <v>3</v>
      </c>
      <c r="C476" s="218" t="s">
        <v>82</v>
      </c>
      <c r="D476" s="10"/>
      <c r="E476" s="10"/>
      <c r="F476" s="10"/>
      <c r="G476" s="218" t="s">
        <v>1</v>
      </c>
      <c r="H476" s="48">
        <v>19.71</v>
      </c>
      <c r="I476" s="67">
        <v>0</v>
      </c>
      <c r="J476" s="36"/>
      <c r="K476" s="36">
        <v>16</v>
      </c>
      <c r="L476" s="36">
        <f t="shared" si="81"/>
        <v>0</v>
      </c>
      <c r="M476" s="17"/>
      <c r="N476" s="48">
        <v>19.690000000000001</v>
      </c>
      <c r="O476" s="67">
        <v>0</v>
      </c>
      <c r="P476" s="36"/>
      <c r="Q476" s="36">
        <v>16</v>
      </c>
      <c r="R476" s="36">
        <f t="shared" si="80"/>
        <v>0</v>
      </c>
      <c r="S476" s="17"/>
      <c r="T476" s="48">
        <v>19.2</v>
      </c>
      <c r="U476" s="67">
        <v>0</v>
      </c>
      <c r="V476" s="36">
        <v>0</v>
      </c>
      <c r="W476" s="36">
        <v>16</v>
      </c>
      <c r="X476" s="36">
        <f t="shared" si="82"/>
        <v>0</v>
      </c>
      <c r="Y476" s="17"/>
      <c r="Z476" s="220">
        <f>SUM(L476, R476, X476)+SUM(L477, R477, X477)</f>
        <v>0</v>
      </c>
      <c r="AA476" s="220">
        <f>SUM(M476, S476, Y476)+SUM(M477, S477, Y477)</f>
        <v>0</v>
      </c>
      <c r="AB476" s="194">
        <f>IF($Z476=0, ,AA476/$Z476)</f>
        <v>0</v>
      </c>
      <c r="AC476" s="204"/>
    </row>
    <row r="477" spans="1:29" x14ac:dyDescent="0.2">
      <c r="A477" s="228"/>
      <c r="B477" s="217"/>
      <c r="C477" s="219"/>
      <c r="D477" s="10"/>
      <c r="E477" s="10"/>
      <c r="F477" s="10"/>
      <c r="G477" s="219"/>
      <c r="H477" s="48"/>
      <c r="I477" s="67"/>
      <c r="J477" s="36"/>
      <c r="K477" s="36"/>
      <c r="L477" s="36">
        <f t="shared" si="81"/>
        <v>0</v>
      </c>
      <c r="M477" s="17"/>
      <c r="N477" s="48"/>
      <c r="O477" s="67"/>
      <c r="P477" s="36"/>
      <c r="Q477" s="36"/>
      <c r="R477" s="36">
        <f t="shared" si="80"/>
        <v>0</v>
      </c>
      <c r="S477" s="17"/>
      <c r="T477" s="48"/>
      <c r="U477" s="67"/>
      <c r="V477" s="36"/>
      <c r="W477" s="36"/>
      <c r="X477" s="36">
        <f t="shared" si="82"/>
        <v>0</v>
      </c>
      <c r="Y477" s="17"/>
      <c r="Z477" s="221"/>
      <c r="AA477" s="221"/>
      <c r="AB477" s="195"/>
      <c r="AC477" s="205"/>
    </row>
    <row r="478" spans="1:29" x14ac:dyDescent="0.2">
      <c r="A478" s="228"/>
      <c r="B478" s="206" t="s">
        <v>4</v>
      </c>
      <c r="C478" s="208" t="s">
        <v>9</v>
      </c>
      <c r="D478" s="9"/>
      <c r="E478" s="10"/>
      <c r="F478" s="9"/>
      <c r="G478" s="208" t="s">
        <v>1</v>
      </c>
      <c r="H478" s="49">
        <v>20.58</v>
      </c>
      <c r="I478" s="68">
        <v>0</v>
      </c>
      <c r="J478" s="37">
        <v>0</v>
      </c>
      <c r="K478" s="37">
        <v>8</v>
      </c>
      <c r="L478" s="37">
        <f t="shared" si="81"/>
        <v>0</v>
      </c>
      <c r="M478" s="38"/>
      <c r="N478" s="49">
        <v>20.58</v>
      </c>
      <c r="O478" s="68">
        <v>0</v>
      </c>
      <c r="P478" s="37">
        <v>0</v>
      </c>
      <c r="Q478" s="37">
        <v>8</v>
      </c>
      <c r="R478" s="37">
        <f t="shared" si="80"/>
        <v>0</v>
      </c>
      <c r="S478" s="38"/>
      <c r="T478" s="49">
        <v>20.58</v>
      </c>
      <c r="U478" s="68">
        <v>0</v>
      </c>
      <c r="V478" s="37">
        <v>0</v>
      </c>
      <c r="W478" s="37">
        <v>8</v>
      </c>
      <c r="X478" s="37">
        <f t="shared" si="82"/>
        <v>0</v>
      </c>
      <c r="Y478" s="38"/>
      <c r="Z478" s="210">
        <f>SUM(L478, R478, X478)+SUM(L479, R479, X479)</f>
        <v>0</v>
      </c>
      <c r="AA478" s="210">
        <f>SUM(M478, S478, Y478)+SUM(M479, S479, Y479)</f>
        <v>0</v>
      </c>
      <c r="AB478" s="212">
        <f>IF($Z478=0, ,AA478/$Z478)</f>
        <v>0</v>
      </c>
      <c r="AC478" s="214"/>
    </row>
    <row r="479" spans="1:29" x14ac:dyDescent="0.2">
      <c r="A479" s="228"/>
      <c r="B479" s="207"/>
      <c r="C479" s="209"/>
      <c r="D479" s="9"/>
      <c r="E479" s="9"/>
      <c r="F479" s="9"/>
      <c r="G479" s="209"/>
      <c r="H479" s="49"/>
      <c r="I479" s="68"/>
      <c r="J479" s="37"/>
      <c r="K479" s="37"/>
      <c r="L479" s="37">
        <f t="shared" si="81"/>
        <v>0</v>
      </c>
      <c r="M479" s="38"/>
      <c r="N479" s="49"/>
      <c r="O479" s="68"/>
      <c r="P479" s="37"/>
      <c r="Q479" s="37"/>
      <c r="R479" s="37">
        <f t="shared" si="80"/>
        <v>0</v>
      </c>
      <c r="S479" s="38"/>
      <c r="T479" s="49"/>
      <c r="U479" s="68"/>
      <c r="V479" s="37"/>
      <c r="W479" s="37"/>
      <c r="X479" s="37">
        <f t="shared" si="82"/>
        <v>0</v>
      </c>
      <c r="Y479" s="38"/>
      <c r="Z479" s="211"/>
      <c r="AA479" s="211"/>
      <c r="AB479" s="213"/>
      <c r="AC479" s="215"/>
    </row>
    <row r="480" spans="1:29" x14ac:dyDescent="0.2">
      <c r="A480" s="228"/>
      <c r="B480" s="189" t="s">
        <v>85</v>
      </c>
      <c r="C480" s="191" t="s">
        <v>83</v>
      </c>
      <c r="D480" s="11"/>
      <c r="E480" s="10"/>
      <c r="F480" s="11"/>
      <c r="G480" s="191" t="s">
        <v>1</v>
      </c>
      <c r="H480" s="50">
        <v>12.89</v>
      </c>
      <c r="I480" s="69">
        <v>0</v>
      </c>
      <c r="J480" s="39">
        <v>0</v>
      </c>
      <c r="K480" s="39">
        <v>16</v>
      </c>
      <c r="L480" s="39">
        <f t="shared" si="81"/>
        <v>0</v>
      </c>
      <c r="M480" s="40"/>
      <c r="N480" s="50">
        <v>12.89</v>
      </c>
      <c r="O480" s="69">
        <v>0</v>
      </c>
      <c r="P480" s="39">
        <v>0</v>
      </c>
      <c r="Q480" s="39">
        <v>16</v>
      </c>
      <c r="R480" s="39">
        <f>IF(ISBLANK(P480), , P480*Q480)</f>
        <v>0</v>
      </c>
      <c r="S480" s="40"/>
      <c r="T480" s="50">
        <v>23.6</v>
      </c>
      <c r="U480" s="69">
        <v>0</v>
      </c>
      <c r="V480" s="39">
        <v>0</v>
      </c>
      <c r="W480" s="39">
        <v>16</v>
      </c>
      <c r="X480" s="39">
        <f t="shared" si="82"/>
        <v>0</v>
      </c>
      <c r="Y480" s="40"/>
      <c r="Z480" s="193">
        <f>SUM(L480, R480, X480)+SUM(L481, R481, X481)</f>
        <v>0</v>
      </c>
      <c r="AA480" s="193">
        <f>SUM(M480, S480, Y480)+SUM(M481, S481, Y481)</f>
        <v>0</v>
      </c>
      <c r="AB480" s="194">
        <f>IF($Z480=0, ,AA480/$Z480)</f>
        <v>0</v>
      </c>
      <c r="AC480" s="196"/>
    </row>
    <row r="481" spans="1:29" x14ac:dyDescent="0.2">
      <c r="A481" s="228"/>
      <c r="B481" s="190"/>
      <c r="C481" s="192"/>
      <c r="D481" s="11"/>
      <c r="E481" s="11"/>
      <c r="F481" s="11"/>
      <c r="G481" s="192"/>
      <c r="H481" s="50"/>
      <c r="I481" s="69"/>
      <c r="J481" s="39"/>
      <c r="K481" s="39"/>
      <c r="L481" s="39">
        <f t="shared" si="81"/>
        <v>0</v>
      </c>
      <c r="M481" s="40"/>
      <c r="N481" s="50"/>
      <c r="O481" s="69"/>
      <c r="P481" s="39"/>
      <c r="Q481" s="39"/>
      <c r="R481" s="39">
        <f>IF(ISBLANK(P481), , P481*Q481)</f>
        <v>0</v>
      </c>
      <c r="S481" s="40"/>
      <c r="T481" s="50"/>
      <c r="U481" s="69"/>
      <c r="V481" s="39"/>
      <c r="W481" s="39"/>
      <c r="X481" s="39">
        <f t="shared" si="82"/>
        <v>0</v>
      </c>
      <c r="Y481" s="40"/>
      <c r="Z481" s="193"/>
      <c r="AA481" s="193"/>
      <c r="AB481" s="195"/>
      <c r="AC481" s="196"/>
    </row>
    <row r="482" spans="1:29" x14ac:dyDescent="0.2">
      <c r="A482" s="228"/>
      <c r="B482" s="56"/>
      <c r="C482" s="56"/>
      <c r="D482" s="56"/>
      <c r="E482" s="56"/>
      <c r="F482" s="56"/>
      <c r="G482" s="56"/>
      <c r="H482" s="76"/>
      <c r="I482" s="77"/>
      <c r="J482" s="78"/>
      <c r="K482" s="78"/>
      <c r="L482" s="78"/>
      <c r="M482" s="79"/>
      <c r="N482" s="76"/>
      <c r="O482" s="77"/>
      <c r="P482" s="78"/>
      <c r="Q482" s="78"/>
      <c r="R482" s="78"/>
      <c r="S482" s="79"/>
      <c r="T482" s="76"/>
      <c r="U482" s="77"/>
      <c r="V482" s="78"/>
      <c r="W482" s="78"/>
      <c r="X482" s="78"/>
      <c r="Y482" s="79"/>
      <c r="Z482" s="79"/>
      <c r="AA482" s="79"/>
      <c r="AB482" s="80"/>
      <c r="AC482" s="59"/>
    </row>
    <row r="483" spans="1:29" x14ac:dyDescent="0.2">
      <c r="A483" s="228"/>
      <c r="B483" s="197" t="s">
        <v>67</v>
      </c>
      <c r="C483" s="198"/>
      <c r="D483" s="198"/>
      <c r="E483" s="198"/>
      <c r="F483" s="198"/>
      <c r="G483" s="9" t="s">
        <v>68</v>
      </c>
      <c r="H483" s="199" t="s">
        <v>64</v>
      </c>
      <c r="I483" s="199"/>
      <c r="J483" s="199"/>
      <c r="K483" s="199" t="s">
        <v>76</v>
      </c>
      <c r="L483" s="199"/>
      <c r="M483" s="199"/>
      <c r="N483" s="199" t="s">
        <v>65</v>
      </c>
      <c r="O483" s="199"/>
      <c r="P483" s="199"/>
      <c r="Q483" s="199" t="s">
        <v>66</v>
      </c>
      <c r="R483" s="199"/>
      <c r="S483" s="199"/>
      <c r="T483" s="199" t="s">
        <v>73</v>
      </c>
      <c r="U483" s="199"/>
      <c r="V483" s="199"/>
      <c r="W483" s="199" t="s">
        <v>74</v>
      </c>
      <c r="X483" s="199"/>
      <c r="Y483" s="199"/>
      <c r="Z483" s="199" t="s">
        <v>75</v>
      </c>
      <c r="AA483" s="199"/>
      <c r="AB483" s="199"/>
      <c r="AC483" s="200" t="s">
        <v>106</v>
      </c>
    </row>
    <row r="484" spans="1:29" x14ac:dyDescent="0.2">
      <c r="A484" s="228"/>
      <c r="B484" s="197"/>
      <c r="C484" s="198"/>
      <c r="D484" s="198"/>
      <c r="E484" s="198"/>
      <c r="F484" s="198"/>
      <c r="G484" s="9" t="s">
        <v>69</v>
      </c>
      <c r="H484" s="98" t="s">
        <v>70</v>
      </c>
      <c r="I484" s="98" t="s">
        <v>71</v>
      </c>
      <c r="J484" s="99" t="s">
        <v>72</v>
      </c>
      <c r="K484" s="98" t="s">
        <v>70</v>
      </c>
      <c r="L484" s="98" t="s">
        <v>71</v>
      </c>
      <c r="M484" s="99" t="s">
        <v>72</v>
      </c>
      <c r="N484" s="98" t="s">
        <v>70</v>
      </c>
      <c r="O484" s="98" t="s">
        <v>71</v>
      </c>
      <c r="P484" s="99" t="s">
        <v>72</v>
      </c>
      <c r="Q484" s="98" t="s">
        <v>70</v>
      </c>
      <c r="R484" s="98" t="s">
        <v>71</v>
      </c>
      <c r="S484" s="99" t="s">
        <v>72</v>
      </c>
      <c r="T484" s="98" t="s">
        <v>70</v>
      </c>
      <c r="U484" s="98" t="s">
        <v>71</v>
      </c>
      <c r="V484" s="99" t="s">
        <v>72</v>
      </c>
      <c r="W484" s="98" t="s">
        <v>70</v>
      </c>
      <c r="X484" s="98" t="s">
        <v>71</v>
      </c>
      <c r="Y484" s="99" t="s">
        <v>72</v>
      </c>
      <c r="Z484" s="98" t="s">
        <v>70</v>
      </c>
      <c r="AA484" s="98" t="s">
        <v>71</v>
      </c>
      <c r="AB484" s="99" t="s">
        <v>72</v>
      </c>
      <c r="AC484" s="200"/>
    </row>
    <row r="485" spans="1:29" x14ac:dyDescent="0.2">
      <c r="A485" s="228"/>
      <c r="B485" s="201" t="str">
        <f>B472</f>
        <v>02C</v>
      </c>
      <c r="C485" s="202" t="str">
        <f>C472</f>
        <v>DEO-C01</v>
      </c>
      <c r="D485" s="9" t="str">
        <f>IF(ISBLANK(D472), "", D472)</f>
        <v/>
      </c>
      <c r="E485" s="9" t="str">
        <f>IF(ISBLANK(E472), "", E472)</f>
        <v/>
      </c>
      <c r="F485" s="9" t="str">
        <f>IF(ISBLANK(F472), "", F472)</f>
        <v/>
      </c>
      <c r="G485" s="203"/>
      <c r="H485" s="38"/>
      <c r="I485" s="38"/>
      <c r="J485" s="38"/>
      <c r="K485" s="38"/>
      <c r="L485" s="38"/>
      <c r="M485" s="38"/>
      <c r="N485" s="37"/>
      <c r="O485" s="37"/>
      <c r="P485" s="37"/>
      <c r="Q485" s="37"/>
      <c r="R485" s="37"/>
      <c r="S485" s="38"/>
      <c r="T485" s="37"/>
      <c r="U485" s="37"/>
      <c r="V485" s="37"/>
      <c r="W485" s="37"/>
      <c r="X485" s="37"/>
      <c r="Y485" s="38"/>
      <c r="Z485" s="38"/>
      <c r="AA485" s="38"/>
      <c r="AB485" s="112"/>
      <c r="AC485" s="200"/>
    </row>
    <row r="486" spans="1:29" x14ac:dyDescent="0.2">
      <c r="A486" s="228"/>
      <c r="B486" s="201"/>
      <c r="C486" s="202"/>
      <c r="D486" s="9"/>
      <c r="E486" s="9" t="str">
        <f t="shared" ref="E486:F488" si="83">IF(ISBLANK(E473), "", E473)</f>
        <v/>
      </c>
      <c r="F486" s="9" t="str">
        <f t="shared" si="83"/>
        <v/>
      </c>
      <c r="G486" s="203"/>
      <c r="H486" s="37"/>
      <c r="I486" s="37"/>
      <c r="J486" s="37"/>
      <c r="K486" s="37"/>
      <c r="L486" s="37"/>
      <c r="M486" s="38"/>
      <c r="N486" s="37"/>
      <c r="O486" s="37"/>
      <c r="P486" s="37"/>
      <c r="Q486" s="37"/>
      <c r="R486" s="37"/>
      <c r="S486" s="38"/>
      <c r="T486" s="37"/>
      <c r="U486" s="37"/>
      <c r="V486" s="37"/>
      <c r="W486" s="37"/>
      <c r="X486" s="37"/>
      <c r="Y486" s="38"/>
      <c r="Z486" s="38"/>
      <c r="AA486" s="38"/>
      <c r="AB486" s="112"/>
      <c r="AC486" s="200"/>
    </row>
    <row r="487" spans="1:29" x14ac:dyDescent="0.2">
      <c r="A487" s="228"/>
      <c r="B487" s="201" t="str">
        <f>B474</f>
        <v>03C</v>
      </c>
      <c r="C487" s="202" t="str">
        <f>C474</f>
        <v>DEO-B02</v>
      </c>
      <c r="D487" s="9" t="str">
        <f>IF(ISBLANK(D474), "", D474)</f>
        <v/>
      </c>
      <c r="E487" s="9" t="str">
        <f t="shared" si="83"/>
        <v/>
      </c>
      <c r="F487" s="9" t="str">
        <f t="shared" si="83"/>
        <v/>
      </c>
      <c r="G487" s="203"/>
      <c r="H487" s="38"/>
      <c r="I487" s="38"/>
      <c r="J487" s="38"/>
      <c r="K487" s="37"/>
      <c r="L487" s="37"/>
      <c r="M487" s="38"/>
      <c r="N487" s="37"/>
      <c r="O487" s="37"/>
      <c r="P487" s="37"/>
      <c r="Q487" s="37"/>
      <c r="R487" s="37"/>
      <c r="S487" s="38"/>
      <c r="T487" s="37"/>
      <c r="U487" s="37"/>
      <c r="V487" s="37"/>
      <c r="W487" s="37"/>
      <c r="X487" s="37"/>
      <c r="Y487" s="38"/>
      <c r="Z487" s="38"/>
      <c r="AA487" s="38"/>
      <c r="AB487" s="112"/>
      <c r="AC487" s="200"/>
    </row>
    <row r="488" spans="1:29" x14ac:dyDescent="0.2">
      <c r="A488" s="228"/>
      <c r="B488" s="201"/>
      <c r="C488" s="202"/>
      <c r="D488" s="9" t="str">
        <f>IF(ISBLANK(D475), "", D475)</f>
        <v/>
      </c>
      <c r="E488" s="9" t="str">
        <f t="shared" si="83"/>
        <v/>
      </c>
      <c r="F488" s="9" t="str">
        <f t="shared" si="83"/>
        <v/>
      </c>
      <c r="G488" s="203"/>
      <c r="H488" s="37"/>
      <c r="I488" s="37"/>
      <c r="J488" s="37"/>
      <c r="K488" s="37"/>
      <c r="L488" s="37"/>
      <c r="M488" s="38"/>
      <c r="N488" s="37"/>
      <c r="O488" s="37"/>
      <c r="P488" s="37"/>
      <c r="Q488" s="37"/>
      <c r="R488" s="37"/>
      <c r="S488" s="38"/>
      <c r="T488" s="37"/>
      <c r="U488" s="37"/>
      <c r="V488" s="37"/>
      <c r="W488" s="37"/>
      <c r="X488" s="37"/>
      <c r="Y488" s="38"/>
      <c r="Z488" s="38"/>
      <c r="AA488" s="38"/>
      <c r="AB488" s="112"/>
      <c r="AC488" s="200"/>
    </row>
    <row r="490" spans="1:29" x14ac:dyDescent="0.2">
      <c r="A490" s="228">
        <v>44734</v>
      </c>
      <c r="B490" s="19" t="s">
        <v>42</v>
      </c>
      <c r="C490" s="20"/>
      <c r="D490" s="21" t="s">
        <v>43</v>
      </c>
      <c r="E490" s="20">
        <v>0</v>
      </c>
      <c r="F490" s="31"/>
      <c r="G490" s="32"/>
      <c r="H490" s="52"/>
      <c r="I490" s="65"/>
      <c r="J490" s="73"/>
      <c r="K490" s="32"/>
      <c r="L490" s="21"/>
      <c r="M490" s="32"/>
      <c r="N490" s="52"/>
      <c r="O490" s="65"/>
      <c r="P490" s="73"/>
      <c r="Q490" s="32"/>
      <c r="R490" s="21"/>
      <c r="S490" s="32"/>
      <c r="T490" s="52"/>
      <c r="U490" s="65"/>
      <c r="V490" s="73"/>
      <c r="W490" s="32"/>
      <c r="X490" s="21"/>
      <c r="Y490" s="21"/>
      <c r="Z490" s="32"/>
      <c r="AA490" s="21"/>
      <c r="AB490" s="21"/>
      <c r="AC490" s="33"/>
    </row>
    <row r="491" spans="1:29" x14ac:dyDescent="0.2">
      <c r="A491" s="228"/>
      <c r="B491" s="229" t="s">
        <v>10</v>
      </c>
      <c r="C491" s="230" t="s">
        <v>0</v>
      </c>
      <c r="D491" s="230" t="s">
        <v>25</v>
      </c>
      <c r="E491" s="230" t="s">
        <v>11</v>
      </c>
      <c r="F491" s="230" t="s">
        <v>16</v>
      </c>
      <c r="G491" s="237" t="s">
        <v>12</v>
      </c>
      <c r="H491" s="222" t="s">
        <v>13</v>
      </c>
      <c r="I491" s="223"/>
      <c r="J491" s="223"/>
      <c r="K491" s="223"/>
      <c r="L491" s="223"/>
      <c r="M491" s="224"/>
      <c r="N491" s="222" t="s">
        <v>14</v>
      </c>
      <c r="O491" s="223"/>
      <c r="P491" s="223"/>
      <c r="Q491" s="223"/>
      <c r="R491" s="223"/>
      <c r="S491" s="224"/>
      <c r="T491" s="222" t="s">
        <v>15</v>
      </c>
      <c r="U491" s="223"/>
      <c r="V491" s="223"/>
      <c r="W491" s="223"/>
      <c r="X491" s="223"/>
      <c r="Y491" s="224"/>
      <c r="Z491" s="225" t="s">
        <v>37</v>
      </c>
      <c r="AA491" s="225" t="s">
        <v>39</v>
      </c>
      <c r="AB491" s="225" t="s">
        <v>62</v>
      </c>
      <c r="AC491" s="231" t="s">
        <v>26</v>
      </c>
    </row>
    <row r="492" spans="1:29" ht="25.5" x14ac:dyDescent="0.2">
      <c r="A492" s="228"/>
      <c r="B492" s="229"/>
      <c r="C492" s="230"/>
      <c r="D492" s="230"/>
      <c r="E492" s="230"/>
      <c r="F492" s="230"/>
      <c r="G492" s="237"/>
      <c r="H492" s="53" t="s">
        <v>50</v>
      </c>
      <c r="I492" s="66" t="s">
        <v>51</v>
      </c>
      <c r="J492" s="74" t="s">
        <v>63</v>
      </c>
      <c r="K492" s="24" t="s">
        <v>44</v>
      </c>
      <c r="L492" s="18" t="s">
        <v>5</v>
      </c>
      <c r="M492" s="81" t="s">
        <v>31</v>
      </c>
      <c r="N492" s="53" t="s">
        <v>50</v>
      </c>
      <c r="O492" s="66" t="s">
        <v>51</v>
      </c>
      <c r="P492" s="74" t="s">
        <v>63</v>
      </c>
      <c r="Q492" s="24" t="s">
        <v>44</v>
      </c>
      <c r="R492" s="30" t="s">
        <v>5</v>
      </c>
      <c r="S492" s="34" t="s">
        <v>31</v>
      </c>
      <c r="T492" s="53" t="s">
        <v>50</v>
      </c>
      <c r="U492" s="66" t="s">
        <v>51</v>
      </c>
      <c r="V492" s="74" t="s">
        <v>63</v>
      </c>
      <c r="W492" s="24" t="s">
        <v>44</v>
      </c>
      <c r="X492" s="30" t="s">
        <v>5</v>
      </c>
      <c r="Y492" s="34" t="s">
        <v>31</v>
      </c>
      <c r="Z492" s="226"/>
      <c r="AA492" s="227"/>
      <c r="AB492" s="227"/>
      <c r="AC492" s="231"/>
    </row>
    <row r="493" spans="1:29" x14ac:dyDescent="0.2">
      <c r="A493" s="228"/>
      <c r="B493" s="232" t="s">
        <v>2</v>
      </c>
      <c r="C493" s="234" t="s">
        <v>84</v>
      </c>
      <c r="D493" s="12"/>
      <c r="E493" s="10"/>
      <c r="F493" s="12"/>
      <c r="G493" s="234" t="s">
        <v>1</v>
      </c>
      <c r="H493" s="47">
        <v>23.6</v>
      </c>
      <c r="I493" s="63">
        <v>0</v>
      </c>
      <c r="J493" s="35"/>
      <c r="K493" s="35">
        <v>16</v>
      </c>
      <c r="L493" s="35">
        <f>IF(ISBLANK(J493), , J493*K493)</f>
        <v>0</v>
      </c>
      <c r="M493" s="29"/>
      <c r="N493" s="47">
        <v>23.6</v>
      </c>
      <c r="O493" s="63">
        <v>0</v>
      </c>
      <c r="P493" s="35"/>
      <c r="Q493" s="35">
        <v>16</v>
      </c>
      <c r="R493" s="35">
        <f>IF(ISBLANK(P493), , P493*Q493)</f>
        <v>0</v>
      </c>
      <c r="S493" s="29"/>
      <c r="T493" s="47">
        <v>23.6</v>
      </c>
      <c r="U493" s="63">
        <v>0</v>
      </c>
      <c r="V493" s="35"/>
      <c r="W493" s="35">
        <v>16</v>
      </c>
      <c r="X493" s="35">
        <f>IF(ISBLANK(V493), , V493*W493)</f>
        <v>0</v>
      </c>
      <c r="Y493" s="29"/>
      <c r="Z493" s="210">
        <f>SUM(L493, R493, X493)+SUM(L494, R494, X494)</f>
        <v>0</v>
      </c>
      <c r="AA493" s="210">
        <f>SUM(M493, S493, Y493)+SUM(M494, S494, Y494)</f>
        <v>0</v>
      </c>
      <c r="AB493" s="212">
        <f>IF($Z493=0, ,AA493/$Z493)</f>
        <v>0</v>
      </c>
      <c r="AC493" s="214"/>
    </row>
    <row r="494" spans="1:29" x14ac:dyDescent="0.2">
      <c r="A494" s="228"/>
      <c r="B494" s="233"/>
      <c r="C494" s="235"/>
      <c r="D494" s="12"/>
      <c r="E494" s="12"/>
      <c r="F494" s="12"/>
      <c r="G494" s="236"/>
      <c r="H494" s="47"/>
      <c r="I494" s="63"/>
      <c r="J494" s="35"/>
      <c r="K494" s="35"/>
      <c r="L494" s="35">
        <f>IF(ISBLANK(J494), , J494*K494)</f>
        <v>0</v>
      </c>
      <c r="M494" s="29"/>
      <c r="N494" s="47"/>
      <c r="O494" s="63"/>
      <c r="P494" s="35"/>
      <c r="Q494" s="35"/>
      <c r="R494" s="35">
        <f>IF(ISBLANK(P494), , P494*Q494)</f>
        <v>0</v>
      </c>
      <c r="S494" s="29"/>
      <c r="T494" s="47"/>
      <c r="U494" s="63"/>
      <c r="V494" s="35"/>
      <c r="W494" s="35"/>
      <c r="X494" s="35">
        <f>IF(ISBLANK(V494), , V494*W494)</f>
        <v>0</v>
      </c>
      <c r="Y494" s="29"/>
      <c r="Z494" s="211"/>
      <c r="AA494" s="211"/>
      <c r="AB494" s="213"/>
      <c r="AC494" s="215"/>
    </row>
    <row r="495" spans="1:29" x14ac:dyDescent="0.2">
      <c r="A495" s="228"/>
      <c r="B495" s="216" t="s">
        <v>6</v>
      </c>
      <c r="C495" s="218" t="s">
        <v>8</v>
      </c>
      <c r="D495" s="10"/>
      <c r="E495" s="10"/>
      <c r="F495" s="10"/>
      <c r="G495" s="218" t="s">
        <v>1</v>
      </c>
      <c r="H495" s="48">
        <v>19.57</v>
      </c>
      <c r="I495" s="67">
        <v>0</v>
      </c>
      <c r="J495" s="39"/>
      <c r="K495" s="39">
        <v>8</v>
      </c>
      <c r="L495" s="39">
        <f>IF(ISBLANK(J495), , J495*K495)</f>
        <v>0</v>
      </c>
      <c r="M495" s="40">
        <f>H508+K508+N508+Q508+T508+W508+Z508</f>
        <v>0</v>
      </c>
      <c r="N495" s="48">
        <v>19.57</v>
      </c>
      <c r="O495" s="67">
        <v>0</v>
      </c>
      <c r="P495" s="39"/>
      <c r="Q495" s="39">
        <v>8</v>
      </c>
      <c r="R495" s="39">
        <f>IF(ISBLANK(P495), , P495*Q495)</f>
        <v>0</v>
      </c>
      <c r="S495" s="40">
        <f>I508+L508+O508+R508+U508+X508+AA508</f>
        <v>0</v>
      </c>
      <c r="T495" s="48">
        <v>19.57</v>
      </c>
      <c r="U495" s="67">
        <v>0</v>
      </c>
      <c r="V495" s="39"/>
      <c r="W495" s="39">
        <v>8</v>
      </c>
      <c r="X495" s="39">
        <f>IF(ISBLANK(V495), , V495*W495)</f>
        <v>0</v>
      </c>
      <c r="Y495" s="40">
        <f>J508+M508+P508+S508+V508+Y508+AB508</f>
        <v>0</v>
      </c>
      <c r="Z495" s="238">
        <f>SUM(L495, R495, X495)+SUM(L496, R496, X496)</f>
        <v>0</v>
      </c>
      <c r="AA495" s="220">
        <f>SUM(M495, S495, Y495)+SUM(M496, S496, Y496)</f>
        <v>0</v>
      </c>
      <c r="AB495" s="194">
        <f>IF($Z495=0, ,AA495/$Z495)</f>
        <v>0</v>
      </c>
      <c r="AC495" s="204"/>
    </row>
    <row r="496" spans="1:29" x14ac:dyDescent="0.2">
      <c r="A496" s="228"/>
      <c r="B496" s="217"/>
      <c r="C496" s="219"/>
      <c r="D496" s="10"/>
      <c r="E496" s="10"/>
      <c r="F496" s="10"/>
      <c r="G496" s="219"/>
      <c r="H496" s="48"/>
      <c r="I496" s="67"/>
      <c r="J496" s="39"/>
      <c r="K496" s="39"/>
      <c r="L496" s="39">
        <f>IF(ISBLANK(J496), , J496*K496)</f>
        <v>0</v>
      </c>
      <c r="M496" s="40">
        <f>H509+K509+N509+Q509+T509+W509+Z509</f>
        <v>0</v>
      </c>
      <c r="N496" s="48"/>
      <c r="O496" s="67"/>
      <c r="P496" s="39"/>
      <c r="Q496" s="39"/>
      <c r="R496" s="39">
        <f t="shared" ref="R496:R502" si="84">IF(ISBLANK(P496), , P496*Q496)</f>
        <v>0</v>
      </c>
      <c r="S496" s="40">
        <f>I509+L509+O509+R509+U509+X509+AA509</f>
        <v>0</v>
      </c>
      <c r="T496" s="48"/>
      <c r="U496" s="67"/>
      <c r="V496" s="39"/>
      <c r="W496" s="39"/>
      <c r="X496" s="39">
        <f>IF(ISBLANK(V496), , V496*W496)</f>
        <v>0</v>
      </c>
      <c r="Y496" s="40">
        <f>J509+M509+P509+S509+V509+Y509+AB509</f>
        <v>0</v>
      </c>
      <c r="Z496" s="239"/>
      <c r="AA496" s="221"/>
      <c r="AB496" s="195"/>
      <c r="AC496" s="205"/>
    </row>
    <row r="497" spans="1:29" x14ac:dyDescent="0.2">
      <c r="A497" s="228"/>
      <c r="B497" s="206" t="s">
        <v>7</v>
      </c>
      <c r="C497" s="208" t="s">
        <v>81</v>
      </c>
      <c r="D497" s="9"/>
      <c r="E497" s="9"/>
      <c r="F497" s="9"/>
      <c r="G497" s="208" t="s">
        <v>1</v>
      </c>
      <c r="H497" s="49">
        <v>20.5</v>
      </c>
      <c r="I497" s="68">
        <v>0</v>
      </c>
      <c r="J497" s="37"/>
      <c r="K497" s="37">
        <v>8</v>
      </c>
      <c r="L497" s="37">
        <f>IF(ISBLANK(J497), , J497*K497)</f>
        <v>0</v>
      </c>
      <c r="M497" s="38">
        <f>H510+K510+N510+Q510+T510+W510+Z510</f>
        <v>0</v>
      </c>
      <c r="N497" s="49">
        <v>21.95</v>
      </c>
      <c r="O497" s="68">
        <v>0</v>
      </c>
      <c r="P497" s="37"/>
      <c r="Q497" s="37">
        <v>8</v>
      </c>
      <c r="R497" s="37">
        <f t="shared" si="84"/>
        <v>0</v>
      </c>
      <c r="S497" s="38">
        <f>I510+L510+O510+R510+U510+X510+AA510</f>
        <v>0</v>
      </c>
      <c r="T497" s="49">
        <v>22</v>
      </c>
      <c r="U497" s="68">
        <v>0</v>
      </c>
      <c r="V497" s="37"/>
      <c r="W497" s="37">
        <v>8</v>
      </c>
      <c r="X497" s="37">
        <f>IF(ISBLANK(V497), , V497*W497)</f>
        <v>0</v>
      </c>
      <c r="Y497" s="38">
        <f>J510+M510+P510+S510+V510+Y510+AB510</f>
        <v>0</v>
      </c>
      <c r="Z497" s="210">
        <f>SUM(L497, R497, X497)+SUM(L498, R498, X498)</f>
        <v>0</v>
      </c>
      <c r="AA497" s="210">
        <f>SUM(M497, S497, Y497)+SUM(M498, S498, Y498)</f>
        <v>0</v>
      </c>
      <c r="AB497" s="212">
        <f>IF($Z497=0, ,AA497/$Z497)</f>
        <v>0</v>
      </c>
      <c r="AC497" s="214"/>
    </row>
    <row r="498" spans="1:29" x14ac:dyDescent="0.2">
      <c r="A498" s="228"/>
      <c r="B498" s="207"/>
      <c r="C498" s="209"/>
      <c r="D498" s="9"/>
      <c r="E498" s="9"/>
      <c r="F498" s="9"/>
      <c r="G498" s="209"/>
      <c r="H498" s="49"/>
      <c r="I498" s="68"/>
      <c r="J498" s="37"/>
      <c r="K498" s="37"/>
      <c r="L498" s="37">
        <f t="shared" ref="L498:L504" si="85">IF(ISBLANK(J498), , J498*K498)</f>
        <v>0</v>
      </c>
      <c r="M498" s="38">
        <f>H511+K511+N511+Q511+T511+W511+Z511</f>
        <v>0</v>
      </c>
      <c r="N498" s="49"/>
      <c r="O498" s="68"/>
      <c r="P498" s="37"/>
      <c r="Q498" s="37"/>
      <c r="R498" s="37">
        <f t="shared" si="84"/>
        <v>0</v>
      </c>
      <c r="S498" s="38">
        <f>I511+L511+O511+R511+U511+X511+AA511</f>
        <v>0</v>
      </c>
      <c r="T498" s="49"/>
      <c r="U498" s="68"/>
      <c r="V498" s="37"/>
      <c r="W498" s="37"/>
      <c r="X498" s="37">
        <f t="shared" ref="X498:X504" si="86">IF(ISBLANK(V498), , V498*W498)</f>
        <v>0</v>
      </c>
      <c r="Y498" s="38">
        <f>J511+M511+P511+S511+V511+Y511+AB511</f>
        <v>0</v>
      </c>
      <c r="Z498" s="211"/>
      <c r="AA498" s="211"/>
      <c r="AB498" s="213"/>
      <c r="AC498" s="215"/>
    </row>
    <row r="499" spans="1:29" x14ac:dyDescent="0.2">
      <c r="A499" s="228"/>
      <c r="B499" s="216" t="s">
        <v>3</v>
      </c>
      <c r="C499" s="218" t="s">
        <v>82</v>
      </c>
      <c r="D499" s="10"/>
      <c r="E499" s="10"/>
      <c r="F499" s="10"/>
      <c r="G499" s="218" t="s">
        <v>1</v>
      </c>
      <c r="H499" s="48">
        <v>19.71</v>
      </c>
      <c r="I499" s="67">
        <v>0</v>
      </c>
      <c r="J499" s="36"/>
      <c r="K499" s="36">
        <v>16</v>
      </c>
      <c r="L499" s="36">
        <f t="shared" si="85"/>
        <v>0</v>
      </c>
      <c r="M499" s="17"/>
      <c r="N499" s="48">
        <v>19.690000000000001</v>
      </c>
      <c r="O499" s="67">
        <v>0</v>
      </c>
      <c r="P499" s="36"/>
      <c r="Q499" s="36">
        <v>16</v>
      </c>
      <c r="R499" s="36">
        <f t="shared" si="84"/>
        <v>0</v>
      </c>
      <c r="S499" s="17"/>
      <c r="T499" s="48">
        <v>19.2</v>
      </c>
      <c r="U499" s="67">
        <v>0</v>
      </c>
      <c r="V499" s="36">
        <v>0</v>
      </c>
      <c r="W499" s="36">
        <v>16</v>
      </c>
      <c r="X499" s="36">
        <f t="shared" si="86"/>
        <v>0</v>
      </c>
      <c r="Y499" s="17"/>
      <c r="Z499" s="220">
        <f>SUM(L499, R499, X499)+SUM(L500, R500, X500)</f>
        <v>0</v>
      </c>
      <c r="AA499" s="220">
        <f>SUM(M499, S499, Y499)+SUM(M500, S500, Y500)</f>
        <v>0</v>
      </c>
      <c r="AB499" s="194">
        <f>IF($Z499=0, ,AA499/$Z499)</f>
        <v>0</v>
      </c>
      <c r="AC499" s="204"/>
    </row>
    <row r="500" spans="1:29" x14ac:dyDescent="0.2">
      <c r="A500" s="228"/>
      <c r="B500" s="217"/>
      <c r="C500" s="219"/>
      <c r="D500" s="10"/>
      <c r="E500" s="10"/>
      <c r="F500" s="10"/>
      <c r="G500" s="219"/>
      <c r="H500" s="48"/>
      <c r="I500" s="67"/>
      <c r="J500" s="36"/>
      <c r="K500" s="36"/>
      <c r="L500" s="36">
        <f t="shared" si="85"/>
        <v>0</v>
      </c>
      <c r="M500" s="17"/>
      <c r="N500" s="48"/>
      <c r="O500" s="67"/>
      <c r="P500" s="36"/>
      <c r="Q500" s="36"/>
      <c r="R500" s="36">
        <f t="shared" si="84"/>
        <v>0</v>
      </c>
      <c r="S500" s="17"/>
      <c r="T500" s="48"/>
      <c r="U500" s="67"/>
      <c r="V500" s="36"/>
      <c r="W500" s="36"/>
      <c r="X500" s="36">
        <f t="shared" si="86"/>
        <v>0</v>
      </c>
      <c r="Y500" s="17"/>
      <c r="Z500" s="221"/>
      <c r="AA500" s="221"/>
      <c r="AB500" s="195"/>
      <c r="AC500" s="205"/>
    </row>
    <row r="501" spans="1:29" x14ac:dyDescent="0.2">
      <c r="A501" s="228"/>
      <c r="B501" s="206" t="s">
        <v>4</v>
      </c>
      <c r="C501" s="208" t="s">
        <v>9</v>
      </c>
      <c r="D501" s="9"/>
      <c r="E501" s="10"/>
      <c r="F501" s="9"/>
      <c r="G501" s="208" t="s">
        <v>1</v>
      </c>
      <c r="H501" s="49">
        <v>20.58</v>
      </c>
      <c r="I501" s="68">
        <v>0</v>
      </c>
      <c r="J501" s="37">
        <v>0</v>
      </c>
      <c r="K501" s="37">
        <v>8</v>
      </c>
      <c r="L501" s="37">
        <f t="shared" si="85"/>
        <v>0</v>
      </c>
      <c r="M501" s="38"/>
      <c r="N501" s="49">
        <v>20.58</v>
      </c>
      <c r="O501" s="68">
        <v>0</v>
      </c>
      <c r="P501" s="37">
        <v>0</v>
      </c>
      <c r="Q501" s="37">
        <v>8</v>
      </c>
      <c r="R501" s="37">
        <f t="shared" si="84"/>
        <v>0</v>
      </c>
      <c r="S501" s="38"/>
      <c r="T501" s="49">
        <v>20.58</v>
      </c>
      <c r="U501" s="68">
        <v>0</v>
      </c>
      <c r="V501" s="37">
        <v>0</v>
      </c>
      <c r="W501" s="37">
        <v>8</v>
      </c>
      <c r="X501" s="37">
        <f t="shared" si="86"/>
        <v>0</v>
      </c>
      <c r="Y501" s="38"/>
      <c r="Z501" s="210">
        <f>SUM(L501, R501, X501)+SUM(L502, R502, X502)</f>
        <v>0</v>
      </c>
      <c r="AA501" s="210">
        <f>SUM(M501, S501, Y501)+SUM(M502, S502, Y502)</f>
        <v>0</v>
      </c>
      <c r="AB501" s="212">
        <f>IF($Z501=0, ,AA501/$Z501)</f>
        <v>0</v>
      </c>
      <c r="AC501" s="214"/>
    </row>
    <row r="502" spans="1:29" x14ac:dyDescent="0.2">
      <c r="A502" s="228"/>
      <c r="B502" s="207"/>
      <c r="C502" s="209"/>
      <c r="D502" s="9"/>
      <c r="E502" s="9"/>
      <c r="F502" s="9"/>
      <c r="G502" s="209"/>
      <c r="H502" s="49"/>
      <c r="I502" s="68"/>
      <c r="J502" s="37"/>
      <c r="K502" s="37"/>
      <c r="L502" s="37">
        <f t="shared" si="85"/>
        <v>0</v>
      </c>
      <c r="M502" s="38"/>
      <c r="N502" s="49"/>
      <c r="O502" s="68"/>
      <c r="P502" s="37"/>
      <c r="Q502" s="37"/>
      <c r="R502" s="37">
        <f t="shared" si="84"/>
        <v>0</v>
      </c>
      <c r="S502" s="38"/>
      <c r="T502" s="49"/>
      <c r="U502" s="68"/>
      <c r="V502" s="37"/>
      <c r="W502" s="37"/>
      <c r="X502" s="37">
        <f t="shared" si="86"/>
        <v>0</v>
      </c>
      <c r="Y502" s="38"/>
      <c r="Z502" s="211"/>
      <c r="AA502" s="211"/>
      <c r="AB502" s="213"/>
      <c r="AC502" s="215"/>
    </row>
    <row r="503" spans="1:29" x14ac:dyDescent="0.2">
      <c r="A503" s="228"/>
      <c r="B503" s="189" t="s">
        <v>85</v>
      </c>
      <c r="C503" s="191" t="s">
        <v>83</v>
      </c>
      <c r="D503" s="11"/>
      <c r="E503" s="10"/>
      <c r="F503" s="11"/>
      <c r="G503" s="191" t="s">
        <v>1</v>
      </c>
      <c r="H503" s="50">
        <v>12.89</v>
      </c>
      <c r="I503" s="69">
        <v>0</v>
      </c>
      <c r="J503" s="39">
        <v>0</v>
      </c>
      <c r="K503" s="39">
        <v>16</v>
      </c>
      <c r="L503" s="39">
        <f t="shared" si="85"/>
        <v>0</v>
      </c>
      <c r="M503" s="40"/>
      <c r="N503" s="50">
        <v>12.89</v>
      </c>
      <c r="O503" s="69">
        <v>0</v>
      </c>
      <c r="P503" s="39">
        <v>0</v>
      </c>
      <c r="Q503" s="39">
        <v>16</v>
      </c>
      <c r="R503" s="39">
        <f>IF(ISBLANK(P503), , P503*Q503)</f>
        <v>0</v>
      </c>
      <c r="S503" s="40"/>
      <c r="T503" s="50">
        <v>23.6</v>
      </c>
      <c r="U503" s="69">
        <v>0</v>
      </c>
      <c r="V503" s="39">
        <v>0</v>
      </c>
      <c r="W503" s="39">
        <v>16</v>
      </c>
      <c r="X503" s="39">
        <f t="shared" si="86"/>
        <v>0</v>
      </c>
      <c r="Y503" s="40"/>
      <c r="Z503" s="193">
        <f>SUM(L503, R503, X503)+SUM(L504, R504, X504)</f>
        <v>0</v>
      </c>
      <c r="AA503" s="193">
        <f>SUM(M503, S503, Y503)+SUM(M504, S504, Y504)</f>
        <v>0</v>
      </c>
      <c r="AB503" s="194">
        <f>IF($Z503=0, ,AA503/$Z503)</f>
        <v>0</v>
      </c>
      <c r="AC503" s="196"/>
    </row>
    <row r="504" spans="1:29" x14ac:dyDescent="0.2">
      <c r="A504" s="228"/>
      <c r="B504" s="190"/>
      <c r="C504" s="192"/>
      <c r="D504" s="11"/>
      <c r="E504" s="11"/>
      <c r="F504" s="11"/>
      <c r="G504" s="192"/>
      <c r="H504" s="50"/>
      <c r="I504" s="69"/>
      <c r="J504" s="39"/>
      <c r="K504" s="39"/>
      <c r="L504" s="39">
        <f t="shared" si="85"/>
        <v>0</v>
      </c>
      <c r="M504" s="40"/>
      <c r="N504" s="50"/>
      <c r="O504" s="69"/>
      <c r="P504" s="39"/>
      <c r="Q504" s="39"/>
      <c r="R504" s="39">
        <f>IF(ISBLANK(P504), , P504*Q504)</f>
        <v>0</v>
      </c>
      <c r="S504" s="40"/>
      <c r="T504" s="50"/>
      <c r="U504" s="69"/>
      <c r="V504" s="39"/>
      <c r="W504" s="39"/>
      <c r="X504" s="39">
        <f t="shared" si="86"/>
        <v>0</v>
      </c>
      <c r="Y504" s="40"/>
      <c r="Z504" s="193"/>
      <c r="AA504" s="193"/>
      <c r="AB504" s="195"/>
      <c r="AC504" s="196"/>
    </row>
    <row r="505" spans="1:29" x14ac:dyDescent="0.2">
      <c r="A505" s="228"/>
      <c r="B505" s="56"/>
      <c r="C505" s="56"/>
      <c r="D505" s="56"/>
      <c r="E505" s="56"/>
      <c r="F505" s="56"/>
      <c r="G505" s="56"/>
      <c r="H505" s="76"/>
      <c r="I505" s="77"/>
      <c r="J505" s="78"/>
      <c r="K505" s="78"/>
      <c r="L505" s="78"/>
      <c r="M505" s="79"/>
      <c r="N505" s="76"/>
      <c r="O505" s="77"/>
      <c r="P505" s="78"/>
      <c r="Q505" s="78"/>
      <c r="R505" s="78"/>
      <c r="S505" s="79"/>
      <c r="T505" s="76"/>
      <c r="U505" s="77"/>
      <c r="V505" s="78"/>
      <c r="W505" s="78"/>
      <c r="X505" s="78"/>
      <c r="Y505" s="79"/>
      <c r="Z505" s="79"/>
      <c r="AA505" s="79"/>
      <c r="AB505" s="80"/>
      <c r="AC505" s="59"/>
    </row>
    <row r="506" spans="1:29" x14ac:dyDescent="0.2">
      <c r="A506" s="228"/>
      <c r="B506" s="197" t="s">
        <v>67</v>
      </c>
      <c r="C506" s="198"/>
      <c r="D506" s="198"/>
      <c r="E506" s="198"/>
      <c r="F506" s="198"/>
      <c r="G506" s="9" t="s">
        <v>68</v>
      </c>
      <c r="H506" s="199" t="s">
        <v>64</v>
      </c>
      <c r="I506" s="199"/>
      <c r="J506" s="199"/>
      <c r="K506" s="199" t="s">
        <v>76</v>
      </c>
      <c r="L506" s="199"/>
      <c r="M506" s="199"/>
      <c r="N506" s="199" t="s">
        <v>65</v>
      </c>
      <c r="O506" s="199"/>
      <c r="P506" s="199"/>
      <c r="Q506" s="199" t="s">
        <v>66</v>
      </c>
      <c r="R506" s="199"/>
      <c r="S506" s="199"/>
      <c r="T506" s="199" t="s">
        <v>73</v>
      </c>
      <c r="U506" s="199"/>
      <c r="V506" s="199"/>
      <c r="W506" s="199" t="s">
        <v>74</v>
      </c>
      <c r="X506" s="199"/>
      <c r="Y506" s="199"/>
      <c r="Z506" s="199" t="s">
        <v>75</v>
      </c>
      <c r="AA506" s="199"/>
      <c r="AB506" s="199"/>
      <c r="AC506" s="200" t="s">
        <v>106</v>
      </c>
    </row>
    <row r="507" spans="1:29" x14ac:dyDescent="0.2">
      <c r="A507" s="228"/>
      <c r="B507" s="197"/>
      <c r="C507" s="198"/>
      <c r="D507" s="198"/>
      <c r="E507" s="198"/>
      <c r="F507" s="198"/>
      <c r="G507" s="9" t="s">
        <v>69</v>
      </c>
      <c r="H507" s="98" t="s">
        <v>70</v>
      </c>
      <c r="I507" s="98" t="s">
        <v>71</v>
      </c>
      <c r="J507" s="99" t="s">
        <v>72</v>
      </c>
      <c r="K507" s="98" t="s">
        <v>70</v>
      </c>
      <c r="L507" s="98" t="s">
        <v>71</v>
      </c>
      <c r="M507" s="99" t="s">
        <v>72</v>
      </c>
      <c r="N507" s="98" t="s">
        <v>70</v>
      </c>
      <c r="O507" s="98" t="s">
        <v>71</v>
      </c>
      <c r="P507" s="99" t="s">
        <v>72</v>
      </c>
      <c r="Q507" s="98" t="s">
        <v>70</v>
      </c>
      <c r="R507" s="98" t="s">
        <v>71</v>
      </c>
      <c r="S507" s="99" t="s">
        <v>72</v>
      </c>
      <c r="T507" s="98" t="s">
        <v>70</v>
      </c>
      <c r="U507" s="98" t="s">
        <v>71</v>
      </c>
      <c r="V507" s="99" t="s">
        <v>72</v>
      </c>
      <c r="W507" s="98" t="s">
        <v>70</v>
      </c>
      <c r="X507" s="98" t="s">
        <v>71</v>
      </c>
      <c r="Y507" s="99" t="s">
        <v>72</v>
      </c>
      <c r="Z507" s="98" t="s">
        <v>70</v>
      </c>
      <c r="AA507" s="98" t="s">
        <v>71</v>
      </c>
      <c r="AB507" s="99" t="s">
        <v>72</v>
      </c>
      <c r="AC507" s="200"/>
    </row>
    <row r="508" spans="1:29" x14ac:dyDescent="0.2">
      <c r="A508" s="228"/>
      <c r="B508" s="201" t="str">
        <f>B495</f>
        <v>02C</v>
      </c>
      <c r="C508" s="202" t="str">
        <f>C495</f>
        <v>DEO-C01</v>
      </c>
      <c r="D508" s="9" t="str">
        <f>IF(ISBLANK(D495), "", D495)</f>
        <v/>
      </c>
      <c r="E508" s="9" t="str">
        <f>IF(ISBLANK(E495), "", E495)</f>
        <v/>
      </c>
      <c r="F508" s="9" t="str">
        <f>IF(ISBLANK(F495), "", F495)</f>
        <v/>
      </c>
      <c r="G508" s="203"/>
      <c r="H508" s="38"/>
      <c r="I508" s="38"/>
      <c r="J508" s="38"/>
      <c r="K508" s="38"/>
      <c r="L508" s="38"/>
      <c r="M508" s="38"/>
      <c r="N508" s="37"/>
      <c r="O508" s="37"/>
      <c r="P508" s="37"/>
      <c r="Q508" s="37"/>
      <c r="R508" s="37"/>
      <c r="S508" s="38"/>
      <c r="T508" s="37"/>
      <c r="U508" s="37"/>
      <c r="V508" s="37"/>
      <c r="W508" s="37"/>
      <c r="X508" s="37"/>
      <c r="Y508" s="38"/>
      <c r="Z508" s="38"/>
      <c r="AA508" s="38"/>
      <c r="AB508" s="112"/>
      <c r="AC508" s="200"/>
    </row>
    <row r="509" spans="1:29" x14ac:dyDescent="0.2">
      <c r="A509" s="228"/>
      <c r="B509" s="201"/>
      <c r="C509" s="202"/>
      <c r="D509" s="9"/>
      <c r="E509" s="9" t="str">
        <f t="shared" ref="E509:F511" si="87">IF(ISBLANK(E496), "", E496)</f>
        <v/>
      </c>
      <c r="F509" s="9" t="str">
        <f t="shared" si="87"/>
        <v/>
      </c>
      <c r="G509" s="203"/>
      <c r="H509" s="37"/>
      <c r="I509" s="37"/>
      <c r="J509" s="37"/>
      <c r="K509" s="37"/>
      <c r="L509" s="37"/>
      <c r="M509" s="38"/>
      <c r="N509" s="37"/>
      <c r="O509" s="37"/>
      <c r="P509" s="37"/>
      <c r="Q509" s="37"/>
      <c r="R509" s="37"/>
      <c r="S509" s="38"/>
      <c r="T509" s="37"/>
      <c r="U509" s="37"/>
      <c r="V509" s="37"/>
      <c r="W509" s="37"/>
      <c r="X509" s="37"/>
      <c r="Y509" s="38"/>
      <c r="Z509" s="38"/>
      <c r="AA509" s="38"/>
      <c r="AB509" s="112"/>
      <c r="AC509" s="200"/>
    </row>
    <row r="510" spans="1:29" x14ac:dyDescent="0.2">
      <c r="A510" s="228"/>
      <c r="B510" s="201" t="str">
        <f>B497</f>
        <v>03C</v>
      </c>
      <c r="C510" s="202" t="str">
        <f>C497</f>
        <v>DEO-B02</v>
      </c>
      <c r="D510" s="9" t="str">
        <f>IF(ISBLANK(D497), "", D497)</f>
        <v/>
      </c>
      <c r="E510" s="9" t="str">
        <f t="shared" si="87"/>
        <v/>
      </c>
      <c r="F510" s="9" t="str">
        <f t="shared" si="87"/>
        <v/>
      </c>
      <c r="G510" s="203"/>
      <c r="H510" s="38"/>
      <c r="I510" s="38"/>
      <c r="J510" s="38"/>
      <c r="K510" s="37"/>
      <c r="L510" s="37"/>
      <c r="M510" s="38"/>
      <c r="N510" s="37"/>
      <c r="O510" s="37"/>
      <c r="P510" s="37"/>
      <c r="Q510" s="37"/>
      <c r="R510" s="37"/>
      <c r="S510" s="38"/>
      <c r="T510" s="37"/>
      <c r="U510" s="37"/>
      <c r="V510" s="37"/>
      <c r="W510" s="37"/>
      <c r="X510" s="37"/>
      <c r="Y510" s="38"/>
      <c r="Z510" s="38"/>
      <c r="AA510" s="38"/>
      <c r="AB510" s="112"/>
      <c r="AC510" s="200"/>
    </row>
    <row r="511" spans="1:29" x14ac:dyDescent="0.2">
      <c r="A511" s="228"/>
      <c r="B511" s="201"/>
      <c r="C511" s="202"/>
      <c r="D511" s="9" t="str">
        <f>IF(ISBLANK(D498), "", D498)</f>
        <v/>
      </c>
      <c r="E511" s="9" t="str">
        <f t="shared" si="87"/>
        <v/>
      </c>
      <c r="F511" s="9" t="str">
        <f t="shared" si="87"/>
        <v/>
      </c>
      <c r="G511" s="203"/>
      <c r="H511" s="37"/>
      <c r="I511" s="37"/>
      <c r="J511" s="37"/>
      <c r="K511" s="37"/>
      <c r="L511" s="37"/>
      <c r="M511" s="38"/>
      <c r="N511" s="37"/>
      <c r="O511" s="37"/>
      <c r="P511" s="37"/>
      <c r="Q511" s="37"/>
      <c r="R511" s="37"/>
      <c r="S511" s="38"/>
      <c r="T511" s="37"/>
      <c r="U511" s="37"/>
      <c r="V511" s="37"/>
      <c r="W511" s="37"/>
      <c r="X511" s="37"/>
      <c r="Y511" s="38"/>
      <c r="Z511" s="38"/>
      <c r="AA511" s="38"/>
      <c r="AB511" s="112"/>
      <c r="AC511" s="200"/>
    </row>
  </sheetData>
  <mergeCells count="1541">
    <mergeCell ref="AC483:AC488"/>
    <mergeCell ref="B485:B486"/>
    <mergeCell ref="C485:C486"/>
    <mergeCell ref="G485:G488"/>
    <mergeCell ref="B487:B488"/>
    <mergeCell ref="C487:C488"/>
    <mergeCell ref="AB480:AB481"/>
    <mergeCell ref="AC480:AC481"/>
    <mergeCell ref="B483:F484"/>
    <mergeCell ref="H483:J483"/>
    <mergeCell ref="K483:M483"/>
    <mergeCell ref="N483:P483"/>
    <mergeCell ref="Q483:S483"/>
    <mergeCell ref="T483:V483"/>
    <mergeCell ref="W483:Y483"/>
    <mergeCell ref="Z483:AB483"/>
    <mergeCell ref="G478:G479"/>
    <mergeCell ref="Z478:Z479"/>
    <mergeCell ref="AA478:AA479"/>
    <mergeCell ref="AB478:AB479"/>
    <mergeCell ref="G468:G469"/>
    <mergeCell ref="H468:M468"/>
    <mergeCell ref="N468:S468"/>
    <mergeCell ref="T468:Y468"/>
    <mergeCell ref="Z468:Z469"/>
    <mergeCell ref="AA468:AA469"/>
    <mergeCell ref="AB476:AB477"/>
    <mergeCell ref="AC476:AC477"/>
    <mergeCell ref="G472:G473"/>
    <mergeCell ref="Z472:Z473"/>
    <mergeCell ref="AA472:AA473"/>
    <mergeCell ref="AB472:AB473"/>
    <mergeCell ref="AC472:AC473"/>
    <mergeCell ref="B474:B475"/>
    <mergeCell ref="C474:C475"/>
    <mergeCell ref="G474:G475"/>
    <mergeCell ref="Z474:Z475"/>
    <mergeCell ref="AA474:AA475"/>
    <mergeCell ref="A467:A488"/>
    <mergeCell ref="B468:B469"/>
    <mergeCell ref="C468:C469"/>
    <mergeCell ref="D468:D469"/>
    <mergeCell ref="E468:E469"/>
    <mergeCell ref="F468:F469"/>
    <mergeCell ref="B472:B473"/>
    <mergeCell ref="C472:C473"/>
    <mergeCell ref="B478:B479"/>
    <mergeCell ref="C478:C479"/>
    <mergeCell ref="AB474:AB475"/>
    <mergeCell ref="AC474:AC475"/>
    <mergeCell ref="B476:B477"/>
    <mergeCell ref="C476:C477"/>
    <mergeCell ref="G476:G477"/>
    <mergeCell ref="Z476:Z477"/>
    <mergeCell ref="AA476:AA477"/>
    <mergeCell ref="AC478:AC479"/>
    <mergeCell ref="B480:B481"/>
    <mergeCell ref="C480:C481"/>
    <mergeCell ref="G480:G481"/>
    <mergeCell ref="Z480:Z481"/>
    <mergeCell ref="AA480:AA481"/>
    <mergeCell ref="AB468:AB469"/>
    <mergeCell ref="AC468:AC469"/>
    <mergeCell ref="B470:B471"/>
    <mergeCell ref="C470:C471"/>
    <mergeCell ref="G470:G471"/>
    <mergeCell ref="Z470:Z471"/>
    <mergeCell ref="AA470:AA471"/>
    <mergeCell ref="AB470:AB471"/>
    <mergeCell ref="AC470:AC471"/>
    <mergeCell ref="AC334:AC335"/>
    <mergeCell ref="B336:B337"/>
    <mergeCell ref="C336:C337"/>
    <mergeCell ref="G336:G337"/>
    <mergeCell ref="Z336:Z337"/>
    <mergeCell ref="AA336:AA337"/>
    <mergeCell ref="AC345:AC350"/>
    <mergeCell ref="B347:B348"/>
    <mergeCell ref="C347:C348"/>
    <mergeCell ref="G347:G350"/>
    <mergeCell ref="B349:B350"/>
    <mergeCell ref="C349:C350"/>
    <mergeCell ref="AB342:AB343"/>
    <mergeCell ref="AC342:AC343"/>
    <mergeCell ref="B345:F346"/>
    <mergeCell ref="H345:J345"/>
    <mergeCell ref="K345:M345"/>
    <mergeCell ref="N345:P345"/>
    <mergeCell ref="Q345:S345"/>
    <mergeCell ref="T345:V345"/>
    <mergeCell ref="W345:Y345"/>
    <mergeCell ref="Z345:AB345"/>
    <mergeCell ref="G340:G341"/>
    <mergeCell ref="Z340:Z341"/>
    <mergeCell ref="AA340:AA341"/>
    <mergeCell ref="AB340:AB341"/>
    <mergeCell ref="AC340:AC341"/>
    <mergeCell ref="B342:B343"/>
    <mergeCell ref="C342:C343"/>
    <mergeCell ref="G342:G343"/>
    <mergeCell ref="Z342:Z343"/>
    <mergeCell ref="AA342:AA343"/>
    <mergeCell ref="AA332:AA333"/>
    <mergeCell ref="AB332:AB333"/>
    <mergeCell ref="AC332:AC333"/>
    <mergeCell ref="G330:G331"/>
    <mergeCell ref="H330:M330"/>
    <mergeCell ref="N330:S330"/>
    <mergeCell ref="T330:Y330"/>
    <mergeCell ref="Z330:Z331"/>
    <mergeCell ref="AA330:AA331"/>
    <mergeCell ref="A329:A350"/>
    <mergeCell ref="B330:B331"/>
    <mergeCell ref="C330:C331"/>
    <mergeCell ref="D330:D331"/>
    <mergeCell ref="E330:E331"/>
    <mergeCell ref="F330:F331"/>
    <mergeCell ref="B334:B335"/>
    <mergeCell ref="C334:C335"/>
    <mergeCell ref="B340:B341"/>
    <mergeCell ref="C340:C341"/>
    <mergeCell ref="AB336:AB337"/>
    <mergeCell ref="AC336:AC337"/>
    <mergeCell ref="B338:B339"/>
    <mergeCell ref="C338:C339"/>
    <mergeCell ref="G338:G339"/>
    <mergeCell ref="Z338:Z339"/>
    <mergeCell ref="AA338:AA339"/>
    <mergeCell ref="AB338:AB339"/>
    <mergeCell ref="AC338:AC339"/>
    <mergeCell ref="G334:G335"/>
    <mergeCell ref="Z334:Z335"/>
    <mergeCell ref="AA334:AA335"/>
    <mergeCell ref="AB334:AB335"/>
    <mergeCell ref="G301:G304"/>
    <mergeCell ref="B303:B304"/>
    <mergeCell ref="C303:C304"/>
    <mergeCell ref="AB296:AB297"/>
    <mergeCell ref="AC296:AC297"/>
    <mergeCell ref="B299:F300"/>
    <mergeCell ref="H299:J299"/>
    <mergeCell ref="K299:M299"/>
    <mergeCell ref="N299:P299"/>
    <mergeCell ref="Q299:S299"/>
    <mergeCell ref="T299:V299"/>
    <mergeCell ref="W299:Y299"/>
    <mergeCell ref="Z299:AB299"/>
    <mergeCell ref="G294:G295"/>
    <mergeCell ref="Z294:Z295"/>
    <mergeCell ref="AA294:AA295"/>
    <mergeCell ref="AB294:AB295"/>
    <mergeCell ref="AC294:AC295"/>
    <mergeCell ref="B296:B297"/>
    <mergeCell ref="C296:C297"/>
    <mergeCell ref="G296:G297"/>
    <mergeCell ref="Z296:Z297"/>
    <mergeCell ref="AA296:AA297"/>
    <mergeCell ref="A283:A304"/>
    <mergeCell ref="B284:B285"/>
    <mergeCell ref="C284:C285"/>
    <mergeCell ref="D284:D285"/>
    <mergeCell ref="E284:E285"/>
    <mergeCell ref="F284:F285"/>
    <mergeCell ref="B288:B289"/>
    <mergeCell ref="C288:C289"/>
    <mergeCell ref="B294:B295"/>
    <mergeCell ref="C294:C295"/>
    <mergeCell ref="AB290:AB291"/>
    <mergeCell ref="AC290:AC291"/>
    <mergeCell ref="B292:B293"/>
    <mergeCell ref="C292:C293"/>
    <mergeCell ref="G292:G293"/>
    <mergeCell ref="Z292:Z293"/>
    <mergeCell ref="AA292:AA293"/>
    <mergeCell ref="AB292:AB293"/>
    <mergeCell ref="AC292:AC293"/>
    <mergeCell ref="G288:G289"/>
    <mergeCell ref="Z288:Z289"/>
    <mergeCell ref="AA288:AA289"/>
    <mergeCell ref="AB288:AB289"/>
    <mergeCell ref="AC288:AC289"/>
    <mergeCell ref="B290:B291"/>
    <mergeCell ref="C290:C291"/>
    <mergeCell ref="G290:G291"/>
    <mergeCell ref="Z290:Z291"/>
    <mergeCell ref="AA290:AA291"/>
    <mergeCell ref="AC299:AC304"/>
    <mergeCell ref="B301:B302"/>
    <mergeCell ref="C301:C302"/>
    <mergeCell ref="AC271:AC272"/>
    <mergeCell ref="B273:B274"/>
    <mergeCell ref="C273:C274"/>
    <mergeCell ref="G273:G274"/>
    <mergeCell ref="Z273:Z274"/>
    <mergeCell ref="AA273:AA274"/>
    <mergeCell ref="AB284:AB285"/>
    <mergeCell ref="AC284:AC285"/>
    <mergeCell ref="B286:B287"/>
    <mergeCell ref="C286:C287"/>
    <mergeCell ref="G286:G287"/>
    <mergeCell ref="Z286:Z287"/>
    <mergeCell ref="AA286:AA287"/>
    <mergeCell ref="AB286:AB287"/>
    <mergeCell ref="AC286:AC287"/>
    <mergeCell ref="G284:G285"/>
    <mergeCell ref="H284:M284"/>
    <mergeCell ref="N284:S284"/>
    <mergeCell ref="T284:Y284"/>
    <mergeCell ref="Z284:Z285"/>
    <mergeCell ref="AA284:AA285"/>
    <mergeCell ref="AB269:AB270"/>
    <mergeCell ref="AC269:AC270"/>
    <mergeCell ref="G265:G266"/>
    <mergeCell ref="Z265:Z266"/>
    <mergeCell ref="AA265:AA266"/>
    <mergeCell ref="AB265:AB266"/>
    <mergeCell ref="AC265:AC266"/>
    <mergeCell ref="B267:B268"/>
    <mergeCell ref="C267:C268"/>
    <mergeCell ref="G267:G268"/>
    <mergeCell ref="Z267:Z268"/>
    <mergeCell ref="AA267:AA268"/>
    <mergeCell ref="AC276:AC281"/>
    <mergeCell ref="B278:B279"/>
    <mergeCell ref="C278:C279"/>
    <mergeCell ref="G278:G281"/>
    <mergeCell ref="B280:B281"/>
    <mergeCell ref="C280:C281"/>
    <mergeCell ref="AB273:AB274"/>
    <mergeCell ref="AC273:AC274"/>
    <mergeCell ref="B276:F277"/>
    <mergeCell ref="H276:J276"/>
    <mergeCell ref="K276:M276"/>
    <mergeCell ref="N276:P276"/>
    <mergeCell ref="Q276:S276"/>
    <mergeCell ref="T276:V276"/>
    <mergeCell ref="W276:Y276"/>
    <mergeCell ref="Z276:AB276"/>
    <mergeCell ref="G271:G272"/>
    <mergeCell ref="Z271:Z272"/>
    <mergeCell ref="AA271:AA272"/>
    <mergeCell ref="AB271:AB272"/>
    <mergeCell ref="AB261:AB262"/>
    <mergeCell ref="AC261:AC262"/>
    <mergeCell ref="B263:B264"/>
    <mergeCell ref="C263:C264"/>
    <mergeCell ref="G263:G264"/>
    <mergeCell ref="Z263:Z264"/>
    <mergeCell ref="AA263:AA264"/>
    <mergeCell ref="AB263:AB264"/>
    <mergeCell ref="AC263:AC264"/>
    <mergeCell ref="G261:G262"/>
    <mergeCell ref="H261:M261"/>
    <mergeCell ref="N261:S261"/>
    <mergeCell ref="T261:Y261"/>
    <mergeCell ref="Z261:Z262"/>
    <mergeCell ref="AA261:AA262"/>
    <mergeCell ref="A260:A281"/>
    <mergeCell ref="B261:B262"/>
    <mergeCell ref="C261:C262"/>
    <mergeCell ref="D261:D262"/>
    <mergeCell ref="E261:E262"/>
    <mergeCell ref="F261:F262"/>
    <mergeCell ref="B265:B266"/>
    <mergeCell ref="C265:C266"/>
    <mergeCell ref="B271:B272"/>
    <mergeCell ref="C271:C272"/>
    <mergeCell ref="AB267:AB268"/>
    <mergeCell ref="AC267:AC268"/>
    <mergeCell ref="B269:B270"/>
    <mergeCell ref="C269:C270"/>
    <mergeCell ref="G269:G270"/>
    <mergeCell ref="Z269:Z270"/>
    <mergeCell ref="AA269:AA270"/>
    <mergeCell ref="G255:G258"/>
    <mergeCell ref="B257:B258"/>
    <mergeCell ref="C257:C258"/>
    <mergeCell ref="AB250:AB251"/>
    <mergeCell ref="AC250:AC251"/>
    <mergeCell ref="B253:F254"/>
    <mergeCell ref="H253:J253"/>
    <mergeCell ref="K253:M253"/>
    <mergeCell ref="N253:P253"/>
    <mergeCell ref="Q253:S253"/>
    <mergeCell ref="T253:V253"/>
    <mergeCell ref="W253:Y253"/>
    <mergeCell ref="Z253:AB253"/>
    <mergeCell ref="G248:G249"/>
    <mergeCell ref="Z248:Z249"/>
    <mergeCell ref="AA248:AA249"/>
    <mergeCell ref="AB248:AB249"/>
    <mergeCell ref="AC248:AC249"/>
    <mergeCell ref="B250:B251"/>
    <mergeCell ref="C250:C251"/>
    <mergeCell ref="G250:G251"/>
    <mergeCell ref="Z250:Z251"/>
    <mergeCell ref="AA250:AA251"/>
    <mergeCell ref="A237:A258"/>
    <mergeCell ref="B238:B239"/>
    <mergeCell ref="C238:C239"/>
    <mergeCell ref="D238:D239"/>
    <mergeCell ref="E238:E239"/>
    <mergeCell ref="F238:F239"/>
    <mergeCell ref="B242:B243"/>
    <mergeCell ref="C242:C243"/>
    <mergeCell ref="B248:B249"/>
    <mergeCell ref="C248:C249"/>
    <mergeCell ref="AB244:AB245"/>
    <mergeCell ref="AC244:AC245"/>
    <mergeCell ref="B246:B247"/>
    <mergeCell ref="C246:C247"/>
    <mergeCell ref="G246:G247"/>
    <mergeCell ref="Z246:Z247"/>
    <mergeCell ref="AA246:AA247"/>
    <mergeCell ref="AB246:AB247"/>
    <mergeCell ref="AC246:AC247"/>
    <mergeCell ref="G242:G243"/>
    <mergeCell ref="Z242:Z243"/>
    <mergeCell ref="AA242:AA243"/>
    <mergeCell ref="AB242:AB243"/>
    <mergeCell ref="AC242:AC243"/>
    <mergeCell ref="B244:B245"/>
    <mergeCell ref="C244:C245"/>
    <mergeCell ref="G244:G245"/>
    <mergeCell ref="Z244:Z245"/>
    <mergeCell ref="AA244:AA245"/>
    <mergeCell ref="AC253:AC258"/>
    <mergeCell ref="B255:B256"/>
    <mergeCell ref="C255:C256"/>
    <mergeCell ref="AC225:AC226"/>
    <mergeCell ref="B227:B228"/>
    <mergeCell ref="C227:C228"/>
    <mergeCell ref="G227:G228"/>
    <mergeCell ref="Z227:Z228"/>
    <mergeCell ref="AA227:AA228"/>
    <mergeCell ref="AB238:AB239"/>
    <mergeCell ref="AC238:AC239"/>
    <mergeCell ref="B240:B241"/>
    <mergeCell ref="C240:C241"/>
    <mergeCell ref="G240:G241"/>
    <mergeCell ref="Z240:Z241"/>
    <mergeCell ref="AA240:AA241"/>
    <mergeCell ref="AB240:AB241"/>
    <mergeCell ref="AC240:AC241"/>
    <mergeCell ref="G238:G239"/>
    <mergeCell ref="H238:M238"/>
    <mergeCell ref="N238:S238"/>
    <mergeCell ref="T238:Y238"/>
    <mergeCell ref="Z238:Z239"/>
    <mergeCell ref="AA238:AA239"/>
    <mergeCell ref="AB223:AB224"/>
    <mergeCell ref="AC223:AC224"/>
    <mergeCell ref="G219:G220"/>
    <mergeCell ref="Z219:Z220"/>
    <mergeCell ref="AA219:AA220"/>
    <mergeCell ref="AB219:AB220"/>
    <mergeCell ref="AC219:AC220"/>
    <mergeCell ref="B221:B222"/>
    <mergeCell ref="C221:C222"/>
    <mergeCell ref="G221:G222"/>
    <mergeCell ref="Z221:Z222"/>
    <mergeCell ref="AA221:AA222"/>
    <mergeCell ref="AC230:AC235"/>
    <mergeCell ref="B232:B233"/>
    <mergeCell ref="C232:C233"/>
    <mergeCell ref="G232:G235"/>
    <mergeCell ref="B234:B235"/>
    <mergeCell ref="C234:C235"/>
    <mergeCell ref="AB227:AB228"/>
    <mergeCell ref="AC227:AC228"/>
    <mergeCell ref="B230:F231"/>
    <mergeCell ref="H230:J230"/>
    <mergeCell ref="K230:M230"/>
    <mergeCell ref="N230:P230"/>
    <mergeCell ref="Q230:S230"/>
    <mergeCell ref="T230:V230"/>
    <mergeCell ref="W230:Y230"/>
    <mergeCell ref="Z230:AB230"/>
    <mergeCell ref="G225:G226"/>
    <mergeCell ref="Z225:Z226"/>
    <mergeCell ref="AA225:AA226"/>
    <mergeCell ref="AB225:AB226"/>
    <mergeCell ref="AB215:AB216"/>
    <mergeCell ref="AC215:AC216"/>
    <mergeCell ref="B217:B218"/>
    <mergeCell ref="C217:C218"/>
    <mergeCell ref="G217:G218"/>
    <mergeCell ref="Z217:Z218"/>
    <mergeCell ref="AA217:AA218"/>
    <mergeCell ref="AB217:AB218"/>
    <mergeCell ref="AC217:AC218"/>
    <mergeCell ref="G215:G216"/>
    <mergeCell ref="H215:M215"/>
    <mergeCell ref="N215:S215"/>
    <mergeCell ref="T215:Y215"/>
    <mergeCell ref="Z215:Z216"/>
    <mergeCell ref="AA215:AA216"/>
    <mergeCell ref="A214:A235"/>
    <mergeCell ref="B215:B216"/>
    <mergeCell ref="C215:C216"/>
    <mergeCell ref="D215:D216"/>
    <mergeCell ref="E215:E216"/>
    <mergeCell ref="F215:F216"/>
    <mergeCell ref="B219:B220"/>
    <mergeCell ref="C219:C220"/>
    <mergeCell ref="B225:B226"/>
    <mergeCell ref="C225:C226"/>
    <mergeCell ref="AB221:AB222"/>
    <mergeCell ref="AC221:AC222"/>
    <mergeCell ref="B223:B224"/>
    <mergeCell ref="C223:C224"/>
    <mergeCell ref="G223:G224"/>
    <mergeCell ref="Z223:Z224"/>
    <mergeCell ref="AA223:AA224"/>
    <mergeCell ref="G209:G212"/>
    <mergeCell ref="B211:B212"/>
    <mergeCell ref="C211:C212"/>
    <mergeCell ref="AB204:AB205"/>
    <mergeCell ref="AC204:AC205"/>
    <mergeCell ref="B207:F208"/>
    <mergeCell ref="H207:J207"/>
    <mergeCell ref="K207:M207"/>
    <mergeCell ref="N207:P207"/>
    <mergeCell ref="Q207:S207"/>
    <mergeCell ref="T207:V207"/>
    <mergeCell ref="W207:Y207"/>
    <mergeCell ref="Z207:AB207"/>
    <mergeCell ref="G202:G203"/>
    <mergeCell ref="Z202:Z203"/>
    <mergeCell ref="AA202:AA203"/>
    <mergeCell ref="AB202:AB203"/>
    <mergeCell ref="AC202:AC203"/>
    <mergeCell ref="B204:B205"/>
    <mergeCell ref="C204:C205"/>
    <mergeCell ref="G204:G205"/>
    <mergeCell ref="Z204:Z205"/>
    <mergeCell ref="AA204:AA205"/>
    <mergeCell ref="A191:A212"/>
    <mergeCell ref="B192:B193"/>
    <mergeCell ref="C192:C193"/>
    <mergeCell ref="D192:D193"/>
    <mergeCell ref="E192:E193"/>
    <mergeCell ref="F192:F193"/>
    <mergeCell ref="B196:B197"/>
    <mergeCell ref="C196:C197"/>
    <mergeCell ref="B202:B203"/>
    <mergeCell ref="C202:C203"/>
    <mergeCell ref="AB198:AB199"/>
    <mergeCell ref="AC198:AC199"/>
    <mergeCell ref="B200:B201"/>
    <mergeCell ref="C200:C201"/>
    <mergeCell ref="G200:G201"/>
    <mergeCell ref="Z200:Z201"/>
    <mergeCell ref="AA200:AA201"/>
    <mergeCell ref="AB200:AB201"/>
    <mergeCell ref="AC200:AC201"/>
    <mergeCell ref="G196:G197"/>
    <mergeCell ref="Z196:Z197"/>
    <mergeCell ref="AA196:AA197"/>
    <mergeCell ref="AB196:AB197"/>
    <mergeCell ref="AC196:AC197"/>
    <mergeCell ref="B198:B199"/>
    <mergeCell ref="C198:C199"/>
    <mergeCell ref="G198:G199"/>
    <mergeCell ref="Z198:Z199"/>
    <mergeCell ref="AA198:AA199"/>
    <mergeCell ref="AC207:AC212"/>
    <mergeCell ref="B209:B210"/>
    <mergeCell ref="C209:C210"/>
    <mergeCell ref="AC179:AC180"/>
    <mergeCell ref="B181:B182"/>
    <mergeCell ref="C181:C182"/>
    <mergeCell ref="G181:G182"/>
    <mergeCell ref="Z181:Z182"/>
    <mergeCell ref="AA181:AA182"/>
    <mergeCell ref="AB192:AB193"/>
    <mergeCell ref="AC192:AC193"/>
    <mergeCell ref="B194:B195"/>
    <mergeCell ref="C194:C195"/>
    <mergeCell ref="G194:G195"/>
    <mergeCell ref="Z194:Z195"/>
    <mergeCell ref="AA194:AA195"/>
    <mergeCell ref="AB194:AB195"/>
    <mergeCell ref="AC194:AC195"/>
    <mergeCell ref="G192:G193"/>
    <mergeCell ref="H192:M192"/>
    <mergeCell ref="N192:S192"/>
    <mergeCell ref="T192:Y192"/>
    <mergeCell ref="Z192:Z193"/>
    <mergeCell ref="AA192:AA193"/>
    <mergeCell ref="AB177:AB178"/>
    <mergeCell ref="AC177:AC178"/>
    <mergeCell ref="G173:G174"/>
    <mergeCell ref="Z173:Z174"/>
    <mergeCell ref="AA173:AA174"/>
    <mergeCell ref="AB173:AB174"/>
    <mergeCell ref="AC173:AC174"/>
    <mergeCell ref="B175:B176"/>
    <mergeCell ref="C175:C176"/>
    <mergeCell ref="G175:G176"/>
    <mergeCell ref="Z175:Z176"/>
    <mergeCell ref="AA175:AA176"/>
    <mergeCell ref="AC184:AC189"/>
    <mergeCell ref="B186:B187"/>
    <mergeCell ref="C186:C187"/>
    <mergeCell ref="G186:G189"/>
    <mergeCell ref="B188:B189"/>
    <mergeCell ref="C188:C189"/>
    <mergeCell ref="AB181:AB182"/>
    <mergeCell ref="AC181:AC182"/>
    <mergeCell ref="B184:F185"/>
    <mergeCell ref="H184:J184"/>
    <mergeCell ref="K184:M184"/>
    <mergeCell ref="N184:P184"/>
    <mergeCell ref="Q184:S184"/>
    <mergeCell ref="T184:V184"/>
    <mergeCell ref="W184:Y184"/>
    <mergeCell ref="Z184:AB184"/>
    <mergeCell ref="G179:G180"/>
    <mergeCell ref="Z179:Z180"/>
    <mergeCell ref="AA179:AA180"/>
    <mergeCell ref="AB179:AB180"/>
    <mergeCell ref="AB169:AB170"/>
    <mergeCell ref="AC169:AC170"/>
    <mergeCell ref="B171:B172"/>
    <mergeCell ref="C171:C172"/>
    <mergeCell ref="G171:G172"/>
    <mergeCell ref="Z171:Z172"/>
    <mergeCell ref="AA171:AA172"/>
    <mergeCell ref="AB171:AB172"/>
    <mergeCell ref="AC171:AC172"/>
    <mergeCell ref="G169:G170"/>
    <mergeCell ref="H169:M169"/>
    <mergeCell ref="N169:S169"/>
    <mergeCell ref="T169:Y169"/>
    <mergeCell ref="Z169:Z170"/>
    <mergeCell ref="AA169:AA170"/>
    <mergeCell ref="A168:A189"/>
    <mergeCell ref="B169:B170"/>
    <mergeCell ref="C169:C170"/>
    <mergeCell ref="D169:D170"/>
    <mergeCell ref="E169:E170"/>
    <mergeCell ref="F169:F170"/>
    <mergeCell ref="B173:B174"/>
    <mergeCell ref="C173:C174"/>
    <mergeCell ref="B179:B180"/>
    <mergeCell ref="C179:C180"/>
    <mergeCell ref="AB175:AB176"/>
    <mergeCell ref="AC175:AC176"/>
    <mergeCell ref="B177:B178"/>
    <mergeCell ref="C177:C178"/>
    <mergeCell ref="G177:G178"/>
    <mergeCell ref="Z177:Z178"/>
    <mergeCell ref="AA177:AA178"/>
    <mergeCell ref="G163:G166"/>
    <mergeCell ref="B165:B166"/>
    <mergeCell ref="C165:C166"/>
    <mergeCell ref="AB158:AB159"/>
    <mergeCell ref="AC158:AC159"/>
    <mergeCell ref="B161:F162"/>
    <mergeCell ref="H161:J161"/>
    <mergeCell ref="K161:M161"/>
    <mergeCell ref="N161:P161"/>
    <mergeCell ref="Q161:S161"/>
    <mergeCell ref="T161:V161"/>
    <mergeCell ref="W161:Y161"/>
    <mergeCell ref="Z161:AB161"/>
    <mergeCell ref="G156:G157"/>
    <mergeCell ref="Z156:Z157"/>
    <mergeCell ref="AA156:AA157"/>
    <mergeCell ref="AB156:AB157"/>
    <mergeCell ref="AC156:AC157"/>
    <mergeCell ref="B158:B159"/>
    <mergeCell ref="C158:C159"/>
    <mergeCell ref="G158:G159"/>
    <mergeCell ref="Z158:Z159"/>
    <mergeCell ref="AA158:AA159"/>
    <mergeCell ref="A145:A166"/>
    <mergeCell ref="B146:B147"/>
    <mergeCell ref="C146:C147"/>
    <mergeCell ref="D146:D147"/>
    <mergeCell ref="E146:E147"/>
    <mergeCell ref="F146:F147"/>
    <mergeCell ref="B150:B151"/>
    <mergeCell ref="C150:C151"/>
    <mergeCell ref="B156:B157"/>
    <mergeCell ref="C156:C157"/>
    <mergeCell ref="AB152:AB153"/>
    <mergeCell ref="AC152:AC153"/>
    <mergeCell ref="B154:B155"/>
    <mergeCell ref="C154:C155"/>
    <mergeCell ref="G154:G155"/>
    <mergeCell ref="Z154:Z155"/>
    <mergeCell ref="AA154:AA155"/>
    <mergeCell ref="AB154:AB155"/>
    <mergeCell ref="AC154:AC155"/>
    <mergeCell ref="G150:G151"/>
    <mergeCell ref="Z150:Z151"/>
    <mergeCell ref="AA150:AA151"/>
    <mergeCell ref="AB150:AB151"/>
    <mergeCell ref="AC150:AC151"/>
    <mergeCell ref="B152:B153"/>
    <mergeCell ref="C152:C153"/>
    <mergeCell ref="G152:G153"/>
    <mergeCell ref="Z152:Z153"/>
    <mergeCell ref="AA152:AA153"/>
    <mergeCell ref="AC161:AC166"/>
    <mergeCell ref="B163:B164"/>
    <mergeCell ref="C163:C164"/>
    <mergeCell ref="G135:G136"/>
    <mergeCell ref="Z135:Z136"/>
    <mergeCell ref="AA135:AA136"/>
    <mergeCell ref="AB146:AB147"/>
    <mergeCell ref="AC146:AC147"/>
    <mergeCell ref="B148:B149"/>
    <mergeCell ref="C148:C149"/>
    <mergeCell ref="G148:G149"/>
    <mergeCell ref="Z148:Z149"/>
    <mergeCell ref="AA148:AA149"/>
    <mergeCell ref="AB148:AB149"/>
    <mergeCell ref="AC148:AC149"/>
    <mergeCell ref="G146:G147"/>
    <mergeCell ref="H146:M146"/>
    <mergeCell ref="N146:S146"/>
    <mergeCell ref="T146:Y146"/>
    <mergeCell ref="Z146:Z147"/>
    <mergeCell ref="AA146:AA147"/>
    <mergeCell ref="AC131:AC132"/>
    <mergeCell ref="G127:G128"/>
    <mergeCell ref="Z127:Z128"/>
    <mergeCell ref="AA127:AA128"/>
    <mergeCell ref="AB127:AB128"/>
    <mergeCell ref="AC127:AC128"/>
    <mergeCell ref="B129:B130"/>
    <mergeCell ref="C129:C130"/>
    <mergeCell ref="G129:G130"/>
    <mergeCell ref="Z129:Z130"/>
    <mergeCell ref="AA129:AA130"/>
    <mergeCell ref="AC138:AC143"/>
    <mergeCell ref="B140:B141"/>
    <mergeCell ref="C140:C141"/>
    <mergeCell ref="G140:G143"/>
    <mergeCell ref="B142:B143"/>
    <mergeCell ref="C142:C143"/>
    <mergeCell ref="AB135:AB136"/>
    <mergeCell ref="AC135:AC136"/>
    <mergeCell ref="B138:F139"/>
    <mergeCell ref="H138:J138"/>
    <mergeCell ref="K138:M138"/>
    <mergeCell ref="N138:P138"/>
    <mergeCell ref="Q138:S138"/>
    <mergeCell ref="T138:V138"/>
    <mergeCell ref="W138:Y138"/>
    <mergeCell ref="Z138:AB138"/>
    <mergeCell ref="G133:G134"/>
    <mergeCell ref="Z133:Z134"/>
    <mergeCell ref="AA133:AA134"/>
    <mergeCell ref="AB133:AB134"/>
    <mergeCell ref="AC133:AC134"/>
    <mergeCell ref="AC123:AC124"/>
    <mergeCell ref="B125:B126"/>
    <mergeCell ref="C125:C126"/>
    <mergeCell ref="G125:G126"/>
    <mergeCell ref="Z125:Z126"/>
    <mergeCell ref="AA125:AA126"/>
    <mergeCell ref="AB125:AB126"/>
    <mergeCell ref="AC125:AC126"/>
    <mergeCell ref="G123:G124"/>
    <mergeCell ref="H123:M123"/>
    <mergeCell ref="N123:S123"/>
    <mergeCell ref="T123:Y123"/>
    <mergeCell ref="Z123:Z124"/>
    <mergeCell ref="AA123:AA124"/>
    <mergeCell ref="A122:A143"/>
    <mergeCell ref="B123:B124"/>
    <mergeCell ref="C123:C124"/>
    <mergeCell ref="D123:D124"/>
    <mergeCell ref="E123:E124"/>
    <mergeCell ref="F123:F124"/>
    <mergeCell ref="B127:B128"/>
    <mergeCell ref="C127:C128"/>
    <mergeCell ref="B133:B134"/>
    <mergeCell ref="C133:C134"/>
    <mergeCell ref="AB129:AB130"/>
    <mergeCell ref="AC129:AC130"/>
    <mergeCell ref="B131:B132"/>
    <mergeCell ref="C131:C132"/>
    <mergeCell ref="G131:G132"/>
    <mergeCell ref="Z131:Z132"/>
    <mergeCell ref="AA131:AA132"/>
    <mergeCell ref="AB131:AB132"/>
    <mergeCell ref="AB87:AB88"/>
    <mergeCell ref="AC87:AC88"/>
    <mergeCell ref="AB89:AB90"/>
    <mergeCell ref="AC89:AC90"/>
    <mergeCell ref="AC115:AC120"/>
    <mergeCell ref="B117:B118"/>
    <mergeCell ref="C117:C118"/>
    <mergeCell ref="G117:G120"/>
    <mergeCell ref="B119:B120"/>
    <mergeCell ref="C119:C120"/>
    <mergeCell ref="AB112:AB113"/>
    <mergeCell ref="AC112:AC113"/>
    <mergeCell ref="B115:F116"/>
    <mergeCell ref="H115:J115"/>
    <mergeCell ref="K115:M115"/>
    <mergeCell ref="N115:P115"/>
    <mergeCell ref="Q115:S115"/>
    <mergeCell ref="T115:V115"/>
    <mergeCell ref="W115:Y115"/>
    <mergeCell ref="Z115:AB115"/>
    <mergeCell ref="G110:G111"/>
    <mergeCell ref="Z110:Z111"/>
    <mergeCell ref="AA110:AA111"/>
    <mergeCell ref="AB110:AB111"/>
    <mergeCell ref="AC110:AC111"/>
    <mergeCell ref="B112:B113"/>
    <mergeCell ref="C112:C113"/>
    <mergeCell ref="G112:G113"/>
    <mergeCell ref="Z112:Z113"/>
    <mergeCell ref="AA112:AA113"/>
    <mergeCell ref="G108:G109"/>
    <mergeCell ref="Z108:Z109"/>
    <mergeCell ref="AA108:AA109"/>
    <mergeCell ref="AB108:AB109"/>
    <mergeCell ref="AC108:AC109"/>
    <mergeCell ref="AB104:AB105"/>
    <mergeCell ref="AC104:AC105"/>
    <mergeCell ref="B106:B107"/>
    <mergeCell ref="C106:C107"/>
    <mergeCell ref="G106:G107"/>
    <mergeCell ref="Z106:Z107"/>
    <mergeCell ref="AA106:AA107"/>
    <mergeCell ref="AC106:AC107"/>
    <mergeCell ref="AB100:AB101"/>
    <mergeCell ref="AC100:AC101"/>
    <mergeCell ref="B102:B103"/>
    <mergeCell ref="C102:C103"/>
    <mergeCell ref="G102:G103"/>
    <mergeCell ref="Z102:Z103"/>
    <mergeCell ref="AA102:AA103"/>
    <mergeCell ref="AB102:AB103"/>
    <mergeCell ref="AC102:AC103"/>
    <mergeCell ref="G100:G101"/>
    <mergeCell ref="AA100:AA101"/>
    <mergeCell ref="W92:Y92"/>
    <mergeCell ref="G89:G90"/>
    <mergeCell ref="Z89:Z90"/>
    <mergeCell ref="AA89:AA90"/>
    <mergeCell ref="AB83:AB84"/>
    <mergeCell ref="C85:C86"/>
    <mergeCell ref="G85:G86"/>
    <mergeCell ref="Z85:Z86"/>
    <mergeCell ref="AA85:AA86"/>
    <mergeCell ref="AB85:AB86"/>
    <mergeCell ref="C89:C90"/>
    <mergeCell ref="AC85:AC86"/>
    <mergeCell ref="A99:A120"/>
    <mergeCell ref="B100:B101"/>
    <mergeCell ref="C100:C101"/>
    <mergeCell ref="D100:D101"/>
    <mergeCell ref="E100:E101"/>
    <mergeCell ref="G104:G105"/>
    <mergeCell ref="Z104:Z105"/>
    <mergeCell ref="AA104:AA105"/>
    <mergeCell ref="B108:B109"/>
    <mergeCell ref="B104:B105"/>
    <mergeCell ref="C104:C105"/>
    <mergeCell ref="B110:B111"/>
    <mergeCell ref="C110:C111"/>
    <mergeCell ref="AC92:AC97"/>
    <mergeCell ref="B94:B95"/>
    <mergeCell ref="C94:C95"/>
    <mergeCell ref="A76:A97"/>
    <mergeCell ref="B85:B86"/>
    <mergeCell ref="AB106:AB107"/>
    <mergeCell ref="C108:C109"/>
    <mergeCell ref="AB81:AB82"/>
    <mergeCell ref="AC81:AC82"/>
    <mergeCell ref="B83:B84"/>
    <mergeCell ref="C83:C84"/>
    <mergeCell ref="G83:G84"/>
    <mergeCell ref="Z83:Z84"/>
    <mergeCell ref="AA83:AA84"/>
    <mergeCell ref="AC83:AC84"/>
    <mergeCell ref="AB77:AB78"/>
    <mergeCell ref="AC77:AC78"/>
    <mergeCell ref="B79:B80"/>
    <mergeCell ref="C79:C80"/>
    <mergeCell ref="G79:G80"/>
    <mergeCell ref="Z79:Z80"/>
    <mergeCell ref="AA79:AA80"/>
    <mergeCell ref="AB79:AB80"/>
    <mergeCell ref="AC79:AC80"/>
    <mergeCell ref="G77:G78"/>
    <mergeCell ref="AA77:AA78"/>
    <mergeCell ref="B77:B78"/>
    <mergeCell ref="C77:C78"/>
    <mergeCell ref="D77:D78"/>
    <mergeCell ref="E77:E78"/>
    <mergeCell ref="G81:G82"/>
    <mergeCell ref="Z81:Z82"/>
    <mergeCell ref="AA81:AA82"/>
    <mergeCell ref="C58:C59"/>
    <mergeCell ref="H77:M77"/>
    <mergeCell ref="N77:S77"/>
    <mergeCell ref="T77:Y77"/>
    <mergeCell ref="Z77:Z78"/>
    <mergeCell ref="B64:B65"/>
    <mergeCell ref="C64:C65"/>
    <mergeCell ref="B62:B63"/>
    <mergeCell ref="C62:C63"/>
    <mergeCell ref="G62:G63"/>
    <mergeCell ref="T46:V46"/>
    <mergeCell ref="F77:F78"/>
    <mergeCell ref="B81:B82"/>
    <mergeCell ref="C81:C82"/>
    <mergeCell ref="B87:B88"/>
    <mergeCell ref="C87:C88"/>
    <mergeCell ref="B48:B49"/>
    <mergeCell ref="C48:C49"/>
    <mergeCell ref="F54:F55"/>
    <mergeCell ref="B58:B59"/>
    <mergeCell ref="H54:M54"/>
    <mergeCell ref="N54:S54"/>
    <mergeCell ref="T54:Y54"/>
    <mergeCell ref="Z54:Z55"/>
    <mergeCell ref="G87:G88"/>
    <mergeCell ref="Z87:Z88"/>
    <mergeCell ref="AC43:AC44"/>
    <mergeCell ref="B46:F47"/>
    <mergeCell ref="H46:J46"/>
    <mergeCell ref="K46:M46"/>
    <mergeCell ref="N46:P46"/>
    <mergeCell ref="Q46:S46"/>
    <mergeCell ref="B39:B40"/>
    <mergeCell ref="C39:C40"/>
    <mergeCell ref="W46:Y46"/>
    <mergeCell ref="Z46:AB46"/>
    <mergeCell ref="AC46:AC51"/>
    <mergeCell ref="B43:B44"/>
    <mergeCell ref="C43:C44"/>
    <mergeCell ref="G43:G44"/>
    <mergeCell ref="Z43:Z44"/>
    <mergeCell ref="AA43:AA44"/>
    <mergeCell ref="C41:C42"/>
    <mergeCell ref="G41:G42"/>
    <mergeCell ref="Z41:Z42"/>
    <mergeCell ref="AA41:AA42"/>
    <mergeCell ref="AB41:AB42"/>
    <mergeCell ref="AC41:AC42"/>
    <mergeCell ref="AB33:AB34"/>
    <mergeCell ref="A30:A51"/>
    <mergeCell ref="B31:B32"/>
    <mergeCell ref="C31:C32"/>
    <mergeCell ref="D31:D32"/>
    <mergeCell ref="E31:E32"/>
    <mergeCell ref="B37:B38"/>
    <mergeCell ref="C37:C38"/>
    <mergeCell ref="G37:G38"/>
    <mergeCell ref="B41:B42"/>
    <mergeCell ref="AC35:AC36"/>
    <mergeCell ref="AC37:AC38"/>
    <mergeCell ref="AC39:AC40"/>
    <mergeCell ref="AB35:AB36"/>
    <mergeCell ref="G35:G36"/>
    <mergeCell ref="Z35:Z36"/>
    <mergeCell ref="Z37:Z38"/>
    <mergeCell ref="AA37:AA38"/>
    <mergeCell ref="AB37:AB38"/>
    <mergeCell ref="G39:G40"/>
    <mergeCell ref="Z39:Z40"/>
    <mergeCell ref="AA39:AA40"/>
    <mergeCell ref="AB39:AB40"/>
    <mergeCell ref="AA35:AA36"/>
    <mergeCell ref="C33:C34"/>
    <mergeCell ref="G33:G34"/>
    <mergeCell ref="Z33:Z34"/>
    <mergeCell ref="AA33:AA34"/>
    <mergeCell ref="AB43:AB44"/>
    <mergeCell ref="G48:G51"/>
    <mergeCell ref="B50:B51"/>
    <mergeCell ref="C50:C51"/>
    <mergeCell ref="B25:B26"/>
    <mergeCell ref="C25:C26"/>
    <mergeCell ref="B27:B28"/>
    <mergeCell ref="B35:B36"/>
    <mergeCell ref="C35:C36"/>
    <mergeCell ref="AC18:AC19"/>
    <mergeCell ref="AB20:AB21"/>
    <mergeCell ref="AC20:AC21"/>
    <mergeCell ref="T23:V23"/>
    <mergeCell ref="Z12:Z13"/>
    <mergeCell ref="AA12:AA13"/>
    <mergeCell ref="AB12:AB13"/>
    <mergeCell ref="AC14:AC15"/>
    <mergeCell ref="AB14:AB15"/>
    <mergeCell ref="AC23:AC28"/>
    <mergeCell ref="Z18:Z19"/>
    <mergeCell ref="AA18:AA19"/>
    <mergeCell ref="AA20:AA21"/>
    <mergeCell ref="AA16:AA17"/>
    <mergeCell ref="B33:B34"/>
    <mergeCell ref="G31:G32"/>
    <mergeCell ref="F31:F32"/>
    <mergeCell ref="C27:C28"/>
    <mergeCell ref="AC33:AC34"/>
    <mergeCell ref="H31:M31"/>
    <mergeCell ref="N31:S31"/>
    <mergeCell ref="T31:Y31"/>
    <mergeCell ref="Z31:Z32"/>
    <mergeCell ref="AB18:AB19"/>
    <mergeCell ref="AA31:AA32"/>
    <mergeCell ref="AC31:AC32"/>
    <mergeCell ref="AB31:AB32"/>
    <mergeCell ref="AC16:AC17"/>
    <mergeCell ref="AB16:AB17"/>
    <mergeCell ref="AC12:AC13"/>
    <mergeCell ref="B14:B15"/>
    <mergeCell ref="C14:C15"/>
    <mergeCell ref="G14:G15"/>
    <mergeCell ref="Z14:Z15"/>
    <mergeCell ref="AA14:AA15"/>
    <mergeCell ref="B16:B17"/>
    <mergeCell ref="T8:Y8"/>
    <mergeCell ref="N8:S8"/>
    <mergeCell ref="F8:F9"/>
    <mergeCell ref="AC8:AC9"/>
    <mergeCell ref="G10:G11"/>
    <mergeCell ref="Z10:Z11"/>
    <mergeCell ref="AA10:AA11"/>
    <mergeCell ref="AB10:AB11"/>
    <mergeCell ref="Z8:Z9"/>
    <mergeCell ref="AA8:AA9"/>
    <mergeCell ref="AC10:AC11"/>
    <mergeCell ref="M2:R2"/>
    <mergeCell ref="A7:A28"/>
    <mergeCell ref="B8:B9"/>
    <mergeCell ref="C8:C9"/>
    <mergeCell ref="D8:D9"/>
    <mergeCell ref="E8:E9"/>
    <mergeCell ref="G8:G9"/>
    <mergeCell ref="H8:M8"/>
    <mergeCell ref="B12:B13"/>
    <mergeCell ref="C12:C13"/>
    <mergeCell ref="B18:B19"/>
    <mergeCell ref="G18:G19"/>
    <mergeCell ref="C16:C17"/>
    <mergeCell ref="Z20:Z21"/>
    <mergeCell ref="Z16:Z17"/>
    <mergeCell ref="C10:C11"/>
    <mergeCell ref="G16:G17"/>
    <mergeCell ref="B10:B11"/>
    <mergeCell ref="C18:C19"/>
    <mergeCell ref="G12:G13"/>
    <mergeCell ref="W23:Y23"/>
    <mergeCell ref="Z23:AB23"/>
    <mergeCell ref="N23:P23"/>
    <mergeCell ref="Q23:S23"/>
    <mergeCell ref="B20:B21"/>
    <mergeCell ref="C20:C21"/>
    <mergeCell ref="B23:F24"/>
    <mergeCell ref="H23:J23"/>
    <mergeCell ref="K23:M23"/>
    <mergeCell ref="G20:G21"/>
    <mergeCell ref="G25:G28"/>
    <mergeCell ref="AB8:AB9"/>
    <mergeCell ref="AA54:AA55"/>
    <mergeCell ref="A53:A74"/>
    <mergeCell ref="B54:B55"/>
    <mergeCell ref="C54:C55"/>
    <mergeCell ref="D54:D55"/>
    <mergeCell ref="E54:E55"/>
    <mergeCell ref="G58:G59"/>
    <mergeCell ref="Z58:Z59"/>
    <mergeCell ref="AB54:AB55"/>
    <mergeCell ref="AC54:AC55"/>
    <mergeCell ref="B56:B57"/>
    <mergeCell ref="C56:C57"/>
    <mergeCell ref="G56:G57"/>
    <mergeCell ref="Z56:Z57"/>
    <mergeCell ref="AA56:AA57"/>
    <mergeCell ref="AB56:AB57"/>
    <mergeCell ref="AC56:AC57"/>
    <mergeCell ref="G54:G55"/>
    <mergeCell ref="AA58:AA59"/>
    <mergeCell ref="AB58:AB59"/>
    <mergeCell ref="AC58:AC59"/>
    <mergeCell ref="B60:B61"/>
    <mergeCell ref="C60:C61"/>
    <mergeCell ref="G60:G61"/>
    <mergeCell ref="Z60:Z61"/>
    <mergeCell ref="AA60:AA61"/>
    <mergeCell ref="AB60:AB61"/>
    <mergeCell ref="AC60:AC61"/>
    <mergeCell ref="AC62:AC63"/>
    <mergeCell ref="G64:G65"/>
    <mergeCell ref="Z64:Z65"/>
    <mergeCell ref="AA64:AA65"/>
    <mergeCell ref="AB64:AB65"/>
    <mergeCell ref="AC64:AC65"/>
    <mergeCell ref="G71:G74"/>
    <mergeCell ref="B73:B74"/>
    <mergeCell ref="C73:C74"/>
    <mergeCell ref="Z62:Z63"/>
    <mergeCell ref="AA62:AA63"/>
    <mergeCell ref="AB62:AB63"/>
    <mergeCell ref="B66:B67"/>
    <mergeCell ref="C66:C67"/>
    <mergeCell ref="G66:G67"/>
    <mergeCell ref="Z66:Z67"/>
    <mergeCell ref="AA66:AA67"/>
    <mergeCell ref="AB66:AB67"/>
    <mergeCell ref="AC66:AC67"/>
    <mergeCell ref="B69:F70"/>
    <mergeCell ref="H69:J69"/>
    <mergeCell ref="K69:M69"/>
    <mergeCell ref="N69:P69"/>
    <mergeCell ref="Q69:S69"/>
    <mergeCell ref="T69:V69"/>
    <mergeCell ref="W69:Y69"/>
    <mergeCell ref="Z69:AB69"/>
    <mergeCell ref="AC69:AC74"/>
    <mergeCell ref="F307:F308"/>
    <mergeCell ref="B311:B312"/>
    <mergeCell ref="C311:C312"/>
    <mergeCell ref="B317:B318"/>
    <mergeCell ref="C317:C318"/>
    <mergeCell ref="B71:B72"/>
    <mergeCell ref="C71:C72"/>
    <mergeCell ref="B89:B90"/>
    <mergeCell ref="C96:C97"/>
    <mergeCell ref="H307:M307"/>
    <mergeCell ref="N307:S307"/>
    <mergeCell ref="T307:Y307"/>
    <mergeCell ref="Z307:Z308"/>
    <mergeCell ref="AA307:AA308"/>
    <mergeCell ref="F100:F101"/>
    <mergeCell ref="N100:S100"/>
    <mergeCell ref="T100:Y100"/>
    <mergeCell ref="Z100:Z101"/>
    <mergeCell ref="AA87:AA88"/>
    <mergeCell ref="G94:G97"/>
    <mergeCell ref="B96:B97"/>
    <mergeCell ref="H100:M100"/>
    <mergeCell ref="B92:F93"/>
    <mergeCell ref="H92:J92"/>
    <mergeCell ref="K92:M92"/>
    <mergeCell ref="N92:P92"/>
    <mergeCell ref="Q92:S92"/>
    <mergeCell ref="T92:V92"/>
    <mergeCell ref="Z92:AB92"/>
    <mergeCell ref="AB123:AB124"/>
    <mergeCell ref="B135:B136"/>
    <mergeCell ref="C135:C136"/>
    <mergeCell ref="A306:A327"/>
    <mergeCell ref="B307:B308"/>
    <mergeCell ref="C307:C308"/>
    <mergeCell ref="D307:D308"/>
    <mergeCell ref="E307:E308"/>
    <mergeCell ref="AB307:AB308"/>
    <mergeCell ref="G311:G312"/>
    <mergeCell ref="Z311:Z312"/>
    <mergeCell ref="AA311:AA312"/>
    <mergeCell ref="AB311:AB312"/>
    <mergeCell ref="AC307:AC308"/>
    <mergeCell ref="B309:B310"/>
    <mergeCell ref="C309:C310"/>
    <mergeCell ref="G309:G310"/>
    <mergeCell ref="Z309:Z310"/>
    <mergeCell ref="AA309:AA310"/>
    <mergeCell ref="AB309:AB310"/>
    <mergeCell ref="AC309:AC310"/>
    <mergeCell ref="G307:G308"/>
    <mergeCell ref="AA315:AA316"/>
    <mergeCell ref="AB315:AB316"/>
    <mergeCell ref="AC311:AC312"/>
    <mergeCell ref="B313:B314"/>
    <mergeCell ref="C313:C314"/>
    <mergeCell ref="G313:G314"/>
    <mergeCell ref="Z313:Z314"/>
    <mergeCell ref="AA313:AA314"/>
    <mergeCell ref="AC313:AC314"/>
    <mergeCell ref="AB313:AB314"/>
    <mergeCell ref="AC315:AC316"/>
    <mergeCell ref="B319:B320"/>
    <mergeCell ref="C319:C320"/>
    <mergeCell ref="G353:G354"/>
    <mergeCell ref="G357:G358"/>
    <mergeCell ref="Z357:Z358"/>
    <mergeCell ref="G319:G320"/>
    <mergeCell ref="Z319:Z320"/>
    <mergeCell ref="AA319:AA320"/>
    <mergeCell ref="B315:B316"/>
    <mergeCell ref="C315:C316"/>
    <mergeCell ref="G315:G316"/>
    <mergeCell ref="Z315:Z316"/>
    <mergeCell ref="Z322:AB322"/>
    <mergeCell ref="G317:G318"/>
    <mergeCell ref="Z317:Z318"/>
    <mergeCell ref="AA317:AA318"/>
    <mergeCell ref="AB317:AB318"/>
    <mergeCell ref="AC317:AC318"/>
    <mergeCell ref="C326:C327"/>
    <mergeCell ref="AB319:AB320"/>
    <mergeCell ref="AC319:AC320"/>
    <mergeCell ref="B322:F323"/>
    <mergeCell ref="H322:J322"/>
    <mergeCell ref="K322:M322"/>
    <mergeCell ref="N322:P322"/>
    <mergeCell ref="Q322:S322"/>
    <mergeCell ref="T322:V322"/>
    <mergeCell ref="W322:Y322"/>
    <mergeCell ref="AB330:AB331"/>
    <mergeCell ref="AC330:AC331"/>
    <mergeCell ref="B332:B333"/>
    <mergeCell ref="C332:C333"/>
    <mergeCell ref="G332:G333"/>
    <mergeCell ref="Z332:Z333"/>
    <mergeCell ref="B365:B366"/>
    <mergeCell ref="C365:C366"/>
    <mergeCell ref="G365:G366"/>
    <mergeCell ref="Z365:Z366"/>
    <mergeCell ref="AA365:AA366"/>
    <mergeCell ref="AB359:AB360"/>
    <mergeCell ref="F353:F354"/>
    <mergeCell ref="B357:B358"/>
    <mergeCell ref="C357:C358"/>
    <mergeCell ref="B363:B364"/>
    <mergeCell ref="C363:C364"/>
    <mergeCell ref="AC322:AC327"/>
    <mergeCell ref="B324:B325"/>
    <mergeCell ref="C324:C325"/>
    <mergeCell ref="G324:G327"/>
    <mergeCell ref="B326:B327"/>
    <mergeCell ref="H353:M353"/>
    <mergeCell ref="N353:S353"/>
    <mergeCell ref="T353:Y353"/>
    <mergeCell ref="Z353:Z354"/>
    <mergeCell ref="AA353:AA354"/>
    <mergeCell ref="B353:B354"/>
    <mergeCell ref="C353:C354"/>
    <mergeCell ref="D353:D354"/>
    <mergeCell ref="E353:E354"/>
    <mergeCell ref="AB353:AB354"/>
    <mergeCell ref="AC353:AC354"/>
    <mergeCell ref="B355:B356"/>
    <mergeCell ref="C355:C356"/>
    <mergeCell ref="G355:G356"/>
    <mergeCell ref="Z355:Z356"/>
    <mergeCell ref="AA355:AA356"/>
    <mergeCell ref="G363:G364"/>
    <mergeCell ref="Z363:Z364"/>
    <mergeCell ref="AA363:AA364"/>
    <mergeCell ref="AB363:AB364"/>
    <mergeCell ref="AC363:AC364"/>
    <mergeCell ref="C372:C373"/>
    <mergeCell ref="AB365:AB366"/>
    <mergeCell ref="AC365:AC366"/>
    <mergeCell ref="B368:F369"/>
    <mergeCell ref="H368:J368"/>
    <mergeCell ref="K368:M368"/>
    <mergeCell ref="N368:P368"/>
    <mergeCell ref="Q368:S368"/>
    <mergeCell ref="T368:V368"/>
    <mergeCell ref="W368:Y368"/>
    <mergeCell ref="F376:F377"/>
    <mergeCell ref="AA357:AA358"/>
    <mergeCell ref="AB357:AB358"/>
    <mergeCell ref="AC357:AC358"/>
    <mergeCell ref="B359:B360"/>
    <mergeCell ref="C359:C360"/>
    <mergeCell ref="G359:G360"/>
    <mergeCell ref="Z359:Z360"/>
    <mergeCell ref="AA359:AA360"/>
    <mergeCell ref="AC359:AC360"/>
    <mergeCell ref="B361:B362"/>
    <mergeCell ref="C361:C362"/>
    <mergeCell ref="G361:G362"/>
    <mergeCell ref="Z361:Z362"/>
    <mergeCell ref="AA361:AA362"/>
    <mergeCell ref="AB361:AB362"/>
    <mergeCell ref="AC361:AC362"/>
    <mergeCell ref="AC368:AC373"/>
    <mergeCell ref="B370:B371"/>
    <mergeCell ref="C370:C371"/>
    <mergeCell ref="G370:G373"/>
    <mergeCell ref="B372:B373"/>
    <mergeCell ref="H376:M376"/>
    <mergeCell ref="N376:S376"/>
    <mergeCell ref="T376:Y376"/>
    <mergeCell ref="Z376:Z377"/>
    <mergeCell ref="AA376:AA377"/>
    <mergeCell ref="A375:A396"/>
    <mergeCell ref="B376:B377"/>
    <mergeCell ref="C376:C377"/>
    <mergeCell ref="D376:D377"/>
    <mergeCell ref="E376:E377"/>
    <mergeCell ref="AB376:AB377"/>
    <mergeCell ref="AC376:AC377"/>
    <mergeCell ref="B378:B379"/>
    <mergeCell ref="C378:C379"/>
    <mergeCell ref="G378:G379"/>
    <mergeCell ref="Z378:Z379"/>
    <mergeCell ref="AA378:AA379"/>
    <mergeCell ref="AB378:AB379"/>
    <mergeCell ref="AC378:AC379"/>
    <mergeCell ref="G376:G377"/>
    <mergeCell ref="G380:G381"/>
    <mergeCell ref="Z380:Z381"/>
    <mergeCell ref="AA380:AA381"/>
    <mergeCell ref="Z368:AB368"/>
    <mergeCell ref="A352:A373"/>
    <mergeCell ref="AB355:AB356"/>
    <mergeCell ref="AC355:AC356"/>
    <mergeCell ref="AB380:AB381"/>
    <mergeCell ref="AC380:AC381"/>
    <mergeCell ref="B382:B383"/>
    <mergeCell ref="C382:C383"/>
    <mergeCell ref="G382:G383"/>
    <mergeCell ref="Z382:Z383"/>
    <mergeCell ref="AA382:AA383"/>
    <mergeCell ref="AC382:AC383"/>
    <mergeCell ref="B384:B385"/>
    <mergeCell ref="C384:C385"/>
    <mergeCell ref="G384:G385"/>
    <mergeCell ref="Z384:Z385"/>
    <mergeCell ref="AA384:AA385"/>
    <mergeCell ref="AB384:AB385"/>
    <mergeCell ref="AC384:AC385"/>
    <mergeCell ref="B388:B389"/>
    <mergeCell ref="C388:C389"/>
    <mergeCell ref="G388:G389"/>
    <mergeCell ref="Z388:Z389"/>
    <mergeCell ref="AA388:AA389"/>
    <mergeCell ref="AB382:AB383"/>
    <mergeCell ref="B380:B381"/>
    <mergeCell ref="C380:C381"/>
    <mergeCell ref="B386:B387"/>
    <mergeCell ref="C386:C387"/>
    <mergeCell ref="Z403:Z404"/>
    <mergeCell ref="AA403:AA404"/>
    <mergeCell ref="Z391:AB391"/>
    <mergeCell ref="G386:G387"/>
    <mergeCell ref="Z386:Z387"/>
    <mergeCell ref="AA386:AA387"/>
    <mergeCell ref="AB386:AB387"/>
    <mergeCell ref="AC386:AC387"/>
    <mergeCell ref="C395:C396"/>
    <mergeCell ref="AB388:AB389"/>
    <mergeCell ref="AC388:AC389"/>
    <mergeCell ref="B391:F392"/>
    <mergeCell ref="H391:J391"/>
    <mergeCell ref="K391:M391"/>
    <mergeCell ref="N391:P391"/>
    <mergeCell ref="Q391:S391"/>
    <mergeCell ref="T391:V391"/>
    <mergeCell ref="W391:Y391"/>
    <mergeCell ref="F399:F400"/>
    <mergeCell ref="C411:C412"/>
    <mergeCell ref="G411:G412"/>
    <mergeCell ref="Z411:Z412"/>
    <mergeCell ref="AA411:AA412"/>
    <mergeCell ref="AB405:AB406"/>
    <mergeCell ref="B403:B404"/>
    <mergeCell ref="C403:C404"/>
    <mergeCell ref="B409:B410"/>
    <mergeCell ref="C409:C410"/>
    <mergeCell ref="AC391:AC396"/>
    <mergeCell ref="B393:B394"/>
    <mergeCell ref="C393:C394"/>
    <mergeCell ref="G393:G396"/>
    <mergeCell ref="B395:B396"/>
    <mergeCell ref="H399:M399"/>
    <mergeCell ref="N399:S399"/>
    <mergeCell ref="T399:Y399"/>
    <mergeCell ref="Z399:Z400"/>
    <mergeCell ref="AA399:AA400"/>
    <mergeCell ref="B399:B400"/>
    <mergeCell ref="C399:C400"/>
    <mergeCell ref="D399:D400"/>
    <mergeCell ref="E399:E400"/>
    <mergeCell ref="AB399:AB400"/>
    <mergeCell ref="AC399:AC400"/>
    <mergeCell ref="B401:B402"/>
    <mergeCell ref="C401:C402"/>
    <mergeCell ref="G401:G402"/>
    <mergeCell ref="Z401:Z402"/>
    <mergeCell ref="AA401:AA402"/>
    <mergeCell ref="AB401:AB402"/>
    <mergeCell ref="AC401:AC402"/>
    <mergeCell ref="G409:G410"/>
    <mergeCell ref="Z409:Z410"/>
    <mergeCell ref="AA409:AA410"/>
    <mergeCell ref="AB409:AB410"/>
    <mergeCell ref="AC409:AC410"/>
    <mergeCell ref="C418:C419"/>
    <mergeCell ref="AB411:AB412"/>
    <mergeCell ref="AC411:AC412"/>
    <mergeCell ref="B414:F415"/>
    <mergeCell ref="H414:J414"/>
    <mergeCell ref="K414:M414"/>
    <mergeCell ref="N414:P414"/>
    <mergeCell ref="Q414:S414"/>
    <mergeCell ref="T414:V414"/>
    <mergeCell ref="W414:Y414"/>
    <mergeCell ref="F422:F423"/>
    <mergeCell ref="AB403:AB404"/>
    <mergeCell ref="AC403:AC404"/>
    <mergeCell ref="B405:B406"/>
    <mergeCell ref="C405:C406"/>
    <mergeCell ref="G405:G406"/>
    <mergeCell ref="Z405:Z406"/>
    <mergeCell ref="AA405:AA406"/>
    <mergeCell ref="AC405:AC406"/>
    <mergeCell ref="B407:B408"/>
    <mergeCell ref="C407:C408"/>
    <mergeCell ref="G407:G408"/>
    <mergeCell ref="Z407:Z408"/>
    <mergeCell ref="AA407:AA408"/>
    <mergeCell ref="AB407:AB408"/>
    <mergeCell ref="AC407:AC408"/>
    <mergeCell ref="B411:B412"/>
    <mergeCell ref="AC414:AC419"/>
    <mergeCell ref="B416:B417"/>
    <mergeCell ref="C416:C417"/>
    <mergeCell ref="G416:G419"/>
    <mergeCell ref="B418:B419"/>
    <mergeCell ref="H422:M422"/>
    <mergeCell ref="N422:S422"/>
    <mergeCell ref="T422:Y422"/>
    <mergeCell ref="Z422:Z423"/>
    <mergeCell ref="AA422:AA423"/>
    <mergeCell ref="A421:A442"/>
    <mergeCell ref="B422:B423"/>
    <mergeCell ref="C422:C423"/>
    <mergeCell ref="D422:D423"/>
    <mergeCell ref="E422:E423"/>
    <mergeCell ref="AB422:AB423"/>
    <mergeCell ref="AC422:AC423"/>
    <mergeCell ref="B424:B425"/>
    <mergeCell ref="C424:C425"/>
    <mergeCell ref="G424:G425"/>
    <mergeCell ref="Z424:Z425"/>
    <mergeCell ref="AA424:AA425"/>
    <mergeCell ref="AB424:AB425"/>
    <mergeCell ref="AC424:AC425"/>
    <mergeCell ref="G422:G423"/>
    <mergeCell ref="G426:G427"/>
    <mergeCell ref="Z426:Z427"/>
    <mergeCell ref="AA426:AA427"/>
    <mergeCell ref="Z414:AB414"/>
    <mergeCell ref="A398:A419"/>
    <mergeCell ref="G399:G400"/>
    <mergeCell ref="G403:G404"/>
    <mergeCell ref="AB426:AB427"/>
    <mergeCell ref="AC426:AC427"/>
    <mergeCell ref="B428:B429"/>
    <mergeCell ref="C428:C429"/>
    <mergeCell ref="G428:G429"/>
    <mergeCell ref="Z428:Z429"/>
    <mergeCell ref="AA428:AA429"/>
    <mergeCell ref="AC428:AC429"/>
    <mergeCell ref="B430:B431"/>
    <mergeCell ref="C430:C431"/>
    <mergeCell ref="G430:G431"/>
    <mergeCell ref="Z430:Z431"/>
    <mergeCell ref="AA430:AA431"/>
    <mergeCell ref="AB430:AB431"/>
    <mergeCell ref="AC430:AC431"/>
    <mergeCell ref="B434:B435"/>
    <mergeCell ref="C434:C435"/>
    <mergeCell ref="G434:G435"/>
    <mergeCell ref="Z434:Z435"/>
    <mergeCell ref="AA434:AA435"/>
    <mergeCell ref="AB428:AB429"/>
    <mergeCell ref="B426:B427"/>
    <mergeCell ref="C426:C427"/>
    <mergeCell ref="B432:B433"/>
    <mergeCell ref="C432:C433"/>
    <mergeCell ref="Z449:Z450"/>
    <mergeCell ref="AA449:AA450"/>
    <mergeCell ref="Z437:AB437"/>
    <mergeCell ref="G432:G433"/>
    <mergeCell ref="Z432:Z433"/>
    <mergeCell ref="AA432:AA433"/>
    <mergeCell ref="AB432:AB433"/>
    <mergeCell ref="AC432:AC433"/>
    <mergeCell ref="C441:C442"/>
    <mergeCell ref="AB434:AB435"/>
    <mergeCell ref="AC434:AC435"/>
    <mergeCell ref="B437:F438"/>
    <mergeCell ref="H437:J437"/>
    <mergeCell ref="K437:M437"/>
    <mergeCell ref="N437:P437"/>
    <mergeCell ref="Q437:S437"/>
    <mergeCell ref="T437:V437"/>
    <mergeCell ref="W437:Y437"/>
    <mergeCell ref="F445:F446"/>
    <mergeCell ref="C457:C458"/>
    <mergeCell ref="G457:G458"/>
    <mergeCell ref="Z457:Z458"/>
    <mergeCell ref="AA457:AA458"/>
    <mergeCell ref="AB451:AB452"/>
    <mergeCell ref="B449:B450"/>
    <mergeCell ref="C449:C450"/>
    <mergeCell ref="B455:B456"/>
    <mergeCell ref="C455:C456"/>
    <mergeCell ref="AC437:AC442"/>
    <mergeCell ref="B439:B440"/>
    <mergeCell ref="C439:C440"/>
    <mergeCell ref="G439:G442"/>
    <mergeCell ref="B441:B442"/>
    <mergeCell ref="H445:M445"/>
    <mergeCell ref="N445:S445"/>
    <mergeCell ref="T445:Y445"/>
    <mergeCell ref="Z445:Z446"/>
    <mergeCell ref="AA445:AA446"/>
    <mergeCell ref="B445:B446"/>
    <mergeCell ref="C445:C446"/>
    <mergeCell ref="D445:D446"/>
    <mergeCell ref="E445:E446"/>
    <mergeCell ref="AB445:AB446"/>
    <mergeCell ref="AC445:AC446"/>
    <mergeCell ref="B447:B448"/>
    <mergeCell ref="C447:C448"/>
    <mergeCell ref="G447:G448"/>
    <mergeCell ref="Z447:Z448"/>
    <mergeCell ref="AA447:AA448"/>
    <mergeCell ref="AB447:AB448"/>
    <mergeCell ref="AC447:AC448"/>
    <mergeCell ref="G455:G456"/>
    <mergeCell ref="Z455:Z456"/>
    <mergeCell ref="AA455:AA456"/>
    <mergeCell ref="AB455:AB456"/>
    <mergeCell ref="AC455:AC456"/>
    <mergeCell ref="C464:C465"/>
    <mergeCell ref="AB457:AB458"/>
    <mergeCell ref="AC457:AC458"/>
    <mergeCell ref="B460:F461"/>
    <mergeCell ref="H460:J460"/>
    <mergeCell ref="K460:M460"/>
    <mergeCell ref="N460:P460"/>
    <mergeCell ref="Q460:S460"/>
    <mergeCell ref="T460:V460"/>
    <mergeCell ref="W460:Y460"/>
    <mergeCell ref="F491:F492"/>
    <mergeCell ref="AB449:AB450"/>
    <mergeCell ref="AC449:AC450"/>
    <mergeCell ref="B451:B452"/>
    <mergeCell ref="C451:C452"/>
    <mergeCell ref="G451:G452"/>
    <mergeCell ref="Z451:Z452"/>
    <mergeCell ref="AA451:AA452"/>
    <mergeCell ref="AC451:AC452"/>
    <mergeCell ref="B453:B454"/>
    <mergeCell ref="C453:C454"/>
    <mergeCell ref="G453:G454"/>
    <mergeCell ref="Z453:Z454"/>
    <mergeCell ref="AA453:AA454"/>
    <mergeCell ref="AB453:AB454"/>
    <mergeCell ref="AC453:AC454"/>
    <mergeCell ref="B457:B458"/>
    <mergeCell ref="AC460:AC465"/>
    <mergeCell ref="B462:B463"/>
    <mergeCell ref="C462:C463"/>
    <mergeCell ref="G462:G465"/>
    <mergeCell ref="B464:B465"/>
    <mergeCell ref="H491:M491"/>
    <mergeCell ref="N491:S491"/>
    <mergeCell ref="T491:Y491"/>
    <mergeCell ref="Z491:Z492"/>
    <mergeCell ref="AA491:AA492"/>
    <mergeCell ref="A490:A511"/>
    <mergeCell ref="B491:B492"/>
    <mergeCell ref="C491:C492"/>
    <mergeCell ref="D491:D492"/>
    <mergeCell ref="E491:E492"/>
    <mergeCell ref="AB491:AB492"/>
    <mergeCell ref="AC491:AC492"/>
    <mergeCell ref="B493:B494"/>
    <mergeCell ref="C493:C494"/>
    <mergeCell ref="G493:G494"/>
    <mergeCell ref="Z493:Z494"/>
    <mergeCell ref="AA493:AA494"/>
    <mergeCell ref="AB493:AB494"/>
    <mergeCell ref="AC493:AC494"/>
    <mergeCell ref="G491:G492"/>
    <mergeCell ref="G495:G496"/>
    <mergeCell ref="Z495:Z496"/>
    <mergeCell ref="AA495:AA496"/>
    <mergeCell ref="Z460:AB460"/>
    <mergeCell ref="A444:A465"/>
    <mergeCell ref="G445:G446"/>
    <mergeCell ref="G449:G450"/>
    <mergeCell ref="AB495:AB496"/>
    <mergeCell ref="AC495:AC496"/>
    <mergeCell ref="B497:B498"/>
    <mergeCell ref="C497:C498"/>
    <mergeCell ref="G497:G498"/>
    <mergeCell ref="Z497:Z498"/>
    <mergeCell ref="AA497:AA498"/>
    <mergeCell ref="AB497:AB498"/>
    <mergeCell ref="AC497:AC498"/>
    <mergeCell ref="B499:B500"/>
    <mergeCell ref="C499:C500"/>
    <mergeCell ref="G499:G500"/>
    <mergeCell ref="Z499:Z500"/>
    <mergeCell ref="AA499:AA500"/>
    <mergeCell ref="AB499:AB500"/>
    <mergeCell ref="AC499:AC500"/>
    <mergeCell ref="G501:G502"/>
    <mergeCell ref="Z501:Z502"/>
    <mergeCell ref="AA501:AA502"/>
    <mergeCell ref="AB501:AB502"/>
    <mergeCell ref="AC501:AC502"/>
    <mergeCell ref="B495:B496"/>
    <mergeCell ref="C495:C496"/>
    <mergeCell ref="B501:B502"/>
    <mergeCell ref="C501:C502"/>
    <mergeCell ref="B503:B504"/>
    <mergeCell ref="C503:C504"/>
    <mergeCell ref="G503:G504"/>
    <mergeCell ref="Z503:Z504"/>
    <mergeCell ref="AA503:AA504"/>
    <mergeCell ref="AB503:AB504"/>
    <mergeCell ref="AC503:AC504"/>
    <mergeCell ref="B506:F507"/>
    <mergeCell ref="H506:J506"/>
    <mergeCell ref="K506:M506"/>
    <mergeCell ref="N506:P506"/>
    <mergeCell ref="Q506:S506"/>
    <mergeCell ref="T506:V506"/>
    <mergeCell ref="W506:Y506"/>
    <mergeCell ref="Z506:AB506"/>
    <mergeCell ref="AC506:AC511"/>
    <mergeCell ref="B508:B509"/>
    <mergeCell ref="C508:C509"/>
    <mergeCell ref="G508:G511"/>
    <mergeCell ref="B510:B511"/>
    <mergeCell ref="C510:C511"/>
  </mergeCells>
  <phoneticPr fontId="8" type="noConversion"/>
  <pageMargins left="0.75" right="0.75" top="1" bottom="1" header="0.5" footer="0.5"/>
  <pageSetup scale="47" fitToHeight="0" orientation="landscape" horizontalDpi="4294967295" verticalDpi="4294967295" r:id="rId1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>
    <pageSetUpPr fitToPage="1"/>
  </sheetPr>
  <dimension ref="A2:AB642"/>
  <sheetViews>
    <sheetView topLeftCell="A592" zoomScale="70" zoomScaleNormal="70" workbookViewId="0">
      <selection activeCell="A643" sqref="A643"/>
    </sheetView>
  </sheetViews>
  <sheetFormatPr defaultRowHeight="12.75" x14ac:dyDescent="0.2"/>
  <cols>
    <col min="1" max="1" width="11" customWidth="1"/>
    <col min="3" max="3" width="9.140625" bestFit="1" customWidth="1"/>
    <col min="4" max="4" width="15.42578125" customWidth="1"/>
    <col min="5" max="5" width="8.7109375" customWidth="1"/>
    <col min="6" max="6" width="10.42578125" customWidth="1"/>
    <col min="7" max="7" width="11.7109375" customWidth="1"/>
    <col min="8" max="9" width="11.42578125" customWidth="1"/>
    <col min="10" max="10" width="12" customWidth="1"/>
    <col min="11" max="11" width="11.42578125" customWidth="1"/>
    <col min="12" max="12" width="10.7109375" customWidth="1"/>
    <col min="13" max="13" width="11.28515625" customWidth="1"/>
    <col min="14" max="14" width="11.5703125" customWidth="1"/>
    <col min="15" max="15" width="12.28515625" customWidth="1"/>
    <col min="16" max="16" width="12.7109375" customWidth="1"/>
    <col min="17" max="17" width="12.42578125" customWidth="1"/>
    <col min="18" max="18" width="11.140625" customWidth="1"/>
    <col min="19" max="19" width="12.28515625" customWidth="1"/>
    <col min="20" max="20" width="12.42578125" customWidth="1"/>
    <col min="21" max="21" width="11.42578125" customWidth="1"/>
    <col min="22" max="22" width="13.140625" customWidth="1"/>
    <col min="23" max="23" width="15.5703125" customWidth="1"/>
    <col min="24" max="24" width="12.5703125" customWidth="1"/>
    <col min="25" max="25" width="11.28515625" customWidth="1"/>
    <col min="26" max="26" width="17.28515625" customWidth="1"/>
    <col min="27" max="27" width="17.7109375" customWidth="1"/>
    <col min="28" max="28" width="43.42578125" customWidth="1"/>
    <col min="31" max="31" width="11.85546875" customWidth="1"/>
  </cols>
  <sheetData>
    <row r="2" spans="1:28" ht="27" thickBot="1" x14ac:dyDescent="0.45">
      <c r="A2" s="100" t="s">
        <v>23</v>
      </c>
      <c r="B2" s="101"/>
      <c r="C2" s="102"/>
      <c r="D2" s="103"/>
      <c r="E2" s="105"/>
      <c r="F2" s="106"/>
      <c r="G2" s="5"/>
      <c r="H2" s="5"/>
      <c r="I2" s="104" t="s">
        <v>40</v>
      </c>
      <c r="J2" s="261" t="s">
        <v>86</v>
      </c>
      <c r="K2" s="261"/>
      <c r="L2" s="261"/>
      <c r="M2" s="261"/>
      <c r="N2" s="22"/>
      <c r="O2" s="6"/>
      <c r="P2" s="6"/>
      <c r="Q2" s="6"/>
      <c r="R2" s="5"/>
      <c r="S2" s="22"/>
      <c r="T2" s="7"/>
      <c r="U2" s="7"/>
      <c r="V2" s="6"/>
      <c r="W2" s="6"/>
    </row>
    <row r="3" spans="1:28" ht="18.75" thickTop="1" x14ac:dyDescent="0.25">
      <c r="B3" s="1"/>
      <c r="C3" s="2"/>
      <c r="D3" s="3"/>
      <c r="E3" s="4"/>
      <c r="F3" s="5"/>
      <c r="G3" s="5"/>
      <c r="H3" s="5"/>
      <c r="I3" s="8"/>
      <c r="J3" s="8"/>
      <c r="K3" s="8"/>
      <c r="L3" s="8"/>
      <c r="M3" s="5"/>
      <c r="N3" s="8"/>
      <c r="O3" s="8"/>
      <c r="P3" s="8"/>
      <c r="Q3" s="8"/>
      <c r="R3" s="5"/>
      <c r="S3" s="8"/>
      <c r="T3" s="8"/>
      <c r="U3" s="8"/>
      <c r="V3" s="8"/>
      <c r="W3" s="8"/>
      <c r="X3" s="8"/>
      <c r="Y3" s="8"/>
      <c r="Z3" s="8"/>
      <c r="AA3" s="8"/>
    </row>
    <row r="4" spans="1:28" ht="12.75" customHeight="1" x14ac:dyDescent="0.25">
      <c r="B4" s="1"/>
      <c r="E4" s="4"/>
      <c r="F4" s="5"/>
      <c r="G4" s="5"/>
      <c r="H4" s="5"/>
      <c r="I4" s="8"/>
      <c r="J4" s="8"/>
      <c r="K4" s="8"/>
      <c r="L4" s="8"/>
      <c r="M4" s="5"/>
      <c r="N4" s="8"/>
      <c r="O4" s="8"/>
      <c r="P4" s="8"/>
      <c r="Q4" s="8"/>
      <c r="R4" s="5"/>
      <c r="S4" s="8"/>
      <c r="T4" s="8"/>
      <c r="U4" s="8"/>
      <c r="V4" s="8"/>
      <c r="W4" s="8"/>
      <c r="X4" s="8"/>
      <c r="Y4" s="8"/>
      <c r="Z4" s="8"/>
      <c r="AA4" s="8"/>
    </row>
    <row r="6" spans="1:28" ht="12.75" customHeight="1" x14ac:dyDescent="0.2">
      <c r="A6" s="228">
        <v>44713</v>
      </c>
      <c r="B6" s="19"/>
      <c r="C6" s="19" t="s">
        <v>42</v>
      </c>
      <c r="D6" s="20"/>
      <c r="E6" s="21" t="s">
        <v>41</v>
      </c>
      <c r="F6" s="20">
        <v>0</v>
      </c>
      <c r="G6" s="20"/>
      <c r="H6" s="20"/>
      <c r="I6" s="21"/>
      <c r="J6" s="21"/>
      <c r="K6" s="32"/>
      <c r="L6" s="32"/>
      <c r="M6" s="20"/>
      <c r="N6" s="21"/>
      <c r="O6" s="21"/>
      <c r="P6" s="32"/>
      <c r="Q6" s="32"/>
      <c r="R6" s="20"/>
      <c r="S6" s="21"/>
      <c r="T6" s="21"/>
      <c r="U6" s="41">
        <v>160</v>
      </c>
      <c r="V6" s="42" t="s">
        <v>32</v>
      </c>
      <c r="W6" s="42"/>
      <c r="X6" s="43"/>
      <c r="Y6" s="31"/>
      <c r="Z6" s="31"/>
      <c r="AA6" s="31"/>
      <c r="AB6" s="33"/>
    </row>
    <row r="7" spans="1:28" ht="12.75" customHeight="1" x14ac:dyDescent="0.2">
      <c r="A7" s="228"/>
      <c r="B7" s="229" t="s">
        <v>10</v>
      </c>
      <c r="C7" s="230" t="s">
        <v>25</v>
      </c>
      <c r="D7" s="230" t="s">
        <v>28</v>
      </c>
      <c r="E7" s="237" t="s">
        <v>12</v>
      </c>
      <c r="F7" s="222" t="s">
        <v>13</v>
      </c>
      <c r="G7" s="223"/>
      <c r="H7" s="223"/>
      <c r="I7" s="223"/>
      <c r="J7" s="224"/>
      <c r="K7" s="222" t="s">
        <v>14</v>
      </c>
      <c r="L7" s="223"/>
      <c r="M7" s="223"/>
      <c r="N7" s="223"/>
      <c r="O7" s="224"/>
      <c r="P7" s="222" t="s">
        <v>15</v>
      </c>
      <c r="Q7" s="223"/>
      <c r="R7" s="223"/>
      <c r="S7" s="223"/>
      <c r="T7" s="224"/>
      <c r="U7" s="255" t="s">
        <v>34</v>
      </c>
      <c r="V7" s="255" t="s">
        <v>48</v>
      </c>
      <c r="W7" s="255" t="s">
        <v>56</v>
      </c>
      <c r="X7" s="255" t="s">
        <v>54</v>
      </c>
      <c r="Y7" s="255" t="s">
        <v>57</v>
      </c>
      <c r="Z7" s="255" t="s">
        <v>55</v>
      </c>
      <c r="AA7" s="255" t="s">
        <v>58</v>
      </c>
      <c r="AB7" s="255" t="s">
        <v>38</v>
      </c>
    </row>
    <row r="8" spans="1:28" ht="38.25" x14ac:dyDescent="0.2">
      <c r="A8" s="228"/>
      <c r="B8" s="229"/>
      <c r="C8" s="230"/>
      <c r="D8" s="230"/>
      <c r="E8" s="237"/>
      <c r="F8" s="18" t="s">
        <v>45</v>
      </c>
      <c r="G8" s="18" t="s">
        <v>29</v>
      </c>
      <c r="H8" s="18" t="s">
        <v>46</v>
      </c>
      <c r="I8" s="18" t="s">
        <v>52</v>
      </c>
      <c r="J8" s="18" t="s">
        <v>53</v>
      </c>
      <c r="K8" s="18" t="s">
        <v>45</v>
      </c>
      <c r="L8" s="18" t="s">
        <v>29</v>
      </c>
      <c r="M8" s="18" t="s">
        <v>46</v>
      </c>
      <c r="N8" s="18" t="s">
        <v>52</v>
      </c>
      <c r="O8" s="18" t="s">
        <v>53</v>
      </c>
      <c r="P8" s="18" t="s">
        <v>45</v>
      </c>
      <c r="Q8" s="18" t="s">
        <v>29</v>
      </c>
      <c r="R8" s="18" t="s">
        <v>46</v>
      </c>
      <c r="S8" s="18" t="s">
        <v>52</v>
      </c>
      <c r="T8" s="18" t="s">
        <v>53</v>
      </c>
      <c r="U8" s="255"/>
      <c r="V8" s="255"/>
      <c r="W8" s="255"/>
      <c r="X8" s="255"/>
      <c r="Y8" s="255"/>
      <c r="Z8" s="255"/>
      <c r="AA8" s="255"/>
      <c r="AB8" s="255"/>
    </row>
    <row r="9" spans="1:28" ht="12.75" customHeight="1" x14ac:dyDescent="0.2">
      <c r="A9" s="228"/>
      <c r="B9" s="232" t="s">
        <v>17</v>
      </c>
      <c r="C9" s="12"/>
      <c r="D9" s="12"/>
      <c r="E9" s="234" t="s">
        <v>1</v>
      </c>
      <c r="F9" s="13">
        <v>0</v>
      </c>
      <c r="G9" s="25">
        <f>F9/$U6</f>
        <v>0</v>
      </c>
      <c r="H9" s="13"/>
      <c r="I9" s="13"/>
      <c r="J9" s="13"/>
      <c r="K9" s="13">
        <v>0</v>
      </c>
      <c r="L9" s="25">
        <f>K9/$U6</f>
        <v>0</v>
      </c>
      <c r="M9" s="13"/>
      <c r="N9" s="13"/>
      <c r="O9" s="13"/>
      <c r="P9" s="13"/>
      <c r="Q9" s="25">
        <f>P9/$U6</f>
        <v>0</v>
      </c>
      <c r="R9" s="13"/>
      <c r="S9" s="13"/>
      <c r="T9" s="13"/>
      <c r="U9" s="210">
        <f>SUM(F9, K9, P9, F10, K10, P10)</f>
        <v>0</v>
      </c>
      <c r="V9" s="210">
        <f>SUM(H9, M9, R9, H10, M10, R10)</f>
        <v>0</v>
      </c>
      <c r="W9" s="212">
        <f>IF($U9=0, ,V9/$U9)</f>
        <v>0</v>
      </c>
      <c r="X9" s="210">
        <f>SUM(I9, N9, S9, I10, N10, S10)</f>
        <v>0</v>
      </c>
      <c r="Y9" s="212">
        <f>IF($U9=0, ,X9/$U9)</f>
        <v>0</v>
      </c>
      <c r="Z9" s="210">
        <f>SUM(J9, O9, T9, J10, O10, T10)</f>
        <v>0</v>
      </c>
      <c r="AA9" s="212">
        <f>IF($U9=0, ,Z9/$U9)</f>
        <v>0</v>
      </c>
      <c r="AB9" s="214" t="s">
        <v>87</v>
      </c>
    </row>
    <row r="10" spans="1:28" ht="12.75" customHeight="1" x14ac:dyDescent="0.2">
      <c r="A10" s="228"/>
      <c r="B10" s="250"/>
      <c r="C10" s="12"/>
      <c r="D10" s="12"/>
      <c r="E10" s="236"/>
      <c r="F10" s="13"/>
      <c r="G10" s="25">
        <f>F10/$U6</f>
        <v>0</v>
      </c>
      <c r="H10" s="13"/>
      <c r="I10" s="13"/>
      <c r="J10" s="13"/>
      <c r="K10" s="13"/>
      <c r="L10" s="25">
        <f>K10/$U6</f>
        <v>0</v>
      </c>
      <c r="M10" s="13"/>
      <c r="N10" s="13"/>
      <c r="O10" s="13"/>
      <c r="P10" s="13"/>
      <c r="Q10" s="25">
        <f>P10/$U6</f>
        <v>0</v>
      </c>
      <c r="R10" s="13"/>
      <c r="S10" s="13"/>
      <c r="T10" s="13"/>
      <c r="U10" s="211"/>
      <c r="V10" s="211"/>
      <c r="W10" s="213"/>
      <c r="X10" s="211"/>
      <c r="Y10" s="213"/>
      <c r="Z10" s="211"/>
      <c r="AA10" s="213"/>
      <c r="AB10" s="215"/>
    </row>
    <row r="11" spans="1:28" ht="12.75" customHeight="1" x14ac:dyDescent="0.2">
      <c r="A11" s="228"/>
      <c r="B11" s="216" t="s">
        <v>18</v>
      </c>
      <c r="C11" s="10"/>
      <c r="D11" s="10"/>
      <c r="E11" s="218" t="s">
        <v>1</v>
      </c>
      <c r="F11" s="14">
        <v>0</v>
      </c>
      <c r="G11" s="26">
        <f>F11/$U6</f>
        <v>0</v>
      </c>
      <c r="H11" s="14"/>
      <c r="I11" s="14"/>
      <c r="J11" s="14"/>
      <c r="K11" s="14">
        <v>0</v>
      </c>
      <c r="L11" s="26">
        <f>K11/$U6</f>
        <v>0</v>
      </c>
      <c r="M11" s="14"/>
      <c r="N11" s="14"/>
      <c r="O11" s="14"/>
      <c r="P11" s="14"/>
      <c r="Q11" s="26">
        <f>P11/$U6</f>
        <v>0</v>
      </c>
      <c r="R11" s="14"/>
      <c r="S11" s="14"/>
      <c r="T11" s="14"/>
      <c r="U11" s="220">
        <f>SUM(F11, K11, P11, F12, K12, P12)</f>
        <v>0</v>
      </c>
      <c r="V11" s="220">
        <f>SUM(H11, M11, R11, H12, M12, R12)</f>
        <v>0</v>
      </c>
      <c r="W11" s="194">
        <f>IF($U11=0, ,V11/$U11)</f>
        <v>0</v>
      </c>
      <c r="X11" s="220">
        <f>SUM(I11, N11, S11, I12, N12, S12)</f>
        <v>0</v>
      </c>
      <c r="Y11" s="194">
        <f>IF($U11=0, ,X11/$U11)</f>
        <v>0</v>
      </c>
      <c r="Z11" s="220">
        <f>SUM(J11, O11, T11, J12, O12, T12)</f>
        <v>0</v>
      </c>
      <c r="AA11" s="194">
        <f>IF($U11=0, ,Z11/$U11)</f>
        <v>0</v>
      </c>
      <c r="AB11" s="204" t="s">
        <v>87</v>
      </c>
    </row>
    <row r="12" spans="1:28" ht="12.75" customHeight="1" x14ac:dyDescent="0.2">
      <c r="A12" s="228"/>
      <c r="B12" s="217"/>
      <c r="C12" s="10"/>
      <c r="D12" s="10"/>
      <c r="E12" s="219"/>
      <c r="F12" s="14"/>
      <c r="G12" s="26">
        <f>F12/$U6</f>
        <v>0</v>
      </c>
      <c r="H12" s="14"/>
      <c r="I12" s="14"/>
      <c r="J12" s="14"/>
      <c r="K12" s="14"/>
      <c r="L12" s="26">
        <f>K12/$U6</f>
        <v>0</v>
      </c>
      <c r="M12" s="14"/>
      <c r="N12" s="14"/>
      <c r="O12" s="14"/>
      <c r="P12" s="14"/>
      <c r="Q12" s="26">
        <f>P12/$U6</f>
        <v>0</v>
      </c>
      <c r="R12" s="14"/>
      <c r="S12" s="14"/>
      <c r="T12" s="14"/>
      <c r="U12" s="221"/>
      <c r="V12" s="221"/>
      <c r="W12" s="195"/>
      <c r="X12" s="221"/>
      <c r="Y12" s="195"/>
      <c r="Z12" s="221"/>
      <c r="AA12" s="195"/>
      <c r="AB12" s="205"/>
    </row>
    <row r="13" spans="1:28" ht="12.75" customHeight="1" x14ac:dyDescent="0.2">
      <c r="A13" s="228"/>
      <c r="B13" s="232" t="s">
        <v>19</v>
      </c>
      <c r="C13" s="9"/>
      <c r="D13" s="9"/>
      <c r="E13" s="208" t="s">
        <v>1</v>
      </c>
      <c r="F13" s="15">
        <v>0</v>
      </c>
      <c r="G13" s="27">
        <f>F13/$U6</f>
        <v>0</v>
      </c>
      <c r="H13" s="15"/>
      <c r="I13" s="15"/>
      <c r="J13" s="15"/>
      <c r="K13" s="15">
        <v>0</v>
      </c>
      <c r="L13" s="27">
        <f>K13/$U6</f>
        <v>0</v>
      </c>
      <c r="M13" s="15"/>
      <c r="N13" s="15"/>
      <c r="O13" s="15"/>
      <c r="P13" s="15"/>
      <c r="Q13" s="27">
        <f>P13/$U6</f>
        <v>0</v>
      </c>
      <c r="R13" s="15"/>
      <c r="S13" s="15"/>
      <c r="T13" s="15"/>
      <c r="U13" s="210">
        <f>SUM(F13, K13, P13, F14, K14, P14)</f>
        <v>0</v>
      </c>
      <c r="V13" s="210">
        <f>SUM(H13, M13, R13, H14, M14, R14)</f>
        <v>0</v>
      </c>
      <c r="W13" s="212">
        <f>IF($U13=0, ,V13/$U13)</f>
        <v>0</v>
      </c>
      <c r="X13" s="210">
        <f>SUM(I13, N13, S13, I14, N14, S14)</f>
        <v>0</v>
      </c>
      <c r="Y13" s="212">
        <f>IF($U13=0, ,X13/$U13)</f>
        <v>0</v>
      </c>
      <c r="Z13" s="210">
        <f>SUM(J13, O13, T13, J14, O14, T14)</f>
        <v>0</v>
      </c>
      <c r="AA13" s="212">
        <f>IF($U13=0, ,Z13/$U13)</f>
        <v>0</v>
      </c>
      <c r="AB13" s="214" t="s">
        <v>87</v>
      </c>
    </row>
    <row r="14" spans="1:28" ht="12.75" customHeight="1" x14ac:dyDescent="0.2">
      <c r="A14" s="228"/>
      <c r="B14" s="250"/>
      <c r="C14" s="9"/>
      <c r="D14" s="9"/>
      <c r="E14" s="209"/>
      <c r="F14" s="15"/>
      <c r="G14" s="27">
        <f>F14/$U6</f>
        <v>0</v>
      </c>
      <c r="H14" s="15"/>
      <c r="I14" s="15"/>
      <c r="J14" s="15"/>
      <c r="K14" s="15"/>
      <c r="L14" s="27">
        <f>K14/$U6</f>
        <v>0</v>
      </c>
      <c r="M14" s="15"/>
      <c r="N14" s="15"/>
      <c r="O14" s="15"/>
      <c r="P14" s="15"/>
      <c r="Q14" s="27">
        <f>P14/$U6</f>
        <v>0</v>
      </c>
      <c r="R14" s="15"/>
      <c r="S14" s="15"/>
      <c r="T14" s="15"/>
      <c r="U14" s="211"/>
      <c r="V14" s="211"/>
      <c r="W14" s="213"/>
      <c r="X14" s="211"/>
      <c r="Y14" s="213"/>
      <c r="Z14" s="211"/>
      <c r="AA14" s="213"/>
      <c r="AB14" s="215"/>
    </row>
    <row r="15" spans="1:28" ht="12.75" customHeight="1" x14ac:dyDescent="0.2">
      <c r="A15" s="228"/>
      <c r="B15" s="216" t="s">
        <v>20</v>
      </c>
      <c r="C15" s="10"/>
      <c r="D15" s="10"/>
      <c r="E15" s="218" t="s">
        <v>1</v>
      </c>
      <c r="F15" s="14">
        <v>0</v>
      </c>
      <c r="G15" s="26">
        <f>F15/$U6</f>
        <v>0</v>
      </c>
      <c r="H15" s="14"/>
      <c r="I15" s="14"/>
      <c r="J15" s="14"/>
      <c r="K15" s="14">
        <v>0</v>
      </c>
      <c r="L15" s="26">
        <f>K15/$U6</f>
        <v>0</v>
      </c>
      <c r="M15" s="14"/>
      <c r="N15" s="14"/>
      <c r="O15" s="14"/>
      <c r="P15" s="14"/>
      <c r="Q15" s="26">
        <f>P15/$U6</f>
        <v>0</v>
      </c>
      <c r="R15" s="14"/>
      <c r="S15" s="14"/>
      <c r="T15" s="14"/>
      <c r="U15" s="220">
        <f>SUM(F15, K15, P15, F16, K16, P16)</f>
        <v>0</v>
      </c>
      <c r="V15" s="220">
        <f>SUM(H15, M15, R15, H16, M16, R16)</f>
        <v>0</v>
      </c>
      <c r="W15" s="194">
        <f>IF($U15=0, ,V15/$U15)</f>
        <v>0</v>
      </c>
      <c r="X15" s="220">
        <f>SUM(I15, N15, S15, I16, N16, S16)</f>
        <v>0</v>
      </c>
      <c r="Y15" s="194">
        <f>IF($U15=0, ,X15/$U15)</f>
        <v>0</v>
      </c>
      <c r="Z15" s="220">
        <f>SUM(J15, O15, T15, J16, O16, T16)</f>
        <v>0</v>
      </c>
      <c r="AA15" s="194">
        <f>IF($U15=0, ,Z15/$U15)</f>
        <v>0</v>
      </c>
      <c r="AB15" s="204" t="s">
        <v>87</v>
      </c>
    </row>
    <row r="16" spans="1:28" ht="12.75" customHeight="1" x14ac:dyDescent="0.2">
      <c r="A16" s="228"/>
      <c r="B16" s="217"/>
      <c r="C16" s="10"/>
      <c r="D16" s="10"/>
      <c r="E16" s="219"/>
      <c r="F16" s="14"/>
      <c r="G16" s="26">
        <f>F16/$U6</f>
        <v>0</v>
      </c>
      <c r="H16" s="14"/>
      <c r="I16" s="14"/>
      <c r="J16" s="14"/>
      <c r="K16" s="14"/>
      <c r="L16" s="26">
        <f>K16/$U6</f>
        <v>0</v>
      </c>
      <c r="M16" s="14"/>
      <c r="N16" s="14"/>
      <c r="O16" s="14"/>
      <c r="P16" s="14"/>
      <c r="Q16" s="26">
        <f>P16/$U6</f>
        <v>0</v>
      </c>
      <c r="R16" s="14"/>
      <c r="S16" s="14"/>
      <c r="T16" s="14"/>
      <c r="U16" s="221"/>
      <c r="V16" s="221"/>
      <c r="W16" s="195"/>
      <c r="X16" s="221"/>
      <c r="Y16" s="195"/>
      <c r="Z16" s="221"/>
      <c r="AA16" s="195"/>
      <c r="AB16" s="205"/>
    </row>
    <row r="17" spans="1:28" ht="12.75" customHeight="1" x14ac:dyDescent="0.2">
      <c r="A17" s="228"/>
      <c r="B17" s="232" t="s">
        <v>21</v>
      </c>
      <c r="C17" s="9"/>
      <c r="D17" s="9"/>
      <c r="E17" s="208" t="s">
        <v>1</v>
      </c>
      <c r="F17" s="15">
        <v>0</v>
      </c>
      <c r="G17" s="27">
        <f>F17/$U6</f>
        <v>0</v>
      </c>
      <c r="H17" s="15"/>
      <c r="I17" s="15"/>
      <c r="J17" s="15"/>
      <c r="K17" s="15">
        <v>0</v>
      </c>
      <c r="L17" s="27">
        <f>K17/$U6</f>
        <v>0</v>
      </c>
      <c r="M17" s="15"/>
      <c r="N17" s="15"/>
      <c r="O17" s="15"/>
      <c r="P17" s="15"/>
      <c r="Q17" s="27">
        <f>P17/$U6</f>
        <v>0</v>
      </c>
      <c r="R17" s="15"/>
      <c r="S17" s="15"/>
      <c r="T17" s="15"/>
      <c r="U17" s="210">
        <f>SUM(F17, K17, P17, F18, K18, P18)</f>
        <v>0</v>
      </c>
      <c r="V17" s="210">
        <f>SUM(H17, M17, R17, H18, M18, R18)</f>
        <v>0</v>
      </c>
      <c r="W17" s="212">
        <f>IF($U17=0, ,V17/$U17)</f>
        <v>0</v>
      </c>
      <c r="X17" s="210">
        <f>SUM(I17, N17, S17, I18, N18, S18)</f>
        <v>0</v>
      </c>
      <c r="Y17" s="212">
        <f>IF($U17=0, ,X17/$U17)</f>
        <v>0</v>
      </c>
      <c r="Z17" s="210">
        <f>SUM(J17, O17, T17, J18, O18, T18)</f>
        <v>0</v>
      </c>
      <c r="AA17" s="212">
        <f>IF($U17=0, ,Z17/$U17)</f>
        <v>0</v>
      </c>
      <c r="AB17" s="214" t="s">
        <v>87</v>
      </c>
    </row>
    <row r="18" spans="1:28" ht="12.75" customHeight="1" x14ac:dyDescent="0.2">
      <c r="A18" s="228"/>
      <c r="B18" s="250"/>
      <c r="C18" s="9"/>
      <c r="D18" s="9"/>
      <c r="E18" s="209"/>
      <c r="F18" s="15"/>
      <c r="G18" s="27">
        <f>F18/$U6</f>
        <v>0</v>
      </c>
      <c r="H18" s="15"/>
      <c r="I18" s="15"/>
      <c r="J18" s="15"/>
      <c r="K18" s="15"/>
      <c r="L18" s="27">
        <f>K18/$U6</f>
        <v>0</v>
      </c>
      <c r="M18" s="15"/>
      <c r="N18" s="15"/>
      <c r="O18" s="15"/>
      <c r="P18" s="15"/>
      <c r="Q18" s="27">
        <f>P18/$U6</f>
        <v>0</v>
      </c>
      <c r="R18" s="15"/>
      <c r="S18" s="15"/>
      <c r="T18" s="15"/>
      <c r="U18" s="211"/>
      <c r="V18" s="211"/>
      <c r="W18" s="213"/>
      <c r="X18" s="211"/>
      <c r="Y18" s="213"/>
      <c r="Z18" s="211"/>
      <c r="AA18" s="213"/>
      <c r="AB18" s="215"/>
    </row>
    <row r="19" spans="1:28" ht="12.75" customHeight="1" x14ac:dyDescent="0.2">
      <c r="A19" s="228"/>
      <c r="B19" s="216" t="s">
        <v>22</v>
      </c>
      <c r="C19" s="11"/>
      <c r="D19" s="11"/>
      <c r="E19" s="191" t="s">
        <v>1</v>
      </c>
      <c r="F19" s="16">
        <v>0</v>
      </c>
      <c r="G19" s="28">
        <f>F19/$U6</f>
        <v>0</v>
      </c>
      <c r="H19" s="16"/>
      <c r="I19" s="16"/>
      <c r="J19" s="16"/>
      <c r="K19" s="16">
        <v>0</v>
      </c>
      <c r="L19" s="28">
        <f>K19/$U6</f>
        <v>0</v>
      </c>
      <c r="M19" s="16"/>
      <c r="N19" s="16"/>
      <c r="O19" s="16"/>
      <c r="P19" s="16"/>
      <c r="Q19" s="28">
        <f>P19/$U6</f>
        <v>0</v>
      </c>
      <c r="R19" s="16"/>
      <c r="S19" s="16"/>
      <c r="T19" s="16"/>
      <c r="U19" s="220">
        <f>SUM(F19, K19, P19, F20, K20, P20)</f>
        <v>0</v>
      </c>
      <c r="V19" s="220">
        <f>SUM(H19, M19, R19, H20, M20, R20)</f>
        <v>0</v>
      </c>
      <c r="W19" s="194">
        <f>IF($U19=0, ,V19/$U19)</f>
        <v>0</v>
      </c>
      <c r="X19" s="220">
        <f>SUM(I19, N19, S19, I20, N20, S20)</f>
        <v>0</v>
      </c>
      <c r="Y19" s="194">
        <f>IF($U19=0, ,X19/$U19)</f>
        <v>0</v>
      </c>
      <c r="Z19" s="220">
        <f>SUM(J19, O19, T19, J20, O20, T20)</f>
        <v>0</v>
      </c>
      <c r="AA19" s="194">
        <f>IF($U19=0, ,Z19/$U19)</f>
        <v>0</v>
      </c>
      <c r="AB19" s="204" t="s">
        <v>87</v>
      </c>
    </row>
    <row r="20" spans="1:28" ht="12.75" customHeight="1" x14ac:dyDescent="0.2">
      <c r="A20" s="228"/>
      <c r="B20" s="217"/>
      <c r="C20" s="11"/>
      <c r="D20" s="11"/>
      <c r="E20" s="192"/>
      <c r="F20" s="16"/>
      <c r="G20" s="28">
        <f>F20/$U6</f>
        <v>0</v>
      </c>
      <c r="H20" s="16"/>
      <c r="I20" s="16"/>
      <c r="J20" s="16"/>
      <c r="K20" s="16"/>
      <c r="L20" s="28">
        <f>K20/$U6</f>
        <v>0</v>
      </c>
      <c r="M20" s="16"/>
      <c r="N20" s="16"/>
      <c r="O20" s="16"/>
      <c r="P20" s="16"/>
      <c r="Q20" s="28">
        <f>P20/$U6</f>
        <v>0</v>
      </c>
      <c r="R20" s="16"/>
      <c r="S20" s="16"/>
      <c r="T20" s="16"/>
      <c r="U20" s="221"/>
      <c r="V20" s="221"/>
      <c r="W20" s="195"/>
      <c r="X20" s="221"/>
      <c r="Y20" s="195"/>
      <c r="Z20" s="221"/>
      <c r="AA20" s="195"/>
      <c r="AB20" s="205"/>
    </row>
    <row r="21" spans="1:28" ht="13.5" customHeight="1" thickBot="1" x14ac:dyDescent="0.25">
      <c r="A21" s="228"/>
      <c r="B21" s="56"/>
      <c r="C21" s="56"/>
      <c r="D21" s="56"/>
      <c r="E21" s="56"/>
      <c r="F21" s="57"/>
      <c r="G21" s="58"/>
      <c r="H21" s="57"/>
      <c r="I21" s="57"/>
      <c r="J21" s="57"/>
      <c r="K21" s="57"/>
      <c r="L21" s="58"/>
      <c r="M21" s="57"/>
      <c r="N21" s="57"/>
      <c r="O21" s="57"/>
      <c r="P21" s="57"/>
      <c r="Q21" s="58"/>
      <c r="R21" s="57"/>
      <c r="S21" s="57"/>
      <c r="T21" s="60" t="s">
        <v>59</v>
      </c>
      <c r="U21" s="61">
        <f>SUM(U9:U20)</f>
        <v>0</v>
      </c>
      <c r="V21" s="61">
        <f>SUM(V9:V20)</f>
        <v>0</v>
      </c>
      <c r="W21" s="62">
        <f>IF($U21=0, ,V21/$U21)</f>
        <v>0</v>
      </c>
      <c r="X21" s="61">
        <f>SUM(X9:X20)</f>
        <v>0</v>
      </c>
      <c r="Y21" s="62">
        <f>IF($U21=0, ,X21/$U21)</f>
        <v>0</v>
      </c>
      <c r="Z21" s="61">
        <f>SUM(Z9:Z20)</f>
        <v>0</v>
      </c>
      <c r="AA21" s="62">
        <f>IF($U21=0, ,Z21/$U21)</f>
        <v>0</v>
      </c>
      <c r="AB21" s="59"/>
    </row>
    <row r="22" spans="1:28" ht="13.5" customHeight="1" thickTop="1" x14ac:dyDescent="0.2">
      <c r="A22" s="228"/>
      <c r="B22" s="44"/>
      <c r="C22" s="45" t="s">
        <v>27</v>
      </c>
      <c r="D22" s="23"/>
      <c r="E22" s="44"/>
      <c r="F22" s="44"/>
      <c r="G22" s="44"/>
      <c r="H22" s="44"/>
      <c r="I22" s="44"/>
      <c r="J22" s="44"/>
      <c r="K22" s="44"/>
      <c r="L22" s="44"/>
      <c r="M22" s="44"/>
      <c r="N22" s="44"/>
      <c r="O22" s="93">
        <v>320</v>
      </c>
      <c r="P22" s="94" t="s">
        <v>33</v>
      </c>
      <c r="Q22" s="44"/>
      <c r="R22" s="44"/>
      <c r="S22" s="44"/>
      <c r="T22" s="44"/>
      <c r="U22" s="44"/>
      <c r="V22" s="44"/>
      <c r="W22" s="44"/>
      <c r="X22" s="44"/>
      <c r="Y22" s="44"/>
      <c r="Z22" s="44"/>
      <c r="AA22" s="44"/>
      <c r="AB22" s="46"/>
    </row>
    <row r="23" spans="1:28" ht="12.75" customHeight="1" x14ac:dyDescent="0.2">
      <c r="A23" s="228"/>
      <c r="B23" s="229" t="s">
        <v>35</v>
      </c>
      <c r="C23" s="230" t="s">
        <v>25</v>
      </c>
      <c r="D23" s="230" t="s">
        <v>28</v>
      </c>
      <c r="E23" s="237" t="s">
        <v>12</v>
      </c>
      <c r="F23" s="241" t="s">
        <v>13</v>
      </c>
      <c r="G23" s="241"/>
      <c r="H23" s="241"/>
      <c r="I23" s="241" t="s">
        <v>14</v>
      </c>
      <c r="J23" s="241"/>
      <c r="K23" s="241"/>
      <c r="L23" s="241" t="s">
        <v>15</v>
      </c>
      <c r="M23" s="241"/>
      <c r="N23" s="241"/>
      <c r="O23" s="225" t="s">
        <v>34</v>
      </c>
      <c r="P23" s="225" t="s">
        <v>48</v>
      </c>
      <c r="Q23" s="225" t="s">
        <v>60</v>
      </c>
      <c r="R23" s="225" t="s">
        <v>49</v>
      </c>
      <c r="S23" s="225" t="s">
        <v>61</v>
      </c>
      <c r="T23" s="251" t="s">
        <v>79</v>
      </c>
      <c r="U23" s="251"/>
      <c r="V23" s="251"/>
      <c r="W23" s="251"/>
      <c r="X23" s="251"/>
      <c r="Y23" s="251"/>
      <c r="Z23" s="251"/>
      <c r="AA23" s="251"/>
      <c r="AB23" s="252"/>
    </row>
    <row r="24" spans="1:28" ht="25.5" x14ac:dyDescent="0.2">
      <c r="A24" s="228"/>
      <c r="B24" s="229"/>
      <c r="C24" s="230"/>
      <c r="D24" s="230"/>
      <c r="E24" s="237"/>
      <c r="F24" s="18" t="s">
        <v>30</v>
      </c>
      <c r="G24" s="18" t="s">
        <v>46</v>
      </c>
      <c r="H24" s="18" t="s">
        <v>47</v>
      </c>
      <c r="I24" s="18" t="s">
        <v>30</v>
      </c>
      <c r="J24" s="18" t="s">
        <v>46</v>
      </c>
      <c r="K24" s="18" t="s">
        <v>47</v>
      </c>
      <c r="L24" s="18" t="s">
        <v>30</v>
      </c>
      <c r="M24" s="18" t="s">
        <v>46</v>
      </c>
      <c r="N24" s="18" t="s">
        <v>47</v>
      </c>
      <c r="O24" s="227"/>
      <c r="P24" s="227"/>
      <c r="Q24" s="227"/>
      <c r="R24" s="227"/>
      <c r="S24" s="227"/>
      <c r="T24" s="253"/>
      <c r="U24" s="253"/>
      <c r="V24" s="253"/>
      <c r="W24" s="253"/>
      <c r="X24" s="253"/>
      <c r="Y24" s="253"/>
      <c r="Z24" s="253"/>
      <c r="AA24" s="253"/>
      <c r="AB24" s="254"/>
    </row>
    <row r="25" spans="1:28" ht="12.75" customHeight="1" x14ac:dyDescent="0.2">
      <c r="A25" s="228"/>
      <c r="B25" s="242" t="s">
        <v>36</v>
      </c>
      <c r="C25" s="12"/>
      <c r="D25" s="12" t="s">
        <v>80</v>
      </c>
      <c r="E25" s="243" t="s">
        <v>1</v>
      </c>
      <c r="F25" s="13">
        <v>0</v>
      </c>
      <c r="G25" s="13">
        <v>0</v>
      </c>
      <c r="H25" s="13">
        <v>0</v>
      </c>
      <c r="I25" s="13">
        <v>0</v>
      </c>
      <c r="J25" s="13"/>
      <c r="K25" s="13"/>
      <c r="L25" s="13"/>
      <c r="M25" s="13">
        <f>H30+K30+N30+Q30+T30+W30+Z30</f>
        <v>0</v>
      </c>
      <c r="N25" s="13">
        <f>H31+K31+N31+Q31+T31+W31+Z31</f>
        <v>0</v>
      </c>
      <c r="O25" s="210">
        <f>SUM(F25, I25, L25, F26, I26, L26)*$O22</f>
        <v>0</v>
      </c>
      <c r="P25" s="210">
        <f>SUM(G25, J25, M25, G26, J26, M26)</f>
        <v>0</v>
      </c>
      <c r="Q25" s="212">
        <f>IF($O25=0, ,P25/$O25)</f>
        <v>0</v>
      </c>
      <c r="R25" s="210">
        <f>SUM(H25, K25, N25, H26, K26, N26)</f>
        <v>0</v>
      </c>
      <c r="S25" s="212">
        <f>IF($O25=0, ,R25/$O25)</f>
        <v>0</v>
      </c>
      <c r="T25" s="244"/>
      <c r="U25" s="244"/>
      <c r="V25" s="244"/>
      <c r="W25" s="244"/>
      <c r="X25" s="244"/>
      <c r="Y25" s="244"/>
      <c r="Z25" s="244"/>
      <c r="AA25" s="244"/>
      <c r="AB25" s="245"/>
    </row>
    <row r="26" spans="1:28" ht="12.75" customHeight="1" x14ac:dyDescent="0.2">
      <c r="A26" s="228"/>
      <c r="B26" s="242"/>
      <c r="C26" s="12"/>
      <c r="D26" s="12"/>
      <c r="E26" s="243"/>
      <c r="F26" s="13"/>
      <c r="G26" s="13">
        <f>F32+I32+L32+O32+R32+U32+X32</f>
        <v>0</v>
      </c>
      <c r="H26" s="13">
        <f>F33+I33+L33+O33+R33+U33+X33</f>
        <v>0</v>
      </c>
      <c r="I26" s="13"/>
      <c r="J26" s="13">
        <f>G32+J32+M32+P32+S32+V32+Y32</f>
        <v>0</v>
      </c>
      <c r="K26" s="13">
        <f>G33+J33+M33+P33+S33+V33+Y33</f>
        <v>0</v>
      </c>
      <c r="L26" s="13"/>
      <c r="M26" s="13">
        <f>H32+K32+N32+Q32+T32+W32+Z32</f>
        <v>0</v>
      </c>
      <c r="N26" s="13">
        <f>H33+K33+N33+Q33+T33+W33+Z33</f>
        <v>0</v>
      </c>
      <c r="O26" s="211"/>
      <c r="P26" s="211"/>
      <c r="Q26" s="213"/>
      <c r="R26" s="211"/>
      <c r="S26" s="213"/>
      <c r="T26" s="246"/>
      <c r="U26" s="246"/>
      <c r="V26" s="246"/>
      <c r="W26" s="246"/>
      <c r="X26" s="246"/>
      <c r="Y26" s="246"/>
      <c r="Z26" s="246"/>
      <c r="AA26" s="246"/>
      <c r="AB26" s="247"/>
    </row>
    <row r="27" spans="1:28" ht="12.75" customHeight="1" x14ac:dyDescent="0.2">
      <c r="A27" s="228"/>
      <c r="B27" s="56"/>
      <c r="C27" s="56"/>
      <c r="D27" s="56"/>
      <c r="E27" s="56"/>
      <c r="F27" s="89"/>
      <c r="G27" s="89"/>
      <c r="H27" s="89"/>
      <c r="I27" s="89"/>
      <c r="J27" s="89"/>
      <c r="K27" s="89"/>
      <c r="L27" s="89"/>
      <c r="M27" s="89"/>
      <c r="N27" s="89"/>
      <c r="O27" s="90"/>
      <c r="P27" s="90"/>
      <c r="Q27" s="91"/>
      <c r="R27" s="90"/>
      <c r="S27" s="91"/>
      <c r="T27" s="92"/>
      <c r="U27" s="92"/>
      <c r="V27" s="92"/>
      <c r="W27" s="92"/>
      <c r="X27" s="92"/>
      <c r="Y27" s="92"/>
      <c r="Z27" s="92"/>
      <c r="AA27" s="92"/>
      <c r="AB27" s="95"/>
    </row>
    <row r="28" spans="1:28" ht="12.75" customHeight="1" x14ac:dyDescent="0.2">
      <c r="A28" s="228"/>
      <c r="B28" s="256" t="s">
        <v>67</v>
      </c>
      <c r="C28" s="256"/>
      <c r="D28" s="257"/>
      <c r="E28" s="82" t="s">
        <v>68</v>
      </c>
      <c r="F28" s="248" t="s">
        <v>64</v>
      </c>
      <c r="G28" s="248"/>
      <c r="H28" s="248"/>
      <c r="I28" s="248" t="s">
        <v>76</v>
      </c>
      <c r="J28" s="248"/>
      <c r="K28" s="248"/>
      <c r="L28" s="248" t="s">
        <v>65</v>
      </c>
      <c r="M28" s="248"/>
      <c r="N28" s="248"/>
      <c r="O28" s="248" t="s">
        <v>66</v>
      </c>
      <c r="P28" s="248"/>
      <c r="Q28" s="248"/>
      <c r="R28" s="248" t="s">
        <v>73</v>
      </c>
      <c r="S28" s="248"/>
      <c r="T28" s="248"/>
      <c r="U28" s="248" t="s">
        <v>74</v>
      </c>
      <c r="V28" s="248"/>
      <c r="W28" s="248"/>
      <c r="X28" s="248" t="s">
        <v>75</v>
      </c>
      <c r="Y28" s="248"/>
      <c r="Z28" s="248"/>
      <c r="AA28" s="249"/>
      <c r="AB28" s="249"/>
    </row>
    <row r="29" spans="1:28" ht="12.75" customHeight="1" x14ac:dyDescent="0.2">
      <c r="A29" s="228"/>
      <c r="B29" s="258"/>
      <c r="C29" s="258"/>
      <c r="D29" s="259"/>
      <c r="E29" s="97" t="s">
        <v>69</v>
      </c>
      <c r="F29" s="83" t="s">
        <v>70</v>
      </c>
      <c r="G29" s="83" t="s">
        <v>71</v>
      </c>
      <c r="H29" s="84" t="s">
        <v>72</v>
      </c>
      <c r="I29" s="83" t="s">
        <v>70</v>
      </c>
      <c r="J29" s="83" t="s">
        <v>71</v>
      </c>
      <c r="K29" s="84" t="s">
        <v>72</v>
      </c>
      <c r="L29" s="83" t="s">
        <v>70</v>
      </c>
      <c r="M29" s="83" t="s">
        <v>71</v>
      </c>
      <c r="N29" s="84" t="s">
        <v>72</v>
      </c>
      <c r="O29" s="83" t="s">
        <v>70</v>
      </c>
      <c r="P29" s="83" t="s">
        <v>71</v>
      </c>
      <c r="Q29" s="84" t="s">
        <v>72</v>
      </c>
      <c r="R29" s="83" t="s">
        <v>70</v>
      </c>
      <c r="S29" s="83" t="s">
        <v>71</v>
      </c>
      <c r="T29" s="84" t="s">
        <v>72</v>
      </c>
      <c r="U29" s="83" t="s">
        <v>70</v>
      </c>
      <c r="V29" s="83" t="s">
        <v>71</v>
      </c>
      <c r="W29" s="84" t="s">
        <v>72</v>
      </c>
      <c r="X29" s="83" t="s">
        <v>70</v>
      </c>
      <c r="Y29" s="83" t="s">
        <v>71</v>
      </c>
      <c r="Z29" s="84" t="s">
        <v>72</v>
      </c>
      <c r="AA29" s="249"/>
      <c r="AB29" s="249"/>
    </row>
    <row r="30" spans="1:28" ht="12.75" customHeight="1" x14ac:dyDescent="0.2">
      <c r="A30" s="228"/>
      <c r="B30" s="260" t="str">
        <f>B25</f>
        <v>Final ASS</v>
      </c>
      <c r="C30" s="82" t="str">
        <f>IF(ISBLANK(C25), "", C25)</f>
        <v/>
      </c>
      <c r="D30" s="96" t="str">
        <f>IF(ISBLANK(D25), "", D25)</f>
        <v>lume</v>
      </c>
      <c r="E30" s="82" t="s">
        <v>77</v>
      </c>
      <c r="F30" s="86"/>
      <c r="G30" s="85"/>
      <c r="H30" s="85"/>
      <c r="I30" s="85"/>
      <c r="J30" s="85"/>
      <c r="K30" s="85"/>
      <c r="L30" s="87"/>
      <c r="M30" s="87"/>
      <c r="N30" s="87"/>
      <c r="O30" s="87"/>
      <c r="P30" s="87"/>
      <c r="Q30" s="85"/>
      <c r="R30" s="87"/>
      <c r="S30" s="87"/>
      <c r="T30" s="87"/>
      <c r="U30" s="87"/>
      <c r="V30" s="87"/>
      <c r="W30" s="85"/>
      <c r="X30" s="85"/>
      <c r="Y30" s="85"/>
      <c r="Z30" s="88"/>
      <c r="AA30" s="249"/>
      <c r="AB30" s="249"/>
    </row>
    <row r="31" spans="1:28" ht="12.75" customHeight="1" x14ac:dyDescent="0.2">
      <c r="A31" s="228"/>
      <c r="B31" s="260"/>
      <c r="C31" s="82" t="str">
        <f>IF(ISBLANK(C25), "", C25)</f>
        <v/>
      </c>
      <c r="D31" s="96" t="str">
        <f>IF(ISBLANK(D25), "", D25)</f>
        <v>lume</v>
      </c>
      <c r="E31" s="82" t="s">
        <v>78</v>
      </c>
      <c r="F31" s="86"/>
      <c r="G31" s="85"/>
      <c r="H31" s="85"/>
      <c r="I31" s="85"/>
      <c r="J31" s="85"/>
      <c r="K31" s="85"/>
      <c r="L31" s="87"/>
      <c r="M31" s="87"/>
      <c r="N31" s="87"/>
      <c r="O31" s="87"/>
      <c r="P31" s="87"/>
      <c r="Q31" s="85"/>
      <c r="R31" s="87"/>
      <c r="S31" s="87"/>
      <c r="T31" s="87"/>
      <c r="U31" s="87"/>
      <c r="V31" s="87"/>
      <c r="W31" s="85"/>
      <c r="X31" s="85"/>
      <c r="Y31" s="85"/>
      <c r="Z31" s="88"/>
      <c r="AA31" s="249"/>
      <c r="AB31" s="249"/>
    </row>
    <row r="32" spans="1:28" ht="12.75" customHeight="1" x14ac:dyDescent="0.2">
      <c r="A32" s="228"/>
      <c r="B32" s="260"/>
      <c r="C32" s="82" t="str">
        <f>IF(ISBLANK(C26), "", C26)</f>
        <v/>
      </c>
      <c r="D32" s="96" t="str">
        <f>IF(ISBLANK(D26), "", D26)</f>
        <v/>
      </c>
      <c r="E32" s="82" t="s">
        <v>77</v>
      </c>
      <c r="F32" s="86"/>
      <c r="G32" s="85"/>
      <c r="H32" s="85"/>
      <c r="I32" s="85"/>
      <c r="J32" s="85"/>
      <c r="K32" s="85"/>
      <c r="L32" s="87"/>
      <c r="M32" s="87"/>
      <c r="N32" s="87"/>
      <c r="O32" s="87"/>
      <c r="P32" s="87"/>
      <c r="Q32" s="85"/>
      <c r="R32" s="87"/>
      <c r="S32" s="87"/>
      <c r="T32" s="87"/>
      <c r="U32" s="87"/>
      <c r="V32" s="87"/>
      <c r="W32" s="85"/>
      <c r="X32" s="85"/>
      <c r="Y32" s="85"/>
      <c r="Z32" s="88"/>
      <c r="AA32" s="249"/>
      <c r="AB32" s="249"/>
    </row>
    <row r="33" spans="1:28" ht="12.75" customHeight="1" x14ac:dyDescent="0.2">
      <c r="A33" s="228"/>
      <c r="B33" s="260"/>
      <c r="C33" s="82" t="str">
        <f>IF(ISBLANK(C26), "", C26)</f>
        <v/>
      </c>
      <c r="D33" s="96" t="str">
        <f>IF(ISBLANK(D26), "", D26)</f>
        <v/>
      </c>
      <c r="E33" s="82" t="s">
        <v>78</v>
      </c>
      <c r="F33" s="86"/>
      <c r="G33" s="85"/>
      <c r="H33" s="85"/>
      <c r="I33" s="85"/>
      <c r="J33" s="85"/>
      <c r="K33" s="85"/>
      <c r="L33" s="87"/>
      <c r="M33" s="87"/>
      <c r="N33" s="87"/>
      <c r="O33" s="87"/>
      <c r="P33" s="87"/>
      <c r="Q33" s="85"/>
      <c r="R33" s="87"/>
      <c r="S33" s="87"/>
      <c r="T33" s="87"/>
      <c r="U33" s="87"/>
      <c r="V33" s="87"/>
      <c r="W33" s="85"/>
      <c r="X33" s="85"/>
      <c r="Y33" s="85"/>
      <c r="Z33" s="88"/>
      <c r="AA33" s="249"/>
      <c r="AB33" s="249"/>
    </row>
    <row r="35" spans="1:28" ht="12.75" customHeight="1" x14ac:dyDescent="0.2">
      <c r="A35" s="228">
        <v>44714</v>
      </c>
      <c r="B35" s="19"/>
      <c r="C35" s="19" t="s">
        <v>42</v>
      </c>
      <c r="D35" s="20"/>
      <c r="E35" s="21" t="s">
        <v>41</v>
      </c>
      <c r="F35" s="20">
        <v>0</v>
      </c>
      <c r="G35" s="20"/>
      <c r="H35" s="20"/>
      <c r="I35" s="21"/>
      <c r="J35" s="21"/>
      <c r="K35" s="32"/>
      <c r="L35" s="32"/>
      <c r="M35" s="20"/>
      <c r="N35" s="21"/>
      <c r="O35" s="21"/>
      <c r="P35" s="32"/>
      <c r="Q35" s="32"/>
      <c r="R35" s="20"/>
      <c r="S35" s="21"/>
      <c r="T35" s="21"/>
      <c r="U35" s="41">
        <v>160</v>
      </c>
      <c r="V35" s="42" t="s">
        <v>32</v>
      </c>
      <c r="W35" s="42"/>
      <c r="X35" s="43"/>
      <c r="Y35" s="31"/>
      <c r="Z35" s="31"/>
      <c r="AA35" s="31"/>
      <c r="AB35" s="33"/>
    </row>
    <row r="36" spans="1:28" ht="12.75" customHeight="1" x14ac:dyDescent="0.2">
      <c r="A36" s="228"/>
      <c r="B36" s="229" t="s">
        <v>10</v>
      </c>
      <c r="C36" s="230" t="s">
        <v>25</v>
      </c>
      <c r="D36" s="230" t="s">
        <v>28</v>
      </c>
      <c r="E36" s="237" t="s">
        <v>12</v>
      </c>
      <c r="F36" s="222" t="s">
        <v>13</v>
      </c>
      <c r="G36" s="223"/>
      <c r="H36" s="223"/>
      <c r="I36" s="223"/>
      <c r="J36" s="224"/>
      <c r="K36" s="222" t="s">
        <v>14</v>
      </c>
      <c r="L36" s="223"/>
      <c r="M36" s="223"/>
      <c r="N36" s="223"/>
      <c r="O36" s="224"/>
      <c r="P36" s="222" t="s">
        <v>15</v>
      </c>
      <c r="Q36" s="223"/>
      <c r="R36" s="223"/>
      <c r="S36" s="223"/>
      <c r="T36" s="224"/>
      <c r="U36" s="255" t="s">
        <v>34</v>
      </c>
      <c r="V36" s="255" t="s">
        <v>48</v>
      </c>
      <c r="W36" s="255" t="s">
        <v>56</v>
      </c>
      <c r="X36" s="255" t="s">
        <v>54</v>
      </c>
      <c r="Y36" s="255" t="s">
        <v>57</v>
      </c>
      <c r="Z36" s="255" t="s">
        <v>55</v>
      </c>
      <c r="AA36" s="255" t="s">
        <v>58</v>
      </c>
      <c r="AB36" s="255" t="s">
        <v>38</v>
      </c>
    </row>
    <row r="37" spans="1:28" ht="38.25" x14ac:dyDescent="0.2">
      <c r="A37" s="228"/>
      <c r="B37" s="229"/>
      <c r="C37" s="230"/>
      <c r="D37" s="230"/>
      <c r="E37" s="237"/>
      <c r="F37" s="18" t="s">
        <v>45</v>
      </c>
      <c r="G37" s="18" t="s">
        <v>29</v>
      </c>
      <c r="H37" s="18" t="s">
        <v>46</v>
      </c>
      <c r="I37" s="18" t="s">
        <v>52</v>
      </c>
      <c r="J37" s="18" t="s">
        <v>53</v>
      </c>
      <c r="K37" s="18" t="s">
        <v>45</v>
      </c>
      <c r="L37" s="18" t="s">
        <v>29</v>
      </c>
      <c r="M37" s="18" t="s">
        <v>46</v>
      </c>
      <c r="N37" s="18" t="s">
        <v>52</v>
      </c>
      <c r="O37" s="18" t="s">
        <v>53</v>
      </c>
      <c r="P37" s="18" t="s">
        <v>45</v>
      </c>
      <c r="Q37" s="18" t="s">
        <v>29</v>
      </c>
      <c r="R37" s="18" t="s">
        <v>46</v>
      </c>
      <c r="S37" s="18" t="s">
        <v>52</v>
      </c>
      <c r="T37" s="18" t="s">
        <v>53</v>
      </c>
      <c r="U37" s="255"/>
      <c r="V37" s="255"/>
      <c r="W37" s="255"/>
      <c r="X37" s="255"/>
      <c r="Y37" s="255"/>
      <c r="Z37" s="255"/>
      <c r="AA37" s="255"/>
      <c r="AB37" s="255"/>
    </row>
    <row r="38" spans="1:28" ht="12.75" customHeight="1" x14ac:dyDescent="0.2">
      <c r="A38" s="228"/>
      <c r="B38" s="232" t="s">
        <v>17</v>
      </c>
      <c r="C38" s="12"/>
      <c r="D38" s="12"/>
      <c r="E38" s="234" t="s">
        <v>1</v>
      </c>
      <c r="F38" s="13">
        <v>0</v>
      </c>
      <c r="G38" s="25">
        <f>F38/$U35</f>
        <v>0</v>
      </c>
      <c r="H38" s="13"/>
      <c r="I38" s="13"/>
      <c r="J38" s="13"/>
      <c r="K38" s="13">
        <v>0</v>
      </c>
      <c r="L38" s="25">
        <f>K38/$U35</f>
        <v>0</v>
      </c>
      <c r="M38" s="13"/>
      <c r="N38" s="13"/>
      <c r="O38" s="13"/>
      <c r="P38" s="13"/>
      <c r="Q38" s="25">
        <f>P38/$U35</f>
        <v>0</v>
      </c>
      <c r="R38" s="13"/>
      <c r="S38" s="13"/>
      <c r="T38" s="13"/>
      <c r="U38" s="210">
        <f>SUM(F38, K38, P38, F39, K39, P39)</f>
        <v>0</v>
      </c>
      <c r="V38" s="210">
        <f>SUM(H38, M38, R38, H39, M39, R39)</f>
        <v>0</v>
      </c>
      <c r="W38" s="212">
        <f>IF($U38=0, ,V38/$U38)</f>
        <v>0</v>
      </c>
      <c r="X38" s="210">
        <f>SUM(I38, N38, S38, I39, N39, S39)</f>
        <v>0</v>
      </c>
      <c r="Y38" s="212">
        <f>IF($U38=0, ,X38/$U38)</f>
        <v>0</v>
      </c>
      <c r="Z38" s="210">
        <f>SUM(J38, O38, T38, J39, O39, T39)</f>
        <v>0</v>
      </c>
      <c r="AA38" s="212">
        <f>IF($U38=0, ,Z38/$U38)</f>
        <v>0</v>
      </c>
      <c r="AB38" s="214" t="s">
        <v>87</v>
      </c>
    </row>
    <row r="39" spans="1:28" ht="12.75" customHeight="1" x14ac:dyDescent="0.2">
      <c r="A39" s="228"/>
      <c r="B39" s="250"/>
      <c r="C39" s="12"/>
      <c r="D39" s="12"/>
      <c r="E39" s="236"/>
      <c r="F39" s="13"/>
      <c r="G39" s="25">
        <f>F39/$U35</f>
        <v>0</v>
      </c>
      <c r="H39" s="13"/>
      <c r="I39" s="13"/>
      <c r="J39" s="13"/>
      <c r="K39" s="13"/>
      <c r="L39" s="25">
        <f>K39/$U35</f>
        <v>0</v>
      </c>
      <c r="M39" s="13"/>
      <c r="N39" s="13"/>
      <c r="O39" s="13"/>
      <c r="P39" s="13"/>
      <c r="Q39" s="25">
        <f>P39/$U35</f>
        <v>0</v>
      </c>
      <c r="R39" s="13"/>
      <c r="S39" s="13"/>
      <c r="T39" s="13"/>
      <c r="U39" s="211"/>
      <c r="V39" s="211"/>
      <c r="W39" s="213"/>
      <c r="X39" s="211"/>
      <c r="Y39" s="213"/>
      <c r="Z39" s="211"/>
      <c r="AA39" s="213"/>
      <c r="AB39" s="215"/>
    </row>
    <row r="40" spans="1:28" ht="12.75" customHeight="1" x14ac:dyDescent="0.2">
      <c r="A40" s="228"/>
      <c r="B40" s="216" t="s">
        <v>18</v>
      </c>
      <c r="C40" s="10"/>
      <c r="D40" s="10"/>
      <c r="E40" s="218" t="s">
        <v>1</v>
      </c>
      <c r="F40" s="14">
        <v>0</v>
      </c>
      <c r="G40" s="26">
        <f>F40/$U35</f>
        <v>0</v>
      </c>
      <c r="H40" s="14"/>
      <c r="I40" s="14"/>
      <c r="J40" s="14"/>
      <c r="K40" s="14">
        <v>0</v>
      </c>
      <c r="L40" s="26">
        <f>K40/$U35</f>
        <v>0</v>
      </c>
      <c r="M40" s="14"/>
      <c r="N40" s="14"/>
      <c r="O40" s="14"/>
      <c r="P40" s="14"/>
      <c r="Q40" s="26">
        <f>P40/$U35</f>
        <v>0</v>
      </c>
      <c r="R40" s="14"/>
      <c r="S40" s="14"/>
      <c r="T40" s="14"/>
      <c r="U40" s="220">
        <f>SUM(F40, K40, P40, F41, K41, P41)</f>
        <v>0</v>
      </c>
      <c r="V40" s="220">
        <f>SUM(H40, M40, R40, H41, M41, R41)</f>
        <v>0</v>
      </c>
      <c r="W40" s="194">
        <f>IF($U40=0, ,V40/$U40)</f>
        <v>0</v>
      </c>
      <c r="X40" s="220">
        <f>SUM(I40, N40, S40, I41, N41, S41)</f>
        <v>0</v>
      </c>
      <c r="Y40" s="194">
        <f>IF($U40=0, ,X40/$U40)</f>
        <v>0</v>
      </c>
      <c r="Z40" s="220">
        <f>SUM(J40, O40, T40, J41, O41, T41)</f>
        <v>0</v>
      </c>
      <c r="AA40" s="194">
        <f>IF($U40=0, ,Z40/$U40)</f>
        <v>0</v>
      </c>
      <c r="AB40" s="204" t="s">
        <v>87</v>
      </c>
    </row>
    <row r="41" spans="1:28" ht="12.75" customHeight="1" x14ac:dyDescent="0.2">
      <c r="A41" s="228"/>
      <c r="B41" s="217"/>
      <c r="C41" s="10"/>
      <c r="D41" s="10"/>
      <c r="E41" s="219"/>
      <c r="F41" s="14"/>
      <c r="G41" s="26">
        <f>F41/$U35</f>
        <v>0</v>
      </c>
      <c r="H41" s="14"/>
      <c r="I41" s="14"/>
      <c r="J41" s="14"/>
      <c r="K41" s="14"/>
      <c r="L41" s="26">
        <f>K41/$U35</f>
        <v>0</v>
      </c>
      <c r="M41" s="14"/>
      <c r="N41" s="14"/>
      <c r="O41" s="14"/>
      <c r="P41" s="14"/>
      <c r="Q41" s="26">
        <f>P41/$U35</f>
        <v>0</v>
      </c>
      <c r="R41" s="14"/>
      <c r="S41" s="14"/>
      <c r="T41" s="14"/>
      <c r="U41" s="221"/>
      <c r="V41" s="221"/>
      <c r="W41" s="195"/>
      <c r="X41" s="221"/>
      <c r="Y41" s="195"/>
      <c r="Z41" s="221"/>
      <c r="AA41" s="195"/>
      <c r="AB41" s="205"/>
    </row>
    <row r="42" spans="1:28" ht="12.75" customHeight="1" x14ac:dyDescent="0.2">
      <c r="A42" s="228"/>
      <c r="B42" s="232" t="s">
        <v>19</v>
      </c>
      <c r="C42" s="9"/>
      <c r="D42" s="9"/>
      <c r="E42" s="208" t="s">
        <v>1</v>
      </c>
      <c r="F42" s="15">
        <v>0</v>
      </c>
      <c r="G42" s="27">
        <f>F42/$U35</f>
        <v>0</v>
      </c>
      <c r="H42" s="15"/>
      <c r="I42" s="15"/>
      <c r="J42" s="15"/>
      <c r="K42" s="15">
        <v>0</v>
      </c>
      <c r="L42" s="27">
        <f>K42/$U35</f>
        <v>0</v>
      </c>
      <c r="M42" s="15"/>
      <c r="N42" s="15"/>
      <c r="O42" s="15"/>
      <c r="P42" s="15"/>
      <c r="Q42" s="27">
        <f>P42/$U35</f>
        <v>0</v>
      </c>
      <c r="R42" s="15"/>
      <c r="S42" s="15"/>
      <c r="T42" s="15"/>
      <c r="U42" s="210">
        <f>SUM(F42, K42, P42, F43, K43, P43)</f>
        <v>0</v>
      </c>
      <c r="V42" s="210">
        <f>SUM(H42, M42, R42, H43, M43, R43)</f>
        <v>0</v>
      </c>
      <c r="W42" s="212">
        <f>IF($U42=0, ,V42/$U42)</f>
        <v>0</v>
      </c>
      <c r="X42" s="210">
        <f>SUM(I42, N42, S42, I43, N43, S43)</f>
        <v>0</v>
      </c>
      <c r="Y42" s="212">
        <f>IF($U42=0, ,X42/$U42)</f>
        <v>0</v>
      </c>
      <c r="Z42" s="210">
        <f>SUM(J42, O42, T42, J43, O43, T43)</f>
        <v>0</v>
      </c>
      <c r="AA42" s="212">
        <f>IF($U42=0, ,Z42/$U42)</f>
        <v>0</v>
      </c>
      <c r="AB42" s="214" t="s">
        <v>87</v>
      </c>
    </row>
    <row r="43" spans="1:28" ht="12.75" customHeight="1" x14ac:dyDescent="0.2">
      <c r="A43" s="228"/>
      <c r="B43" s="250"/>
      <c r="C43" s="9"/>
      <c r="D43" s="9"/>
      <c r="E43" s="209"/>
      <c r="F43" s="15"/>
      <c r="G43" s="27">
        <f>F43/$U35</f>
        <v>0</v>
      </c>
      <c r="H43" s="15"/>
      <c r="I43" s="15"/>
      <c r="J43" s="15"/>
      <c r="K43" s="15"/>
      <c r="L43" s="27">
        <f>K43/$U35</f>
        <v>0</v>
      </c>
      <c r="M43" s="15"/>
      <c r="N43" s="15"/>
      <c r="O43" s="15"/>
      <c r="P43" s="15"/>
      <c r="Q43" s="27">
        <f>P43/$U35</f>
        <v>0</v>
      </c>
      <c r="R43" s="15"/>
      <c r="S43" s="15"/>
      <c r="T43" s="15"/>
      <c r="U43" s="211"/>
      <c r="V43" s="211"/>
      <c r="W43" s="213"/>
      <c r="X43" s="211"/>
      <c r="Y43" s="213"/>
      <c r="Z43" s="211"/>
      <c r="AA43" s="213"/>
      <c r="AB43" s="215"/>
    </row>
    <row r="44" spans="1:28" ht="12.75" customHeight="1" x14ac:dyDescent="0.2">
      <c r="A44" s="228"/>
      <c r="B44" s="216" t="s">
        <v>20</v>
      </c>
      <c r="C44" s="10"/>
      <c r="D44" s="10"/>
      <c r="E44" s="218" t="s">
        <v>1</v>
      </c>
      <c r="F44" s="14">
        <v>0</v>
      </c>
      <c r="G44" s="26">
        <f>F44/$U35</f>
        <v>0</v>
      </c>
      <c r="H44" s="14"/>
      <c r="I44" s="14"/>
      <c r="J44" s="14"/>
      <c r="K44" s="14">
        <v>0</v>
      </c>
      <c r="L44" s="26">
        <f>K44/$U35</f>
        <v>0</v>
      </c>
      <c r="M44" s="14"/>
      <c r="N44" s="14"/>
      <c r="O44" s="14"/>
      <c r="P44" s="14"/>
      <c r="Q44" s="26">
        <f>P44/$U35</f>
        <v>0</v>
      </c>
      <c r="R44" s="14"/>
      <c r="S44" s="14"/>
      <c r="T44" s="14"/>
      <c r="U44" s="220">
        <f>SUM(F44, K44, P44, F45, K45, P45)</f>
        <v>0</v>
      </c>
      <c r="V44" s="220">
        <f>SUM(H44, M44, R44, H45, M45, R45)</f>
        <v>0</v>
      </c>
      <c r="W44" s="194">
        <f>IF($U44=0, ,V44/$U44)</f>
        <v>0</v>
      </c>
      <c r="X44" s="220">
        <f>SUM(I44, N44, S44, I45, N45, S45)</f>
        <v>0</v>
      </c>
      <c r="Y44" s="194">
        <f>IF($U44=0, ,X44/$U44)</f>
        <v>0</v>
      </c>
      <c r="Z44" s="220">
        <f>SUM(J44, O44, T44, J45, O45, T45)</f>
        <v>0</v>
      </c>
      <c r="AA44" s="194">
        <f>IF($U44=0, ,Z44/$U44)</f>
        <v>0</v>
      </c>
      <c r="AB44" s="204" t="s">
        <v>87</v>
      </c>
    </row>
    <row r="45" spans="1:28" ht="12.75" customHeight="1" x14ac:dyDescent="0.2">
      <c r="A45" s="228"/>
      <c r="B45" s="217"/>
      <c r="C45" s="10"/>
      <c r="D45" s="10"/>
      <c r="E45" s="219"/>
      <c r="F45" s="14"/>
      <c r="G45" s="26">
        <f>F45/$U35</f>
        <v>0</v>
      </c>
      <c r="H45" s="14"/>
      <c r="I45" s="14"/>
      <c r="J45" s="14"/>
      <c r="K45" s="14"/>
      <c r="L45" s="26">
        <f>K45/$U35</f>
        <v>0</v>
      </c>
      <c r="M45" s="14"/>
      <c r="N45" s="14"/>
      <c r="O45" s="14"/>
      <c r="P45" s="14"/>
      <c r="Q45" s="26">
        <f>P45/$U35</f>
        <v>0</v>
      </c>
      <c r="R45" s="14"/>
      <c r="S45" s="14"/>
      <c r="T45" s="14"/>
      <c r="U45" s="221"/>
      <c r="V45" s="221"/>
      <c r="W45" s="195"/>
      <c r="X45" s="221"/>
      <c r="Y45" s="195"/>
      <c r="Z45" s="221"/>
      <c r="AA45" s="195"/>
      <c r="AB45" s="205"/>
    </row>
    <row r="46" spans="1:28" ht="12.75" customHeight="1" x14ac:dyDescent="0.2">
      <c r="A46" s="228"/>
      <c r="B46" s="232" t="s">
        <v>21</v>
      </c>
      <c r="C46" s="9"/>
      <c r="D46" s="9"/>
      <c r="E46" s="208" t="s">
        <v>1</v>
      </c>
      <c r="F46" s="15">
        <v>0</v>
      </c>
      <c r="G46" s="27">
        <f>F46/$U35</f>
        <v>0</v>
      </c>
      <c r="H46" s="15"/>
      <c r="I46" s="15"/>
      <c r="J46" s="15"/>
      <c r="K46" s="15">
        <v>0</v>
      </c>
      <c r="L46" s="27">
        <f>K46/$U35</f>
        <v>0</v>
      </c>
      <c r="M46" s="15"/>
      <c r="N46" s="15"/>
      <c r="O46" s="15"/>
      <c r="P46" s="15"/>
      <c r="Q46" s="27">
        <f>P46/$U35</f>
        <v>0</v>
      </c>
      <c r="R46" s="15"/>
      <c r="S46" s="15"/>
      <c r="T46" s="15"/>
      <c r="U46" s="210">
        <f>SUM(F46, K46, P46, F47, K47, P47)</f>
        <v>0</v>
      </c>
      <c r="V46" s="210">
        <f>SUM(H46, M46, R46, H47, M47, R47)</f>
        <v>0</v>
      </c>
      <c r="W46" s="212">
        <f>IF($U46=0, ,V46/$U46)</f>
        <v>0</v>
      </c>
      <c r="X46" s="210">
        <f>SUM(I46, N46, S46, I47, N47, S47)</f>
        <v>0</v>
      </c>
      <c r="Y46" s="212">
        <f>IF($U46=0, ,X46/$U46)</f>
        <v>0</v>
      </c>
      <c r="Z46" s="210">
        <f>SUM(J46, O46, T46, J47, O47, T47)</f>
        <v>0</v>
      </c>
      <c r="AA46" s="212">
        <f>IF($U46=0, ,Z46/$U46)</f>
        <v>0</v>
      </c>
      <c r="AB46" s="214" t="s">
        <v>87</v>
      </c>
    </row>
    <row r="47" spans="1:28" ht="12.75" customHeight="1" x14ac:dyDescent="0.2">
      <c r="A47" s="228"/>
      <c r="B47" s="250"/>
      <c r="C47" s="9"/>
      <c r="D47" s="9"/>
      <c r="E47" s="209"/>
      <c r="F47" s="15"/>
      <c r="G47" s="27">
        <f>F47/$U35</f>
        <v>0</v>
      </c>
      <c r="H47" s="15"/>
      <c r="I47" s="15"/>
      <c r="J47" s="15"/>
      <c r="K47" s="15"/>
      <c r="L47" s="27">
        <f>K47/$U35</f>
        <v>0</v>
      </c>
      <c r="M47" s="15"/>
      <c r="N47" s="15"/>
      <c r="O47" s="15"/>
      <c r="P47" s="15"/>
      <c r="Q47" s="27">
        <f>P47/$U35</f>
        <v>0</v>
      </c>
      <c r="R47" s="15"/>
      <c r="S47" s="15"/>
      <c r="T47" s="15"/>
      <c r="U47" s="211"/>
      <c r="V47" s="211"/>
      <c r="W47" s="213"/>
      <c r="X47" s="211"/>
      <c r="Y47" s="213"/>
      <c r="Z47" s="211"/>
      <c r="AA47" s="213"/>
      <c r="AB47" s="215"/>
    </row>
    <row r="48" spans="1:28" ht="12.75" customHeight="1" x14ac:dyDescent="0.2">
      <c r="A48" s="228"/>
      <c r="B48" s="216" t="s">
        <v>22</v>
      </c>
      <c r="C48" s="11"/>
      <c r="D48" s="11"/>
      <c r="E48" s="191" t="s">
        <v>1</v>
      </c>
      <c r="F48" s="16">
        <v>0</v>
      </c>
      <c r="G48" s="28">
        <f>F48/$U35</f>
        <v>0</v>
      </c>
      <c r="H48" s="16"/>
      <c r="I48" s="16"/>
      <c r="J48" s="16"/>
      <c r="K48" s="16">
        <v>0</v>
      </c>
      <c r="L48" s="28">
        <f>K48/$U35</f>
        <v>0</v>
      </c>
      <c r="M48" s="16"/>
      <c r="N48" s="16"/>
      <c r="O48" s="16"/>
      <c r="P48" s="16"/>
      <c r="Q48" s="28">
        <f>P48/$U35</f>
        <v>0</v>
      </c>
      <c r="R48" s="16"/>
      <c r="S48" s="16"/>
      <c r="T48" s="16"/>
      <c r="U48" s="220">
        <f>SUM(F48, K48, P48, F49, K49, P49)</f>
        <v>0</v>
      </c>
      <c r="V48" s="220">
        <f>SUM(H48, M48, R48, H49, M49, R49)</f>
        <v>0</v>
      </c>
      <c r="W48" s="194">
        <f>IF($U48=0, ,V48/$U48)</f>
        <v>0</v>
      </c>
      <c r="X48" s="220">
        <f>SUM(I48, N48, S48, I49, N49, S49)</f>
        <v>0</v>
      </c>
      <c r="Y48" s="194">
        <f>IF($U48=0, ,X48/$U48)</f>
        <v>0</v>
      </c>
      <c r="Z48" s="220">
        <f>SUM(J48, O48, T48, J49, O49, T49)</f>
        <v>0</v>
      </c>
      <c r="AA48" s="194">
        <f>IF($U48=0, ,Z48/$U48)</f>
        <v>0</v>
      </c>
      <c r="AB48" s="204" t="s">
        <v>87</v>
      </c>
    </row>
    <row r="49" spans="1:28" ht="12.75" customHeight="1" x14ac:dyDescent="0.2">
      <c r="A49" s="228"/>
      <c r="B49" s="217"/>
      <c r="C49" s="11"/>
      <c r="D49" s="11"/>
      <c r="E49" s="192"/>
      <c r="F49" s="16"/>
      <c r="G49" s="28">
        <f>F49/$U35</f>
        <v>0</v>
      </c>
      <c r="H49" s="16"/>
      <c r="I49" s="16"/>
      <c r="J49" s="16"/>
      <c r="K49" s="16"/>
      <c r="L49" s="28">
        <f>K49/$U35</f>
        <v>0</v>
      </c>
      <c r="M49" s="16"/>
      <c r="N49" s="16"/>
      <c r="O49" s="16"/>
      <c r="P49" s="16"/>
      <c r="Q49" s="28">
        <f>P49/$U35</f>
        <v>0</v>
      </c>
      <c r="R49" s="16"/>
      <c r="S49" s="16"/>
      <c r="T49" s="16"/>
      <c r="U49" s="221"/>
      <c r="V49" s="221"/>
      <c r="W49" s="195"/>
      <c r="X49" s="221"/>
      <c r="Y49" s="195"/>
      <c r="Z49" s="221"/>
      <c r="AA49" s="195"/>
      <c r="AB49" s="205"/>
    </row>
    <row r="50" spans="1:28" ht="13.5" customHeight="1" thickBot="1" x14ac:dyDescent="0.25">
      <c r="A50" s="228"/>
      <c r="B50" s="56"/>
      <c r="C50" s="56"/>
      <c r="D50" s="56"/>
      <c r="E50" s="56"/>
      <c r="F50" s="57"/>
      <c r="G50" s="58"/>
      <c r="H50" s="57"/>
      <c r="I50" s="57"/>
      <c r="J50" s="57"/>
      <c r="K50" s="57"/>
      <c r="L50" s="58"/>
      <c r="M50" s="57"/>
      <c r="N50" s="57"/>
      <c r="O50" s="57"/>
      <c r="P50" s="57"/>
      <c r="Q50" s="58"/>
      <c r="R50" s="57"/>
      <c r="S50" s="57"/>
      <c r="T50" s="60" t="s">
        <v>59</v>
      </c>
      <c r="U50" s="61">
        <f>SUM(U38:U49)</f>
        <v>0</v>
      </c>
      <c r="V50" s="61">
        <f>SUM(V38:V49)</f>
        <v>0</v>
      </c>
      <c r="W50" s="62">
        <f>IF($U50=0, ,V50/$U50)</f>
        <v>0</v>
      </c>
      <c r="X50" s="61">
        <f>SUM(X38:X49)</f>
        <v>0</v>
      </c>
      <c r="Y50" s="62">
        <f>IF($U50=0, ,X50/$U50)</f>
        <v>0</v>
      </c>
      <c r="Z50" s="61">
        <f>SUM(Z38:Z49)</f>
        <v>0</v>
      </c>
      <c r="AA50" s="62">
        <f>IF($U50=0, ,Z50/$U50)</f>
        <v>0</v>
      </c>
      <c r="AB50" s="59"/>
    </row>
    <row r="51" spans="1:28" ht="13.5" customHeight="1" thickTop="1" x14ac:dyDescent="0.2">
      <c r="A51" s="228"/>
      <c r="B51" s="44"/>
      <c r="C51" s="45" t="s">
        <v>27</v>
      </c>
      <c r="D51" s="23"/>
      <c r="E51" s="44"/>
      <c r="F51" s="44"/>
      <c r="G51" s="44"/>
      <c r="H51" s="44"/>
      <c r="I51" s="44"/>
      <c r="J51" s="44"/>
      <c r="K51" s="44"/>
      <c r="L51" s="44"/>
      <c r="M51" s="44"/>
      <c r="N51" s="44"/>
      <c r="O51" s="93">
        <v>320</v>
      </c>
      <c r="P51" s="94" t="s">
        <v>33</v>
      </c>
      <c r="Q51" s="44"/>
      <c r="R51" s="44"/>
      <c r="S51" s="44"/>
      <c r="T51" s="44"/>
      <c r="U51" s="44"/>
      <c r="V51" s="44"/>
      <c r="W51" s="44"/>
      <c r="X51" s="44"/>
      <c r="Y51" s="44"/>
      <c r="Z51" s="44"/>
      <c r="AA51" s="44"/>
      <c r="AB51" s="46"/>
    </row>
    <row r="52" spans="1:28" ht="12.75" customHeight="1" x14ac:dyDescent="0.2">
      <c r="A52" s="228"/>
      <c r="B52" s="229" t="s">
        <v>35</v>
      </c>
      <c r="C52" s="230" t="s">
        <v>25</v>
      </c>
      <c r="D52" s="230" t="s">
        <v>28</v>
      </c>
      <c r="E52" s="237" t="s">
        <v>12</v>
      </c>
      <c r="F52" s="241" t="s">
        <v>13</v>
      </c>
      <c r="G52" s="241"/>
      <c r="H52" s="241"/>
      <c r="I52" s="241" t="s">
        <v>14</v>
      </c>
      <c r="J52" s="241"/>
      <c r="K52" s="241"/>
      <c r="L52" s="241" t="s">
        <v>15</v>
      </c>
      <c r="M52" s="241"/>
      <c r="N52" s="241"/>
      <c r="O52" s="225" t="s">
        <v>34</v>
      </c>
      <c r="P52" s="225" t="s">
        <v>48</v>
      </c>
      <c r="Q52" s="225" t="s">
        <v>60</v>
      </c>
      <c r="R52" s="225" t="s">
        <v>49</v>
      </c>
      <c r="S52" s="225" t="s">
        <v>61</v>
      </c>
      <c r="T52" s="251" t="s">
        <v>79</v>
      </c>
      <c r="U52" s="251"/>
      <c r="V52" s="251"/>
      <c r="W52" s="251"/>
      <c r="X52" s="251"/>
      <c r="Y52" s="251"/>
      <c r="Z52" s="251"/>
      <c r="AA52" s="251"/>
      <c r="AB52" s="252"/>
    </row>
    <row r="53" spans="1:28" ht="25.5" x14ac:dyDescent="0.2">
      <c r="A53" s="228"/>
      <c r="B53" s="229"/>
      <c r="C53" s="230"/>
      <c r="D53" s="230"/>
      <c r="E53" s="237"/>
      <c r="F53" s="18" t="s">
        <v>30</v>
      </c>
      <c r="G53" s="18" t="s">
        <v>46</v>
      </c>
      <c r="H53" s="18" t="s">
        <v>47</v>
      </c>
      <c r="I53" s="18" t="s">
        <v>30</v>
      </c>
      <c r="J53" s="18" t="s">
        <v>46</v>
      </c>
      <c r="K53" s="18" t="s">
        <v>47</v>
      </c>
      <c r="L53" s="18" t="s">
        <v>30</v>
      </c>
      <c r="M53" s="18" t="s">
        <v>46</v>
      </c>
      <c r="N53" s="18" t="s">
        <v>47</v>
      </c>
      <c r="O53" s="227"/>
      <c r="P53" s="227"/>
      <c r="Q53" s="227"/>
      <c r="R53" s="227"/>
      <c r="S53" s="227"/>
      <c r="T53" s="253"/>
      <c r="U53" s="253"/>
      <c r="V53" s="253"/>
      <c r="W53" s="253"/>
      <c r="X53" s="253"/>
      <c r="Y53" s="253"/>
      <c r="Z53" s="253"/>
      <c r="AA53" s="253"/>
      <c r="AB53" s="254"/>
    </row>
    <row r="54" spans="1:28" ht="12.75" customHeight="1" x14ac:dyDescent="0.2">
      <c r="A54" s="228"/>
      <c r="B54" s="242" t="s">
        <v>36</v>
      </c>
      <c r="C54" s="12"/>
      <c r="D54" s="12" t="s">
        <v>80</v>
      </c>
      <c r="E54" s="243" t="s">
        <v>1</v>
      </c>
      <c r="F54" s="13">
        <v>0</v>
      </c>
      <c r="G54" s="13">
        <v>0</v>
      </c>
      <c r="H54" s="13">
        <v>0</v>
      </c>
      <c r="I54" s="13">
        <v>0</v>
      </c>
      <c r="J54" s="13"/>
      <c r="K54" s="13"/>
      <c r="L54" s="13"/>
      <c r="M54" s="13">
        <f>H59+K59+N59+Q59+T59+W59+Z59</f>
        <v>0</v>
      </c>
      <c r="N54" s="13">
        <f>H60+K60+N60+Q60+T60+W60+Z60</f>
        <v>0</v>
      </c>
      <c r="O54" s="210">
        <f>SUM(F54, I54, L54, F55, I55, L55)*$O51</f>
        <v>0</v>
      </c>
      <c r="P54" s="210">
        <f>SUM(G54, J54, M54, G55, J55, M55)</f>
        <v>0</v>
      </c>
      <c r="Q54" s="212">
        <f>IF($O54=0, ,P54/$O54)</f>
        <v>0</v>
      </c>
      <c r="R54" s="210">
        <f>SUM(H54, K54, N54, H55, K55, N55)</f>
        <v>0</v>
      </c>
      <c r="S54" s="212">
        <f>IF($O54=0, ,R54/$O54)</f>
        <v>0</v>
      </c>
      <c r="T54" s="244"/>
      <c r="U54" s="244"/>
      <c r="V54" s="244"/>
      <c r="W54" s="244"/>
      <c r="X54" s="244"/>
      <c r="Y54" s="244"/>
      <c r="Z54" s="244"/>
      <c r="AA54" s="244"/>
      <c r="AB54" s="245"/>
    </row>
    <row r="55" spans="1:28" ht="12.75" customHeight="1" x14ac:dyDescent="0.2">
      <c r="A55" s="228"/>
      <c r="B55" s="242"/>
      <c r="C55" s="12"/>
      <c r="D55" s="12"/>
      <c r="E55" s="243"/>
      <c r="F55" s="13"/>
      <c r="G55" s="13">
        <f>F61+I61+L61+O61+R61+U61+X61</f>
        <v>0</v>
      </c>
      <c r="H55" s="13">
        <f>F62+I62+L62+O62+R62+U62+X62</f>
        <v>0</v>
      </c>
      <c r="I55" s="13"/>
      <c r="J55" s="13">
        <f>G61+J61+M61+P61+S61+V61+Y61</f>
        <v>0</v>
      </c>
      <c r="K55" s="13">
        <f>G62+J62+M62+P62+S62+V62+Y62</f>
        <v>0</v>
      </c>
      <c r="L55" s="13"/>
      <c r="M55" s="13">
        <f>H61+K61+N61+Q61+T61+W61+Z61</f>
        <v>0</v>
      </c>
      <c r="N55" s="13">
        <f>H62+K62+N62+Q62+T62+W62+Z62</f>
        <v>0</v>
      </c>
      <c r="O55" s="211"/>
      <c r="P55" s="211"/>
      <c r="Q55" s="213"/>
      <c r="R55" s="211"/>
      <c r="S55" s="213"/>
      <c r="T55" s="246"/>
      <c r="U55" s="246"/>
      <c r="V55" s="246"/>
      <c r="W55" s="246"/>
      <c r="X55" s="246"/>
      <c r="Y55" s="246"/>
      <c r="Z55" s="246"/>
      <c r="AA55" s="246"/>
      <c r="AB55" s="247"/>
    </row>
    <row r="56" spans="1:28" ht="12.75" customHeight="1" x14ac:dyDescent="0.2">
      <c r="A56" s="228"/>
      <c r="B56" s="56"/>
      <c r="C56" s="56"/>
      <c r="D56" s="56"/>
      <c r="E56" s="56"/>
      <c r="F56" s="89"/>
      <c r="G56" s="89"/>
      <c r="H56" s="89"/>
      <c r="I56" s="89"/>
      <c r="J56" s="89"/>
      <c r="K56" s="89"/>
      <c r="L56" s="89"/>
      <c r="M56" s="89"/>
      <c r="N56" s="89"/>
      <c r="O56" s="90"/>
      <c r="P56" s="90"/>
      <c r="Q56" s="91"/>
      <c r="R56" s="90"/>
      <c r="S56" s="91"/>
      <c r="T56" s="92"/>
      <c r="U56" s="92"/>
      <c r="V56" s="92"/>
      <c r="W56" s="92"/>
      <c r="X56" s="92"/>
      <c r="Y56" s="92"/>
      <c r="Z56" s="92"/>
      <c r="AA56" s="92"/>
      <c r="AB56" s="95"/>
    </row>
    <row r="57" spans="1:28" ht="12.75" customHeight="1" x14ac:dyDescent="0.2">
      <c r="A57" s="228"/>
      <c r="B57" s="256" t="s">
        <v>67</v>
      </c>
      <c r="C57" s="256"/>
      <c r="D57" s="257"/>
      <c r="E57" s="82" t="s">
        <v>68</v>
      </c>
      <c r="F57" s="248" t="s">
        <v>64</v>
      </c>
      <c r="G57" s="248"/>
      <c r="H57" s="248"/>
      <c r="I57" s="248" t="s">
        <v>76</v>
      </c>
      <c r="J57" s="248"/>
      <c r="K57" s="248"/>
      <c r="L57" s="248" t="s">
        <v>65</v>
      </c>
      <c r="M57" s="248"/>
      <c r="N57" s="248"/>
      <c r="O57" s="248" t="s">
        <v>66</v>
      </c>
      <c r="P57" s="248"/>
      <c r="Q57" s="248"/>
      <c r="R57" s="248" t="s">
        <v>73</v>
      </c>
      <c r="S57" s="248"/>
      <c r="T57" s="248"/>
      <c r="U57" s="248" t="s">
        <v>74</v>
      </c>
      <c r="V57" s="248"/>
      <c r="W57" s="248"/>
      <c r="X57" s="248" t="s">
        <v>75</v>
      </c>
      <c r="Y57" s="248"/>
      <c r="Z57" s="248"/>
      <c r="AA57" s="249"/>
      <c r="AB57" s="249"/>
    </row>
    <row r="58" spans="1:28" ht="12.75" customHeight="1" x14ac:dyDescent="0.2">
      <c r="A58" s="228"/>
      <c r="B58" s="258"/>
      <c r="C58" s="258"/>
      <c r="D58" s="259"/>
      <c r="E58" s="97" t="s">
        <v>69</v>
      </c>
      <c r="F58" s="83" t="s">
        <v>70</v>
      </c>
      <c r="G58" s="83" t="s">
        <v>71</v>
      </c>
      <c r="H58" s="84" t="s">
        <v>72</v>
      </c>
      <c r="I58" s="83" t="s">
        <v>70</v>
      </c>
      <c r="J58" s="83" t="s">
        <v>71</v>
      </c>
      <c r="K58" s="84" t="s">
        <v>72</v>
      </c>
      <c r="L58" s="83" t="s">
        <v>70</v>
      </c>
      <c r="M58" s="83" t="s">
        <v>71</v>
      </c>
      <c r="N58" s="84" t="s">
        <v>72</v>
      </c>
      <c r="O58" s="83" t="s">
        <v>70</v>
      </c>
      <c r="P58" s="83" t="s">
        <v>71</v>
      </c>
      <c r="Q58" s="84" t="s">
        <v>72</v>
      </c>
      <c r="R58" s="83" t="s">
        <v>70</v>
      </c>
      <c r="S58" s="83" t="s">
        <v>71</v>
      </c>
      <c r="T58" s="84" t="s">
        <v>72</v>
      </c>
      <c r="U58" s="83" t="s">
        <v>70</v>
      </c>
      <c r="V58" s="83" t="s">
        <v>71</v>
      </c>
      <c r="W58" s="84" t="s">
        <v>72</v>
      </c>
      <c r="X58" s="83" t="s">
        <v>70</v>
      </c>
      <c r="Y58" s="83" t="s">
        <v>71</v>
      </c>
      <c r="Z58" s="84" t="s">
        <v>72</v>
      </c>
      <c r="AA58" s="249"/>
      <c r="AB58" s="249"/>
    </row>
    <row r="59" spans="1:28" ht="12.75" customHeight="1" x14ac:dyDescent="0.2">
      <c r="A59" s="228"/>
      <c r="B59" s="260" t="str">
        <f>B54</f>
        <v>Final ASS</v>
      </c>
      <c r="C59" s="82" t="str">
        <f>IF(ISBLANK(C54), "", C54)</f>
        <v/>
      </c>
      <c r="D59" s="96" t="str">
        <f>IF(ISBLANK(D54), "", D54)</f>
        <v>lume</v>
      </c>
      <c r="E59" s="82" t="s">
        <v>77</v>
      </c>
      <c r="F59" s="86"/>
      <c r="G59" s="85"/>
      <c r="H59" s="85"/>
      <c r="I59" s="85"/>
      <c r="J59" s="85"/>
      <c r="K59" s="85"/>
      <c r="L59" s="87"/>
      <c r="M59" s="87"/>
      <c r="N59" s="87"/>
      <c r="O59" s="87"/>
      <c r="P59" s="87"/>
      <c r="Q59" s="85"/>
      <c r="R59" s="87"/>
      <c r="S59" s="87"/>
      <c r="T59" s="87"/>
      <c r="U59" s="87"/>
      <c r="V59" s="87"/>
      <c r="W59" s="85"/>
      <c r="X59" s="85"/>
      <c r="Y59" s="85"/>
      <c r="Z59" s="88"/>
      <c r="AA59" s="249"/>
      <c r="AB59" s="249"/>
    </row>
    <row r="60" spans="1:28" ht="12.75" customHeight="1" x14ac:dyDescent="0.2">
      <c r="A60" s="228"/>
      <c r="B60" s="260"/>
      <c r="C60" s="82" t="str">
        <f>IF(ISBLANK(C54), "", C54)</f>
        <v/>
      </c>
      <c r="D60" s="96" t="str">
        <f>IF(ISBLANK(D54), "", D54)</f>
        <v>lume</v>
      </c>
      <c r="E60" s="82" t="s">
        <v>78</v>
      </c>
      <c r="F60" s="86"/>
      <c r="G60" s="85"/>
      <c r="H60" s="85"/>
      <c r="I60" s="85"/>
      <c r="J60" s="85"/>
      <c r="K60" s="85"/>
      <c r="L60" s="87"/>
      <c r="M60" s="87"/>
      <c r="N60" s="87"/>
      <c r="O60" s="87"/>
      <c r="P60" s="87"/>
      <c r="Q60" s="85"/>
      <c r="R60" s="87"/>
      <c r="S60" s="87"/>
      <c r="T60" s="87"/>
      <c r="U60" s="87"/>
      <c r="V60" s="87"/>
      <c r="W60" s="85"/>
      <c r="X60" s="85"/>
      <c r="Y60" s="85"/>
      <c r="Z60" s="88"/>
      <c r="AA60" s="249"/>
      <c r="AB60" s="249"/>
    </row>
    <row r="61" spans="1:28" ht="12.75" customHeight="1" x14ac:dyDescent="0.2">
      <c r="A61" s="228"/>
      <c r="B61" s="260"/>
      <c r="C61" s="82" t="str">
        <f>IF(ISBLANK(C55), "", C55)</f>
        <v/>
      </c>
      <c r="D61" s="96" t="str">
        <f>IF(ISBLANK(D55), "", D55)</f>
        <v/>
      </c>
      <c r="E61" s="82" t="s">
        <v>77</v>
      </c>
      <c r="F61" s="86"/>
      <c r="G61" s="85"/>
      <c r="H61" s="85"/>
      <c r="I61" s="85"/>
      <c r="J61" s="85"/>
      <c r="K61" s="85"/>
      <c r="L61" s="87"/>
      <c r="M61" s="87"/>
      <c r="N61" s="87"/>
      <c r="O61" s="87"/>
      <c r="P61" s="87"/>
      <c r="Q61" s="85"/>
      <c r="R61" s="87"/>
      <c r="S61" s="87"/>
      <c r="T61" s="87"/>
      <c r="U61" s="87"/>
      <c r="V61" s="87"/>
      <c r="W61" s="85"/>
      <c r="X61" s="85"/>
      <c r="Y61" s="85"/>
      <c r="Z61" s="88"/>
      <c r="AA61" s="249"/>
      <c r="AB61" s="249"/>
    </row>
    <row r="62" spans="1:28" ht="12.75" customHeight="1" x14ac:dyDescent="0.2">
      <c r="A62" s="228"/>
      <c r="B62" s="260"/>
      <c r="C62" s="82" t="str">
        <f>IF(ISBLANK(C55), "", C55)</f>
        <v/>
      </c>
      <c r="D62" s="96" t="str">
        <f>IF(ISBLANK(D55), "", D55)</f>
        <v/>
      </c>
      <c r="E62" s="82" t="s">
        <v>78</v>
      </c>
      <c r="F62" s="86"/>
      <c r="G62" s="85"/>
      <c r="H62" s="85"/>
      <c r="I62" s="85"/>
      <c r="J62" s="85"/>
      <c r="K62" s="85"/>
      <c r="L62" s="87"/>
      <c r="M62" s="87"/>
      <c r="N62" s="87"/>
      <c r="O62" s="87"/>
      <c r="P62" s="87"/>
      <c r="Q62" s="85"/>
      <c r="R62" s="87"/>
      <c r="S62" s="87"/>
      <c r="T62" s="87"/>
      <c r="U62" s="87"/>
      <c r="V62" s="87"/>
      <c r="W62" s="85"/>
      <c r="X62" s="85"/>
      <c r="Y62" s="85"/>
      <c r="Z62" s="88"/>
      <c r="AA62" s="249"/>
      <c r="AB62" s="249"/>
    </row>
    <row r="64" spans="1:28" x14ac:dyDescent="0.2">
      <c r="A64" s="228">
        <v>44715</v>
      </c>
      <c r="B64" s="19"/>
      <c r="C64" s="19" t="s">
        <v>42</v>
      </c>
      <c r="D64" s="20"/>
      <c r="E64" s="21" t="s">
        <v>41</v>
      </c>
      <c r="F64" s="20">
        <v>0</v>
      </c>
      <c r="G64" s="20"/>
      <c r="H64" s="20"/>
      <c r="I64" s="21"/>
      <c r="J64" s="21"/>
      <c r="K64" s="32"/>
      <c r="L64" s="32"/>
      <c r="M64" s="20"/>
      <c r="N64" s="21"/>
      <c r="O64" s="21"/>
      <c r="P64" s="32"/>
      <c r="Q64" s="32"/>
      <c r="R64" s="20"/>
      <c r="S64" s="21"/>
      <c r="T64" s="21"/>
      <c r="U64" s="41">
        <v>160</v>
      </c>
      <c r="V64" s="42" t="s">
        <v>32</v>
      </c>
      <c r="W64" s="42"/>
      <c r="X64" s="43"/>
      <c r="Y64" s="31"/>
      <c r="Z64" s="31"/>
      <c r="AA64" s="31"/>
      <c r="AB64" s="33"/>
    </row>
    <row r="65" spans="1:28" x14ac:dyDescent="0.2">
      <c r="A65" s="228"/>
      <c r="B65" s="229" t="s">
        <v>10</v>
      </c>
      <c r="C65" s="230" t="s">
        <v>25</v>
      </c>
      <c r="D65" s="230" t="s">
        <v>28</v>
      </c>
      <c r="E65" s="237" t="s">
        <v>12</v>
      </c>
      <c r="F65" s="222" t="s">
        <v>13</v>
      </c>
      <c r="G65" s="223"/>
      <c r="H65" s="223"/>
      <c r="I65" s="223"/>
      <c r="J65" s="224"/>
      <c r="K65" s="222" t="s">
        <v>14</v>
      </c>
      <c r="L65" s="223"/>
      <c r="M65" s="223"/>
      <c r="N65" s="223"/>
      <c r="O65" s="224"/>
      <c r="P65" s="222" t="s">
        <v>15</v>
      </c>
      <c r="Q65" s="223"/>
      <c r="R65" s="223"/>
      <c r="S65" s="223"/>
      <c r="T65" s="224"/>
      <c r="U65" s="255" t="s">
        <v>34</v>
      </c>
      <c r="V65" s="255" t="s">
        <v>48</v>
      </c>
      <c r="W65" s="255" t="s">
        <v>56</v>
      </c>
      <c r="X65" s="255" t="s">
        <v>54</v>
      </c>
      <c r="Y65" s="255" t="s">
        <v>57</v>
      </c>
      <c r="Z65" s="255" t="s">
        <v>55</v>
      </c>
      <c r="AA65" s="255" t="s">
        <v>58</v>
      </c>
      <c r="AB65" s="255" t="s">
        <v>38</v>
      </c>
    </row>
    <row r="66" spans="1:28" ht="38.25" x14ac:dyDescent="0.2">
      <c r="A66" s="228"/>
      <c r="B66" s="229"/>
      <c r="C66" s="230"/>
      <c r="D66" s="230"/>
      <c r="E66" s="237"/>
      <c r="F66" s="18" t="s">
        <v>45</v>
      </c>
      <c r="G66" s="18" t="s">
        <v>29</v>
      </c>
      <c r="H66" s="18" t="s">
        <v>46</v>
      </c>
      <c r="I66" s="18" t="s">
        <v>52</v>
      </c>
      <c r="J66" s="18" t="s">
        <v>53</v>
      </c>
      <c r="K66" s="18" t="s">
        <v>45</v>
      </c>
      <c r="L66" s="18" t="s">
        <v>29</v>
      </c>
      <c r="M66" s="18" t="s">
        <v>46</v>
      </c>
      <c r="N66" s="18" t="s">
        <v>52</v>
      </c>
      <c r="O66" s="18" t="s">
        <v>53</v>
      </c>
      <c r="P66" s="18" t="s">
        <v>45</v>
      </c>
      <c r="Q66" s="18" t="s">
        <v>29</v>
      </c>
      <c r="R66" s="18" t="s">
        <v>46</v>
      </c>
      <c r="S66" s="18" t="s">
        <v>52</v>
      </c>
      <c r="T66" s="18" t="s">
        <v>53</v>
      </c>
      <c r="U66" s="255"/>
      <c r="V66" s="255"/>
      <c r="W66" s="255"/>
      <c r="X66" s="255"/>
      <c r="Y66" s="255"/>
      <c r="Z66" s="255"/>
      <c r="AA66" s="255"/>
      <c r="AB66" s="255"/>
    </row>
    <row r="67" spans="1:28" x14ac:dyDescent="0.2">
      <c r="A67" s="228"/>
      <c r="B67" s="232" t="s">
        <v>17</v>
      </c>
      <c r="C67" s="12"/>
      <c r="D67" s="12"/>
      <c r="E67" s="234" t="s">
        <v>1</v>
      </c>
      <c r="F67" s="13">
        <v>0</v>
      </c>
      <c r="G67" s="25">
        <f>F67/$U64</f>
        <v>0</v>
      </c>
      <c r="H67" s="13"/>
      <c r="I67" s="13"/>
      <c r="J67" s="13"/>
      <c r="K67" s="13">
        <v>0</v>
      </c>
      <c r="L67" s="25">
        <f>K67/$U64</f>
        <v>0</v>
      </c>
      <c r="M67" s="13"/>
      <c r="N67" s="13"/>
      <c r="O67" s="13"/>
      <c r="P67" s="13"/>
      <c r="Q67" s="25">
        <f>P67/$U64</f>
        <v>0</v>
      </c>
      <c r="R67" s="13"/>
      <c r="S67" s="13"/>
      <c r="T67" s="13"/>
      <c r="U67" s="210">
        <f>SUM(F67, K67, P67, F68, K68, P68)</f>
        <v>0</v>
      </c>
      <c r="V67" s="210">
        <f>SUM(H67, M67, R67, H68, M68, R68)</f>
        <v>0</v>
      </c>
      <c r="W67" s="212">
        <f>IF($U67=0, ,V67/$U67)</f>
        <v>0</v>
      </c>
      <c r="X67" s="210">
        <f>SUM(I67, N67, S67, I68, N68, S68)</f>
        <v>0</v>
      </c>
      <c r="Y67" s="212">
        <f>IF($U67=0, ,X67/$U67)</f>
        <v>0</v>
      </c>
      <c r="Z67" s="210">
        <f>SUM(J67, O67, T67, J68, O68, T68)</f>
        <v>0</v>
      </c>
      <c r="AA67" s="212">
        <f>IF($U67=0, ,Z67/$U67)</f>
        <v>0</v>
      </c>
      <c r="AB67" s="214" t="s">
        <v>87</v>
      </c>
    </row>
    <row r="68" spans="1:28" x14ac:dyDescent="0.2">
      <c r="A68" s="228"/>
      <c r="B68" s="250"/>
      <c r="C68" s="12"/>
      <c r="D68" s="12"/>
      <c r="E68" s="236"/>
      <c r="F68" s="13"/>
      <c r="G68" s="25">
        <f>F68/$U64</f>
        <v>0</v>
      </c>
      <c r="H68" s="13"/>
      <c r="I68" s="13"/>
      <c r="J68" s="13"/>
      <c r="K68" s="13"/>
      <c r="L68" s="25">
        <f>K68/$U64</f>
        <v>0</v>
      </c>
      <c r="M68" s="13"/>
      <c r="N68" s="13"/>
      <c r="O68" s="13"/>
      <c r="P68" s="13"/>
      <c r="Q68" s="25">
        <f>P68/$U64</f>
        <v>0</v>
      </c>
      <c r="R68" s="13"/>
      <c r="S68" s="13"/>
      <c r="T68" s="13"/>
      <c r="U68" s="211"/>
      <c r="V68" s="211"/>
      <c r="W68" s="213"/>
      <c r="X68" s="211"/>
      <c r="Y68" s="213"/>
      <c r="Z68" s="211"/>
      <c r="AA68" s="213"/>
      <c r="AB68" s="215"/>
    </row>
    <row r="69" spans="1:28" x14ac:dyDescent="0.2">
      <c r="A69" s="228"/>
      <c r="B69" s="216" t="s">
        <v>18</v>
      </c>
      <c r="C69" s="10"/>
      <c r="D69" s="10"/>
      <c r="E69" s="218" t="s">
        <v>1</v>
      </c>
      <c r="F69" s="14">
        <v>0</v>
      </c>
      <c r="G69" s="26">
        <f>F69/$U64</f>
        <v>0</v>
      </c>
      <c r="H69" s="14"/>
      <c r="I69" s="14"/>
      <c r="J69" s="14"/>
      <c r="K69" s="14">
        <v>0</v>
      </c>
      <c r="L69" s="26">
        <f>K69/$U64</f>
        <v>0</v>
      </c>
      <c r="M69" s="14"/>
      <c r="N69" s="14"/>
      <c r="O69" s="14"/>
      <c r="P69" s="14"/>
      <c r="Q69" s="26">
        <f>P69/$U64</f>
        <v>0</v>
      </c>
      <c r="R69" s="14"/>
      <c r="S69" s="14"/>
      <c r="T69" s="14"/>
      <c r="U69" s="220">
        <f>SUM(F69, K69, P69, F70, K70, P70)</f>
        <v>0</v>
      </c>
      <c r="V69" s="220">
        <f>SUM(H69, M69, R69, H70, M70, R70)</f>
        <v>0</v>
      </c>
      <c r="W69" s="194">
        <f>IF($U69=0, ,V69/$U69)</f>
        <v>0</v>
      </c>
      <c r="X69" s="220">
        <f>SUM(I69, N69, S69, I70, N70, S70)</f>
        <v>0</v>
      </c>
      <c r="Y69" s="194">
        <f>IF($U69=0, ,X69/$U69)</f>
        <v>0</v>
      </c>
      <c r="Z69" s="220">
        <f>SUM(J69, O69, T69, J70, O70, T70)</f>
        <v>0</v>
      </c>
      <c r="AA69" s="194">
        <f>IF($U69=0, ,Z69/$U69)</f>
        <v>0</v>
      </c>
      <c r="AB69" s="204" t="s">
        <v>87</v>
      </c>
    </row>
    <row r="70" spans="1:28" x14ac:dyDescent="0.2">
      <c r="A70" s="228"/>
      <c r="B70" s="217"/>
      <c r="C70" s="10"/>
      <c r="D70" s="10"/>
      <c r="E70" s="219"/>
      <c r="F70" s="14"/>
      <c r="G70" s="26">
        <f>F70/$U64</f>
        <v>0</v>
      </c>
      <c r="H70" s="14"/>
      <c r="I70" s="14"/>
      <c r="J70" s="14"/>
      <c r="K70" s="14"/>
      <c r="L70" s="26">
        <f>K70/$U64</f>
        <v>0</v>
      </c>
      <c r="M70" s="14"/>
      <c r="N70" s="14"/>
      <c r="O70" s="14"/>
      <c r="P70" s="14"/>
      <c r="Q70" s="26">
        <f>P70/$U64</f>
        <v>0</v>
      </c>
      <c r="R70" s="14"/>
      <c r="S70" s="14"/>
      <c r="T70" s="14"/>
      <c r="U70" s="221"/>
      <c r="V70" s="221"/>
      <c r="W70" s="195"/>
      <c r="X70" s="221"/>
      <c r="Y70" s="195"/>
      <c r="Z70" s="221"/>
      <c r="AA70" s="195"/>
      <c r="AB70" s="205"/>
    </row>
    <row r="71" spans="1:28" x14ac:dyDescent="0.2">
      <c r="A71" s="228"/>
      <c r="B71" s="232" t="s">
        <v>19</v>
      </c>
      <c r="C71" s="9"/>
      <c r="D71" s="9"/>
      <c r="E71" s="208" t="s">
        <v>1</v>
      </c>
      <c r="F71" s="15">
        <v>0</v>
      </c>
      <c r="G71" s="27">
        <f>F71/$U64</f>
        <v>0</v>
      </c>
      <c r="H71" s="15"/>
      <c r="I71" s="15"/>
      <c r="J71" s="15"/>
      <c r="K71" s="15">
        <v>0</v>
      </c>
      <c r="L71" s="27">
        <f>K71/$U64</f>
        <v>0</v>
      </c>
      <c r="M71" s="15"/>
      <c r="N71" s="15"/>
      <c r="O71" s="15"/>
      <c r="P71" s="15"/>
      <c r="Q71" s="27">
        <f>P71/$U64</f>
        <v>0</v>
      </c>
      <c r="R71" s="15"/>
      <c r="S71" s="15"/>
      <c r="T71" s="15"/>
      <c r="U71" s="210">
        <f>SUM(F71, K71, P71, F72, K72, P72)</f>
        <v>0</v>
      </c>
      <c r="V71" s="210">
        <f>SUM(H71, M71, R71, H72, M72, R72)</f>
        <v>0</v>
      </c>
      <c r="W71" s="212">
        <f>IF($U71=0, ,V71/$U71)</f>
        <v>0</v>
      </c>
      <c r="X71" s="210">
        <f>SUM(I71, N71, S71, I72, N72, S72)</f>
        <v>0</v>
      </c>
      <c r="Y71" s="212">
        <f>IF($U71=0, ,X71/$U71)</f>
        <v>0</v>
      </c>
      <c r="Z71" s="210">
        <f>SUM(J71, O71, T71, J72, O72, T72)</f>
        <v>0</v>
      </c>
      <c r="AA71" s="212">
        <f>IF($U71=0, ,Z71/$U71)</f>
        <v>0</v>
      </c>
      <c r="AB71" s="214" t="s">
        <v>87</v>
      </c>
    </row>
    <row r="72" spans="1:28" x14ac:dyDescent="0.2">
      <c r="A72" s="228"/>
      <c r="B72" s="250"/>
      <c r="C72" s="9"/>
      <c r="D72" s="9"/>
      <c r="E72" s="209"/>
      <c r="F72" s="15"/>
      <c r="G72" s="27">
        <f>F72/$U64</f>
        <v>0</v>
      </c>
      <c r="H72" s="15"/>
      <c r="I72" s="15"/>
      <c r="J72" s="15"/>
      <c r="K72" s="15"/>
      <c r="L72" s="27">
        <f>K72/$U64</f>
        <v>0</v>
      </c>
      <c r="M72" s="15"/>
      <c r="N72" s="15"/>
      <c r="O72" s="15"/>
      <c r="P72" s="15"/>
      <c r="Q72" s="27">
        <f>P72/$U64</f>
        <v>0</v>
      </c>
      <c r="R72" s="15"/>
      <c r="S72" s="15"/>
      <c r="T72" s="15"/>
      <c r="U72" s="211"/>
      <c r="V72" s="211"/>
      <c r="W72" s="213"/>
      <c r="X72" s="211"/>
      <c r="Y72" s="213"/>
      <c r="Z72" s="211"/>
      <c r="AA72" s="213"/>
      <c r="AB72" s="215"/>
    </row>
    <row r="73" spans="1:28" x14ac:dyDescent="0.2">
      <c r="A73" s="228"/>
      <c r="B73" s="216" t="s">
        <v>20</v>
      </c>
      <c r="C73" s="10"/>
      <c r="D73" s="10"/>
      <c r="E73" s="218" t="s">
        <v>1</v>
      </c>
      <c r="F73" s="14">
        <v>0</v>
      </c>
      <c r="G73" s="26">
        <f>F73/$U64</f>
        <v>0</v>
      </c>
      <c r="H73" s="14"/>
      <c r="I73" s="14"/>
      <c r="J73" s="14"/>
      <c r="K73" s="14">
        <v>0</v>
      </c>
      <c r="L73" s="26">
        <f>K73/$U64</f>
        <v>0</v>
      </c>
      <c r="M73" s="14"/>
      <c r="N73" s="14"/>
      <c r="O73" s="14"/>
      <c r="P73" s="14"/>
      <c r="Q73" s="26">
        <f>P73/$U64</f>
        <v>0</v>
      </c>
      <c r="R73" s="14"/>
      <c r="S73" s="14"/>
      <c r="T73" s="14"/>
      <c r="U73" s="220">
        <f>SUM(F73, K73, P73, F74, K74, P74)</f>
        <v>0</v>
      </c>
      <c r="V73" s="220">
        <f>SUM(H73, M73, R73, H74, M74, R74)</f>
        <v>0</v>
      </c>
      <c r="W73" s="194">
        <f>IF($U73=0, ,V73/$U73)</f>
        <v>0</v>
      </c>
      <c r="X73" s="220">
        <f>SUM(I73, N73, S73, I74, N74, S74)</f>
        <v>0</v>
      </c>
      <c r="Y73" s="194">
        <f>IF($U73=0, ,X73/$U73)</f>
        <v>0</v>
      </c>
      <c r="Z73" s="220">
        <f>SUM(J73, O73, T73, J74, O74, T74)</f>
        <v>0</v>
      </c>
      <c r="AA73" s="194">
        <f>IF($U73=0, ,Z73/$U73)</f>
        <v>0</v>
      </c>
      <c r="AB73" s="204" t="s">
        <v>87</v>
      </c>
    </row>
    <row r="74" spans="1:28" x14ac:dyDescent="0.2">
      <c r="A74" s="228"/>
      <c r="B74" s="217"/>
      <c r="C74" s="10"/>
      <c r="D74" s="10"/>
      <c r="E74" s="219"/>
      <c r="F74" s="14"/>
      <c r="G74" s="26">
        <f>F74/$U64</f>
        <v>0</v>
      </c>
      <c r="H74" s="14"/>
      <c r="I74" s="14"/>
      <c r="J74" s="14"/>
      <c r="K74" s="14"/>
      <c r="L74" s="26">
        <f>K74/$U64</f>
        <v>0</v>
      </c>
      <c r="M74" s="14"/>
      <c r="N74" s="14"/>
      <c r="O74" s="14"/>
      <c r="P74" s="14"/>
      <c r="Q74" s="26">
        <f>P74/$U64</f>
        <v>0</v>
      </c>
      <c r="R74" s="14"/>
      <c r="S74" s="14"/>
      <c r="T74" s="14"/>
      <c r="U74" s="221"/>
      <c r="V74" s="221"/>
      <c r="W74" s="195"/>
      <c r="X74" s="221"/>
      <c r="Y74" s="195"/>
      <c r="Z74" s="221"/>
      <c r="AA74" s="195"/>
      <c r="AB74" s="205"/>
    </row>
    <row r="75" spans="1:28" x14ac:dyDescent="0.2">
      <c r="A75" s="228"/>
      <c r="B75" s="232" t="s">
        <v>21</v>
      </c>
      <c r="C75" s="9"/>
      <c r="D75" s="9"/>
      <c r="E75" s="208" t="s">
        <v>1</v>
      </c>
      <c r="F75" s="15">
        <v>0</v>
      </c>
      <c r="G75" s="27">
        <f>F75/$U64</f>
        <v>0</v>
      </c>
      <c r="H75" s="15"/>
      <c r="I75" s="15"/>
      <c r="J75" s="15"/>
      <c r="K75" s="15">
        <v>0</v>
      </c>
      <c r="L75" s="27">
        <f>K75/$U64</f>
        <v>0</v>
      </c>
      <c r="M75" s="15"/>
      <c r="N75" s="15"/>
      <c r="O75" s="15"/>
      <c r="P75" s="15"/>
      <c r="Q75" s="27">
        <f>P75/$U64</f>
        <v>0</v>
      </c>
      <c r="R75" s="15"/>
      <c r="S75" s="15"/>
      <c r="T75" s="15"/>
      <c r="U75" s="210">
        <f>SUM(F75, K75, P75, F76, K76, P76)</f>
        <v>0</v>
      </c>
      <c r="V75" s="210">
        <f>SUM(H75, M75, R75, H76, M76, R76)</f>
        <v>0</v>
      </c>
      <c r="W75" s="212">
        <f>IF($U75=0, ,V75/$U75)</f>
        <v>0</v>
      </c>
      <c r="X75" s="210">
        <f>SUM(I75, N75, S75, I76, N76, S76)</f>
        <v>0</v>
      </c>
      <c r="Y75" s="212">
        <f>IF($U75=0, ,X75/$U75)</f>
        <v>0</v>
      </c>
      <c r="Z75" s="210">
        <f>SUM(J75, O75, T75, J76, O76, T76)</f>
        <v>0</v>
      </c>
      <c r="AA75" s="212">
        <f>IF($U75=0, ,Z75/$U75)</f>
        <v>0</v>
      </c>
      <c r="AB75" s="214" t="s">
        <v>87</v>
      </c>
    </row>
    <row r="76" spans="1:28" x14ac:dyDescent="0.2">
      <c r="A76" s="228"/>
      <c r="B76" s="250"/>
      <c r="C76" s="9"/>
      <c r="D76" s="9"/>
      <c r="E76" s="209"/>
      <c r="F76" s="15"/>
      <c r="G76" s="27">
        <f>F76/$U64</f>
        <v>0</v>
      </c>
      <c r="H76" s="15"/>
      <c r="I76" s="15"/>
      <c r="J76" s="15"/>
      <c r="K76" s="15"/>
      <c r="L76" s="27">
        <f>K76/$U64</f>
        <v>0</v>
      </c>
      <c r="M76" s="15"/>
      <c r="N76" s="15"/>
      <c r="O76" s="15"/>
      <c r="P76" s="15"/>
      <c r="Q76" s="27">
        <f>P76/$U64</f>
        <v>0</v>
      </c>
      <c r="R76" s="15"/>
      <c r="S76" s="15"/>
      <c r="T76" s="15"/>
      <c r="U76" s="211"/>
      <c r="V76" s="211"/>
      <c r="W76" s="213"/>
      <c r="X76" s="211"/>
      <c r="Y76" s="213"/>
      <c r="Z76" s="211"/>
      <c r="AA76" s="213"/>
      <c r="AB76" s="215"/>
    </row>
    <row r="77" spans="1:28" x14ac:dyDescent="0.2">
      <c r="A77" s="228"/>
      <c r="B77" s="216" t="s">
        <v>22</v>
      </c>
      <c r="C77" s="11"/>
      <c r="D77" s="11"/>
      <c r="E77" s="191" t="s">
        <v>1</v>
      </c>
      <c r="F77" s="16">
        <v>0</v>
      </c>
      <c r="G77" s="28">
        <f>F77/$U64</f>
        <v>0</v>
      </c>
      <c r="H77" s="16"/>
      <c r="I77" s="16"/>
      <c r="J77" s="16"/>
      <c r="K77" s="16">
        <v>0</v>
      </c>
      <c r="L77" s="28">
        <f>K77/$U64</f>
        <v>0</v>
      </c>
      <c r="M77" s="16"/>
      <c r="N77" s="16"/>
      <c r="O77" s="16"/>
      <c r="P77" s="16"/>
      <c r="Q77" s="28">
        <f>P77/$U64</f>
        <v>0</v>
      </c>
      <c r="R77" s="16"/>
      <c r="S77" s="16"/>
      <c r="T77" s="16"/>
      <c r="U77" s="220">
        <f>SUM(F77, K77, P77, F78, K78, P78)</f>
        <v>0</v>
      </c>
      <c r="V77" s="220">
        <f>SUM(H77, M77, R77, H78, M78, R78)</f>
        <v>0</v>
      </c>
      <c r="W77" s="194">
        <f>IF($U77=0, ,V77/$U77)</f>
        <v>0</v>
      </c>
      <c r="X77" s="220">
        <f>SUM(I77, N77, S77, I78, N78, S78)</f>
        <v>0</v>
      </c>
      <c r="Y77" s="194">
        <f>IF($U77=0, ,X77/$U77)</f>
        <v>0</v>
      </c>
      <c r="Z77" s="220">
        <f>SUM(J77, O77, T77, J78, O78, T78)</f>
        <v>0</v>
      </c>
      <c r="AA77" s="194">
        <f>IF($U77=0, ,Z77/$U77)</f>
        <v>0</v>
      </c>
      <c r="AB77" s="204" t="s">
        <v>87</v>
      </c>
    </row>
    <row r="78" spans="1:28" x14ac:dyDescent="0.2">
      <c r="A78" s="228"/>
      <c r="B78" s="217"/>
      <c r="C78" s="11"/>
      <c r="D78" s="11"/>
      <c r="E78" s="192"/>
      <c r="F78" s="16"/>
      <c r="G78" s="28">
        <f>F78/$U64</f>
        <v>0</v>
      </c>
      <c r="H78" s="16"/>
      <c r="I78" s="16"/>
      <c r="J78" s="16"/>
      <c r="K78" s="16"/>
      <c r="L78" s="28">
        <f>K78/$U64</f>
        <v>0</v>
      </c>
      <c r="M78" s="16"/>
      <c r="N78" s="16"/>
      <c r="O78" s="16"/>
      <c r="P78" s="16"/>
      <c r="Q78" s="28">
        <f>P78/$U64</f>
        <v>0</v>
      </c>
      <c r="R78" s="16"/>
      <c r="S78" s="16"/>
      <c r="T78" s="16"/>
      <c r="U78" s="221"/>
      <c r="V78" s="221"/>
      <c r="W78" s="195"/>
      <c r="X78" s="221"/>
      <c r="Y78" s="195"/>
      <c r="Z78" s="221"/>
      <c r="AA78" s="195"/>
      <c r="AB78" s="205"/>
    </row>
    <row r="79" spans="1:28" ht="13.5" thickBot="1" x14ac:dyDescent="0.25">
      <c r="A79" s="228"/>
      <c r="B79" s="56"/>
      <c r="C79" s="56"/>
      <c r="D79" s="56"/>
      <c r="E79" s="56"/>
      <c r="F79" s="57"/>
      <c r="G79" s="58"/>
      <c r="H79" s="57"/>
      <c r="I79" s="57"/>
      <c r="J79" s="57"/>
      <c r="K79" s="57"/>
      <c r="L79" s="58"/>
      <c r="M79" s="57"/>
      <c r="N79" s="57"/>
      <c r="O79" s="57"/>
      <c r="P79" s="57"/>
      <c r="Q79" s="58"/>
      <c r="R79" s="57"/>
      <c r="S79" s="57"/>
      <c r="T79" s="60" t="s">
        <v>59</v>
      </c>
      <c r="U79" s="61">
        <f>SUM(U67:U78)</f>
        <v>0</v>
      </c>
      <c r="V79" s="61">
        <f>SUM(V67:V78)</f>
        <v>0</v>
      </c>
      <c r="W79" s="62">
        <f>IF($U79=0, ,V79/$U79)</f>
        <v>0</v>
      </c>
      <c r="X79" s="61">
        <f>SUM(X67:X78)</f>
        <v>0</v>
      </c>
      <c r="Y79" s="62">
        <f>IF($U79=0, ,X79/$U79)</f>
        <v>0</v>
      </c>
      <c r="Z79" s="61">
        <f>SUM(Z67:Z78)</f>
        <v>0</v>
      </c>
      <c r="AA79" s="62">
        <f>IF($U79=0, ,Z79/$U79)</f>
        <v>0</v>
      </c>
      <c r="AB79" s="59"/>
    </row>
    <row r="80" spans="1:28" ht="13.5" thickTop="1" x14ac:dyDescent="0.2">
      <c r="A80" s="228"/>
      <c r="B80" s="44"/>
      <c r="C80" s="45" t="s">
        <v>27</v>
      </c>
      <c r="D80" s="23"/>
      <c r="E80" s="44"/>
      <c r="F80" s="44"/>
      <c r="G80" s="44"/>
      <c r="H80" s="44"/>
      <c r="I80" s="44"/>
      <c r="J80" s="44"/>
      <c r="K80" s="44"/>
      <c r="L80" s="44"/>
      <c r="M80" s="44"/>
      <c r="N80" s="44"/>
      <c r="O80" s="93">
        <v>320</v>
      </c>
      <c r="P80" s="94" t="s">
        <v>33</v>
      </c>
      <c r="Q80" s="44"/>
      <c r="R80" s="44"/>
      <c r="S80" s="44"/>
      <c r="T80" s="44"/>
      <c r="U80" s="44"/>
      <c r="V80" s="44"/>
      <c r="W80" s="44"/>
      <c r="X80" s="44"/>
      <c r="Y80" s="44"/>
      <c r="Z80" s="44"/>
      <c r="AA80" s="44"/>
      <c r="AB80" s="46"/>
    </row>
    <row r="81" spans="1:28" x14ac:dyDescent="0.2">
      <c r="A81" s="228"/>
      <c r="B81" s="229" t="s">
        <v>35</v>
      </c>
      <c r="C81" s="230" t="s">
        <v>25</v>
      </c>
      <c r="D81" s="230" t="s">
        <v>28</v>
      </c>
      <c r="E81" s="237" t="s">
        <v>12</v>
      </c>
      <c r="F81" s="241" t="s">
        <v>13</v>
      </c>
      <c r="G81" s="241"/>
      <c r="H81" s="241"/>
      <c r="I81" s="241" t="s">
        <v>14</v>
      </c>
      <c r="J81" s="241"/>
      <c r="K81" s="241"/>
      <c r="L81" s="241" t="s">
        <v>15</v>
      </c>
      <c r="M81" s="241"/>
      <c r="N81" s="241"/>
      <c r="O81" s="225" t="s">
        <v>34</v>
      </c>
      <c r="P81" s="225" t="s">
        <v>48</v>
      </c>
      <c r="Q81" s="225" t="s">
        <v>60</v>
      </c>
      <c r="R81" s="225" t="s">
        <v>49</v>
      </c>
      <c r="S81" s="225" t="s">
        <v>61</v>
      </c>
      <c r="T81" s="251" t="s">
        <v>79</v>
      </c>
      <c r="U81" s="251"/>
      <c r="V81" s="251"/>
      <c r="W81" s="251"/>
      <c r="X81" s="251"/>
      <c r="Y81" s="251"/>
      <c r="Z81" s="251"/>
      <c r="AA81" s="251"/>
      <c r="AB81" s="252"/>
    </row>
    <row r="82" spans="1:28" ht="25.5" x14ac:dyDescent="0.2">
      <c r="A82" s="228"/>
      <c r="B82" s="229"/>
      <c r="C82" s="230"/>
      <c r="D82" s="230"/>
      <c r="E82" s="237"/>
      <c r="F82" s="18" t="s">
        <v>30</v>
      </c>
      <c r="G82" s="18" t="s">
        <v>46</v>
      </c>
      <c r="H82" s="18" t="s">
        <v>47</v>
      </c>
      <c r="I82" s="18" t="s">
        <v>30</v>
      </c>
      <c r="J82" s="18" t="s">
        <v>46</v>
      </c>
      <c r="K82" s="18" t="s">
        <v>47</v>
      </c>
      <c r="L82" s="18" t="s">
        <v>30</v>
      </c>
      <c r="M82" s="18" t="s">
        <v>46</v>
      </c>
      <c r="N82" s="18" t="s">
        <v>47</v>
      </c>
      <c r="O82" s="227"/>
      <c r="P82" s="227"/>
      <c r="Q82" s="227"/>
      <c r="R82" s="227"/>
      <c r="S82" s="227"/>
      <c r="T82" s="253"/>
      <c r="U82" s="253"/>
      <c r="V82" s="253"/>
      <c r="W82" s="253"/>
      <c r="X82" s="253"/>
      <c r="Y82" s="253"/>
      <c r="Z82" s="253"/>
      <c r="AA82" s="253"/>
      <c r="AB82" s="254"/>
    </row>
    <row r="83" spans="1:28" x14ac:dyDescent="0.2">
      <c r="A83" s="228"/>
      <c r="B83" s="242" t="s">
        <v>36</v>
      </c>
      <c r="C83" s="12"/>
      <c r="D83" s="12" t="s">
        <v>80</v>
      </c>
      <c r="E83" s="243" t="s">
        <v>1</v>
      </c>
      <c r="F83" s="13">
        <v>0</v>
      </c>
      <c r="G83" s="13">
        <v>0</v>
      </c>
      <c r="H83" s="13">
        <v>0</v>
      </c>
      <c r="I83" s="13">
        <v>0</v>
      </c>
      <c r="J83" s="13"/>
      <c r="K83" s="13"/>
      <c r="L83" s="13"/>
      <c r="M83" s="13">
        <f>H88+K88+N88+Q88+T88+W88+Z88</f>
        <v>0</v>
      </c>
      <c r="N83" s="13">
        <f>H89+K89+N89+Q89+T89+W89+Z89</f>
        <v>0</v>
      </c>
      <c r="O83" s="210">
        <f>SUM(F83, I83, L83, F84, I84, L84)*$O80</f>
        <v>0</v>
      </c>
      <c r="P83" s="210">
        <f>SUM(G83, J83, M83, G84, J84, M84)</f>
        <v>0</v>
      </c>
      <c r="Q83" s="212">
        <f>IF($O83=0, ,P83/$O83)</f>
        <v>0</v>
      </c>
      <c r="R83" s="210">
        <f>SUM(H83, K83, N83, H84, K84, N84)</f>
        <v>0</v>
      </c>
      <c r="S83" s="212">
        <f>IF($O83=0, ,R83/$O83)</f>
        <v>0</v>
      </c>
      <c r="T83" s="244"/>
      <c r="U83" s="244"/>
      <c r="V83" s="244"/>
      <c r="W83" s="244"/>
      <c r="X83" s="244"/>
      <c r="Y83" s="244"/>
      <c r="Z83" s="244"/>
      <c r="AA83" s="244"/>
      <c r="AB83" s="245"/>
    </row>
    <row r="84" spans="1:28" x14ac:dyDescent="0.2">
      <c r="A84" s="228"/>
      <c r="B84" s="242"/>
      <c r="C84" s="12"/>
      <c r="D84" s="12"/>
      <c r="E84" s="243"/>
      <c r="F84" s="13"/>
      <c r="G84" s="13">
        <f>F90+I90+L90+O90+R90+U90+X90</f>
        <v>0</v>
      </c>
      <c r="H84" s="13">
        <f>F91+I91+L91+O91+R91+U91+X91</f>
        <v>0</v>
      </c>
      <c r="I84" s="13"/>
      <c r="J84" s="13">
        <f>G90+J90+M90+P90+S90+V90+Y90</f>
        <v>0</v>
      </c>
      <c r="K84" s="13">
        <f>G91+J91+M91+P91+S91+V91+Y91</f>
        <v>0</v>
      </c>
      <c r="L84" s="13"/>
      <c r="M84" s="13">
        <f>H90+K90+N90+Q90+T90+W90+Z90</f>
        <v>0</v>
      </c>
      <c r="N84" s="13">
        <f>H91+K91+N91+Q91+T91+W91+Z91</f>
        <v>0</v>
      </c>
      <c r="O84" s="211"/>
      <c r="P84" s="211"/>
      <c r="Q84" s="213"/>
      <c r="R84" s="211"/>
      <c r="S84" s="213"/>
      <c r="T84" s="246"/>
      <c r="U84" s="246"/>
      <c r="V84" s="246"/>
      <c r="W84" s="246"/>
      <c r="X84" s="246"/>
      <c r="Y84" s="246"/>
      <c r="Z84" s="246"/>
      <c r="AA84" s="246"/>
      <c r="AB84" s="247"/>
    </row>
    <row r="85" spans="1:28" x14ac:dyDescent="0.2">
      <c r="A85" s="228"/>
      <c r="B85" s="56"/>
      <c r="C85" s="56"/>
      <c r="D85" s="56"/>
      <c r="E85" s="56"/>
      <c r="F85" s="89"/>
      <c r="G85" s="89"/>
      <c r="H85" s="89"/>
      <c r="I85" s="89"/>
      <c r="J85" s="89"/>
      <c r="K85" s="89"/>
      <c r="L85" s="89"/>
      <c r="M85" s="89"/>
      <c r="N85" s="89"/>
      <c r="O85" s="90"/>
      <c r="P85" s="90"/>
      <c r="Q85" s="91"/>
      <c r="R85" s="90"/>
      <c r="S85" s="91"/>
      <c r="T85" s="92"/>
      <c r="U85" s="92"/>
      <c r="V85" s="92"/>
      <c r="W85" s="92"/>
      <c r="X85" s="92"/>
      <c r="Y85" s="92"/>
      <c r="Z85" s="92"/>
      <c r="AA85" s="92"/>
      <c r="AB85" s="95"/>
    </row>
    <row r="86" spans="1:28" x14ac:dyDescent="0.2">
      <c r="A86" s="228"/>
      <c r="B86" s="256" t="s">
        <v>67</v>
      </c>
      <c r="C86" s="256"/>
      <c r="D86" s="257"/>
      <c r="E86" s="82" t="s">
        <v>68</v>
      </c>
      <c r="F86" s="248" t="s">
        <v>64</v>
      </c>
      <c r="G86" s="248"/>
      <c r="H86" s="248"/>
      <c r="I86" s="248" t="s">
        <v>76</v>
      </c>
      <c r="J86" s="248"/>
      <c r="K86" s="248"/>
      <c r="L86" s="248" t="s">
        <v>65</v>
      </c>
      <c r="M86" s="248"/>
      <c r="N86" s="248"/>
      <c r="O86" s="248" t="s">
        <v>66</v>
      </c>
      <c r="P86" s="248"/>
      <c r="Q86" s="248"/>
      <c r="R86" s="248" t="s">
        <v>73</v>
      </c>
      <c r="S86" s="248"/>
      <c r="T86" s="248"/>
      <c r="U86" s="248" t="s">
        <v>74</v>
      </c>
      <c r="V86" s="248"/>
      <c r="W86" s="248"/>
      <c r="X86" s="248" t="s">
        <v>75</v>
      </c>
      <c r="Y86" s="248"/>
      <c r="Z86" s="248"/>
      <c r="AA86" s="249"/>
      <c r="AB86" s="249"/>
    </row>
    <row r="87" spans="1:28" x14ac:dyDescent="0.2">
      <c r="A87" s="228"/>
      <c r="B87" s="258"/>
      <c r="C87" s="258"/>
      <c r="D87" s="259"/>
      <c r="E87" s="97" t="s">
        <v>69</v>
      </c>
      <c r="F87" s="83" t="s">
        <v>70</v>
      </c>
      <c r="G87" s="83" t="s">
        <v>71</v>
      </c>
      <c r="H87" s="84" t="s">
        <v>72</v>
      </c>
      <c r="I87" s="83" t="s">
        <v>70</v>
      </c>
      <c r="J87" s="83" t="s">
        <v>71</v>
      </c>
      <c r="K87" s="84" t="s">
        <v>72</v>
      </c>
      <c r="L87" s="83" t="s">
        <v>70</v>
      </c>
      <c r="M87" s="83" t="s">
        <v>71</v>
      </c>
      <c r="N87" s="84" t="s">
        <v>72</v>
      </c>
      <c r="O87" s="83" t="s">
        <v>70</v>
      </c>
      <c r="P87" s="83" t="s">
        <v>71</v>
      </c>
      <c r="Q87" s="84" t="s">
        <v>72</v>
      </c>
      <c r="R87" s="83" t="s">
        <v>70</v>
      </c>
      <c r="S87" s="83" t="s">
        <v>71</v>
      </c>
      <c r="T87" s="84" t="s">
        <v>72</v>
      </c>
      <c r="U87" s="83" t="s">
        <v>70</v>
      </c>
      <c r="V87" s="83" t="s">
        <v>71</v>
      </c>
      <c r="W87" s="84" t="s">
        <v>72</v>
      </c>
      <c r="X87" s="83" t="s">
        <v>70</v>
      </c>
      <c r="Y87" s="83" t="s">
        <v>71</v>
      </c>
      <c r="Z87" s="84" t="s">
        <v>72</v>
      </c>
      <c r="AA87" s="249"/>
      <c r="AB87" s="249"/>
    </row>
    <row r="88" spans="1:28" x14ac:dyDescent="0.2">
      <c r="A88" s="228"/>
      <c r="B88" s="260" t="str">
        <f>B83</f>
        <v>Final ASS</v>
      </c>
      <c r="C88" s="82" t="str">
        <f>IF(ISBLANK(C83), "", C83)</f>
        <v/>
      </c>
      <c r="D88" s="96" t="str">
        <f>IF(ISBLANK(D83), "", D83)</f>
        <v>lume</v>
      </c>
      <c r="E88" s="82" t="s">
        <v>77</v>
      </c>
      <c r="F88" s="86"/>
      <c r="G88" s="85"/>
      <c r="H88" s="85"/>
      <c r="I88" s="85"/>
      <c r="J88" s="85"/>
      <c r="K88" s="85"/>
      <c r="L88" s="87"/>
      <c r="M88" s="87"/>
      <c r="N88" s="87"/>
      <c r="O88" s="87"/>
      <c r="P88" s="87"/>
      <c r="Q88" s="85"/>
      <c r="R88" s="87"/>
      <c r="S88" s="87"/>
      <c r="T88" s="87"/>
      <c r="U88" s="87"/>
      <c r="V88" s="87"/>
      <c r="W88" s="85"/>
      <c r="X88" s="85"/>
      <c r="Y88" s="85"/>
      <c r="Z88" s="88"/>
      <c r="AA88" s="249"/>
      <c r="AB88" s="249"/>
    </row>
    <row r="89" spans="1:28" x14ac:dyDescent="0.2">
      <c r="A89" s="228"/>
      <c r="B89" s="260"/>
      <c r="C89" s="82" t="str">
        <f>IF(ISBLANK(C83), "", C83)</f>
        <v/>
      </c>
      <c r="D89" s="96" t="str">
        <f>IF(ISBLANK(D83), "", D83)</f>
        <v>lume</v>
      </c>
      <c r="E89" s="82" t="s">
        <v>78</v>
      </c>
      <c r="F89" s="86"/>
      <c r="G89" s="85"/>
      <c r="H89" s="85"/>
      <c r="I89" s="85"/>
      <c r="J89" s="85"/>
      <c r="K89" s="85"/>
      <c r="L89" s="87"/>
      <c r="M89" s="87"/>
      <c r="N89" s="87"/>
      <c r="O89" s="87"/>
      <c r="P89" s="87"/>
      <c r="Q89" s="85"/>
      <c r="R89" s="87"/>
      <c r="S89" s="87"/>
      <c r="T89" s="87"/>
      <c r="U89" s="87"/>
      <c r="V89" s="87"/>
      <c r="W89" s="85"/>
      <c r="X89" s="85"/>
      <c r="Y89" s="85"/>
      <c r="Z89" s="88"/>
      <c r="AA89" s="249"/>
      <c r="AB89" s="249"/>
    </row>
    <row r="90" spans="1:28" x14ac:dyDescent="0.2">
      <c r="A90" s="228"/>
      <c r="B90" s="260"/>
      <c r="C90" s="82" t="str">
        <f>IF(ISBLANK(C84), "", C84)</f>
        <v/>
      </c>
      <c r="D90" s="96" t="str">
        <f>IF(ISBLANK(D84), "", D84)</f>
        <v/>
      </c>
      <c r="E90" s="82" t="s">
        <v>77</v>
      </c>
      <c r="F90" s="86"/>
      <c r="G90" s="85"/>
      <c r="H90" s="85"/>
      <c r="I90" s="85"/>
      <c r="J90" s="85"/>
      <c r="K90" s="85"/>
      <c r="L90" s="87"/>
      <c r="M90" s="87"/>
      <c r="N90" s="87"/>
      <c r="O90" s="87"/>
      <c r="P90" s="87"/>
      <c r="Q90" s="85"/>
      <c r="R90" s="87"/>
      <c r="S90" s="87"/>
      <c r="T90" s="87"/>
      <c r="U90" s="87"/>
      <c r="V90" s="87"/>
      <c r="W90" s="85"/>
      <c r="X90" s="85"/>
      <c r="Y90" s="85"/>
      <c r="Z90" s="88"/>
      <c r="AA90" s="249"/>
      <c r="AB90" s="249"/>
    </row>
    <row r="91" spans="1:28" x14ac:dyDescent="0.2">
      <c r="A91" s="228"/>
      <c r="B91" s="260"/>
      <c r="C91" s="82" t="str">
        <f>IF(ISBLANK(C84), "", C84)</f>
        <v/>
      </c>
      <c r="D91" s="96" t="str">
        <f>IF(ISBLANK(D84), "", D84)</f>
        <v/>
      </c>
      <c r="E91" s="82" t="s">
        <v>78</v>
      </c>
      <c r="F91" s="86"/>
      <c r="G91" s="85"/>
      <c r="H91" s="85"/>
      <c r="I91" s="85"/>
      <c r="J91" s="85"/>
      <c r="K91" s="85"/>
      <c r="L91" s="87"/>
      <c r="M91" s="87"/>
      <c r="N91" s="87"/>
      <c r="O91" s="87"/>
      <c r="P91" s="87"/>
      <c r="Q91" s="85"/>
      <c r="R91" s="87"/>
      <c r="S91" s="87"/>
      <c r="T91" s="87"/>
      <c r="U91" s="87"/>
      <c r="V91" s="87"/>
      <c r="W91" s="85"/>
      <c r="X91" s="85"/>
      <c r="Y91" s="85"/>
      <c r="Z91" s="88"/>
      <c r="AA91" s="249"/>
      <c r="AB91" s="249"/>
    </row>
    <row r="93" spans="1:28" x14ac:dyDescent="0.2">
      <c r="A93" s="228">
        <v>44716</v>
      </c>
      <c r="B93" s="19"/>
      <c r="C93" s="19" t="s">
        <v>42</v>
      </c>
      <c r="D93" s="20"/>
      <c r="E93" s="21" t="s">
        <v>41</v>
      </c>
      <c r="F93" s="20">
        <v>0</v>
      </c>
      <c r="G93" s="20"/>
      <c r="H93" s="20"/>
      <c r="I93" s="21"/>
      <c r="J93" s="21"/>
      <c r="K93" s="32"/>
      <c r="L93" s="32"/>
      <c r="M93" s="20"/>
      <c r="N93" s="21"/>
      <c r="O93" s="21"/>
      <c r="P93" s="32"/>
      <c r="Q93" s="32"/>
      <c r="R93" s="20"/>
      <c r="S93" s="21"/>
      <c r="T93" s="21"/>
      <c r="U93" s="41">
        <v>160</v>
      </c>
      <c r="V93" s="42" t="s">
        <v>32</v>
      </c>
      <c r="W93" s="42"/>
      <c r="X93" s="43"/>
      <c r="Y93" s="31"/>
      <c r="Z93" s="31"/>
      <c r="AA93" s="31"/>
      <c r="AB93" s="33"/>
    </row>
    <row r="94" spans="1:28" x14ac:dyDescent="0.2">
      <c r="A94" s="228"/>
      <c r="B94" s="229" t="s">
        <v>10</v>
      </c>
      <c r="C94" s="230" t="s">
        <v>25</v>
      </c>
      <c r="D94" s="230" t="s">
        <v>28</v>
      </c>
      <c r="E94" s="237" t="s">
        <v>12</v>
      </c>
      <c r="F94" s="222" t="s">
        <v>13</v>
      </c>
      <c r="G94" s="223"/>
      <c r="H94" s="223"/>
      <c r="I94" s="223"/>
      <c r="J94" s="224"/>
      <c r="K94" s="222" t="s">
        <v>14</v>
      </c>
      <c r="L94" s="223"/>
      <c r="M94" s="223"/>
      <c r="N94" s="223"/>
      <c r="O94" s="224"/>
      <c r="P94" s="222" t="s">
        <v>15</v>
      </c>
      <c r="Q94" s="223"/>
      <c r="R94" s="223"/>
      <c r="S94" s="223"/>
      <c r="T94" s="224"/>
      <c r="U94" s="255" t="s">
        <v>34</v>
      </c>
      <c r="V94" s="255" t="s">
        <v>48</v>
      </c>
      <c r="W94" s="255" t="s">
        <v>56</v>
      </c>
      <c r="X94" s="255" t="s">
        <v>54</v>
      </c>
      <c r="Y94" s="255" t="s">
        <v>57</v>
      </c>
      <c r="Z94" s="255" t="s">
        <v>55</v>
      </c>
      <c r="AA94" s="255" t="s">
        <v>58</v>
      </c>
      <c r="AB94" s="255" t="s">
        <v>38</v>
      </c>
    </row>
    <row r="95" spans="1:28" ht="38.25" x14ac:dyDescent="0.2">
      <c r="A95" s="228"/>
      <c r="B95" s="229"/>
      <c r="C95" s="230"/>
      <c r="D95" s="230"/>
      <c r="E95" s="237"/>
      <c r="F95" s="18" t="s">
        <v>45</v>
      </c>
      <c r="G95" s="18" t="s">
        <v>29</v>
      </c>
      <c r="H95" s="18" t="s">
        <v>46</v>
      </c>
      <c r="I95" s="18" t="s">
        <v>52</v>
      </c>
      <c r="J95" s="18" t="s">
        <v>53</v>
      </c>
      <c r="K95" s="18" t="s">
        <v>45</v>
      </c>
      <c r="L95" s="18" t="s">
        <v>29</v>
      </c>
      <c r="M95" s="18" t="s">
        <v>46</v>
      </c>
      <c r="N95" s="18" t="s">
        <v>52</v>
      </c>
      <c r="O95" s="18" t="s">
        <v>53</v>
      </c>
      <c r="P95" s="18" t="s">
        <v>45</v>
      </c>
      <c r="Q95" s="18" t="s">
        <v>29</v>
      </c>
      <c r="R95" s="18" t="s">
        <v>46</v>
      </c>
      <c r="S95" s="18" t="s">
        <v>52</v>
      </c>
      <c r="T95" s="18" t="s">
        <v>53</v>
      </c>
      <c r="U95" s="255"/>
      <c r="V95" s="255"/>
      <c r="W95" s="255"/>
      <c r="X95" s="255"/>
      <c r="Y95" s="255"/>
      <c r="Z95" s="255"/>
      <c r="AA95" s="255"/>
      <c r="AB95" s="255"/>
    </row>
    <row r="96" spans="1:28" x14ac:dyDescent="0.2">
      <c r="A96" s="228"/>
      <c r="B96" s="232" t="s">
        <v>17</v>
      </c>
      <c r="C96" s="12"/>
      <c r="D96" s="12"/>
      <c r="E96" s="234" t="s">
        <v>1</v>
      </c>
      <c r="F96" s="13">
        <v>0</v>
      </c>
      <c r="G96" s="25">
        <f>F96/$U93</f>
        <v>0</v>
      </c>
      <c r="H96" s="13"/>
      <c r="I96" s="13"/>
      <c r="J96" s="13"/>
      <c r="K96" s="13">
        <v>0</v>
      </c>
      <c r="L96" s="25">
        <f>K96/$U93</f>
        <v>0</v>
      </c>
      <c r="M96" s="13"/>
      <c r="N96" s="13"/>
      <c r="O96" s="13"/>
      <c r="P96" s="13"/>
      <c r="Q96" s="25">
        <f>P96/$U93</f>
        <v>0</v>
      </c>
      <c r="R96" s="13"/>
      <c r="S96" s="13"/>
      <c r="T96" s="13"/>
      <c r="U96" s="210">
        <f>SUM(F96, K96, P96, F97, K97, P97)</f>
        <v>0</v>
      </c>
      <c r="V96" s="210">
        <f>SUM(H96, M96, R96, H97, M97, R97)</f>
        <v>0</v>
      </c>
      <c r="W96" s="212">
        <f>IF($U96=0, ,V96/$U96)</f>
        <v>0</v>
      </c>
      <c r="X96" s="210">
        <f>SUM(I96, N96, S96, I97, N97, S97)</f>
        <v>0</v>
      </c>
      <c r="Y96" s="212">
        <f>IF($U96=0, ,X96/$U96)</f>
        <v>0</v>
      </c>
      <c r="Z96" s="210">
        <f>SUM(J96, O96, T96, J97, O97, T97)</f>
        <v>0</v>
      </c>
      <c r="AA96" s="212">
        <f>IF($U96=0, ,Z96/$U96)</f>
        <v>0</v>
      </c>
      <c r="AB96" s="214" t="s">
        <v>87</v>
      </c>
    </row>
    <row r="97" spans="1:28" x14ac:dyDescent="0.2">
      <c r="A97" s="228"/>
      <c r="B97" s="250"/>
      <c r="C97" s="12"/>
      <c r="D97" s="12"/>
      <c r="E97" s="236"/>
      <c r="F97" s="13"/>
      <c r="G97" s="25">
        <f>F97/$U93</f>
        <v>0</v>
      </c>
      <c r="H97" s="13"/>
      <c r="I97" s="13"/>
      <c r="J97" s="13"/>
      <c r="K97" s="13"/>
      <c r="L97" s="25">
        <f>K97/$U93</f>
        <v>0</v>
      </c>
      <c r="M97" s="13"/>
      <c r="N97" s="13"/>
      <c r="O97" s="13"/>
      <c r="P97" s="13"/>
      <c r="Q97" s="25">
        <f>P97/$U93</f>
        <v>0</v>
      </c>
      <c r="R97" s="13"/>
      <c r="S97" s="13"/>
      <c r="T97" s="13"/>
      <c r="U97" s="211"/>
      <c r="V97" s="211"/>
      <c r="W97" s="213"/>
      <c r="X97" s="211"/>
      <c r="Y97" s="213"/>
      <c r="Z97" s="211"/>
      <c r="AA97" s="213"/>
      <c r="AB97" s="215"/>
    </row>
    <row r="98" spans="1:28" x14ac:dyDescent="0.2">
      <c r="A98" s="228"/>
      <c r="B98" s="216" t="s">
        <v>18</v>
      </c>
      <c r="C98" s="10"/>
      <c r="D98" s="10"/>
      <c r="E98" s="218" t="s">
        <v>1</v>
      </c>
      <c r="F98" s="14">
        <v>0</v>
      </c>
      <c r="G98" s="26">
        <f>F98/$U93</f>
        <v>0</v>
      </c>
      <c r="H98" s="14"/>
      <c r="I98" s="14"/>
      <c r="J98" s="14"/>
      <c r="K98" s="14">
        <v>0</v>
      </c>
      <c r="L98" s="26">
        <f>K98/$U93</f>
        <v>0</v>
      </c>
      <c r="M98" s="14"/>
      <c r="N98" s="14"/>
      <c r="O98" s="14"/>
      <c r="P98" s="14"/>
      <c r="Q98" s="26">
        <f>P98/$U93</f>
        <v>0</v>
      </c>
      <c r="R98" s="14"/>
      <c r="S98" s="14"/>
      <c r="T98" s="14"/>
      <c r="U98" s="220">
        <f>SUM(F98, K98, P98, F99, K99, P99)</f>
        <v>0</v>
      </c>
      <c r="V98" s="220">
        <f>SUM(H98, M98, R98, H99, M99, R99)</f>
        <v>0</v>
      </c>
      <c r="W98" s="194">
        <f>IF($U98=0, ,V98/$U98)</f>
        <v>0</v>
      </c>
      <c r="X98" s="220">
        <f>SUM(I98, N98, S98, I99, N99, S99)</f>
        <v>0</v>
      </c>
      <c r="Y98" s="194">
        <f>IF($U98=0, ,X98/$U98)</f>
        <v>0</v>
      </c>
      <c r="Z98" s="220">
        <f>SUM(J98, O98, T98, J99, O99, T99)</f>
        <v>0</v>
      </c>
      <c r="AA98" s="194">
        <f>IF($U98=0, ,Z98/$U98)</f>
        <v>0</v>
      </c>
      <c r="AB98" s="204" t="s">
        <v>87</v>
      </c>
    </row>
    <row r="99" spans="1:28" x14ac:dyDescent="0.2">
      <c r="A99" s="228"/>
      <c r="B99" s="217"/>
      <c r="C99" s="10"/>
      <c r="D99" s="10"/>
      <c r="E99" s="219"/>
      <c r="F99" s="14"/>
      <c r="G99" s="26">
        <f>F99/$U93</f>
        <v>0</v>
      </c>
      <c r="H99" s="14"/>
      <c r="I99" s="14"/>
      <c r="J99" s="14"/>
      <c r="K99" s="14"/>
      <c r="L99" s="26">
        <f>K99/$U93</f>
        <v>0</v>
      </c>
      <c r="M99" s="14"/>
      <c r="N99" s="14"/>
      <c r="O99" s="14"/>
      <c r="P99" s="14"/>
      <c r="Q99" s="26">
        <f>P99/$U93</f>
        <v>0</v>
      </c>
      <c r="R99" s="14"/>
      <c r="S99" s="14"/>
      <c r="T99" s="14"/>
      <c r="U99" s="221"/>
      <c r="V99" s="221"/>
      <c r="W99" s="195"/>
      <c r="X99" s="221"/>
      <c r="Y99" s="195"/>
      <c r="Z99" s="221"/>
      <c r="AA99" s="195"/>
      <c r="AB99" s="205"/>
    </row>
    <row r="100" spans="1:28" x14ac:dyDescent="0.2">
      <c r="A100" s="228"/>
      <c r="B100" s="232" t="s">
        <v>19</v>
      </c>
      <c r="C100" s="9"/>
      <c r="D100" s="9"/>
      <c r="E100" s="208" t="s">
        <v>1</v>
      </c>
      <c r="F100" s="15">
        <v>0</v>
      </c>
      <c r="G100" s="27">
        <f>F100/$U93</f>
        <v>0</v>
      </c>
      <c r="H100" s="15"/>
      <c r="I100" s="15"/>
      <c r="J100" s="15"/>
      <c r="K100" s="15">
        <v>0</v>
      </c>
      <c r="L100" s="27">
        <f>K100/$U93</f>
        <v>0</v>
      </c>
      <c r="M100" s="15"/>
      <c r="N100" s="15"/>
      <c r="O100" s="15"/>
      <c r="P100" s="15"/>
      <c r="Q100" s="27">
        <f>P100/$U93</f>
        <v>0</v>
      </c>
      <c r="R100" s="15"/>
      <c r="S100" s="15"/>
      <c r="T100" s="15"/>
      <c r="U100" s="210">
        <f>SUM(F100, K100, P100, F101, K101, P101)</f>
        <v>0</v>
      </c>
      <c r="V100" s="210">
        <f>SUM(H100, M100, R100, H101, M101, R101)</f>
        <v>0</v>
      </c>
      <c r="W100" s="212">
        <f>IF($U100=0, ,V100/$U100)</f>
        <v>0</v>
      </c>
      <c r="X100" s="210">
        <f>SUM(I100, N100, S100, I101, N101, S101)</f>
        <v>0</v>
      </c>
      <c r="Y100" s="212">
        <f>IF($U100=0, ,X100/$U100)</f>
        <v>0</v>
      </c>
      <c r="Z100" s="210">
        <f>SUM(J100, O100, T100, J101, O101, T101)</f>
        <v>0</v>
      </c>
      <c r="AA100" s="212">
        <f>IF($U100=0, ,Z100/$U100)</f>
        <v>0</v>
      </c>
      <c r="AB100" s="214" t="s">
        <v>87</v>
      </c>
    </row>
    <row r="101" spans="1:28" x14ac:dyDescent="0.2">
      <c r="A101" s="228"/>
      <c r="B101" s="250"/>
      <c r="C101" s="9"/>
      <c r="D101" s="9"/>
      <c r="E101" s="209"/>
      <c r="F101" s="15"/>
      <c r="G101" s="27">
        <f>F101/$U93</f>
        <v>0</v>
      </c>
      <c r="H101" s="15"/>
      <c r="I101" s="15"/>
      <c r="J101" s="15"/>
      <c r="K101" s="15"/>
      <c r="L101" s="27">
        <f>K101/$U93</f>
        <v>0</v>
      </c>
      <c r="M101" s="15"/>
      <c r="N101" s="15"/>
      <c r="O101" s="15"/>
      <c r="P101" s="15"/>
      <c r="Q101" s="27">
        <f>P101/$U93</f>
        <v>0</v>
      </c>
      <c r="R101" s="15"/>
      <c r="S101" s="15"/>
      <c r="T101" s="15"/>
      <c r="U101" s="211"/>
      <c r="V101" s="211"/>
      <c r="W101" s="213"/>
      <c r="X101" s="211"/>
      <c r="Y101" s="213"/>
      <c r="Z101" s="211"/>
      <c r="AA101" s="213"/>
      <c r="AB101" s="215"/>
    </row>
    <row r="102" spans="1:28" x14ac:dyDescent="0.2">
      <c r="A102" s="228"/>
      <c r="B102" s="216" t="s">
        <v>20</v>
      </c>
      <c r="C102" s="10"/>
      <c r="D102" s="10"/>
      <c r="E102" s="218" t="s">
        <v>1</v>
      </c>
      <c r="F102" s="14">
        <v>0</v>
      </c>
      <c r="G102" s="26">
        <f>F102/$U93</f>
        <v>0</v>
      </c>
      <c r="H102" s="14"/>
      <c r="I102" s="14"/>
      <c r="J102" s="14"/>
      <c r="K102" s="14">
        <v>0</v>
      </c>
      <c r="L102" s="26">
        <f>K102/$U93</f>
        <v>0</v>
      </c>
      <c r="M102" s="14"/>
      <c r="N102" s="14"/>
      <c r="O102" s="14"/>
      <c r="P102" s="14"/>
      <c r="Q102" s="26">
        <f>P102/$U93</f>
        <v>0</v>
      </c>
      <c r="R102" s="14"/>
      <c r="S102" s="14"/>
      <c r="T102" s="14"/>
      <c r="U102" s="220">
        <f>SUM(F102, K102, P102, F103, K103, P103)</f>
        <v>0</v>
      </c>
      <c r="V102" s="220">
        <f>SUM(H102, M102, R102, H103, M103, R103)</f>
        <v>0</v>
      </c>
      <c r="W102" s="194">
        <f>IF($U102=0, ,V102/$U102)</f>
        <v>0</v>
      </c>
      <c r="X102" s="220">
        <f>SUM(I102, N102, S102, I103, N103, S103)</f>
        <v>0</v>
      </c>
      <c r="Y102" s="194">
        <f>IF($U102=0, ,X102/$U102)</f>
        <v>0</v>
      </c>
      <c r="Z102" s="220">
        <f>SUM(J102, O102, T102, J103, O103, T103)</f>
        <v>0</v>
      </c>
      <c r="AA102" s="194">
        <f>IF($U102=0, ,Z102/$U102)</f>
        <v>0</v>
      </c>
      <c r="AB102" s="204" t="s">
        <v>87</v>
      </c>
    </row>
    <row r="103" spans="1:28" x14ac:dyDescent="0.2">
      <c r="A103" s="228"/>
      <c r="B103" s="217"/>
      <c r="C103" s="10"/>
      <c r="D103" s="10"/>
      <c r="E103" s="219"/>
      <c r="F103" s="14"/>
      <c r="G103" s="26">
        <f>F103/$U93</f>
        <v>0</v>
      </c>
      <c r="H103" s="14"/>
      <c r="I103" s="14"/>
      <c r="J103" s="14"/>
      <c r="K103" s="14"/>
      <c r="L103" s="26">
        <f>K103/$U93</f>
        <v>0</v>
      </c>
      <c r="M103" s="14"/>
      <c r="N103" s="14"/>
      <c r="O103" s="14"/>
      <c r="P103" s="14"/>
      <c r="Q103" s="26">
        <f>P103/$U93</f>
        <v>0</v>
      </c>
      <c r="R103" s="14"/>
      <c r="S103" s="14"/>
      <c r="T103" s="14"/>
      <c r="U103" s="221"/>
      <c r="V103" s="221"/>
      <c r="W103" s="195"/>
      <c r="X103" s="221"/>
      <c r="Y103" s="195"/>
      <c r="Z103" s="221"/>
      <c r="AA103" s="195"/>
      <c r="AB103" s="205"/>
    </row>
    <row r="104" spans="1:28" x14ac:dyDescent="0.2">
      <c r="A104" s="228"/>
      <c r="B104" s="232" t="s">
        <v>21</v>
      </c>
      <c r="C104" s="9"/>
      <c r="D104" s="9"/>
      <c r="E104" s="208" t="s">
        <v>1</v>
      </c>
      <c r="F104" s="15">
        <v>0</v>
      </c>
      <c r="G104" s="27">
        <f>F104/$U93</f>
        <v>0</v>
      </c>
      <c r="H104" s="15"/>
      <c r="I104" s="15"/>
      <c r="J104" s="15"/>
      <c r="K104" s="15">
        <v>0</v>
      </c>
      <c r="L104" s="27">
        <f>K104/$U93</f>
        <v>0</v>
      </c>
      <c r="M104" s="15"/>
      <c r="N104" s="15"/>
      <c r="O104" s="15"/>
      <c r="P104" s="15"/>
      <c r="Q104" s="27">
        <f>P104/$U93</f>
        <v>0</v>
      </c>
      <c r="R104" s="15"/>
      <c r="S104" s="15"/>
      <c r="T104" s="15"/>
      <c r="U104" s="210">
        <f>SUM(F104, K104, P104, F105, K105, P105)</f>
        <v>0</v>
      </c>
      <c r="V104" s="210">
        <f>SUM(H104, M104, R104, H105, M105, R105)</f>
        <v>0</v>
      </c>
      <c r="W104" s="212">
        <f>IF($U104=0, ,V104/$U104)</f>
        <v>0</v>
      </c>
      <c r="X104" s="210">
        <f>SUM(I104, N104, S104, I105, N105, S105)</f>
        <v>0</v>
      </c>
      <c r="Y104" s="212">
        <f>IF($U104=0, ,X104/$U104)</f>
        <v>0</v>
      </c>
      <c r="Z104" s="210">
        <f>SUM(J104, O104, T104, J105, O105, T105)</f>
        <v>0</v>
      </c>
      <c r="AA104" s="212">
        <f>IF($U104=0, ,Z104/$U104)</f>
        <v>0</v>
      </c>
      <c r="AB104" s="214" t="s">
        <v>87</v>
      </c>
    </row>
    <row r="105" spans="1:28" x14ac:dyDescent="0.2">
      <c r="A105" s="228"/>
      <c r="B105" s="250"/>
      <c r="C105" s="9"/>
      <c r="D105" s="9"/>
      <c r="E105" s="209"/>
      <c r="F105" s="15"/>
      <c r="G105" s="27">
        <f>F105/$U93</f>
        <v>0</v>
      </c>
      <c r="H105" s="15"/>
      <c r="I105" s="15"/>
      <c r="J105" s="15"/>
      <c r="K105" s="15"/>
      <c r="L105" s="27">
        <f>K105/$U93</f>
        <v>0</v>
      </c>
      <c r="M105" s="15"/>
      <c r="N105" s="15"/>
      <c r="O105" s="15"/>
      <c r="P105" s="15"/>
      <c r="Q105" s="27">
        <f>P105/$U93</f>
        <v>0</v>
      </c>
      <c r="R105" s="15"/>
      <c r="S105" s="15"/>
      <c r="T105" s="15"/>
      <c r="U105" s="211"/>
      <c r="V105" s="211"/>
      <c r="W105" s="213"/>
      <c r="X105" s="211"/>
      <c r="Y105" s="213"/>
      <c r="Z105" s="211"/>
      <c r="AA105" s="213"/>
      <c r="AB105" s="215"/>
    </row>
    <row r="106" spans="1:28" x14ac:dyDescent="0.2">
      <c r="A106" s="228"/>
      <c r="B106" s="216" t="s">
        <v>22</v>
      </c>
      <c r="C106" s="11"/>
      <c r="D106" s="11"/>
      <c r="E106" s="191" t="s">
        <v>1</v>
      </c>
      <c r="F106" s="16">
        <v>0</v>
      </c>
      <c r="G106" s="28">
        <f>F106/$U93</f>
        <v>0</v>
      </c>
      <c r="H106" s="16"/>
      <c r="I106" s="16"/>
      <c r="J106" s="16"/>
      <c r="K106" s="16">
        <v>0</v>
      </c>
      <c r="L106" s="28">
        <f>K106/$U93</f>
        <v>0</v>
      </c>
      <c r="M106" s="16"/>
      <c r="N106" s="16"/>
      <c r="O106" s="16"/>
      <c r="P106" s="16"/>
      <c r="Q106" s="28">
        <f>P106/$U93</f>
        <v>0</v>
      </c>
      <c r="R106" s="16"/>
      <c r="S106" s="16"/>
      <c r="T106" s="16"/>
      <c r="U106" s="220">
        <f>SUM(F106, K106, P106, F107, K107, P107)</f>
        <v>0</v>
      </c>
      <c r="V106" s="220">
        <f>SUM(H106, M106, R106, H107, M107, R107)</f>
        <v>0</v>
      </c>
      <c r="W106" s="194">
        <f>IF($U106=0, ,V106/$U106)</f>
        <v>0</v>
      </c>
      <c r="X106" s="220">
        <f>SUM(I106, N106, S106, I107, N107, S107)</f>
        <v>0</v>
      </c>
      <c r="Y106" s="194">
        <f>IF($U106=0, ,X106/$U106)</f>
        <v>0</v>
      </c>
      <c r="Z106" s="220">
        <f>SUM(J106, O106, T106, J107, O107, T107)</f>
        <v>0</v>
      </c>
      <c r="AA106" s="194">
        <f>IF($U106=0, ,Z106/$U106)</f>
        <v>0</v>
      </c>
      <c r="AB106" s="204" t="s">
        <v>87</v>
      </c>
    </row>
    <row r="107" spans="1:28" x14ac:dyDescent="0.2">
      <c r="A107" s="228"/>
      <c r="B107" s="217"/>
      <c r="C107" s="11"/>
      <c r="D107" s="11"/>
      <c r="E107" s="192"/>
      <c r="F107" s="16"/>
      <c r="G107" s="28">
        <f>F107/$U93</f>
        <v>0</v>
      </c>
      <c r="H107" s="16"/>
      <c r="I107" s="16"/>
      <c r="J107" s="16"/>
      <c r="K107" s="16"/>
      <c r="L107" s="28">
        <f>K107/$U93</f>
        <v>0</v>
      </c>
      <c r="M107" s="16"/>
      <c r="N107" s="16"/>
      <c r="O107" s="16"/>
      <c r="P107" s="16"/>
      <c r="Q107" s="28">
        <f>P107/$U93</f>
        <v>0</v>
      </c>
      <c r="R107" s="16"/>
      <c r="S107" s="16"/>
      <c r="T107" s="16"/>
      <c r="U107" s="221"/>
      <c r="V107" s="221"/>
      <c r="W107" s="195"/>
      <c r="X107" s="221"/>
      <c r="Y107" s="195"/>
      <c r="Z107" s="221"/>
      <c r="AA107" s="195"/>
      <c r="AB107" s="205"/>
    </row>
    <row r="108" spans="1:28" ht="13.5" thickBot="1" x14ac:dyDescent="0.25">
      <c r="A108" s="228"/>
      <c r="B108" s="56"/>
      <c r="C108" s="56"/>
      <c r="D108" s="56"/>
      <c r="E108" s="56"/>
      <c r="F108" s="57"/>
      <c r="G108" s="58"/>
      <c r="H108" s="57"/>
      <c r="I108" s="57"/>
      <c r="J108" s="57"/>
      <c r="K108" s="57"/>
      <c r="L108" s="58"/>
      <c r="M108" s="57"/>
      <c r="N108" s="57"/>
      <c r="O108" s="57"/>
      <c r="P108" s="57"/>
      <c r="Q108" s="58"/>
      <c r="R108" s="57"/>
      <c r="S108" s="57"/>
      <c r="T108" s="60" t="s">
        <v>59</v>
      </c>
      <c r="U108" s="61">
        <f>SUM(U96:U107)</f>
        <v>0</v>
      </c>
      <c r="V108" s="61">
        <f>SUM(V96:V107)</f>
        <v>0</v>
      </c>
      <c r="W108" s="62">
        <f>IF($U108=0, ,V108/$U108)</f>
        <v>0</v>
      </c>
      <c r="X108" s="61">
        <f>SUM(X96:X107)</f>
        <v>0</v>
      </c>
      <c r="Y108" s="62">
        <f>IF($U108=0, ,X108/$U108)</f>
        <v>0</v>
      </c>
      <c r="Z108" s="61">
        <f>SUM(Z96:Z107)</f>
        <v>0</v>
      </c>
      <c r="AA108" s="62">
        <f>IF($U108=0, ,Z108/$U108)</f>
        <v>0</v>
      </c>
      <c r="AB108" s="59"/>
    </row>
    <row r="109" spans="1:28" ht="13.5" thickTop="1" x14ac:dyDescent="0.2">
      <c r="A109" s="228"/>
      <c r="B109" s="44"/>
      <c r="C109" s="45" t="s">
        <v>27</v>
      </c>
      <c r="D109" s="23"/>
      <c r="E109" s="44"/>
      <c r="F109" s="44"/>
      <c r="G109" s="44"/>
      <c r="H109" s="44"/>
      <c r="I109" s="44"/>
      <c r="J109" s="44"/>
      <c r="K109" s="44"/>
      <c r="L109" s="44"/>
      <c r="M109" s="44"/>
      <c r="N109" s="44"/>
      <c r="O109" s="93">
        <v>320</v>
      </c>
      <c r="P109" s="94" t="s">
        <v>33</v>
      </c>
      <c r="Q109" s="44"/>
      <c r="R109" s="44"/>
      <c r="S109" s="44"/>
      <c r="T109" s="44"/>
      <c r="U109" s="44"/>
      <c r="V109" s="44"/>
      <c r="W109" s="44"/>
      <c r="X109" s="44"/>
      <c r="Y109" s="44"/>
      <c r="Z109" s="44"/>
      <c r="AA109" s="44"/>
      <c r="AB109" s="46"/>
    </row>
    <row r="110" spans="1:28" x14ac:dyDescent="0.2">
      <c r="A110" s="228"/>
      <c r="B110" s="229" t="s">
        <v>35</v>
      </c>
      <c r="C110" s="230" t="s">
        <v>25</v>
      </c>
      <c r="D110" s="230" t="s">
        <v>28</v>
      </c>
      <c r="E110" s="237" t="s">
        <v>12</v>
      </c>
      <c r="F110" s="241" t="s">
        <v>13</v>
      </c>
      <c r="G110" s="241"/>
      <c r="H110" s="241"/>
      <c r="I110" s="241" t="s">
        <v>14</v>
      </c>
      <c r="J110" s="241"/>
      <c r="K110" s="241"/>
      <c r="L110" s="241" t="s">
        <v>15</v>
      </c>
      <c r="M110" s="241"/>
      <c r="N110" s="241"/>
      <c r="O110" s="225" t="s">
        <v>34</v>
      </c>
      <c r="P110" s="225" t="s">
        <v>48</v>
      </c>
      <c r="Q110" s="225" t="s">
        <v>60</v>
      </c>
      <c r="R110" s="225" t="s">
        <v>49</v>
      </c>
      <c r="S110" s="225" t="s">
        <v>61</v>
      </c>
      <c r="T110" s="251" t="s">
        <v>79</v>
      </c>
      <c r="U110" s="251"/>
      <c r="V110" s="251"/>
      <c r="W110" s="251"/>
      <c r="X110" s="251"/>
      <c r="Y110" s="251"/>
      <c r="Z110" s="251"/>
      <c r="AA110" s="251"/>
      <c r="AB110" s="252"/>
    </row>
    <row r="111" spans="1:28" ht="25.5" x14ac:dyDescent="0.2">
      <c r="A111" s="228"/>
      <c r="B111" s="229"/>
      <c r="C111" s="230"/>
      <c r="D111" s="230"/>
      <c r="E111" s="237"/>
      <c r="F111" s="18" t="s">
        <v>30</v>
      </c>
      <c r="G111" s="18" t="s">
        <v>46</v>
      </c>
      <c r="H111" s="18" t="s">
        <v>47</v>
      </c>
      <c r="I111" s="18" t="s">
        <v>30</v>
      </c>
      <c r="J111" s="18" t="s">
        <v>46</v>
      </c>
      <c r="K111" s="18" t="s">
        <v>47</v>
      </c>
      <c r="L111" s="18" t="s">
        <v>30</v>
      </c>
      <c r="M111" s="18" t="s">
        <v>46</v>
      </c>
      <c r="N111" s="18" t="s">
        <v>47</v>
      </c>
      <c r="O111" s="227"/>
      <c r="P111" s="227"/>
      <c r="Q111" s="227"/>
      <c r="R111" s="227"/>
      <c r="S111" s="227"/>
      <c r="T111" s="253"/>
      <c r="U111" s="253"/>
      <c r="V111" s="253"/>
      <c r="W111" s="253"/>
      <c r="X111" s="253"/>
      <c r="Y111" s="253"/>
      <c r="Z111" s="253"/>
      <c r="AA111" s="253"/>
      <c r="AB111" s="254"/>
    </row>
    <row r="112" spans="1:28" x14ac:dyDescent="0.2">
      <c r="A112" s="228"/>
      <c r="B112" s="242" t="s">
        <v>36</v>
      </c>
      <c r="C112" s="12"/>
      <c r="D112" s="12" t="s">
        <v>80</v>
      </c>
      <c r="E112" s="243" t="s">
        <v>1</v>
      </c>
      <c r="F112" s="13">
        <v>0</v>
      </c>
      <c r="G112" s="13">
        <v>0</v>
      </c>
      <c r="H112" s="13">
        <v>0</v>
      </c>
      <c r="I112" s="13">
        <v>0</v>
      </c>
      <c r="J112" s="13"/>
      <c r="K112" s="13"/>
      <c r="L112" s="13"/>
      <c r="M112" s="13">
        <f>H117+K117+N117+Q117+T117+W117+Z117</f>
        <v>0</v>
      </c>
      <c r="N112" s="13">
        <f>H118+K118+N118+Q118+T118+W118+Z118</f>
        <v>0</v>
      </c>
      <c r="O112" s="210">
        <f>SUM(F112, I112, L112, F113, I113, L113)*$O109</f>
        <v>0</v>
      </c>
      <c r="P112" s="210">
        <f>SUM(G112, J112, M112, G113, J113, M113)</f>
        <v>0</v>
      </c>
      <c r="Q112" s="212">
        <f>IF($O112=0, ,P112/$O112)</f>
        <v>0</v>
      </c>
      <c r="R112" s="210">
        <f>SUM(H112, K112, N112, H113, K113, N113)</f>
        <v>0</v>
      </c>
      <c r="S112" s="212">
        <f>IF($O112=0, ,R112/$O112)</f>
        <v>0</v>
      </c>
      <c r="T112" s="244"/>
      <c r="U112" s="244"/>
      <c r="V112" s="244"/>
      <c r="W112" s="244"/>
      <c r="X112" s="244"/>
      <c r="Y112" s="244"/>
      <c r="Z112" s="244"/>
      <c r="AA112" s="244"/>
      <c r="AB112" s="245"/>
    </row>
    <row r="113" spans="1:28" x14ac:dyDescent="0.2">
      <c r="A113" s="228"/>
      <c r="B113" s="242"/>
      <c r="C113" s="12"/>
      <c r="D113" s="12"/>
      <c r="E113" s="243"/>
      <c r="F113" s="13"/>
      <c r="G113" s="13">
        <f>F119+I119+L119+O119+R119+U119+X119</f>
        <v>0</v>
      </c>
      <c r="H113" s="13">
        <f>F120+I120+L120+O120+R120+U120+X120</f>
        <v>0</v>
      </c>
      <c r="I113" s="13"/>
      <c r="J113" s="13">
        <f>G119+J119+M119+P119+S119+V119+Y119</f>
        <v>0</v>
      </c>
      <c r="K113" s="13">
        <f>G120+J120+M120+P120+S120+V120+Y120</f>
        <v>0</v>
      </c>
      <c r="L113" s="13"/>
      <c r="M113" s="13">
        <f>H119+K119+N119+Q119+T119+W119+Z119</f>
        <v>0</v>
      </c>
      <c r="N113" s="13">
        <f>H120+K120+N120+Q120+T120+W120+Z120</f>
        <v>0</v>
      </c>
      <c r="O113" s="211"/>
      <c r="P113" s="211"/>
      <c r="Q113" s="213"/>
      <c r="R113" s="211"/>
      <c r="S113" s="213"/>
      <c r="T113" s="246"/>
      <c r="U113" s="246"/>
      <c r="V113" s="246"/>
      <c r="W113" s="246"/>
      <c r="X113" s="246"/>
      <c r="Y113" s="246"/>
      <c r="Z113" s="246"/>
      <c r="AA113" s="246"/>
      <c r="AB113" s="247"/>
    </row>
    <row r="114" spans="1:28" x14ac:dyDescent="0.2">
      <c r="A114" s="228"/>
      <c r="B114" s="56"/>
      <c r="C114" s="56"/>
      <c r="D114" s="56"/>
      <c r="E114" s="56"/>
      <c r="F114" s="89"/>
      <c r="G114" s="89"/>
      <c r="H114" s="89"/>
      <c r="I114" s="89"/>
      <c r="J114" s="89"/>
      <c r="K114" s="89"/>
      <c r="L114" s="89"/>
      <c r="M114" s="89"/>
      <c r="N114" s="89"/>
      <c r="O114" s="90"/>
      <c r="P114" s="90"/>
      <c r="Q114" s="91"/>
      <c r="R114" s="90"/>
      <c r="S114" s="91"/>
      <c r="T114" s="92"/>
      <c r="U114" s="92"/>
      <c r="V114" s="92"/>
      <c r="W114" s="92"/>
      <c r="X114" s="92"/>
      <c r="Y114" s="92"/>
      <c r="Z114" s="92"/>
      <c r="AA114" s="92"/>
      <c r="AB114" s="95"/>
    </row>
    <row r="115" spans="1:28" x14ac:dyDescent="0.2">
      <c r="A115" s="228"/>
      <c r="B115" s="256" t="s">
        <v>67</v>
      </c>
      <c r="C115" s="256"/>
      <c r="D115" s="257"/>
      <c r="E115" s="82" t="s">
        <v>68</v>
      </c>
      <c r="F115" s="248" t="s">
        <v>64</v>
      </c>
      <c r="G115" s="248"/>
      <c r="H115" s="248"/>
      <c r="I115" s="248" t="s">
        <v>76</v>
      </c>
      <c r="J115" s="248"/>
      <c r="K115" s="248"/>
      <c r="L115" s="248" t="s">
        <v>65</v>
      </c>
      <c r="M115" s="248"/>
      <c r="N115" s="248"/>
      <c r="O115" s="248" t="s">
        <v>66</v>
      </c>
      <c r="P115" s="248"/>
      <c r="Q115" s="248"/>
      <c r="R115" s="248" t="s">
        <v>73</v>
      </c>
      <c r="S115" s="248"/>
      <c r="T115" s="248"/>
      <c r="U115" s="248" t="s">
        <v>74</v>
      </c>
      <c r="V115" s="248"/>
      <c r="W115" s="248"/>
      <c r="X115" s="248" t="s">
        <v>75</v>
      </c>
      <c r="Y115" s="248"/>
      <c r="Z115" s="248"/>
      <c r="AA115" s="249"/>
      <c r="AB115" s="249"/>
    </row>
    <row r="116" spans="1:28" x14ac:dyDescent="0.2">
      <c r="A116" s="228"/>
      <c r="B116" s="258"/>
      <c r="C116" s="258"/>
      <c r="D116" s="259"/>
      <c r="E116" s="97" t="s">
        <v>69</v>
      </c>
      <c r="F116" s="83" t="s">
        <v>70</v>
      </c>
      <c r="G116" s="83" t="s">
        <v>71</v>
      </c>
      <c r="H116" s="84" t="s">
        <v>72</v>
      </c>
      <c r="I116" s="83" t="s">
        <v>70</v>
      </c>
      <c r="J116" s="83" t="s">
        <v>71</v>
      </c>
      <c r="K116" s="84" t="s">
        <v>72</v>
      </c>
      <c r="L116" s="83" t="s">
        <v>70</v>
      </c>
      <c r="M116" s="83" t="s">
        <v>71</v>
      </c>
      <c r="N116" s="84" t="s">
        <v>72</v>
      </c>
      <c r="O116" s="83" t="s">
        <v>70</v>
      </c>
      <c r="P116" s="83" t="s">
        <v>71</v>
      </c>
      <c r="Q116" s="84" t="s">
        <v>72</v>
      </c>
      <c r="R116" s="83" t="s">
        <v>70</v>
      </c>
      <c r="S116" s="83" t="s">
        <v>71</v>
      </c>
      <c r="T116" s="84" t="s">
        <v>72</v>
      </c>
      <c r="U116" s="83" t="s">
        <v>70</v>
      </c>
      <c r="V116" s="83" t="s">
        <v>71</v>
      </c>
      <c r="W116" s="84" t="s">
        <v>72</v>
      </c>
      <c r="X116" s="83" t="s">
        <v>70</v>
      </c>
      <c r="Y116" s="83" t="s">
        <v>71</v>
      </c>
      <c r="Z116" s="84" t="s">
        <v>72</v>
      </c>
      <c r="AA116" s="249"/>
      <c r="AB116" s="249"/>
    </row>
    <row r="117" spans="1:28" x14ac:dyDescent="0.2">
      <c r="A117" s="228"/>
      <c r="B117" s="260" t="str">
        <f>B112</f>
        <v>Final ASS</v>
      </c>
      <c r="C117" s="82" t="str">
        <f>IF(ISBLANK(C112), "", C112)</f>
        <v/>
      </c>
      <c r="D117" s="96" t="str">
        <f>IF(ISBLANK(D112), "", D112)</f>
        <v>lume</v>
      </c>
      <c r="E117" s="82" t="s">
        <v>77</v>
      </c>
      <c r="F117" s="86"/>
      <c r="G117" s="85"/>
      <c r="H117" s="85"/>
      <c r="I117" s="85"/>
      <c r="J117" s="85"/>
      <c r="K117" s="85"/>
      <c r="L117" s="87"/>
      <c r="M117" s="87"/>
      <c r="N117" s="87"/>
      <c r="O117" s="87"/>
      <c r="P117" s="87"/>
      <c r="Q117" s="85"/>
      <c r="R117" s="87"/>
      <c r="S117" s="87"/>
      <c r="T117" s="87"/>
      <c r="U117" s="87"/>
      <c r="V117" s="87"/>
      <c r="W117" s="85"/>
      <c r="X117" s="85"/>
      <c r="Y117" s="85"/>
      <c r="Z117" s="88"/>
      <c r="AA117" s="249"/>
      <c r="AB117" s="249"/>
    </row>
    <row r="118" spans="1:28" x14ac:dyDescent="0.2">
      <c r="A118" s="228"/>
      <c r="B118" s="260"/>
      <c r="C118" s="82" t="str">
        <f>IF(ISBLANK(C112), "", C112)</f>
        <v/>
      </c>
      <c r="D118" s="96" t="str">
        <f>IF(ISBLANK(D112), "", D112)</f>
        <v>lume</v>
      </c>
      <c r="E118" s="82" t="s">
        <v>78</v>
      </c>
      <c r="F118" s="86"/>
      <c r="G118" s="85"/>
      <c r="H118" s="85"/>
      <c r="I118" s="85"/>
      <c r="J118" s="85"/>
      <c r="K118" s="85"/>
      <c r="L118" s="87"/>
      <c r="M118" s="87"/>
      <c r="N118" s="87"/>
      <c r="O118" s="87"/>
      <c r="P118" s="87"/>
      <c r="Q118" s="85"/>
      <c r="R118" s="87"/>
      <c r="S118" s="87"/>
      <c r="T118" s="87"/>
      <c r="U118" s="87"/>
      <c r="V118" s="87"/>
      <c r="W118" s="85"/>
      <c r="X118" s="85"/>
      <c r="Y118" s="85"/>
      <c r="Z118" s="88"/>
      <c r="AA118" s="249"/>
      <c r="AB118" s="249"/>
    </row>
    <row r="119" spans="1:28" x14ac:dyDescent="0.2">
      <c r="A119" s="228"/>
      <c r="B119" s="260"/>
      <c r="C119" s="82" t="str">
        <f>IF(ISBLANK(C113), "", C113)</f>
        <v/>
      </c>
      <c r="D119" s="96" t="str">
        <f>IF(ISBLANK(D113), "", D113)</f>
        <v/>
      </c>
      <c r="E119" s="82" t="s">
        <v>77</v>
      </c>
      <c r="F119" s="86"/>
      <c r="G119" s="85"/>
      <c r="H119" s="85"/>
      <c r="I119" s="85"/>
      <c r="J119" s="85"/>
      <c r="K119" s="85"/>
      <c r="L119" s="87"/>
      <c r="M119" s="87"/>
      <c r="N119" s="87"/>
      <c r="O119" s="87"/>
      <c r="P119" s="87"/>
      <c r="Q119" s="85"/>
      <c r="R119" s="87"/>
      <c r="S119" s="87"/>
      <c r="T119" s="87"/>
      <c r="U119" s="87"/>
      <c r="V119" s="87"/>
      <c r="W119" s="85"/>
      <c r="X119" s="85"/>
      <c r="Y119" s="85"/>
      <c r="Z119" s="88"/>
      <c r="AA119" s="249"/>
      <c r="AB119" s="249"/>
    </row>
    <row r="120" spans="1:28" x14ac:dyDescent="0.2">
      <c r="A120" s="228"/>
      <c r="B120" s="260"/>
      <c r="C120" s="82" t="str">
        <f>IF(ISBLANK(C113), "", C113)</f>
        <v/>
      </c>
      <c r="D120" s="96" t="str">
        <f>IF(ISBLANK(D113), "", D113)</f>
        <v/>
      </c>
      <c r="E120" s="82" t="s">
        <v>78</v>
      </c>
      <c r="F120" s="86"/>
      <c r="G120" s="85"/>
      <c r="H120" s="85"/>
      <c r="I120" s="85"/>
      <c r="J120" s="85"/>
      <c r="K120" s="85"/>
      <c r="L120" s="87"/>
      <c r="M120" s="87"/>
      <c r="N120" s="87"/>
      <c r="O120" s="87"/>
      <c r="P120" s="87"/>
      <c r="Q120" s="85"/>
      <c r="R120" s="87"/>
      <c r="S120" s="87"/>
      <c r="T120" s="87"/>
      <c r="U120" s="87"/>
      <c r="V120" s="87"/>
      <c r="W120" s="85"/>
      <c r="X120" s="85"/>
      <c r="Y120" s="85"/>
      <c r="Z120" s="88"/>
      <c r="AA120" s="249"/>
      <c r="AB120" s="249"/>
    </row>
    <row r="122" spans="1:28" x14ac:dyDescent="0.2">
      <c r="A122" s="228">
        <v>44717</v>
      </c>
      <c r="B122" s="19"/>
      <c r="C122" s="19" t="s">
        <v>42</v>
      </c>
      <c r="D122" s="20"/>
      <c r="E122" s="21" t="s">
        <v>41</v>
      </c>
      <c r="F122" s="20">
        <v>0</v>
      </c>
      <c r="G122" s="20"/>
      <c r="H122" s="20"/>
      <c r="I122" s="21"/>
      <c r="J122" s="21"/>
      <c r="K122" s="32"/>
      <c r="L122" s="32"/>
      <c r="M122" s="20"/>
      <c r="N122" s="21"/>
      <c r="O122" s="21"/>
      <c r="P122" s="32"/>
      <c r="Q122" s="32"/>
      <c r="R122" s="20"/>
      <c r="S122" s="21"/>
      <c r="T122" s="21"/>
      <c r="U122" s="41">
        <v>160</v>
      </c>
      <c r="V122" s="42" t="s">
        <v>32</v>
      </c>
      <c r="W122" s="42"/>
      <c r="X122" s="43"/>
      <c r="Y122" s="31"/>
      <c r="Z122" s="31"/>
      <c r="AA122" s="31"/>
      <c r="AB122" s="33"/>
    </row>
    <row r="123" spans="1:28" x14ac:dyDescent="0.2">
      <c r="A123" s="228"/>
      <c r="B123" s="229" t="s">
        <v>10</v>
      </c>
      <c r="C123" s="230" t="s">
        <v>25</v>
      </c>
      <c r="D123" s="230" t="s">
        <v>28</v>
      </c>
      <c r="E123" s="237" t="s">
        <v>12</v>
      </c>
      <c r="F123" s="222" t="s">
        <v>13</v>
      </c>
      <c r="G123" s="223"/>
      <c r="H123" s="223"/>
      <c r="I123" s="223"/>
      <c r="J123" s="224"/>
      <c r="K123" s="222" t="s">
        <v>14</v>
      </c>
      <c r="L123" s="223"/>
      <c r="M123" s="223"/>
      <c r="N123" s="223"/>
      <c r="O123" s="224"/>
      <c r="P123" s="222" t="s">
        <v>15</v>
      </c>
      <c r="Q123" s="223"/>
      <c r="R123" s="223"/>
      <c r="S123" s="223"/>
      <c r="T123" s="224"/>
      <c r="U123" s="255" t="s">
        <v>34</v>
      </c>
      <c r="V123" s="255" t="s">
        <v>48</v>
      </c>
      <c r="W123" s="255" t="s">
        <v>56</v>
      </c>
      <c r="X123" s="255" t="s">
        <v>54</v>
      </c>
      <c r="Y123" s="255" t="s">
        <v>57</v>
      </c>
      <c r="Z123" s="255" t="s">
        <v>55</v>
      </c>
      <c r="AA123" s="255" t="s">
        <v>58</v>
      </c>
      <c r="AB123" s="255" t="s">
        <v>38</v>
      </c>
    </row>
    <row r="124" spans="1:28" ht="38.25" x14ac:dyDescent="0.2">
      <c r="A124" s="228"/>
      <c r="B124" s="229"/>
      <c r="C124" s="230"/>
      <c r="D124" s="230"/>
      <c r="E124" s="237"/>
      <c r="F124" s="18" t="s">
        <v>45</v>
      </c>
      <c r="G124" s="18" t="s">
        <v>29</v>
      </c>
      <c r="H124" s="18" t="s">
        <v>46</v>
      </c>
      <c r="I124" s="18" t="s">
        <v>52</v>
      </c>
      <c r="J124" s="18" t="s">
        <v>53</v>
      </c>
      <c r="K124" s="18" t="s">
        <v>45</v>
      </c>
      <c r="L124" s="18" t="s">
        <v>29</v>
      </c>
      <c r="M124" s="18" t="s">
        <v>46</v>
      </c>
      <c r="N124" s="18" t="s">
        <v>52</v>
      </c>
      <c r="O124" s="18" t="s">
        <v>53</v>
      </c>
      <c r="P124" s="18" t="s">
        <v>45</v>
      </c>
      <c r="Q124" s="18" t="s">
        <v>29</v>
      </c>
      <c r="R124" s="18" t="s">
        <v>46</v>
      </c>
      <c r="S124" s="18" t="s">
        <v>52</v>
      </c>
      <c r="T124" s="18" t="s">
        <v>53</v>
      </c>
      <c r="U124" s="255"/>
      <c r="V124" s="255"/>
      <c r="W124" s="255"/>
      <c r="X124" s="255"/>
      <c r="Y124" s="255"/>
      <c r="Z124" s="255"/>
      <c r="AA124" s="255"/>
      <c r="AB124" s="255"/>
    </row>
    <row r="125" spans="1:28" x14ac:dyDescent="0.2">
      <c r="A125" s="228"/>
      <c r="B125" s="232" t="s">
        <v>17</v>
      </c>
      <c r="C125" s="12"/>
      <c r="D125" s="12"/>
      <c r="E125" s="234" t="s">
        <v>1</v>
      </c>
      <c r="F125" s="13">
        <v>0</v>
      </c>
      <c r="G125" s="25">
        <f>F125/$U122</f>
        <v>0</v>
      </c>
      <c r="H125" s="13"/>
      <c r="I125" s="13"/>
      <c r="J125" s="13"/>
      <c r="K125" s="13">
        <v>0</v>
      </c>
      <c r="L125" s="25">
        <f>K125/$U122</f>
        <v>0</v>
      </c>
      <c r="M125" s="13"/>
      <c r="N125" s="13"/>
      <c r="O125" s="13"/>
      <c r="P125" s="13"/>
      <c r="Q125" s="25">
        <f>P125/$U122</f>
        <v>0</v>
      </c>
      <c r="R125" s="13"/>
      <c r="S125" s="13"/>
      <c r="T125" s="13"/>
      <c r="U125" s="210">
        <f>SUM(F125, K125, P125, F126, K126, P126)</f>
        <v>0</v>
      </c>
      <c r="V125" s="210">
        <f>SUM(H125, M125, R125, H126, M126, R126)</f>
        <v>0</v>
      </c>
      <c r="W125" s="212">
        <f>IF($U125=0, ,V125/$U125)</f>
        <v>0</v>
      </c>
      <c r="X125" s="210">
        <f>SUM(I125, N125, S125, I126, N126, S126)</f>
        <v>0</v>
      </c>
      <c r="Y125" s="212">
        <f>IF($U125=0, ,X125/$U125)</f>
        <v>0</v>
      </c>
      <c r="Z125" s="210">
        <f>SUM(J125, O125, T125, J126, O126, T126)</f>
        <v>0</v>
      </c>
      <c r="AA125" s="212">
        <f>IF($U125=0, ,Z125/$U125)</f>
        <v>0</v>
      </c>
      <c r="AB125" s="214" t="s">
        <v>87</v>
      </c>
    </row>
    <row r="126" spans="1:28" x14ac:dyDescent="0.2">
      <c r="A126" s="228"/>
      <c r="B126" s="250"/>
      <c r="C126" s="12"/>
      <c r="D126" s="12"/>
      <c r="E126" s="236"/>
      <c r="F126" s="13"/>
      <c r="G126" s="25">
        <f>F126/$U122</f>
        <v>0</v>
      </c>
      <c r="H126" s="13"/>
      <c r="I126" s="13"/>
      <c r="J126" s="13"/>
      <c r="K126" s="13"/>
      <c r="L126" s="25">
        <f>K126/$U122</f>
        <v>0</v>
      </c>
      <c r="M126" s="13"/>
      <c r="N126" s="13"/>
      <c r="O126" s="13"/>
      <c r="P126" s="13"/>
      <c r="Q126" s="25">
        <f>P126/$U122</f>
        <v>0</v>
      </c>
      <c r="R126" s="13"/>
      <c r="S126" s="13"/>
      <c r="T126" s="13"/>
      <c r="U126" s="211"/>
      <c r="V126" s="211"/>
      <c r="W126" s="213"/>
      <c r="X126" s="211"/>
      <c r="Y126" s="213"/>
      <c r="Z126" s="211"/>
      <c r="AA126" s="213"/>
      <c r="AB126" s="215"/>
    </row>
    <row r="127" spans="1:28" x14ac:dyDescent="0.2">
      <c r="A127" s="228"/>
      <c r="B127" s="216" t="s">
        <v>18</v>
      </c>
      <c r="C127" s="10"/>
      <c r="D127" s="10"/>
      <c r="E127" s="218" t="s">
        <v>1</v>
      </c>
      <c r="F127" s="14">
        <v>0</v>
      </c>
      <c r="G127" s="26">
        <f>F127/$U122</f>
        <v>0</v>
      </c>
      <c r="H127" s="14"/>
      <c r="I127" s="14"/>
      <c r="J127" s="14"/>
      <c r="K127" s="14">
        <v>0</v>
      </c>
      <c r="L127" s="26">
        <f>K127/$U122</f>
        <v>0</v>
      </c>
      <c r="M127" s="14"/>
      <c r="N127" s="14"/>
      <c r="O127" s="14"/>
      <c r="P127" s="14"/>
      <c r="Q127" s="26">
        <f>P127/$U122</f>
        <v>0</v>
      </c>
      <c r="R127" s="14"/>
      <c r="S127" s="14"/>
      <c r="T127" s="14"/>
      <c r="U127" s="220">
        <f>SUM(F127, K127, P127, F128, K128, P128)</f>
        <v>0</v>
      </c>
      <c r="V127" s="220">
        <f>SUM(H127, M127, R127, H128, M128, R128)</f>
        <v>0</v>
      </c>
      <c r="W127" s="194">
        <f>IF($U127=0, ,V127/$U127)</f>
        <v>0</v>
      </c>
      <c r="X127" s="220">
        <f>SUM(I127, N127, S127, I128, N128, S128)</f>
        <v>0</v>
      </c>
      <c r="Y127" s="194">
        <f>IF($U127=0, ,X127/$U127)</f>
        <v>0</v>
      </c>
      <c r="Z127" s="220">
        <f>SUM(J127, O127, T127, J128, O128, T128)</f>
        <v>0</v>
      </c>
      <c r="AA127" s="194">
        <f>IF($U127=0, ,Z127/$U127)</f>
        <v>0</v>
      </c>
      <c r="AB127" s="204" t="s">
        <v>87</v>
      </c>
    </row>
    <row r="128" spans="1:28" x14ac:dyDescent="0.2">
      <c r="A128" s="228"/>
      <c r="B128" s="217"/>
      <c r="C128" s="10"/>
      <c r="D128" s="10"/>
      <c r="E128" s="219"/>
      <c r="F128" s="14"/>
      <c r="G128" s="26">
        <f>F128/$U122</f>
        <v>0</v>
      </c>
      <c r="H128" s="14"/>
      <c r="I128" s="14"/>
      <c r="J128" s="14"/>
      <c r="K128" s="14"/>
      <c r="L128" s="26">
        <f>K128/$U122</f>
        <v>0</v>
      </c>
      <c r="M128" s="14"/>
      <c r="N128" s="14"/>
      <c r="O128" s="14"/>
      <c r="P128" s="14"/>
      <c r="Q128" s="26">
        <f>P128/$U122</f>
        <v>0</v>
      </c>
      <c r="R128" s="14"/>
      <c r="S128" s="14"/>
      <c r="T128" s="14"/>
      <c r="U128" s="221"/>
      <c r="V128" s="221"/>
      <c r="W128" s="195"/>
      <c r="X128" s="221"/>
      <c r="Y128" s="195"/>
      <c r="Z128" s="221"/>
      <c r="AA128" s="195"/>
      <c r="AB128" s="205"/>
    </row>
    <row r="129" spans="1:28" x14ac:dyDescent="0.2">
      <c r="A129" s="228"/>
      <c r="B129" s="232" t="s">
        <v>19</v>
      </c>
      <c r="C129" s="9"/>
      <c r="D129" s="9"/>
      <c r="E129" s="208" t="s">
        <v>1</v>
      </c>
      <c r="F129" s="15">
        <v>0</v>
      </c>
      <c r="G129" s="27">
        <f>F129/$U122</f>
        <v>0</v>
      </c>
      <c r="H129" s="15"/>
      <c r="I129" s="15"/>
      <c r="J129" s="15"/>
      <c r="K129" s="15">
        <v>0</v>
      </c>
      <c r="L129" s="27">
        <f>K129/$U122</f>
        <v>0</v>
      </c>
      <c r="M129" s="15"/>
      <c r="N129" s="15"/>
      <c r="O129" s="15"/>
      <c r="P129" s="15"/>
      <c r="Q129" s="27">
        <f>P129/$U122</f>
        <v>0</v>
      </c>
      <c r="R129" s="15"/>
      <c r="S129" s="15"/>
      <c r="T129" s="15"/>
      <c r="U129" s="210">
        <f>SUM(F129, K129, P129, F130, K130, P130)</f>
        <v>0</v>
      </c>
      <c r="V129" s="210">
        <f>SUM(H129, M129, R129, H130, M130, R130)</f>
        <v>0</v>
      </c>
      <c r="W129" s="212">
        <f>IF($U129=0, ,V129/$U129)</f>
        <v>0</v>
      </c>
      <c r="X129" s="210">
        <f>SUM(I129, N129, S129, I130, N130, S130)</f>
        <v>0</v>
      </c>
      <c r="Y129" s="212">
        <f>IF($U129=0, ,X129/$U129)</f>
        <v>0</v>
      </c>
      <c r="Z129" s="210">
        <f>SUM(J129, O129, T129, J130, O130, T130)</f>
        <v>0</v>
      </c>
      <c r="AA129" s="212">
        <f>IF($U129=0, ,Z129/$U129)</f>
        <v>0</v>
      </c>
      <c r="AB129" s="214" t="s">
        <v>87</v>
      </c>
    </row>
    <row r="130" spans="1:28" x14ac:dyDescent="0.2">
      <c r="A130" s="228"/>
      <c r="B130" s="250"/>
      <c r="C130" s="9"/>
      <c r="D130" s="9"/>
      <c r="E130" s="209"/>
      <c r="F130" s="15"/>
      <c r="G130" s="27">
        <f>F130/$U122</f>
        <v>0</v>
      </c>
      <c r="H130" s="15"/>
      <c r="I130" s="15"/>
      <c r="J130" s="15"/>
      <c r="K130" s="15"/>
      <c r="L130" s="27">
        <f>K130/$U122</f>
        <v>0</v>
      </c>
      <c r="M130" s="15"/>
      <c r="N130" s="15"/>
      <c r="O130" s="15"/>
      <c r="P130" s="15"/>
      <c r="Q130" s="27">
        <f>P130/$U122</f>
        <v>0</v>
      </c>
      <c r="R130" s="15"/>
      <c r="S130" s="15"/>
      <c r="T130" s="15"/>
      <c r="U130" s="211"/>
      <c r="V130" s="211"/>
      <c r="W130" s="213"/>
      <c r="X130" s="211"/>
      <c r="Y130" s="213"/>
      <c r="Z130" s="211"/>
      <c r="AA130" s="213"/>
      <c r="AB130" s="215"/>
    </row>
    <row r="131" spans="1:28" x14ac:dyDescent="0.2">
      <c r="A131" s="228"/>
      <c r="B131" s="216" t="s">
        <v>20</v>
      </c>
      <c r="C131" s="10"/>
      <c r="D131" s="10"/>
      <c r="E131" s="218" t="s">
        <v>1</v>
      </c>
      <c r="F131" s="14">
        <v>0</v>
      </c>
      <c r="G131" s="26">
        <f>F131/$U122</f>
        <v>0</v>
      </c>
      <c r="H131" s="14"/>
      <c r="I131" s="14"/>
      <c r="J131" s="14"/>
      <c r="K131" s="14">
        <v>0</v>
      </c>
      <c r="L131" s="26">
        <f>K131/$U122</f>
        <v>0</v>
      </c>
      <c r="M131" s="14"/>
      <c r="N131" s="14"/>
      <c r="O131" s="14"/>
      <c r="P131" s="14"/>
      <c r="Q131" s="26">
        <f>P131/$U122</f>
        <v>0</v>
      </c>
      <c r="R131" s="14"/>
      <c r="S131" s="14"/>
      <c r="T131" s="14"/>
      <c r="U131" s="220">
        <f>SUM(F131, K131, P131, F132, K132, P132)</f>
        <v>0</v>
      </c>
      <c r="V131" s="220">
        <f>SUM(H131, M131, R131, H132, M132, R132)</f>
        <v>0</v>
      </c>
      <c r="W131" s="194">
        <f>IF($U131=0, ,V131/$U131)</f>
        <v>0</v>
      </c>
      <c r="X131" s="220">
        <f>SUM(I131, N131, S131, I132, N132, S132)</f>
        <v>0</v>
      </c>
      <c r="Y131" s="194">
        <f>IF($U131=0, ,X131/$U131)</f>
        <v>0</v>
      </c>
      <c r="Z131" s="220">
        <f>SUM(J131, O131, T131, J132, O132, T132)</f>
        <v>0</v>
      </c>
      <c r="AA131" s="194">
        <f>IF($U131=0, ,Z131/$U131)</f>
        <v>0</v>
      </c>
      <c r="AB131" s="204" t="s">
        <v>87</v>
      </c>
    </row>
    <row r="132" spans="1:28" x14ac:dyDescent="0.2">
      <c r="A132" s="228"/>
      <c r="B132" s="217"/>
      <c r="C132" s="10"/>
      <c r="D132" s="10"/>
      <c r="E132" s="219"/>
      <c r="F132" s="14"/>
      <c r="G132" s="26">
        <f>F132/$U122</f>
        <v>0</v>
      </c>
      <c r="H132" s="14"/>
      <c r="I132" s="14"/>
      <c r="J132" s="14"/>
      <c r="K132" s="14"/>
      <c r="L132" s="26">
        <f>K132/$U122</f>
        <v>0</v>
      </c>
      <c r="M132" s="14"/>
      <c r="N132" s="14"/>
      <c r="O132" s="14"/>
      <c r="P132" s="14"/>
      <c r="Q132" s="26">
        <f>P132/$U122</f>
        <v>0</v>
      </c>
      <c r="R132" s="14"/>
      <c r="S132" s="14"/>
      <c r="T132" s="14"/>
      <c r="U132" s="221"/>
      <c r="V132" s="221"/>
      <c r="W132" s="195"/>
      <c r="X132" s="221"/>
      <c r="Y132" s="195"/>
      <c r="Z132" s="221"/>
      <c r="AA132" s="195"/>
      <c r="AB132" s="205"/>
    </row>
    <row r="133" spans="1:28" x14ac:dyDescent="0.2">
      <c r="A133" s="228"/>
      <c r="B133" s="232" t="s">
        <v>21</v>
      </c>
      <c r="C133" s="9"/>
      <c r="D133" s="9"/>
      <c r="E133" s="208" t="s">
        <v>1</v>
      </c>
      <c r="F133" s="15">
        <v>0</v>
      </c>
      <c r="G133" s="27">
        <f>F133/$U122</f>
        <v>0</v>
      </c>
      <c r="H133" s="15"/>
      <c r="I133" s="15"/>
      <c r="J133" s="15"/>
      <c r="K133" s="15">
        <v>0</v>
      </c>
      <c r="L133" s="27">
        <f>K133/$U122</f>
        <v>0</v>
      </c>
      <c r="M133" s="15"/>
      <c r="N133" s="15"/>
      <c r="O133" s="15"/>
      <c r="P133" s="15"/>
      <c r="Q133" s="27">
        <f>P133/$U122</f>
        <v>0</v>
      </c>
      <c r="R133" s="15"/>
      <c r="S133" s="15"/>
      <c r="T133" s="15"/>
      <c r="U133" s="210">
        <f>SUM(F133, K133, P133, F134, K134, P134)</f>
        <v>0</v>
      </c>
      <c r="V133" s="210">
        <f>SUM(H133, M133, R133, H134, M134, R134)</f>
        <v>0</v>
      </c>
      <c r="W133" s="212">
        <f>IF($U133=0, ,V133/$U133)</f>
        <v>0</v>
      </c>
      <c r="X133" s="210">
        <f>SUM(I133, N133, S133, I134, N134, S134)</f>
        <v>0</v>
      </c>
      <c r="Y133" s="212">
        <f>IF($U133=0, ,X133/$U133)</f>
        <v>0</v>
      </c>
      <c r="Z133" s="210">
        <f>SUM(J133, O133, T133, J134, O134, T134)</f>
        <v>0</v>
      </c>
      <c r="AA133" s="212">
        <f>IF($U133=0, ,Z133/$U133)</f>
        <v>0</v>
      </c>
      <c r="AB133" s="214" t="s">
        <v>87</v>
      </c>
    </row>
    <row r="134" spans="1:28" x14ac:dyDescent="0.2">
      <c r="A134" s="228"/>
      <c r="B134" s="250"/>
      <c r="C134" s="9"/>
      <c r="D134" s="9"/>
      <c r="E134" s="209"/>
      <c r="F134" s="15"/>
      <c r="G134" s="27">
        <f>F134/$U122</f>
        <v>0</v>
      </c>
      <c r="H134" s="15"/>
      <c r="I134" s="15"/>
      <c r="J134" s="15"/>
      <c r="K134" s="15"/>
      <c r="L134" s="27">
        <f>K134/$U122</f>
        <v>0</v>
      </c>
      <c r="M134" s="15"/>
      <c r="N134" s="15"/>
      <c r="O134" s="15"/>
      <c r="P134" s="15"/>
      <c r="Q134" s="27">
        <f>P134/$U122</f>
        <v>0</v>
      </c>
      <c r="R134" s="15"/>
      <c r="S134" s="15"/>
      <c r="T134" s="15"/>
      <c r="U134" s="211"/>
      <c r="V134" s="211"/>
      <c r="W134" s="213"/>
      <c r="X134" s="211"/>
      <c r="Y134" s="213"/>
      <c r="Z134" s="211"/>
      <c r="AA134" s="213"/>
      <c r="AB134" s="215"/>
    </row>
    <row r="135" spans="1:28" x14ac:dyDescent="0.2">
      <c r="A135" s="228"/>
      <c r="B135" s="216" t="s">
        <v>22</v>
      </c>
      <c r="C135" s="11"/>
      <c r="D135" s="11"/>
      <c r="E135" s="191" t="s">
        <v>1</v>
      </c>
      <c r="F135" s="16">
        <v>0</v>
      </c>
      <c r="G135" s="28">
        <f>F135/$U122</f>
        <v>0</v>
      </c>
      <c r="H135" s="16"/>
      <c r="I135" s="16"/>
      <c r="J135" s="16"/>
      <c r="K135" s="16">
        <v>0</v>
      </c>
      <c r="L135" s="28">
        <f>K135/$U122</f>
        <v>0</v>
      </c>
      <c r="M135" s="16"/>
      <c r="N135" s="16"/>
      <c r="O135" s="16"/>
      <c r="P135" s="16"/>
      <c r="Q135" s="28">
        <f>P135/$U122</f>
        <v>0</v>
      </c>
      <c r="R135" s="16"/>
      <c r="S135" s="16"/>
      <c r="T135" s="16"/>
      <c r="U135" s="220">
        <f>SUM(F135, K135, P135, F136, K136, P136)</f>
        <v>0</v>
      </c>
      <c r="V135" s="220">
        <f>SUM(H135, M135, R135, H136, M136, R136)</f>
        <v>0</v>
      </c>
      <c r="W135" s="194">
        <f>IF($U135=0, ,V135/$U135)</f>
        <v>0</v>
      </c>
      <c r="X135" s="220">
        <f>SUM(I135, N135, S135, I136, N136, S136)</f>
        <v>0</v>
      </c>
      <c r="Y135" s="194">
        <f>IF($U135=0, ,X135/$U135)</f>
        <v>0</v>
      </c>
      <c r="Z135" s="220">
        <f>SUM(J135, O135, T135, J136, O136, T136)</f>
        <v>0</v>
      </c>
      <c r="AA135" s="194">
        <f>IF($U135=0, ,Z135/$U135)</f>
        <v>0</v>
      </c>
      <c r="AB135" s="204" t="s">
        <v>87</v>
      </c>
    </row>
    <row r="136" spans="1:28" x14ac:dyDescent="0.2">
      <c r="A136" s="228"/>
      <c r="B136" s="217"/>
      <c r="C136" s="11"/>
      <c r="D136" s="11"/>
      <c r="E136" s="192"/>
      <c r="F136" s="16"/>
      <c r="G136" s="28">
        <f>F136/$U122</f>
        <v>0</v>
      </c>
      <c r="H136" s="16"/>
      <c r="I136" s="16"/>
      <c r="J136" s="16"/>
      <c r="K136" s="16"/>
      <c r="L136" s="28">
        <f>K136/$U122</f>
        <v>0</v>
      </c>
      <c r="M136" s="16"/>
      <c r="N136" s="16"/>
      <c r="O136" s="16"/>
      <c r="P136" s="16"/>
      <c r="Q136" s="28">
        <f>P136/$U122</f>
        <v>0</v>
      </c>
      <c r="R136" s="16"/>
      <c r="S136" s="16"/>
      <c r="T136" s="16"/>
      <c r="U136" s="221"/>
      <c r="V136" s="221"/>
      <c r="W136" s="195"/>
      <c r="X136" s="221"/>
      <c r="Y136" s="195"/>
      <c r="Z136" s="221"/>
      <c r="AA136" s="195"/>
      <c r="AB136" s="205"/>
    </row>
    <row r="137" spans="1:28" ht="13.5" thickBot="1" x14ac:dyDescent="0.25">
      <c r="A137" s="228"/>
      <c r="B137" s="56"/>
      <c r="C137" s="56"/>
      <c r="D137" s="56"/>
      <c r="E137" s="56"/>
      <c r="F137" s="57"/>
      <c r="G137" s="58"/>
      <c r="H137" s="57"/>
      <c r="I137" s="57"/>
      <c r="J137" s="57"/>
      <c r="K137" s="57"/>
      <c r="L137" s="58"/>
      <c r="M137" s="57"/>
      <c r="N137" s="57"/>
      <c r="O137" s="57"/>
      <c r="P137" s="57"/>
      <c r="Q137" s="58"/>
      <c r="R137" s="57"/>
      <c r="S137" s="57"/>
      <c r="T137" s="60" t="s">
        <v>59</v>
      </c>
      <c r="U137" s="61">
        <f>SUM(U125:U136)</f>
        <v>0</v>
      </c>
      <c r="V137" s="61">
        <f>SUM(V125:V136)</f>
        <v>0</v>
      </c>
      <c r="W137" s="62">
        <f>IF($U137=0, ,V137/$U137)</f>
        <v>0</v>
      </c>
      <c r="X137" s="61">
        <f>SUM(X125:X136)</f>
        <v>0</v>
      </c>
      <c r="Y137" s="62">
        <f>IF($U137=0, ,X137/$U137)</f>
        <v>0</v>
      </c>
      <c r="Z137" s="61">
        <f>SUM(Z125:Z136)</f>
        <v>0</v>
      </c>
      <c r="AA137" s="62">
        <f>IF($U137=0, ,Z137/$U137)</f>
        <v>0</v>
      </c>
      <c r="AB137" s="59"/>
    </row>
    <row r="138" spans="1:28" ht="13.5" thickTop="1" x14ac:dyDescent="0.2">
      <c r="A138" s="228"/>
      <c r="B138" s="44"/>
      <c r="C138" s="45" t="s">
        <v>27</v>
      </c>
      <c r="D138" s="23"/>
      <c r="E138" s="44"/>
      <c r="F138" s="44"/>
      <c r="G138" s="44"/>
      <c r="H138" s="44"/>
      <c r="I138" s="44"/>
      <c r="J138" s="44"/>
      <c r="K138" s="44"/>
      <c r="L138" s="44"/>
      <c r="M138" s="44"/>
      <c r="N138" s="44"/>
      <c r="O138" s="93">
        <v>320</v>
      </c>
      <c r="P138" s="94" t="s">
        <v>33</v>
      </c>
      <c r="Q138" s="44"/>
      <c r="R138" s="44"/>
      <c r="S138" s="44"/>
      <c r="T138" s="44"/>
      <c r="U138" s="44"/>
      <c r="V138" s="44"/>
      <c r="W138" s="44"/>
      <c r="X138" s="44"/>
      <c r="Y138" s="44"/>
      <c r="Z138" s="44"/>
      <c r="AA138" s="44"/>
      <c r="AB138" s="46"/>
    </row>
    <row r="139" spans="1:28" x14ac:dyDescent="0.2">
      <c r="A139" s="228"/>
      <c r="B139" s="229" t="s">
        <v>35</v>
      </c>
      <c r="C139" s="230" t="s">
        <v>25</v>
      </c>
      <c r="D139" s="230" t="s">
        <v>28</v>
      </c>
      <c r="E139" s="237" t="s">
        <v>12</v>
      </c>
      <c r="F139" s="241" t="s">
        <v>13</v>
      </c>
      <c r="G139" s="241"/>
      <c r="H139" s="241"/>
      <c r="I139" s="241" t="s">
        <v>14</v>
      </c>
      <c r="J139" s="241"/>
      <c r="K139" s="241"/>
      <c r="L139" s="241" t="s">
        <v>15</v>
      </c>
      <c r="M139" s="241"/>
      <c r="N139" s="241"/>
      <c r="O139" s="225" t="s">
        <v>34</v>
      </c>
      <c r="P139" s="225" t="s">
        <v>48</v>
      </c>
      <c r="Q139" s="225" t="s">
        <v>60</v>
      </c>
      <c r="R139" s="225" t="s">
        <v>49</v>
      </c>
      <c r="S139" s="225" t="s">
        <v>61</v>
      </c>
      <c r="T139" s="251" t="s">
        <v>79</v>
      </c>
      <c r="U139" s="251"/>
      <c r="V139" s="251"/>
      <c r="W139" s="251"/>
      <c r="X139" s="251"/>
      <c r="Y139" s="251"/>
      <c r="Z139" s="251"/>
      <c r="AA139" s="251"/>
      <c r="AB139" s="252"/>
    </row>
    <row r="140" spans="1:28" ht="25.5" x14ac:dyDescent="0.2">
      <c r="A140" s="228"/>
      <c r="B140" s="229"/>
      <c r="C140" s="230"/>
      <c r="D140" s="230"/>
      <c r="E140" s="237"/>
      <c r="F140" s="18" t="s">
        <v>30</v>
      </c>
      <c r="G140" s="18" t="s">
        <v>46</v>
      </c>
      <c r="H140" s="18" t="s">
        <v>47</v>
      </c>
      <c r="I140" s="18" t="s">
        <v>30</v>
      </c>
      <c r="J140" s="18" t="s">
        <v>46</v>
      </c>
      <c r="K140" s="18" t="s">
        <v>47</v>
      </c>
      <c r="L140" s="18" t="s">
        <v>30</v>
      </c>
      <c r="M140" s="18" t="s">
        <v>46</v>
      </c>
      <c r="N140" s="18" t="s">
        <v>47</v>
      </c>
      <c r="O140" s="227"/>
      <c r="P140" s="227"/>
      <c r="Q140" s="227"/>
      <c r="R140" s="227"/>
      <c r="S140" s="227"/>
      <c r="T140" s="253"/>
      <c r="U140" s="253"/>
      <c r="V140" s="253"/>
      <c r="W140" s="253"/>
      <c r="X140" s="253"/>
      <c r="Y140" s="253"/>
      <c r="Z140" s="253"/>
      <c r="AA140" s="253"/>
      <c r="AB140" s="254"/>
    </row>
    <row r="141" spans="1:28" x14ac:dyDescent="0.2">
      <c r="A141" s="228"/>
      <c r="B141" s="242" t="s">
        <v>36</v>
      </c>
      <c r="C141" s="12"/>
      <c r="D141" s="12" t="s">
        <v>80</v>
      </c>
      <c r="E141" s="243" t="s">
        <v>1</v>
      </c>
      <c r="F141" s="13">
        <v>0</v>
      </c>
      <c r="G141" s="13">
        <v>0</v>
      </c>
      <c r="H141" s="13">
        <v>0</v>
      </c>
      <c r="I141" s="13">
        <v>0</v>
      </c>
      <c r="J141" s="13"/>
      <c r="K141" s="13"/>
      <c r="L141" s="13"/>
      <c r="M141" s="13">
        <f>H146+K146+N146+Q146+T146+W146+Z146</f>
        <v>0</v>
      </c>
      <c r="N141" s="13">
        <f>H147+K147+N147+Q147+T147+W147+Z147</f>
        <v>0</v>
      </c>
      <c r="O141" s="210">
        <f>SUM(F141, I141, L141, F142, I142, L142)*$O138</f>
        <v>0</v>
      </c>
      <c r="P141" s="210">
        <f>SUM(G141, J141, M141, G142, J142, M142)</f>
        <v>0</v>
      </c>
      <c r="Q141" s="212">
        <f>IF($O141=0, ,P141/$O141)</f>
        <v>0</v>
      </c>
      <c r="R141" s="210">
        <f>SUM(H141, K141, N141, H142, K142, N142)</f>
        <v>0</v>
      </c>
      <c r="S141" s="212">
        <f>IF($O141=0, ,R141/$O141)</f>
        <v>0</v>
      </c>
      <c r="T141" s="244"/>
      <c r="U141" s="244"/>
      <c r="V141" s="244"/>
      <c r="W141" s="244"/>
      <c r="X141" s="244"/>
      <c r="Y141" s="244"/>
      <c r="Z141" s="244"/>
      <c r="AA141" s="244"/>
      <c r="AB141" s="245"/>
    </row>
    <row r="142" spans="1:28" x14ac:dyDescent="0.2">
      <c r="A142" s="228"/>
      <c r="B142" s="242"/>
      <c r="C142" s="12"/>
      <c r="D142" s="12"/>
      <c r="E142" s="243"/>
      <c r="F142" s="13"/>
      <c r="G142" s="13">
        <f>F148+I148+L148+O148+R148+U148+X148</f>
        <v>0</v>
      </c>
      <c r="H142" s="13">
        <f>F149+I149+L149+O149+R149+U149+X149</f>
        <v>0</v>
      </c>
      <c r="I142" s="13"/>
      <c r="J142" s="13">
        <f>G148+J148+M148+P148+S148+V148+Y148</f>
        <v>0</v>
      </c>
      <c r="K142" s="13">
        <f>G149+J149+M149+P149+S149+V149+Y149</f>
        <v>0</v>
      </c>
      <c r="L142" s="13"/>
      <c r="M142" s="13">
        <f>H148+K148+N148+Q148+T148+W148+Z148</f>
        <v>0</v>
      </c>
      <c r="N142" s="13">
        <f>H149+K149+N149+Q149+T149+W149+Z149</f>
        <v>0</v>
      </c>
      <c r="O142" s="211"/>
      <c r="P142" s="211"/>
      <c r="Q142" s="213"/>
      <c r="R142" s="211"/>
      <c r="S142" s="213"/>
      <c r="T142" s="246"/>
      <c r="U142" s="246"/>
      <c r="V142" s="246"/>
      <c r="W142" s="246"/>
      <c r="X142" s="246"/>
      <c r="Y142" s="246"/>
      <c r="Z142" s="246"/>
      <c r="AA142" s="246"/>
      <c r="AB142" s="247"/>
    </row>
    <row r="143" spans="1:28" x14ac:dyDescent="0.2">
      <c r="A143" s="228"/>
      <c r="B143" s="56"/>
      <c r="C143" s="56"/>
      <c r="D143" s="56"/>
      <c r="E143" s="56"/>
      <c r="F143" s="89"/>
      <c r="G143" s="89"/>
      <c r="H143" s="89"/>
      <c r="I143" s="89"/>
      <c r="J143" s="89"/>
      <c r="K143" s="89"/>
      <c r="L143" s="89"/>
      <c r="M143" s="89"/>
      <c r="N143" s="89"/>
      <c r="O143" s="90"/>
      <c r="P143" s="90"/>
      <c r="Q143" s="91"/>
      <c r="R143" s="90"/>
      <c r="S143" s="91"/>
      <c r="T143" s="92"/>
      <c r="U143" s="92"/>
      <c r="V143" s="92"/>
      <c r="W143" s="92"/>
      <c r="X143" s="92"/>
      <c r="Y143" s="92"/>
      <c r="Z143" s="92"/>
      <c r="AA143" s="92"/>
      <c r="AB143" s="95"/>
    </row>
    <row r="144" spans="1:28" x14ac:dyDescent="0.2">
      <c r="A144" s="228"/>
      <c r="B144" s="256" t="s">
        <v>67</v>
      </c>
      <c r="C144" s="256"/>
      <c r="D144" s="257"/>
      <c r="E144" s="82" t="s">
        <v>68</v>
      </c>
      <c r="F144" s="248" t="s">
        <v>64</v>
      </c>
      <c r="G144" s="248"/>
      <c r="H144" s="248"/>
      <c r="I144" s="248" t="s">
        <v>76</v>
      </c>
      <c r="J144" s="248"/>
      <c r="K144" s="248"/>
      <c r="L144" s="248" t="s">
        <v>65</v>
      </c>
      <c r="M144" s="248"/>
      <c r="N144" s="248"/>
      <c r="O144" s="248" t="s">
        <v>66</v>
      </c>
      <c r="P144" s="248"/>
      <c r="Q144" s="248"/>
      <c r="R144" s="248" t="s">
        <v>73</v>
      </c>
      <c r="S144" s="248"/>
      <c r="T144" s="248"/>
      <c r="U144" s="248" t="s">
        <v>74</v>
      </c>
      <c r="V144" s="248"/>
      <c r="W144" s="248"/>
      <c r="X144" s="248" t="s">
        <v>75</v>
      </c>
      <c r="Y144" s="248"/>
      <c r="Z144" s="248"/>
      <c r="AA144" s="249"/>
      <c r="AB144" s="249"/>
    </row>
    <row r="145" spans="1:28" x14ac:dyDescent="0.2">
      <c r="A145" s="228"/>
      <c r="B145" s="258"/>
      <c r="C145" s="258"/>
      <c r="D145" s="259"/>
      <c r="E145" s="97" t="s">
        <v>69</v>
      </c>
      <c r="F145" s="83" t="s">
        <v>70</v>
      </c>
      <c r="G145" s="83" t="s">
        <v>71</v>
      </c>
      <c r="H145" s="84" t="s">
        <v>72</v>
      </c>
      <c r="I145" s="83" t="s">
        <v>70</v>
      </c>
      <c r="J145" s="83" t="s">
        <v>71</v>
      </c>
      <c r="K145" s="84" t="s">
        <v>72</v>
      </c>
      <c r="L145" s="83" t="s">
        <v>70</v>
      </c>
      <c r="M145" s="83" t="s">
        <v>71</v>
      </c>
      <c r="N145" s="84" t="s">
        <v>72</v>
      </c>
      <c r="O145" s="83" t="s">
        <v>70</v>
      </c>
      <c r="P145" s="83" t="s">
        <v>71</v>
      </c>
      <c r="Q145" s="84" t="s">
        <v>72</v>
      </c>
      <c r="R145" s="83" t="s">
        <v>70</v>
      </c>
      <c r="S145" s="83" t="s">
        <v>71</v>
      </c>
      <c r="T145" s="84" t="s">
        <v>72</v>
      </c>
      <c r="U145" s="83" t="s">
        <v>70</v>
      </c>
      <c r="V145" s="83" t="s">
        <v>71</v>
      </c>
      <c r="W145" s="84" t="s">
        <v>72</v>
      </c>
      <c r="X145" s="83" t="s">
        <v>70</v>
      </c>
      <c r="Y145" s="83" t="s">
        <v>71</v>
      </c>
      <c r="Z145" s="84" t="s">
        <v>72</v>
      </c>
      <c r="AA145" s="249"/>
      <c r="AB145" s="249"/>
    </row>
    <row r="146" spans="1:28" x14ac:dyDescent="0.2">
      <c r="A146" s="228"/>
      <c r="B146" s="260" t="str">
        <f>B141</f>
        <v>Final ASS</v>
      </c>
      <c r="C146" s="82" t="str">
        <f>IF(ISBLANK(C141), "", C141)</f>
        <v/>
      </c>
      <c r="D146" s="96" t="str">
        <f>IF(ISBLANK(D141), "", D141)</f>
        <v>lume</v>
      </c>
      <c r="E146" s="82" t="s">
        <v>77</v>
      </c>
      <c r="F146" s="86"/>
      <c r="G146" s="85"/>
      <c r="H146" s="85"/>
      <c r="I146" s="85"/>
      <c r="J146" s="85"/>
      <c r="K146" s="85"/>
      <c r="L146" s="87"/>
      <c r="M146" s="87"/>
      <c r="N146" s="87"/>
      <c r="O146" s="87"/>
      <c r="P146" s="87"/>
      <c r="Q146" s="85"/>
      <c r="R146" s="87"/>
      <c r="S146" s="87"/>
      <c r="T146" s="87"/>
      <c r="U146" s="87"/>
      <c r="V146" s="87"/>
      <c r="W146" s="85"/>
      <c r="X146" s="85"/>
      <c r="Y146" s="85"/>
      <c r="Z146" s="88"/>
      <c r="AA146" s="249"/>
      <c r="AB146" s="249"/>
    </row>
    <row r="147" spans="1:28" x14ac:dyDescent="0.2">
      <c r="A147" s="228"/>
      <c r="B147" s="260"/>
      <c r="C147" s="82" t="str">
        <f>IF(ISBLANK(C141), "", C141)</f>
        <v/>
      </c>
      <c r="D147" s="96" t="str">
        <f>IF(ISBLANK(D141), "", D141)</f>
        <v>lume</v>
      </c>
      <c r="E147" s="82" t="s">
        <v>78</v>
      </c>
      <c r="F147" s="86"/>
      <c r="G147" s="85"/>
      <c r="H147" s="85"/>
      <c r="I147" s="85"/>
      <c r="J147" s="85"/>
      <c r="K147" s="85"/>
      <c r="L147" s="87"/>
      <c r="M147" s="87"/>
      <c r="N147" s="87"/>
      <c r="O147" s="87"/>
      <c r="P147" s="87"/>
      <c r="Q147" s="85"/>
      <c r="R147" s="87"/>
      <c r="S147" s="87"/>
      <c r="T147" s="87"/>
      <c r="U147" s="87"/>
      <c r="V147" s="87"/>
      <c r="W147" s="85"/>
      <c r="X147" s="85"/>
      <c r="Y147" s="85"/>
      <c r="Z147" s="88"/>
      <c r="AA147" s="249"/>
      <c r="AB147" s="249"/>
    </row>
    <row r="148" spans="1:28" x14ac:dyDescent="0.2">
      <c r="A148" s="228"/>
      <c r="B148" s="260"/>
      <c r="C148" s="82" t="str">
        <f>IF(ISBLANK(C142), "", C142)</f>
        <v/>
      </c>
      <c r="D148" s="96" t="str">
        <f>IF(ISBLANK(D142), "", D142)</f>
        <v/>
      </c>
      <c r="E148" s="82" t="s">
        <v>77</v>
      </c>
      <c r="F148" s="86"/>
      <c r="G148" s="85"/>
      <c r="H148" s="85"/>
      <c r="I148" s="85"/>
      <c r="J148" s="85"/>
      <c r="K148" s="85"/>
      <c r="L148" s="87"/>
      <c r="M148" s="87"/>
      <c r="N148" s="87"/>
      <c r="O148" s="87"/>
      <c r="P148" s="87"/>
      <c r="Q148" s="85"/>
      <c r="R148" s="87"/>
      <c r="S148" s="87"/>
      <c r="T148" s="87"/>
      <c r="U148" s="87"/>
      <c r="V148" s="87"/>
      <c r="W148" s="85"/>
      <c r="X148" s="85"/>
      <c r="Y148" s="85"/>
      <c r="Z148" s="88"/>
      <c r="AA148" s="249"/>
      <c r="AB148" s="249"/>
    </row>
    <row r="149" spans="1:28" x14ac:dyDescent="0.2">
      <c r="A149" s="228"/>
      <c r="B149" s="260"/>
      <c r="C149" s="82" t="str">
        <f>IF(ISBLANK(C142), "", C142)</f>
        <v/>
      </c>
      <c r="D149" s="96" t="str">
        <f>IF(ISBLANK(D142), "", D142)</f>
        <v/>
      </c>
      <c r="E149" s="82" t="s">
        <v>78</v>
      </c>
      <c r="F149" s="86"/>
      <c r="G149" s="85"/>
      <c r="H149" s="85"/>
      <c r="I149" s="85"/>
      <c r="J149" s="85"/>
      <c r="K149" s="85"/>
      <c r="L149" s="87"/>
      <c r="M149" s="87"/>
      <c r="N149" s="87"/>
      <c r="O149" s="87"/>
      <c r="P149" s="87"/>
      <c r="Q149" s="85"/>
      <c r="R149" s="87"/>
      <c r="S149" s="87"/>
      <c r="T149" s="87"/>
      <c r="U149" s="87"/>
      <c r="V149" s="87"/>
      <c r="W149" s="85"/>
      <c r="X149" s="85"/>
      <c r="Y149" s="85"/>
      <c r="Z149" s="88"/>
      <c r="AA149" s="249"/>
      <c r="AB149" s="249"/>
    </row>
    <row r="151" spans="1:28" x14ac:dyDescent="0.2">
      <c r="A151" s="228">
        <v>44718</v>
      </c>
      <c r="B151" s="19"/>
      <c r="C151" s="19" t="s">
        <v>42</v>
      </c>
      <c r="D151" s="20"/>
      <c r="E151" s="21" t="s">
        <v>41</v>
      </c>
      <c r="F151" s="20">
        <v>0</v>
      </c>
      <c r="G151" s="20"/>
      <c r="H151" s="20"/>
      <c r="I151" s="21"/>
      <c r="J151" s="21"/>
      <c r="K151" s="32"/>
      <c r="L151" s="32"/>
      <c r="M151" s="20"/>
      <c r="N151" s="21"/>
      <c r="O151" s="21"/>
      <c r="P151" s="32"/>
      <c r="Q151" s="32"/>
      <c r="R151" s="20"/>
      <c r="S151" s="21"/>
      <c r="T151" s="21"/>
      <c r="U151" s="41">
        <v>160</v>
      </c>
      <c r="V151" s="42" t="s">
        <v>32</v>
      </c>
      <c r="W151" s="42"/>
      <c r="X151" s="43"/>
      <c r="Y151" s="31"/>
      <c r="Z151" s="31"/>
      <c r="AA151" s="31"/>
      <c r="AB151" s="33"/>
    </row>
    <row r="152" spans="1:28" x14ac:dyDescent="0.2">
      <c r="A152" s="228"/>
      <c r="B152" s="229" t="s">
        <v>10</v>
      </c>
      <c r="C152" s="230" t="s">
        <v>25</v>
      </c>
      <c r="D152" s="230" t="s">
        <v>28</v>
      </c>
      <c r="E152" s="237" t="s">
        <v>12</v>
      </c>
      <c r="F152" s="222" t="s">
        <v>13</v>
      </c>
      <c r="G152" s="223"/>
      <c r="H152" s="223"/>
      <c r="I152" s="223"/>
      <c r="J152" s="224"/>
      <c r="K152" s="222" t="s">
        <v>14</v>
      </c>
      <c r="L152" s="223"/>
      <c r="M152" s="223"/>
      <c r="N152" s="223"/>
      <c r="O152" s="224"/>
      <c r="P152" s="222" t="s">
        <v>15</v>
      </c>
      <c r="Q152" s="223"/>
      <c r="R152" s="223"/>
      <c r="S152" s="223"/>
      <c r="T152" s="224"/>
      <c r="U152" s="255" t="s">
        <v>34</v>
      </c>
      <c r="V152" s="255" t="s">
        <v>48</v>
      </c>
      <c r="W152" s="255" t="s">
        <v>56</v>
      </c>
      <c r="X152" s="255" t="s">
        <v>54</v>
      </c>
      <c r="Y152" s="255" t="s">
        <v>57</v>
      </c>
      <c r="Z152" s="255" t="s">
        <v>55</v>
      </c>
      <c r="AA152" s="255" t="s">
        <v>58</v>
      </c>
      <c r="AB152" s="255" t="s">
        <v>38</v>
      </c>
    </row>
    <row r="153" spans="1:28" ht="38.25" x14ac:dyDescent="0.2">
      <c r="A153" s="228"/>
      <c r="B153" s="229"/>
      <c r="C153" s="230"/>
      <c r="D153" s="230"/>
      <c r="E153" s="237"/>
      <c r="F153" s="18" t="s">
        <v>45</v>
      </c>
      <c r="G153" s="18" t="s">
        <v>29</v>
      </c>
      <c r="H153" s="18" t="s">
        <v>46</v>
      </c>
      <c r="I153" s="18" t="s">
        <v>52</v>
      </c>
      <c r="J153" s="18" t="s">
        <v>53</v>
      </c>
      <c r="K153" s="18" t="s">
        <v>45</v>
      </c>
      <c r="L153" s="18" t="s">
        <v>29</v>
      </c>
      <c r="M153" s="18" t="s">
        <v>46</v>
      </c>
      <c r="N153" s="18" t="s">
        <v>52</v>
      </c>
      <c r="O153" s="18" t="s">
        <v>53</v>
      </c>
      <c r="P153" s="18" t="s">
        <v>45</v>
      </c>
      <c r="Q153" s="18" t="s">
        <v>29</v>
      </c>
      <c r="R153" s="18" t="s">
        <v>46</v>
      </c>
      <c r="S153" s="18" t="s">
        <v>52</v>
      </c>
      <c r="T153" s="18" t="s">
        <v>53</v>
      </c>
      <c r="U153" s="255"/>
      <c r="V153" s="255"/>
      <c r="W153" s="255"/>
      <c r="X153" s="255"/>
      <c r="Y153" s="255"/>
      <c r="Z153" s="255"/>
      <c r="AA153" s="255"/>
      <c r="AB153" s="255"/>
    </row>
    <row r="154" spans="1:28" x14ac:dyDescent="0.2">
      <c r="A154" s="228"/>
      <c r="B154" s="232" t="s">
        <v>17</v>
      </c>
      <c r="C154" s="12"/>
      <c r="D154" s="12"/>
      <c r="E154" s="234" t="s">
        <v>1</v>
      </c>
      <c r="F154" s="13">
        <v>0</v>
      </c>
      <c r="G154" s="25">
        <f>F154/$U151</f>
        <v>0</v>
      </c>
      <c r="H154" s="13"/>
      <c r="I154" s="13"/>
      <c r="J154" s="13"/>
      <c r="K154" s="13">
        <v>0</v>
      </c>
      <c r="L154" s="25">
        <f>K154/$U151</f>
        <v>0</v>
      </c>
      <c r="M154" s="13"/>
      <c r="N154" s="13"/>
      <c r="O154" s="13"/>
      <c r="P154" s="13"/>
      <c r="Q154" s="25">
        <f>P154/$U151</f>
        <v>0</v>
      </c>
      <c r="R154" s="13"/>
      <c r="S154" s="13"/>
      <c r="T154" s="13"/>
      <c r="U154" s="210">
        <f>SUM(F154, K154, P154, F155, K155, P155)</f>
        <v>0</v>
      </c>
      <c r="V154" s="210">
        <f>SUM(H154, M154, R154, H155, M155, R155)</f>
        <v>0</v>
      </c>
      <c r="W154" s="212">
        <f>IF($U154=0, ,V154/$U154)</f>
        <v>0</v>
      </c>
      <c r="X154" s="210">
        <f>SUM(I154, N154, S154, I155, N155, S155)</f>
        <v>0</v>
      </c>
      <c r="Y154" s="212">
        <f>IF($U154=0, ,X154/$U154)</f>
        <v>0</v>
      </c>
      <c r="Z154" s="210">
        <f>SUM(J154, O154, T154, J155, O155, T155)</f>
        <v>0</v>
      </c>
      <c r="AA154" s="212">
        <f>IF($U154=0, ,Z154/$U154)</f>
        <v>0</v>
      </c>
      <c r="AB154" s="214" t="s">
        <v>87</v>
      </c>
    </row>
    <row r="155" spans="1:28" x14ac:dyDescent="0.2">
      <c r="A155" s="228"/>
      <c r="B155" s="250"/>
      <c r="C155" s="12"/>
      <c r="D155" s="12"/>
      <c r="E155" s="236"/>
      <c r="F155" s="13"/>
      <c r="G155" s="25">
        <f>F155/$U151</f>
        <v>0</v>
      </c>
      <c r="H155" s="13"/>
      <c r="I155" s="13"/>
      <c r="J155" s="13"/>
      <c r="K155" s="13"/>
      <c r="L155" s="25">
        <f>K155/$U151</f>
        <v>0</v>
      </c>
      <c r="M155" s="13"/>
      <c r="N155" s="13"/>
      <c r="O155" s="13"/>
      <c r="P155" s="13"/>
      <c r="Q155" s="25">
        <f>P155/$U151</f>
        <v>0</v>
      </c>
      <c r="R155" s="13"/>
      <c r="S155" s="13"/>
      <c r="T155" s="13"/>
      <c r="U155" s="211"/>
      <c r="V155" s="211"/>
      <c r="W155" s="213"/>
      <c r="X155" s="211"/>
      <c r="Y155" s="213"/>
      <c r="Z155" s="211"/>
      <c r="AA155" s="213"/>
      <c r="AB155" s="215"/>
    </row>
    <row r="156" spans="1:28" x14ac:dyDescent="0.2">
      <c r="A156" s="228"/>
      <c r="B156" s="216" t="s">
        <v>18</v>
      </c>
      <c r="C156" s="10"/>
      <c r="D156" s="10"/>
      <c r="E156" s="218" t="s">
        <v>1</v>
      </c>
      <c r="F156" s="14">
        <v>0</v>
      </c>
      <c r="G156" s="26">
        <f>F156/$U151</f>
        <v>0</v>
      </c>
      <c r="H156" s="14"/>
      <c r="I156" s="14"/>
      <c r="J156" s="14"/>
      <c r="K156" s="14">
        <v>0</v>
      </c>
      <c r="L156" s="26">
        <f>K156/$U151</f>
        <v>0</v>
      </c>
      <c r="M156" s="14"/>
      <c r="N156" s="14"/>
      <c r="O156" s="14"/>
      <c r="P156" s="14"/>
      <c r="Q156" s="26">
        <f>P156/$U151</f>
        <v>0</v>
      </c>
      <c r="R156" s="14"/>
      <c r="S156" s="14"/>
      <c r="T156" s="14"/>
      <c r="U156" s="220">
        <f>SUM(F156, K156, P156, F157, K157, P157)</f>
        <v>0</v>
      </c>
      <c r="V156" s="220">
        <f>SUM(H156, M156, R156, H157, M157, R157)</f>
        <v>0</v>
      </c>
      <c r="W156" s="194">
        <f>IF($U156=0, ,V156/$U156)</f>
        <v>0</v>
      </c>
      <c r="X156" s="220">
        <f>SUM(I156, N156, S156, I157, N157, S157)</f>
        <v>0</v>
      </c>
      <c r="Y156" s="194">
        <f>IF($U156=0, ,X156/$U156)</f>
        <v>0</v>
      </c>
      <c r="Z156" s="220">
        <f>SUM(J156, O156, T156, J157, O157, T157)</f>
        <v>0</v>
      </c>
      <c r="AA156" s="194">
        <f>IF($U156=0, ,Z156/$U156)</f>
        <v>0</v>
      </c>
      <c r="AB156" s="204" t="s">
        <v>87</v>
      </c>
    </row>
    <row r="157" spans="1:28" x14ac:dyDescent="0.2">
      <c r="A157" s="228"/>
      <c r="B157" s="217"/>
      <c r="C157" s="10"/>
      <c r="D157" s="10"/>
      <c r="E157" s="219"/>
      <c r="F157" s="14"/>
      <c r="G157" s="26">
        <f>F157/$U151</f>
        <v>0</v>
      </c>
      <c r="H157" s="14"/>
      <c r="I157" s="14"/>
      <c r="J157" s="14"/>
      <c r="K157" s="14"/>
      <c r="L157" s="26">
        <f>K157/$U151</f>
        <v>0</v>
      </c>
      <c r="M157" s="14"/>
      <c r="N157" s="14"/>
      <c r="O157" s="14"/>
      <c r="P157" s="14"/>
      <c r="Q157" s="26">
        <f>P157/$U151</f>
        <v>0</v>
      </c>
      <c r="R157" s="14"/>
      <c r="S157" s="14"/>
      <c r="T157" s="14"/>
      <c r="U157" s="221"/>
      <c r="V157" s="221"/>
      <c r="W157" s="195"/>
      <c r="X157" s="221"/>
      <c r="Y157" s="195"/>
      <c r="Z157" s="221"/>
      <c r="AA157" s="195"/>
      <c r="AB157" s="205"/>
    </row>
    <row r="158" spans="1:28" x14ac:dyDescent="0.2">
      <c r="A158" s="228"/>
      <c r="B158" s="232" t="s">
        <v>19</v>
      </c>
      <c r="C158" s="9"/>
      <c r="D158" s="9"/>
      <c r="E158" s="208" t="s">
        <v>1</v>
      </c>
      <c r="F158" s="15">
        <v>0</v>
      </c>
      <c r="G158" s="27">
        <f>F158/$U151</f>
        <v>0</v>
      </c>
      <c r="H158" s="15"/>
      <c r="I158" s="15"/>
      <c r="J158" s="15"/>
      <c r="K158" s="15">
        <v>0</v>
      </c>
      <c r="L158" s="27">
        <f>K158/$U151</f>
        <v>0</v>
      </c>
      <c r="M158" s="15"/>
      <c r="N158" s="15"/>
      <c r="O158" s="15"/>
      <c r="P158" s="15"/>
      <c r="Q158" s="27">
        <f>P158/$U151</f>
        <v>0</v>
      </c>
      <c r="R158" s="15"/>
      <c r="S158" s="15"/>
      <c r="T158" s="15"/>
      <c r="U158" s="210">
        <f>SUM(F158, K158, P158, F159, K159, P159)</f>
        <v>0</v>
      </c>
      <c r="V158" s="210">
        <f>SUM(H158, M158, R158, H159, M159, R159)</f>
        <v>0</v>
      </c>
      <c r="W158" s="212">
        <f>IF($U158=0, ,V158/$U158)</f>
        <v>0</v>
      </c>
      <c r="X158" s="210">
        <f>SUM(I158, N158, S158, I159, N159, S159)</f>
        <v>0</v>
      </c>
      <c r="Y158" s="212">
        <f>IF($U158=0, ,X158/$U158)</f>
        <v>0</v>
      </c>
      <c r="Z158" s="210">
        <f>SUM(J158, O158, T158, J159, O159, T159)</f>
        <v>0</v>
      </c>
      <c r="AA158" s="212">
        <f>IF($U158=0, ,Z158/$U158)</f>
        <v>0</v>
      </c>
      <c r="AB158" s="214" t="s">
        <v>87</v>
      </c>
    </row>
    <row r="159" spans="1:28" x14ac:dyDescent="0.2">
      <c r="A159" s="228"/>
      <c r="B159" s="250"/>
      <c r="C159" s="9"/>
      <c r="D159" s="9"/>
      <c r="E159" s="209"/>
      <c r="F159" s="15"/>
      <c r="G159" s="27">
        <f>F159/$U151</f>
        <v>0</v>
      </c>
      <c r="H159" s="15"/>
      <c r="I159" s="15"/>
      <c r="J159" s="15"/>
      <c r="K159" s="15"/>
      <c r="L159" s="27">
        <f>K159/$U151</f>
        <v>0</v>
      </c>
      <c r="M159" s="15"/>
      <c r="N159" s="15"/>
      <c r="O159" s="15"/>
      <c r="P159" s="15"/>
      <c r="Q159" s="27">
        <f>P159/$U151</f>
        <v>0</v>
      </c>
      <c r="R159" s="15"/>
      <c r="S159" s="15"/>
      <c r="T159" s="15"/>
      <c r="U159" s="211"/>
      <c r="V159" s="211"/>
      <c r="W159" s="213"/>
      <c r="X159" s="211"/>
      <c r="Y159" s="213"/>
      <c r="Z159" s="211"/>
      <c r="AA159" s="213"/>
      <c r="AB159" s="215"/>
    </row>
    <row r="160" spans="1:28" x14ac:dyDescent="0.2">
      <c r="A160" s="228"/>
      <c r="B160" s="216" t="s">
        <v>20</v>
      </c>
      <c r="C160" s="10"/>
      <c r="D160" s="10"/>
      <c r="E160" s="218" t="s">
        <v>1</v>
      </c>
      <c r="F160" s="14">
        <v>0</v>
      </c>
      <c r="G160" s="26">
        <f>F160/$U151</f>
        <v>0</v>
      </c>
      <c r="H160" s="14"/>
      <c r="I160" s="14"/>
      <c r="J160" s="14"/>
      <c r="K160" s="14">
        <v>0</v>
      </c>
      <c r="L160" s="26">
        <f>K160/$U151</f>
        <v>0</v>
      </c>
      <c r="M160" s="14"/>
      <c r="N160" s="14"/>
      <c r="O160" s="14"/>
      <c r="P160" s="14"/>
      <c r="Q160" s="26">
        <f>P160/$U151</f>
        <v>0</v>
      </c>
      <c r="R160" s="14"/>
      <c r="S160" s="14"/>
      <c r="T160" s="14"/>
      <c r="U160" s="220">
        <f>SUM(F160, K160, P160, F161, K161, P161)</f>
        <v>0</v>
      </c>
      <c r="V160" s="220">
        <f>SUM(H160, M160, R160, H161, M161, R161)</f>
        <v>0</v>
      </c>
      <c r="W160" s="194">
        <f>IF($U160=0, ,V160/$U160)</f>
        <v>0</v>
      </c>
      <c r="X160" s="220">
        <f>SUM(I160, N160, S160, I161, N161, S161)</f>
        <v>0</v>
      </c>
      <c r="Y160" s="194">
        <f>IF($U160=0, ,X160/$U160)</f>
        <v>0</v>
      </c>
      <c r="Z160" s="220">
        <f>SUM(J160, O160, T160, J161, O161, T161)</f>
        <v>0</v>
      </c>
      <c r="AA160" s="194">
        <f>IF($U160=0, ,Z160/$U160)</f>
        <v>0</v>
      </c>
      <c r="AB160" s="204" t="s">
        <v>87</v>
      </c>
    </row>
    <row r="161" spans="1:28" x14ac:dyDescent="0.2">
      <c r="A161" s="228"/>
      <c r="B161" s="217"/>
      <c r="C161" s="10"/>
      <c r="D161" s="10"/>
      <c r="E161" s="219"/>
      <c r="F161" s="14"/>
      <c r="G161" s="26">
        <f>F161/$U151</f>
        <v>0</v>
      </c>
      <c r="H161" s="14"/>
      <c r="I161" s="14"/>
      <c r="J161" s="14"/>
      <c r="K161" s="14"/>
      <c r="L161" s="26">
        <f>K161/$U151</f>
        <v>0</v>
      </c>
      <c r="M161" s="14"/>
      <c r="N161" s="14"/>
      <c r="O161" s="14"/>
      <c r="P161" s="14"/>
      <c r="Q161" s="26">
        <f>P161/$U151</f>
        <v>0</v>
      </c>
      <c r="R161" s="14"/>
      <c r="S161" s="14"/>
      <c r="T161" s="14"/>
      <c r="U161" s="221"/>
      <c r="V161" s="221"/>
      <c r="W161" s="195"/>
      <c r="X161" s="221"/>
      <c r="Y161" s="195"/>
      <c r="Z161" s="221"/>
      <c r="AA161" s="195"/>
      <c r="AB161" s="205"/>
    </row>
    <row r="162" spans="1:28" x14ac:dyDescent="0.2">
      <c r="A162" s="228"/>
      <c r="B162" s="232" t="s">
        <v>21</v>
      </c>
      <c r="C162" s="9"/>
      <c r="D162" s="9"/>
      <c r="E162" s="208" t="s">
        <v>1</v>
      </c>
      <c r="F162" s="15">
        <v>0</v>
      </c>
      <c r="G162" s="27">
        <f>F162/$U151</f>
        <v>0</v>
      </c>
      <c r="H162" s="15"/>
      <c r="I162" s="15"/>
      <c r="J162" s="15"/>
      <c r="K162" s="15">
        <v>0</v>
      </c>
      <c r="L162" s="27">
        <f>K162/$U151</f>
        <v>0</v>
      </c>
      <c r="M162" s="15"/>
      <c r="N162" s="15"/>
      <c r="O162" s="15"/>
      <c r="P162" s="15"/>
      <c r="Q162" s="27">
        <f>P162/$U151</f>
        <v>0</v>
      </c>
      <c r="R162" s="15"/>
      <c r="S162" s="15"/>
      <c r="T162" s="15"/>
      <c r="U162" s="210">
        <f>SUM(F162, K162, P162, F163, K163, P163)</f>
        <v>0</v>
      </c>
      <c r="V162" s="210">
        <f>SUM(H162, M162, R162, H163, M163, R163)</f>
        <v>0</v>
      </c>
      <c r="W162" s="212">
        <f>IF($U162=0, ,V162/$U162)</f>
        <v>0</v>
      </c>
      <c r="X162" s="210">
        <f>SUM(I162, N162, S162, I163, N163, S163)</f>
        <v>0</v>
      </c>
      <c r="Y162" s="212">
        <f>IF($U162=0, ,X162/$U162)</f>
        <v>0</v>
      </c>
      <c r="Z162" s="210">
        <f>SUM(J162, O162, T162, J163, O163, T163)</f>
        <v>0</v>
      </c>
      <c r="AA162" s="212">
        <f>IF($U162=0, ,Z162/$U162)</f>
        <v>0</v>
      </c>
      <c r="AB162" s="214" t="s">
        <v>87</v>
      </c>
    </row>
    <row r="163" spans="1:28" x14ac:dyDescent="0.2">
      <c r="A163" s="228"/>
      <c r="B163" s="250"/>
      <c r="C163" s="9"/>
      <c r="D163" s="9"/>
      <c r="E163" s="209"/>
      <c r="F163" s="15"/>
      <c r="G163" s="27">
        <f>F163/$U151</f>
        <v>0</v>
      </c>
      <c r="H163" s="15"/>
      <c r="I163" s="15"/>
      <c r="J163" s="15"/>
      <c r="K163" s="15"/>
      <c r="L163" s="27">
        <f>K163/$U151</f>
        <v>0</v>
      </c>
      <c r="M163" s="15"/>
      <c r="N163" s="15"/>
      <c r="O163" s="15"/>
      <c r="P163" s="15"/>
      <c r="Q163" s="27">
        <f>P163/$U151</f>
        <v>0</v>
      </c>
      <c r="R163" s="15"/>
      <c r="S163" s="15"/>
      <c r="T163" s="15"/>
      <c r="U163" s="211"/>
      <c r="V163" s="211"/>
      <c r="W163" s="213"/>
      <c r="X163" s="211"/>
      <c r="Y163" s="213"/>
      <c r="Z163" s="211"/>
      <c r="AA163" s="213"/>
      <c r="AB163" s="215"/>
    </row>
    <row r="164" spans="1:28" x14ac:dyDescent="0.2">
      <c r="A164" s="228"/>
      <c r="B164" s="216" t="s">
        <v>22</v>
      </c>
      <c r="C164" s="11"/>
      <c r="D164" s="11"/>
      <c r="E164" s="191" t="s">
        <v>1</v>
      </c>
      <c r="F164" s="16">
        <v>0</v>
      </c>
      <c r="G164" s="28">
        <f>F164/$U151</f>
        <v>0</v>
      </c>
      <c r="H164" s="16"/>
      <c r="I164" s="16"/>
      <c r="J164" s="16"/>
      <c r="K164" s="16">
        <v>0</v>
      </c>
      <c r="L164" s="28">
        <f>K164/$U151</f>
        <v>0</v>
      </c>
      <c r="M164" s="16"/>
      <c r="N164" s="16"/>
      <c r="O164" s="16"/>
      <c r="P164" s="16"/>
      <c r="Q164" s="28">
        <f>P164/$U151</f>
        <v>0</v>
      </c>
      <c r="R164" s="16"/>
      <c r="S164" s="16"/>
      <c r="T164" s="16"/>
      <c r="U164" s="220">
        <f>SUM(F164, K164, P164, F165, K165, P165)</f>
        <v>0</v>
      </c>
      <c r="V164" s="220">
        <f>SUM(H164, M164, R164, H165, M165, R165)</f>
        <v>0</v>
      </c>
      <c r="W164" s="194">
        <f>IF($U164=0, ,V164/$U164)</f>
        <v>0</v>
      </c>
      <c r="X164" s="220">
        <f>SUM(I164, N164, S164, I165, N165, S165)</f>
        <v>0</v>
      </c>
      <c r="Y164" s="194">
        <f>IF($U164=0, ,X164/$U164)</f>
        <v>0</v>
      </c>
      <c r="Z164" s="220">
        <f>SUM(J164, O164, T164, J165, O165, T165)</f>
        <v>0</v>
      </c>
      <c r="AA164" s="194">
        <f>IF($U164=0, ,Z164/$U164)</f>
        <v>0</v>
      </c>
      <c r="AB164" s="204" t="s">
        <v>87</v>
      </c>
    </row>
    <row r="165" spans="1:28" x14ac:dyDescent="0.2">
      <c r="A165" s="228"/>
      <c r="B165" s="217"/>
      <c r="C165" s="11"/>
      <c r="D165" s="11"/>
      <c r="E165" s="192"/>
      <c r="F165" s="16"/>
      <c r="G165" s="28">
        <f>F165/$U151</f>
        <v>0</v>
      </c>
      <c r="H165" s="16"/>
      <c r="I165" s="16"/>
      <c r="J165" s="16"/>
      <c r="K165" s="16"/>
      <c r="L165" s="28">
        <f>K165/$U151</f>
        <v>0</v>
      </c>
      <c r="M165" s="16"/>
      <c r="N165" s="16"/>
      <c r="O165" s="16"/>
      <c r="P165" s="16"/>
      <c r="Q165" s="28">
        <f>P165/$U151</f>
        <v>0</v>
      </c>
      <c r="R165" s="16"/>
      <c r="S165" s="16"/>
      <c r="T165" s="16"/>
      <c r="U165" s="221"/>
      <c r="V165" s="221"/>
      <c r="W165" s="195"/>
      <c r="X165" s="221"/>
      <c r="Y165" s="195"/>
      <c r="Z165" s="221"/>
      <c r="AA165" s="195"/>
      <c r="AB165" s="205"/>
    </row>
    <row r="166" spans="1:28" ht="13.5" thickBot="1" x14ac:dyDescent="0.25">
      <c r="A166" s="228"/>
      <c r="B166" s="56"/>
      <c r="C166" s="56"/>
      <c r="D166" s="56"/>
      <c r="E166" s="56"/>
      <c r="F166" s="57"/>
      <c r="G166" s="58"/>
      <c r="H166" s="57"/>
      <c r="I166" s="57"/>
      <c r="J166" s="57"/>
      <c r="K166" s="57"/>
      <c r="L166" s="58"/>
      <c r="M166" s="57"/>
      <c r="N166" s="57"/>
      <c r="O166" s="57"/>
      <c r="P166" s="57"/>
      <c r="Q166" s="58"/>
      <c r="R166" s="57"/>
      <c r="S166" s="57"/>
      <c r="T166" s="60" t="s">
        <v>59</v>
      </c>
      <c r="U166" s="61">
        <f>SUM(U154:U165)</f>
        <v>0</v>
      </c>
      <c r="V166" s="61">
        <f>SUM(V154:V165)</f>
        <v>0</v>
      </c>
      <c r="W166" s="62">
        <f>IF($U166=0, ,V166/$U166)</f>
        <v>0</v>
      </c>
      <c r="X166" s="61">
        <f>SUM(X154:X165)</f>
        <v>0</v>
      </c>
      <c r="Y166" s="62">
        <f>IF($U166=0, ,X166/$U166)</f>
        <v>0</v>
      </c>
      <c r="Z166" s="61">
        <f>SUM(Z154:Z165)</f>
        <v>0</v>
      </c>
      <c r="AA166" s="62">
        <f>IF($U166=0, ,Z166/$U166)</f>
        <v>0</v>
      </c>
      <c r="AB166" s="59"/>
    </row>
    <row r="167" spans="1:28" ht="13.5" thickTop="1" x14ac:dyDescent="0.2">
      <c r="A167" s="228"/>
      <c r="B167" s="44"/>
      <c r="C167" s="45" t="s">
        <v>27</v>
      </c>
      <c r="D167" s="23"/>
      <c r="E167" s="44"/>
      <c r="F167" s="44"/>
      <c r="G167" s="44"/>
      <c r="H167" s="44"/>
      <c r="I167" s="44"/>
      <c r="J167" s="44"/>
      <c r="K167" s="44"/>
      <c r="L167" s="44"/>
      <c r="M167" s="44"/>
      <c r="N167" s="44"/>
      <c r="O167" s="93">
        <v>320</v>
      </c>
      <c r="P167" s="94" t="s">
        <v>33</v>
      </c>
      <c r="Q167" s="44"/>
      <c r="R167" s="44"/>
      <c r="S167" s="44"/>
      <c r="T167" s="44"/>
      <c r="U167" s="44"/>
      <c r="V167" s="44"/>
      <c r="W167" s="44"/>
      <c r="X167" s="44"/>
      <c r="Y167" s="44"/>
      <c r="Z167" s="44"/>
      <c r="AA167" s="44"/>
      <c r="AB167" s="46"/>
    </row>
    <row r="168" spans="1:28" x14ac:dyDescent="0.2">
      <c r="A168" s="228"/>
      <c r="B168" s="229" t="s">
        <v>35</v>
      </c>
      <c r="C168" s="230" t="s">
        <v>25</v>
      </c>
      <c r="D168" s="230" t="s">
        <v>28</v>
      </c>
      <c r="E168" s="237" t="s">
        <v>12</v>
      </c>
      <c r="F168" s="241" t="s">
        <v>13</v>
      </c>
      <c r="G168" s="241"/>
      <c r="H168" s="241"/>
      <c r="I168" s="241" t="s">
        <v>14</v>
      </c>
      <c r="J168" s="241"/>
      <c r="K168" s="241"/>
      <c r="L168" s="241" t="s">
        <v>15</v>
      </c>
      <c r="M168" s="241"/>
      <c r="N168" s="241"/>
      <c r="O168" s="225" t="s">
        <v>34</v>
      </c>
      <c r="P168" s="225" t="s">
        <v>48</v>
      </c>
      <c r="Q168" s="225" t="s">
        <v>60</v>
      </c>
      <c r="R168" s="225" t="s">
        <v>49</v>
      </c>
      <c r="S168" s="225" t="s">
        <v>61</v>
      </c>
      <c r="T168" s="251" t="s">
        <v>79</v>
      </c>
      <c r="U168" s="251"/>
      <c r="V168" s="251"/>
      <c r="W168" s="251"/>
      <c r="X168" s="251"/>
      <c r="Y168" s="251"/>
      <c r="Z168" s="251"/>
      <c r="AA168" s="251"/>
      <c r="AB168" s="252"/>
    </row>
    <row r="169" spans="1:28" ht="25.5" x14ac:dyDescent="0.2">
      <c r="A169" s="228"/>
      <c r="B169" s="229"/>
      <c r="C169" s="230"/>
      <c r="D169" s="230"/>
      <c r="E169" s="237"/>
      <c r="F169" s="18" t="s">
        <v>30</v>
      </c>
      <c r="G169" s="18" t="s">
        <v>46</v>
      </c>
      <c r="H169" s="18" t="s">
        <v>47</v>
      </c>
      <c r="I169" s="18" t="s">
        <v>30</v>
      </c>
      <c r="J169" s="18" t="s">
        <v>46</v>
      </c>
      <c r="K169" s="18" t="s">
        <v>47</v>
      </c>
      <c r="L169" s="18" t="s">
        <v>30</v>
      </c>
      <c r="M169" s="18" t="s">
        <v>46</v>
      </c>
      <c r="N169" s="18" t="s">
        <v>47</v>
      </c>
      <c r="O169" s="227"/>
      <c r="P169" s="227"/>
      <c r="Q169" s="227"/>
      <c r="R169" s="227"/>
      <c r="S169" s="227"/>
      <c r="T169" s="253"/>
      <c r="U169" s="253"/>
      <c r="V169" s="253"/>
      <c r="W169" s="253"/>
      <c r="X169" s="253"/>
      <c r="Y169" s="253"/>
      <c r="Z169" s="253"/>
      <c r="AA169" s="253"/>
      <c r="AB169" s="254"/>
    </row>
    <row r="170" spans="1:28" x14ac:dyDescent="0.2">
      <c r="A170" s="228"/>
      <c r="B170" s="242" t="s">
        <v>36</v>
      </c>
      <c r="C170" s="12"/>
      <c r="D170" s="12" t="s">
        <v>80</v>
      </c>
      <c r="E170" s="243" t="s">
        <v>1</v>
      </c>
      <c r="F170" s="13">
        <v>0</v>
      </c>
      <c r="G170" s="13">
        <v>0</v>
      </c>
      <c r="H170" s="13">
        <v>0</v>
      </c>
      <c r="I170" s="13">
        <v>0</v>
      </c>
      <c r="J170" s="13"/>
      <c r="K170" s="13"/>
      <c r="L170" s="13"/>
      <c r="M170" s="13">
        <f>H175+K175+N175+Q175+T175+W175+Z175</f>
        <v>0</v>
      </c>
      <c r="N170" s="13">
        <f>H176+K176+N176+Q176+T176+W176+Z176</f>
        <v>0</v>
      </c>
      <c r="O170" s="210">
        <f>SUM(F170, I170, L170, F171, I171, L171)*$O167</f>
        <v>0</v>
      </c>
      <c r="P170" s="210">
        <f>SUM(G170, J170, M170, G171, J171, M171)</f>
        <v>0</v>
      </c>
      <c r="Q170" s="212">
        <f>IF($O170=0, ,P170/$O170)</f>
        <v>0</v>
      </c>
      <c r="R170" s="210">
        <f>SUM(H170, K170, N170, H171, K171, N171)</f>
        <v>0</v>
      </c>
      <c r="S170" s="212">
        <f>IF($O170=0, ,R170/$O170)</f>
        <v>0</v>
      </c>
      <c r="T170" s="244"/>
      <c r="U170" s="244"/>
      <c r="V170" s="244"/>
      <c r="W170" s="244"/>
      <c r="X170" s="244"/>
      <c r="Y170" s="244"/>
      <c r="Z170" s="244"/>
      <c r="AA170" s="244"/>
      <c r="AB170" s="245"/>
    </row>
    <row r="171" spans="1:28" x14ac:dyDescent="0.2">
      <c r="A171" s="228"/>
      <c r="B171" s="242"/>
      <c r="C171" s="12"/>
      <c r="D171" s="12"/>
      <c r="E171" s="243"/>
      <c r="F171" s="13"/>
      <c r="G171" s="13">
        <f>F177+I177+L177+O177+R177+U177+X177</f>
        <v>0</v>
      </c>
      <c r="H171" s="13">
        <f>F178+I178+L178+O178+R178+U178+X178</f>
        <v>0</v>
      </c>
      <c r="I171" s="13"/>
      <c r="J171" s="13">
        <f>G177+J177+M177+P177+S177+V177+Y177</f>
        <v>0</v>
      </c>
      <c r="K171" s="13">
        <f>G178+J178+M178+P178+S178+V178+Y178</f>
        <v>0</v>
      </c>
      <c r="L171" s="13"/>
      <c r="M171" s="13">
        <f>H177+K177+N177+Q177+T177+W177+Z177</f>
        <v>0</v>
      </c>
      <c r="N171" s="13">
        <f>H178+K178+N178+Q178+T178+W178+Z178</f>
        <v>0</v>
      </c>
      <c r="O171" s="211"/>
      <c r="P171" s="211"/>
      <c r="Q171" s="213"/>
      <c r="R171" s="211"/>
      <c r="S171" s="213"/>
      <c r="T171" s="246"/>
      <c r="U171" s="246"/>
      <c r="V171" s="246"/>
      <c r="W171" s="246"/>
      <c r="X171" s="246"/>
      <c r="Y171" s="246"/>
      <c r="Z171" s="246"/>
      <c r="AA171" s="246"/>
      <c r="AB171" s="247"/>
    </row>
    <row r="172" spans="1:28" x14ac:dyDescent="0.2">
      <c r="A172" s="228"/>
      <c r="B172" s="56"/>
      <c r="C172" s="56"/>
      <c r="D172" s="56"/>
      <c r="E172" s="56"/>
      <c r="F172" s="89"/>
      <c r="G172" s="89"/>
      <c r="H172" s="89"/>
      <c r="I172" s="89"/>
      <c r="J172" s="89"/>
      <c r="K172" s="89"/>
      <c r="L172" s="89"/>
      <c r="M172" s="89"/>
      <c r="N172" s="89"/>
      <c r="O172" s="90"/>
      <c r="P172" s="90"/>
      <c r="Q172" s="91"/>
      <c r="R172" s="90"/>
      <c r="S172" s="91"/>
      <c r="T172" s="92"/>
      <c r="U172" s="92"/>
      <c r="V172" s="92"/>
      <c r="W172" s="92"/>
      <c r="X172" s="92"/>
      <c r="Y172" s="92"/>
      <c r="Z172" s="92"/>
      <c r="AA172" s="92"/>
      <c r="AB172" s="95"/>
    </row>
    <row r="173" spans="1:28" x14ac:dyDescent="0.2">
      <c r="A173" s="228"/>
      <c r="B173" s="256" t="s">
        <v>67</v>
      </c>
      <c r="C173" s="256"/>
      <c r="D173" s="257"/>
      <c r="E173" s="82" t="s">
        <v>68</v>
      </c>
      <c r="F173" s="248" t="s">
        <v>64</v>
      </c>
      <c r="G173" s="248"/>
      <c r="H173" s="248"/>
      <c r="I173" s="248" t="s">
        <v>76</v>
      </c>
      <c r="J173" s="248"/>
      <c r="K173" s="248"/>
      <c r="L173" s="248" t="s">
        <v>65</v>
      </c>
      <c r="M173" s="248"/>
      <c r="N173" s="248"/>
      <c r="O173" s="248" t="s">
        <v>66</v>
      </c>
      <c r="P173" s="248"/>
      <c r="Q173" s="248"/>
      <c r="R173" s="248" t="s">
        <v>73</v>
      </c>
      <c r="S173" s="248"/>
      <c r="T173" s="248"/>
      <c r="U173" s="248" t="s">
        <v>74</v>
      </c>
      <c r="V173" s="248"/>
      <c r="W173" s="248"/>
      <c r="X173" s="248" t="s">
        <v>75</v>
      </c>
      <c r="Y173" s="248"/>
      <c r="Z173" s="248"/>
      <c r="AA173" s="249"/>
      <c r="AB173" s="249"/>
    </row>
    <row r="174" spans="1:28" x14ac:dyDescent="0.2">
      <c r="A174" s="228"/>
      <c r="B174" s="258"/>
      <c r="C174" s="258"/>
      <c r="D174" s="259"/>
      <c r="E174" s="97" t="s">
        <v>69</v>
      </c>
      <c r="F174" s="83" t="s">
        <v>70</v>
      </c>
      <c r="G174" s="83" t="s">
        <v>71</v>
      </c>
      <c r="H174" s="84" t="s">
        <v>72</v>
      </c>
      <c r="I174" s="83" t="s">
        <v>70</v>
      </c>
      <c r="J174" s="83" t="s">
        <v>71</v>
      </c>
      <c r="K174" s="84" t="s">
        <v>72</v>
      </c>
      <c r="L174" s="83" t="s">
        <v>70</v>
      </c>
      <c r="M174" s="83" t="s">
        <v>71</v>
      </c>
      <c r="N174" s="84" t="s">
        <v>72</v>
      </c>
      <c r="O174" s="83" t="s">
        <v>70</v>
      </c>
      <c r="P174" s="83" t="s">
        <v>71</v>
      </c>
      <c r="Q174" s="84" t="s">
        <v>72</v>
      </c>
      <c r="R174" s="83" t="s">
        <v>70</v>
      </c>
      <c r="S174" s="83" t="s">
        <v>71</v>
      </c>
      <c r="T174" s="84" t="s">
        <v>72</v>
      </c>
      <c r="U174" s="83" t="s">
        <v>70</v>
      </c>
      <c r="V174" s="83" t="s">
        <v>71</v>
      </c>
      <c r="W174" s="84" t="s">
        <v>72</v>
      </c>
      <c r="X174" s="83" t="s">
        <v>70</v>
      </c>
      <c r="Y174" s="83" t="s">
        <v>71</v>
      </c>
      <c r="Z174" s="84" t="s">
        <v>72</v>
      </c>
      <c r="AA174" s="249"/>
      <c r="AB174" s="249"/>
    </row>
    <row r="175" spans="1:28" x14ac:dyDescent="0.2">
      <c r="A175" s="228"/>
      <c r="B175" s="260" t="str">
        <f>B170</f>
        <v>Final ASS</v>
      </c>
      <c r="C175" s="82" t="str">
        <f>IF(ISBLANK(C170), "", C170)</f>
        <v/>
      </c>
      <c r="D175" s="96" t="str">
        <f>IF(ISBLANK(D170), "", D170)</f>
        <v>lume</v>
      </c>
      <c r="E175" s="82" t="s">
        <v>77</v>
      </c>
      <c r="F175" s="86"/>
      <c r="G175" s="85"/>
      <c r="H175" s="85"/>
      <c r="I175" s="85"/>
      <c r="J175" s="85"/>
      <c r="K175" s="85"/>
      <c r="L175" s="87"/>
      <c r="M175" s="87"/>
      <c r="N175" s="87"/>
      <c r="O175" s="87"/>
      <c r="P175" s="87"/>
      <c r="Q175" s="85"/>
      <c r="R175" s="87"/>
      <c r="S175" s="87"/>
      <c r="T175" s="87"/>
      <c r="U175" s="87"/>
      <c r="V175" s="87"/>
      <c r="W175" s="85"/>
      <c r="X175" s="85"/>
      <c r="Y175" s="85"/>
      <c r="Z175" s="88"/>
      <c r="AA175" s="249"/>
      <c r="AB175" s="249"/>
    </row>
    <row r="176" spans="1:28" x14ac:dyDescent="0.2">
      <c r="A176" s="228"/>
      <c r="B176" s="260"/>
      <c r="C176" s="82" t="str">
        <f>IF(ISBLANK(C170), "", C170)</f>
        <v/>
      </c>
      <c r="D176" s="96" t="str">
        <f>IF(ISBLANK(D170), "", D170)</f>
        <v>lume</v>
      </c>
      <c r="E176" s="82" t="s">
        <v>78</v>
      </c>
      <c r="F176" s="86"/>
      <c r="G176" s="85"/>
      <c r="H176" s="85"/>
      <c r="I176" s="85"/>
      <c r="J176" s="85"/>
      <c r="K176" s="85"/>
      <c r="L176" s="87"/>
      <c r="M176" s="87"/>
      <c r="N176" s="87"/>
      <c r="O176" s="87"/>
      <c r="P176" s="87"/>
      <c r="Q176" s="85"/>
      <c r="R176" s="87"/>
      <c r="S176" s="87"/>
      <c r="T176" s="87"/>
      <c r="U176" s="87"/>
      <c r="V176" s="87"/>
      <c r="W176" s="85"/>
      <c r="X176" s="85"/>
      <c r="Y176" s="85"/>
      <c r="Z176" s="88"/>
      <c r="AA176" s="249"/>
      <c r="AB176" s="249"/>
    </row>
    <row r="177" spans="1:28" x14ac:dyDescent="0.2">
      <c r="A177" s="228"/>
      <c r="B177" s="260"/>
      <c r="C177" s="82" t="str">
        <f>IF(ISBLANK(C171), "", C171)</f>
        <v/>
      </c>
      <c r="D177" s="96" t="str">
        <f>IF(ISBLANK(D171), "", D171)</f>
        <v/>
      </c>
      <c r="E177" s="82" t="s">
        <v>77</v>
      </c>
      <c r="F177" s="86"/>
      <c r="G177" s="85"/>
      <c r="H177" s="85"/>
      <c r="I177" s="85"/>
      <c r="J177" s="85"/>
      <c r="K177" s="85"/>
      <c r="L177" s="87"/>
      <c r="M177" s="87"/>
      <c r="N177" s="87"/>
      <c r="O177" s="87"/>
      <c r="P177" s="87"/>
      <c r="Q177" s="85"/>
      <c r="R177" s="87"/>
      <c r="S177" s="87"/>
      <c r="T177" s="87"/>
      <c r="U177" s="87"/>
      <c r="V177" s="87"/>
      <c r="W177" s="85"/>
      <c r="X177" s="85"/>
      <c r="Y177" s="85"/>
      <c r="Z177" s="88"/>
      <c r="AA177" s="249"/>
      <c r="AB177" s="249"/>
    </row>
    <row r="178" spans="1:28" x14ac:dyDescent="0.2">
      <c r="A178" s="228"/>
      <c r="B178" s="260"/>
      <c r="C178" s="82" t="str">
        <f>IF(ISBLANK(C171), "", C171)</f>
        <v/>
      </c>
      <c r="D178" s="96" t="str">
        <f>IF(ISBLANK(D171), "", D171)</f>
        <v/>
      </c>
      <c r="E178" s="82" t="s">
        <v>78</v>
      </c>
      <c r="F178" s="86"/>
      <c r="G178" s="85"/>
      <c r="H178" s="85"/>
      <c r="I178" s="85"/>
      <c r="J178" s="85"/>
      <c r="K178" s="85"/>
      <c r="L178" s="87"/>
      <c r="M178" s="87"/>
      <c r="N178" s="87"/>
      <c r="O178" s="87"/>
      <c r="P178" s="87"/>
      <c r="Q178" s="85"/>
      <c r="R178" s="87"/>
      <c r="S178" s="87"/>
      <c r="T178" s="87"/>
      <c r="U178" s="87"/>
      <c r="V178" s="87"/>
      <c r="W178" s="85"/>
      <c r="X178" s="85"/>
      <c r="Y178" s="85"/>
      <c r="Z178" s="88"/>
      <c r="AA178" s="249"/>
      <c r="AB178" s="249"/>
    </row>
    <row r="180" spans="1:28" x14ac:dyDescent="0.2">
      <c r="A180" s="228">
        <v>44719</v>
      </c>
      <c r="B180" s="19"/>
      <c r="C180" s="19" t="s">
        <v>42</v>
      </c>
      <c r="D180" s="20"/>
      <c r="E180" s="21" t="s">
        <v>41</v>
      </c>
      <c r="F180" s="20">
        <v>0</v>
      </c>
      <c r="G180" s="20"/>
      <c r="H180" s="20"/>
      <c r="I180" s="21"/>
      <c r="J180" s="21"/>
      <c r="K180" s="32"/>
      <c r="L180" s="32"/>
      <c r="M180" s="20"/>
      <c r="N180" s="21"/>
      <c r="O180" s="21"/>
      <c r="P180" s="32"/>
      <c r="Q180" s="32"/>
      <c r="R180" s="20"/>
      <c r="S180" s="21"/>
      <c r="T180" s="21"/>
      <c r="U180" s="41">
        <v>160</v>
      </c>
      <c r="V180" s="42" t="s">
        <v>32</v>
      </c>
      <c r="W180" s="42"/>
      <c r="X180" s="43"/>
      <c r="Y180" s="31"/>
      <c r="Z180" s="31"/>
      <c r="AA180" s="31"/>
      <c r="AB180" s="33"/>
    </row>
    <row r="181" spans="1:28" x14ac:dyDescent="0.2">
      <c r="A181" s="228"/>
      <c r="B181" s="229" t="s">
        <v>10</v>
      </c>
      <c r="C181" s="230" t="s">
        <v>25</v>
      </c>
      <c r="D181" s="230" t="s">
        <v>28</v>
      </c>
      <c r="E181" s="237" t="s">
        <v>12</v>
      </c>
      <c r="F181" s="222" t="s">
        <v>13</v>
      </c>
      <c r="G181" s="223"/>
      <c r="H181" s="223"/>
      <c r="I181" s="223"/>
      <c r="J181" s="224"/>
      <c r="K181" s="222" t="s">
        <v>14</v>
      </c>
      <c r="L181" s="223"/>
      <c r="M181" s="223"/>
      <c r="N181" s="223"/>
      <c r="O181" s="224"/>
      <c r="P181" s="222" t="s">
        <v>15</v>
      </c>
      <c r="Q181" s="223"/>
      <c r="R181" s="223"/>
      <c r="S181" s="223"/>
      <c r="T181" s="224"/>
      <c r="U181" s="255" t="s">
        <v>34</v>
      </c>
      <c r="V181" s="255" t="s">
        <v>48</v>
      </c>
      <c r="W181" s="255" t="s">
        <v>56</v>
      </c>
      <c r="X181" s="255" t="s">
        <v>54</v>
      </c>
      <c r="Y181" s="255" t="s">
        <v>57</v>
      </c>
      <c r="Z181" s="255" t="s">
        <v>55</v>
      </c>
      <c r="AA181" s="255" t="s">
        <v>58</v>
      </c>
      <c r="AB181" s="255" t="s">
        <v>38</v>
      </c>
    </row>
    <row r="182" spans="1:28" ht="38.25" x14ac:dyDescent="0.2">
      <c r="A182" s="228"/>
      <c r="B182" s="229"/>
      <c r="C182" s="230"/>
      <c r="D182" s="230"/>
      <c r="E182" s="237"/>
      <c r="F182" s="18" t="s">
        <v>45</v>
      </c>
      <c r="G182" s="18" t="s">
        <v>29</v>
      </c>
      <c r="H182" s="18" t="s">
        <v>46</v>
      </c>
      <c r="I182" s="18" t="s">
        <v>52</v>
      </c>
      <c r="J182" s="18" t="s">
        <v>53</v>
      </c>
      <c r="K182" s="18" t="s">
        <v>45</v>
      </c>
      <c r="L182" s="18" t="s">
        <v>29</v>
      </c>
      <c r="M182" s="18" t="s">
        <v>46</v>
      </c>
      <c r="N182" s="18" t="s">
        <v>52</v>
      </c>
      <c r="O182" s="18" t="s">
        <v>53</v>
      </c>
      <c r="P182" s="18" t="s">
        <v>45</v>
      </c>
      <c r="Q182" s="18" t="s">
        <v>29</v>
      </c>
      <c r="R182" s="18" t="s">
        <v>46</v>
      </c>
      <c r="S182" s="18" t="s">
        <v>52</v>
      </c>
      <c r="T182" s="18" t="s">
        <v>53</v>
      </c>
      <c r="U182" s="255"/>
      <c r="V182" s="255"/>
      <c r="W182" s="255"/>
      <c r="X182" s="255"/>
      <c r="Y182" s="255"/>
      <c r="Z182" s="255"/>
      <c r="AA182" s="255"/>
      <c r="AB182" s="255"/>
    </row>
    <row r="183" spans="1:28" x14ac:dyDescent="0.2">
      <c r="A183" s="228"/>
      <c r="B183" s="232" t="s">
        <v>17</v>
      </c>
      <c r="C183" s="12"/>
      <c r="D183" s="12"/>
      <c r="E183" s="234" t="s">
        <v>1</v>
      </c>
      <c r="F183" s="13">
        <v>0</v>
      </c>
      <c r="G183" s="25">
        <f>F183/$U180</f>
        <v>0</v>
      </c>
      <c r="H183" s="13"/>
      <c r="I183" s="13"/>
      <c r="J183" s="13"/>
      <c r="K183" s="13">
        <v>0</v>
      </c>
      <c r="L183" s="25">
        <f>K183/$U180</f>
        <v>0</v>
      </c>
      <c r="M183" s="13"/>
      <c r="N183" s="13"/>
      <c r="O183" s="13"/>
      <c r="P183" s="13"/>
      <c r="Q183" s="25">
        <f>P183/$U180</f>
        <v>0</v>
      </c>
      <c r="R183" s="13"/>
      <c r="S183" s="13"/>
      <c r="T183" s="13"/>
      <c r="U183" s="210">
        <f>SUM(F183, K183, P183, F184, K184, P184)</f>
        <v>0</v>
      </c>
      <c r="V183" s="210">
        <f>SUM(H183, M183, R183, H184, M184, R184)</f>
        <v>0</v>
      </c>
      <c r="W183" s="212">
        <f>IF($U183=0, ,V183/$U183)</f>
        <v>0</v>
      </c>
      <c r="X183" s="210">
        <f>SUM(I183, N183, S183, I184, N184, S184)</f>
        <v>0</v>
      </c>
      <c r="Y183" s="212">
        <f>IF($U183=0, ,X183/$U183)</f>
        <v>0</v>
      </c>
      <c r="Z183" s="210">
        <f>SUM(J183, O183, T183, J184, O184, T184)</f>
        <v>0</v>
      </c>
      <c r="AA183" s="212">
        <f>IF($U183=0, ,Z183/$U183)</f>
        <v>0</v>
      </c>
      <c r="AB183" s="214" t="s">
        <v>87</v>
      </c>
    </row>
    <row r="184" spans="1:28" x14ac:dyDescent="0.2">
      <c r="A184" s="228"/>
      <c r="B184" s="250"/>
      <c r="C184" s="12"/>
      <c r="D184" s="12"/>
      <c r="E184" s="236"/>
      <c r="F184" s="13"/>
      <c r="G184" s="25">
        <f>F184/$U180</f>
        <v>0</v>
      </c>
      <c r="H184" s="13"/>
      <c r="I184" s="13"/>
      <c r="J184" s="13"/>
      <c r="K184" s="13"/>
      <c r="L184" s="25">
        <f>K184/$U180</f>
        <v>0</v>
      </c>
      <c r="M184" s="13"/>
      <c r="N184" s="13"/>
      <c r="O184" s="13"/>
      <c r="P184" s="13"/>
      <c r="Q184" s="25">
        <f>P184/$U180</f>
        <v>0</v>
      </c>
      <c r="R184" s="13"/>
      <c r="S184" s="13"/>
      <c r="T184" s="13"/>
      <c r="U184" s="211"/>
      <c r="V184" s="211"/>
      <c r="W184" s="213"/>
      <c r="X184" s="211"/>
      <c r="Y184" s="213"/>
      <c r="Z184" s="211"/>
      <c r="AA184" s="213"/>
      <c r="AB184" s="215"/>
    </row>
    <row r="185" spans="1:28" x14ac:dyDescent="0.2">
      <c r="A185" s="228"/>
      <c r="B185" s="216" t="s">
        <v>18</v>
      </c>
      <c r="C185" s="10">
        <v>21283</v>
      </c>
      <c r="D185" s="10"/>
      <c r="E185" s="218" t="s">
        <v>1</v>
      </c>
      <c r="F185" s="14">
        <v>0</v>
      </c>
      <c r="G185" s="26">
        <f>F185/$U180</f>
        <v>0</v>
      </c>
      <c r="H185" s="14"/>
      <c r="I185" s="14"/>
      <c r="J185" s="14"/>
      <c r="K185" s="14">
        <v>3048</v>
      </c>
      <c r="L185" s="26">
        <f>K185/$U180</f>
        <v>19.05</v>
      </c>
      <c r="M185" s="14"/>
      <c r="N185" s="14"/>
      <c r="O185" s="14"/>
      <c r="P185" s="14"/>
      <c r="Q185" s="26">
        <f>P185/$U180</f>
        <v>0</v>
      </c>
      <c r="R185" s="14"/>
      <c r="S185" s="14"/>
      <c r="T185" s="14"/>
      <c r="U185" s="220">
        <f>SUM(F185, K185, P185, F186, K186, P186)</f>
        <v>3048</v>
      </c>
      <c r="V185" s="220">
        <f>SUM(H185, M185, R185, H186, M186, R186)</f>
        <v>0</v>
      </c>
      <c r="W185" s="194">
        <f>IF($U185=0, ,V185/$U185)</f>
        <v>0</v>
      </c>
      <c r="X185" s="220">
        <f>SUM(I185, N185, S185, I186, N186, S186)</f>
        <v>0</v>
      </c>
      <c r="Y185" s="194">
        <f>IF($U185=0, ,X185/$U185)</f>
        <v>0</v>
      </c>
      <c r="Z185" s="220">
        <f>SUM(J185, O185, T185, J186, O186, T186)</f>
        <v>0</v>
      </c>
      <c r="AA185" s="194">
        <f>IF($U185=0, ,Z185/$U185)</f>
        <v>0</v>
      </c>
      <c r="AB185" s="204"/>
    </row>
    <row r="186" spans="1:28" x14ac:dyDescent="0.2">
      <c r="A186" s="228"/>
      <c r="B186" s="217"/>
      <c r="C186" s="10"/>
      <c r="D186" s="10"/>
      <c r="E186" s="219"/>
      <c r="F186" s="14"/>
      <c r="G186" s="26">
        <f>F186/$U180</f>
        <v>0</v>
      </c>
      <c r="H186" s="14"/>
      <c r="I186" s="14"/>
      <c r="J186" s="14"/>
      <c r="K186" s="14"/>
      <c r="L186" s="26">
        <f>K186/$U180</f>
        <v>0</v>
      </c>
      <c r="M186" s="14"/>
      <c r="N186" s="14"/>
      <c r="O186" s="14"/>
      <c r="P186" s="14"/>
      <c r="Q186" s="26">
        <f>P186/$U180</f>
        <v>0</v>
      </c>
      <c r="R186" s="14"/>
      <c r="S186" s="14"/>
      <c r="T186" s="14"/>
      <c r="U186" s="221"/>
      <c r="V186" s="221"/>
      <c r="W186" s="195"/>
      <c r="X186" s="221"/>
      <c r="Y186" s="195"/>
      <c r="Z186" s="221"/>
      <c r="AA186" s="195"/>
      <c r="AB186" s="205"/>
    </row>
    <row r="187" spans="1:28" x14ac:dyDescent="0.2">
      <c r="A187" s="228"/>
      <c r="B187" s="232" t="s">
        <v>19</v>
      </c>
      <c r="C187" s="9"/>
      <c r="D187" s="9"/>
      <c r="E187" s="208" t="s">
        <v>1</v>
      </c>
      <c r="F187" s="15">
        <v>0</v>
      </c>
      <c r="G187" s="27">
        <f>F187/$U180</f>
        <v>0</v>
      </c>
      <c r="H187" s="15"/>
      <c r="I187" s="15"/>
      <c r="J187" s="15"/>
      <c r="K187" s="15">
        <v>0</v>
      </c>
      <c r="L187" s="27">
        <f>K187/$U180</f>
        <v>0</v>
      </c>
      <c r="M187" s="15"/>
      <c r="N187" s="15"/>
      <c r="O187" s="15"/>
      <c r="P187" s="15"/>
      <c r="Q187" s="27">
        <f>P187/$U180</f>
        <v>0</v>
      </c>
      <c r="R187" s="15"/>
      <c r="S187" s="15"/>
      <c r="T187" s="15"/>
      <c r="U187" s="210">
        <f>SUM(F187, K187, P187, F188, K188, P188)</f>
        <v>0</v>
      </c>
      <c r="V187" s="210">
        <f>SUM(H187, M187, R187, H188, M188, R188)</f>
        <v>0</v>
      </c>
      <c r="W187" s="212">
        <f>IF($U187=0, ,V187/$U187)</f>
        <v>0</v>
      </c>
      <c r="X187" s="210">
        <f>SUM(I187, N187, S187, I188, N188, S188)</f>
        <v>0</v>
      </c>
      <c r="Y187" s="212">
        <f>IF($U187=0, ,X187/$U187)</f>
        <v>0</v>
      </c>
      <c r="Z187" s="210">
        <f>SUM(J187, O187, T187, J188, O188, T188)</f>
        <v>0</v>
      </c>
      <c r="AA187" s="212">
        <f>IF($U187=0, ,Z187/$U187)</f>
        <v>0</v>
      </c>
      <c r="AB187" s="214" t="s">
        <v>87</v>
      </c>
    </row>
    <row r="188" spans="1:28" x14ac:dyDescent="0.2">
      <c r="A188" s="228"/>
      <c r="B188" s="250"/>
      <c r="C188" s="9"/>
      <c r="D188" s="9"/>
      <c r="E188" s="209"/>
      <c r="F188" s="15"/>
      <c r="G188" s="27">
        <f>F188/$U180</f>
        <v>0</v>
      </c>
      <c r="H188" s="15"/>
      <c r="I188" s="15"/>
      <c r="J188" s="15"/>
      <c r="K188" s="15"/>
      <c r="L188" s="27">
        <f>K188/$U180</f>
        <v>0</v>
      </c>
      <c r="M188" s="15"/>
      <c r="N188" s="15"/>
      <c r="O188" s="15"/>
      <c r="P188" s="15"/>
      <c r="Q188" s="27">
        <f>P188/$U180</f>
        <v>0</v>
      </c>
      <c r="R188" s="15"/>
      <c r="S188" s="15"/>
      <c r="T188" s="15"/>
      <c r="U188" s="211"/>
      <c r="V188" s="211"/>
      <c r="W188" s="213"/>
      <c r="X188" s="211"/>
      <c r="Y188" s="213"/>
      <c r="Z188" s="211"/>
      <c r="AA188" s="213"/>
      <c r="AB188" s="215"/>
    </row>
    <row r="189" spans="1:28" x14ac:dyDescent="0.2">
      <c r="A189" s="228"/>
      <c r="B189" s="216" t="s">
        <v>20</v>
      </c>
      <c r="C189" s="10"/>
      <c r="D189" s="10"/>
      <c r="E189" s="218" t="s">
        <v>1</v>
      </c>
      <c r="F189" s="14">
        <v>0</v>
      </c>
      <c r="G189" s="26">
        <f>F189/$U180</f>
        <v>0</v>
      </c>
      <c r="H189" s="14"/>
      <c r="I189" s="14"/>
      <c r="J189" s="14"/>
      <c r="K189" s="14">
        <v>0</v>
      </c>
      <c r="L189" s="26">
        <f>K189/$U180</f>
        <v>0</v>
      </c>
      <c r="M189" s="14"/>
      <c r="N189" s="14"/>
      <c r="O189" s="14"/>
      <c r="P189" s="14"/>
      <c r="Q189" s="26">
        <f>P189/$U180</f>
        <v>0</v>
      </c>
      <c r="R189" s="14"/>
      <c r="S189" s="14"/>
      <c r="T189" s="14"/>
      <c r="U189" s="220">
        <f>SUM(F189, K189, P189, F190, K190, P190)</f>
        <v>0</v>
      </c>
      <c r="V189" s="220">
        <f>SUM(H189, M189, R189, H190, M190, R190)</f>
        <v>0</v>
      </c>
      <c r="W189" s="194">
        <f>IF($U189=0, ,V189/$U189)</f>
        <v>0</v>
      </c>
      <c r="X189" s="220">
        <f>SUM(I189, N189, S189, I190, N190, S190)</f>
        <v>0</v>
      </c>
      <c r="Y189" s="194">
        <f>IF($U189=0, ,X189/$U189)</f>
        <v>0</v>
      </c>
      <c r="Z189" s="220">
        <f>SUM(J189, O189, T189, J190, O190, T190)</f>
        <v>0</v>
      </c>
      <c r="AA189" s="194">
        <f>IF($U189=0, ,Z189/$U189)</f>
        <v>0</v>
      </c>
      <c r="AB189" s="204" t="s">
        <v>87</v>
      </c>
    </row>
    <row r="190" spans="1:28" x14ac:dyDescent="0.2">
      <c r="A190" s="228"/>
      <c r="B190" s="217"/>
      <c r="C190" s="10"/>
      <c r="D190" s="10"/>
      <c r="E190" s="219"/>
      <c r="F190" s="14"/>
      <c r="G190" s="26">
        <f>F190/$U180</f>
        <v>0</v>
      </c>
      <c r="H190" s="14"/>
      <c r="I190" s="14"/>
      <c r="J190" s="14"/>
      <c r="K190" s="14"/>
      <c r="L190" s="26">
        <f>K190/$U180</f>
        <v>0</v>
      </c>
      <c r="M190" s="14"/>
      <c r="N190" s="14"/>
      <c r="O190" s="14"/>
      <c r="P190" s="14"/>
      <c r="Q190" s="26">
        <f>P190/$U180</f>
        <v>0</v>
      </c>
      <c r="R190" s="14"/>
      <c r="S190" s="14"/>
      <c r="T190" s="14"/>
      <c r="U190" s="221"/>
      <c r="V190" s="221"/>
      <c r="W190" s="195"/>
      <c r="X190" s="221"/>
      <c r="Y190" s="195"/>
      <c r="Z190" s="221"/>
      <c r="AA190" s="195"/>
      <c r="AB190" s="205"/>
    </row>
    <row r="191" spans="1:28" x14ac:dyDescent="0.2">
      <c r="A191" s="228"/>
      <c r="B191" s="232" t="s">
        <v>21</v>
      </c>
      <c r="C191" s="9"/>
      <c r="D191" s="9"/>
      <c r="E191" s="208" t="s">
        <v>1</v>
      </c>
      <c r="F191" s="15">
        <v>0</v>
      </c>
      <c r="G191" s="27">
        <f>F191/$U180</f>
        <v>0</v>
      </c>
      <c r="H191" s="15"/>
      <c r="I191" s="15"/>
      <c r="J191" s="15"/>
      <c r="K191" s="15">
        <v>3728</v>
      </c>
      <c r="L191" s="27">
        <f>K191/$U180</f>
        <v>23.3</v>
      </c>
      <c r="M191" s="15"/>
      <c r="N191" s="15"/>
      <c r="O191" s="15"/>
      <c r="P191" s="15"/>
      <c r="Q191" s="27">
        <f>P191/$U180</f>
        <v>0</v>
      </c>
      <c r="R191" s="15"/>
      <c r="S191" s="15"/>
      <c r="T191" s="15"/>
      <c r="U191" s="210">
        <f>SUM(F191, K191, P191, F192, K192, P192)</f>
        <v>3728</v>
      </c>
      <c r="V191" s="210">
        <f>SUM(H191, M191, R191, H192, M192, R192)</f>
        <v>0</v>
      </c>
      <c r="W191" s="212">
        <f>IF($U191=0, ,V191/$U191)</f>
        <v>0</v>
      </c>
      <c r="X191" s="210">
        <f>SUM(I191, N191, S191, I192, N192, S192)</f>
        <v>0</v>
      </c>
      <c r="Y191" s="212">
        <f>IF($U191=0, ,X191/$U191)</f>
        <v>0</v>
      </c>
      <c r="Z191" s="210">
        <f>SUM(J191, O191, T191, J192, O192, T192)</f>
        <v>0</v>
      </c>
      <c r="AA191" s="212">
        <f>IF($U191=0, ,Z191/$U191)</f>
        <v>0</v>
      </c>
      <c r="AB191" s="214"/>
    </row>
    <row r="192" spans="1:28" x14ac:dyDescent="0.2">
      <c r="A192" s="228"/>
      <c r="B192" s="250"/>
      <c r="C192" s="9"/>
      <c r="D192" s="9"/>
      <c r="E192" s="209"/>
      <c r="F192" s="15"/>
      <c r="G192" s="27">
        <f>F192/$U180</f>
        <v>0</v>
      </c>
      <c r="H192" s="15"/>
      <c r="I192" s="15"/>
      <c r="J192" s="15"/>
      <c r="K192" s="15"/>
      <c r="L192" s="27">
        <f>K192/$U180</f>
        <v>0</v>
      </c>
      <c r="M192" s="15"/>
      <c r="N192" s="15"/>
      <c r="O192" s="15"/>
      <c r="P192" s="15"/>
      <c r="Q192" s="27">
        <f>P192/$U180</f>
        <v>0</v>
      </c>
      <c r="R192" s="15"/>
      <c r="S192" s="15"/>
      <c r="T192" s="15"/>
      <c r="U192" s="211"/>
      <c r="V192" s="211"/>
      <c r="W192" s="213"/>
      <c r="X192" s="211"/>
      <c r="Y192" s="213"/>
      <c r="Z192" s="211"/>
      <c r="AA192" s="213"/>
      <c r="AB192" s="215"/>
    </row>
    <row r="193" spans="1:28" x14ac:dyDescent="0.2">
      <c r="A193" s="228"/>
      <c r="B193" s="216" t="s">
        <v>22</v>
      </c>
      <c r="C193" s="11"/>
      <c r="D193" s="11"/>
      <c r="E193" s="191" t="s">
        <v>1</v>
      </c>
      <c r="F193" s="16">
        <v>0</v>
      </c>
      <c r="G193" s="28">
        <f>F193/$U180</f>
        <v>0</v>
      </c>
      <c r="H193" s="16"/>
      <c r="I193" s="16"/>
      <c r="J193" s="16"/>
      <c r="K193" s="16">
        <v>2584</v>
      </c>
      <c r="L193" s="28">
        <f>K193/$U180</f>
        <v>16.149999999999999</v>
      </c>
      <c r="M193" s="16"/>
      <c r="N193" s="16"/>
      <c r="O193" s="16"/>
      <c r="P193" s="16"/>
      <c r="Q193" s="28">
        <f>P193/$U180</f>
        <v>0</v>
      </c>
      <c r="R193" s="16"/>
      <c r="S193" s="16"/>
      <c r="T193" s="16"/>
      <c r="U193" s="220">
        <f>SUM(F193, K193, P193, F194, K194, P194)</f>
        <v>2584</v>
      </c>
      <c r="V193" s="220">
        <f>SUM(H193, M193, R193, H194, M194, R194)</f>
        <v>0</v>
      </c>
      <c r="W193" s="194">
        <f>IF($U193=0, ,V193/$U193)</f>
        <v>0</v>
      </c>
      <c r="X193" s="220">
        <f>SUM(I193, N193, S193, I194, N194, S194)</f>
        <v>0</v>
      </c>
      <c r="Y193" s="194">
        <f>IF($U193=0, ,X193/$U193)</f>
        <v>0</v>
      </c>
      <c r="Z193" s="220">
        <f>SUM(J193, O193, T193, J194, O194, T194)</f>
        <v>0</v>
      </c>
      <c r="AA193" s="194">
        <f>IF($U193=0, ,Z193/$U193)</f>
        <v>0</v>
      </c>
      <c r="AB193" s="204"/>
    </row>
    <row r="194" spans="1:28" x14ac:dyDescent="0.2">
      <c r="A194" s="228"/>
      <c r="B194" s="217"/>
      <c r="C194" s="11"/>
      <c r="D194" s="11"/>
      <c r="E194" s="192"/>
      <c r="F194" s="16"/>
      <c r="G194" s="28">
        <f>F194/$U180</f>
        <v>0</v>
      </c>
      <c r="H194" s="16"/>
      <c r="I194" s="16"/>
      <c r="J194" s="16"/>
      <c r="K194" s="16"/>
      <c r="L194" s="28">
        <f>K194/$U180</f>
        <v>0</v>
      </c>
      <c r="M194" s="16"/>
      <c r="N194" s="16"/>
      <c r="O194" s="16"/>
      <c r="P194" s="16"/>
      <c r="Q194" s="28">
        <f>P194/$U180</f>
        <v>0</v>
      </c>
      <c r="R194" s="16"/>
      <c r="S194" s="16"/>
      <c r="T194" s="16"/>
      <c r="U194" s="221"/>
      <c r="V194" s="221"/>
      <c r="W194" s="195"/>
      <c r="X194" s="221"/>
      <c r="Y194" s="195"/>
      <c r="Z194" s="221"/>
      <c r="AA194" s="195"/>
      <c r="AB194" s="205"/>
    </row>
    <row r="195" spans="1:28" ht="13.5" thickBot="1" x14ac:dyDescent="0.25">
      <c r="A195" s="228"/>
      <c r="B195" s="56"/>
      <c r="C195" s="56"/>
      <c r="D195" s="56"/>
      <c r="E195" s="56"/>
      <c r="F195" s="57"/>
      <c r="G195" s="58"/>
      <c r="H195" s="57"/>
      <c r="I195" s="57"/>
      <c r="J195" s="57"/>
      <c r="K195" s="57"/>
      <c r="L195" s="58"/>
      <c r="M195" s="57"/>
      <c r="N195" s="57"/>
      <c r="O195" s="57"/>
      <c r="P195" s="57"/>
      <c r="Q195" s="58"/>
      <c r="R195" s="57"/>
      <c r="S195" s="57"/>
      <c r="T195" s="60" t="s">
        <v>59</v>
      </c>
      <c r="U195" s="61">
        <f>SUM(U183:U194)</f>
        <v>9360</v>
      </c>
      <c r="V195" s="61">
        <f>SUM(V183:V194)</f>
        <v>0</v>
      </c>
      <c r="W195" s="62">
        <f>IF($U195=0, ,V195/$U195)</f>
        <v>0</v>
      </c>
      <c r="X195" s="61">
        <f>SUM(X183:X194)</f>
        <v>0</v>
      </c>
      <c r="Y195" s="62">
        <f>IF($U195=0, ,X195/$U195)</f>
        <v>0</v>
      </c>
      <c r="Z195" s="61">
        <f>SUM(Z183:Z194)</f>
        <v>0</v>
      </c>
      <c r="AA195" s="62">
        <f>IF($U195=0, ,Z195/$U195)</f>
        <v>0</v>
      </c>
      <c r="AB195" s="59"/>
    </row>
    <row r="196" spans="1:28" ht="13.5" thickTop="1" x14ac:dyDescent="0.2">
      <c r="A196" s="228"/>
      <c r="B196" s="44"/>
      <c r="C196" s="45" t="s">
        <v>27</v>
      </c>
      <c r="D196" s="23"/>
      <c r="E196" s="44"/>
      <c r="F196" s="44"/>
      <c r="G196" s="44"/>
      <c r="H196" s="44"/>
      <c r="I196" s="44"/>
      <c r="J196" s="44"/>
      <c r="K196" s="44"/>
      <c r="L196" s="44"/>
      <c r="M196" s="44"/>
      <c r="N196" s="44"/>
      <c r="O196" s="93">
        <v>320</v>
      </c>
      <c r="P196" s="94" t="s">
        <v>33</v>
      </c>
      <c r="Q196" s="44"/>
      <c r="R196" s="44"/>
      <c r="S196" s="44"/>
      <c r="T196" s="44"/>
      <c r="U196" s="44"/>
      <c r="V196" s="44"/>
      <c r="W196" s="44"/>
      <c r="X196" s="44"/>
      <c r="Y196" s="44"/>
      <c r="Z196" s="44"/>
      <c r="AA196" s="44"/>
      <c r="AB196" s="46"/>
    </row>
    <row r="197" spans="1:28" x14ac:dyDescent="0.2">
      <c r="A197" s="228"/>
      <c r="B197" s="229" t="s">
        <v>35</v>
      </c>
      <c r="C197" s="230" t="s">
        <v>25</v>
      </c>
      <c r="D197" s="230" t="s">
        <v>28</v>
      </c>
      <c r="E197" s="237" t="s">
        <v>12</v>
      </c>
      <c r="F197" s="241" t="s">
        <v>13</v>
      </c>
      <c r="G197" s="241"/>
      <c r="H197" s="241"/>
      <c r="I197" s="241" t="s">
        <v>14</v>
      </c>
      <c r="J197" s="241"/>
      <c r="K197" s="241"/>
      <c r="L197" s="241" t="s">
        <v>15</v>
      </c>
      <c r="M197" s="241"/>
      <c r="N197" s="241"/>
      <c r="O197" s="225" t="s">
        <v>34</v>
      </c>
      <c r="P197" s="225" t="s">
        <v>48</v>
      </c>
      <c r="Q197" s="225" t="s">
        <v>60</v>
      </c>
      <c r="R197" s="225" t="s">
        <v>49</v>
      </c>
      <c r="S197" s="225" t="s">
        <v>61</v>
      </c>
      <c r="T197" s="251"/>
      <c r="U197" s="251"/>
      <c r="V197" s="251"/>
      <c r="W197" s="251"/>
      <c r="X197" s="251"/>
      <c r="Y197" s="251"/>
      <c r="Z197" s="251"/>
      <c r="AA197" s="251"/>
      <c r="AB197" s="252"/>
    </row>
    <row r="198" spans="1:28" ht="25.5" x14ac:dyDescent="0.2">
      <c r="A198" s="228"/>
      <c r="B198" s="229"/>
      <c r="C198" s="230"/>
      <c r="D198" s="230"/>
      <c r="E198" s="237"/>
      <c r="F198" s="18" t="s">
        <v>30</v>
      </c>
      <c r="G198" s="18" t="s">
        <v>46</v>
      </c>
      <c r="H198" s="18" t="s">
        <v>47</v>
      </c>
      <c r="I198" s="18" t="s">
        <v>30</v>
      </c>
      <c r="J198" s="18" t="s">
        <v>46</v>
      </c>
      <c r="K198" s="18" t="s">
        <v>47</v>
      </c>
      <c r="L198" s="18" t="s">
        <v>30</v>
      </c>
      <c r="M198" s="18" t="s">
        <v>46</v>
      </c>
      <c r="N198" s="18" t="s">
        <v>47</v>
      </c>
      <c r="O198" s="227"/>
      <c r="P198" s="227"/>
      <c r="Q198" s="227"/>
      <c r="R198" s="227"/>
      <c r="S198" s="227"/>
      <c r="T198" s="253"/>
      <c r="U198" s="253"/>
      <c r="V198" s="253"/>
      <c r="W198" s="253"/>
      <c r="X198" s="253"/>
      <c r="Y198" s="253"/>
      <c r="Z198" s="253"/>
      <c r="AA198" s="253"/>
      <c r="AB198" s="254"/>
    </row>
    <row r="199" spans="1:28" x14ac:dyDescent="0.2">
      <c r="A199" s="228"/>
      <c r="B199" s="242" t="s">
        <v>36</v>
      </c>
      <c r="C199" s="12">
        <v>21283</v>
      </c>
      <c r="D199" s="12" t="s">
        <v>95</v>
      </c>
      <c r="E199" s="243" t="s">
        <v>1</v>
      </c>
      <c r="F199" s="13">
        <v>0</v>
      </c>
      <c r="G199" s="13">
        <v>0</v>
      </c>
      <c r="H199" s="13">
        <v>0</v>
      </c>
      <c r="I199" s="13">
        <v>0</v>
      </c>
      <c r="J199" s="13"/>
      <c r="K199" s="13"/>
      <c r="L199" s="13"/>
      <c r="M199" s="13">
        <f>H204+K204+N204+Q204+T204+W204+Z204</f>
        <v>0</v>
      </c>
      <c r="N199" s="13">
        <f>H205+K205+N205+Q205+T205+W205+Z205</f>
        <v>0</v>
      </c>
      <c r="O199" s="210">
        <f>SUM(F199, I199, L199, F200, I200, L200)*$O196</f>
        <v>0</v>
      </c>
      <c r="P199" s="210">
        <f>SUM(G199, J199, M199, G200, J200, M200)</f>
        <v>0</v>
      </c>
      <c r="Q199" s="212">
        <f>IF($O199=0, ,P199/$O199)</f>
        <v>0</v>
      </c>
      <c r="R199" s="210">
        <f>SUM(H199, K199, N199, H200, K200, N200)</f>
        <v>0</v>
      </c>
      <c r="S199" s="212">
        <f>IF($O199=0, ,R199/$O199)</f>
        <v>0</v>
      </c>
      <c r="T199" s="244"/>
      <c r="U199" s="244"/>
      <c r="V199" s="244"/>
      <c r="W199" s="244"/>
      <c r="X199" s="244"/>
      <c r="Y199" s="244"/>
      <c r="Z199" s="244"/>
      <c r="AA199" s="244"/>
      <c r="AB199" s="245"/>
    </row>
    <row r="200" spans="1:28" x14ac:dyDescent="0.2">
      <c r="A200" s="228"/>
      <c r="B200" s="242"/>
      <c r="C200" s="12"/>
      <c r="D200" s="12"/>
      <c r="E200" s="243"/>
      <c r="F200" s="13"/>
      <c r="G200" s="13">
        <f>F206+I206+L206+O206+R206+U206+X206</f>
        <v>0</v>
      </c>
      <c r="H200" s="13">
        <f>F207+I207+L207+O207+R207+U207+X207</f>
        <v>0</v>
      </c>
      <c r="I200" s="13"/>
      <c r="J200" s="13">
        <f>G206+J206+M206+P206+S206+V206+Y206</f>
        <v>0</v>
      </c>
      <c r="K200" s="13">
        <f>G207+J207+M207+P207+S207+V207+Y207</f>
        <v>0</v>
      </c>
      <c r="L200" s="13"/>
      <c r="M200" s="13">
        <f>H206+K206+N206+Q206+T206+W206+Z206</f>
        <v>0</v>
      </c>
      <c r="N200" s="13">
        <f>H207+K207+N207+Q207+T207+W207+Z207</f>
        <v>0</v>
      </c>
      <c r="O200" s="211"/>
      <c r="P200" s="211"/>
      <c r="Q200" s="213"/>
      <c r="R200" s="211"/>
      <c r="S200" s="213"/>
      <c r="T200" s="246"/>
      <c r="U200" s="246"/>
      <c r="V200" s="246"/>
      <c r="W200" s="246"/>
      <c r="X200" s="246"/>
      <c r="Y200" s="246"/>
      <c r="Z200" s="246"/>
      <c r="AA200" s="246"/>
      <c r="AB200" s="247"/>
    </row>
    <row r="201" spans="1:28" x14ac:dyDescent="0.2">
      <c r="A201" s="228"/>
      <c r="B201" s="56"/>
      <c r="C201" s="56"/>
      <c r="D201" s="56"/>
      <c r="E201" s="56"/>
      <c r="F201" s="89"/>
      <c r="G201" s="89"/>
      <c r="H201" s="89"/>
      <c r="I201" s="89"/>
      <c r="J201" s="89"/>
      <c r="K201" s="89"/>
      <c r="L201" s="89"/>
      <c r="M201" s="89"/>
      <c r="N201" s="89"/>
      <c r="O201" s="90"/>
      <c r="P201" s="90"/>
      <c r="Q201" s="91"/>
      <c r="R201" s="90"/>
      <c r="S201" s="91"/>
      <c r="T201" s="92"/>
      <c r="U201" s="92"/>
      <c r="V201" s="92"/>
      <c r="W201" s="92"/>
      <c r="X201" s="92"/>
      <c r="Y201" s="92"/>
      <c r="Z201" s="92"/>
      <c r="AA201" s="92"/>
      <c r="AB201" s="95"/>
    </row>
    <row r="202" spans="1:28" x14ac:dyDescent="0.2">
      <c r="A202" s="228"/>
      <c r="B202" s="256" t="s">
        <v>67</v>
      </c>
      <c r="C202" s="256"/>
      <c r="D202" s="257"/>
      <c r="E202" s="82" t="s">
        <v>68</v>
      </c>
      <c r="F202" s="248" t="s">
        <v>64</v>
      </c>
      <c r="G202" s="248"/>
      <c r="H202" s="248"/>
      <c r="I202" s="248" t="s">
        <v>76</v>
      </c>
      <c r="J202" s="248"/>
      <c r="K202" s="248"/>
      <c r="L202" s="248" t="s">
        <v>65</v>
      </c>
      <c r="M202" s="248"/>
      <c r="N202" s="248"/>
      <c r="O202" s="248" t="s">
        <v>66</v>
      </c>
      <c r="P202" s="248"/>
      <c r="Q202" s="248"/>
      <c r="R202" s="248" t="s">
        <v>73</v>
      </c>
      <c r="S202" s="248"/>
      <c r="T202" s="248"/>
      <c r="U202" s="248" t="s">
        <v>74</v>
      </c>
      <c r="V202" s="248"/>
      <c r="W202" s="248"/>
      <c r="X202" s="248" t="s">
        <v>75</v>
      </c>
      <c r="Y202" s="248"/>
      <c r="Z202" s="248"/>
      <c r="AA202" s="249"/>
      <c r="AB202" s="249"/>
    </row>
    <row r="203" spans="1:28" x14ac:dyDescent="0.2">
      <c r="A203" s="228"/>
      <c r="B203" s="258"/>
      <c r="C203" s="258"/>
      <c r="D203" s="259"/>
      <c r="E203" s="97" t="s">
        <v>69</v>
      </c>
      <c r="F203" s="83" t="s">
        <v>70</v>
      </c>
      <c r="G203" s="83" t="s">
        <v>71</v>
      </c>
      <c r="H203" s="84" t="s">
        <v>72</v>
      </c>
      <c r="I203" s="83" t="s">
        <v>70</v>
      </c>
      <c r="J203" s="83" t="s">
        <v>71</v>
      </c>
      <c r="K203" s="84" t="s">
        <v>72</v>
      </c>
      <c r="L203" s="83" t="s">
        <v>70</v>
      </c>
      <c r="M203" s="83" t="s">
        <v>71</v>
      </c>
      <c r="N203" s="84" t="s">
        <v>72</v>
      </c>
      <c r="O203" s="83" t="s">
        <v>70</v>
      </c>
      <c r="P203" s="83" t="s">
        <v>71</v>
      </c>
      <c r="Q203" s="84" t="s">
        <v>72</v>
      </c>
      <c r="R203" s="83" t="s">
        <v>70</v>
      </c>
      <c r="S203" s="83" t="s">
        <v>71</v>
      </c>
      <c r="T203" s="84" t="s">
        <v>72</v>
      </c>
      <c r="U203" s="83" t="s">
        <v>70</v>
      </c>
      <c r="V203" s="83" t="s">
        <v>71</v>
      </c>
      <c r="W203" s="84" t="s">
        <v>72</v>
      </c>
      <c r="X203" s="83" t="s">
        <v>70</v>
      </c>
      <c r="Y203" s="83" t="s">
        <v>71</v>
      </c>
      <c r="Z203" s="84" t="s">
        <v>72</v>
      </c>
      <c r="AA203" s="249"/>
      <c r="AB203" s="249"/>
    </row>
    <row r="204" spans="1:28" x14ac:dyDescent="0.2">
      <c r="A204" s="228"/>
      <c r="B204" s="260" t="str">
        <f>B199</f>
        <v>Final ASS</v>
      </c>
      <c r="C204" s="82">
        <f>IF(ISBLANK(C199), "", C199)</f>
        <v>21283</v>
      </c>
      <c r="D204" s="96" t="str">
        <f>IF(ISBLANK(D199), "", D199)</f>
        <v>unilever</v>
      </c>
      <c r="E204" s="82" t="s">
        <v>77</v>
      </c>
      <c r="F204" s="86"/>
      <c r="G204" s="85"/>
      <c r="H204" s="85"/>
      <c r="I204" s="85"/>
      <c r="J204" s="85"/>
      <c r="K204" s="85"/>
      <c r="L204" s="87"/>
      <c r="M204" s="87"/>
      <c r="N204" s="87"/>
      <c r="O204" s="87"/>
      <c r="P204" s="87"/>
      <c r="Q204" s="85"/>
      <c r="R204" s="87"/>
      <c r="S204" s="87"/>
      <c r="T204" s="87"/>
      <c r="U204" s="87"/>
      <c r="V204" s="87"/>
      <c r="W204" s="85"/>
      <c r="X204" s="85"/>
      <c r="Y204" s="85"/>
      <c r="Z204" s="88"/>
      <c r="AA204" s="249"/>
      <c r="AB204" s="249"/>
    </row>
    <row r="205" spans="1:28" x14ac:dyDescent="0.2">
      <c r="A205" s="228"/>
      <c r="B205" s="260"/>
      <c r="C205" s="82">
        <f>IF(ISBLANK(C199), "", C199)</f>
        <v>21283</v>
      </c>
      <c r="D205" s="96" t="str">
        <f>IF(ISBLANK(D199), "", D199)</f>
        <v>unilever</v>
      </c>
      <c r="E205" s="82" t="s">
        <v>78</v>
      </c>
      <c r="F205" s="86"/>
      <c r="G205" s="85"/>
      <c r="H205" s="85"/>
      <c r="I205" s="85"/>
      <c r="J205" s="85"/>
      <c r="K205" s="85"/>
      <c r="L205" s="87"/>
      <c r="M205" s="87"/>
      <c r="N205" s="87"/>
      <c r="O205" s="87"/>
      <c r="P205" s="87"/>
      <c r="Q205" s="85"/>
      <c r="R205" s="87"/>
      <c r="S205" s="87"/>
      <c r="T205" s="87"/>
      <c r="U205" s="87"/>
      <c r="V205" s="87"/>
      <c r="W205" s="85"/>
      <c r="X205" s="85"/>
      <c r="Y205" s="85"/>
      <c r="Z205" s="88"/>
      <c r="AA205" s="249"/>
      <c r="AB205" s="249"/>
    </row>
    <row r="206" spans="1:28" x14ac:dyDescent="0.2">
      <c r="A206" s="228"/>
      <c r="B206" s="260"/>
      <c r="C206" s="82" t="str">
        <f>IF(ISBLANK(C200), "", C200)</f>
        <v/>
      </c>
      <c r="D206" s="96" t="str">
        <f>IF(ISBLANK(D200), "", D200)</f>
        <v/>
      </c>
      <c r="E206" s="82" t="s">
        <v>77</v>
      </c>
      <c r="F206" s="86"/>
      <c r="G206" s="85"/>
      <c r="H206" s="85"/>
      <c r="I206" s="85"/>
      <c r="J206" s="85"/>
      <c r="K206" s="85"/>
      <c r="L206" s="87"/>
      <c r="M206" s="87"/>
      <c r="N206" s="87"/>
      <c r="O206" s="87"/>
      <c r="P206" s="87"/>
      <c r="Q206" s="85"/>
      <c r="R206" s="87"/>
      <c r="S206" s="87"/>
      <c r="T206" s="87"/>
      <c r="U206" s="87"/>
      <c r="V206" s="87"/>
      <c r="W206" s="85"/>
      <c r="X206" s="85"/>
      <c r="Y206" s="85"/>
      <c r="Z206" s="88"/>
      <c r="AA206" s="249"/>
      <c r="AB206" s="249"/>
    </row>
    <row r="207" spans="1:28" x14ac:dyDescent="0.2">
      <c r="A207" s="228"/>
      <c r="B207" s="260"/>
      <c r="C207" s="82" t="str">
        <f>IF(ISBLANK(C200), "", C200)</f>
        <v/>
      </c>
      <c r="D207" s="96" t="str">
        <f>IF(ISBLANK(D200), "", D200)</f>
        <v/>
      </c>
      <c r="E207" s="82" t="s">
        <v>78</v>
      </c>
      <c r="F207" s="86"/>
      <c r="G207" s="85"/>
      <c r="H207" s="85"/>
      <c r="I207" s="85"/>
      <c r="J207" s="85"/>
      <c r="K207" s="85"/>
      <c r="L207" s="87"/>
      <c r="M207" s="87"/>
      <c r="N207" s="87"/>
      <c r="O207" s="87"/>
      <c r="P207" s="87"/>
      <c r="Q207" s="85"/>
      <c r="R207" s="87"/>
      <c r="S207" s="87"/>
      <c r="T207" s="87"/>
      <c r="U207" s="87"/>
      <c r="V207" s="87"/>
      <c r="W207" s="85"/>
      <c r="X207" s="85"/>
      <c r="Y207" s="85"/>
      <c r="Z207" s="88"/>
      <c r="AA207" s="249"/>
      <c r="AB207" s="249"/>
    </row>
    <row r="209" spans="1:28" ht="12.75" customHeight="1" x14ac:dyDescent="0.2">
      <c r="A209" s="228">
        <v>44720</v>
      </c>
      <c r="B209" s="19"/>
      <c r="C209" s="19" t="s">
        <v>42</v>
      </c>
      <c r="D209" s="20"/>
      <c r="E209" s="21" t="s">
        <v>41</v>
      </c>
      <c r="F209" s="20">
        <v>0</v>
      </c>
      <c r="G209" s="20"/>
      <c r="H209" s="20"/>
      <c r="I209" s="21"/>
      <c r="J209" s="21"/>
      <c r="K209" s="32"/>
      <c r="L209" s="32"/>
      <c r="M209" s="20"/>
      <c r="N209" s="21"/>
      <c r="O209" s="21"/>
      <c r="P209" s="32"/>
      <c r="Q209" s="32"/>
      <c r="R209" s="20"/>
      <c r="S209" s="21"/>
      <c r="T209" s="21"/>
      <c r="U209" s="41">
        <v>160</v>
      </c>
      <c r="V209" s="42" t="s">
        <v>32</v>
      </c>
      <c r="W209" s="42"/>
      <c r="X209" s="43"/>
      <c r="Y209" s="31"/>
      <c r="Z209" s="31"/>
      <c r="AA209" s="31"/>
      <c r="AB209" s="33"/>
    </row>
    <row r="210" spans="1:28" ht="12.75" customHeight="1" x14ac:dyDescent="0.2">
      <c r="A210" s="228"/>
      <c r="B210" s="229" t="s">
        <v>10</v>
      </c>
      <c r="C210" s="230" t="s">
        <v>25</v>
      </c>
      <c r="D210" s="230" t="s">
        <v>28</v>
      </c>
      <c r="E210" s="237" t="s">
        <v>12</v>
      </c>
      <c r="F210" s="222" t="s">
        <v>13</v>
      </c>
      <c r="G210" s="223"/>
      <c r="H210" s="223"/>
      <c r="I210" s="223"/>
      <c r="J210" s="224"/>
      <c r="K210" s="222" t="s">
        <v>14</v>
      </c>
      <c r="L210" s="223"/>
      <c r="M210" s="223"/>
      <c r="N210" s="223"/>
      <c r="O210" s="224"/>
      <c r="P210" s="222" t="s">
        <v>15</v>
      </c>
      <c r="Q210" s="223"/>
      <c r="R210" s="223"/>
      <c r="S210" s="223"/>
      <c r="T210" s="224"/>
      <c r="U210" s="255" t="s">
        <v>34</v>
      </c>
      <c r="V210" s="255" t="s">
        <v>48</v>
      </c>
      <c r="W210" s="255" t="s">
        <v>56</v>
      </c>
      <c r="X210" s="255" t="s">
        <v>54</v>
      </c>
      <c r="Y210" s="255" t="s">
        <v>57</v>
      </c>
      <c r="Z210" s="255" t="s">
        <v>55</v>
      </c>
      <c r="AA210" s="255" t="s">
        <v>58</v>
      </c>
      <c r="AB210" s="255" t="s">
        <v>38</v>
      </c>
    </row>
    <row r="211" spans="1:28" ht="38.25" x14ac:dyDescent="0.2">
      <c r="A211" s="228"/>
      <c r="B211" s="229"/>
      <c r="C211" s="230"/>
      <c r="D211" s="230"/>
      <c r="E211" s="237"/>
      <c r="F211" s="18" t="s">
        <v>45</v>
      </c>
      <c r="G211" s="18" t="s">
        <v>29</v>
      </c>
      <c r="H211" s="18" t="s">
        <v>46</v>
      </c>
      <c r="I211" s="18" t="s">
        <v>52</v>
      </c>
      <c r="J211" s="18" t="s">
        <v>53</v>
      </c>
      <c r="K211" s="18" t="s">
        <v>45</v>
      </c>
      <c r="L211" s="18" t="s">
        <v>29</v>
      </c>
      <c r="M211" s="18" t="s">
        <v>46</v>
      </c>
      <c r="N211" s="18" t="s">
        <v>52</v>
      </c>
      <c r="O211" s="18" t="s">
        <v>53</v>
      </c>
      <c r="P211" s="18" t="s">
        <v>45</v>
      </c>
      <c r="Q211" s="18" t="s">
        <v>29</v>
      </c>
      <c r="R211" s="18" t="s">
        <v>46</v>
      </c>
      <c r="S211" s="18" t="s">
        <v>52</v>
      </c>
      <c r="T211" s="18" t="s">
        <v>53</v>
      </c>
      <c r="U211" s="255"/>
      <c r="V211" s="255"/>
      <c r="W211" s="255"/>
      <c r="X211" s="255"/>
      <c r="Y211" s="255"/>
      <c r="Z211" s="255"/>
      <c r="AA211" s="255"/>
      <c r="AB211" s="255"/>
    </row>
    <row r="212" spans="1:28" ht="12.75" customHeight="1" x14ac:dyDescent="0.2">
      <c r="A212" s="228"/>
      <c r="B212" s="232" t="s">
        <v>17</v>
      </c>
      <c r="C212" s="12">
        <v>21283</v>
      </c>
      <c r="D212" s="12"/>
      <c r="E212" s="234" t="s">
        <v>1</v>
      </c>
      <c r="F212" s="13">
        <v>3601</v>
      </c>
      <c r="G212" s="25">
        <f>F212/$U209</f>
        <v>22.506250000000001</v>
      </c>
      <c r="H212" s="13"/>
      <c r="I212" s="13"/>
      <c r="J212" s="13"/>
      <c r="K212" s="13">
        <v>0</v>
      </c>
      <c r="L212" s="25">
        <f>K212/$U209</f>
        <v>0</v>
      </c>
      <c r="M212" s="13"/>
      <c r="N212" s="13"/>
      <c r="O212" s="13"/>
      <c r="P212" s="13"/>
      <c r="Q212" s="25">
        <f>P212/$U209</f>
        <v>0</v>
      </c>
      <c r="R212" s="13"/>
      <c r="S212" s="13"/>
      <c r="T212" s="13"/>
      <c r="U212" s="210">
        <f>SUM(F212, K212, P212, F213, K213, P213)</f>
        <v>3601</v>
      </c>
      <c r="V212" s="210">
        <f>SUM(H212, M212, R212, H213, M213, R213)</f>
        <v>0</v>
      </c>
      <c r="W212" s="212">
        <f>IF($U212=0, ,V212/$U212)</f>
        <v>0</v>
      </c>
      <c r="X212" s="210">
        <f>SUM(I212, N212, S212, I213, N213, S213)</f>
        <v>0</v>
      </c>
      <c r="Y212" s="212">
        <f>IF($U212=0, ,X212/$U212)</f>
        <v>0</v>
      </c>
      <c r="Z212" s="210">
        <f>SUM(J212, O212, T212, J213, O213, T213)</f>
        <v>0</v>
      </c>
      <c r="AA212" s="212">
        <f>IF($U212=0, ,Z212/$U212)</f>
        <v>0</v>
      </c>
      <c r="AB212" s="214" t="s">
        <v>87</v>
      </c>
    </row>
    <row r="213" spans="1:28" ht="12.75" customHeight="1" x14ac:dyDescent="0.2">
      <c r="A213" s="228"/>
      <c r="B213" s="250"/>
      <c r="C213" s="12"/>
      <c r="D213" s="12"/>
      <c r="E213" s="236"/>
      <c r="F213" s="13"/>
      <c r="G213" s="25">
        <f>F213/$U209</f>
        <v>0</v>
      </c>
      <c r="H213" s="13"/>
      <c r="I213" s="13"/>
      <c r="J213" s="13"/>
      <c r="K213" s="13"/>
      <c r="L213" s="25">
        <f>K213/$U209</f>
        <v>0</v>
      </c>
      <c r="M213" s="13"/>
      <c r="N213" s="13"/>
      <c r="O213" s="13"/>
      <c r="P213" s="13"/>
      <c r="Q213" s="25">
        <f>P213/$U209</f>
        <v>0</v>
      </c>
      <c r="R213" s="13"/>
      <c r="S213" s="13"/>
      <c r="T213" s="13"/>
      <c r="U213" s="211"/>
      <c r="V213" s="211"/>
      <c r="W213" s="213"/>
      <c r="X213" s="211"/>
      <c r="Y213" s="213"/>
      <c r="Z213" s="211"/>
      <c r="AA213" s="213"/>
      <c r="AB213" s="215"/>
    </row>
    <row r="214" spans="1:28" ht="12.75" customHeight="1" x14ac:dyDescent="0.2">
      <c r="A214" s="228"/>
      <c r="B214" s="216" t="s">
        <v>18</v>
      </c>
      <c r="C214" s="10">
        <v>21283</v>
      </c>
      <c r="D214" s="10"/>
      <c r="E214" s="218" t="s">
        <v>1</v>
      </c>
      <c r="F214" s="14">
        <v>3966</v>
      </c>
      <c r="G214" s="26">
        <f>F214/$U209</f>
        <v>24.787500000000001</v>
      </c>
      <c r="H214" s="14"/>
      <c r="I214" s="14"/>
      <c r="J214" s="14"/>
      <c r="K214" s="14">
        <v>3559</v>
      </c>
      <c r="L214" s="26">
        <f>K214/$U209</f>
        <v>22.243749999999999</v>
      </c>
      <c r="M214" s="14"/>
      <c r="N214" s="14"/>
      <c r="O214" s="14"/>
      <c r="P214" s="14"/>
      <c r="Q214" s="26">
        <f>P214/$U209</f>
        <v>0</v>
      </c>
      <c r="R214" s="14"/>
      <c r="S214" s="14"/>
      <c r="T214" s="14"/>
      <c r="U214" s="220">
        <f>SUM(F214, K214, P214, F215, K215, P215)</f>
        <v>7525</v>
      </c>
      <c r="V214" s="220">
        <f>SUM(H214, M214, R214, H215, M215, R215)</f>
        <v>0</v>
      </c>
      <c r="W214" s="194">
        <f>IF($U214=0, ,V214/$U214)</f>
        <v>0</v>
      </c>
      <c r="X214" s="220">
        <f>SUM(I214, N214, S214, I215, N215, S215)</f>
        <v>0</v>
      </c>
      <c r="Y214" s="194">
        <f>IF($U214=0, ,X214/$U214)</f>
        <v>0</v>
      </c>
      <c r="Z214" s="220">
        <f>SUM(J214, O214, T214, J215, O215, T215)</f>
        <v>0</v>
      </c>
      <c r="AA214" s="194">
        <f>IF($U214=0, ,Z214/$U214)</f>
        <v>0</v>
      </c>
      <c r="AB214" s="204" t="s">
        <v>87</v>
      </c>
    </row>
    <row r="215" spans="1:28" ht="12.75" customHeight="1" x14ac:dyDescent="0.2">
      <c r="A215" s="228"/>
      <c r="B215" s="217"/>
      <c r="C215" s="10"/>
      <c r="D215" s="10"/>
      <c r="E215" s="219"/>
      <c r="F215" s="14"/>
      <c r="G215" s="26">
        <f>F215/$U209</f>
        <v>0</v>
      </c>
      <c r="H215" s="14"/>
      <c r="I215" s="14"/>
      <c r="J215" s="14"/>
      <c r="K215" s="14"/>
      <c r="L215" s="26">
        <f>K215/$U209</f>
        <v>0</v>
      </c>
      <c r="M215" s="14"/>
      <c r="N215" s="14"/>
      <c r="O215" s="14"/>
      <c r="P215" s="14"/>
      <c r="Q215" s="26">
        <f>P215/$U209</f>
        <v>0</v>
      </c>
      <c r="R215" s="14"/>
      <c r="S215" s="14"/>
      <c r="T215" s="14"/>
      <c r="U215" s="221"/>
      <c r="V215" s="221"/>
      <c r="W215" s="195"/>
      <c r="X215" s="221"/>
      <c r="Y215" s="195"/>
      <c r="Z215" s="221"/>
      <c r="AA215" s="195"/>
      <c r="AB215" s="205"/>
    </row>
    <row r="216" spans="1:28" ht="12.75" customHeight="1" x14ac:dyDescent="0.2">
      <c r="A216" s="228"/>
      <c r="B216" s="232" t="s">
        <v>19</v>
      </c>
      <c r="C216" s="9"/>
      <c r="D216" s="9"/>
      <c r="E216" s="208" t="s">
        <v>1</v>
      </c>
      <c r="F216" s="15">
        <v>0</v>
      </c>
      <c r="G216" s="27">
        <f>F216/$U209</f>
        <v>0</v>
      </c>
      <c r="H216" s="15"/>
      <c r="I216" s="15"/>
      <c r="J216" s="15"/>
      <c r="K216" s="15">
        <v>0</v>
      </c>
      <c r="L216" s="27">
        <f>K216/$U209</f>
        <v>0</v>
      </c>
      <c r="M216" s="15"/>
      <c r="N216" s="15"/>
      <c r="O216" s="15"/>
      <c r="P216" s="15"/>
      <c r="Q216" s="27">
        <f>P216/$U209</f>
        <v>0</v>
      </c>
      <c r="R216" s="15"/>
      <c r="S216" s="15"/>
      <c r="T216" s="15"/>
      <c r="U216" s="210">
        <f>SUM(F216, K216, P216, F217, K217, P217)</f>
        <v>0</v>
      </c>
      <c r="V216" s="210">
        <f>SUM(H216, M216, R216, H217, M217, R217)</f>
        <v>0</v>
      </c>
      <c r="W216" s="212">
        <f>IF($U216=0, ,V216/$U216)</f>
        <v>0</v>
      </c>
      <c r="X216" s="210">
        <f>SUM(I216, N216, S216, I217, N217, S217)</f>
        <v>0</v>
      </c>
      <c r="Y216" s="212">
        <f>IF($U216=0, ,X216/$U216)</f>
        <v>0</v>
      </c>
      <c r="Z216" s="210">
        <f>SUM(J216, O216, T216, J217, O217, T217)</f>
        <v>0</v>
      </c>
      <c r="AA216" s="212">
        <f>IF($U216=0, ,Z216/$U216)</f>
        <v>0</v>
      </c>
      <c r="AB216" s="214" t="s">
        <v>87</v>
      </c>
    </row>
    <row r="217" spans="1:28" ht="12.75" customHeight="1" x14ac:dyDescent="0.2">
      <c r="A217" s="228"/>
      <c r="B217" s="250"/>
      <c r="C217" s="9"/>
      <c r="D217" s="9"/>
      <c r="E217" s="209"/>
      <c r="F217" s="15"/>
      <c r="G217" s="27">
        <f>F217/$U209</f>
        <v>0</v>
      </c>
      <c r="H217" s="15"/>
      <c r="I217" s="15"/>
      <c r="J217" s="15"/>
      <c r="K217" s="15"/>
      <c r="L217" s="27">
        <f>K217/$U209</f>
        <v>0</v>
      </c>
      <c r="M217" s="15"/>
      <c r="N217" s="15"/>
      <c r="O217" s="15"/>
      <c r="P217" s="15"/>
      <c r="Q217" s="27">
        <f>P217/$U209</f>
        <v>0</v>
      </c>
      <c r="R217" s="15"/>
      <c r="S217" s="15"/>
      <c r="T217" s="15"/>
      <c r="U217" s="211"/>
      <c r="V217" s="211"/>
      <c r="W217" s="213"/>
      <c r="X217" s="211"/>
      <c r="Y217" s="213"/>
      <c r="Z217" s="211"/>
      <c r="AA217" s="213"/>
      <c r="AB217" s="215"/>
    </row>
    <row r="218" spans="1:28" ht="12.75" customHeight="1" x14ac:dyDescent="0.2">
      <c r="A218" s="228"/>
      <c r="B218" s="216" t="s">
        <v>20</v>
      </c>
      <c r="C218" s="10">
        <v>21283</v>
      </c>
      <c r="D218" s="10"/>
      <c r="E218" s="218" t="s">
        <v>1</v>
      </c>
      <c r="F218" s="14">
        <v>4007</v>
      </c>
      <c r="G218" s="26">
        <f>F218/$U209</f>
        <v>25.043749999999999</v>
      </c>
      <c r="H218" s="14"/>
      <c r="I218" s="14"/>
      <c r="J218" s="14"/>
      <c r="K218" s="14">
        <v>2760</v>
      </c>
      <c r="L218" s="26">
        <f>K218/$U209</f>
        <v>17.25</v>
      </c>
      <c r="M218" s="14"/>
      <c r="N218" s="14"/>
      <c r="O218" s="14"/>
      <c r="P218" s="14"/>
      <c r="Q218" s="26">
        <f>P218/$U209</f>
        <v>0</v>
      </c>
      <c r="R218" s="14"/>
      <c r="S218" s="14"/>
      <c r="T218" s="14"/>
      <c r="U218" s="220">
        <f>SUM(F218, K218, P218, F219, K219, P219)</f>
        <v>6767</v>
      </c>
      <c r="V218" s="220">
        <f>SUM(H218, M218, R218, H219, M219, R219)</f>
        <v>0</v>
      </c>
      <c r="W218" s="194">
        <f>IF($U218=0, ,V218/$U218)</f>
        <v>0</v>
      </c>
      <c r="X218" s="220">
        <f>SUM(I218, N218, S218, I219, N219, S219)</f>
        <v>0</v>
      </c>
      <c r="Y218" s="194">
        <f>IF($U218=0, ,X218/$U218)</f>
        <v>0</v>
      </c>
      <c r="Z218" s="220">
        <f>SUM(J218, O218, T218, J219, O219, T219)</f>
        <v>0</v>
      </c>
      <c r="AA218" s="194">
        <f>IF($U218=0, ,Z218/$U218)</f>
        <v>0</v>
      </c>
      <c r="AB218" s="204" t="s">
        <v>87</v>
      </c>
    </row>
    <row r="219" spans="1:28" ht="12.75" customHeight="1" x14ac:dyDescent="0.2">
      <c r="A219" s="228"/>
      <c r="B219" s="217"/>
      <c r="C219" s="10"/>
      <c r="D219" s="10"/>
      <c r="E219" s="219"/>
      <c r="F219" s="14"/>
      <c r="G219" s="26">
        <f>F219/$U209</f>
        <v>0</v>
      </c>
      <c r="H219" s="14"/>
      <c r="I219" s="14"/>
      <c r="J219" s="14"/>
      <c r="K219" s="14"/>
      <c r="L219" s="26">
        <f>K219/$U209</f>
        <v>0</v>
      </c>
      <c r="M219" s="14"/>
      <c r="N219" s="14"/>
      <c r="O219" s="14"/>
      <c r="P219" s="14"/>
      <c r="Q219" s="26">
        <f>P219/$U209</f>
        <v>0</v>
      </c>
      <c r="R219" s="14"/>
      <c r="S219" s="14"/>
      <c r="T219" s="14"/>
      <c r="U219" s="221"/>
      <c r="V219" s="221"/>
      <c r="W219" s="195"/>
      <c r="X219" s="221"/>
      <c r="Y219" s="195"/>
      <c r="Z219" s="221"/>
      <c r="AA219" s="195"/>
      <c r="AB219" s="205"/>
    </row>
    <row r="220" spans="1:28" ht="12.75" customHeight="1" x14ac:dyDescent="0.2">
      <c r="A220" s="228"/>
      <c r="B220" s="232" t="s">
        <v>21</v>
      </c>
      <c r="C220" s="9">
        <v>21283</v>
      </c>
      <c r="D220" s="9"/>
      <c r="E220" s="208" t="s">
        <v>1</v>
      </c>
      <c r="F220" s="15">
        <v>3586</v>
      </c>
      <c r="G220" s="27">
        <f>F220/$U209</f>
        <v>22.412500000000001</v>
      </c>
      <c r="H220" s="15"/>
      <c r="I220" s="15"/>
      <c r="J220" s="15"/>
      <c r="K220" s="15">
        <v>3036</v>
      </c>
      <c r="L220" s="27">
        <f>K220/$U209</f>
        <v>18.975000000000001</v>
      </c>
      <c r="M220" s="15"/>
      <c r="N220" s="15"/>
      <c r="O220" s="15"/>
      <c r="P220" s="15"/>
      <c r="Q220" s="27">
        <f>P220/$U209</f>
        <v>0</v>
      </c>
      <c r="R220" s="15"/>
      <c r="S220" s="15"/>
      <c r="T220" s="15"/>
      <c r="U220" s="210">
        <f>SUM(F220, K220, P220, F221, K221, P221)</f>
        <v>6622</v>
      </c>
      <c r="V220" s="210">
        <f>SUM(H220, M220, R220, H221, M221, R221)</f>
        <v>0</v>
      </c>
      <c r="W220" s="212">
        <f>IF($U220=0, ,V220/$U220)</f>
        <v>0</v>
      </c>
      <c r="X220" s="210">
        <f>SUM(I220, N220, S220, I221, N221, S221)</f>
        <v>0</v>
      </c>
      <c r="Y220" s="212">
        <f>IF($U220=0, ,X220/$U220)</f>
        <v>0</v>
      </c>
      <c r="Z220" s="210">
        <f>SUM(J220, O220, T220, J221, O221, T221)</f>
        <v>0</v>
      </c>
      <c r="AA220" s="212">
        <f>IF($U220=0, ,Z220/$U220)</f>
        <v>0</v>
      </c>
      <c r="AB220" s="214" t="s">
        <v>87</v>
      </c>
    </row>
    <row r="221" spans="1:28" ht="12.75" customHeight="1" x14ac:dyDescent="0.2">
      <c r="A221" s="228"/>
      <c r="B221" s="250"/>
      <c r="C221" s="9"/>
      <c r="D221" s="9"/>
      <c r="E221" s="209"/>
      <c r="F221" s="15"/>
      <c r="G221" s="27">
        <f>F221/$U209</f>
        <v>0</v>
      </c>
      <c r="H221" s="15"/>
      <c r="I221" s="15"/>
      <c r="J221" s="15"/>
      <c r="K221" s="15"/>
      <c r="L221" s="27">
        <f>K221/$U209</f>
        <v>0</v>
      </c>
      <c r="M221" s="15"/>
      <c r="N221" s="15"/>
      <c r="O221" s="15"/>
      <c r="P221" s="15"/>
      <c r="Q221" s="27">
        <f>P221/$U209</f>
        <v>0</v>
      </c>
      <c r="R221" s="15"/>
      <c r="S221" s="15"/>
      <c r="T221" s="15"/>
      <c r="U221" s="211"/>
      <c r="V221" s="211"/>
      <c r="W221" s="213"/>
      <c r="X221" s="211"/>
      <c r="Y221" s="213"/>
      <c r="Z221" s="211"/>
      <c r="AA221" s="213"/>
      <c r="AB221" s="215"/>
    </row>
    <row r="222" spans="1:28" ht="12.75" customHeight="1" x14ac:dyDescent="0.2">
      <c r="A222" s="228"/>
      <c r="B222" s="216" t="s">
        <v>22</v>
      </c>
      <c r="C222" s="11">
        <v>21283</v>
      </c>
      <c r="D222" s="11"/>
      <c r="E222" s="191" t="s">
        <v>1</v>
      </c>
      <c r="F222" s="16">
        <v>1086</v>
      </c>
      <c r="G222" s="28">
        <f>F222/$U209</f>
        <v>6.7874999999999996</v>
      </c>
      <c r="H222" s="16"/>
      <c r="I222" s="16"/>
      <c r="J222" s="16"/>
      <c r="K222" s="16">
        <v>3657</v>
      </c>
      <c r="L222" s="28">
        <f>K222/$U209</f>
        <v>22.856249999999999</v>
      </c>
      <c r="M222" s="16"/>
      <c r="N222" s="16"/>
      <c r="O222" s="16"/>
      <c r="P222" s="16"/>
      <c r="Q222" s="28">
        <f>P222/$U209</f>
        <v>0</v>
      </c>
      <c r="R222" s="16"/>
      <c r="S222" s="16"/>
      <c r="T222" s="16"/>
      <c r="U222" s="220">
        <f>SUM(F222, K222, P222, F223, K223, P223)</f>
        <v>4743</v>
      </c>
      <c r="V222" s="220">
        <f>SUM(H222, M222, R222, H223, M223, R223)</f>
        <v>0</v>
      </c>
      <c r="W222" s="194">
        <f>IF($U222=0, ,V222/$U222)</f>
        <v>0</v>
      </c>
      <c r="X222" s="220">
        <f>SUM(I222, N222, S222, I223, N223, S223)</f>
        <v>0</v>
      </c>
      <c r="Y222" s="194">
        <f>IF($U222=0, ,X222/$U222)</f>
        <v>0</v>
      </c>
      <c r="Z222" s="220">
        <f>SUM(J222, O222, T222, J223, O223, T223)</f>
        <v>0</v>
      </c>
      <c r="AA222" s="194">
        <f>IF($U222=0, ,Z222/$U222)</f>
        <v>0</v>
      </c>
      <c r="AB222" s="204" t="s">
        <v>87</v>
      </c>
    </row>
    <row r="223" spans="1:28" ht="12.75" customHeight="1" x14ac:dyDescent="0.2">
      <c r="A223" s="228"/>
      <c r="B223" s="217"/>
      <c r="C223" s="11"/>
      <c r="D223" s="11"/>
      <c r="E223" s="192"/>
      <c r="F223" s="16"/>
      <c r="G223" s="28">
        <f>F223/$U209</f>
        <v>0</v>
      </c>
      <c r="H223" s="16"/>
      <c r="I223" s="16"/>
      <c r="J223" s="16"/>
      <c r="K223" s="16"/>
      <c r="L223" s="28">
        <f>K223/$U209</f>
        <v>0</v>
      </c>
      <c r="M223" s="16"/>
      <c r="N223" s="16"/>
      <c r="O223" s="16"/>
      <c r="P223" s="16"/>
      <c r="Q223" s="28">
        <f>P223/$U209</f>
        <v>0</v>
      </c>
      <c r="R223" s="16"/>
      <c r="S223" s="16"/>
      <c r="T223" s="16"/>
      <c r="U223" s="221"/>
      <c r="V223" s="221"/>
      <c r="W223" s="195"/>
      <c r="X223" s="221"/>
      <c r="Y223" s="195"/>
      <c r="Z223" s="221"/>
      <c r="AA223" s="195"/>
      <c r="AB223" s="205"/>
    </row>
    <row r="224" spans="1:28" ht="13.5" customHeight="1" thickBot="1" x14ac:dyDescent="0.25">
      <c r="A224" s="228"/>
      <c r="B224" s="56"/>
      <c r="C224" s="56"/>
      <c r="D224" s="56"/>
      <c r="E224" s="56"/>
      <c r="F224" s="57"/>
      <c r="G224" s="58"/>
      <c r="H224" s="57"/>
      <c r="I224" s="57"/>
      <c r="J224" s="57"/>
      <c r="K224" s="57"/>
      <c r="L224" s="58"/>
      <c r="M224" s="57"/>
      <c r="N224" s="57"/>
      <c r="O224" s="57"/>
      <c r="P224" s="57"/>
      <c r="Q224" s="58"/>
      <c r="R224" s="57"/>
      <c r="S224" s="57"/>
      <c r="T224" s="60" t="s">
        <v>59</v>
      </c>
      <c r="U224" s="61">
        <f>SUM(U212:U223)</f>
        <v>29258</v>
      </c>
      <c r="V224" s="61">
        <f>SUM(V212:V223)</f>
        <v>0</v>
      </c>
      <c r="W224" s="62">
        <f>IF($U224=0, ,V224/$U224)</f>
        <v>0</v>
      </c>
      <c r="X224" s="61">
        <f>SUM(X212:X223)</f>
        <v>0</v>
      </c>
      <c r="Y224" s="62">
        <f>IF($U224=0, ,X224/$U224)</f>
        <v>0</v>
      </c>
      <c r="Z224" s="61">
        <f>SUM(Z212:Z223)</f>
        <v>0</v>
      </c>
      <c r="AA224" s="62">
        <f>IF($U224=0, ,Z224/$U224)</f>
        <v>0</v>
      </c>
      <c r="AB224" s="59"/>
    </row>
    <row r="225" spans="1:28" ht="13.5" customHeight="1" thickTop="1" x14ac:dyDescent="0.2">
      <c r="A225" s="228"/>
      <c r="B225" s="44"/>
      <c r="C225" s="45" t="s">
        <v>27</v>
      </c>
      <c r="D225" s="23"/>
      <c r="E225" s="44"/>
      <c r="F225" s="44"/>
      <c r="G225" s="44"/>
      <c r="H225" s="44"/>
      <c r="I225" s="44"/>
      <c r="J225" s="44"/>
      <c r="K225" s="44"/>
      <c r="L225" s="44"/>
      <c r="M225" s="44"/>
      <c r="N225" s="44"/>
      <c r="O225" s="93">
        <v>320</v>
      </c>
      <c r="P225" s="94" t="s">
        <v>33</v>
      </c>
      <c r="Q225" s="44"/>
      <c r="R225" s="44"/>
      <c r="S225" s="44"/>
      <c r="T225" s="44"/>
      <c r="U225" s="44"/>
      <c r="V225" s="44"/>
      <c r="W225" s="44"/>
      <c r="X225" s="44"/>
      <c r="Y225" s="44"/>
      <c r="Z225" s="44"/>
      <c r="AA225" s="44"/>
      <c r="AB225" s="46"/>
    </row>
    <row r="226" spans="1:28" ht="12.75" customHeight="1" x14ac:dyDescent="0.2">
      <c r="A226" s="228"/>
      <c r="B226" s="229" t="s">
        <v>35</v>
      </c>
      <c r="C226" s="230" t="s">
        <v>25</v>
      </c>
      <c r="D226" s="230" t="s">
        <v>28</v>
      </c>
      <c r="E226" s="237" t="s">
        <v>12</v>
      </c>
      <c r="F226" s="241" t="s">
        <v>13</v>
      </c>
      <c r="G226" s="241"/>
      <c r="H226" s="241"/>
      <c r="I226" s="241" t="s">
        <v>14</v>
      </c>
      <c r="J226" s="241"/>
      <c r="K226" s="241"/>
      <c r="L226" s="241" t="s">
        <v>15</v>
      </c>
      <c r="M226" s="241"/>
      <c r="N226" s="241"/>
      <c r="O226" s="225" t="s">
        <v>34</v>
      </c>
      <c r="P226" s="225" t="s">
        <v>48</v>
      </c>
      <c r="Q226" s="225" t="s">
        <v>60</v>
      </c>
      <c r="R226" s="225" t="s">
        <v>49</v>
      </c>
      <c r="S226" s="225" t="s">
        <v>61</v>
      </c>
      <c r="T226" s="251"/>
      <c r="U226" s="251"/>
      <c r="V226" s="251"/>
      <c r="W226" s="251"/>
      <c r="X226" s="251"/>
      <c r="Y226" s="251"/>
      <c r="Z226" s="251"/>
      <c r="AA226" s="251"/>
      <c r="AB226" s="252"/>
    </row>
    <row r="227" spans="1:28" ht="25.5" x14ac:dyDescent="0.2">
      <c r="A227" s="228"/>
      <c r="B227" s="229"/>
      <c r="C227" s="230"/>
      <c r="D227" s="230"/>
      <c r="E227" s="237"/>
      <c r="F227" s="18" t="s">
        <v>30</v>
      </c>
      <c r="G227" s="18" t="s">
        <v>46</v>
      </c>
      <c r="H227" s="18" t="s">
        <v>47</v>
      </c>
      <c r="I227" s="18" t="s">
        <v>30</v>
      </c>
      <c r="J227" s="18" t="s">
        <v>46</v>
      </c>
      <c r="K227" s="18" t="s">
        <v>47</v>
      </c>
      <c r="L227" s="18" t="s">
        <v>30</v>
      </c>
      <c r="M227" s="18" t="s">
        <v>46</v>
      </c>
      <c r="N227" s="18" t="s">
        <v>47</v>
      </c>
      <c r="O227" s="227"/>
      <c r="P227" s="227"/>
      <c r="Q227" s="227"/>
      <c r="R227" s="227"/>
      <c r="S227" s="227"/>
      <c r="T227" s="253"/>
      <c r="U227" s="253"/>
      <c r="V227" s="253"/>
      <c r="W227" s="253"/>
      <c r="X227" s="253"/>
      <c r="Y227" s="253"/>
      <c r="Z227" s="253"/>
      <c r="AA227" s="253"/>
      <c r="AB227" s="254"/>
    </row>
    <row r="228" spans="1:28" ht="12.75" customHeight="1" x14ac:dyDescent="0.2">
      <c r="A228" s="228"/>
      <c r="B228" s="242" t="s">
        <v>36</v>
      </c>
      <c r="C228" s="12">
        <v>21283</v>
      </c>
      <c r="D228" s="12" t="s">
        <v>95</v>
      </c>
      <c r="E228" s="243" t="s">
        <v>1</v>
      </c>
      <c r="F228" s="13">
        <v>24</v>
      </c>
      <c r="G228" s="13">
        <v>0</v>
      </c>
      <c r="H228" s="13">
        <v>0</v>
      </c>
      <c r="I228" s="13">
        <v>35</v>
      </c>
      <c r="J228" s="13"/>
      <c r="K228" s="13"/>
      <c r="L228" s="13"/>
      <c r="M228" s="13">
        <f>H233+K233+N233+Q233+T233+W233+Z233</f>
        <v>0</v>
      </c>
      <c r="N228" s="13">
        <f>H234+K234+N234+Q234+T234+W234+Z234</f>
        <v>0</v>
      </c>
      <c r="O228" s="210">
        <f>SUM(F228, I228, L228, F229, I229, L229)*$O225</f>
        <v>18880</v>
      </c>
      <c r="P228" s="210">
        <f>SUM(G228, J228, M228, G229, J229, M229)</f>
        <v>0</v>
      </c>
      <c r="Q228" s="212">
        <f>IF($O228=0, ,P228/$O228)</f>
        <v>0</v>
      </c>
      <c r="R228" s="210">
        <f>SUM(H228, K228, N228, H229, K229, N229)</f>
        <v>0</v>
      </c>
      <c r="S228" s="212">
        <f>IF($O228=0, ,R228/$O228)</f>
        <v>0</v>
      </c>
      <c r="T228" s="244"/>
      <c r="U228" s="244"/>
      <c r="V228" s="244"/>
      <c r="W228" s="244"/>
      <c r="X228" s="244"/>
      <c r="Y228" s="244"/>
      <c r="Z228" s="244"/>
      <c r="AA228" s="244"/>
      <c r="AB228" s="245"/>
    </row>
    <row r="229" spans="1:28" ht="12.75" customHeight="1" x14ac:dyDescent="0.2">
      <c r="A229" s="228"/>
      <c r="B229" s="242"/>
      <c r="C229" s="12"/>
      <c r="D229" s="12"/>
      <c r="E229" s="243"/>
      <c r="F229" s="13"/>
      <c r="G229" s="13">
        <f>F235+I235+L235+O235+R235+U235+X235</f>
        <v>0</v>
      </c>
      <c r="H229" s="13">
        <f>F236+I236+L236+O236+R236+U236+X236</f>
        <v>0</v>
      </c>
      <c r="I229" s="13"/>
      <c r="J229" s="13">
        <f>G235+J235+M235+P235+S235+V235+Y235</f>
        <v>0</v>
      </c>
      <c r="K229" s="13">
        <f>G236+J236+M236+P236+S236+V236+Y236</f>
        <v>0</v>
      </c>
      <c r="L229" s="13"/>
      <c r="M229" s="13">
        <f>H235+K235+N235+Q235+T235+W235+Z235</f>
        <v>0</v>
      </c>
      <c r="N229" s="13">
        <f>H236+K236+N236+Q236+T236+W236+Z236</f>
        <v>0</v>
      </c>
      <c r="O229" s="211"/>
      <c r="P229" s="211"/>
      <c r="Q229" s="213"/>
      <c r="R229" s="211"/>
      <c r="S229" s="213"/>
      <c r="T229" s="246"/>
      <c r="U229" s="246"/>
      <c r="V229" s="246"/>
      <c r="W229" s="246"/>
      <c r="X229" s="246"/>
      <c r="Y229" s="246"/>
      <c r="Z229" s="246"/>
      <c r="AA229" s="246"/>
      <c r="AB229" s="247"/>
    </row>
    <row r="230" spans="1:28" ht="12.75" customHeight="1" x14ac:dyDescent="0.2">
      <c r="A230" s="228"/>
      <c r="B230" s="56"/>
      <c r="C230" s="56"/>
      <c r="D230" s="56"/>
      <c r="E230" s="56"/>
      <c r="F230" s="89"/>
      <c r="G230" s="89"/>
      <c r="H230" s="89"/>
      <c r="I230" s="89"/>
      <c r="J230" s="89"/>
      <c r="K230" s="89"/>
      <c r="L230" s="89"/>
      <c r="M230" s="89"/>
      <c r="N230" s="89"/>
      <c r="O230" s="90"/>
      <c r="P230" s="90"/>
      <c r="Q230" s="91"/>
      <c r="R230" s="90"/>
      <c r="S230" s="91"/>
      <c r="T230" s="92"/>
      <c r="U230" s="92"/>
      <c r="V230" s="92"/>
      <c r="W230" s="92"/>
      <c r="X230" s="92"/>
      <c r="Y230" s="92"/>
      <c r="Z230" s="92"/>
      <c r="AA230" s="92"/>
      <c r="AB230" s="95"/>
    </row>
    <row r="231" spans="1:28" ht="12.75" customHeight="1" x14ac:dyDescent="0.2">
      <c r="A231" s="228"/>
      <c r="B231" s="256" t="s">
        <v>67</v>
      </c>
      <c r="C231" s="256"/>
      <c r="D231" s="257"/>
      <c r="E231" s="82" t="s">
        <v>68</v>
      </c>
      <c r="F231" s="248" t="s">
        <v>64</v>
      </c>
      <c r="G231" s="248"/>
      <c r="H231" s="248"/>
      <c r="I231" s="248" t="s">
        <v>76</v>
      </c>
      <c r="J231" s="248"/>
      <c r="K231" s="248"/>
      <c r="L231" s="248" t="s">
        <v>65</v>
      </c>
      <c r="M231" s="248"/>
      <c r="N231" s="248"/>
      <c r="O231" s="248" t="s">
        <v>66</v>
      </c>
      <c r="P231" s="248"/>
      <c r="Q231" s="248"/>
      <c r="R231" s="248" t="s">
        <v>73</v>
      </c>
      <c r="S231" s="248"/>
      <c r="T231" s="248"/>
      <c r="U231" s="248" t="s">
        <v>74</v>
      </c>
      <c r="V231" s="248"/>
      <c r="W231" s="248"/>
      <c r="X231" s="248" t="s">
        <v>75</v>
      </c>
      <c r="Y231" s="248"/>
      <c r="Z231" s="248"/>
      <c r="AA231" s="249"/>
      <c r="AB231" s="249"/>
    </row>
    <row r="232" spans="1:28" ht="12.75" customHeight="1" x14ac:dyDescent="0.2">
      <c r="A232" s="228"/>
      <c r="B232" s="258"/>
      <c r="C232" s="258"/>
      <c r="D232" s="259"/>
      <c r="E232" s="97" t="s">
        <v>69</v>
      </c>
      <c r="F232" s="83" t="s">
        <v>70</v>
      </c>
      <c r="G232" s="83" t="s">
        <v>71</v>
      </c>
      <c r="H232" s="84" t="s">
        <v>72</v>
      </c>
      <c r="I232" s="83" t="s">
        <v>70</v>
      </c>
      <c r="J232" s="83" t="s">
        <v>71</v>
      </c>
      <c r="K232" s="84" t="s">
        <v>72</v>
      </c>
      <c r="L232" s="83" t="s">
        <v>70</v>
      </c>
      <c r="M232" s="83" t="s">
        <v>71</v>
      </c>
      <c r="N232" s="84" t="s">
        <v>72</v>
      </c>
      <c r="O232" s="83" t="s">
        <v>70</v>
      </c>
      <c r="P232" s="83" t="s">
        <v>71</v>
      </c>
      <c r="Q232" s="84" t="s">
        <v>72</v>
      </c>
      <c r="R232" s="83" t="s">
        <v>70</v>
      </c>
      <c r="S232" s="83" t="s">
        <v>71</v>
      </c>
      <c r="T232" s="84" t="s">
        <v>72</v>
      </c>
      <c r="U232" s="83" t="s">
        <v>70</v>
      </c>
      <c r="V232" s="83" t="s">
        <v>71</v>
      </c>
      <c r="W232" s="84" t="s">
        <v>72</v>
      </c>
      <c r="X232" s="83" t="s">
        <v>70</v>
      </c>
      <c r="Y232" s="83" t="s">
        <v>71</v>
      </c>
      <c r="Z232" s="84" t="s">
        <v>72</v>
      </c>
      <c r="AA232" s="249"/>
      <c r="AB232" s="249"/>
    </row>
    <row r="233" spans="1:28" ht="12.75" customHeight="1" x14ac:dyDescent="0.2">
      <c r="A233" s="228"/>
      <c r="B233" s="260" t="str">
        <f>B228</f>
        <v>Final ASS</v>
      </c>
      <c r="C233" s="82">
        <f>IF(ISBLANK(C228), "", C228)</f>
        <v>21283</v>
      </c>
      <c r="D233" s="96" t="str">
        <f>IF(ISBLANK(D228), "", D228)</f>
        <v>unilever</v>
      </c>
      <c r="E233" s="82" t="s">
        <v>77</v>
      </c>
      <c r="F233" s="86"/>
      <c r="G233" s="85"/>
      <c r="H233" s="85"/>
      <c r="I233" s="85"/>
      <c r="J233" s="85"/>
      <c r="K233" s="85"/>
      <c r="L233" s="87"/>
      <c r="M233" s="87"/>
      <c r="N233" s="87"/>
      <c r="O233" s="87"/>
      <c r="P233" s="87"/>
      <c r="Q233" s="85"/>
      <c r="R233" s="87"/>
      <c r="S233" s="87"/>
      <c r="T233" s="87"/>
      <c r="U233" s="87"/>
      <c r="V233" s="87"/>
      <c r="W233" s="85"/>
      <c r="X233" s="85"/>
      <c r="Y233" s="85"/>
      <c r="Z233" s="88"/>
      <c r="AA233" s="249"/>
      <c r="AB233" s="249"/>
    </row>
    <row r="234" spans="1:28" ht="12.75" customHeight="1" x14ac:dyDescent="0.2">
      <c r="A234" s="228"/>
      <c r="B234" s="260"/>
      <c r="C234" s="82">
        <f>IF(ISBLANK(C228), "", C228)</f>
        <v>21283</v>
      </c>
      <c r="D234" s="96" t="str">
        <f>IF(ISBLANK(D228), "", D228)</f>
        <v>unilever</v>
      </c>
      <c r="E234" s="82" t="s">
        <v>78</v>
      </c>
      <c r="F234" s="86"/>
      <c r="G234" s="85"/>
      <c r="H234" s="85"/>
      <c r="I234" s="85"/>
      <c r="J234" s="85"/>
      <c r="K234" s="85"/>
      <c r="L234" s="87"/>
      <c r="M234" s="87"/>
      <c r="N234" s="87"/>
      <c r="O234" s="87"/>
      <c r="P234" s="87"/>
      <c r="Q234" s="85"/>
      <c r="R234" s="87"/>
      <c r="S234" s="87"/>
      <c r="T234" s="87"/>
      <c r="U234" s="87"/>
      <c r="V234" s="87"/>
      <c r="W234" s="85"/>
      <c r="X234" s="85"/>
      <c r="Y234" s="85"/>
      <c r="Z234" s="88"/>
      <c r="AA234" s="249"/>
      <c r="AB234" s="249"/>
    </row>
    <row r="235" spans="1:28" ht="12.75" customHeight="1" x14ac:dyDescent="0.2">
      <c r="A235" s="228"/>
      <c r="B235" s="260"/>
      <c r="C235" s="82" t="str">
        <f>IF(ISBLANK(C229), "", C229)</f>
        <v/>
      </c>
      <c r="D235" s="96" t="str">
        <f>IF(ISBLANK(D229), "", D229)</f>
        <v/>
      </c>
      <c r="E235" s="82" t="s">
        <v>77</v>
      </c>
      <c r="F235" s="86"/>
      <c r="G235" s="85"/>
      <c r="H235" s="85"/>
      <c r="I235" s="85"/>
      <c r="J235" s="85"/>
      <c r="K235" s="85"/>
      <c r="L235" s="87"/>
      <c r="M235" s="87"/>
      <c r="N235" s="87"/>
      <c r="O235" s="87"/>
      <c r="P235" s="87"/>
      <c r="Q235" s="85"/>
      <c r="R235" s="87"/>
      <c r="S235" s="87"/>
      <c r="T235" s="87"/>
      <c r="U235" s="87"/>
      <c r="V235" s="87"/>
      <c r="W235" s="85"/>
      <c r="X235" s="85"/>
      <c r="Y235" s="85"/>
      <c r="Z235" s="88"/>
      <c r="AA235" s="249"/>
      <c r="AB235" s="249"/>
    </row>
    <row r="236" spans="1:28" ht="12.75" customHeight="1" x14ac:dyDescent="0.2">
      <c r="A236" s="228"/>
      <c r="B236" s="260"/>
      <c r="C236" s="82" t="str">
        <f>IF(ISBLANK(C229), "", C229)</f>
        <v/>
      </c>
      <c r="D236" s="96" t="str">
        <f>IF(ISBLANK(D229), "", D229)</f>
        <v/>
      </c>
      <c r="E236" s="82" t="s">
        <v>78</v>
      </c>
      <c r="F236" s="86"/>
      <c r="G236" s="85"/>
      <c r="H236" s="85"/>
      <c r="I236" s="85"/>
      <c r="J236" s="85"/>
      <c r="K236" s="85"/>
      <c r="L236" s="87"/>
      <c r="M236" s="87"/>
      <c r="N236" s="87"/>
      <c r="O236" s="87"/>
      <c r="P236" s="87"/>
      <c r="Q236" s="85"/>
      <c r="R236" s="87"/>
      <c r="S236" s="87"/>
      <c r="T236" s="87"/>
      <c r="U236" s="87"/>
      <c r="V236" s="87"/>
      <c r="W236" s="85"/>
      <c r="X236" s="85"/>
      <c r="Y236" s="85"/>
      <c r="Z236" s="88"/>
      <c r="AA236" s="249"/>
      <c r="AB236" s="249"/>
    </row>
    <row r="238" spans="1:28" x14ac:dyDescent="0.2">
      <c r="A238" s="228">
        <v>44721</v>
      </c>
      <c r="B238" s="19"/>
      <c r="C238" s="19" t="s">
        <v>42</v>
      </c>
      <c r="D238" s="20"/>
      <c r="E238" s="21" t="s">
        <v>41</v>
      </c>
      <c r="F238" s="20">
        <v>0</v>
      </c>
      <c r="G238" s="20"/>
      <c r="H238" s="20"/>
      <c r="I238" s="21"/>
      <c r="J238" s="21"/>
      <c r="K238" s="32"/>
      <c r="L238" s="32"/>
      <c r="M238" s="20"/>
      <c r="N238" s="21"/>
      <c r="O238" s="21"/>
      <c r="P238" s="32"/>
      <c r="Q238" s="32"/>
      <c r="R238" s="20"/>
      <c r="S238" s="21"/>
      <c r="T238" s="21"/>
      <c r="U238" s="41">
        <v>160</v>
      </c>
      <c r="V238" s="42" t="s">
        <v>32</v>
      </c>
      <c r="W238" s="42"/>
      <c r="X238" s="43"/>
      <c r="Y238" s="31"/>
      <c r="Z238" s="31"/>
      <c r="AA238" s="31"/>
      <c r="AB238" s="33"/>
    </row>
    <row r="239" spans="1:28" x14ac:dyDescent="0.2">
      <c r="A239" s="228"/>
      <c r="B239" s="229" t="s">
        <v>10</v>
      </c>
      <c r="C239" s="230" t="s">
        <v>25</v>
      </c>
      <c r="D239" s="230" t="s">
        <v>28</v>
      </c>
      <c r="E239" s="237" t="s">
        <v>12</v>
      </c>
      <c r="F239" s="222" t="s">
        <v>13</v>
      </c>
      <c r="G239" s="223"/>
      <c r="H239" s="223"/>
      <c r="I239" s="223"/>
      <c r="J239" s="224"/>
      <c r="K239" s="222" t="s">
        <v>14</v>
      </c>
      <c r="L239" s="223"/>
      <c r="M239" s="223"/>
      <c r="N239" s="223"/>
      <c r="O239" s="224"/>
      <c r="P239" s="222" t="s">
        <v>15</v>
      </c>
      <c r="Q239" s="223"/>
      <c r="R239" s="223"/>
      <c r="S239" s="223"/>
      <c r="T239" s="224"/>
      <c r="U239" s="255" t="s">
        <v>34</v>
      </c>
      <c r="V239" s="255" t="s">
        <v>48</v>
      </c>
      <c r="W239" s="255" t="s">
        <v>56</v>
      </c>
      <c r="X239" s="255" t="s">
        <v>54</v>
      </c>
      <c r="Y239" s="255" t="s">
        <v>57</v>
      </c>
      <c r="Z239" s="255" t="s">
        <v>55</v>
      </c>
      <c r="AA239" s="255" t="s">
        <v>58</v>
      </c>
      <c r="AB239" s="255" t="s">
        <v>38</v>
      </c>
    </row>
    <row r="240" spans="1:28" ht="38.25" x14ac:dyDescent="0.2">
      <c r="A240" s="228"/>
      <c r="B240" s="229"/>
      <c r="C240" s="230"/>
      <c r="D240" s="230"/>
      <c r="E240" s="237"/>
      <c r="F240" s="18" t="s">
        <v>45</v>
      </c>
      <c r="G240" s="18" t="s">
        <v>29</v>
      </c>
      <c r="H240" s="18" t="s">
        <v>46</v>
      </c>
      <c r="I240" s="18" t="s">
        <v>52</v>
      </c>
      <c r="J240" s="18" t="s">
        <v>53</v>
      </c>
      <c r="K240" s="18" t="s">
        <v>45</v>
      </c>
      <c r="L240" s="18" t="s">
        <v>29</v>
      </c>
      <c r="M240" s="18" t="s">
        <v>46</v>
      </c>
      <c r="N240" s="18" t="s">
        <v>52</v>
      </c>
      <c r="O240" s="18" t="s">
        <v>53</v>
      </c>
      <c r="P240" s="18" t="s">
        <v>45</v>
      </c>
      <c r="Q240" s="18" t="s">
        <v>29</v>
      </c>
      <c r="R240" s="18" t="s">
        <v>46</v>
      </c>
      <c r="S240" s="18" t="s">
        <v>52</v>
      </c>
      <c r="T240" s="18" t="s">
        <v>53</v>
      </c>
      <c r="U240" s="255"/>
      <c r="V240" s="255"/>
      <c r="W240" s="255"/>
      <c r="X240" s="255"/>
      <c r="Y240" s="255"/>
      <c r="Z240" s="255"/>
      <c r="AA240" s="255"/>
      <c r="AB240" s="255"/>
    </row>
    <row r="241" spans="1:28" x14ac:dyDescent="0.2">
      <c r="A241" s="228"/>
      <c r="B241" s="232" t="s">
        <v>17</v>
      </c>
      <c r="C241" s="12">
        <v>21283</v>
      </c>
      <c r="D241" s="12"/>
      <c r="E241" s="234" t="s">
        <v>1</v>
      </c>
      <c r="F241" s="13">
        <v>3919</v>
      </c>
      <c r="G241" s="25">
        <f>F241/$U238</f>
        <v>24.493749999999999</v>
      </c>
      <c r="H241" s="13"/>
      <c r="I241" s="13"/>
      <c r="J241" s="13"/>
      <c r="K241" s="13">
        <v>0</v>
      </c>
      <c r="L241" s="25">
        <f>K241/$U238</f>
        <v>0</v>
      </c>
      <c r="M241" s="13"/>
      <c r="N241" s="13"/>
      <c r="O241" s="13"/>
      <c r="P241" s="13"/>
      <c r="Q241" s="25">
        <f>P241/$U238</f>
        <v>0</v>
      </c>
      <c r="R241" s="13"/>
      <c r="S241" s="13"/>
      <c r="T241" s="13"/>
      <c r="U241" s="210">
        <f>SUM(F241, K241, P241, F242, K242, P242)</f>
        <v>3919</v>
      </c>
      <c r="V241" s="210">
        <f>SUM(H241, M241, R241, H242, M242, R242)</f>
        <v>0</v>
      </c>
      <c r="W241" s="212">
        <f>IF($U241=0, ,V241/$U241)</f>
        <v>0</v>
      </c>
      <c r="X241" s="210">
        <f>SUM(I241, N241, S241, I242, N242, S242)</f>
        <v>0</v>
      </c>
      <c r="Y241" s="212">
        <f>IF($U241=0, ,X241/$U241)</f>
        <v>0</v>
      </c>
      <c r="Z241" s="210">
        <f>SUM(J241, O241, T241, J242, O242, T242)</f>
        <v>0</v>
      </c>
      <c r="AA241" s="212">
        <f>IF($U241=0, ,Z241/$U241)</f>
        <v>0</v>
      </c>
      <c r="AB241" s="214" t="s">
        <v>87</v>
      </c>
    </row>
    <row r="242" spans="1:28" x14ac:dyDescent="0.2">
      <c r="A242" s="228"/>
      <c r="B242" s="250"/>
      <c r="C242" s="12"/>
      <c r="D242" s="12"/>
      <c r="E242" s="236"/>
      <c r="F242" s="13"/>
      <c r="G242" s="25">
        <f>F242/$U238</f>
        <v>0</v>
      </c>
      <c r="H242" s="13"/>
      <c r="I242" s="13"/>
      <c r="J242" s="13"/>
      <c r="K242" s="13"/>
      <c r="L242" s="25">
        <f>K242/$U238</f>
        <v>0</v>
      </c>
      <c r="M242" s="13"/>
      <c r="N242" s="13"/>
      <c r="O242" s="13"/>
      <c r="P242" s="13"/>
      <c r="Q242" s="25">
        <f>P242/$U238</f>
        <v>0</v>
      </c>
      <c r="R242" s="13"/>
      <c r="S242" s="13"/>
      <c r="T242" s="13"/>
      <c r="U242" s="211"/>
      <c r="V242" s="211"/>
      <c r="W242" s="213"/>
      <c r="X242" s="211"/>
      <c r="Y242" s="213"/>
      <c r="Z242" s="211"/>
      <c r="AA242" s="213"/>
      <c r="AB242" s="215"/>
    </row>
    <row r="243" spans="1:28" x14ac:dyDescent="0.2">
      <c r="A243" s="228"/>
      <c r="B243" s="216" t="s">
        <v>18</v>
      </c>
      <c r="C243" s="10">
        <v>21283</v>
      </c>
      <c r="D243" s="10"/>
      <c r="E243" s="218" t="s">
        <v>1</v>
      </c>
      <c r="F243" s="14">
        <v>4027</v>
      </c>
      <c r="G243" s="26">
        <f>F243/$U238</f>
        <v>25.168749999999999</v>
      </c>
      <c r="H243" s="14"/>
      <c r="I243" s="14"/>
      <c r="J243" s="14"/>
      <c r="K243" s="14">
        <v>3219</v>
      </c>
      <c r="L243" s="26">
        <f>K243/$U238</f>
        <v>20.118749999999999</v>
      </c>
      <c r="M243" s="14"/>
      <c r="N243" s="14"/>
      <c r="O243" s="14"/>
      <c r="P243" s="14"/>
      <c r="Q243" s="26">
        <f>P243/$U238</f>
        <v>0</v>
      </c>
      <c r="R243" s="14"/>
      <c r="S243" s="14"/>
      <c r="T243" s="14"/>
      <c r="U243" s="220">
        <f>SUM(F243, K243, P243, F244, K244, P244)</f>
        <v>7246</v>
      </c>
      <c r="V243" s="220">
        <f>SUM(H243, M243, R243, H244, M244, R244)</f>
        <v>0</v>
      </c>
      <c r="W243" s="194">
        <f>IF($U243=0, ,V243/$U243)</f>
        <v>0</v>
      </c>
      <c r="X243" s="220">
        <f>SUM(I243, N243, S243, I244, N244, S244)</f>
        <v>0</v>
      </c>
      <c r="Y243" s="194">
        <f>IF($U243=0, ,X243/$U243)</f>
        <v>0</v>
      </c>
      <c r="Z243" s="220">
        <f>SUM(J243, O243, T243, J244, O244, T244)</f>
        <v>0</v>
      </c>
      <c r="AA243" s="194">
        <f>IF($U243=0, ,Z243/$U243)</f>
        <v>0</v>
      </c>
      <c r="AB243" s="204" t="s">
        <v>87</v>
      </c>
    </row>
    <row r="244" spans="1:28" x14ac:dyDescent="0.2">
      <c r="A244" s="228"/>
      <c r="B244" s="217"/>
      <c r="C244" s="10"/>
      <c r="D244" s="10"/>
      <c r="E244" s="219"/>
      <c r="F244" s="14"/>
      <c r="G244" s="26">
        <f>F244/$U238</f>
        <v>0</v>
      </c>
      <c r="H244" s="14"/>
      <c r="I244" s="14"/>
      <c r="J244" s="14"/>
      <c r="K244" s="14"/>
      <c r="L244" s="26">
        <f>K244/$U238</f>
        <v>0</v>
      </c>
      <c r="M244" s="14"/>
      <c r="N244" s="14"/>
      <c r="O244" s="14"/>
      <c r="P244" s="14"/>
      <c r="Q244" s="26">
        <f>P244/$U238</f>
        <v>0</v>
      </c>
      <c r="R244" s="14"/>
      <c r="S244" s="14"/>
      <c r="T244" s="14"/>
      <c r="U244" s="221"/>
      <c r="V244" s="221"/>
      <c r="W244" s="195"/>
      <c r="X244" s="221"/>
      <c r="Y244" s="195"/>
      <c r="Z244" s="221"/>
      <c r="AA244" s="195"/>
      <c r="AB244" s="205"/>
    </row>
    <row r="245" spans="1:28" x14ac:dyDescent="0.2">
      <c r="A245" s="228"/>
      <c r="B245" s="232" t="s">
        <v>19</v>
      </c>
      <c r="C245" s="9">
        <v>21283</v>
      </c>
      <c r="D245" s="9"/>
      <c r="E245" s="208" t="s">
        <v>1</v>
      </c>
      <c r="F245" s="15">
        <v>2045</v>
      </c>
      <c r="G245" s="27">
        <f>F245/$U238</f>
        <v>12.78125</v>
      </c>
      <c r="H245" s="15"/>
      <c r="I245" s="15"/>
      <c r="J245" s="15"/>
      <c r="K245" s="15">
        <v>1619</v>
      </c>
      <c r="L245" s="27">
        <f>K245/$U238</f>
        <v>10.11875</v>
      </c>
      <c r="M245" s="15"/>
      <c r="N245" s="15"/>
      <c r="O245" s="15"/>
      <c r="P245" s="15"/>
      <c r="Q245" s="27">
        <f>P245/$U238</f>
        <v>0</v>
      </c>
      <c r="R245" s="15"/>
      <c r="S245" s="15"/>
      <c r="T245" s="15"/>
      <c r="U245" s="210">
        <f>SUM(F245, K245, P245, F246, K246, P246)</f>
        <v>3664</v>
      </c>
      <c r="V245" s="210">
        <f>SUM(H245, M245, R245, H246, M246, R246)</f>
        <v>0</v>
      </c>
      <c r="W245" s="212">
        <f>IF($U245=0, ,V245/$U245)</f>
        <v>0</v>
      </c>
      <c r="X245" s="210">
        <f>SUM(I245, N245, S245, I246, N246, S246)</f>
        <v>0</v>
      </c>
      <c r="Y245" s="212">
        <f>IF($U245=0, ,X245/$U245)</f>
        <v>0</v>
      </c>
      <c r="Z245" s="210">
        <f>SUM(J245, O245, T245, J246, O246, T246)</f>
        <v>0</v>
      </c>
      <c r="AA245" s="212">
        <f>IF($U245=0, ,Z245/$U245)</f>
        <v>0</v>
      </c>
      <c r="AB245" s="214" t="s">
        <v>87</v>
      </c>
    </row>
    <row r="246" spans="1:28" x14ac:dyDescent="0.2">
      <c r="A246" s="228"/>
      <c r="B246" s="250"/>
      <c r="C246" s="9"/>
      <c r="D246" s="9"/>
      <c r="E246" s="209"/>
      <c r="F246" s="15"/>
      <c r="G246" s="27">
        <f>F246/$U238</f>
        <v>0</v>
      </c>
      <c r="H246" s="15"/>
      <c r="I246" s="15"/>
      <c r="J246" s="15"/>
      <c r="K246" s="15"/>
      <c r="L246" s="27">
        <f>K246/$U238</f>
        <v>0</v>
      </c>
      <c r="M246" s="15"/>
      <c r="N246" s="15"/>
      <c r="O246" s="15"/>
      <c r="P246" s="15"/>
      <c r="Q246" s="27">
        <f>P246/$U238</f>
        <v>0</v>
      </c>
      <c r="R246" s="15"/>
      <c r="S246" s="15"/>
      <c r="T246" s="15"/>
      <c r="U246" s="211"/>
      <c r="V246" s="211"/>
      <c r="W246" s="213"/>
      <c r="X246" s="211"/>
      <c r="Y246" s="213"/>
      <c r="Z246" s="211"/>
      <c r="AA246" s="213"/>
      <c r="AB246" s="215"/>
    </row>
    <row r="247" spans="1:28" x14ac:dyDescent="0.2">
      <c r="A247" s="228"/>
      <c r="B247" s="216" t="s">
        <v>20</v>
      </c>
      <c r="C247" s="10">
        <v>21283</v>
      </c>
      <c r="D247" s="10"/>
      <c r="E247" s="218" t="s">
        <v>1</v>
      </c>
      <c r="F247" s="14">
        <v>4050</v>
      </c>
      <c r="G247" s="26">
        <f>F247/$U238</f>
        <v>25.3125</v>
      </c>
      <c r="H247" s="14"/>
      <c r="I247" s="14"/>
      <c r="J247" s="14"/>
      <c r="K247" s="14">
        <v>3632</v>
      </c>
      <c r="L247" s="26">
        <f>K247/$U238</f>
        <v>22.7</v>
      </c>
      <c r="M247" s="14"/>
      <c r="N247" s="14"/>
      <c r="O247" s="14"/>
      <c r="P247" s="14"/>
      <c r="Q247" s="26">
        <f>P247/$U238</f>
        <v>0</v>
      </c>
      <c r="R247" s="14"/>
      <c r="S247" s="14"/>
      <c r="T247" s="14"/>
      <c r="U247" s="220">
        <f>SUM(F247, K247, P247, F248, K248, P248)</f>
        <v>7682</v>
      </c>
      <c r="V247" s="220">
        <f>SUM(H247, M247, R247, H248, M248, R248)</f>
        <v>0</v>
      </c>
      <c r="W247" s="194">
        <f>IF($U247=0, ,V247/$U247)</f>
        <v>0</v>
      </c>
      <c r="X247" s="220">
        <f>SUM(I247, N247, S247, I248, N248, S248)</f>
        <v>0</v>
      </c>
      <c r="Y247" s="194">
        <f>IF($U247=0, ,X247/$U247)</f>
        <v>0</v>
      </c>
      <c r="Z247" s="220">
        <f>SUM(J247, O247, T247, J248, O248, T248)</f>
        <v>0</v>
      </c>
      <c r="AA247" s="194">
        <f>IF($U247=0, ,Z247/$U247)</f>
        <v>0</v>
      </c>
      <c r="AB247" s="204" t="s">
        <v>87</v>
      </c>
    </row>
    <row r="248" spans="1:28" x14ac:dyDescent="0.2">
      <c r="A248" s="228"/>
      <c r="B248" s="217"/>
      <c r="C248" s="10"/>
      <c r="D248" s="10"/>
      <c r="E248" s="219"/>
      <c r="F248" s="14"/>
      <c r="G248" s="26">
        <f>F248/$U238</f>
        <v>0</v>
      </c>
      <c r="H248" s="14"/>
      <c r="I248" s="14"/>
      <c r="J248" s="14"/>
      <c r="K248" s="14"/>
      <c r="L248" s="26">
        <f>K248/$U238</f>
        <v>0</v>
      </c>
      <c r="M248" s="14"/>
      <c r="N248" s="14"/>
      <c r="O248" s="14"/>
      <c r="P248" s="14"/>
      <c r="Q248" s="26">
        <f>P248/$U238</f>
        <v>0</v>
      </c>
      <c r="R248" s="14"/>
      <c r="S248" s="14"/>
      <c r="T248" s="14"/>
      <c r="U248" s="221"/>
      <c r="V248" s="221"/>
      <c r="W248" s="195"/>
      <c r="X248" s="221"/>
      <c r="Y248" s="195"/>
      <c r="Z248" s="221"/>
      <c r="AA248" s="195"/>
      <c r="AB248" s="205"/>
    </row>
    <row r="249" spans="1:28" x14ac:dyDescent="0.2">
      <c r="A249" s="228"/>
      <c r="B249" s="232" t="s">
        <v>21</v>
      </c>
      <c r="C249" s="9">
        <v>21283</v>
      </c>
      <c r="D249" s="9"/>
      <c r="E249" s="208" t="s">
        <v>1</v>
      </c>
      <c r="F249" s="15">
        <v>3871</v>
      </c>
      <c r="G249" s="27">
        <f>F249/$U238</f>
        <v>24.193750000000001</v>
      </c>
      <c r="H249" s="15"/>
      <c r="I249" s="15"/>
      <c r="J249" s="15"/>
      <c r="K249" s="15">
        <v>2978</v>
      </c>
      <c r="L249" s="27">
        <f>K249/$U238</f>
        <v>18.612500000000001</v>
      </c>
      <c r="M249" s="15"/>
      <c r="N249" s="15"/>
      <c r="O249" s="15"/>
      <c r="P249" s="15"/>
      <c r="Q249" s="27">
        <f>P249/$U238</f>
        <v>0</v>
      </c>
      <c r="R249" s="15"/>
      <c r="S249" s="15"/>
      <c r="T249" s="15"/>
      <c r="U249" s="210">
        <f>SUM(F249, K249, P249, F250, K250, P250)</f>
        <v>6849</v>
      </c>
      <c r="V249" s="210">
        <f>SUM(H249, M249, R249, H250, M250, R250)</f>
        <v>0</v>
      </c>
      <c r="W249" s="212">
        <f>IF($U249=0, ,V249/$U249)</f>
        <v>0</v>
      </c>
      <c r="X249" s="210">
        <f>SUM(I249, N249, S249, I250, N250, S250)</f>
        <v>0</v>
      </c>
      <c r="Y249" s="212">
        <f>IF($U249=0, ,X249/$U249)</f>
        <v>0</v>
      </c>
      <c r="Z249" s="210">
        <f>SUM(J249, O249, T249, J250, O250, T250)</f>
        <v>0</v>
      </c>
      <c r="AA249" s="212">
        <f>IF($U249=0, ,Z249/$U249)</f>
        <v>0</v>
      </c>
      <c r="AB249" s="214" t="s">
        <v>87</v>
      </c>
    </row>
    <row r="250" spans="1:28" x14ac:dyDescent="0.2">
      <c r="A250" s="228"/>
      <c r="B250" s="250"/>
      <c r="C250" s="9"/>
      <c r="D250" s="9"/>
      <c r="E250" s="209"/>
      <c r="F250" s="15"/>
      <c r="G250" s="27">
        <f>F250/$U238</f>
        <v>0</v>
      </c>
      <c r="H250" s="15"/>
      <c r="I250" s="15"/>
      <c r="J250" s="15"/>
      <c r="K250" s="15"/>
      <c r="L250" s="27">
        <f>K250/$U238</f>
        <v>0</v>
      </c>
      <c r="M250" s="15"/>
      <c r="N250" s="15"/>
      <c r="O250" s="15"/>
      <c r="P250" s="15"/>
      <c r="Q250" s="27">
        <f>P250/$U238</f>
        <v>0</v>
      </c>
      <c r="R250" s="15"/>
      <c r="S250" s="15"/>
      <c r="T250" s="15"/>
      <c r="U250" s="211"/>
      <c r="V250" s="211"/>
      <c r="W250" s="213"/>
      <c r="X250" s="211"/>
      <c r="Y250" s="213"/>
      <c r="Z250" s="211"/>
      <c r="AA250" s="213"/>
      <c r="AB250" s="215"/>
    </row>
    <row r="251" spans="1:28" x14ac:dyDescent="0.2">
      <c r="A251" s="228"/>
      <c r="B251" s="216" t="s">
        <v>22</v>
      </c>
      <c r="C251" s="11">
        <v>21283</v>
      </c>
      <c r="D251" s="11"/>
      <c r="E251" s="191" t="s">
        <v>1</v>
      </c>
      <c r="F251" s="16">
        <v>4006</v>
      </c>
      <c r="G251" s="28">
        <f>F251/$U238</f>
        <v>25.037500000000001</v>
      </c>
      <c r="H251" s="16"/>
      <c r="I251" s="16"/>
      <c r="J251" s="16"/>
      <c r="K251" s="16">
        <v>2590</v>
      </c>
      <c r="L251" s="28">
        <f>K251/$U238</f>
        <v>16.1875</v>
      </c>
      <c r="M251" s="16"/>
      <c r="N251" s="16"/>
      <c r="O251" s="16"/>
      <c r="P251" s="16"/>
      <c r="Q251" s="28">
        <f>P251/$U238</f>
        <v>0</v>
      </c>
      <c r="R251" s="16"/>
      <c r="S251" s="16"/>
      <c r="T251" s="16"/>
      <c r="U251" s="220">
        <f>SUM(F251, K251, P251, F252, K252, P252)</f>
        <v>6596</v>
      </c>
      <c r="V251" s="220">
        <f>SUM(H251, M251, R251, H252, M252, R252)</f>
        <v>0</v>
      </c>
      <c r="W251" s="194">
        <f>IF($U251=0, ,V251/$U251)</f>
        <v>0</v>
      </c>
      <c r="X251" s="220">
        <f>SUM(I251, N251, S251, I252, N252, S252)</f>
        <v>0</v>
      </c>
      <c r="Y251" s="194">
        <f>IF($U251=0, ,X251/$U251)</f>
        <v>0</v>
      </c>
      <c r="Z251" s="220">
        <f>SUM(J251, O251, T251, J252, O252, T252)</f>
        <v>0</v>
      </c>
      <c r="AA251" s="194">
        <f>IF($U251=0, ,Z251/$U251)</f>
        <v>0</v>
      </c>
      <c r="AB251" s="204" t="s">
        <v>87</v>
      </c>
    </row>
    <row r="252" spans="1:28" x14ac:dyDescent="0.2">
      <c r="A252" s="228"/>
      <c r="B252" s="217"/>
      <c r="C252" s="11"/>
      <c r="D252" s="11"/>
      <c r="E252" s="192"/>
      <c r="F252" s="16"/>
      <c r="G252" s="28">
        <f>F252/$U238</f>
        <v>0</v>
      </c>
      <c r="H252" s="16"/>
      <c r="I252" s="16"/>
      <c r="J252" s="16"/>
      <c r="K252" s="16"/>
      <c r="L252" s="28">
        <f>K252/$U238</f>
        <v>0</v>
      </c>
      <c r="M252" s="16"/>
      <c r="N252" s="16"/>
      <c r="O252" s="16"/>
      <c r="P252" s="16"/>
      <c r="Q252" s="28">
        <f>P252/$U238</f>
        <v>0</v>
      </c>
      <c r="R252" s="16"/>
      <c r="S252" s="16"/>
      <c r="T252" s="16"/>
      <c r="U252" s="221"/>
      <c r="V252" s="221"/>
      <c r="W252" s="195"/>
      <c r="X252" s="221"/>
      <c r="Y252" s="195"/>
      <c r="Z252" s="221"/>
      <c r="AA252" s="195"/>
      <c r="AB252" s="205"/>
    </row>
    <row r="253" spans="1:28" ht="13.5" thickBot="1" x14ac:dyDescent="0.25">
      <c r="A253" s="228"/>
      <c r="B253" s="56"/>
      <c r="C253" s="56"/>
      <c r="D253" s="56"/>
      <c r="E253" s="56"/>
      <c r="F253" s="57"/>
      <c r="G253" s="58"/>
      <c r="H253" s="57"/>
      <c r="I253" s="57"/>
      <c r="J253" s="57"/>
      <c r="K253" s="57"/>
      <c r="L253" s="58"/>
      <c r="M253" s="57"/>
      <c r="N253" s="57"/>
      <c r="O253" s="57"/>
      <c r="P253" s="57"/>
      <c r="Q253" s="58"/>
      <c r="R253" s="57"/>
      <c r="S253" s="57"/>
      <c r="T253" s="60" t="s">
        <v>59</v>
      </c>
      <c r="U253" s="61">
        <f>SUM(U241:U252)</f>
        <v>35956</v>
      </c>
      <c r="V253" s="61">
        <f>SUM(V241:V252)</f>
        <v>0</v>
      </c>
      <c r="W253" s="62">
        <f>IF($U253=0, ,V253/$U253)</f>
        <v>0</v>
      </c>
      <c r="X253" s="61">
        <f>SUM(X241:X252)</f>
        <v>0</v>
      </c>
      <c r="Y253" s="62">
        <f>IF($U253=0, ,X253/$U253)</f>
        <v>0</v>
      </c>
      <c r="Z253" s="61">
        <f>SUM(Z241:Z252)</f>
        <v>0</v>
      </c>
      <c r="AA253" s="62">
        <f>IF($U253=0, ,Z253/$U253)</f>
        <v>0</v>
      </c>
      <c r="AB253" s="59"/>
    </row>
    <row r="254" spans="1:28" ht="13.5" thickTop="1" x14ac:dyDescent="0.2">
      <c r="A254" s="228"/>
      <c r="B254" s="44"/>
      <c r="C254" s="45" t="s">
        <v>27</v>
      </c>
      <c r="D254" s="23"/>
      <c r="E254" s="44"/>
      <c r="F254" s="44"/>
      <c r="G254" s="44"/>
      <c r="H254" s="44"/>
      <c r="I254" s="44"/>
      <c r="J254" s="44"/>
      <c r="K254" s="44"/>
      <c r="L254" s="44"/>
      <c r="M254" s="44"/>
      <c r="N254" s="44"/>
      <c r="O254" s="93">
        <v>320</v>
      </c>
      <c r="P254" s="94" t="s">
        <v>33</v>
      </c>
      <c r="Q254" s="44"/>
      <c r="R254" s="44"/>
      <c r="S254" s="44"/>
      <c r="T254" s="44"/>
      <c r="U254" s="44"/>
      <c r="V254" s="44"/>
      <c r="W254" s="44"/>
      <c r="X254" s="44"/>
      <c r="Y254" s="44"/>
      <c r="Z254" s="44"/>
      <c r="AA254" s="44"/>
      <c r="AB254" s="46"/>
    </row>
    <row r="255" spans="1:28" x14ac:dyDescent="0.2">
      <c r="A255" s="228"/>
      <c r="B255" s="229" t="s">
        <v>35</v>
      </c>
      <c r="C255" s="230" t="s">
        <v>25</v>
      </c>
      <c r="D255" s="230" t="s">
        <v>28</v>
      </c>
      <c r="E255" s="237" t="s">
        <v>12</v>
      </c>
      <c r="F255" s="241" t="s">
        <v>13</v>
      </c>
      <c r="G255" s="241"/>
      <c r="H255" s="241"/>
      <c r="I255" s="241" t="s">
        <v>14</v>
      </c>
      <c r="J255" s="241"/>
      <c r="K255" s="241"/>
      <c r="L255" s="241" t="s">
        <v>15</v>
      </c>
      <c r="M255" s="241"/>
      <c r="N255" s="241"/>
      <c r="O255" s="225" t="s">
        <v>34</v>
      </c>
      <c r="P255" s="225" t="s">
        <v>48</v>
      </c>
      <c r="Q255" s="225" t="s">
        <v>60</v>
      </c>
      <c r="R255" s="225" t="s">
        <v>49</v>
      </c>
      <c r="S255" s="225" t="s">
        <v>61</v>
      </c>
      <c r="T255" s="251"/>
      <c r="U255" s="251"/>
      <c r="V255" s="251"/>
      <c r="W255" s="251"/>
      <c r="X255" s="251"/>
      <c r="Y255" s="251"/>
      <c r="Z255" s="251"/>
      <c r="AA255" s="251"/>
      <c r="AB255" s="252"/>
    </row>
    <row r="256" spans="1:28" ht="25.5" x14ac:dyDescent="0.2">
      <c r="A256" s="228"/>
      <c r="B256" s="229"/>
      <c r="C256" s="230"/>
      <c r="D256" s="230"/>
      <c r="E256" s="237"/>
      <c r="F256" s="18" t="s">
        <v>30</v>
      </c>
      <c r="G256" s="18" t="s">
        <v>46</v>
      </c>
      <c r="H256" s="18" t="s">
        <v>47</v>
      </c>
      <c r="I256" s="18" t="s">
        <v>30</v>
      </c>
      <c r="J256" s="18" t="s">
        <v>46</v>
      </c>
      <c r="K256" s="18" t="s">
        <v>47</v>
      </c>
      <c r="L256" s="18" t="s">
        <v>30</v>
      </c>
      <c r="M256" s="18" t="s">
        <v>46</v>
      </c>
      <c r="N256" s="18" t="s">
        <v>47</v>
      </c>
      <c r="O256" s="227"/>
      <c r="P256" s="227"/>
      <c r="Q256" s="227"/>
      <c r="R256" s="227"/>
      <c r="S256" s="227"/>
      <c r="T256" s="253"/>
      <c r="U256" s="253"/>
      <c r="V256" s="253"/>
      <c r="W256" s="253"/>
      <c r="X256" s="253"/>
      <c r="Y256" s="253"/>
      <c r="Z256" s="253"/>
      <c r="AA256" s="253"/>
      <c r="AB256" s="254"/>
    </row>
    <row r="257" spans="1:28" x14ac:dyDescent="0.2">
      <c r="A257" s="228"/>
      <c r="B257" s="242" t="s">
        <v>36</v>
      </c>
      <c r="C257" s="12">
        <v>21283</v>
      </c>
      <c r="D257" s="12" t="s">
        <v>95</v>
      </c>
      <c r="E257" s="243" t="s">
        <v>1</v>
      </c>
      <c r="F257" s="13">
        <v>17</v>
      </c>
      <c r="G257" s="13">
        <v>0</v>
      </c>
      <c r="H257" s="13">
        <v>0</v>
      </c>
      <c r="I257" s="13">
        <v>21</v>
      </c>
      <c r="J257" s="13"/>
      <c r="K257" s="13"/>
      <c r="L257" s="13"/>
      <c r="M257" s="13">
        <f>H262+K262+N262+Q262+T262+W262+Z262</f>
        <v>0</v>
      </c>
      <c r="N257" s="13">
        <f>H263+K263+N263+Q263+T263+W263+Z263</f>
        <v>0</v>
      </c>
      <c r="O257" s="210">
        <f>SUM(F257, I257, L257, F258, I258, L258)*$O254</f>
        <v>12160</v>
      </c>
      <c r="P257" s="210">
        <f>SUM(G257, J257, M257, G258, J258, M258)</f>
        <v>0</v>
      </c>
      <c r="Q257" s="212">
        <f>IF($O257=0, ,P257/$O257)</f>
        <v>0</v>
      </c>
      <c r="R257" s="210">
        <f>SUM(H257, K257, N257, H258, K258, N258)</f>
        <v>0</v>
      </c>
      <c r="S257" s="212">
        <f>IF($O257=0, ,R257/$O257)</f>
        <v>0</v>
      </c>
      <c r="T257" s="244"/>
      <c r="U257" s="244"/>
      <c r="V257" s="244"/>
      <c r="W257" s="244"/>
      <c r="X257" s="244"/>
      <c r="Y257" s="244"/>
      <c r="Z257" s="244"/>
      <c r="AA257" s="244"/>
      <c r="AB257" s="245"/>
    </row>
    <row r="258" spans="1:28" x14ac:dyDescent="0.2">
      <c r="A258" s="228"/>
      <c r="B258" s="242"/>
      <c r="C258" s="12"/>
      <c r="D258" s="12"/>
      <c r="E258" s="243"/>
      <c r="F258" s="13"/>
      <c r="G258" s="13">
        <f>F264+I264+L264+O264+R264+U264+X264</f>
        <v>0</v>
      </c>
      <c r="H258" s="13">
        <f>F265+I265+L265+O265+R265+U265+X265</f>
        <v>0</v>
      </c>
      <c r="I258" s="13"/>
      <c r="J258" s="13">
        <f>G264+J264+M264+P264+S264+V264+Y264</f>
        <v>0</v>
      </c>
      <c r="K258" s="13">
        <f>G265+J265+M265+P265+S265+V265+Y265</f>
        <v>0</v>
      </c>
      <c r="L258" s="13"/>
      <c r="M258" s="13">
        <f>H264+K264+N264+Q264+T264+W264+Z264</f>
        <v>0</v>
      </c>
      <c r="N258" s="13">
        <f>H265+K265+N265+Q265+T265+W265+Z265</f>
        <v>0</v>
      </c>
      <c r="O258" s="211"/>
      <c r="P258" s="211"/>
      <c r="Q258" s="213"/>
      <c r="R258" s="211"/>
      <c r="S258" s="213"/>
      <c r="T258" s="246"/>
      <c r="U258" s="246"/>
      <c r="V258" s="246"/>
      <c r="W258" s="246"/>
      <c r="X258" s="246"/>
      <c r="Y258" s="246"/>
      <c r="Z258" s="246"/>
      <c r="AA258" s="246"/>
      <c r="AB258" s="247"/>
    </row>
    <row r="259" spans="1:28" x14ac:dyDescent="0.2">
      <c r="A259" s="228"/>
      <c r="B259" s="56"/>
      <c r="C259" s="56"/>
      <c r="D259" s="56"/>
      <c r="E259" s="56"/>
      <c r="F259" s="89"/>
      <c r="G259" s="89"/>
      <c r="H259" s="89"/>
      <c r="I259" s="89"/>
      <c r="J259" s="89"/>
      <c r="K259" s="89"/>
      <c r="L259" s="89"/>
      <c r="M259" s="89"/>
      <c r="N259" s="89"/>
      <c r="O259" s="90"/>
      <c r="P259" s="90"/>
      <c r="Q259" s="91"/>
      <c r="R259" s="90"/>
      <c r="S259" s="91"/>
      <c r="T259" s="92"/>
      <c r="U259" s="92"/>
      <c r="V259" s="92"/>
      <c r="W259" s="92"/>
      <c r="X259" s="92"/>
      <c r="Y259" s="92"/>
      <c r="Z259" s="92"/>
      <c r="AA259" s="92"/>
      <c r="AB259" s="95"/>
    </row>
    <row r="260" spans="1:28" x14ac:dyDescent="0.2">
      <c r="A260" s="228"/>
      <c r="B260" s="256" t="s">
        <v>67</v>
      </c>
      <c r="C260" s="256"/>
      <c r="D260" s="257"/>
      <c r="E260" s="82" t="s">
        <v>68</v>
      </c>
      <c r="F260" s="248" t="s">
        <v>64</v>
      </c>
      <c r="G260" s="248"/>
      <c r="H260" s="248"/>
      <c r="I260" s="248" t="s">
        <v>76</v>
      </c>
      <c r="J260" s="248"/>
      <c r="K260" s="248"/>
      <c r="L260" s="248" t="s">
        <v>65</v>
      </c>
      <c r="M260" s="248"/>
      <c r="N260" s="248"/>
      <c r="O260" s="248" t="s">
        <v>66</v>
      </c>
      <c r="P260" s="248"/>
      <c r="Q260" s="248"/>
      <c r="R260" s="248" t="s">
        <v>73</v>
      </c>
      <c r="S260" s="248"/>
      <c r="T260" s="248"/>
      <c r="U260" s="248" t="s">
        <v>74</v>
      </c>
      <c r="V260" s="248"/>
      <c r="W260" s="248"/>
      <c r="X260" s="248" t="s">
        <v>75</v>
      </c>
      <c r="Y260" s="248"/>
      <c r="Z260" s="248"/>
      <c r="AA260" s="249"/>
      <c r="AB260" s="249"/>
    </row>
    <row r="261" spans="1:28" x14ac:dyDescent="0.2">
      <c r="A261" s="228"/>
      <c r="B261" s="258"/>
      <c r="C261" s="258"/>
      <c r="D261" s="259"/>
      <c r="E261" s="97" t="s">
        <v>69</v>
      </c>
      <c r="F261" s="83" t="s">
        <v>70</v>
      </c>
      <c r="G261" s="83" t="s">
        <v>71</v>
      </c>
      <c r="H261" s="84" t="s">
        <v>72</v>
      </c>
      <c r="I261" s="83" t="s">
        <v>70</v>
      </c>
      <c r="J261" s="83" t="s">
        <v>71</v>
      </c>
      <c r="K261" s="84" t="s">
        <v>72</v>
      </c>
      <c r="L261" s="83" t="s">
        <v>70</v>
      </c>
      <c r="M261" s="83" t="s">
        <v>71</v>
      </c>
      <c r="N261" s="84" t="s">
        <v>72</v>
      </c>
      <c r="O261" s="83" t="s">
        <v>70</v>
      </c>
      <c r="P261" s="83" t="s">
        <v>71</v>
      </c>
      <c r="Q261" s="84" t="s">
        <v>72</v>
      </c>
      <c r="R261" s="83" t="s">
        <v>70</v>
      </c>
      <c r="S261" s="83" t="s">
        <v>71</v>
      </c>
      <c r="T261" s="84" t="s">
        <v>72</v>
      </c>
      <c r="U261" s="83" t="s">
        <v>70</v>
      </c>
      <c r="V261" s="83" t="s">
        <v>71</v>
      </c>
      <c r="W261" s="84" t="s">
        <v>72</v>
      </c>
      <c r="X261" s="83" t="s">
        <v>70</v>
      </c>
      <c r="Y261" s="83" t="s">
        <v>71</v>
      </c>
      <c r="Z261" s="84" t="s">
        <v>72</v>
      </c>
      <c r="AA261" s="249"/>
      <c r="AB261" s="249"/>
    </row>
    <row r="262" spans="1:28" x14ac:dyDescent="0.2">
      <c r="A262" s="228"/>
      <c r="B262" s="260" t="str">
        <f>B257</f>
        <v>Final ASS</v>
      </c>
      <c r="C262" s="82">
        <f>IF(ISBLANK(C257), "", C257)</f>
        <v>21283</v>
      </c>
      <c r="D262" s="96" t="str">
        <f>IF(ISBLANK(D257), "", D257)</f>
        <v>unilever</v>
      </c>
      <c r="E262" s="82" t="s">
        <v>77</v>
      </c>
      <c r="F262" s="86"/>
      <c r="G262" s="85"/>
      <c r="H262" s="85"/>
      <c r="I262" s="85"/>
      <c r="J262" s="85"/>
      <c r="K262" s="85"/>
      <c r="L262" s="87"/>
      <c r="M262" s="87"/>
      <c r="N262" s="87"/>
      <c r="O262" s="87"/>
      <c r="P262" s="87"/>
      <c r="Q262" s="85"/>
      <c r="R262" s="87"/>
      <c r="S262" s="87"/>
      <c r="T262" s="87"/>
      <c r="U262" s="87"/>
      <c r="V262" s="87">
        <v>2</v>
      </c>
      <c r="W262" s="85"/>
      <c r="X262" s="85"/>
      <c r="Y262" s="85"/>
      <c r="Z262" s="88"/>
      <c r="AA262" s="249"/>
      <c r="AB262" s="249"/>
    </row>
    <row r="263" spans="1:28" x14ac:dyDescent="0.2">
      <c r="A263" s="228"/>
      <c r="B263" s="260"/>
      <c r="C263" s="82">
        <f>IF(ISBLANK(C257), "", C257)</f>
        <v>21283</v>
      </c>
      <c r="D263" s="96" t="str">
        <f>IF(ISBLANK(D257), "", D257)</f>
        <v>unilever</v>
      </c>
      <c r="E263" s="82" t="s">
        <v>78</v>
      </c>
      <c r="F263" s="86"/>
      <c r="G263" s="85"/>
      <c r="H263" s="85"/>
      <c r="I263" s="85"/>
      <c r="J263" s="85"/>
      <c r="K263" s="85"/>
      <c r="L263" s="87"/>
      <c r="M263" s="87"/>
      <c r="N263" s="87"/>
      <c r="O263" s="87"/>
      <c r="P263" s="87"/>
      <c r="Q263" s="85"/>
      <c r="R263" s="87"/>
      <c r="S263" s="87"/>
      <c r="T263" s="87"/>
      <c r="U263" s="87"/>
      <c r="V263" s="87"/>
      <c r="W263" s="85"/>
      <c r="X263" s="85"/>
      <c r="Y263" s="85"/>
      <c r="Z263" s="88"/>
      <c r="AA263" s="249"/>
      <c r="AB263" s="249"/>
    </row>
    <row r="264" spans="1:28" x14ac:dyDescent="0.2">
      <c r="A264" s="228"/>
      <c r="B264" s="260"/>
      <c r="C264" s="82" t="str">
        <f>IF(ISBLANK(C258), "", C258)</f>
        <v/>
      </c>
      <c r="D264" s="96" t="str">
        <f>IF(ISBLANK(D258), "", D258)</f>
        <v/>
      </c>
      <c r="E264" s="82" t="s">
        <v>77</v>
      </c>
      <c r="F264" s="86"/>
      <c r="G264" s="85"/>
      <c r="H264" s="85"/>
      <c r="I264" s="85"/>
      <c r="J264" s="85"/>
      <c r="K264" s="85"/>
      <c r="L264" s="87"/>
      <c r="M264" s="87"/>
      <c r="N264" s="87"/>
      <c r="O264" s="87"/>
      <c r="P264" s="87"/>
      <c r="Q264" s="85"/>
      <c r="R264" s="87"/>
      <c r="S264" s="87"/>
      <c r="T264" s="87"/>
      <c r="U264" s="87"/>
      <c r="V264" s="87"/>
      <c r="W264" s="85"/>
      <c r="X264" s="85"/>
      <c r="Y264" s="85"/>
      <c r="Z264" s="88"/>
      <c r="AA264" s="249"/>
      <c r="AB264" s="249"/>
    </row>
    <row r="265" spans="1:28" x14ac:dyDescent="0.2">
      <c r="A265" s="228"/>
      <c r="B265" s="260"/>
      <c r="C265" s="82" t="str">
        <f>IF(ISBLANK(C258), "", C258)</f>
        <v/>
      </c>
      <c r="D265" s="96" t="str">
        <f>IF(ISBLANK(D258), "", D258)</f>
        <v/>
      </c>
      <c r="E265" s="82" t="s">
        <v>78</v>
      </c>
      <c r="F265" s="86"/>
      <c r="G265" s="85"/>
      <c r="H265" s="85"/>
      <c r="I265" s="85"/>
      <c r="J265" s="85"/>
      <c r="K265" s="85"/>
      <c r="L265" s="87"/>
      <c r="M265" s="87"/>
      <c r="N265" s="87"/>
      <c r="O265" s="87"/>
      <c r="P265" s="87"/>
      <c r="Q265" s="85"/>
      <c r="R265" s="87"/>
      <c r="S265" s="87"/>
      <c r="T265" s="87"/>
      <c r="U265" s="87"/>
      <c r="V265" s="87"/>
      <c r="W265" s="85"/>
      <c r="X265" s="85"/>
      <c r="Y265" s="85"/>
      <c r="Z265" s="88"/>
      <c r="AA265" s="249"/>
      <c r="AB265" s="249"/>
    </row>
    <row r="267" spans="1:28" x14ac:dyDescent="0.2">
      <c r="A267" s="228">
        <v>44722</v>
      </c>
      <c r="B267" s="19"/>
      <c r="C267" s="19" t="s">
        <v>42</v>
      </c>
      <c r="D267" s="20"/>
      <c r="E267" s="21" t="s">
        <v>41</v>
      </c>
      <c r="F267" s="20">
        <v>0</v>
      </c>
      <c r="G267" s="20"/>
      <c r="H267" s="20"/>
      <c r="I267" s="21"/>
      <c r="J267" s="21"/>
      <c r="K267" s="32"/>
      <c r="L267" s="32"/>
      <c r="M267" s="20"/>
      <c r="N267" s="21"/>
      <c r="O267" s="21"/>
      <c r="P267" s="32"/>
      <c r="Q267" s="32"/>
      <c r="R267" s="20"/>
      <c r="S267" s="21"/>
      <c r="T267" s="21"/>
      <c r="U267" s="41">
        <v>160</v>
      </c>
      <c r="V267" s="42" t="s">
        <v>32</v>
      </c>
      <c r="W267" s="42"/>
      <c r="X267" s="43"/>
      <c r="Y267" s="31"/>
      <c r="Z267" s="31"/>
      <c r="AA267" s="31"/>
      <c r="AB267" s="33"/>
    </row>
    <row r="268" spans="1:28" x14ac:dyDescent="0.2">
      <c r="A268" s="228"/>
      <c r="B268" s="229" t="s">
        <v>10</v>
      </c>
      <c r="C268" s="230" t="s">
        <v>25</v>
      </c>
      <c r="D268" s="230" t="s">
        <v>28</v>
      </c>
      <c r="E268" s="237" t="s">
        <v>12</v>
      </c>
      <c r="F268" s="222" t="s">
        <v>13</v>
      </c>
      <c r="G268" s="223"/>
      <c r="H268" s="223"/>
      <c r="I268" s="223"/>
      <c r="J268" s="224"/>
      <c r="K268" s="222" t="s">
        <v>14</v>
      </c>
      <c r="L268" s="223"/>
      <c r="M268" s="223"/>
      <c r="N268" s="223"/>
      <c r="O268" s="224"/>
      <c r="P268" s="222" t="s">
        <v>15</v>
      </c>
      <c r="Q268" s="223"/>
      <c r="R268" s="223"/>
      <c r="S268" s="223"/>
      <c r="T268" s="224"/>
      <c r="U268" s="255" t="s">
        <v>34</v>
      </c>
      <c r="V268" s="255" t="s">
        <v>48</v>
      </c>
      <c r="W268" s="255" t="s">
        <v>56</v>
      </c>
      <c r="X268" s="255" t="s">
        <v>54</v>
      </c>
      <c r="Y268" s="255" t="s">
        <v>57</v>
      </c>
      <c r="Z268" s="255" t="s">
        <v>55</v>
      </c>
      <c r="AA268" s="255" t="s">
        <v>58</v>
      </c>
      <c r="AB268" s="255" t="s">
        <v>38</v>
      </c>
    </row>
    <row r="269" spans="1:28" ht="38.25" x14ac:dyDescent="0.2">
      <c r="A269" s="228"/>
      <c r="B269" s="229"/>
      <c r="C269" s="230"/>
      <c r="D269" s="230"/>
      <c r="E269" s="237"/>
      <c r="F269" s="18" t="s">
        <v>45</v>
      </c>
      <c r="G269" s="18" t="s">
        <v>29</v>
      </c>
      <c r="H269" s="18" t="s">
        <v>46</v>
      </c>
      <c r="I269" s="18" t="s">
        <v>52</v>
      </c>
      <c r="J269" s="18" t="s">
        <v>53</v>
      </c>
      <c r="K269" s="18" t="s">
        <v>45</v>
      </c>
      <c r="L269" s="18" t="s">
        <v>29</v>
      </c>
      <c r="M269" s="18" t="s">
        <v>46</v>
      </c>
      <c r="N269" s="18" t="s">
        <v>52</v>
      </c>
      <c r="O269" s="18" t="s">
        <v>53</v>
      </c>
      <c r="P269" s="18" t="s">
        <v>45</v>
      </c>
      <c r="Q269" s="18" t="s">
        <v>29</v>
      </c>
      <c r="R269" s="18" t="s">
        <v>46</v>
      </c>
      <c r="S269" s="18" t="s">
        <v>52</v>
      </c>
      <c r="T269" s="18" t="s">
        <v>53</v>
      </c>
      <c r="U269" s="255"/>
      <c r="V269" s="255"/>
      <c r="W269" s="255"/>
      <c r="X269" s="255"/>
      <c r="Y269" s="255"/>
      <c r="Z269" s="255"/>
      <c r="AA269" s="255"/>
      <c r="AB269" s="255"/>
    </row>
    <row r="270" spans="1:28" x14ac:dyDescent="0.2">
      <c r="A270" s="228"/>
      <c r="B270" s="232" t="s">
        <v>17</v>
      </c>
      <c r="C270" s="12"/>
      <c r="D270" s="12"/>
      <c r="E270" s="234" t="s">
        <v>1</v>
      </c>
      <c r="F270" s="13">
        <v>3904</v>
      </c>
      <c r="G270" s="25">
        <f>F270/$U267</f>
        <v>24.4</v>
      </c>
      <c r="H270" s="13"/>
      <c r="I270" s="13"/>
      <c r="J270" s="13"/>
      <c r="K270" s="13">
        <v>2042</v>
      </c>
      <c r="L270" s="25">
        <f>K270/$U267</f>
        <v>12.762499999999999</v>
      </c>
      <c r="M270" s="13"/>
      <c r="N270" s="13"/>
      <c r="O270" s="13"/>
      <c r="P270" s="13"/>
      <c r="Q270" s="25">
        <f>P270/$U267</f>
        <v>0</v>
      </c>
      <c r="R270" s="13"/>
      <c r="S270" s="13"/>
      <c r="T270" s="13"/>
      <c r="U270" s="210">
        <f>SUM(F270, K270, P270, F271, K271, P271)</f>
        <v>5946</v>
      </c>
      <c r="V270" s="210">
        <f>SUM(H270, M270, R270, H271, M271, R271)</f>
        <v>0</v>
      </c>
      <c r="W270" s="212">
        <f>IF($U270=0, ,V270/$U270)</f>
        <v>0</v>
      </c>
      <c r="X270" s="210">
        <f>SUM(I270, N270, S270, I271, N271, S271)</f>
        <v>0</v>
      </c>
      <c r="Y270" s="212">
        <f>IF($U270=0, ,X270/$U270)</f>
        <v>0</v>
      </c>
      <c r="Z270" s="210">
        <f>SUM(J270, O270, T270, J271, O271, T271)</f>
        <v>0</v>
      </c>
      <c r="AA270" s="212">
        <f>IF($U270=0, ,Z270/$U270)</f>
        <v>0</v>
      </c>
      <c r="AB270" s="214" t="s">
        <v>87</v>
      </c>
    </row>
    <row r="271" spans="1:28" x14ac:dyDescent="0.2">
      <c r="A271" s="228"/>
      <c r="B271" s="250"/>
      <c r="C271" s="12"/>
      <c r="D271" s="12"/>
      <c r="E271" s="236"/>
      <c r="F271" s="13"/>
      <c r="G271" s="25">
        <f>F271/$U267</f>
        <v>0</v>
      </c>
      <c r="H271" s="13"/>
      <c r="I271" s="13"/>
      <c r="J271" s="13"/>
      <c r="K271" s="13"/>
      <c r="L271" s="25">
        <f>K271/$U267</f>
        <v>0</v>
      </c>
      <c r="M271" s="13"/>
      <c r="N271" s="13"/>
      <c r="O271" s="13"/>
      <c r="P271" s="13"/>
      <c r="Q271" s="25">
        <f>P271/$U267</f>
        <v>0</v>
      </c>
      <c r="R271" s="13"/>
      <c r="S271" s="13"/>
      <c r="T271" s="13"/>
      <c r="U271" s="211"/>
      <c r="V271" s="211"/>
      <c r="W271" s="213"/>
      <c r="X271" s="211"/>
      <c r="Y271" s="213"/>
      <c r="Z271" s="211"/>
      <c r="AA271" s="213"/>
      <c r="AB271" s="215"/>
    </row>
    <row r="272" spans="1:28" x14ac:dyDescent="0.2">
      <c r="A272" s="228"/>
      <c r="B272" s="216" t="s">
        <v>18</v>
      </c>
      <c r="C272" s="10"/>
      <c r="D272" s="10"/>
      <c r="E272" s="218" t="s">
        <v>1</v>
      </c>
      <c r="F272" s="14">
        <v>4073</v>
      </c>
      <c r="G272" s="26">
        <f>F272/$U267</f>
        <v>25.456250000000001</v>
      </c>
      <c r="H272" s="14"/>
      <c r="I272" s="14"/>
      <c r="J272" s="14"/>
      <c r="K272" s="14">
        <v>0</v>
      </c>
      <c r="L272" s="26">
        <f>K272/$U267</f>
        <v>0</v>
      </c>
      <c r="M272" s="14"/>
      <c r="N272" s="14"/>
      <c r="O272" s="14"/>
      <c r="P272" s="14"/>
      <c r="Q272" s="26">
        <f>P272/$U267</f>
        <v>0</v>
      </c>
      <c r="R272" s="14"/>
      <c r="S272" s="14"/>
      <c r="T272" s="14"/>
      <c r="U272" s="220">
        <f>SUM(F272, K272, P272, F273, K273, P273)</f>
        <v>4073</v>
      </c>
      <c r="V272" s="220">
        <f>SUM(H272, M272, R272, H273, M273, R273)</f>
        <v>0</v>
      </c>
      <c r="W272" s="194">
        <f>IF($U272=0, ,V272/$U272)</f>
        <v>0</v>
      </c>
      <c r="X272" s="220">
        <f>SUM(I272, N272, S272, I273, N273, S273)</f>
        <v>0</v>
      </c>
      <c r="Y272" s="194">
        <f>IF($U272=0, ,X272/$U272)</f>
        <v>0</v>
      </c>
      <c r="Z272" s="220">
        <f>SUM(J272, O272, T272, J273, O273, T273)</f>
        <v>0</v>
      </c>
      <c r="AA272" s="194">
        <f>IF($U272=0, ,Z272/$U272)</f>
        <v>0</v>
      </c>
      <c r="AB272" s="204" t="s">
        <v>87</v>
      </c>
    </row>
    <row r="273" spans="1:28" x14ac:dyDescent="0.2">
      <c r="A273" s="228"/>
      <c r="B273" s="217"/>
      <c r="C273" s="10"/>
      <c r="D273" s="10"/>
      <c r="E273" s="219"/>
      <c r="F273" s="14"/>
      <c r="G273" s="26">
        <f>F273/$U267</f>
        <v>0</v>
      </c>
      <c r="H273" s="14"/>
      <c r="I273" s="14"/>
      <c r="J273" s="14"/>
      <c r="K273" s="14"/>
      <c r="L273" s="26">
        <f>K273/$U267</f>
        <v>0</v>
      </c>
      <c r="M273" s="14"/>
      <c r="N273" s="14"/>
      <c r="O273" s="14"/>
      <c r="P273" s="14"/>
      <c r="Q273" s="26">
        <f>P273/$U267</f>
        <v>0</v>
      </c>
      <c r="R273" s="14"/>
      <c r="S273" s="14"/>
      <c r="T273" s="14"/>
      <c r="U273" s="221"/>
      <c r="V273" s="221"/>
      <c r="W273" s="195"/>
      <c r="X273" s="221"/>
      <c r="Y273" s="195"/>
      <c r="Z273" s="221"/>
      <c r="AA273" s="195"/>
      <c r="AB273" s="205"/>
    </row>
    <row r="274" spans="1:28" x14ac:dyDescent="0.2">
      <c r="A274" s="228"/>
      <c r="B274" s="232" t="s">
        <v>19</v>
      </c>
      <c r="C274" s="9"/>
      <c r="D274" s="9"/>
      <c r="E274" s="208" t="s">
        <v>1</v>
      </c>
      <c r="F274" s="15">
        <v>2043</v>
      </c>
      <c r="G274" s="27">
        <f>F274/$U267</f>
        <v>12.768750000000001</v>
      </c>
      <c r="H274" s="15"/>
      <c r="I274" s="15"/>
      <c r="J274" s="15"/>
      <c r="K274" s="15">
        <v>3600</v>
      </c>
      <c r="L274" s="27">
        <f>K274/$U267</f>
        <v>22.5</v>
      </c>
      <c r="M274" s="15"/>
      <c r="N274" s="15"/>
      <c r="O274" s="15"/>
      <c r="P274" s="15"/>
      <c r="Q274" s="27">
        <f>P274/$U267</f>
        <v>0</v>
      </c>
      <c r="R274" s="15"/>
      <c r="S274" s="15"/>
      <c r="T274" s="15"/>
      <c r="U274" s="210">
        <f>SUM(F274, K274, P274, F275, K275, P275)</f>
        <v>5643</v>
      </c>
      <c r="V274" s="210">
        <f>SUM(H274, M274, R274, H275, M275, R275)</f>
        <v>0</v>
      </c>
      <c r="W274" s="212">
        <f>IF($U274=0, ,V274/$U274)</f>
        <v>0</v>
      </c>
      <c r="X274" s="210">
        <f>SUM(I274, N274, S274, I275, N275, S275)</f>
        <v>0</v>
      </c>
      <c r="Y274" s="212">
        <f>IF($U274=0, ,X274/$U274)</f>
        <v>0</v>
      </c>
      <c r="Z274" s="210">
        <f>SUM(J274, O274, T274, J275, O275, T275)</f>
        <v>0</v>
      </c>
      <c r="AA274" s="212">
        <f>IF($U274=0, ,Z274/$U274)</f>
        <v>0</v>
      </c>
      <c r="AB274" s="214" t="s">
        <v>87</v>
      </c>
    </row>
    <row r="275" spans="1:28" x14ac:dyDescent="0.2">
      <c r="A275" s="228"/>
      <c r="B275" s="250"/>
      <c r="C275" s="9"/>
      <c r="D275" s="9"/>
      <c r="E275" s="209"/>
      <c r="F275" s="15"/>
      <c r="G275" s="27">
        <f>F275/$U267</f>
        <v>0</v>
      </c>
      <c r="H275" s="15"/>
      <c r="I275" s="15"/>
      <c r="J275" s="15"/>
      <c r="K275" s="15"/>
      <c r="L275" s="27">
        <f>K275/$U267</f>
        <v>0</v>
      </c>
      <c r="M275" s="15"/>
      <c r="N275" s="15"/>
      <c r="O275" s="15"/>
      <c r="P275" s="15"/>
      <c r="Q275" s="27">
        <f>P275/$U267</f>
        <v>0</v>
      </c>
      <c r="R275" s="15"/>
      <c r="S275" s="15"/>
      <c r="T275" s="15"/>
      <c r="U275" s="211"/>
      <c r="V275" s="211"/>
      <c r="W275" s="213"/>
      <c r="X275" s="211"/>
      <c r="Y275" s="213"/>
      <c r="Z275" s="211"/>
      <c r="AA275" s="213"/>
      <c r="AB275" s="215"/>
    </row>
    <row r="276" spans="1:28" x14ac:dyDescent="0.2">
      <c r="A276" s="228"/>
      <c r="B276" s="216" t="s">
        <v>20</v>
      </c>
      <c r="C276" s="10"/>
      <c r="D276" s="10"/>
      <c r="E276" s="218" t="s">
        <v>1</v>
      </c>
      <c r="F276" s="14">
        <v>3810</v>
      </c>
      <c r="G276" s="26">
        <f>F276/$U267</f>
        <v>23.8125</v>
      </c>
      <c r="H276" s="14"/>
      <c r="I276" s="14"/>
      <c r="J276" s="14"/>
      <c r="K276" s="14">
        <v>3581</v>
      </c>
      <c r="L276" s="26">
        <f>K276/$U267</f>
        <v>22.381250000000001</v>
      </c>
      <c r="M276" s="14"/>
      <c r="N276" s="14"/>
      <c r="O276" s="14"/>
      <c r="P276" s="14"/>
      <c r="Q276" s="26">
        <f>P276/$U267</f>
        <v>0</v>
      </c>
      <c r="R276" s="14"/>
      <c r="S276" s="14"/>
      <c r="T276" s="14"/>
      <c r="U276" s="220">
        <f>SUM(F276, K276, P276, F277, K277, P277)</f>
        <v>7391</v>
      </c>
      <c r="V276" s="220">
        <f>SUM(H276, M276, R276, H277, M277, R277)</f>
        <v>0</v>
      </c>
      <c r="W276" s="194">
        <f>IF($U276=0, ,V276/$U276)</f>
        <v>0</v>
      </c>
      <c r="X276" s="220">
        <f>SUM(I276, N276, S276, I277, N277, S277)</f>
        <v>0</v>
      </c>
      <c r="Y276" s="194">
        <f>IF($U276=0, ,X276/$U276)</f>
        <v>0</v>
      </c>
      <c r="Z276" s="220">
        <f>SUM(J276, O276, T276, J277, O277, T277)</f>
        <v>0</v>
      </c>
      <c r="AA276" s="194">
        <f>IF($U276=0, ,Z276/$U276)</f>
        <v>0</v>
      </c>
      <c r="AB276" s="204" t="s">
        <v>87</v>
      </c>
    </row>
    <row r="277" spans="1:28" x14ac:dyDescent="0.2">
      <c r="A277" s="228"/>
      <c r="B277" s="217"/>
      <c r="C277" s="10"/>
      <c r="D277" s="10"/>
      <c r="E277" s="219"/>
      <c r="F277" s="14"/>
      <c r="G277" s="26">
        <f>F277/$U267</f>
        <v>0</v>
      </c>
      <c r="H277" s="14"/>
      <c r="I277" s="14"/>
      <c r="J277" s="14"/>
      <c r="K277" s="14"/>
      <c r="L277" s="26">
        <f>K277/$U267</f>
        <v>0</v>
      </c>
      <c r="M277" s="14"/>
      <c r="N277" s="14"/>
      <c r="O277" s="14"/>
      <c r="P277" s="14"/>
      <c r="Q277" s="26">
        <f>P277/$U267</f>
        <v>0</v>
      </c>
      <c r="R277" s="14"/>
      <c r="S277" s="14"/>
      <c r="T277" s="14"/>
      <c r="U277" s="221"/>
      <c r="V277" s="221"/>
      <c r="W277" s="195"/>
      <c r="X277" s="221"/>
      <c r="Y277" s="195"/>
      <c r="Z277" s="221"/>
      <c r="AA277" s="195"/>
      <c r="AB277" s="205"/>
    </row>
    <row r="278" spans="1:28" x14ac:dyDescent="0.2">
      <c r="A278" s="228"/>
      <c r="B278" s="232" t="s">
        <v>21</v>
      </c>
      <c r="C278" s="9"/>
      <c r="D278" s="9"/>
      <c r="E278" s="208" t="s">
        <v>1</v>
      </c>
      <c r="F278" s="15">
        <v>3862</v>
      </c>
      <c r="G278" s="27">
        <f>F278/$U267</f>
        <v>24.137499999999999</v>
      </c>
      <c r="H278" s="15"/>
      <c r="I278" s="15"/>
      <c r="J278" s="15"/>
      <c r="K278" s="15">
        <v>3593</v>
      </c>
      <c r="L278" s="27">
        <f>K278/$U267</f>
        <v>22.456250000000001</v>
      </c>
      <c r="M278" s="15"/>
      <c r="N278" s="15"/>
      <c r="O278" s="15"/>
      <c r="P278" s="15"/>
      <c r="Q278" s="27">
        <f>P278/$U267</f>
        <v>0</v>
      </c>
      <c r="R278" s="15"/>
      <c r="S278" s="15"/>
      <c r="T278" s="15"/>
      <c r="U278" s="210">
        <f>SUM(F278, K278, P278, F279, K279, P279)</f>
        <v>7455</v>
      </c>
      <c r="V278" s="210">
        <f>SUM(H278, M278, R278, H279, M279, R279)</f>
        <v>0</v>
      </c>
      <c r="W278" s="212">
        <f>IF($U278=0, ,V278/$U278)</f>
        <v>0</v>
      </c>
      <c r="X278" s="210">
        <f>SUM(I278, N278, S278, I279, N279, S279)</f>
        <v>0</v>
      </c>
      <c r="Y278" s="212">
        <f>IF($U278=0, ,X278/$U278)</f>
        <v>0</v>
      </c>
      <c r="Z278" s="210">
        <f>SUM(J278, O278, T278, J279, O279, T279)</f>
        <v>0</v>
      </c>
      <c r="AA278" s="212">
        <f>IF($U278=0, ,Z278/$U278)</f>
        <v>0</v>
      </c>
      <c r="AB278" s="214" t="s">
        <v>87</v>
      </c>
    </row>
    <row r="279" spans="1:28" x14ac:dyDescent="0.2">
      <c r="A279" s="228"/>
      <c r="B279" s="250"/>
      <c r="C279" s="9"/>
      <c r="D279" s="9"/>
      <c r="E279" s="209"/>
      <c r="F279" s="15"/>
      <c r="G279" s="27">
        <f>F279/$U267</f>
        <v>0</v>
      </c>
      <c r="H279" s="15"/>
      <c r="I279" s="15"/>
      <c r="J279" s="15"/>
      <c r="K279" s="15"/>
      <c r="L279" s="27">
        <f>K279/$U267</f>
        <v>0</v>
      </c>
      <c r="M279" s="15"/>
      <c r="N279" s="15"/>
      <c r="O279" s="15"/>
      <c r="P279" s="15"/>
      <c r="Q279" s="27">
        <f>P279/$U267</f>
        <v>0</v>
      </c>
      <c r="R279" s="15"/>
      <c r="S279" s="15"/>
      <c r="T279" s="15"/>
      <c r="U279" s="211"/>
      <c r="V279" s="211"/>
      <c r="W279" s="213"/>
      <c r="X279" s="211"/>
      <c r="Y279" s="213"/>
      <c r="Z279" s="211"/>
      <c r="AA279" s="213"/>
      <c r="AB279" s="215"/>
    </row>
    <row r="280" spans="1:28" x14ac:dyDescent="0.2">
      <c r="A280" s="228"/>
      <c r="B280" s="216" t="s">
        <v>22</v>
      </c>
      <c r="C280" s="11"/>
      <c r="D280" s="11"/>
      <c r="E280" s="191" t="s">
        <v>1</v>
      </c>
      <c r="F280" s="16">
        <v>4013</v>
      </c>
      <c r="G280" s="28">
        <f>F280/$U267</f>
        <v>25.081250000000001</v>
      </c>
      <c r="H280" s="16"/>
      <c r="I280" s="16"/>
      <c r="J280" s="16"/>
      <c r="K280" s="16">
        <v>3401</v>
      </c>
      <c r="L280" s="28">
        <f>K280/$U267</f>
        <v>21.256250000000001</v>
      </c>
      <c r="M280" s="16"/>
      <c r="N280" s="16"/>
      <c r="O280" s="16"/>
      <c r="P280" s="16"/>
      <c r="Q280" s="28">
        <f>P280/$U267</f>
        <v>0</v>
      </c>
      <c r="R280" s="16"/>
      <c r="S280" s="16"/>
      <c r="T280" s="16"/>
      <c r="U280" s="220">
        <f>SUM(F280, K280, P280, F281, K281, P281)</f>
        <v>7414</v>
      </c>
      <c r="V280" s="220">
        <f>SUM(H280, M280, R280, H281, M281, R281)</f>
        <v>0</v>
      </c>
      <c r="W280" s="194">
        <f>IF($U280=0, ,V280/$U280)</f>
        <v>0</v>
      </c>
      <c r="X280" s="220">
        <f>SUM(I280, N280, S280, I281, N281, S281)</f>
        <v>0</v>
      </c>
      <c r="Y280" s="194">
        <f>IF($U280=0, ,X280/$U280)</f>
        <v>0</v>
      </c>
      <c r="Z280" s="220">
        <f>SUM(J280, O280, T280, J281, O281, T281)</f>
        <v>0</v>
      </c>
      <c r="AA280" s="194">
        <f>IF($U280=0, ,Z280/$U280)</f>
        <v>0</v>
      </c>
      <c r="AB280" s="204" t="s">
        <v>87</v>
      </c>
    </row>
    <row r="281" spans="1:28" x14ac:dyDescent="0.2">
      <c r="A281" s="228"/>
      <c r="B281" s="217"/>
      <c r="C281" s="11"/>
      <c r="D281" s="11"/>
      <c r="E281" s="192"/>
      <c r="F281" s="16"/>
      <c r="G281" s="28">
        <f>F281/$U267</f>
        <v>0</v>
      </c>
      <c r="H281" s="16"/>
      <c r="I281" s="16"/>
      <c r="J281" s="16"/>
      <c r="K281" s="16"/>
      <c r="L281" s="28">
        <f>K281/$U267</f>
        <v>0</v>
      </c>
      <c r="M281" s="16"/>
      <c r="N281" s="16"/>
      <c r="O281" s="16"/>
      <c r="P281" s="16"/>
      <c r="Q281" s="28">
        <f>P281/$U267</f>
        <v>0</v>
      </c>
      <c r="R281" s="16"/>
      <c r="S281" s="16"/>
      <c r="T281" s="16"/>
      <c r="U281" s="221"/>
      <c r="V281" s="221"/>
      <c r="W281" s="195"/>
      <c r="X281" s="221"/>
      <c r="Y281" s="195"/>
      <c r="Z281" s="221"/>
      <c r="AA281" s="195"/>
      <c r="AB281" s="205"/>
    </row>
    <row r="282" spans="1:28" ht="13.5" thickBot="1" x14ac:dyDescent="0.25">
      <c r="A282" s="228"/>
      <c r="B282" s="56"/>
      <c r="C282" s="56"/>
      <c r="D282" s="56"/>
      <c r="E282" s="56"/>
      <c r="F282" s="57"/>
      <c r="G282" s="58"/>
      <c r="H282" s="57"/>
      <c r="I282" s="57"/>
      <c r="J282" s="57"/>
      <c r="K282" s="57"/>
      <c r="L282" s="58"/>
      <c r="M282" s="57"/>
      <c r="N282" s="57"/>
      <c r="O282" s="57"/>
      <c r="P282" s="57"/>
      <c r="Q282" s="58"/>
      <c r="R282" s="57"/>
      <c r="S282" s="57"/>
      <c r="T282" s="60" t="s">
        <v>59</v>
      </c>
      <c r="U282" s="61">
        <f>SUM(U270:U281)</f>
        <v>37922</v>
      </c>
      <c r="V282" s="61">
        <f>SUM(V270:V281)</f>
        <v>0</v>
      </c>
      <c r="W282" s="62">
        <f>IF($U282=0, ,V282/$U282)</f>
        <v>0</v>
      </c>
      <c r="X282" s="61">
        <f>SUM(X270:X281)</f>
        <v>0</v>
      </c>
      <c r="Y282" s="62">
        <f>IF($U282=0, ,X282/$U282)</f>
        <v>0</v>
      </c>
      <c r="Z282" s="61">
        <f>SUM(Z270:Z281)</f>
        <v>0</v>
      </c>
      <c r="AA282" s="62">
        <f>IF($U282=0, ,Z282/$U282)</f>
        <v>0</v>
      </c>
      <c r="AB282" s="59"/>
    </row>
    <row r="283" spans="1:28" ht="13.5" thickTop="1" x14ac:dyDescent="0.2">
      <c r="A283" s="228"/>
      <c r="B283" s="44"/>
      <c r="C283" s="45" t="s">
        <v>27</v>
      </c>
      <c r="D283" s="23"/>
      <c r="E283" s="44"/>
      <c r="F283" s="44"/>
      <c r="G283" s="44"/>
      <c r="H283" s="44"/>
      <c r="I283" s="44"/>
      <c r="J283" s="44"/>
      <c r="K283" s="44"/>
      <c r="L283" s="44"/>
      <c r="M283" s="44"/>
      <c r="N283" s="44"/>
      <c r="O283" s="93">
        <v>320</v>
      </c>
      <c r="P283" s="94" t="s">
        <v>33</v>
      </c>
      <c r="Q283" s="44"/>
      <c r="R283" s="44"/>
      <c r="S283" s="44"/>
      <c r="T283" s="44"/>
      <c r="U283" s="44"/>
      <c r="V283" s="44"/>
      <c r="W283" s="44"/>
      <c r="X283" s="44"/>
      <c r="Y283" s="44"/>
      <c r="Z283" s="44"/>
      <c r="AA283" s="44"/>
      <c r="AB283" s="46"/>
    </row>
    <row r="284" spans="1:28" x14ac:dyDescent="0.2">
      <c r="A284" s="228"/>
      <c r="B284" s="229" t="s">
        <v>35</v>
      </c>
      <c r="C284" s="230" t="s">
        <v>25</v>
      </c>
      <c r="D284" s="230" t="s">
        <v>28</v>
      </c>
      <c r="E284" s="237" t="s">
        <v>12</v>
      </c>
      <c r="F284" s="241" t="s">
        <v>13</v>
      </c>
      <c r="G284" s="241"/>
      <c r="H284" s="241"/>
      <c r="I284" s="241" t="s">
        <v>14</v>
      </c>
      <c r="J284" s="241"/>
      <c r="K284" s="241"/>
      <c r="L284" s="241" t="s">
        <v>15</v>
      </c>
      <c r="M284" s="241"/>
      <c r="N284" s="241"/>
      <c r="O284" s="225" t="s">
        <v>34</v>
      </c>
      <c r="P284" s="225" t="s">
        <v>48</v>
      </c>
      <c r="Q284" s="225" t="s">
        <v>60</v>
      </c>
      <c r="R284" s="225" t="s">
        <v>49</v>
      </c>
      <c r="S284" s="225" t="s">
        <v>61</v>
      </c>
      <c r="T284" s="251"/>
      <c r="U284" s="251"/>
      <c r="V284" s="251"/>
      <c r="W284" s="251"/>
      <c r="X284" s="251"/>
      <c r="Y284" s="251"/>
      <c r="Z284" s="251"/>
      <c r="AA284" s="251"/>
      <c r="AB284" s="252"/>
    </row>
    <row r="285" spans="1:28" ht="25.5" x14ac:dyDescent="0.2">
      <c r="A285" s="228"/>
      <c r="B285" s="229"/>
      <c r="C285" s="230"/>
      <c r="D285" s="230"/>
      <c r="E285" s="237"/>
      <c r="F285" s="18" t="s">
        <v>30</v>
      </c>
      <c r="G285" s="18" t="s">
        <v>46</v>
      </c>
      <c r="H285" s="18" t="s">
        <v>47</v>
      </c>
      <c r="I285" s="18" t="s">
        <v>30</v>
      </c>
      <c r="J285" s="18" t="s">
        <v>46</v>
      </c>
      <c r="K285" s="18" t="s">
        <v>47</v>
      </c>
      <c r="L285" s="18" t="s">
        <v>30</v>
      </c>
      <c r="M285" s="18" t="s">
        <v>46</v>
      </c>
      <c r="N285" s="18" t="s">
        <v>47</v>
      </c>
      <c r="O285" s="227"/>
      <c r="P285" s="227"/>
      <c r="Q285" s="227"/>
      <c r="R285" s="227"/>
      <c r="S285" s="227"/>
      <c r="T285" s="253"/>
      <c r="U285" s="253"/>
      <c r="V285" s="253"/>
      <c r="W285" s="253"/>
      <c r="X285" s="253"/>
      <c r="Y285" s="253"/>
      <c r="Z285" s="253"/>
      <c r="AA285" s="253"/>
      <c r="AB285" s="254"/>
    </row>
    <row r="286" spans="1:28" x14ac:dyDescent="0.2">
      <c r="A286" s="228"/>
      <c r="B286" s="242" t="s">
        <v>36</v>
      </c>
      <c r="C286" s="12"/>
      <c r="D286" s="12" t="s">
        <v>95</v>
      </c>
      <c r="E286" s="243" t="s">
        <v>1</v>
      </c>
      <c r="F286" s="13">
        <v>26</v>
      </c>
      <c r="G286" s="13">
        <v>0</v>
      </c>
      <c r="H286" s="13">
        <v>0</v>
      </c>
      <c r="I286" s="13">
        <v>16</v>
      </c>
      <c r="J286" s="13"/>
      <c r="K286" s="13"/>
      <c r="L286" s="13"/>
      <c r="M286" s="13">
        <f>H291+K291+N291+Q291+T291+W291+Z291</f>
        <v>0</v>
      </c>
      <c r="N286" s="13">
        <f>H292+K292+N292+Q292+T292+W292+Z292</f>
        <v>0</v>
      </c>
      <c r="O286" s="210">
        <f>SUM(F286, I286, L286, F287, I287, L287)*$O283</f>
        <v>13440</v>
      </c>
      <c r="P286" s="210">
        <f>SUM(G286, J286, M286, G287, J287, M287)</f>
        <v>0</v>
      </c>
      <c r="Q286" s="212">
        <f>IF($O286=0, ,P286/$O286)</f>
        <v>0</v>
      </c>
      <c r="R286" s="210">
        <f>SUM(H286, K286, N286, H287, K287, N287)</f>
        <v>0</v>
      </c>
      <c r="S286" s="212">
        <f>IF($O286=0, ,R286/$O286)</f>
        <v>0</v>
      </c>
      <c r="T286" s="244"/>
      <c r="U286" s="244"/>
      <c r="V286" s="244"/>
      <c r="W286" s="244"/>
      <c r="X286" s="244"/>
      <c r="Y286" s="244"/>
      <c r="Z286" s="244"/>
      <c r="AA286" s="244"/>
      <c r="AB286" s="245"/>
    </row>
    <row r="287" spans="1:28" x14ac:dyDescent="0.2">
      <c r="A287" s="228"/>
      <c r="B287" s="242"/>
      <c r="C287" s="12"/>
      <c r="D287" s="12"/>
      <c r="E287" s="243"/>
      <c r="F287" s="13"/>
      <c r="G287" s="13">
        <f>F293+I293+L293+O293+R293+U293+X293</f>
        <v>0</v>
      </c>
      <c r="H287" s="13">
        <f>F294+I294+L294+O294+R294+U294+X294</f>
        <v>0</v>
      </c>
      <c r="I287" s="13"/>
      <c r="J287" s="13">
        <f>G293+J293+M293+P293+S293+V293+Y293</f>
        <v>0</v>
      </c>
      <c r="K287" s="13">
        <f>G294+J294+M294+P294+S294+V294+Y294</f>
        <v>0</v>
      </c>
      <c r="L287" s="13"/>
      <c r="M287" s="13">
        <f>H293+K293+N293+Q293+T293+W293+Z293</f>
        <v>0</v>
      </c>
      <c r="N287" s="13">
        <f>H294+K294+N294+Q294+T294+W294+Z294</f>
        <v>0</v>
      </c>
      <c r="O287" s="211"/>
      <c r="P287" s="211"/>
      <c r="Q287" s="213"/>
      <c r="R287" s="211"/>
      <c r="S287" s="213"/>
      <c r="T287" s="246"/>
      <c r="U287" s="246"/>
      <c r="V287" s="246"/>
      <c r="W287" s="246"/>
      <c r="X287" s="246"/>
      <c r="Y287" s="246"/>
      <c r="Z287" s="246"/>
      <c r="AA287" s="246"/>
      <c r="AB287" s="247"/>
    </row>
    <row r="288" spans="1:28" x14ac:dyDescent="0.2">
      <c r="A288" s="228"/>
      <c r="B288" s="56"/>
      <c r="C288" s="56"/>
      <c r="D288" s="56"/>
      <c r="E288" s="56"/>
      <c r="F288" s="89"/>
      <c r="G288" s="89"/>
      <c r="H288" s="89"/>
      <c r="I288" s="89"/>
      <c r="J288" s="89"/>
      <c r="K288" s="89"/>
      <c r="L288" s="89"/>
      <c r="M288" s="89"/>
      <c r="N288" s="89"/>
      <c r="O288" s="90"/>
      <c r="P288" s="90"/>
      <c r="Q288" s="91"/>
      <c r="R288" s="90"/>
      <c r="S288" s="91"/>
      <c r="T288" s="92"/>
      <c r="U288" s="92"/>
      <c r="V288" s="92"/>
      <c r="W288" s="92"/>
      <c r="X288" s="92"/>
      <c r="Y288" s="92"/>
      <c r="Z288" s="92"/>
      <c r="AA288" s="92"/>
      <c r="AB288" s="95"/>
    </row>
    <row r="289" spans="1:28" x14ac:dyDescent="0.2">
      <c r="A289" s="228"/>
      <c r="B289" s="256" t="s">
        <v>67</v>
      </c>
      <c r="C289" s="256"/>
      <c r="D289" s="257"/>
      <c r="E289" s="82" t="s">
        <v>68</v>
      </c>
      <c r="F289" s="248" t="s">
        <v>64</v>
      </c>
      <c r="G289" s="248"/>
      <c r="H289" s="248"/>
      <c r="I289" s="248" t="s">
        <v>76</v>
      </c>
      <c r="J289" s="248"/>
      <c r="K289" s="248"/>
      <c r="L289" s="248" t="s">
        <v>65</v>
      </c>
      <c r="M289" s="248"/>
      <c r="N289" s="248"/>
      <c r="O289" s="248" t="s">
        <v>66</v>
      </c>
      <c r="P289" s="248"/>
      <c r="Q289" s="248"/>
      <c r="R289" s="248" t="s">
        <v>73</v>
      </c>
      <c r="S289" s="248"/>
      <c r="T289" s="248"/>
      <c r="U289" s="248" t="s">
        <v>74</v>
      </c>
      <c r="V289" s="248"/>
      <c r="W289" s="248"/>
      <c r="X289" s="248" t="s">
        <v>75</v>
      </c>
      <c r="Y289" s="248"/>
      <c r="Z289" s="248"/>
      <c r="AA289" s="249"/>
      <c r="AB289" s="249"/>
    </row>
    <row r="290" spans="1:28" x14ac:dyDescent="0.2">
      <c r="A290" s="228"/>
      <c r="B290" s="258"/>
      <c r="C290" s="258"/>
      <c r="D290" s="259"/>
      <c r="E290" s="97" t="s">
        <v>69</v>
      </c>
      <c r="F290" s="83" t="s">
        <v>70</v>
      </c>
      <c r="G290" s="83" t="s">
        <v>71</v>
      </c>
      <c r="H290" s="84" t="s">
        <v>72</v>
      </c>
      <c r="I290" s="83" t="s">
        <v>70</v>
      </c>
      <c r="J290" s="83" t="s">
        <v>71</v>
      </c>
      <c r="K290" s="84" t="s">
        <v>72</v>
      </c>
      <c r="L290" s="83" t="s">
        <v>70</v>
      </c>
      <c r="M290" s="83" t="s">
        <v>71</v>
      </c>
      <c r="N290" s="84" t="s">
        <v>72</v>
      </c>
      <c r="O290" s="83" t="s">
        <v>70</v>
      </c>
      <c r="P290" s="83" t="s">
        <v>71</v>
      </c>
      <c r="Q290" s="84" t="s">
        <v>72</v>
      </c>
      <c r="R290" s="83" t="s">
        <v>70</v>
      </c>
      <c r="S290" s="83" t="s">
        <v>71</v>
      </c>
      <c r="T290" s="84" t="s">
        <v>72</v>
      </c>
      <c r="U290" s="83" t="s">
        <v>70</v>
      </c>
      <c r="V290" s="83" t="s">
        <v>71</v>
      </c>
      <c r="W290" s="84" t="s">
        <v>72</v>
      </c>
      <c r="X290" s="83" t="s">
        <v>70</v>
      </c>
      <c r="Y290" s="83" t="s">
        <v>71</v>
      </c>
      <c r="Z290" s="84" t="s">
        <v>72</v>
      </c>
      <c r="AA290" s="249"/>
      <c r="AB290" s="249"/>
    </row>
    <row r="291" spans="1:28" x14ac:dyDescent="0.2">
      <c r="A291" s="228"/>
      <c r="B291" s="260" t="str">
        <f>B286</f>
        <v>Final ASS</v>
      </c>
      <c r="C291" s="82" t="str">
        <f>IF(ISBLANK(C286), "", C286)</f>
        <v/>
      </c>
      <c r="D291" s="96" t="str">
        <f>IF(ISBLANK(D286), "", D286)</f>
        <v>unilever</v>
      </c>
      <c r="E291" s="82" t="s">
        <v>77</v>
      </c>
      <c r="F291" s="86"/>
      <c r="G291" s="85"/>
      <c r="H291" s="85"/>
      <c r="I291" s="85"/>
      <c r="J291" s="85"/>
      <c r="K291" s="85"/>
      <c r="L291" s="87"/>
      <c r="M291" s="87"/>
      <c r="N291" s="87"/>
      <c r="O291" s="87"/>
      <c r="P291" s="87"/>
      <c r="Q291" s="85"/>
      <c r="R291" s="87"/>
      <c r="S291" s="87"/>
      <c r="T291" s="87"/>
      <c r="U291" s="87"/>
      <c r="V291" s="87"/>
      <c r="W291" s="85"/>
      <c r="X291" s="85"/>
      <c r="Y291" s="85"/>
      <c r="Z291" s="88"/>
      <c r="AA291" s="249"/>
      <c r="AB291" s="249"/>
    </row>
    <row r="292" spans="1:28" x14ac:dyDescent="0.2">
      <c r="A292" s="228"/>
      <c r="B292" s="260"/>
      <c r="C292" s="82" t="str">
        <f>IF(ISBLANK(C286), "", C286)</f>
        <v/>
      </c>
      <c r="D292" s="96" t="str">
        <f>IF(ISBLANK(D286), "", D286)</f>
        <v>unilever</v>
      </c>
      <c r="E292" s="82" t="s">
        <v>78</v>
      </c>
      <c r="F292" s="86"/>
      <c r="G292" s="85"/>
      <c r="H292" s="85"/>
      <c r="I292" s="85"/>
      <c r="J292" s="85"/>
      <c r="K292" s="85"/>
      <c r="L292" s="87"/>
      <c r="M292" s="87"/>
      <c r="N292" s="87"/>
      <c r="O292" s="87"/>
      <c r="P292" s="87"/>
      <c r="Q292" s="85"/>
      <c r="R292" s="87"/>
      <c r="S292" s="87"/>
      <c r="T292" s="87"/>
      <c r="U292" s="87"/>
      <c r="V292" s="87"/>
      <c r="W292" s="85"/>
      <c r="X292" s="85"/>
      <c r="Y292" s="85"/>
      <c r="Z292" s="88"/>
      <c r="AA292" s="249"/>
      <c r="AB292" s="249"/>
    </row>
    <row r="293" spans="1:28" x14ac:dyDescent="0.2">
      <c r="A293" s="228"/>
      <c r="B293" s="260"/>
      <c r="C293" s="82" t="str">
        <f>IF(ISBLANK(C287), "", C287)</f>
        <v/>
      </c>
      <c r="D293" s="96" t="str">
        <f>IF(ISBLANK(D287), "", D287)</f>
        <v/>
      </c>
      <c r="E293" s="82" t="s">
        <v>77</v>
      </c>
      <c r="F293" s="86"/>
      <c r="G293" s="85"/>
      <c r="H293" s="85"/>
      <c r="I293" s="85"/>
      <c r="J293" s="85"/>
      <c r="K293" s="85"/>
      <c r="L293" s="87"/>
      <c r="M293" s="87"/>
      <c r="N293" s="87"/>
      <c r="O293" s="87"/>
      <c r="P293" s="87"/>
      <c r="Q293" s="85"/>
      <c r="R293" s="87"/>
      <c r="S293" s="87"/>
      <c r="T293" s="87"/>
      <c r="U293" s="87"/>
      <c r="V293" s="87"/>
      <c r="W293" s="85"/>
      <c r="X293" s="85"/>
      <c r="Y293" s="85"/>
      <c r="Z293" s="88"/>
      <c r="AA293" s="249"/>
      <c r="AB293" s="249"/>
    </row>
    <row r="294" spans="1:28" x14ac:dyDescent="0.2">
      <c r="A294" s="228"/>
      <c r="B294" s="260"/>
      <c r="C294" s="82" t="str">
        <f>IF(ISBLANK(C287), "", C287)</f>
        <v/>
      </c>
      <c r="D294" s="96" t="str">
        <f>IF(ISBLANK(D287), "", D287)</f>
        <v/>
      </c>
      <c r="E294" s="82" t="s">
        <v>78</v>
      </c>
      <c r="F294" s="86"/>
      <c r="G294" s="85"/>
      <c r="H294" s="85"/>
      <c r="I294" s="85"/>
      <c r="J294" s="85"/>
      <c r="K294" s="85"/>
      <c r="L294" s="87"/>
      <c r="M294" s="87"/>
      <c r="N294" s="87"/>
      <c r="O294" s="87"/>
      <c r="P294" s="87"/>
      <c r="Q294" s="85"/>
      <c r="R294" s="87"/>
      <c r="S294" s="87"/>
      <c r="T294" s="87"/>
      <c r="U294" s="87"/>
      <c r="V294" s="87"/>
      <c r="W294" s="85"/>
      <c r="X294" s="85"/>
      <c r="Y294" s="85"/>
      <c r="Z294" s="88"/>
      <c r="AA294" s="249"/>
      <c r="AB294" s="249"/>
    </row>
    <row r="296" spans="1:28" x14ac:dyDescent="0.2">
      <c r="A296" s="228">
        <v>44723</v>
      </c>
      <c r="B296" s="19"/>
      <c r="C296" s="19" t="s">
        <v>42</v>
      </c>
      <c r="D296" s="20"/>
      <c r="E296" s="21" t="s">
        <v>41</v>
      </c>
      <c r="F296" s="20">
        <v>0</v>
      </c>
      <c r="G296" s="20"/>
      <c r="H296" s="20"/>
      <c r="I296" s="21"/>
      <c r="J296" s="21"/>
      <c r="K296" s="32"/>
      <c r="L296" s="32"/>
      <c r="M296" s="20"/>
      <c r="N296" s="21"/>
      <c r="O296" s="21"/>
      <c r="P296" s="32"/>
      <c r="Q296" s="32"/>
      <c r="R296" s="20"/>
      <c r="S296" s="21"/>
      <c r="T296" s="21"/>
      <c r="U296" s="41">
        <v>160</v>
      </c>
      <c r="V296" s="42" t="s">
        <v>32</v>
      </c>
      <c r="W296" s="42"/>
      <c r="X296" s="43"/>
      <c r="Y296" s="31"/>
      <c r="Z296" s="31"/>
      <c r="AA296" s="31"/>
      <c r="AB296" s="33"/>
    </row>
    <row r="297" spans="1:28" x14ac:dyDescent="0.2">
      <c r="A297" s="228"/>
      <c r="B297" s="229" t="s">
        <v>10</v>
      </c>
      <c r="C297" s="230" t="s">
        <v>25</v>
      </c>
      <c r="D297" s="230" t="s">
        <v>28</v>
      </c>
      <c r="E297" s="237" t="s">
        <v>12</v>
      </c>
      <c r="F297" s="222" t="s">
        <v>13</v>
      </c>
      <c r="G297" s="223"/>
      <c r="H297" s="223"/>
      <c r="I297" s="223"/>
      <c r="J297" s="224"/>
      <c r="K297" s="222" t="s">
        <v>14</v>
      </c>
      <c r="L297" s="223"/>
      <c r="M297" s="223"/>
      <c r="N297" s="223"/>
      <c r="O297" s="224"/>
      <c r="P297" s="222" t="s">
        <v>15</v>
      </c>
      <c r="Q297" s="223"/>
      <c r="R297" s="223"/>
      <c r="S297" s="223"/>
      <c r="T297" s="224"/>
      <c r="U297" s="255" t="s">
        <v>34</v>
      </c>
      <c r="V297" s="255" t="s">
        <v>48</v>
      </c>
      <c r="W297" s="255" t="s">
        <v>56</v>
      </c>
      <c r="X297" s="255" t="s">
        <v>54</v>
      </c>
      <c r="Y297" s="255" t="s">
        <v>57</v>
      </c>
      <c r="Z297" s="255" t="s">
        <v>55</v>
      </c>
      <c r="AA297" s="255" t="s">
        <v>58</v>
      </c>
      <c r="AB297" s="255" t="s">
        <v>38</v>
      </c>
    </row>
    <row r="298" spans="1:28" ht="38.25" x14ac:dyDescent="0.2">
      <c r="A298" s="228"/>
      <c r="B298" s="229"/>
      <c r="C298" s="230"/>
      <c r="D298" s="230"/>
      <c r="E298" s="237"/>
      <c r="F298" s="18" t="s">
        <v>45</v>
      </c>
      <c r="G298" s="18" t="s">
        <v>29</v>
      </c>
      <c r="H298" s="18" t="s">
        <v>46</v>
      </c>
      <c r="I298" s="18" t="s">
        <v>52</v>
      </c>
      <c r="J298" s="18" t="s">
        <v>53</v>
      </c>
      <c r="K298" s="18" t="s">
        <v>45</v>
      </c>
      <c r="L298" s="18" t="s">
        <v>29</v>
      </c>
      <c r="M298" s="18" t="s">
        <v>46</v>
      </c>
      <c r="N298" s="18" t="s">
        <v>52</v>
      </c>
      <c r="O298" s="18" t="s">
        <v>53</v>
      </c>
      <c r="P298" s="18" t="s">
        <v>45</v>
      </c>
      <c r="Q298" s="18" t="s">
        <v>29</v>
      </c>
      <c r="R298" s="18" t="s">
        <v>46</v>
      </c>
      <c r="S298" s="18" t="s">
        <v>52</v>
      </c>
      <c r="T298" s="18" t="s">
        <v>53</v>
      </c>
      <c r="U298" s="255"/>
      <c r="V298" s="255"/>
      <c r="W298" s="255"/>
      <c r="X298" s="255"/>
      <c r="Y298" s="255"/>
      <c r="Z298" s="255"/>
      <c r="AA298" s="255"/>
      <c r="AB298" s="255"/>
    </row>
    <row r="299" spans="1:28" x14ac:dyDescent="0.2">
      <c r="A299" s="228"/>
      <c r="B299" s="232" t="s">
        <v>17</v>
      </c>
      <c r="C299" s="12">
        <v>21284</v>
      </c>
      <c r="D299" s="12"/>
      <c r="E299" s="234" t="s">
        <v>1</v>
      </c>
      <c r="F299" s="13">
        <v>3824</v>
      </c>
      <c r="G299" s="25">
        <f>F299/$U296</f>
        <v>23.9</v>
      </c>
      <c r="H299" s="13"/>
      <c r="I299" s="13"/>
      <c r="J299" s="13"/>
      <c r="K299" s="13">
        <v>0</v>
      </c>
      <c r="L299" s="25">
        <f>K299/$U296</f>
        <v>0</v>
      </c>
      <c r="M299" s="13"/>
      <c r="N299" s="13"/>
      <c r="O299" s="13"/>
      <c r="P299" s="13"/>
      <c r="Q299" s="25">
        <f>P299/$U296</f>
        <v>0</v>
      </c>
      <c r="R299" s="13"/>
      <c r="S299" s="13"/>
      <c r="T299" s="13"/>
      <c r="U299" s="210">
        <f>SUM(F299, K299, P299, F300, K300, P300)</f>
        <v>3824</v>
      </c>
      <c r="V299" s="210">
        <f>SUM(H299, M299, R299, H300, M300, R300)</f>
        <v>0</v>
      </c>
      <c r="W299" s="212">
        <f>IF($U299=0, ,V299/$U299)</f>
        <v>0</v>
      </c>
      <c r="X299" s="210">
        <f>SUM(I299, N299, S299, I300, N300, S300)</f>
        <v>0</v>
      </c>
      <c r="Y299" s="212">
        <f>IF($U299=0, ,X299/$U299)</f>
        <v>0</v>
      </c>
      <c r="Z299" s="210">
        <f>SUM(J299, O299, T299, J300, O300, T300)</f>
        <v>0</v>
      </c>
      <c r="AA299" s="212">
        <f>IF($U299=0, ,Z299/$U299)</f>
        <v>0</v>
      </c>
      <c r="AB299" s="214"/>
    </row>
    <row r="300" spans="1:28" x14ac:dyDescent="0.2">
      <c r="A300" s="228"/>
      <c r="B300" s="250"/>
      <c r="C300" s="12"/>
      <c r="D300" s="12"/>
      <c r="E300" s="236"/>
      <c r="F300" s="13"/>
      <c r="G300" s="25">
        <f>F300/$U296</f>
        <v>0</v>
      </c>
      <c r="H300" s="13"/>
      <c r="I300" s="13"/>
      <c r="J300" s="13"/>
      <c r="K300" s="13"/>
      <c r="L300" s="25">
        <f>K300/$U296</f>
        <v>0</v>
      </c>
      <c r="M300" s="13"/>
      <c r="N300" s="13"/>
      <c r="O300" s="13"/>
      <c r="P300" s="13"/>
      <c r="Q300" s="25">
        <f>P300/$U296</f>
        <v>0</v>
      </c>
      <c r="R300" s="13"/>
      <c r="S300" s="13"/>
      <c r="T300" s="13"/>
      <c r="U300" s="211"/>
      <c r="V300" s="211"/>
      <c r="W300" s="213"/>
      <c r="X300" s="211"/>
      <c r="Y300" s="213"/>
      <c r="Z300" s="211"/>
      <c r="AA300" s="213"/>
      <c r="AB300" s="215"/>
    </row>
    <row r="301" spans="1:28" x14ac:dyDescent="0.2">
      <c r="A301" s="228"/>
      <c r="B301" s="216" t="s">
        <v>18</v>
      </c>
      <c r="C301" s="10">
        <v>21284</v>
      </c>
      <c r="D301" s="10"/>
      <c r="E301" s="218" t="s">
        <v>1</v>
      </c>
      <c r="F301" s="14">
        <v>3164</v>
      </c>
      <c r="G301" s="26">
        <f>F301/$U296</f>
        <v>19.774999999999999</v>
      </c>
      <c r="H301" s="14"/>
      <c r="I301" s="14"/>
      <c r="J301" s="14"/>
      <c r="K301" s="14">
        <v>0</v>
      </c>
      <c r="L301" s="26">
        <f>K301/$U296</f>
        <v>0</v>
      </c>
      <c r="M301" s="14"/>
      <c r="N301" s="14"/>
      <c r="O301" s="14"/>
      <c r="P301" s="14"/>
      <c r="Q301" s="26">
        <f>P301/$U296</f>
        <v>0</v>
      </c>
      <c r="R301" s="14"/>
      <c r="S301" s="14"/>
      <c r="T301" s="14"/>
      <c r="U301" s="220">
        <f>SUM(F301, K301, P301, F302, K302, P302)</f>
        <v>3164</v>
      </c>
      <c r="V301" s="220">
        <f>SUM(H301, M301, R301, H302, M302, R302)</f>
        <v>0</v>
      </c>
      <c r="W301" s="194">
        <f>IF($U301=0, ,V301/$U301)</f>
        <v>0</v>
      </c>
      <c r="X301" s="220">
        <f>SUM(I301, N301, S301, I302, N302, S302)</f>
        <v>0</v>
      </c>
      <c r="Y301" s="194">
        <f>IF($U301=0, ,X301/$U301)</f>
        <v>0</v>
      </c>
      <c r="Z301" s="220">
        <f>SUM(J301, O301, T301, J302, O302, T302)</f>
        <v>0</v>
      </c>
      <c r="AA301" s="194">
        <f>IF($U301=0, ,Z301/$U301)</f>
        <v>0</v>
      </c>
      <c r="AB301" s="204"/>
    </row>
    <row r="302" spans="1:28" x14ac:dyDescent="0.2">
      <c r="A302" s="228"/>
      <c r="B302" s="217"/>
      <c r="C302" s="10"/>
      <c r="D302" s="10"/>
      <c r="E302" s="219"/>
      <c r="F302" s="14"/>
      <c r="G302" s="26">
        <f>F302/$U296</f>
        <v>0</v>
      </c>
      <c r="H302" s="14"/>
      <c r="I302" s="14"/>
      <c r="J302" s="14"/>
      <c r="K302" s="14"/>
      <c r="L302" s="26">
        <f>K302/$U296</f>
        <v>0</v>
      </c>
      <c r="M302" s="14"/>
      <c r="N302" s="14"/>
      <c r="O302" s="14"/>
      <c r="P302" s="14"/>
      <c r="Q302" s="26">
        <f>P302/$U296</f>
        <v>0</v>
      </c>
      <c r="R302" s="14"/>
      <c r="S302" s="14"/>
      <c r="T302" s="14"/>
      <c r="U302" s="221"/>
      <c r="V302" s="221"/>
      <c r="W302" s="195"/>
      <c r="X302" s="221"/>
      <c r="Y302" s="195"/>
      <c r="Z302" s="221"/>
      <c r="AA302" s="195"/>
      <c r="AB302" s="205"/>
    </row>
    <row r="303" spans="1:28" x14ac:dyDescent="0.2">
      <c r="A303" s="228"/>
      <c r="B303" s="232" t="s">
        <v>19</v>
      </c>
      <c r="C303" s="9"/>
      <c r="D303" s="9"/>
      <c r="E303" s="208" t="s">
        <v>1</v>
      </c>
      <c r="F303" s="15">
        <v>0</v>
      </c>
      <c r="G303" s="27">
        <f>F303/$U296</f>
        <v>0</v>
      </c>
      <c r="H303" s="15"/>
      <c r="I303" s="15"/>
      <c r="J303" s="15"/>
      <c r="K303" s="15">
        <v>0</v>
      </c>
      <c r="L303" s="27">
        <f>K303/$U296</f>
        <v>0</v>
      </c>
      <c r="M303" s="15"/>
      <c r="N303" s="15"/>
      <c r="O303" s="15"/>
      <c r="P303" s="15"/>
      <c r="Q303" s="27">
        <f>P303/$U296</f>
        <v>0</v>
      </c>
      <c r="R303" s="15"/>
      <c r="S303" s="15"/>
      <c r="T303" s="15"/>
      <c r="U303" s="210">
        <f>SUM(F303, K303, P303, F304, K304, P304)</f>
        <v>0</v>
      </c>
      <c r="V303" s="210">
        <f>SUM(H303, M303, R303, H304, M304, R304)</f>
        <v>0</v>
      </c>
      <c r="W303" s="212">
        <f>IF($U303=0, ,V303/$U303)</f>
        <v>0</v>
      </c>
      <c r="X303" s="210">
        <f>SUM(I303, N303, S303, I304, N304, S304)</f>
        <v>0</v>
      </c>
      <c r="Y303" s="212">
        <f>IF($U303=0, ,X303/$U303)</f>
        <v>0</v>
      </c>
      <c r="Z303" s="210">
        <f>SUM(J303, O303, T303, J304, O304, T304)</f>
        <v>0</v>
      </c>
      <c r="AA303" s="212">
        <f>IF($U303=0, ,Z303/$U303)</f>
        <v>0</v>
      </c>
      <c r="AB303" s="214" t="s">
        <v>87</v>
      </c>
    </row>
    <row r="304" spans="1:28" x14ac:dyDescent="0.2">
      <c r="A304" s="228"/>
      <c r="B304" s="250"/>
      <c r="C304" s="9"/>
      <c r="D304" s="9"/>
      <c r="E304" s="209"/>
      <c r="F304" s="15"/>
      <c r="G304" s="27">
        <f>F304/$U296</f>
        <v>0</v>
      </c>
      <c r="H304" s="15"/>
      <c r="I304" s="15"/>
      <c r="J304" s="15"/>
      <c r="K304" s="15"/>
      <c r="L304" s="27">
        <f>K304/$U296</f>
        <v>0</v>
      </c>
      <c r="M304" s="15"/>
      <c r="N304" s="15"/>
      <c r="O304" s="15"/>
      <c r="P304" s="15"/>
      <c r="Q304" s="27">
        <f>P304/$U296</f>
        <v>0</v>
      </c>
      <c r="R304" s="15"/>
      <c r="S304" s="15"/>
      <c r="T304" s="15"/>
      <c r="U304" s="211"/>
      <c r="V304" s="211"/>
      <c r="W304" s="213"/>
      <c r="X304" s="211"/>
      <c r="Y304" s="213"/>
      <c r="Z304" s="211"/>
      <c r="AA304" s="213"/>
      <c r="AB304" s="215"/>
    </row>
    <row r="305" spans="1:28" x14ac:dyDescent="0.2">
      <c r="A305" s="228"/>
      <c r="B305" s="216" t="s">
        <v>20</v>
      </c>
      <c r="C305" s="10">
        <v>21284</v>
      </c>
      <c r="D305" s="10"/>
      <c r="E305" s="218" t="s">
        <v>1</v>
      </c>
      <c r="F305" s="14">
        <v>3231</v>
      </c>
      <c r="G305" s="26">
        <f>F305/$U296</f>
        <v>20.193750000000001</v>
      </c>
      <c r="H305" s="14"/>
      <c r="I305" s="14"/>
      <c r="J305" s="14"/>
      <c r="K305" s="14">
        <v>0</v>
      </c>
      <c r="L305" s="26">
        <f>K305/$U296</f>
        <v>0</v>
      </c>
      <c r="M305" s="14"/>
      <c r="N305" s="14"/>
      <c r="O305" s="14"/>
      <c r="P305" s="14"/>
      <c r="Q305" s="26">
        <f>P305/$U296</f>
        <v>0</v>
      </c>
      <c r="R305" s="14"/>
      <c r="S305" s="14"/>
      <c r="T305" s="14"/>
      <c r="U305" s="220">
        <f>SUM(F305, K305, P305, F306, K306, P306)</f>
        <v>3231</v>
      </c>
      <c r="V305" s="220">
        <f>SUM(H305, M305, R305, H306, M306, R306)</f>
        <v>0</v>
      </c>
      <c r="W305" s="194">
        <f>IF($U305=0, ,V305/$U305)</f>
        <v>0</v>
      </c>
      <c r="X305" s="220">
        <f>SUM(I305, N305, S305, I306, N306, S306)</f>
        <v>0</v>
      </c>
      <c r="Y305" s="194">
        <f>IF($U305=0, ,X305/$U305)</f>
        <v>0</v>
      </c>
      <c r="Z305" s="220">
        <f>SUM(J305, O305, T305, J306, O306, T306)</f>
        <v>0</v>
      </c>
      <c r="AA305" s="194">
        <f>IF($U305=0, ,Z305/$U305)</f>
        <v>0</v>
      </c>
      <c r="AB305" s="204"/>
    </row>
    <row r="306" spans="1:28" x14ac:dyDescent="0.2">
      <c r="A306" s="228"/>
      <c r="B306" s="217"/>
      <c r="C306" s="10"/>
      <c r="D306" s="10"/>
      <c r="E306" s="219"/>
      <c r="F306" s="14"/>
      <c r="G306" s="26">
        <f>F306/$U296</f>
        <v>0</v>
      </c>
      <c r="H306" s="14"/>
      <c r="I306" s="14"/>
      <c r="J306" s="14"/>
      <c r="K306" s="14"/>
      <c r="L306" s="26">
        <f>K306/$U296</f>
        <v>0</v>
      </c>
      <c r="M306" s="14"/>
      <c r="N306" s="14"/>
      <c r="O306" s="14"/>
      <c r="P306" s="14"/>
      <c r="Q306" s="26">
        <f>P306/$U296</f>
        <v>0</v>
      </c>
      <c r="R306" s="14"/>
      <c r="S306" s="14"/>
      <c r="T306" s="14"/>
      <c r="U306" s="221"/>
      <c r="V306" s="221"/>
      <c r="W306" s="195"/>
      <c r="X306" s="221"/>
      <c r="Y306" s="195"/>
      <c r="Z306" s="221"/>
      <c r="AA306" s="195"/>
      <c r="AB306" s="205"/>
    </row>
    <row r="307" spans="1:28" x14ac:dyDescent="0.2">
      <c r="A307" s="228"/>
      <c r="B307" s="232" t="s">
        <v>21</v>
      </c>
      <c r="C307" s="9"/>
      <c r="D307" s="9"/>
      <c r="E307" s="208" t="s">
        <v>1</v>
      </c>
      <c r="F307" s="15">
        <v>0</v>
      </c>
      <c r="G307" s="27">
        <f>F307/$U296</f>
        <v>0</v>
      </c>
      <c r="H307" s="15"/>
      <c r="I307" s="15"/>
      <c r="J307" s="15"/>
      <c r="K307" s="15">
        <v>0</v>
      </c>
      <c r="L307" s="27">
        <f>K307/$U296</f>
        <v>0</v>
      </c>
      <c r="M307" s="15"/>
      <c r="N307" s="15"/>
      <c r="O307" s="15"/>
      <c r="P307" s="15"/>
      <c r="Q307" s="27">
        <f>P307/$U296</f>
        <v>0</v>
      </c>
      <c r="R307" s="15"/>
      <c r="S307" s="15"/>
      <c r="T307" s="15"/>
      <c r="U307" s="210">
        <f>SUM(F307, K307, P307, F308, K308, P308)</f>
        <v>0</v>
      </c>
      <c r="V307" s="210">
        <f>SUM(H307, M307, R307, H308, M308, R308)</f>
        <v>0</v>
      </c>
      <c r="W307" s="212">
        <f>IF($U307=0, ,V307/$U307)</f>
        <v>0</v>
      </c>
      <c r="X307" s="210">
        <f>SUM(I307, N307, S307, I308, N308, S308)</f>
        <v>0</v>
      </c>
      <c r="Y307" s="212">
        <f>IF($U307=0, ,X307/$U307)</f>
        <v>0</v>
      </c>
      <c r="Z307" s="210">
        <f>SUM(J307, O307, T307, J308, O308, T308)</f>
        <v>0</v>
      </c>
      <c r="AA307" s="212">
        <f>IF($U307=0, ,Z307/$U307)</f>
        <v>0</v>
      </c>
      <c r="AB307" s="214" t="s">
        <v>87</v>
      </c>
    </row>
    <row r="308" spans="1:28" x14ac:dyDescent="0.2">
      <c r="A308" s="228"/>
      <c r="B308" s="250"/>
      <c r="C308" s="9"/>
      <c r="D308" s="9"/>
      <c r="E308" s="209"/>
      <c r="F308" s="15"/>
      <c r="G308" s="27">
        <f>F308/$U296</f>
        <v>0</v>
      </c>
      <c r="H308" s="15"/>
      <c r="I308" s="15"/>
      <c r="J308" s="15"/>
      <c r="K308" s="15"/>
      <c r="L308" s="27">
        <f>K308/$U296</f>
        <v>0</v>
      </c>
      <c r="M308" s="15"/>
      <c r="N308" s="15"/>
      <c r="O308" s="15"/>
      <c r="P308" s="15"/>
      <c r="Q308" s="27">
        <f>P308/$U296</f>
        <v>0</v>
      </c>
      <c r="R308" s="15"/>
      <c r="S308" s="15"/>
      <c r="T308" s="15"/>
      <c r="U308" s="211"/>
      <c r="V308" s="211"/>
      <c r="W308" s="213"/>
      <c r="X308" s="211"/>
      <c r="Y308" s="213"/>
      <c r="Z308" s="211"/>
      <c r="AA308" s="213"/>
      <c r="AB308" s="215"/>
    </row>
    <row r="309" spans="1:28" x14ac:dyDescent="0.2">
      <c r="A309" s="228"/>
      <c r="B309" s="216" t="s">
        <v>22</v>
      </c>
      <c r="C309" s="11">
        <v>21284</v>
      </c>
      <c r="D309" s="11"/>
      <c r="E309" s="191" t="s">
        <v>1</v>
      </c>
      <c r="F309" s="16">
        <v>2225</v>
      </c>
      <c r="G309" s="28">
        <f>F309/$U296</f>
        <v>13.90625</v>
      </c>
      <c r="H309" s="16"/>
      <c r="I309" s="16"/>
      <c r="J309" s="16"/>
      <c r="K309" s="16">
        <v>0</v>
      </c>
      <c r="L309" s="28">
        <f>K309/$U296</f>
        <v>0</v>
      </c>
      <c r="M309" s="16"/>
      <c r="N309" s="16"/>
      <c r="O309" s="16"/>
      <c r="P309" s="16"/>
      <c r="Q309" s="28">
        <f>P309/$U296</f>
        <v>0</v>
      </c>
      <c r="R309" s="16"/>
      <c r="S309" s="16"/>
      <c r="T309" s="16"/>
      <c r="U309" s="220">
        <f>SUM(F309, K309, P309, F310, K310, P310)</f>
        <v>2225</v>
      </c>
      <c r="V309" s="220">
        <f>SUM(H309, M309, R309, H310, M310, R310)</f>
        <v>0</v>
      </c>
      <c r="W309" s="194">
        <f>IF($U309=0, ,V309/$U309)</f>
        <v>0</v>
      </c>
      <c r="X309" s="220">
        <f>SUM(I309, N309, S309, I310, N310, S310)</f>
        <v>0</v>
      </c>
      <c r="Y309" s="194">
        <f>IF($U309=0, ,X309/$U309)</f>
        <v>0</v>
      </c>
      <c r="Z309" s="220">
        <f>SUM(J309, O309, T309, J310, O310, T310)</f>
        <v>0</v>
      </c>
      <c r="AA309" s="194">
        <f>IF($U309=0, ,Z309/$U309)</f>
        <v>0</v>
      </c>
      <c r="AB309" s="204"/>
    </row>
    <row r="310" spans="1:28" x14ac:dyDescent="0.2">
      <c r="A310" s="228"/>
      <c r="B310" s="217"/>
      <c r="C310" s="11"/>
      <c r="D310" s="11"/>
      <c r="E310" s="192"/>
      <c r="F310" s="16"/>
      <c r="G310" s="28">
        <f>F310/$U296</f>
        <v>0</v>
      </c>
      <c r="H310" s="16"/>
      <c r="I310" s="16"/>
      <c r="J310" s="16"/>
      <c r="K310" s="16"/>
      <c r="L310" s="28">
        <f>K310/$U296</f>
        <v>0</v>
      </c>
      <c r="M310" s="16"/>
      <c r="N310" s="16"/>
      <c r="O310" s="16"/>
      <c r="P310" s="16"/>
      <c r="Q310" s="28">
        <f>P310/$U296</f>
        <v>0</v>
      </c>
      <c r="R310" s="16"/>
      <c r="S310" s="16"/>
      <c r="T310" s="16"/>
      <c r="U310" s="221"/>
      <c r="V310" s="221"/>
      <c r="W310" s="195"/>
      <c r="X310" s="221"/>
      <c r="Y310" s="195"/>
      <c r="Z310" s="221"/>
      <c r="AA310" s="195"/>
      <c r="AB310" s="205"/>
    </row>
    <row r="311" spans="1:28" ht="13.5" thickBot="1" x14ac:dyDescent="0.25">
      <c r="A311" s="228"/>
      <c r="B311" s="56"/>
      <c r="C311" s="56"/>
      <c r="D311" s="56"/>
      <c r="E311" s="56"/>
      <c r="F311" s="57"/>
      <c r="G311" s="58"/>
      <c r="H311" s="57"/>
      <c r="I311" s="57"/>
      <c r="J311" s="57"/>
      <c r="K311" s="57"/>
      <c r="L311" s="58"/>
      <c r="M311" s="57"/>
      <c r="N311" s="57"/>
      <c r="O311" s="57"/>
      <c r="P311" s="57"/>
      <c r="Q311" s="58"/>
      <c r="R311" s="57"/>
      <c r="S311" s="57"/>
      <c r="T311" s="60" t="s">
        <v>59</v>
      </c>
      <c r="U311" s="61">
        <f>SUM(U299:U310)</f>
        <v>12444</v>
      </c>
      <c r="V311" s="61">
        <f>SUM(V299:V310)</f>
        <v>0</v>
      </c>
      <c r="W311" s="62">
        <f>IF($U311=0, ,V311/$U311)</f>
        <v>0</v>
      </c>
      <c r="X311" s="61">
        <f>SUM(X299:X310)</f>
        <v>0</v>
      </c>
      <c r="Y311" s="62">
        <f>IF($U311=0, ,X311/$U311)</f>
        <v>0</v>
      </c>
      <c r="Z311" s="61">
        <f>SUM(Z299:Z310)</f>
        <v>0</v>
      </c>
      <c r="AA311" s="62">
        <f>IF($U311=0, ,Z311/$U311)</f>
        <v>0</v>
      </c>
      <c r="AB311" s="59"/>
    </row>
    <row r="312" spans="1:28" ht="13.5" thickTop="1" x14ac:dyDescent="0.2">
      <c r="A312" s="228"/>
      <c r="B312" s="44"/>
      <c r="C312" s="45" t="s">
        <v>27</v>
      </c>
      <c r="D312" s="23"/>
      <c r="E312" s="44"/>
      <c r="F312" s="44"/>
      <c r="G312" s="44"/>
      <c r="H312" s="44"/>
      <c r="I312" s="44"/>
      <c r="J312" s="44"/>
      <c r="K312" s="44"/>
      <c r="L312" s="44"/>
      <c r="M312" s="44"/>
      <c r="N312" s="44"/>
      <c r="O312" s="93">
        <v>320</v>
      </c>
      <c r="P312" s="94" t="s">
        <v>33</v>
      </c>
      <c r="Q312" s="44"/>
      <c r="R312" s="44"/>
      <c r="S312" s="44"/>
      <c r="T312" s="44"/>
      <c r="U312" s="44"/>
      <c r="V312" s="44"/>
      <c r="W312" s="44"/>
      <c r="X312" s="44"/>
      <c r="Y312" s="44"/>
      <c r="Z312" s="44"/>
      <c r="AA312" s="44"/>
      <c r="AB312" s="46"/>
    </row>
    <row r="313" spans="1:28" x14ac:dyDescent="0.2">
      <c r="A313" s="228"/>
      <c r="B313" s="229" t="s">
        <v>35</v>
      </c>
      <c r="C313" s="230" t="s">
        <v>25</v>
      </c>
      <c r="D313" s="230" t="s">
        <v>28</v>
      </c>
      <c r="E313" s="237" t="s">
        <v>12</v>
      </c>
      <c r="F313" s="241" t="s">
        <v>13</v>
      </c>
      <c r="G313" s="241"/>
      <c r="H313" s="241"/>
      <c r="I313" s="241" t="s">
        <v>14</v>
      </c>
      <c r="J313" s="241"/>
      <c r="K313" s="241"/>
      <c r="L313" s="241" t="s">
        <v>15</v>
      </c>
      <c r="M313" s="241"/>
      <c r="N313" s="241"/>
      <c r="O313" s="225" t="s">
        <v>34</v>
      </c>
      <c r="P313" s="225" t="s">
        <v>48</v>
      </c>
      <c r="Q313" s="225" t="s">
        <v>60</v>
      </c>
      <c r="R313" s="225" t="s">
        <v>49</v>
      </c>
      <c r="S313" s="225" t="s">
        <v>61</v>
      </c>
      <c r="T313" s="251"/>
      <c r="U313" s="251"/>
      <c r="V313" s="251"/>
      <c r="W313" s="251"/>
      <c r="X313" s="251"/>
      <c r="Y313" s="251"/>
      <c r="Z313" s="251"/>
      <c r="AA313" s="251"/>
      <c r="AB313" s="252"/>
    </row>
    <row r="314" spans="1:28" ht="25.5" x14ac:dyDescent="0.2">
      <c r="A314" s="228"/>
      <c r="B314" s="229"/>
      <c r="C314" s="230"/>
      <c r="D314" s="230"/>
      <c r="E314" s="237"/>
      <c r="F314" s="18" t="s">
        <v>30</v>
      </c>
      <c r="G314" s="18" t="s">
        <v>46</v>
      </c>
      <c r="H314" s="18" t="s">
        <v>47</v>
      </c>
      <c r="I314" s="18" t="s">
        <v>30</v>
      </c>
      <c r="J314" s="18" t="s">
        <v>46</v>
      </c>
      <c r="K314" s="18" t="s">
        <v>47</v>
      </c>
      <c r="L314" s="18" t="s">
        <v>30</v>
      </c>
      <c r="M314" s="18" t="s">
        <v>46</v>
      </c>
      <c r="N314" s="18" t="s">
        <v>47</v>
      </c>
      <c r="O314" s="227"/>
      <c r="P314" s="227"/>
      <c r="Q314" s="227"/>
      <c r="R314" s="227"/>
      <c r="S314" s="227"/>
      <c r="T314" s="253"/>
      <c r="U314" s="253"/>
      <c r="V314" s="253"/>
      <c r="W314" s="253"/>
      <c r="X314" s="253"/>
      <c r="Y314" s="253"/>
      <c r="Z314" s="253"/>
      <c r="AA314" s="253"/>
      <c r="AB314" s="254"/>
    </row>
    <row r="315" spans="1:28" x14ac:dyDescent="0.2">
      <c r="A315" s="228"/>
      <c r="B315" s="242" t="s">
        <v>36</v>
      </c>
      <c r="C315" s="12">
        <v>21284</v>
      </c>
      <c r="D315" s="12" t="s">
        <v>95</v>
      </c>
      <c r="E315" s="243" t="s">
        <v>1</v>
      </c>
      <c r="F315" s="13">
        <v>18</v>
      </c>
      <c r="G315" s="13">
        <v>0</v>
      </c>
      <c r="H315" s="13">
        <v>0</v>
      </c>
      <c r="I315" s="13">
        <v>35</v>
      </c>
      <c r="J315" s="13"/>
      <c r="K315" s="13"/>
      <c r="L315" s="13"/>
      <c r="M315" s="13">
        <f>H320+K320+N320+Q320+T320+W320+Z320</f>
        <v>0</v>
      </c>
      <c r="N315" s="13">
        <f>H321+K321+N321+Q321+T321+W321+Z321</f>
        <v>0</v>
      </c>
      <c r="O315" s="210">
        <f>SUM(F315, I315, L315, F316, I316, L316)*$O312</f>
        <v>16960</v>
      </c>
      <c r="P315" s="210">
        <f>SUM(G315, J315, M315, G316, J316, M316)</f>
        <v>0</v>
      </c>
      <c r="Q315" s="212">
        <f>IF($O315=0, ,P315/$O315)</f>
        <v>0</v>
      </c>
      <c r="R315" s="210">
        <f>SUM(H315, K315, N315, H316, K316, N316)</f>
        <v>0</v>
      </c>
      <c r="S315" s="212">
        <f>IF($O315=0, ,R315/$O315)</f>
        <v>0</v>
      </c>
      <c r="T315" s="244"/>
      <c r="U315" s="244"/>
      <c r="V315" s="244"/>
      <c r="W315" s="244"/>
      <c r="X315" s="244"/>
      <c r="Y315" s="244"/>
      <c r="Z315" s="244"/>
      <c r="AA315" s="244"/>
      <c r="AB315" s="245"/>
    </row>
    <row r="316" spans="1:28" x14ac:dyDescent="0.2">
      <c r="A316" s="228"/>
      <c r="B316" s="242"/>
      <c r="C316" s="12"/>
      <c r="D316" s="12"/>
      <c r="E316" s="243"/>
      <c r="F316" s="13"/>
      <c r="G316" s="13">
        <f>F322+I322+L322+O322+R322+U322+X322</f>
        <v>0</v>
      </c>
      <c r="H316" s="13">
        <f>F323+I323+L323+O323+R323+U323+X323</f>
        <v>0</v>
      </c>
      <c r="I316" s="13"/>
      <c r="J316" s="13">
        <f>G322+J322+M322+P322+S322+V322+Y322</f>
        <v>0</v>
      </c>
      <c r="K316" s="13">
        <f>G323+J323+M323+P323+S323+V323+Y323</f>
        <v>0</v>
      </c>
      <c r="L316" s="13"/>
      <c r="M316" s="13">
        <f>H322+K322+N322+Q322+T322+W322+Z322</f>
        <v>0</v>
      </c>
      <c r="N316" s="13">
        <f>H323+K323+N323+Q323+T323+W323+Z323</f>
        <v>0</v>
      </c>
      <c r="O316" s="211"/>
      <c r="P316" s="211"/>
      <c r="Q316" s="213"/>
      <c r="R316" s="211"/>
      <c r="S316" s="213"/>
      <c r="T316" s="246"/>
      <c r="U316" s="246"/>
      <c r="V316" s="246"/>
      <c r="W316" s="246"/>
      <c r="X316" s="246"/>
      <c r="Y316" s="246"/>
      <c r="Z316" s="246"/>
      <c r="AA316" s="246"/>
      <c r="AB316" s="247"/>
    </row>
    <row r="317" spans="1:28" x14ac:dyDescent="0.2">
      <c r="A317" s="228"/>
      <c r="B317" s="56"/>
      <c r="C317" s="56"/>
      <c r="D317" s="56"/>
      <c r="E317" s="56"/>
      <c r="F317" s="89"/>
      <c r="G317" s="89"/>
      <c r="H317" s="89"/>
      <c r="I317" s="89"/>
      <c r="J317" s="89"/>
      <c r="K317" s="89"/>
      <c r="L317" s="89"/>
      <c r="M317" s="89"/>
      <c r="N317" s="89"/>
      <c r="O317" s="90"/>
      <c r="P317" s="90"/>
      <c r="Q317" s="91"/>
      <c r="R317" s="90"/>
      <c r="S317" s="91"/>
      <c r="T317" s="92"/>
      <c r="U317" s="92"/>
      <c r="V317" s="92"/>
      <c r="W317" s="92"/>
      <c r="X317" s="92"/>
      <c r="Y317" s="92"/>
      <c r="Z317" s="92"/>
      <c r="AA317" s="92"/>
      <c r="AB317" s="95"/>
    </row>
    <row r="318" spans="1:28" x14ac:dyDescent="0.2">
      <c r="A318" s="228"/>
      <c r="B318" s="256" t="s">
        <v>67</v>
      </c>
      <c r="C318" s="256"/>
      <c r="D318" s="257"/>
      <c r="E318" s="82" t="s">
        <v>68</v>
      </c>
      <c r="F318" s="248" t="s">
        <v>64</v>
      </c>
      <c r="G318" s="248"/>
      <c r="H318" s="248"/>
      <c r="I318" s="248" t="s">
        <v>76</v>
      </c>
      <c r="J318" s="248"/>
      <c r="K318" s="248"/>
      <c r="L318" s="248" t="s">
        <v>65</v>
      </c>
      <c r="M318" s="248"/>
      <c r="N318" s="248"/>
      <c r="O318" s="248" t="s">
        <v>66</v>
      </c>
      <c r="P318" s="248"/>
      <c r="Q318" s="248"/>
      <c r="R318" s="248" t="s">
        <v>73</v>
      </c>
      <c r="S318" s="248"/>
      <c r="T318" s="248"/>
      <c r="U318" s="248" t="s">
        <v>74</v>
      </c>
      <c r="V318" s="248"/>
      <c r="W318" s="248"/>
      <c r="X318" s="248" t="s">
        <v>75</v>
      </c>
      <c r="Y318" s="248"/>
      <c r="Z318" s="248"/>
      <c r="AA318" s="249"/>
      <c r="AB318" s="249"/>
    </row>
    <row r="319" spans="1:28" x14ac:dyDescent="0.2">
      <c r="A319" s="228"/>
      <c r="B319" s="258"/>
      <c r="C319" s="258"/>
      <c r="D319" s="259"/>
      <c r="E319" s="97" t="s">
        <v>69</v>
      </c>
      <c r="F319" s="83" t="s">
        <v>70</v>
      </c>
      <c r="G319" s="83" t="s">
        <v>71</v>
      </c>
      <c r="H319" s="84" t="s">
        <v>72</v>
      </c>
      <c r="I319" s="83" t="s">
        <v>70</v>
      </c>
      <c r="J319" s="83" t="s">
        <v>71</v>
      </c>
      <c r="K319" s="84" t="s">
        <v>72</v>
      </c>
      <c r="L319" s="83" t="s">
        <v>70</v>
      </c>
      <c r="M319" s="83" t="s">
        <v>71</v>
      </c>
      <c r="N319" s="84" t="s">
        <v>72</v>
      </c>
      <c r="O319" s="83" t="s">
        <v>70</v>
      </c>
      <c r="P319" s="83" t="s">
        <v>71</v>
      </c>
      <c r="Q319" s="84" t="s">
        <v>72</v>
      </c>
      <c r="R319" s="83" t="s">
        <v>70</v>
      </c>
      <c r="S319" s="83" t="s">
        <v>71</v>
      </c>
      <c r="T319" s="84" t="s">
        <v>72</v>
      </c>
      <c r="U319" s="83" t="s">
        <v>70</v>
      </c>
      <c r="V319" s="83" t="s">
        <v>71</v>
      </c>
      <c r="W319" s="84" t="s">
        <v>72</v>
      </c>
      <c r="X319" s="83" t="s">
        <v>70</v>
      </c>
      <c r="Y319" s="83" t="s">
        <v>71</v>
      </c>
      <c r="Z319" s="84" t="s">
        <v>72</v>
      </c>
      <c r="AA319" s="249"/>
      <c r="AB319" s="249"/>
    </row>
    <row r="320" spans="1:28" x14ac:dyDescent="0.2">
      <c r="A320" s="228"/>
      <c r="B320" s="260" t="str">
        <f>B315</f>
        <v>Final ASS</v>
      </c>
      <c r="C320" s="82">
        <f>IF(ISBLANK(C315), "", C315)</f>
        <v>21284</v>
      </c>
      <c r="D320" s="96" t="str">
        <f>IF(ISBLANK(D315), "", D315)</f>
        <v>unilever</v>
      </c>
      <c r="E320" s="82" t="s">
        <v>77</v>
      </c>
      <c r="F320" s="86"/>
      <c r="G320" s="85"/>
      <c r="H320" s="85"/>
      <c r="I320" s="85"/>
      <c r="J320" s="85"/>
      <c r="K320" s="85"/>
      <c r="L320" s="87"/>
      <c r="M320" s="87"/>
      <c r="N320" s="87"/>
      <c r="O320" s="87"/>
      <c r="P320" s="87"/>
      <c r="Q320" s="85"/>
      <c r="R320" s="87"/>
      <c r="S320" s="87"/>
      <c r="T320" s="87"/>
      <c r="U320" s="87"/>
      <c r="V320" s="87"/>
      <c r="W320" s="85"/>
      <c r="X320" s="85"/>
      <c r="Y320" s="85"/>
      <c r="Z320" s="88"/>
      <c r="AA320" s="249"/>
      <c r="AB320" s="249"/>
    </row>
    <row r="321" spans="1:28" x14ac:dyDescent="0.2">
      <c r="A321" s="228"/>
      <c r="B321" s="260"/>
      <c r="C321" s="82">
        <f>IF(ISBLANK(C315), "", C315)</f>
        <v>21284</v>
      </c>
      <c r="D321" s="96" t="str">
        <f>IF(ISBLANK(D315), "", D315)</f>
        <v>unilever</v>
      </c>
      <c r="E321" s="82" t="s">
        <v>78</v>
      </c>
      <c r="F321" s="86"/>
      <c r="G321" s="85"/>
      <c r="H321" s="85"/>
      <c r="I321" s="85"/>
      <c r="J321" s="85"/>
      <c r="K321" s="85"/>
      <c r="L321" s="87"/>
      <c r="M321" s="87"/>
      <c r="N321" s="87"/>
      <c r="O321" s="87"/>
      <c r="P321" s="87"/>
      <c r="Q321" s="85"/>
      <c r="R321" s="87"/>
      <c r="S321" s="87"/>
      <c r="T321" s="87"/>
      <c r="U321" s="87"/>
      <c r="V321" s="87"/>
      <c r="W321" s="85"/>
      <c r="X321" s="85"/>
      <c r="Y321" s="85"/>
      <c r="Z321" s="88"/>
      <c r="AA321" s="249"/>
      <c r="AB321" s="249"/>
    </row>
    <row r="322" spans="1:28" x14ac:dyDescent="0.2">
      <c r="A322" s="228"/>
      <c r="B322" s="260"/>
      <c r="C322" s="82" t="str">
        <f>IF(ISBLANK(C316), "", C316)</f>
        <v/>
      </c>
      <c r="D322" s="96" t="str">
        <f>IF(ISBLANK(D316), "", D316)</f>
        <v/>
      </c>
      <c r="E322" s="82" t="s">
        <v>77</v>
      </c>
      <c r="F322" s="86"/>
      <c r="G322" s="85"/>
      <c r="H322" s="85"/>
      <c r="I322" s="85"/>
      <c r="J322" s="85"/>
      <c r="K322" s="85"/>
      <c r="L322" s="87"/>
      <c r="M322" s="87"/>
      <c r="N322" s="87"/>
      <c r="O322" s="87"/>
      <c r="P322" s="87"/>
      <c r="Q322" s="85"/>
      <c r="R322" s="87"/>
      <c r="S322" s="87"/>
      <c r="T322" s="87"/>
      <c r="U322" s="87"/>
      <c r="V322" s="87"/>
      <c r="W322" s="85"/>
      <c r="X322" s="85"/>
      <c r="Y322" s="85"/>
      <c r="Z322" s="88"/>
      <c r="AA322" s="249"/>
      <c r="AB322" s="249"/>
    </row>
    <row r="323" spans="1:28" x14ac:dyDescent="0.2">
      <c r="A323" s="228"/>
      <c r="B323" s="260"/>
      <c r="C323" s="82" t="str">
        <f>IF(ISBLANK(C316), "", C316)</f>
        <v/>
      </c>
      <c r="D323" s="96" t="str">
        <f>IF(ISBLANK(D316), "", D316)</f>
        <v/>
      </c>
      <c r="E323" s="82" t="s">
        <v>78</v>
      </c>
      <c r="F323" s="86"/>
      <c r="G323" s="85"/>
      <c r="H323" s="85"/>
      <c r="I323" s="85"/>
      <c r="J323" s="85"/>
      <c r="K323" s="85"/>
      <c r="L323" s="87"/>
      <c r="M323" s="87"/>
      <c r="N323" s="87"/>
      <c r="O323" s="87"/>
      <c r="P323" s="87"/>
      <c r="Q323" s="85"/>
      <c r="R323" s="87"/>
      <c r="S323" s="87"/>
      <c r="T323" s="87"/>
      <c r="U323" s="87"/>
      <c r="V323" s="87"/>
      <c r="W323" s="85"/>
      <c r="X323" s="85"/>
      <c r="Y323" s="85"/>
      <c r="Z323" s="88"/>
      <c r="AA323" s="249"/>
      <c r="AB323" s="249"/>
    </row>
    <row r="325" spans="1:28" x14ac:dyDescent="0.2">
      <c r="A325" s="228">
        <v>44724</v>
      </c>
      <c r="B325" s="19"/>
      <c r="C325" s="19" t="s">
        <v>42</v>
      </c>
      <c r="D325" s="20"/>
      <c r="E325" s="21" t="s">
        <v>41</v>
      </c>
      <c r="F325" s="20">
        <v>0</v>
      </c>
      <c r="G325" s="20"/>
      <c r="H325" s="20"/>
      <c r="I325" s="21"/>
      <c r="J325" s="21"/>
      <c r="K325" s="32"/>
      <c r="L325" s="32"/>
      <c r="M325" s="20"/>
      <c r="N325" s="21"/>
      <c r="O325" s="21"/>
      <c r="P325" s="32"/>
      <c r="Q325" s="32"/>
      <c r="R325" s="20"/>
      <c r="S325" s="21"/>
      <c r="T325" s="21"/>
      <c r="U325" s="41">
        <v>160</v>
      </c>
      <c r="V325" s="42" t="s">
        <v>32</v>
      </c>
      <c r="W325" s="42"/>
      <c r="X325" s="43"/>
      <c r="Y325" s="31"/>
      <c r="Z325" s="31"/>
      <c r="AA325" s="31"/>
      <c r="AB325" s="33"/>
    </row>
    <row r="326" spans="1:28" x14ac:dyDescent="0.2">
      <c r="A326" s="228"/>
      <c r="B326" s="229" t="s">
        <v>10</v>
      </c>
      <c r="C326" s="230" t="s">
        <v>25</v>
      </c>
      <c r="D326" s="230" t="s">
        <v>28</v>
      </c>
      <c r="E326" s="237" t="s">
        <v>12</v>
      </c>
      <c r="F326" s="222" t="s">
        <v>13</v>
      </c>
      <c r="G326" s="223"/>
      <c r="H326" s="223"/>
      <c r="I326" s="223"/>
      <c r="J326" s="224"/>
      <c r="K326" s="222" t="s">
        <v>14</v>
      </c>
      <c r="L326" s="223"/>
      <c r="M326" s="223"/>
      <c r="N326" s="223"/>
      <c r="O326" s="224"/>
      <c r="P326" s="222" t="s">
        <v>15</v>
      </c>
      <c r="Q326" s="223"/>
      <c r="R326" s="223"/>
      <c r="S326" s="223"/>
      <c r="T326" s="224"/>
      <c r="U326" s="255" t="s">
        <v>34</v>
      </c>
      <c r="V326" s="255" t="s">
        <v>48</v>
      </c>
      <c r="W326" s="255" t="s">
        <v>56</v>
      </c>
      <c r="X326" s="255" t="s">
        <v>54</v>
      </c>
      <c r="Y326" s="255" t="s">
        <v>57</v>
      </c>
      <c r="Z326" s="255" t="s">
        <v>55</v>
      </c>
      <c r="AA326" s="255" t="s">
        <v>58</v>
      </c>
      <c r="AB326" s="255" t="s">
        <v>38</v>
      </c>
    </row>
    <row r="327" spans="1:28" ht="38.25" x14ac:dyDescent="0.2">
      <c r="A327" s="228"/>
      <c r="B327" s="229"/>
      <c r="C327" s="230"/>
      <c r="D327" s="230"/>
      <c r="E327" s="237"/>
      <c r="F327" s="18" t="s">
        <v>45</v>
      </c>
      <c r="G327" s="18" t="s">
        <v>29</v>
      </c>
      <c r="H327" s="18" t="s">
        <v>46</v>
      </c>
      <c r="I327" s="18" t="s">
        <v>52</v>
      </c>
      <c r="J327" s="18" t="s">
        <v>53</v>
      </c>
      <c r="K327" s="18" t="s">
        <v>45</v>
      </c>
      <c r="L327" s="18" t="s">
        <v>29</v>
      </c>
      <c r="M327" s="18" t="s">
        <v>46</v>
      </c>
      <c r="N327" s="18" t="s">
        <v>52</v>
      </c>
      <c r="O327" s="18" t="s">
        <v>53</v>
      </c>
      <c r="P327" s="18" t="s">
        <v>45</v>
      </c>
      <c r="Q327" s="18" t="s">
        <v>29</v>
      </c>
      <c r="R327" s="18" t="s">
        <v>46</v>
      </c>
      <c r="S327" s="18" t="s">
        <v>52</v>
      </c>
      <c r="T327" s="18" t="s">
        <v>53</v>
      </c>
      <c r="U327" s="255"/>
      <c r="V327" s="255"/>
      <c r="W327" s="255"/>
      <c r="X327" s="255"/>
      <c r="Y327" s="255"/>
      <c r="Z327" s="255"/>
      <c r="AA327" s="255"/>
      <c r="AB327" s="255"/>
    </row>
    <row r="328" spans="1:28" x14ac:dyDescent="0.2">
      <c r="A328" s="228"/>
      <c r="B328" s="232" t="s">
        <v>17</v>
      </c>
      <c r="C328" s="12"/>
      <c r="D328" s="12"/>
      <c r="E328" s="234" t="s">
        <v>1</v>
      </c>
      <c r="F328" s="13">
        <v>0</v>
      </c>
      <c r="G328" s="25">
        <f>F328/$U325</f>
        <v>0</v>
      </c>
      <c r="H328" s="13"/>
      <c r="I328" s="13"/>
      <c r="J328" s="13"/>
      <c r="K328" s="13">
        <v>0</v>
      </c>
      <c r="L328" s="25">
        <f>K328/$U325</f>
        <v>0</v>
      </c>
      <c r="M328" s="13"/>
      <c r="N328" s="13"/>
      <c r="O328" s="13"/>
      <c r="P328" s="13"/>
      <c r="Q328" s="25">
        <f>P328/$U325</f>
        <v>0</v>
      </c>
      <c r="R328" s="13"/>
      <c r="S328" s="13"/>
      <c r="T328" s="13"/>
      <c r="U328" s="210">
        <f>SUM(F328, K328, P328, F329, K329, P329)</f>
        <v>0</v>
      </c>
      <c r="V328" s="210">
        <f>SUM(H328, M328, R328, H329, M329, R329)</f>
        <v>0</v>
      </c>
      <c r="W328" s="212">
        <f>IF($U328=0, ,V328/$U328)</f>
        <v>0</v>
      </c>
      <c r="X328" s="210">
        <f>SUM(I328, N328, S328, I329, N329, S329)</f>
        <v>0</v>
      </c>
      <c r="Y328" s="212">
        <f>IF($U328=0, ,X328/$U328)</f>
        <v>0</v>
      </c>
      <c r="Z328" s="210">
        <f>SUM(J328, O328, T328, J329, O329, T329)</f>
        <v>0</v>
      </c>
      <c r="AA328" s="212">
        <f>IF($U328=0, ,Z328/$U328)</f>
        <v>0</v>
      </c>
      <c r="AB328" s="214" t="s">
        <v>96</v>
      </c>
    </row>
    <row r="329" spans="1:28" x14ac:dyDescent="0.2">
      <c r="A329" s="228"/>
      <c r="B329" s="250"/>
      <c r="C329" s="12"/>
      <c r="D329" s="12"/>
      <c r="E329" s="236"/>
      <c r="F329" s="13"/>
      <c r="G329" s="25">
        <f>F329/$U325</f>
        <v>0</v>
      </c>
      <c r="H329" s="13"/>
      <c r="I329" s="13"/>
      <c r="J329" s="13"/>
      <c r="K329" s="13"/>
      <c r="L329" s="25">
        <f>K329/$U325</f>
        <v>0</v>
      </c>
      <c r="M329" s="13"/>
      <c r="N329" s="13"/>
      <c r="O329" s="13"/>
      <c r="P329" s="13"/>
      <c r="Q329" s="25">
        <f>P329/$U325</f>
        <v>0</v>
      </c>
      <c r="R329" s="13"/>
      <c r="S329" s="13"/>
      <c r="T329" s="13"/>
      <c r="U329" s="211"/>
      <c r="V329" s="211"/>
      <c r="W329" s="213"/>
      <c r="X329" s="211"/>
      <c r="Y329" s="213"/>
      <c r="Z329" s="211"/>
      <c r="AA329" s="213"/>
      <c r="AB329" s="215"/>
    </row>
    <row r="330" spans="1:28" x14ac:dyDescent="0.2">
      <c r="A330" s="228"/>
      <c r="B330" s="216" t="s">
        <v>18</v>
      </c>
      <c r="C330" s="10"/>
      <c r="D330" s="10"/>
      <c r="E330" s="218" t="s">
        <v>1</v>
      </c>
      <c r="F330" s="14">
        <v>0</v>
      </c>
      <c r="G330" s="26">
        <f>F330/$U325</f>
        <v>0</v>
      </c>
      <c r="H330" s="14"/>
      <c r="I330" s="14"/>
      <c r="J330" s="14"/>
      <c r="K330" s="14">
        <v>0</v>
      </c>
      <c r="L330" s="26">
        <f>K330/$U325</f>
        <v>0</v>
      </c>
      <c r="M330" s="14"/>
      <c r="N330" s="14"/>
      <c r="O330" s="14"/>
      <c r="P330" s="14"/>
      <c r="Q330" s="26">
        <f>P330/$U325</f>
        <v>0</v>
      </c>
      <c r="R330" s="14"/>
      <c r="S330" s="14"/>
      <c r="T330" s="14"/>
      <c r="U330" s="220">
        <f>SUM(F330, K330, P330, F331, K331, P331)</f>
        <v>0</v>
      </c>
      <c r="V330" s="220">
        <f>SUM(H330, M330, R330, H331, M331, R331)</f>
        <v>0</v>
      </c>
      <c r="W330" s="194">
        <f>IF($U330=0, ,V330/$U330)</f>
        <v>0</v>
      </c>
      <c r="X330" s="220">
        <f>SUM(I330, N330, S330, I331, N331, S331)</f>
        <v>0</v>
      </c>
      <c r="Y330" s="194">
        <f>IF($U330=0, ,X330/$U330)</f>
        <v>0</v>
      </c>
      <c r="Z330" s="220">
        <f>SUM(J330, O330, T330, J331, O331, T331)</f>
        <v>0</v>
      </c>
      <c r="AA330" s="194">
        <f>IF($U330=0, ,Z330/$U330)</f>
        <v>0</v>
      </c>
      <c r="AB330" s="204" t="s">
        <v>96</v>
      </c>
    </row>
    <row r="331" spans="1:28" x14ac:dyDescent="0.2">
      <c r="A331" s="228"/>
      <c r="B331" s="217"/>
      <c r="C331" s="10"/>
      <c r="D331" s="10"/>
      <c r="E331" s="219"/>
      <c r="F331" s="14"/>
      <c r="G331" s="26">
        <f>F331/$U325</f>
        <v>0</v>
      </c>
      <c r="H331" s="14"/>
      <c r="I331" s="14"/>
      <c r="J331" s="14"/>
      <c r="K331" s="14"/>
      <c r="L331" s="26">
        <f>K331/$U325</f>
        <v>0</v>
      </c>
      <c r="M331" s="14"/>
      <c r="N331" s="14"/>
      <c r="O331" s="14"/>
      <c r="P331" s="14"/>
      <c r="Q331" s="26">
        <f>P331/$U325</f>
        <v>0</v>
      </c>
      <c r="R331" s="14"/>
      <c r="S331" s="14"/>
      <c r="T331" s="14"/>
      <c r="U331" s="221"/>
      <c r="V331" s="221"/>
      <c r="W331" s="195"/>
      <c r="X331" s="221"/>
      <c r="Y331" s="195"/>
      <c r="Z331" s="221"/>
      <c r="AA331" s="195"/>
      <c r="AB331" s="205"/>
    </row>
    <row r="332" spans="1:28" x14ac:dyDescent="0.2">
      <c r="A332" s="228"/>
      <c r="B332" s="232" t="s">
        <v>19</v>
      </c>
      <c r="C332" s="9"/>
      <c r="D332" s="9"/>
      <c r="E332" s="208" t="s">
        <v>1</v>
      </c>
      <c r="F332" s="15">
        <v>0</v>
      </c>
      <c r="G332" s="27">
        <f>F332/$U325</f>
        <v>0</v>
      </c>
      <c r="H332" s="15"/>
      <c r="I332" s="15"/>
      <c r="J332" s="15"/>
      <c r="K332" s="15">
        <v>0</v>
      </c>
      <c r="L332" s="27">
        <f>K332/$U325</f>
        <v>0</v>
      </c>
      <c r="M332" s="15"/>
      <c r="N332" s="15"/>
      <c r="O332" s="15"/>
      <c r="P332" s="15"/>
      <c r="Q332" s="27">
        <f>P332/$U325</f>
        <v>0</v>
      </c>
      <c r="R332" s="15"/>
      <c r="S332" s="15"/>
      <c r="T332" s="15"/>
      <c r="U332" s="210">
        <f>SUM(F332, K332, P332, F333, K333, P333)</f>
        <v>0</v>
      </c>
      <c r="V332" s="210">
        <f>SUM(H332, M332, R332, H333, M333, R333)</f>
        <v>0</v>
      </c>
      <c r="W332" s="212">
        <f>IF($U332=0, ,V332/$U332)</f>
        <v>0</v>
      </c>
      <c r="X332" s="210">
        <f>SUM(I332, N332, S332, I333, N333, S333)</f>
        <v>0</v>
      </c>
      <c r="Y332" s="212">
        <f>IF($U332=0, ,X332/$U332)</f>
        <v>0</v>
      </c>
      <c r="Z332" s="210">
        <f>SUM(J332, O332, T332, J333, O333, T333)</f>
        <v>0</v>
      </c>
      <c r="AA332" s="212">
        <f>IF($U332=0, ,Z332/$U332)</f>
        <v>0</v>
      </c>
      <c r="AB332" s="214" t="s">
        <v>96</v>
      </c>
    </row>
    <row r="333" spans="1:28" x14ac:dyDescent="0.2">
      <c r="A333" s="228"/>
      <c r="B333" s="250"/>
      <c r="C333" s="9"/>
      <c r="D333" s="9"/>
      <c r="E333" s="209"/>
      <c r="F333" s="15"/>
      <c r="G333" s="27">
        <f>F333/$U325</f>
        <v>0</v>
      </c>
      <c r="H333" s="15"/>
      <c r="I333" s="15"/>
      <c r="J333" s="15"/>
      <c r="K333" s="15"/>
      <c r="L333" s="27">
        <f>K333/$U325</f>
        <v>0</v>
      </c>
      <c r="M333" s="15"/>
      <c r="N333" s="15"/>
      <c r="O333" s="15"/>
      <c r="P333" s="15"/>
      <c r="Q333" s="27">
        <f>P333/$U325</f>
        <v>0</v>
      </c>
      <c r="R333" s="15"/>
      <c r="S333" s="15"/>
      <c r="T333" s="15"/>
      <c r="U333" s="211"/>
      <c r="V333" s="211"/>
      <c r="W333" s="213"/>
      <c r="X333" s="211"/>
      <c r="Y333" s="213"/>
      <c r="Z333" s="211"/>
      <c r="AA333" s="213"/>
      <c r="AB333" s="215"/>
    </row>
    <row r="334" spans="1:28" x14ac:dyDescent="0.2">
      <c r="A334" s="228"/>
      <c r="B334" s="216" t="s">
        <v>20</v>
      </c>
      <c r="C334" s="10"/>
      <c r="D334" s="10"/>
      <c r="E334" s="218" t="s">
        <v>1</v>
      </c>
      <c r="F334" s="14">
        <v>0</v>
      </c>
      <c r="G334" s="26">
        <f>F334/$U325</f>
        <v>0</v>
      </c>
      <c r="H334" s="14"/>
      <c r="I334" s="14"/>
      <c r="J334" s="14"/>
      <c r="K334" s="14">
        <v>0</v>
      </c>
      <c r="L334" s="26">
        <f>K334/$U325</f>
        <v>0</v>
      </c>
      <c r="M334" s="14"/>
      <c r="N334" s="14"/>
      <c r="O334" s="14"/>
      <c r="P334" s="14"/>
      <c r="Q334" s="26">
        <f>P334/$U325</f>
        <v>0</v>
      </c>
      <c r="R334" s="14"/>
      <c r="S334" s="14"/>
      <c r="T334" s="14"/>
      <c r="U334" s="220">
        <f>SUM(F334, K334, P334, F335, K335, P335)</f>
        <v>0</v>
      </c>
      <c r="V334" s="220">
        <f>SUM(H334, M334, R334, H335, M335, R335)</f>
        <v>0</v>
      </c>
      <c r="W334" s="194">
        <f>IF($U334=0, ,V334/$U334)</f>
        <v>0</v>
      </c>
      <c r="X334" s="220">
        <f>SUM(I334, N334, S334, I335, N335, S335)</f>
        <v>0</v>
      </c>
      <c r="Y334" s="194">
        <f>IF($U334=0, ,X334/$U334)</f>
        <v>0</v>
      </c>
      <c r="Z334" s="220">
        <f>SUM(J334, O334, T334, J335, O335, T335)</f>
        <v>0</v>
      </c>
      <c r="AA334" s="194">
        <f>IF($U334=0, ,Z334/$U334)</f>
        <v>0</v>
      </c>
      <c r="AB334" s="204" t="s">
        <v>96</v>
      </c>
    </row>
    <row r="335" spans="1:28" x14ac:dyDescent="0.2">
      <c r="A335" s="228"/>
      <c r="B335" s="217"/>
      <c r="C335" s="10"/>
      <c r="D335" s="10"/>
      <c r="E335" s="219"/>
      <c r="F335" s="14"/>
      <c r="G335" s="26">
        <f>F335/$U325</f>
        <v>0</v>
      </c>
      <c r="H335" s="14"/>
      <c r="I335" s="14"/>
      <c r="J335" s="14"/>
      <c r="K335" s="14"/>
      <c r="L335" s="26">
        <f>K335/$U325</f>
        <v>0</v>
      </c>
      <c r="M335" s="14"/>
      <c r="N335" s="14"/>
      <c r="O335" s="14"/>
      <c r="P335" s="14"/>
      <c r="Q335" s="26">
        <f>P335/$U325</f>
        <v>0</v>
      </c>
      <c r="R335" s="14"/>
      <c r="S335" s="14"/>
      <c r="T335" s="14"/>
      <c r="U335" s="221"/>
      <c r="V335" s="221"/>
      <c r="W335" s="195"/>
      <c r="X335" s="221"/>
      <c r="Y335" s="195"/>
      <c r="Z335" s="221"/>
      <c r="AA335" s="195"/>
      <c r="AB335" s="205"/>
    </row>
    <row r="336" spans="1:28" x14ac:dyDescent="0.2">
      <c r="A336" s="228"/>
      <c r="B336" s="232" t="s">
        <v>21</v>
      </c>
      <c r="C336" s="9"/>
      <c r="D336" s="9"/>
      <c r="E336" s="208" t="s">
        <v>1</v>
      </c>
      <c r="F336" s="15">
        <v>0</v>
      </c>
      <c r="G336" s="27">
        <f>F336/$U325</f>
        <v>0</v>
      </c>
      <c r="H336" s="15"/>
      <c r="I336" s="15"/>
      <c r="J336" s="15"/>
      <c r="K336" s="15">
        <v>0</v>
      </c>
      <c r="L336" s="27">
        <f>K336/$U325</f>
        <v>0</v>
      </c>
      <c r="M336" s="15"/>
      <c r="N336" s="15"/>
      <c r="O336" s="15"/>
      <c r="P336" s="15"/>
      <c r="Q336" s="27">
        <f>P336/$U325</f>
        <v>0</v>
      </c>
      <c r="R336" s="15"/>
      <c r="S336" s="15"/>
      <c r="T336" s="15"/>
      <c r="U336" s="210">
        <f>SUM(F336, K336, P336, F337, K337, P337)</f>
        <v>0</v>
      </c>
      <c r="V336" s="210">
        <f>SUM(H336, M336, R336, H337, M337, R337)</f>
        <v>0</v>
      </c>
      <c r="W336" s="212">
        <f>IF($U336=0, ,V336/$U336)</f>
        <v>0</v>
      </c>
      <c r="X336" s="210">
        <f>SUM(I336, N336, S336, I337, N337, S337)</f>
        <v>0</v>
      </c>
      <c r="Y336" s="212">
        <f>IF($U336=0, ,X336/$U336)</f>
        <v>0</v>
      </c>
      <c r="Z336" s="210">
        <f>SUM(J336, O336, T336, J337, O337, T337)</f>
        <v>0</v>
      </c>
      <c r="AA336" s="212">
        <f>IF($U336=0, ,Z336/$U336)</f>
        <v>0</v>
      </c>
      <c r="AB336" s="214" t="s">
        <v>96</v>
      </c>
    </row>
    <row r="337" spans="1:28" x14ac:dyDescent="0.2">
      <c r="A337" s="228"/>
      <c r="B337" s="250"/>
      <c r="C337" s="9"/>
      <c r="D337" s="9"/>
      <c r="E337" s="209"/>
      <c r="F337" s="15"/>
      <c r="G337" s="27">
        <f>F337/$U325</f>
        <v>0</v>
      </c>
      <c r="H337" s="15"/>
      <c r="I337" s="15"/>
      <c r="J337" s="15"/>
      <c r="K337" s="15"/>
      <c r="L337" s="27">
        <f>K337/$U325</f>
        <v>0</v>
      </c>
      <c r="M337" s="15"/>
      <c r="N337" s="15"/>
      <c r="O337" s="15"/>
      <c r="P337" s="15"/>
      <c r="Q337" s="27">
        <f>P337/$U325</f>
        <v>0</v>
      </c>
      <c r="R337" s="15"/>
      <c r="S337" s="15"/>
      <c r="T337" s="15"/>
      <c r="U337" s="211"/>
      <c r="V337" s="211"/>
      <c r="W337" s="213"/>
      <c r="X337" s="211"/>
      <c r="Y337" s="213"/>
      <c r="Z337" s="211"/>
      <c r="AA337" s="213"/>
      <c r="AB337" s="215"/>
    </row>
    <row r="338" spans="1:28" x14ac:dyDescent="0.2">
      <c r="A338" s="228"/>
      <c r="B338" s="216" t="s">
        <v>22</v>
      </c>
      <c r="C338" s="11"/>
      <c r="D338" s="11"/>
      <c r="E338" s="191" t="s">
        <v>1</v>
      </c>
      <c r="F338" s="16">
        <v>0</v>
      </c>
      <c r="G338" s="28">
        <f>F338/$U325</f>
        <v>0</v>
      </c>
      <c r="H338" s="16"/>
      <c r="I338" s="16"/>
      <c r="J338" s="16"/>
      <c r="K338" s="16">
        <v>0</v>
      </c>
      <c r="L338" s="28">
        <f>K338/$U325</f>
        <v>0</v>
      </c>
      <c r="M338" s="16"/>
      <c r="N338" s="16"/>
      <c r="O338" s="16"/>
      <c r="P338" s="16"/>
      <c r="Q338" s="28">
        <f>P338/$U325</f>
        <v>0</v>
      </c>
      <c r="R338" s="16"/>
      <c r="S338" s="16"/>
      <c r="T338" s="16"/>
      <c r="U338" s="220">
        <f>SUM(F338, K338, P338, F339, K339, P339)</f>
        <v>0</v>
      </c>
      <c r="V338" s="220">
        <f>SUM(H338, M338, R338, H339, M339, R339)</f>
        <v>0</v>
      </c>
      <c r="W338" s="194">
        <f>IF($U338=0, ,V338/$U338)</f>
        <v>0</v>
      </c>
      <c r="X338" s="220">
        <f>SUM(I338, N338, S338, I339, N339, S339)</f>
        <v>0</v>
      </c>
      <c r="Y338" s="194">
        <f>IF($U338=0, ,X338/$U338)</f>
        <v>0</v>
      </c>
      <c r="Z338" s="220">
        <f>SUM(J338, O338, T338, J339, O339, T339)</f>
        <v>0</v>
      </c>
      <c r="AA338" s="194">
        <f>IF($U338=0, ,Z338/$U338)</f>
        <v>0</v>
      </c>
      <c r="AB338" s="204" t="s">
        <v>96</v>
      </c>
    </row>
    <row r="339" spans="1:28" x14ac:dyDescent="0.2">
      <c r="A339" s="228"/>
      <c r="B339" s="217"/>
      <c r="C339" s="11"/>
      <c r="D339" s="11"/>
      <c r="E339" s="192"/>
      <c r="F339" s="16"/>
      <c r="G339" s="28">
        <f>F339/$U325</f>
        <v>0</v>
      </c>
      <c r="H339" s="16"/>
      <c r="I339" s="16"/>
      <c r="J339" s="16"/>
      <c r="K339" s="16"/>
      <c r="L339" s="28">
        <f>K339/$U325</f>
        <v>0</v>
      </c>
      <c r="M339" s="16"/>
      <c r="N339" s="16"/>
      <c r="O339" s="16"/>
      <c r="P339" s="16"/>
      <c r="Q339" s="28">
        <f>P339/$U325</f>
        <v>0</v>
      </c>
      <c r="R339" s="16"/>
      <c r="S339" s="16"/>
      <c r="T339" s="16"/>
      <c r="U339" s="221"/>
      <c r="V339" s="221"/>
      <c r="W339" s="195"/>
      <c r="X339" s="221"/>
      <c r="Y339" s="195"/>
      <c r="Z339" s="221"/>
      <c r="AA339" s="195"/>
      <c r="AB339" s="205"/>
    </row>
    <row r="340" spans="1:28" ht="13.5" thickBot="1" x14ac:dyDescent="0.25">
      <c r="A340" s="228"/>
      <c r="B340" s="56"/>
      <c r="C340" s="56"/>
      <c r="D340" s="56"/>
      <c r="E340" s="56"/>
      <c r="F340" s="57"/>
      <c r="G340" s="58"/>
      <c r="H340" s="57"/>
      <c r="I340" s="57"/>
      <c r="J340" s="57"/>
      <c r="K340" s="57"/>
      <c r="L340" s="58"/>
      <c r="M340" s="57"/>
      <c r="N340" s="57"/>
      <c r="O340" s="57"/>
      <c r="P340" s="57"/>
      <c r="Q340" s="58"/>
      <c r="R340" s="57"/>
      <c r="S340" s="57"/>
      <c r="T340" s="60" t="s">
        <v>59</v>
      </c>
      <c r="U340" s="61">
        <f>SUM(U328:U339)</f>
        <v>0</v>
      </c>
      <c r="V340" s="61">
        <f>SUM(V328:V339)</f>
        <v>0</v>
      </c>
      <c r="W340" s="62">
        <f>IF($U340=0, ,V340/$U340)</f>
        <v>0</v>
      </c>
      <c r="X340" s="61">
        <f>SUM(X328:X339)</f>
        <v>0</v>
      </c>
      <c r="Y340" s="62">
        <f>IF($U340=0, ,X340/$U340)</f>
        <v>0</v>
      </c>
      <c r="Z340" s="61">
        <f>SUM(Z328:Z339)</f>
        <v>0</v>
      </c>
      <c r="AA340" s="62">
        <f>IF($U340=0, ,Z340/$U340)</f>
        <v>0</v>
      </c>
      <c r="AB340" s="59"/>
    </row>
    <row r="341" spans="1:28" ht="13.5" thickTop="1" x14ac:dyDescent="0.2">
      <c r="A341" s="228"/>
      <c r="B341" s="44"/>
      <c r="C341" s="45" t="s">
        <v>27</v>
      </c>
      <c r="D341" s="23"/>
      <c r="E341" s="44"/>
      <c r="F341" s="44"/>
      <c r="G341" s="44"/>
      <c r="H341" s="44"/>
      <c r="I341" s="44"/>
      <c r="J341" s="44"/>
      <c r="K341" s="44"/>
      <c r="L341" s="44"/>
      <c r="M341" s="44"/>
      <c r="N341" s="44"/>
      <c r="O341" s="93">
        <v>320</v>
      </c>
      <c r="P341" s="94" t="s">
        <v>33</v>
      </c>
      <c r="Q341" s="44"/>
      <c r="R341" s="44"/>
      <c r="S341" s="44"/>
      <c r="T341" s="44"/>
      <c r="U341" s="44"/>
      <c r="V341" s="44"/>
      <c r="W341" s="44"/>
      <c r="X341" s="44"/>
      <c r="Y341" s="44"/>
      <c r="Z341" s="44"/>
      <c r="AA341" s="44"/>
      <c r="AB341" s="46"/>
    </row>
    <row r="342" spans="1:28" x14ac:dyDescent="0.2">
      <c r="A342" s="228"/>
      <c r="B342" s="229" t="s">
        <v>35</v>
      </c>
      <c r="C342" s="230" t="s">
        <v>25</v>
      </c>
      <c r="D342" s="230" t="s">
        <v>28</v>
      </c>
      <c r="E342" s="237" t="s">
        <v>12</v>
      </c>
      <c r="F342" s="241" t="s">
        <v>13</v>
      </c>
      <c r="G342" s="241"/>
      <c r="H342" s="241"/>
      <c r="I342" s="241" t="s">
        <v>14</v>
      </c>
      <c r="J342" s="241"/>
      <c r="K342" s="241"/>
      <c r="L342" s="241" t="s">
        <v>15</v>
      </c>
      <c r="M342" s="241"/>
      <c r="N342" s="241"/>
      <c r="O342" s="225" t="s">
        <v>34</v>
      </c>
      <c r="P342" s="225" t="s">
        <v>48</v>
      </c>
      <c r="Q342" s="225" t="s">
        <v>60</v>
      </c>
      <c r="R342" s="225" t="s">
        <v>49</v>
      </c>
      <c r="S342" s="225" t="s">
        <v>61</v>
      </c>
      <c r="T342" s="251"/>
      <c r="U342" s="251"/>
      <c r="V342" s="251"/>
      <c r="W342" s="251"/>
      <c r="X342" s="251"/>
      <c r="Y342" s="251"/>
      <c r="Z342" s="251"/>
      <c r="AA342" s="251"/>
      <c r="AB342" s="252"/>
    </row>
    <row r="343" spans="1:28" ht="25.5" x14ac:dyDescent="0.2">
      <c r="A343" s="228"/>
      <c r="B343" s="229"/>
      <c r="C343" s="230"/>
      <c r="D343" s="230"/>
      <c r="E343" s="237"/>
      <c r="F343" s="18" t="s">
        <v>30</v>
      </c>
      <c r="G343" s="18" t="s">
        <v>46</v>
      </c>
      <c r="H343" s="18" t="s">
        <v>47</v>
      </c>
      <c r="I343" s="18" t="s">
        <v>30</v>
      </c>
      <c r="J343" s="18" t="s">
        <v>46</v>
      </c>
      <c r="K343" s="18" t="s">
        <v>47</v>
      </c>
      <c r="L343" s="18" t="s">
        <v>30</v>
      </c>
      <c r="M343" s="18" t="s">
        <v>46</v>
      </c>
      <c r="N343" s="18" t="s">
        <v>47</v>
      </c>
      <c r="O343" s="227"/>
      <c r="P343" s="227"/>
      <c r="Q343" s="227"/>
      <c r="R343" s="227"/>
      <c r="S343" s="227"/>
      <c r="T343" s="253"/>
      <c r="U343" s="253"/>
      <c r="V343" s="253"/>
      <c r="W343" s="253"/>
      <c r="X343" s="253"/>
      <c r="Y343" s="253"/>
      <c r="Z343" s="253"/>
      <c r="AA343" s="253"/>
      <c r="AB343" s="254"/>
    </row>
    <row r="344" spans="1:28" x14ac:dyDescent="0.2">
      <c r="A344" s="228"/>
      <c r="B344" s="242" t="s">
        <v>36</v>
      </c>
      <c r="C344" s="12">
        <v>21284</v>
      </c>
      <c r="D344" s="12" t="s">
        <v>95</v>
      </c>
      <c r="E344" s="243" t="s">
        <v>1</v>
      </c>
      <c r="F344" s="13">
        <v>32</v>
      </c>
      <c r="G344" s="13">
        <v>0</v>
      </c>
      <c r="H344" s="13">
        <v>0</v>
      </c>
      <c r="I344" s="13">
        <v>28</v>
      </c>
      <c r="J344" s="13"/>
      <c r="K344" s="13"/>
      <c r="L344" s="13"/>
      <c r="M344" s="13">
        <f>H349+K349+N349+Q349+T349+W349+Z349</f>
        <v>0</v>
      </c>
      <c r="N344" s="13">
        <f>H350+K350+N350+Q350+T350+W350+Z350</f>
        <v>0</v>
      </c>
      <c r="O344" s="210">
        <f>SUM(F344, I344, L344, F345, I345, L345)*$O341</f>
        <v>19200</v>
      </c>
      <c r="P344" s="210">
        <f>SUM(G344, J344, M344, G345, J345, M345)</f>
        <v>0</v>
      </c>
      <c r="Q344" s="212">
        <f>IF($O344=0, ,P344/$O344)</f>
        <v>0</v>
      </c>
      <c r="R344" s="210">
        <f>SUM(H344, K344, N344, H345, K345, N345)</f>
        <v>0</v>
      </c>
      <c r="S344" s="212">
        <f>IF($O344=0, ,R344/$O344)</f>
        <v>0</v>
      </c>
      <c r="T344" s="244"/>
      <c r="U344" s="244"/>
      <c r="V344" s="244"/>
      <c r="W344" s="244"/>
      <c r="X344" s="244"/>
      <c r="Y344" s="244"/>
      <c r="Z344" s="244"/>
      <c r="AA344" s="244"/>
      <c r="AB344" s="245"/>
    </row>
    <row r="345" spans="1:28" x14ac:dyDescent="0.2">
      <c r="A345" s="228"/>
      <c r="B345" s="242"/>
      <c r="C345" s="12"/>
      <c r="D345" s="12"/>
      <c r="E345" s="243"/>
      <c r="F345" s="13"/>
      <c r="G345" s="13">
        <f>F351+I351+L351+O351+R351+U351+X351</f>
        <v>0</v>
      </c>
      <c r="H345" s="13">
        <f>F352+I352+L352+O352+R352+U352+X352</f>
        <v>0</v>
      </c>
      <c r="I345" s="13"/>
      <c r="J345" s="13">
        <f>G351+J351+M351+P351+S351+V351+Y351</f>
        <v>0</v>
      </c>
      <c r="K345" s="13">
        <f>G352+J352+M352+P352+S352+V352+Y352</f>
        <v>0</v>
      </c>
      <c r="L345" s="13"/>
      <c r="M345" s="13">
        <f>H351+K351+N351+Q351+T351+W351+Z351</f>
        <v>0</v>
      </c>
      <c r="N345" s="13">
        <f>H352+K352+N352+Q352+T352+W352+Z352</f>
        <v>0</v>
      </c>
      <c r="O345" s="211"/>
      <c r="P345" s="211"/>
      <c r="Q345" s="213"/>
      <c r="R345" s="211"/>
      <c r="S345" s="213"/>
      <c r="T345" s="246"/>
      <c r="U345" s="246"/>
      <c r="V345" s="246"/>
      <c r="W345" s="246"/>
      <c r="X345" s="246"/>
      <c r="Y345" s="246"/>
      <c r="Z345" s="246"/>
      <c r="AA345" s="246"/>
      <c r="AB345" s="247"/>
    </row>
    <row r="346" spans="1:28" x14ac:dyDescent="0.2">
      <c r="A346" s="228"/>
      <c r="B346" s="56"/>
      <c r="C346" s="56"/>
      <c r="D346" s="56"/>
      <c r="E346" s="56"/>
      <c r="F346" s="89"/>
      <c r="G346" s="89"/>
      <c r="H346" s="89"/>
      <c r="I346" s="89"/>
      <c r="J346" s="89"/>
      <c r="K346" s="89"/>
      <c r="L346" s="89"/>
      <c r="M346" s="89"/>
      <c r="N346" s="89"/>
      <c r="O346" s="90"/>
      <c r="P346" s="90"/>
      <c r="Q346" s="91"/>
      <c r="R346" s="90"/>
      <c r="S346" s="91"/>
      <c r="T346" s="92"/>
      <c r="U346" s="92"/>
      <c r="V346" s="92"/>
      <c r="W346" s="92"/>
      <c r="X346" s="92"/>
      <c r="Y346" s="92"/>
      <c r="Z346" s="92"/>
      <c r="AA346" s="92"/>
      <c r="AB346" s="95"/>
    </row>
    <row r="347" spans="1:28" x14ac:dyDescent="0.2">
      <c r="A347" s="228"/>
      <c r="B347" s="256" t="s">
        <v>67</v>
      </c>
      <c r="C347" s="256"/>
      <c r="D347" s="257"/>
      <c r="E347" s="82" t="s">
        <v>68</v>
      </c>
      <c r="F347" s="248" t="s">
        <v>64</v>
      </c>
      <c r="G347" s="248"/>
      <c r="H347" s="248"/>
      <c r="I347" s="248" t="s">
        <v>76</v>
      </c>
      <c r="J347" s="248"/>
      <c r="K347" s="248"/>
      <c r="L347" s="248" t="s">
        <v>65</v>
      </c>
      <c r="M347" s="248"/>
      <c r="N347" s="248"/>
      <c r="O347" s="248" t="s">
        <v>66</v>
      </c>
      <c r="P347" s="248"/>
      <c r="Q347" s="248"/>
      <c r="R347" s="248" t="s">
        <v>73</v>
      </c>
      <c r="S347" s="248"/>
      <c r="T347" s="248"/>
      <c r="U347" s="248" t="s">
        <v>74</v>
      </c>
      <c r="V347" s="248"/>
      <c r="W347" s="248"/>
      <c r="X347" s="248" t="s">
        <v>75</v>
      </c>
      <c r="Y347" s="248"/>
      <c r="Z347" s="248"/>
      <c r="AA347" s="249"/>
      <c r="AB347" s="249"/>
    </row>
    <row r="348" spans="1:28" x14ac:dyDescent="0.2">
      <c r="A348" s="228"/>
      <c r="B348" s="258"/>
      <c r="C348" s="258"/>
      <c r="D348" s="259"/>
      <c r="E348" s="97" t="s">
        <v>69</v>
      </c>
      <c r="F348" s="83" t="s">
        <v>70</v>
      </c>
      <c r="G348" s="83" t="s">
        <v>71</v>
      </c>
      <c r="H348" s="84" t="s">
        <v>72</v>
      </c>
      <c r="I348" s="83" t="s">
        <v>70</v>
      </c>
      <c r="J348" s="83" t="s">
        <v>71</v>
      </c>
      <c r="K348" s="84" t="s">
        <v>72</v>
      </c>
      <c r="L348" s="83" t="s">
        <v>70</v>
      </c>
      <c r="M348" s="83" t="s">
        <v>71</v>
      </c>
      <c r="N348" s="84" t="s">
        <v>72</v>
      </c>
      <c r="O348" s="83" t="s">
        <v>70</v>
      </c>
      <c r="P348" s="83" t="s">
        <v>71</v>
      </c>
      <c r="Q348" s="84" t="s">
        <v>72</v>
      </c>
      <c r="R348" s="83" t="s">
        <v>70</v>
      </c>
      <c r="S348" s="83" t="s">
        <v>71</v>
      </c>
      <c r="T348" s="84" t="s">
        <v>72</v>
      </c>
      <c r="U348" s="83" t="s">
        <v>70</v>
      </c>
      <c r="V348" s="83" t="s">
        <v>71</v>
      </c>
      <c r="W348" s="84" t="s">
        <v>72</v>
      </c>
      <c r="X348" s="83" t="s">
        <v>70</v>
      </c>
      <c r="Y348" s="83" t="s">
        <v>71</v>
      </c>
      <c r="Z348" s="84" t="s">
        <v>72</v>
      </c>
      <c r="AA348" s="249"/>
      <c r="AB348" s="249"/>
    </row>
    <row r="349" spans="1:28" x14ac:dyDescent="0.2">
      <c r="A349" s="228"/>
      <c r="B349" s="260" t="str">
        <f>B344</f>
        <v>Final ASS</v>
      </c>
      <c r="C349" s="82">
        <f>IF(ISBLANK(C344), "", C344)</f>
        <v>21284</v>
      </c>
      <c r="D349" s="96" t="str">
        <f>IF(ISBLANK(D344), "", D344)</f>
        <v>unilever</v>
      </c>
      <c r="E349" s="82" t="s">
        <v>77</v>
      </c>
      <c r="F349" s="86"/>
      <c r="G349" s="85"/>
      <c r="H349" s="85"/>
      <c r="I349" s="85"/>
      <c r="J349" s="85"/>
      <c r="K349" s="85"/>
      <c r="L349" s="87"/>
      <c r="M349" s="87"/>
      <c r="N349" s="87"/>
      <c r="O349" s="87"/>
      <c r="P349" s="87"/>
      <c r="Q349" s="85"/>
      <c r="R349" s="87"/>
      <c r="S349" s="87"/>
      <c r="T349" s="87"/>
      <c r="U349" s="87"/>
      <c r="V349" s="87"/>
      <c r="W349" s="85"/>
      <c r="X349" s="85"/>
      <c r="Y349" s="85"/>
      <c r="Z349" s="88"/>
      <c r="AA349" s="249"/>
      <c r="AB349" s="249"/>
    </row>
    <row r="350" spans="1:28" x14ac:dyDescent="0.2">
      <c r="A350" s="228"/>
      <c r="B350" s="260"/>
      <c r="C350" s="82">
        <f>IF(ISBLANK(C344), "", C344)</f>
        <v>21284</v>
      </c>
      <c r="D350" s="96" t="str">
        <f>IF(ISBLANK(D344), "", D344)</f>
        <v>unilever</v>
      </c>
      <c r="E350" s="82" t="s">
        <v>78</v>
      </c>
      <c r="F350" s="86"/>
      <c r="G350" s="85"/>
      <c r="H350" s="85"/>
      <c r="I350" s="85"/>
      <c r="J350" s="85"/>
      <c r="K350" s="85"/>
      <c r="L350" s="87"/>
      <c r="M350" s="87"/>
      <c r="N350" s="87"/>
      <c r="O350" s="87"/>
      <c r="P350" s="87"/>
      <c r="Q350" s="85"/>
      <c r="R350" s="87"/>
      <c r="S350" s="87"/>
      <c r="T350" s="87"/>
      <c r="U350" s="87"/>
      <c r="V350" s="87"/>
      <c r="W350" s="85"/>
      <c r="X350" s="85"/>
      <c r="Y350" s="85"/>
      <c r="Z350" s="88"/>
      <c r="AA350" s="249"/>
      <c r="AB350" s="249"/>
    </row>
    <row r="351" spans="1:28" x14ac:dyDescent="0.2">
      <c r="A351" s="228"/>
      <c r="B351" s="260"/>
      <c r="C351" s="82" t="str">
        <f>IF(ISBLANK(C345), "", C345)</f>
        <v/>
      </c>
      <c r="D351" s="96" t="str">
        <f>IF(ISBLANK(D345), "", D345)</f>
        <v/>
      </c>
      <c r="E351" s="82" t="s">
        <v>77</v>
      </c>
      <c r="F351" s="86"/>
      <c r="G351" s="85"/>
      <c r="H351" s="85"/>
      <c r="I351" s="85"/>
      <c r="J351" s="85"/>
      <c r="K351" s="85"/>
      <c r="L351" s="87"/>
      <c r="M351" s="87"/>
      <c r="N351" s="87"/>
      <c r="O351" s="87"/>
      <c r="P351" s="87"/>
      <c r="Q351" s="85"/>
      <c r="R351" s="87"/>
      <c r="S351" s="87"/>
      <c r="T351" s="87"/>
      <c r="U351" s="87"/>
      <c r="V351" s="87"/>
      <c r="W351" s="85"/>
      <c r="X351" s="85"/>
      <c r="Y351" s="85"/>
      <c r="Z351" s="88"/>
      <c r="AA351" s="249"/>
      <c r="AB351" s="249"/>
    </row>
    <row r="352" spans="1:28" x14ac:dyDescent="0.2">
      <c r="A352" s="228"/>
      <c r="B352" s="260"/>
      <c r="C352" s="82" t="str">
        <f>IF(ISBLANK(C345), "", C345)</f>
        <v/>
      </c>
      <c r="D352" s="96" t="str">
        <f>IF(ISBLANK(D345), "", D345)</f>
        <v/>
      </c>
      <c r="E352" s="82" t="s">
        <v>78</v>
      </c>
      <c r="F352" s="86"/>
      <c r="G352" s="85"/>
      <c r="H352" s="85"/>
      <c r="I352" s="85"/>
      <c r="J352" s="85"/>
      <c r="K352" s="85"/>
      <c r="L352" s="87"/>
      <c r="M352" s="87"/>
      <c r="N352" s="87"/>
      <c r="O352" s="87"/>
      <c r="P352" s="87"/>
      <c r="Q352" s="85"/>
      <c r="R352" s="87"/>
      <c r="S352" s="87"/>
      <c r="T352" s="87"/>
      <c r="U352" s="87"/>
      <c r="V352" s="87"/>
      <c r="W352" s="85"/>
      <c r="X352" s="85"/>
      <c r="Y352" s="85"/>
      <c r="Z352" s="88"/>
      <c r="AA352" s="249"/>
      <c r="AB352" s="249"/>
    </row>
    <row r="354" spans="1:28" x14ac:dyDescent="0.2">
      <c r="A354" s="228">
        <v>44725</v>
      </c>
      <c r="B354" s="19"/>
      <c r="C354" s="19" t="s">
        <v>42</v>
      </c>
      <c r="D354" s="20"/>
      <c r="E354" s="21" t="s">
        <v>41</v>
      </c>
      <c r="F354" s="20">
        <v>0</v>
      </c>
      <c r="G354" s="20"/>
      <c r="H354" s="20"/>
      <c r="I354" s="21"/>
      <c r="J354" s="21"/>
      <c r="K354" s="32"/>
      <c r="L354" s="32"/>
      <c r="M354" s="20"/>
      <c r="N354" s="21"/>
      <c r="O354" s="21"/>
      <c r="P354" s="32"/>
      <c r="Q354" s="32"/>
      <c r="R354" s="20"/>
      <c r="S354" s="21"/>
      <c r="T354" s="21"/>
      <c r="U354" s="41">
        <v>160</v>
      </c>
      <c r="V354" s="42" t="s">
        <v>32</v>
      </c>
      <c r="W354" s="42"/>
      <c r="X354" s="43"/>
      <c r="Y354" s="31"/>
      <c r="Z354" s="31"/>
      <c r="AA354" s="31"/>
      <c r="AB354" s="33"/>
    </row>
    <row r="355" spans="1:28" x14ac:dyDescent="0.2">
      <c r="A355" s="228"/>
      <c r="B355" s="229" t="s">
        <v>10</v>
      </c>
      <c r="C355" s="230" t="s">
        <v>25</v>
      </c>
      <c r="D355" s="230" t="s">
        <v>28</v>
      </c>
      <c r="E355" s="237" t="s">
        <v>12</v>
      </c>
      <c r="F355" s="222" t="s">
        <v>13</v>
      </c>
      <c r="G355" s="223"/>
      <c r="H355" s="223"/>
      <c r="I355" s="223"/>
      <c r="J355" s="224"/>
      <c r="K355" s="222" t="s">
        <v>14</v>
      </c>
      <c r="L355" s="223"/>
      <c r="M355" s="223"/>
      <c r="N355" s="223"/>
      <c r="O355" s="224"/>
      <c r="P355" s="222" t="s">
        <v>15</v>
      </c>
      <c r="Q355" s="223"/>
      <c r="R355" s="223"/>
      <c r="S355" s="223"/>
      <c r="T355" s="224"/>
      <c r="U355" s="255" t="s">
        <v>34</v>
      </c>
      <c r="V355" s="255" t="s">
        <v>48</v>
      </c>
      <c r="W355" s="255" t="s">
        <v>56</v>
      </c>
      <c r="X355" s="255" t="s">
        <v>54</v>
      </c>
      <c r="Y355" s="255" t="s">
        <v>57</v>
      </c>
      <c r="Z355" s="255" t="s">
        <v>55</v>
      </c>
      <c r="AA355" s="255" t="s">
        <v>58</v>
      </c>
      <c r="AB355" s="255" t="s">
        <v>38</v>
      </c>
    </row>
    <row r="356" spans="1:28" ht="38.25" x14ac:dyDescent="0.2">
      <c r="A356" s="228"/>
      <c r="B356" s="229"/>
      <c r="C356" s="230"/>
      <c r="D356" s="230"/>
      <c r="E356" s="237"/>
      <c r="F356" s="18" t="s">
        <v>45</v>
      </c>
      <c r="G356" s="18" t="s">
        <v>29</v>
      </c>
      <c r="H356" s="18" t="s">
        <v>46</v>
      </c>
      <c r="I356" s="18" t="s">
        <v>52</v>
      </c>
      <c r="J356" s="18" t="s">
        <v>53</v>
      </c>
      <c r="K356" s="18" t="s">
        <v>45</v>
      </c>
      <c r="L356" s="18" t="s">
        <v>29</v>
      </c>
      <c r="M356" s="18" t="s">
        <v>46</v>
      </c>
      <c r="N356" s="18" t="s">
        <v>52</v>
      </c>
      <c r="O356" s="18" t="s">
        <v>53</v>
      </c>
      <c r="P356" s="18" t="s">
        <v>45</v>
      </c>
      <c r="Q356" s="18" t="s">
        <v>29</v>
      </c>
      <c r="R356" s="18" t="s">
        <v>46</v>
      </c>
      <c r="S356" s="18" t="s">
        <v>52</v>
      </c>
      <c r="T356" s="18" t="s">
        <v>53</v>
      </c>
      <c r="U356" s="255"/>
      <c r="V356" s="255"/>
      <c r="W356" s="255"/>
      <c r="X356" s="255"/>
      <c r="Y356" s="255"/>
      <c r="Z356" s="255"/>
      <c r="AA356" s="255"/>
      <c r="AB356" s="255"/>
    </row>
    <row r="357" spans="1:28" x14ac:dyDescent="0.2">
      <c r="A357" s="228"/>
      <c r="B357" s="232" t="s">
        <v>17</v>
      </c>
      <c r="C357" s="12"/>
      <c r="D357" s="12"/>
      <c r="E357" s="234" t="s">
        <v>1</v>
      </c>
      <c r="F357" s="13">
        <v>0</v>
      </c>
      <c r="G357" s="25">
        <f>F357/$U354</f>
        <v>0</v>
      </c>
      <c r="H357" s="13"/>
      <c r="I357" s="13"/>
      <c r="J357" s="13"/>
      <c r="K357" s="13">
        <v>0</v>
      </c>
      <c r="L357" s="25">
        <f>K357/$U354</f>
        <v>0</v>
      </c>
      <c r="M357" s="13"/>
      <c r="N357" s="13"/>
      <c r="O357" s="13"/>
      <c r="P357" s="13"/>
      <c r="Q357" s="25">
        <f>P357/$U354</f>
        <v>0</v>
      </c>
      <c r="R357" s="13"/>
      <c r="S357" s="13"/>
      <c r="T357" s="13"/>
      <c r="U357" s="210">
        <f>SUM(F357, K357, P357, F358, K358, P358)</f>
        <v>0</v>
      </c>
      <c r="V357" s="210">
        <f>SUM(H357, M357, R357, H358, M358, R358)</f>
        <v>0</v>
      </c>
      <c r="W357" s="212">
        <f>IF($U357=0, ,V357/$U357)</f>
        <v>0</v>
      </c>
      <c r="X357" s="210">
        <f>SUM(I357, N357, S357, I358, N358, S358)</f>
        <v>0</v>
      </c>
      <c r="Y357" s="212">
        <f>IF($U357=0, ,X357/$U357)</f>
        <v>0</v>
      </c>
      <c r="Z357" s="210">
        <f>SUM(J357, O357, T357, J358, O358, T358)</f>
        <v>0</v>
      </c>
      <c r="AA357" s="212">
        <f>IF($U357=0, ,Z357/$U357)</f>
        <v>0</v>
      </c>
      <c r="AB357" s="214"/>
    </row>
    <row r="358" spans="1:28" x14ac:dyDescent="0.2">
      <c r="A358" s="228"/>
      <c r="B358" s="250"/>
      <c r="C358" s="12"/>
      <c r="D358" s="12"/>
      <c r="E358" s="236"/>
      <c r="F358" s="13"/>
      <c r="G358" s="25">
        <f>F358/$U354</f>
        <v>0</v>
      </c>
      <c r="H358" s="13"/>
      <c r="I358" s="13"/>
      <c r="J358" s="13"/>
      <c r="K358" s="13"/>
      <c r="L358" s="25">
        <f>K358/$U354</f>
        <v>0</v>
      </c>
      <c r="M358" s="13"/>
      <c r="N358" s="13"/>
      <c r="O358" s="13"/>
      <c r="P358" s="13"/>
      <c r="Q358" s="25">
        <f>P358/$U354</f>
        <v>0</v>
      </c>
      <c r="R358" s="13"/>
      <c r="S358" s="13"/>
      <c r="T358" s="13"/>
      <c r="U358" s="211"/>
      <c r="V358" s="211"/>
      <c r="W358" s="213"/>
      <c r="X358" s="211"/>
      <c r="Y358" s="213"/>
      <c r="Z358" s="211"/>
      <c r="AA358" s="213"/>
      <c r="AB358" s="215"/>
    </row>
    <row r="359" spans="1:28" x14ac:dyDescent="0.2">
      <c r="A359" s="228"/>
      <c r="B359" s="216" t="s">
        <v>18</v>
      </c>
      <c r="C359" s="10"/>
      <c r="D359" s="10"/>
      <c r="E359" s="218" t="s">
        <v>1</v>
      </c>
      <c r="F359" s="14">
        <v>0</v>
      </c>
      <c r="G359" s="26">
        <f>F359/$U354</f>
        <v>0</v>
      </c>
      <c r="H359" s="14"/>
      <c r="I359" s="14"/>
      <c r="J359" s="14"/>
      <c r="K359" s="14">
        <v>0</v>
      </c>
      <c r="L359" s="26">
        <f>K359/$U354</f>
        <v>0</v>
      </c>
      <c r="M359" s="14"/>
      <c r="N359" s="14"/>
      <c r="O359" s="14"/>
      <c r="P359" s="14"/>
      <c r="Q359" s="26">
        <f>P359/$U354</f>
        <v>0</v>
      </c>
      <c r="R359" s="14"/>
      <c r="S359" s="14"/>
      <c r="T359" s="14"/>
      <c r="U359" s="220">
        <f>SUM(F359, K359, P359, F360, K360, P360)</f>
        <v>0</v>
      </c>
      <c r="V359" s="220">
        <f>SUM(H359, M359, R359, H360, M360, R360)</f>
        <v>0</v>
      </c>
      <c r="W359" s="194">
        <f>IF($U359=0, ,V359/$U359)</f>
        <v>0</v>
      </c>
      <c r="X359" s="220">
        <f>SUM(I359, N359, S359, I360, N360, S360)</f>
        <v>0</v>
      </c>
      <c r="Y359" s="194">
        <f>IF($U359=0, ,X359/$U359)</f>
        <v>0</v>
      </c>
      <c r="Z359" s="220">
        <f>SUM(J359, O359, T359, J360, O360, T360)</f>
        <v>0</v>
      </c>
      <c r="AA359" s="194">
        <f>IF($U359=0, ,Z359/$U359)</f>
        <v>0</v>
      </c>
      <c r="AB359" s="204"/>
    </row>
    <row r="360" spans="1:28" x14ac:dyDescent="0.2">
      <c r="A360" s="228"/>
      <c r="B360" s="217"/>
      <c r="C360" s="10"/>
      <c r="D360" s="10"/>
      <c r="E360" s="219"/>
      <c r="F360" s="14"/>
      <c r="G360" s="26">
        <f>F360/$U354</f>
        <v>0</v>
      </c>
      <c r="H360" s="14"/>
      <c r="I360" s="14"/>
      <c r="J360" s="14"/>
      <c r="K360" s="14"/>
      <c r="L360" s="26">
        <f>K360/$U354</f>
        <v>0</v>
      </c>
      <c r="M360" s="14"/>
      <c r="N360" s="14"/>
      <c r="O360" s="14"/>
      <c r="P360" s="14"/>
      <c r="Q360" s="26">
        <f>P360/$U354</f>
        <v>0</v>
      </c>
      <c r="R360" s="14"/>
      <c r="S360" s="14"/>
      <c r="T360" s="14"/>
      <c r="U360" s="221"/>
      <c r="V360" s="221"/>
      <c r="W360" s="195"/>
      <c r="X360" s="221"/>
      <c r="Y360" s="195"/>
      <c r="Z360" s="221"/>
      <c r="AA360" s="195"/>
      <c r="AB360" s="205"/>
    </row>
    <row r="361" spans="1:28" x14ac:dyDescent="0.2">
      <c r="A361" s="228"/>
      <c r="B361" s="232" t="s">
        <v>19</v>
      </c>
      <c r="C361" s="9"/>
      <c r="D361" s="9"/>
      <c r="E361" s="208" t="s">
        <v>1</v>
      </c>
      <c r="F361" s="15">
        <v>0</v>
      </c>
      <c r="G361" s="27">
        <f>F361/$U354</f>
        <v>0</v>
      </c>
      <c r="H361" s="15"/>
      <c r="I361" s="15"/>
      <c r="J361" s="15"/>
      <c r="K361" s="15">
        <v>0</v>
      </c>
      <c r="L361" s="27">
        <f>K361/$U354</f>
        <v>0</v>
      </c>
      <c r="M361" s="15"/>
      <c r="N361" s="15"/>
      <c r="O361" s="15"/>
      <c r="P361" s="15"/>
      <c r="Q361" s="27">
        <f>P361/$U354</f>
        <v>0</v>
      </c>
      <c r="R361" s="15"/>
      <c r="S361" s="15"/>
      <c r="T361" s="15"/>
      <c r="U361" s="210">
        <f>SUM(F361, K361, P361, F362, K362, P362)</f>
        <v>0</v>
      </c>
      <c r="V361" s="210">
        <f>SUM(H361, M361, R361, H362, M362, R362)</f>
        <v>0</v>
      </c>
      <c r="W361" s="212">
        <f>IF($U361=0, ,V361/$U361)</f>
        <v>0</v>
      </c>
      <c r="X361" s="210">
        <f>SUM(I361, N361, S361, I362, N362, S362)</f>
        <v>0</v>
      </c>
      <c r="Y361" s="212">
        <f>IF($U361=0, ,X361/$U361)</f>
        <v>0</v>
      </c>
      <c r="Z361" s="210">
        <f>SUM(J361, O361, T361, J362, O362, T362)</f>
        <v>0</v>
      </c>
      <c r="AA361" s="212">
        <f>IF($U361=0, ,Z361/$U361)</f>
        <v>0</v>
      </c>
      <c r="AB361" s="214"/>
    </row>
    <row r="362" spans="1:28" x14ac:dyDescent="0.2">
      <c r="A362" s="228"/>
      <c r="B362" s="250"/>
      <c r="C362" s="9"/>
      <c r="D362" s="9"/>
      <c r="E362" s="209"/>
      <c r="F362" s="15"/>
      <c r="G362" s="27">
        <f>F362/$U354</f>
        <v>0</v>
      </c>
      <c r="H362" s="15"/>
      <c r="I362" s="15"/>
      <c r="J362" s="15"/>
      <c r="K362" s="15"/>
      <c r="L362" s="27">
        <f>K362/$U354</f>
        <v>0</v>
      </c>
      <c r="M362" s="15"/>
      <c r="N362" s="15"/>
      <c r="O362" s="15"/>
      <c r="P362" s="15"/>
      <c r="Q362" s="27">
        <f>P362/$U354</f>
        <v>0</v>
      </c>
      <c r="R362" s="15"/>
      <c r="S362" s="15"/>
      <c r="T362" s="15"/>
      <c r="U362" s="211"/>
      <c r="V362" s="211"/>
      <c r="W362" s="213"/>
      <c r="X362" s="211"/>
      <c r="Y362" s="213"/>
      <c r="Z362" s="211"/>
      <c r="AA362" s="213"/>
      <c r="AB362" s="215"/>
    </row>
    <row r="363" spans="1:28" x14ac:dyDescent="0.2">
      <c r="A363" s="228"/>
      <c r="B363" s="216" t="s">
        <v>20</v>
      </c>
      <c r="C363" s="10"/>
      <c r="D363" s="10"/>
      <c r="E363" s="218" t="s">
        <v>1</v>
      </c>
      <c r="F363" s="14">
        <v>0</v>
      </c>
      <c r="G363" s="26">
        <f>F363/$U354</f>
        <v>0</v>
      </c>
      <c r="H363" s="14"/>
      <c r="I363" s="14"/>
      <c r="J363" s="14"/>
      <c r="K363" s="14">
        <v>0</v>
      </c>
      <c r="L363" s="26">
        <f>K363/$U354</f>
        <v>0</v>
      </c>
      <c r="M363" s="14"/>
      <c r="N363" s="14"/>
      <c r="O363" s="14"/>
      <c r="P363" s="14"/>
      <c r="Q363" s="26">
        <f>P363/$U354</f>
        <v>0</v>
      </c>
      <c r="R363" s="14"/>
      <c r="S363" s="14"/>
      <c r="T363" s="14"/>
      <c r="U363" s="220">
        <f>SUM(F363, K363, P363, F364, K364, P364)</f>
        <v>0</v>
      </c>
      <c r="V363" s="220">
        <f>SUM(H363, M363, R363, H364, M364, R364)</f>
        <v>0</v>
      </c>
      <c r="W363" s="194">
        <f>IF($U363=0, ,V363/$U363)</f>
        <v>0</v>
      </c>
      <c r="X363" s="220">
        <f>SUM(I363, N363, S363, I364, N364, S364)</f>
        <v>0</v>
      </c>
      <c r="Y363" s="194">
        <f>IF($U363=0, ,X363/$U363)</f>
        <v>0</v>
      </c>
      <c r="Z363" s="220">
        <f>SUM(J363, O363, T363, J364, O364, T364)</f>
        <v>0</v>
      </c>
      <c r="AA363" s="194">
        <f>IF($U363=0, ,Z363/$U363)</f>
        <v>0</v>
      </c>
      <c r="AB363" s="204"/>
    </row>
    <row r="364" spans="1:28" x14ac:dyDescent="0.2">
      <c r="A364" s="228"/>
      <c r="B364" s="217"/>
      <c r="C364" s="10"/>
      <c r="D364" s="10"/>
      <c r="E364" s="219"/>
      <c r="F364" s="14"/>
      <c r="G364" s="26">
        <f>F364/$U354</f>
        <v>0</v>
      </c>
      <c r="H364" s="14"/>
      <c r="I364" s="14"/>
      <c r="J364" s="14"/>
      <c r="K364" s="14"/>
      <c r="L364" s="26">
        <f>K364/$U354</f>
        <v>0</v>
      </c>
      <c r="M364" s="14"/>
      <c r="N364" s="14"/>
      <c r="O364" s="14"/>
      <c r="P364" s="14"/>
      <c r="Q364" s="26">
        <f>P364/$U354</f>
        <v>0</v>
      </c>
      <c r="R364" s="14"/>
      <c r="S364" s="14"/>
      <c r="T364" s="14"/>
      <c r="U364" s="221"/>
      <c r="V364" s="221"/>
      <c r="W364" s="195"/>
      <c r="X364" s="221"/>
      <c r="Y364" s="195"/>
      <c r="Z364" s="221"/>
      <c r="AA364" s="195"/>
      <c r="AB364" s="205"/>
    </row>
    <row r="365" spans="1:28" x14ac:dyDescent="0.2">
      <c r="A365" s="228"/>
      <c r="B365" s="232" t="s">
        <v>21</v>
      </c>
      <c r="C365" s="9"/>
      <c r="D365" s="9"/>
      <c r="E365" s="208" t="s">
        <v>1</v>
      </c>
      <c r="F365" s="15">
        <v>0</v>
      </c>
      <c r="G365" s="27">
        <f>F365/$U354</f>
        <v>0</v>
      </c>
      <c r="H365" s="15"/>
      <c r="I365" s="15"/>
      <c r="J365" s="15"/>
      <c r="K365" s="15">
        <v>0</v>
      </c>
      <c r="L365" s="27">
        <f>K365/$U354</f>
        <v>0</v>
      </c>
      <c r="M365" s="15"/>
      <c r="N365" s="15"/>
      <c r="O365" s="15"/>
      <c r="P365" s="15"/>
      <c r="Q365" s="27">
        <f>P365/$U354</f>
        <v>0</v>
      </c>
      <c r="R365" s="15"/>
      <c r="S365" s="15"/>
      <c r="T365" s="15"/>
      <c r="U365" s="210">
        <f>SUM(F365, K365, P365, F366, K366, P366)</f>
        <v>0</v>
      </c>
      <c r="V365" s="210">
        <f>SUM(H365, M365, R365, H366, M366, R366)</f>
        <v>0</v>
      </c>
      <c r="W365" s="212">
        <f>IF($U365=0, ,V365/$U365)</f>
        <v>0</v>
      </c>
      <c r="X365" s="210">
        <f>SUM(I365, N365, S365, I366, N366, S366)</f>
        <v>0</v>
      </c>
      <c r="Y365" s="212">
        <f>IF($U365=0, ,X365/$U365)</f>
        <v>0</v>
      </c>
      <c r="Z365" s="210">
        <f>SUM(J365, O365, T365, J366, O366, T366)</f>
        <v>0</v>
      </c>
      <c r="AA365" s="212">
        <f>IF($U365=0, ,Z365/$U365)</f>
        <v>0</v>
      </c>
      <c r="AB365" s="214"/>
    </row>
    <row r="366" spans="1:28" x14ac:dyDescent="0.2">
      <c r="A366" s="228"/>
      <c r="B366" s="250"/>
      <c r="C366" s="9"/>
      <c r="D366" s="9"/>
      <c r="E366" s="209"/>
      <c r="F366" s="15"/>
      <c r="G366" s="27">
        <f>F366/$U354</f>
        <v>0</v>
      </c>
      <c r="H366" s="15"/>
      <c r="I366" s="15"/>
      <c r="J366" s="15"/>
      <c r="K366" s="15"/>
      <c r="L366" s="27">
        <f>K366/$U354</f>
        <v>0</v>
      </c>
      <c r="M366" s="15"/>
      <c r="N366" s="15"/>
      <c r="O366" s="15"/>
      <c r="P366" s="15"/>
      <c r="Q366" s="27">
        <f>P366/$U354</f>
        <v>0</v>
      </c>
      <c r="R366" s="15"/>
      <c r="S366" s="15"/>
      <c r="T366" s="15"/>
      <c r="U366" s="211"/>
      <c r="V366" s="211"/>
      <c r="W366" s="213"/>
      <c r="X366" s="211"/>
      <c r="Y366" s="213"/>
      <c r="Z366" s="211"/>
      <c r="AA366" s="213"/>
      <c r="AB366" s="215"/>
    </row>
    <row r="367" spans="1:28" x14ac:dyDescent="0.2">
      <c r="A367" s="228"/>
      <c r="B367" s="216" t="s">
        <v>22</v>
      </c>
      <c r="C367" s="11"/>
      <c r="D367" s="11"/>
      <c r="E367" s="191" t="s">
        <v>1</v>
      </c>
      <c r="F367" s="16">
        <v>0</v>
      </c>
      <c r="G367" s="28">
        <f>F367/$U354</f>
        <v>0</v>
      </c>
      <c r="H367" s="16"/>
      <c r="I367" s="16"/>
      <c r="J367" s="16"/>
      <c r="K367" s="16">
        <v>0</v>
      </c>
      <c r="L367" s="28">
        <f>K367/$U354</f>
        <v>0</v>
      </c>
      <c r="M367" s="16"/>
      <c r="N367" s="16"/>
      <c r="O367" s="16"/>
      <c r="P367" s="16"/>
      <c r="Q367" s="28">
        <f>P367/$U354</f>
        <v>0</v>
      </c>
      <c r="R367" s="16"/>
      <c r="S367" s="16"/>
      <c r="T367" s="16"/>
      <c r="U367" s="220">
        <f>SUM(F367, K367, P367, F368, K368, P368)</f>
        <v>0</v>
      </c>
      <c r="V367" s="220">
        <f>SUM(H367, M367, R367, H368, M368, R368)</f>
        <v>0</v>
      </c>
      <c r="W367" s="194">
        <f>IF($U367=0, ,V367/$U367)</f>
        <v>0</v>
      </c>
      <c r="X367" s="220">
        <f>SUM(I367, N367, S367, I368, N368, S368)</f>
        <v>0</v>
      </c>
      <c r="Y367" s="194">
        <f>IF($U367=0, ,X367/$U367)</f>
        <v>0</v>
      </c>
      <c r="Z367" s="220">
        <f>SUM(J367, O367, T367, J368, O368, T368)</f>
        <v>0</v>
      </c>
      <c r="AA367" s="194">
        <f>IF($U367=0, ,Z367/$U367)</f>
        <v>0</v>
      </c>
      <c r="AB367" s="204"/>
    </row>
    <row r="368" spans="1:28" x14ac:dyDescent="0.2">
      <c r="A368" s="228"/>
      <c r="B368" s="217"/>
      <c r="C368" s="11"/>
      <c r="D368" s="11"/>
      <c r="E368" s="192"/>
      <c r="F368" s="16"/>
      <c r="G368" s="28">
        <f>F368/$U354</f>
        <v>0</v>
      </c>
      <c r="H368" s="16"/>
      <c r="I368" s="16"/>
      <c r="J368" s="16"/>
      <c r="K368" s="16"/>
      <c r="L368" s="28">
        <f>K368/$U354</f>
        <v>0</v>
      </c>
      <c r="M368" s="16"/>
      <c r="N368" s="16"/>
      <c r="O368" s="16"/>
      <c r="P368" s="16"/>
      <c r="Q368" s="28">
        <f>P368/$U354</f>
        <v>0</v>
      </c>
      <c r="R368" s="16"/>
      <c r="S368" s="16"/>
      <c r="T368" s="16"/>
      <c r="U368" s="221"/>
      <c r="V368" s="221"/>
      <c r="W368" s="195"/>
      <c r="X368" s="221"/>
      <c r="Y368" s="195"/>
      <c r="Z368" s="221"/>
      <c r="AA368" s="195"/>
      <c r="AB368" s="205"/>
    </row>
    <row r="369" spans="1:28" ht="13.5" thickBot="1" x14ac:dyDescent="0.25">
      <c r="A369" s="228"/>
      <c r="B369" s="56"/>
      <c r="C369" s="56"/>
      <c r="D369" s="56"/>
      <c r="E369" s="56"/>
      <c r="F369" s="57"/>
      <c r="G369" s="58"/>
      <c r="H369" s="57"/>
      <c r="I369" s="57"/>
      <c r="J369" s="57"/>
      <c r="K369" s="57"/>
      <c r="L369" s="58"/>
      <c r="M369" s="57"/>
      <c r="N369" s="57"/>
      <c r="O369" s="57"/>
      <c r="P369" s="57"/>
      <c r="Q369" s="58"/>
      <c r="R369" s="57"/>
      <c r="S369" s="57"/>
      <c r="T369" s="60" t="s">
        <v>59</v>
      </c>
      <c r="U369" s="61">
        <f>SUM(U357:U368)</f>
        <v>0</v>
      </c>
      <c r="V369" s="61">
        <f>SUM(V357:V368)</f>
        <v>0</v>
      </c>
      <c r="W369" s="62">
        <f>IF($U369=0, ,V369/$U369)</f>
        <v>0</v>
      </c>
      <c r="X369" s="61">
        <f>SUM(X357:X368)</f>
        <v>0</v>
      </c>
      <c r="Y369" s="62">
        <f>IF($U369=0, ,X369/$U369)</f>
        <v>0</v>
      </c>
      <c r="Z369" s="61">
        <f>SUM(Z357:Z368)</f>
        <v>0</v>
      </c>
      <c r="AA369" s="62">
        <f>IF($U369=0, ,Z369/$U369)</f>
        <v>0</v>
      </c>
      <c r="AB369" s="59"/>
    </row>
    <row r="370" spans="1:28" ht="13.5" thickTop="1" x14ac:dyDescent="0.2">
      <c r="A370" s="228"/>
      <c r="B370" s="44"/>
      <c r="C370" s="45" t="s">
        <v>27</v>
      </c>
      <c r="D370" s="23"/>
      <c r="E370" s="44"/>
      <c r="F370" s="44"/>
      <c r="G370" s="44"/>
      <c r="H370" s="44"/>
      <c r="I370" s="44"/>
      <c r="J370" s="44"/>
      <c r="K370" s="44"/>
      <c r="L370" s="44"/>
      <c r="M370" s="44"/>
      <c r="N370" s="44"/>
      <c r="O370" s="93">
        <v>320</v>
      </c>
      <c r="P370" s="94" t="s">
        <v>33</v>
      </c>
      <c r="Q370" s="44"/>
      <c r="R370" s="44"/>
      <c r="S370" s="44"/>
      <c r="T370" s="44"/>
      <c r="U370" s="44"/>
      <c r="V370" s="44"/>
      <c r="W370" s="44"/>
      <c r="X370" s="44"/>
      <c r="Y370" s="44"/>
      <c r="Z370" s="44"/>
      <c r="AA370" s="44"/>
      <c r="AB370" s="46"/>
    </row>
    <row r="371" spans="1:28" x14ac:dyDescent="0.2">
      <c r="A371" s="228"/>
      <c r="B371" s="229" t="s">
        <v>35</v>
      </c>
      <c r="C371" s="230" t="s">
        <v>25</v>
      </c>
      <c r="D371" s="230" t="s">
        <v>28</v>
      </c>
      <c r="E371" s="237" t="s">
        <v>12</v>
      </c>
      <c r="F371" s="241" t="s">
        <v>13</v>
      </c>
      <c r="G371" s="241"/>
      <c r="H371" s="241"/>
      <c r="I371" s="241" t="s">
        <v>14</v>
      </c>
      <c r="J371" s="241"/>
      <c r="K371" s="241"/>
      <c r="L371" s="241" t="s">
        <v>15</v>
      </c>
      <c r="M371" s="241"/>
      <c r="N371" s="241"/>
      <c r="O371" s="225" t="s">
        <v>34</v>
      </c>
      <c r="P371" s="225" t="s">
        <v>48</v>
      </c>
      <c r="Q371" s="225" t="s">
        <v>60</v>
      </c>
      <c r="R371" s="225" t="s">
        <v>49</v>
      </c>
      <c r="S371" s="225" t="s">
        <v>61</v>
      </c>
      <c r="T371" s="251"/>
      <c r="U371" s="251"/>
      <c r="V371" s="251"/>
      <c r="W371" s="251"/>
      <c r="X371" s="251"/>
      <c r="Y371" s="251"/>
      <c r="Z371" s="251"/>
      <c r="AA371" s="251"/>
      <c r="AB371" s="252"/>
    </row>
    <row r="372" spans="1:28" ht="25.5" x14ac:dyDescent="0.2">
      <c r="A372" s="228"/>
      <c r="B372" s="229"/>
      <c r="C372" s="230"/>
      <c r="D372" s="230"/>
      <c r="E372" s="237"/>
      <c r="F372" s="18" t="s">
        <v>30</v>
      </c>
      <c r="G372" s="18" t="s">
        <v>46</v>
      </c>
      <c r="H372" s="18" t="s">
        <v>47</v>
      </c>
      <c r="I372" s="18" t="s">
        <v>30</v>
      </c>
      <c r="J372" s="18" t="s">
        <v>46</v>
      </c>
      <c r="K372" s="18" t="s">
        <v>47</v>
      </c>
      <c r="L372" s="18" t="s">
        <v>30</v>
      </c>
      <c r="M372" s="18" t="s">
        <v>46</v>
      </c>
      <c r="N372" s="18" t="s">
        <v>47</v>
      </c>
      <c r="O372" s="227"/>
      <c r="P372" s="227"/>
      <c r="Q372" s="227"/>
      <c r="R372" s="227"/>
      <c r="S372" s="227"/>
      <c r="T372" s="253"/>
      <c r="U372" s="253"/>
      <c r="V372" s="253"/>
      <c r="W372" s="253"/>
      <c r="X372" s="253"/>
      <c r="Y372" s="253"/>
      <c r="Z372" s="253"/>
      <c r="AA372" s="253"/>
      <c r="AB372" s="254"/>
    </row>
    <row r="373" spans="1:28" x14ac:dyDescent="0.2">
      <c r="A373" s="228"/>
      <c r="B373" s="242" t="s">
        <v>36</v>
      </c>
      <c r="C373" s="12">
        <v>21284</v>
      </c>
      <c r="D373" s="12" t="s">
        <v>95</v>
      </c>
      <c r="E373" s="243" t="s">
        <v>1</v>
      </c>
      <c r="F373" s="13">
        <v>27</v>
      </c>
      <c r="G373" s="13">
        <v>0</v>
      </c>
      <c r="H373" s="13">
        <v>0</v>
      </c>
      <c r="I373" s="13">
        <v>25</v>
      </c>
      <c r="J373" s="13"/>
      <c r="K373" s="13"/>
      <c r="L373" s="13"/>
      <c r="M373" s="13">
        <f>H378+K378+N378+Q378+T378+W378+Z378</f>
        <v>0</v>
      </c>
      <c r="N373" s="13">
        <f>H379+K379+N379+Q379+T379+W379+Z379</f>
        <v>0</v>
      </c>
      <c r="O373" s="210">
        <f>SUM(F373, I373, L373, F374, I374, L374)*$O370</f>
        <v>16640</v>
      </c>
      <c r="P373" s="210">
        <f>SUM(G373, J373, M373, G374, J374, M374)</f>
        <v>0</v>
      </c>
      <c r="Q373" s="212">
        <f>IF($O373=0, ,P373/$O373)</f>
        <v>0</v>
      </c>
      <c r="R373" s="210">
        <f>SUM(H373, K373, N373, H374, K374, N374)</f>
        <v>0</v>
      </c>
      <c r="S373" s="212">
        <f>IF($O373=0, ,R373/$O373)</f>
        <v>0</v>
      </c>
      <c r="T373" s="244"/>
      <c r="U373" s="244"/>
      <c r="V373" s="244"/>
      <c r="W373" s="244"/>
      <c r="X373" s="244"/>
      <c r="Y373" s="244"/>
      <c r="Z373" s="244"/>
      <c r="AA373" s="244"/>
      <c r="AB373" s="245"/>
    </row>
    <row r="374" spans="1:28" x14ac:dyDescent="0.2">
      <c r="A374" s="228"/>
      <c r="B374" s="242"/>
      <c r="C374" s="12"/>
      <c r="D374" s="12"/>
      <c r="E374" s="243"/>
      <c r="F374" s="13"/>
      <c r="G374" s="13">
        <f>F380+I380+L380+O380+R380+U380+X380</f>
        <v>0</v>
      </c>
      <c r="H374" s="13">
        <f>F381+I381+L381+O381+R381+U381+X381</f>
        <v>0</v>
      </c>
      <c r="I374" s="13"/>
      <c r="J374" s="13">
        <f>G380+J380+M380+P380+S380+V380+Y380</f>
        <v>0</v>
      </c>
      <c r="K374" s="13">
        <f>G381+J381+M381+P381+S381+V381+Y381</f>
        <v>0</v>
      </c>
      <c r="L374" s="13"/>
      <c r="M374" s="13">
        <f>H380+K380+N380+Q380+T380+W380+Z380</f>
        <v>0</v>
      </c>
      <c r="N374" s="13">
        <f>H381+K381+N381+Q381+T381+W381+Z381</f>
        <v>0</v>
      </c>
      <c r="O374" s="211"/>
      <c r="P374" s="211"/>
      <c r="Q374" s="213"/>
      <c r="R374" s="211"/>
      <c r="S374" s="213"/>
      <c r="T374" s="246"/>
      <c r="U374" s="246"/>
      <c r="V374" s="246"/>
      <c r="W374" s="246"/>
      <c r="X374" s="246"/>
      <c r="Y374" s="246"/>
      <c r="Z374" s="246"/>
      <c r="AA374" s="246"/>
      <c r="AB374" s="247"/>
    </row>
    <row r="375" spans="1:28" x14ac:dyDescent="0.2">
      <c r="A375" s="228"/>
      <c r="B375" s="56"/>
      <c r="C375" s="56"/>
      <c r="D375" s="56"/>
      <c r="E375" s="56"/>
      <c r="F375" s="89"/>
      <c r="G375" s="89"/>
      <c r="H375" s="89"/>
      <c r="I375" s="89"/>
      <c r="J375" s="89"/>
      <c r="K375" s="89"/>
      <c r="L375" s="89"/>
      <c r="M375" s="89"/>
      <c r="N375" s="89"/>
      <c r="O375" s="90"/>
      <c r="P375" s="90"/>
      <c r="Q375" s="91"/>
      <c r="R375" s="90"/>
      <c r="S375" s="91"/>
      <c r="T375" s="92"/>
      <c r="U375" s="92"/>
      <c r="V375" s="92"/>
      <c r="W375" s="92"/>
      <c r="X375" s="92"/>
      <c r="Y375" s="92"/>
      <c r="Z375" s="92"/>
      <c r="AA375" s="92"/>
      <c r="AB375" s="95"/>
    </row>
    <row r="376" spans="1:28" x14ac:dyDescent="0.2">
      <c r="A376" s="228"/>
      <c r="B376" s="256" t="s">
        <v>67</v>
      </c>
      <c r="C376" s="256"/>
      <c r="D376" s="257"/>
      <c r="E376" s="82" t="s">
        <v>68</v>
      </c>
      <c r="F376" s="248" t="s">
        <v>64</v>
      </c>
      <c r="G376" s="248"/>
      <c r="H376" s="248"/>
      <c r="I376" s="248" t="s">
        <v>76</v>
      </c>
      <c r="J376" s="248"/>
      <c r="K376" s="248"/>
      <c r="L376" s="248" t="s">
        <v>65</v>
      </c>
      <c r="M376" s="248"/>
      <c r="N376" s="248"/>
      <c r="O376" s="248" t="s">
        <v>66</v>
      </c>
      <c r="P376" s="248"/>
      <c r="Q376" s="248"/>
      <c r="R376" s="248" t="s">
        <v>73</v>
      </c>
      <c r="S376" s="248"/>
      <c r="T376" s="248"/>
      <c r="U376" s="248" t="s">
        <v>74</v>
      </c>
      <c r="V376" s="248"/>
      <c r="W376" s="248"/>
      <c r="X376" s="248" t="s">
        <v>75</v>
      </c>
      <c r="Y376" s="248"/>
      <c r="Z376" s="248"/>
      <c r="AA376" s="249"/>
      <c r="AB376" s="249"/>
    </row>
    <row r="377" spans="1:28" x14ac:dyDescent="0.2">
      <c r="A377" s="228"/>
      <c r="B377" s="258"/>
      <c r="C377" s="258"/>
      <c r="D377" s="259"/>
      <c r="E377" s="97" t="s">
        <v>69</v>
      </c>
      <c r="F377" s="83" t="s">
        <v>70</v>
      </c>
      <c r="G377" s="83" t="s">
        <v>71</v>
      </c>
      <c r="H377" s="84" t="s">
        <v>72</v>
      </c>
      <c r="I377" s="83" t="s">
        <v>70</v>
      </c>
      <c r="J377" s="83" t="s">
        <v>71</v>
      </c>
      <c r="K377" s="84" t="s">
        <v>72</v>
      </c>
      <c r="L377" s="83" t="s">
        <v>70</v>
      </c>
      <c r="M377" s="83" t="s">
        <v>71</v>
      </c>
      <c r="N377" s="84" t="s">
        <v>72</v>
      </c>
      <c r="O377" s="83" t="s">
        <v>70</v>
      </c>
      <c r="P377" s="83" t="s">
        <v>71</v>
      </c>
      <c r="Q377" s="84" t="s">
        <v>72</v>
      </c>
      <c r="R377" s="83" t="s">
        <v>70</v>
      </c>
      <c r="S377" s="83" t="s">
        <v>71</v>
      </c>
      <c r="T377" s="84" t="s">
        <v>72</v>
      </c>
      <c r="U377" s="83" t="s">
        <v>70</v>
      </c>
      <c r="V377" s="83" t="s">
        <v>71</v>
      </c>
      <c r="W377" s="84" t="s">
        <v>72</v>
      </c>
      <c r="X377" s="83" t="s">
        <v>70</v>
      </c>
      <c r="Y377" s="83" t="s">
        <v>71</v>
      </c>
      <c r="Z377" s="84" t="s">
        <v>72</v>
      </c>
      <c r="AA377" s="249"/>
      <c r="AB377" s="249"/>
    </row>
    <row r="378" spans="1:28" x14ac:dyDescent="0.2">
      <c r="A378" s="228"/>
      <c r="B378" s="260" t="str">
        <f>B373</f>
        <v>Final ASS</v>
      </c>
      <c r="C378" s="82">
        <f>IF(ISBLANK(C373), "", C373)</f>
        <v>21284</v>
      </c>
      <c r="D378" s="96" t="str">
        <f>IF(ISBLANK(D373), "", D373)</f>
        <v>unilever</v>
      </c>
      <c r="E378" s="82" t="s">
        <v>77</v>
      </c>
      <c r="F378" s="86"/>
      <c r="G378" s="85"/>
      <c r="H378" s="85"/>
      <c r="I378" s="85"/>
      <c r="J378" s="85"/>
      <c r="K378" s="85"/>
      <c r="L378" s="87"/>
      <c r="M378" s="87"/>
      <c r="N378" s="87"/>
      <c r="O378" s="87"/>
      <c r="P378" s="87"/>
      <c r="Q378" s="85"/>
      <c r="R378" s="87"/>
      <c r="S378" s="87"/>
      <c r="T378" s="87"/>
      <c r="U378" s="87"/>
      <c r="V378" s="87"/>
      <c r="W378" s="85"/>
      <c r="X378" s="85"/>
      <c r="Y378" s="85"/>
      <c r="Z378" s="88"/>
      <c r="AA378" s="249"/>
      <c r="AB378" s="249"/>
    </row>
    <row r="379" spans="1:28" x14ac:dyDescent="0.2">
      <c r="A379" s="228"/>
      <c r="B379" s="260"/>
      <c r="C379" s="82">
        <f>IF(ISBLANK(C373), "", C373)</f>
        <v>21284</v>
      </c>
      <c r="D379" s="96" t="str">
        <f>IF(ISBLANK(D373), "", D373)</f>
        <v>unilever</v>
      </c>
      <c r="E379" s="82" t="s">
        <v>78</v>
      </c>
      <c r="F379" s="86"/>
      <c r="G379" s="85"/>
      <c r="H379" s="85"/>
      <c r="I379" s="85"/>
      <c r="J379" s="85"/>
      <c r="K379" s="85"/>
      <c r="L379" s="87"/>
      <c r="M379" s="87"/>
      <c r="N379" s="87"/>
      <c r="O379" s="87"/>
      <c r="P379" s="87"/>
      <c r="Q379" s="85"/>
      <c r="R379" s="87"/>
      <c r="S379" s="87"/>
      <c r="T379" s="87"/>
      <c r="U379" s="87"/>
      <c r="V379" s="87"/>
      <c r="W379" s="85"/>
      <c r="X379" s="85"/>
      <c r="Y379" s="85"/>
      <c r="Z379" s="88"/>
      <c r="AA379" s="249"/>
      <c r="AB379" s="249"/>
    </row>
    <row r="380" spans="1:28" x14ac:dyDescent="0.2">
      <c r="A380" s="228"/>
      <c r="B380" s="260"/>
      <c r="C380" s="82" t="str">
        <f>IF(ISBLANK(C374), "", C374)</f>
        <v/>
      </c>
      <c r="D380" s="96" t="str">
        <f>IF(ISBLANK(D374), "", D374)</f>
        <v/>
      </c>
      <c r="E380" s="82" t="s">
        <v>77</v>
      </c>
      <c r="F380" s="86"/>
      <c r="G380" s="85"/>
      <c r="H380" s="85"/>
      <c r="I380" s="85"/>
      <c r="J380" s="85"/>
      <c r="K380" s="85"/>
      <c r="L380" s="87"/>
      <c r="M380" s="87"/>
      <c r="N380" s="87"/>
      <c r="O380" s="87"/>
      <c r="P380" s="87"/>
      <c r="Q380" s="85"/>
      <c r="R380" s="87"/>
      <c r="S380" s="87"/>
      <c r="T380" s="87"/>
      <c r="U380" s="87"/>
      <c r="V380" s="87"/>
      <c r="W380" s="85"/>
      <c r="X380" s="85"/>
      <c r="Y380" s="85"/>
      <c r="Z380" s="88"/>
      <c r="AA380" s="249"/>
      <c r="AB380" s="249"/>
    </row>
    <row r="381" spans="1:28" x14ac:dyDescent="0.2">
      <c r="A381" s="228"/>
      <c r="B381" s="260"/>
      <c r="C381" s="82" t="str">
        <f>IF(ISBLANK(C374), "", C374)</f>
        <v/>
      </c>
      <c r="D381" s="96" t="str">
        <f>IF(ISBLANK(D374), "", D374)</f>
        <v/>
      </c>
      <c r="E381" s="82" t="s">
        <v>78</v>
      </c>
      <c r="F381" s="86"/>
      <c r="G381" s="85"/>
      <c r="H381" s="85"/>
      <c r="I381" s="85"/>
      <c r="J381" s="85"/>
      <c r="K381" s="85"/>
      <c r="L381" s="87"/>
      <c r="M381" s="87"/>
      <c r="N381" s="87"/>
      <c r="O381" s="87"/>
      <c r="P381" s="87"/>
      <c r="Q381" s="85"/>
      <c r="R381" s="87"/>
      <c r="S381" s="87"/>
      <c r="T381" s="87"/>
      <c r="U381" s="87"/>
      <c r="V381" s="87"/>
      <c r="W381" s="85"/>
      <c r="X381" s="85"/>
      <c r="Y381" s="85"/>
      <c r="Z381" s="88"/>
      <c r="AA381" s="249"/>
      <c r="AB381" s="249"/>
    </row>
    <row r="383" spans="1:28" x14ac:dyDescent="0.2">
      <c r="A383" s="228">
        <v>44726</v>
      </c>
      <c r="B383" s="19"/>
      <c r="C383" s="19" t="s">
        <v>42</v>
      </c>
      <c r="D383" s="20"/>
      <c r="E383" s="21" t="s">
        <v>41</v>
      </c>
      <c r="F383" s="20">
        <v>0</v>
      </c>
      <c r="G383" s="20"/>
      <c r="H383" s="20"/>
      <c r="I383" s="21"/>
      <c r="J383" s="21"/>
      <c r="K383" s="32"/>
      <c r="L383" s="32"/>
      <c r="M383" s="20"/>
      <c r="N383" s="21"/>
      <c r="O383" s="21"/>
      <c r="P383" s="32"/>
      <c r="Q383" s="32"/>
      <c r="R383" s="20"/>
      <c r="S383" s="21"/>
      <c r="T383" s="21"/>
      <c r="U383" s="41">
        <v>160</v>
      </c>
      <c r="V383" s="42" t="s">
        <v>32</v>
      </c>
      <c r="W383" s="42"/>
      <c r="X383" s="43"/>
      <c r="Y383" s="31"/>
      <c r="Z383" s="31"/>
      <c r="AA383" s="31"/>
      <c r="AB383" s="33"/>
    </row>
    <row r="384" spans="1:28" x14ac:dyDescent="0.2">
      <c r="A384" s="228"/>
      <c r="B384" s="229" t="s">
        <v>10</v>
      </c>
      <c r="C384" s="230" t="s">
        <v>25</v>
      </c>
      <c r="D384" s="230" t="s">
        <v>28</v>
      </c>
      <c r="E384" s="237" t="s">
        <v>12</v>
      </c>
      <c r="F384" s="222" t="s">
        <v>13</v>
      </c>
      <c r="G384" s="223"/>
      <c r="H384" s="223"/>
      <c r="I384" s="223"/>
      <c r="J384" s="224"/>
      <c r="K384" s="222" t="s">
        <v>14</v>
      </c>
      <c r="L384" s="223"/>
      <c r="M384" s="223"/>
      <c r="N384" s="223"/>
      <c r="O384" s="224"/>
      <c r="P384" s="222" t="s">
        <v>15</v>
      </c>
      <c r="Q384" s="223"/>
      <c r="R384" s="223"/>
      <c r="S384" s="223"/>
      <c r="T384" s="224"/>
      <c r="U384" s="255" t="s">
        <v>34</v>
      </c>
      <c r="V384" s="255" t="s">
        <v>48</v>
      </c>
      <c r="W384" s="255" t="s">
        <v>56</v>
      </c>
      <c r="X384" s="255" t="s">
        <v>54</v>
      </c>
      <c r="Y384" s="255" t="s">
        <v>57</v>
      </c>
      <c r="Z384" s="255" t="s">
        <v>55</v>
      </c>
      <c r="AA384" s="255" t="s">
        <v>58</v>
      </c>
      <c r="AB384" s="255" t="s">
        <v>38</v>
      </c>
    </row>
    <row r="385" spans="1:28" ht="38.25" x14ac:dyDescent="0.2">
      <c r="A385" s="228"/>
      <c r="B385" s="229"/>
      <c r="C385" s="230"/>
      <c r="D385" s="230"/>
      <c r="E385" s="237"/>
      <c r="F385" s="18" t="s">
        <v>45</v>
      </c>
      <c r="G385" s="18" t="s">
        <v>29</v>
      </c>
      <c r="H385" s="18" t="s">
        <v>46</v>
      </c>
      <c r="I385" s="18" t="s">
        <v>52</v>
      </c>
      <c r="J385" s="18" t="s">
        <v>53</v>
      </c>
      <c r="K385" s="18" t="s">
        <v>45</v>
      </c>
      <c r="L385" s="18" t="s">
        <v>29</v>
      </c>
      <c r="M385" s="18" t="s">
        <v>46</v>
      </c>
      <c r="N385" s="18" t="s">
        <v>52</v>
      </c>
      <c r="O385" s="18" t="s">
        <v>53</v>
      </c>
      <c r="P385" s="18" t="s">
        <v>45</v>
      </c>
      <c r="Q385" s="18" t="s">
        <v>29</v>
      </c>
      <c r="R385" s="18" t="s">
        <v>46</v>
      </c>
      <c r="S385" s="18" t="s">
        <v>52</v>
      </c>
      <c r="T385" s="18" t="s">
        <v>53</v>
      </c>
      <c r="U385" s="255"/>
      <c r="V385" s="255"/>
      <c r="W385" s="255"/>
      <c r="X385" s="255"/>
      <c r="Y385" s="255"/>
      <c r="Z385" s="255"/>
      <c r="AA385" s="255"/>
      <c r="AB385" s="255"/>
    </row>
    <row r="386" spans="1:28" x14ac:dyDescent="0.2">
      <c r="A386" s="228"/>
      <c r="B386" s="232" t="s">
        <v>17</v>
      </c>
      <c r="C386" s="12"/>
      <c r="D386" s="12"/>
      <c r="E386" s="234" t="s">
        <v>1</v>
      </c>
      <c r="F386" s="13">
        <v>0</v>
      </c>
      <c r="G386" s="25">
        <f>F386/$U383</f>
        <v>0</v>
      </c>
      <c r="H386" s="13"/>
      <c r="I386" s="13"/>
      <c r="J386" s="13"/>
      <c r="K386" s="13">
        <v>0</v>
      </c>
      <c r="L386" s="25">
        <f>K386/$U383</f>
        <v>0</v>
      </c>
      <c r="M386" s="13"/>
      <c r="N386" s="13"/>
      <c r="O386" s="13"/>
      <c r="P386" s="13"/>
      <c r="Q386" s="25">
        <f>P386/$U383</f>
        <v>0</v>
      </c>
      <c r="R386" s="13"/>
      <c r="S386" s="13"/>
      <c r="T386" s="13"/>
      <c r="U386" s="210">
        <f>SUM(F386, K386, P386, F387, K387, P387)</f>
        <v>0</v>
      </c>
      <c r="V386" s="210">
        <f>SUM(H386, M386, R386, H387, M387, R387)</f>
        <v>0</v>
      </c>
      <c r="W386" s="212">
        <f>IF($U386=0, ,V386/$U386)</f>
        <v>0</v>
      </c>
      <c r="X386" s="210">
        <f>SUM(I386, N386, S386, I387, N387, S387)</f>
        <v>0</v>
      </c>
      <c r="Y386" s="212">
        <f>IF($U386=0, ,X386/$U386)</f>
        <v>0</v>
      </c>
      <c r="Z386" s="210">
        <f>SUM(J386, O386, T386, J387, O387, T387)</f>
        <v>0</v>
      </c>
      <c r="AA386" s="212">
        <f>IF($U386=0, ,Z386/$U386)</f>
        <v>0</v>
      </c>
      <c r="AB386" s="214"/>
    </row>
    <row r="387" spans="1:28" x14ac:dyDescent="0.2">
      <c r="A387" s="228"/>
      <c r="B387" s="250"/>
      <c r="C387" s="12"/>
      <c r="D387" s="12"/>
      <c r="E387" s="236"/>
      <c r="F387" s="13"/>
      <c r="G387" s="25">
        <f>F387/$U383</f>
        <v>0</v>
      </c>
      <c r="H387" s="13"/>
      <c r="I387" s="13"/>
      <c r="J387" s="13"/>
      <c r="K387" s="13"/>
      <c r="L387" s="25">
        <f>K387/$U383</f>
        <v>0</v>
      </c>
      <c r="M387" s="13"/>
      <c r="N387" s="13"/>
      <c r="O387" s="13"/>
      <c r="P387" s="13"/>
      <c r="Q387" s="25">
        <f>P387/$U383</f>
        <v>0</v>
      </c>
      <c r="R387" s="13"/>
      <c r="S387" s="13"/>
      <c r="T387" s="13"/>
      <c r="U387" s="211"/>
      <c r="V387" s="211"/>
      <c r="W387" s="213"/>
      <c r="X387" s="211"/>
      <c r="Y387" s="213"/>
      <c r="Z387" s="211"/>
      <c r="AA387" s="213"/>
      <c r="AB387" s="215"/>
    </row>
    <row r="388" spans="1:28" x14ac:dyDescent="0.2">
      <c r="A388" s="228"/>
      <c r="B388" s="216" t="s">
        <v>18</v>
      </c>
      <c r="C388" s="10"/>
      <c r="D388" s="10"/>
      <c r="E388" s="218" t="s">
        <v>1</v>
      </c>
      <c r="F388" s="14">
        <v>0</v>
      </c>
      <c r="G388" s="26">
        <f>F388/$U383</f>
        <v>0</v>
      </c>
      <c r="H388" s="14"/>
      <c r="I388" s="14"/>
      <c r="J388" s="14"/>
      <c r="K388" s="14">
        <v>0</v>
      </c>
      <c r="L388" s="26">
        <f>K388/$U383</f>
        <v>0</v>
      </c>
      <c r="M388" s="14"/>
      <c r="N388" s="14"/>
      <c r="O388" s="14"/>
      <c r="P388" s="14"/>
      <c r="Q388" s="26">
        <f>P388/$U383</f>
        <v>0</v>
      </c>
      <c r="R388" s="14"/>
      <c r="S388" s="14"/>
      <c r="T388" s="14"/>
      <c r="U388" s="220">
        <f>SUM(F388, K388, P388, F389, K389, P389)</f>
        <v>0</v>
      </c>
      <c r="V388" s="220">
        <f>SUM(H388, M388, R388, H389, M389, R389)</f>
        <v>0</v>
      </c>
      <c r="W388" s="194">
        <f>IF($U388=0, ,V388/$U388)</f>
        <v>0</v>
      </c>
      <c r="X388" s="220">
        <f>SUM(I388, N388, S388, I389, N389, S389)</f>
        <v>0</v>
      </c>
      <c r="Y388" s="194">
        <f>IF($U388=0, ,X388/$U388)</f>
        <v>0</v>
      </c>
      <c r="Z388" s="220">
        <f>SUM(J388, O388, T388, J389, O389, T389)</f>
        <v>0</v>
      </c>
      <c r="AA388" s="194">
        <f>IF($U388=0, ,Z388/$U388)</f>
        <v>0</v>
      </c>
      <c r="AB388" s="204"/>
    </row>
    <row r="389" spans="1:28" x14ac:dyDescent="0.2">
      <c r="A389" s="228"/>
      <c r="B389" s="217"/>
      <c r="C389" s="10"/>
      <c r="D389" s="10"/>
      <c r="E389" s="219"/>
      <c r="F389" s="14"/>
      <c r="G389" s="26">
        <f>F389/$U383</f>
        <v>0</v>
      </c>
      <c r="H389" s="14"/>
      <c r="I389" s="14"/>
      <c r="J389" s="14"/>
      <c r="K389" s="14"/>
      <c r="L389" s="26">
        <f>K389/$U383</f>
        <v>0</v>
      </c>
      <c r="M389" s="14"/>
      <c r="N389" s="14"/>
      <c r="O389" s="14"/>
      <c r="P389" s="14"/>
      <c r="Q389" s="26">
        <f>P389/$U383</f>
        <v>0</v>
      </c>
      <c r="R389" s="14"/>
      <c r="S389" s="14"/>
      <c r="T389" s="14"/>
      <c r="U389" s="221"/>
      <c r="V389" s="221"/>
      <c r="W389" s="195"/>
      <c r="X389" s="221"/>
      <c r="Y389" s="195"/>
      <c r="Z389" s="221"/>
      <c r="AA389" s="195"/>
      <c r="AB389" s="205"/>
    </row>
    <row r="390" spans="1:28" x14ac:dyDescent="0.2">
      <c r="A390" s="228"/>
      <c r="B390" s="232" t="s">
        <v>19</v>
      </c>
      <c r="C390" s="9"/>
      <c r="D390" s="9"/>
      <c r="E390" s="208" t="s">
        <v>1</v>
      </c>
      <c r="F390" s="15">
        <v>0</v>
      </c>
      <c r="G390" s="27">
        <f>F390/$U383</f>
        <v>0</v>
      </c>
      <c r="H390" s="15"/>
      <c r="I390" s="15"/>
      <c r="J390" s="15"/>
      <c r="K390" s="15">
        <v>0</v>
      </c>
      <c r="L390" s="27">
        <f>K390/$U383</f>
        <v>0</v>
      </c>
      <c r="M390" s="15"/>
      <c r="N390" s="15"/>
      <c r="O390" s="15"/>
      <c r="P390" s="15"/>
      <c r="Q390" s="27">
        <f>P390/$U383</f>
        <v>0</v>
      </c>
      <c r="R390" s="15"/>
      <c r="S390" s="15"/>
      <c r="T390" s="15"/>
      <c r="U390" s="210">
        <f>SUM(F390, K390, P390, F391, K391, P391)</f>
        <v>0</v>
      </c>
      <c r="V390" s="210">
        <f>SUM(H390, M390, R390, H391, M391, R391)</f>
        <v>0</v>
      </c>
      <c r="W390" s="212">
        <f>IF($U390=0, ,V390/$U390)</f>
        <v>0</v>
      </c>
      <c r="X390" s="210">
        <f>SUM(I390, N390, S390, I391, N391, S391)</f>
        <v>0</v>
      </c>
      <c r="Y390" s="212">
        <f>IF($U390=0, ,X390/$U390)</f>
        <v>0</v>
      </c>
      <c r="Z390" s="210">
        <f>SUM(J390, O390, T390, J391, O391, T391)</f>
        <v>0</v>
      </c>
      <c r="AA390" s="212">
        <f>IF($U390=0, ,Z390/$U390)</f>
        <v>0</v>
      </c>
      <c r="AB390" s="214"/>
    </row>
    <row r="391" spans="1:28" x14ac:dyDescent="0.2">
      <c r="A391" s="228"/>
      <c r="B391" s="250"/>
      <c r="C391" s="9"/>
      <c r="D391" s="9"/>
      <c r="E391" s="209"/>
      <c r="F391" s="15"/>
      <c r="G391" s="27">
        <f>F391/$U383</f>
        <v>0</v>
      </c>
      <c r="H391" s="15"/>
      <c r="I391" s="15"/>
      <c r="J391" s="15"/>
      <c r="K391" s="15"/>
      <c r="L391" s="27">
        <f>K391/$U383</f>
        <v>0</v>
      </c>
      <c r="M391" s="15"/>
      <c r="N391" s="15"/>
      <c r="O391" s="15"/>
      <c r="P391" s="15"/>
      <c r="Q391" s="27">
        <f>P391/$U383</f>
        <v>0</v>
      </c>
      <c r="R391" s="15"/>
      <c r="S391" s="15"/>
      <c r="T391" s="15"/>
      <c r="U391" s="211"/>
      <c r="V391" s="211"/>
      <c r="W391" s="213"/>
      <c r="X391" s="211"/>
      <c r="Y391" s="213"/>
      <c r="Z391" s="211"/>
      <c r="AA391" s="213"/>
      <c r="AB391" s="215"/>
    </row>
    <row r="392" spans="1:28" x14ac:dyDescent="0.2">
      <c r="A392" s="228"/>
      <c r="B392" s="216" t="s">
        <v>20</v>
      </c>
      <c r="C392" s="10"/>
      <c r="D392" s="10"/>
      <c r="E392" s="218" t="s">
        <v>1</v>
      </c>
      <c r="F392" s="14">
        <v>0</v>
      </c>
      <c r="G392" s="26">
        <f>F392/$U383</f>
        <v>0</v>
      </c>
      <c r="H392" s="14"/>
      <c r="I392" s="14"/>
      <c r="J392" s="14"/>
      <c r="K392" s="14">
        <v>0</v>
      </c>
      <c r="L392" s="26">
        <f>K392/$U383</f>
        <v>0</v>
      </c>
      <c r="M392" s="14"/>
      <c r="N392" s="14"/>
      <c r="O392" s="14"/>
      <c r="P392" s="14"/>
      <c r="Q392" s="26">
        <f>P392/$U383</f>
        <v>0</v>
      </c>
      <c r="R392" s="14"/>
      <c r="S392" s="14"/>
      <c r="T392" s="14"/>
      <c r="U392" s="220">
        <f>SUM(F392, K392, P392, F393, K393, P393)</f>
        <v>0</v>
      </c>
      <c r="V392" s="220">
        <f>SUM(H392, M392, R392, H393, M393, R393)</f>
        <v>0</v>
      </c>
      <c r="W392" s="194">
        <f>IF($U392=0, ,V392/$U392)</f>
        <v>0</v>
      </c>
      <c r="X392" s="220">
        <f>SUM(I392, N392, S392, I393, N393, S393)</f>
        <v>0</v>
      </c>
      <c r="Y392" s="194">
        <f>IF($U392=0, ,X392/$U392)</f>
        <v>0</v>
      </c>
      <c r="Z392" s="220">
        <f>SUM(J392, O392, T392, J393, O393, T393)</f>
        <v>0</v>
      </c>
      <c r="AA392" s="194">
        <f>IF($U392=0, ,Z392/$U392)</f>
        <v>0</v>
      </c>
      <c r="AB392" s="204"/>
    </row>
    <row r="393" spans="1:28" x14ac:dyDescent="0.2">
      <c r="A393" s="228"/>
      <c r="B393" s="217"/>
      <c r="C393" s="10"/>
      <c r="D393" s="10"/>
      <c r="E393" s="219"/>
      <c r="F393" s="14"/>
      <c r="G393" s="26">
        <f>F393/$U383</f>
        <v>0</v>
      </c>
      <c r="H393" s="14"/>
      <c r="I393" s="14"/>
      <c r="J393" s="14"/>
      <c r="K393" s="14"/>
      <c r="L393" s="26">
        <f>K393/$U383</f>
        <v>0</v>
      </c>
      <c r="M393" s="14"/>
      <c r="N393" s="14"/>
      <c r="O393" s="14"/>
      <c r="P393" s="14"/>
      <c r="Q393" s="26">
        <f>P393/$U383</f>
        <v>0</v>
      </c>
      <c r="R393" s="14"/>
      <c r="S393" s="14"/>
      <c r="T393" s="14"/>
      <c r="U393" s="221"/>
      <c r="V393" s="221"/>
      <c r="W393" s="195"/>
      <c r="X393" s="221"/>
      <c r="Y393" s="195"/>
      <c r="Z393" s="221"/>
      <c r="AA393" s="195"/>
      <c r="AB393" s="205"/>
    </row>
    <row r="394" spans="1:28" x14ac:dyDescent="0.2">
      <c r="A394" s="228"/>
      <c r="B394" s="232" t="s">
        <v>21</v>
      </c>
      <c r="C394" s="9"/>
      <c r="D394" s="9"/>
      <c r="E394" s="208" t="s">
        <v>1</v>
      </c>
      <c r="F394" s="15">
        <v>0</v>
      </c>
      <c r="G394" s="27">
        <f>F394/$U383</f>
        <v>0</v>
      </c>
      <c r="H394" s="15"/>
      <c r="I394" s="15"/>
      <c r="J394" s="15"/>
      <c r="K394" s="15">
        <v>0</v>
      </c>
      <c r="L394" s="27">
        <f>K394/$U383</f>
        <v>0</v>
      </c>
      <c r="M394" s="15"/>
      <c r="N394" s="15"/>
      <c r="O394" s="15"/>
      <c r="P394" s="15"/>
      <c r="Q394" s="27">
        <f>P394/$U383</f>
        <v>0</v>
      </c>
      <c r="R394" s="15"/>
      <c r="S394" s="15"/>
      <c r="T394" s="15"/>
      <c r="U394" s="210">
        <f>SUM(F394, K394, P394, F395, K395, P395)</f>
        <v>0</v>
      </c>
      <c r="V394" s="210">
        <f>SUM(H394, M394, R394, H395, M395, R395)</f>
        <v>0</v>
      </c>
      <c r="W394" s="212">
        <f>IF($U394=0, ,V394/$U394)</f>
        <v>0</v>
      </c>
      <c r="X394" s="210">
        <f>SUM(I394, N394, S394, I395, N395, S395)</f>
        <v>0</v>
      </c>
      <c r="Y394" s="212">
        <f>IF($U394=0, ,X394/$U394)</f>
        <v>0</v>
      </c>
      <c r="Z394" s="210">
        <f>SUM(J394, O394, T394, J395, O395, T395)</f>
        <v>0</v>
      </c>
      <c r="AA394" s="212">
        <f>IF($U394=0, ,Z394/$U394)</f>
        <v>0</v>
      </c>
      <c r="AB394" s="214"/>
    </row>
    <row r="395" spans="1:28" x14ac:dyDescent="0.2">
      <c r="A395" s="228"/>
      <c r="B395" s="250"/>
      <c r="C395" s="9"/>
      <c r="D395" s="9"/>
      <c r="E395" s="209"/>
      <c r="F395" s="15"/>
      <c r="G395" s="27">
        <f>F395/$U383</f>
        <v>0</v>
      </c>
      <c r="H395" s="15"/>
      <c r="I395" s="15"/>
      <c r="J395" s="15"/>
      <c r="K395" s="15"/>
      <c r="L395" s="27">
        <f>K395/$U383</f>
        <v>0</v>
      </c>
      <c r="M395" s="15"/>
      <c r="N395" s="15"/>
      <c r="O395" s="15"/>
      <c r="P395" s="15"/>
      <c r="Q395" s="27">
        <f>P395/$U383</f>
        <v>0</v>
      </c>
      <c r="R395" s="15"/>
      <c r="S395" s="15"/>
      <c r="T395" s="15"/>
      <c r="U395" s="211"/>
      <c r="V395" s="211"/>
      <c r="W395" s="213"/>
      <c r="X395" s="211"/>
      <c r="Y395" s="213"/>
      <c r="Z395" s="211"/>
      <c r="AA395" s="213"/>
      <c r="AB395" s="215"/>
    </row>
    <row r="396" spans="1:28" x14ac:dyDescent="0.2">
      <c r="A396" s="228"/>
      <c r="B396" s="216" t="s">
        <v>22</v>
      </c>
      <c r="C396" s="11"/>
      <c r="D396" s="11"/>
      <c r="E396" s="191" t="s">
        <v>1</v>
      </c>
      <c r="F396" s="16">
        <v>0</v>
      </c>
      <c r="G396" s="28">
        <f>F396/$U383</f>
        <v>0</v>
      </c>
      <c r="H396" s="16"/>
      <c r="I396" s="16"/>
      <c r="J396" s="16"/>
      <c r="K396" s="16">
        <v>0</v>
      </c>
      <c r="L396" s="28">
        <f>K396/$U383</f>
        <v>0</v>
      </c>
      <c r="M396" s="16"/>
      <c r="N396" s="16"/>
      <c r="O396" s="16"/>
      <c r="P396" s="16"/>
      <c r="Q396" s="28">
        <f>P396/$U383</f>
        <v>0</v>
      </c>
      <c r="R396" s="16"/>
      <c r="S396" s="16"/>
      <c r="T396" s="16"/>
      <c r="U396" s="220">
        <f>SUM(F396, K396, P396, F397, K397, P397)</f>
        <v>0</v>
      </c>
      <c r="V396" s="220">
        <f>SUM(H396, M396, R396, H397, M397, R397)</f>
        <v>0</v>
      </c>
      <c r="W396" s="194">
        <f>IF($U396=0, ,V396/$U396)</f>
        <v>0</v>
      </c>
      <c r="X396" s="220">
        <f>SUM(I396, N396, S396, I397, N397, S397)</f>
        <v>0</v>
      </c>
      <c r="Y396" s="194">
        <f>IF($U396=0, ,X396/$U396)</f>
        <v>0</v>
      </c>
      <c r="Z396" s="220">
        <f>SUM(J396, O396, T396, J397, O397, T397)</f>
        <v>0</v>
      </c>
      <c r="AA396" s="194">
        <f>IF($U396=0, ,Z396/$U396)</f>
        <v>0</v>
      </c>
      <c r="AB396" s="204"/>
    </row>
    <row r="397" spans="1:28" x14ac:dyDescent="0.2">
      <c r="A397" s="228"/>
      <c r="B397" s="217"/>
      <c r="C397" s="11"/>
      <c r="D397" s="11"/>
      <c r="E397" s="192"/>
      <c r="F397" s="16"/>
      <c r="G397" s="28">
        <f>F397/$U383</f>
        <v>0</v>
      </c>
      <c r="H397" s="16"/>
      <c r="I397" s="16"/>
      <c r="J397" s="16"/>
      <c r="K397" s="16"/>
      <c r="L397" s="28">
        <f>K397/$U383</f>
        <v>0</v>
      </c>
      <c r="M397" s="16"/>
      <c r="N397" s="16"/>
      <c r="O397" s="16"/>
      <c r="P397" s="16"/>
      <c r="Q397" s="28">
        <f>P397/$U383</f>
        <v>0</v>
      </c>
      <c r="R397" s="16"/>
      <c r="S397" s="16"/>
      <c r="T397" s="16"/>
      <c r="U397" s="221"/>
      <c r="V397" s="221"/>
      <c r="W397" s="195"/>
      <c r="X397" s="221"/>
      <c r="Y397" s="195"/>
      <c r="Z397" s="221"/>
      <c r="AA397" s="195"/>
      <c r="AB397" s="205"/>
    </row>
    <row r="398" spans="1:28" ht="13.5" thickBot="1" x14ac:dyDescent="0.25">
      <c r="A398" s="228"/>
      <c r="B398" s="56"/>
      <c r="C398" s="56"/>
      <c r="D398" s="56"/>
      <c r="E398" s="56"/>
      <c r="F398" s="57"/>
      <c r="G398" s="58"/>
      <c r="H398" s="57"/>
      <c r="I398" s="57"/>
      <c r="J398" s="57"/>
      <c r="K398" s="57"/>
      <c r="L398" s="58"/>
      <c r="M398" s="57"/>
      <c r="N398" s="57"/>
      <c r="O398" s="57"/>
      <c r="P398" s="57"/>
      <c r="Q398" s="58"/>
      <c r="R398" s="57"/>
      <c r="S398" s="57"/>
      <c r="T398" s="60" t="s">
        <v>59</v>
      </c>
      <c r="U398" s="61">
        <f>SUM(U386:U397)</f>
        <v>0</v>
      </c>
      <c r="V398" s="61">
        <f>SUM(V386:V397)</f>
        <v>0</v>
      </c>
      <c r="W398" s="62">
        <f>IF($U398=0, ,V398/$U398)</f>
        <v>0</v>
      </c>
      <c r="X398" s="61">
        <f>SUM(X386:X397)</f>
        <v>0</v>
      </c>
      <c r="Y398" s="62">
        <f>IF($U398=0, ,X398/$U398)</f>
        <v>0</v>
      </c>
      <c r="Z398" s="61">
        <f>SUM(Z386:Z397)</f>
        <v>0</v>
      </c>
      <c r="AA398" s="62">
        <f>IF($U398=0, ,Z398/$U398)</f>
        <v>0</v>
      </c>
      <c r="AB398" s="59"/>
    </row>
    <row r="399" spans="1:28" ht="13.5" thickTop="1" x14ac:dyDescent="0.2">
      <c r="A399" s="228"/>
      <c r="B399" s="44"/>
      <c r="C399" s="45" t="s">
        <v>27</v>
      </c>
      <c r="D399" s="23"/>
      <c r="E399" s="44"/>
      <c r="F399" s="44"/>
      <c r="G399" s="44"/>
      <c r="H399" s="44"/>
      <c r="I399" s="44"/>
      <c r="J399" s="44"/>
      <c r="K399" s="44"/>
      <c r="L399" s="44"/>
      <c r="M399" s="44"/>
      <c r="N399" s="44"/>
      <c r="O399" s="93">
        <v>320</v>
      </c>
      <c r="P399" s="94" t="s">
        <v>33</v>
      </c>
      <c r="Q399" s="44"/>
      <c r="R399" s="44"/>
      <c r="S399" s="44"/>
      <c r="T399" s="44"/>
      <c r="U399" s="44"/>
      <c r="V399" s="44"/>
      <c r="W399" s="44"/>
      <c r="X399" s="44"/>
      <c r="Y399" s="44"/>
      <c r="Z399" s="44"/>
      <c r="AA399" s="44"/>
      <c r="AB399" s="46"/>
    </row>
    <row r="400" spans="1:28" x14ac:dyDescent="0.2">
      <c r="A400" s="228"/>
      <c r="B400" s="229" t="s">
        <v>35</v>
      </c>
      <c r="C400" s="230" t="s">
        <v>25</v>
      </c>
      <c r="D400" s="230" t="s">
        <v>28</v>
      </c>
      <c r="E400" s="237" t="s">
        <v>12</v>
      </c>
      <c r="F400" s="241" t="s">
        <v>13</v>
      </c>
      <c r="G400" s="241"/>
      <c r="H400" s="241"/>
      <c r="I400" s="241" t="s">
        <v>14</v>
      </c>
      <c r="J400" s="241"/>
      <c r="K400" s="241"/>
      <c r="L400" s="241" t="s">
        <v>15</v>
      </c>
      <c r="M400" s="241"/>
      <c r="N400" s="241"/>
      <c r="O400" s="225" t="s">
        <v>34</v>
      </c>
      <c r="P400" s="225" t="s">
        <v>48</v>
      </c>
      <c r="Q400" s="225" t="s">
        <v>60</v>
      </c>
      <c r="R400" s="225" t="s">
        <v>49</v>
      </c>
      <c r="S400" s="225" t="s">
        <v>61</v>
      </c>
      <c r="T400" s="251"/>
      <c r="U400" s="251"/>
      <c r="V400" s="251"/>
      <c r="W400" s="251"/>
      <c r="X400" s="251"/>
      <c r="Y400" s="251"/>
      <c r="Z400" s="251"/>
      <c r="AA400" s="251"/>
      <c r="AB400" s="252"/>
    </row>
    <row r="401" spans="1:28" ht="25.5" x14ac:dyDescent="0.2">
      <c r="A401" s="228"/>
      <c r="B401" s="229"/>
      <c r="C401" s="230"/>
      <c r="D401" s="230"/>
      <c r="E401" s="237"/>
      <c r="F401" s="18" t="s">
        <v>30</v>
      </c>
      <c r="G401" s="18" t="s">
        <v>46</v>
      </c>
      <c r="H401" s="18" t="s">
        <v>47</v>
      </c>
      <c r="I401" s="18" t="s">
        <v>30</v>
      </c>
      <c r="J401" s="18" t="s">
        <v>46</v>
      </c>
      <c r="K401" s="18" t="s">
        <v>47</v>
      </c>
      <c r="L401" s="18" t="s">
        <v>30</v>
      </c>
      <c r="M401" s="18" t="s">
        <v>46</v>
      </c>
      <c r="N401" s="18" t="s">
        <v>47</v>
      </c>
      <c r="O401" s="227"/>
      <c r="P401" s="227"/>
      <c r="Q401" s="227"/>
      <c r="R401" s="227"/>
      <c r="S401" s="227"/>
      <c r="T401" s="253"/>
      <c r="U401" s="253"/>
      <c r="V401" s="253"/>
      <c r="W401" s="253"/>
      <c r="X401" s="253"/>
      <c r="Y401" s="253"/>
      <c r="Z401" s="253"/>
      <c r="AA401" s="253"/>
      <c r="AB401" s="254"/>
    </row>
    <row r="402" spans="1:28" x14ac:dyDescent="0.2">
      <c r="A402" s="228"/>
      <c r="B402" s="242" t="s">
        <v>36</v>
      </c>
      <c r="C402" s="12">
        <v>21284</v>
      </c>
      <c r="D402" s="12" t="s">
        <v>95</v>
      </c>
      <c r="E402" s="243" t="s">
        <v>1</v>
      </c>
      <c r="F402" s="13">
        <v>15</v>
      </c>
      <c r="G402" s="13">
        <v>0</v>
      </c>
      <c r="H402" s="13">
        <v>0</v>
      </c>
      <c r="I402" s="13">
        <v>27</v>
      </c>
      <c r="J402" s="13"/>
      <c r="K402" s="13"/>
      <c r="L402" s="13"/>
      <c r="M402" s="13">
        <f>H407+K407+N407+Q407+T407+W407+Z407</f>
        <v>0</v>
      </c>
      <c r="N402" s="13">
        <f>H408+K408+N408+Q408+T408+W408+Z408</f>
        <v>0</v>
      </c>
      <c r="O402" s="210">
        <f>SUM(F402, I402, L402, F403, I403, L403)*$O399</f>
        <v>13440</v>
      </c>
      <c r="P402" s="210">
        <f>SUM(G402, J402, M402, G403, J403, M403)</f>
        <v>0</v>
      </c>
      <c r="Q402" s="212">
        <f>IF($O402=0, ,P402/$O402)</f>
        <v>0</v>
      </c>
      <c r="R402" s="210">
        <f>SUM(H402, K402, N402, H403, K403, N403)</f>
        <v>0</v>
      </c>
      <c r="S402" s="212">
        <f>IF($O402=0, ,R402/$O402)</f>
        <v>0</v>
      </c>
      <c r="T402" s="244"/>
      <c r="U402" s="244"/>
      <c r="V402" s="244"/>
      <c r="W402" s="244"/>
      <c r="X402" s="244"/>
      <c r="Y402" s="244"/>
      <c r="Z402" s="244"/>
      <c r="AA402" s="244"/>
      <c r="AB402" s="245"/>
    </row>
    <row r="403" spans="1:28" x14ac:dyDescent="0.2">
      <c r="A403" s="228"/>
      <c r="B403" s="242"/>
      <c r="C403" s="12"/>
      <c r="D403" s="12"/>
      <c r="E403" s="243"/>
      <c r="F403" s="13"/>
      <c r="G403" s="13">
        <f>F409+I409+L409+O409+R409+U409+X409</f>
        <v>0</v>
      </c>
      <c r="H403" s="13">
        <f>F410+I410+L410+O410+R410+U410+X410</f>
        <v>0</v>
      </c>
      <c r="I403" s="13"/>
      <c r="J403" s="13">
        <f>G409+J409+M409+P409+S409+V409+Y409</f>
        <v>0</v>
      </c>
      <c r="K403" s="13">
        <f>G410+J410+M410+P410+S410+V410+Y410</f>
        <v>0</v>
      </c>
      <c r="L403" s="13"/>
      <c r="M403" s="13">
        <f>H409+K409+N409+Q409+T409+W409+Z409</f>
        <v>0</v>
      </c>
      <c r="N403" s="13">
        <f>H410+K410+N410+Q410+T410+W410+Z410</f>
        <v>0</v>
      </c>
      <c r="O403" s="211"/>
      <c r="P403" s="211"/>
      <c r="Q403" s="213"/>
      <c r="R403" s="211"/>
      <c r="S403" s="213"/>
      <c r="T403" s="246"/>
      <c r="U403" s="246"/>
      <c r="V403" s="246"/>
      <c r="W403" s="246"/>
      <c r="X403" s="246"/>
      <c r="Y403" s="246"/>
      <c r="Z403" s="246"/>
      <c r="AA403" s="246"/>
      <c r="AB403" s="247"/>
    </row>
    <row r="404" spans="1:28" x14ac:dyDescent="0.2">
      <c r="A404" s="228"/>
      <c r="B404" s="56"/>
      <c r="C404" s="56"/>
      <c r="D404" s="56"/>
      <c r="E404" s="56"/>
      <c r="F404" s="89"/>
      <c r="G404" s="89"/>
      <c r="H404" s="89"/>
      <c r="I404" s="89"/>
      <c r="J404" s="89"/>
      <c r="K404" s="89"/>
      <c r="L404" s="89"/>
      <c r="M404" s="89"/>
      <c r="N404" s="89"/>
      <c r="O404" s="90"/>
      <c r="P404" s="90"/>
      <c r="Q404" s="91"/>
      <c r="R404" s="90"/>
      <c r="S404" s="91"/>
      <c r="T404" s="92"/>
      <c r="U404" s="92"/>
      <c r="V404" s="92"/>
      <c r="W404" s="92"/>
      <c r="X404" s="92"/>
      <c r="Y404" s="92"/>
      <c r="Z404" s="92"/>
      <c r="AA404" s="92"/>
      <c r="AB404" s="95"/>
    </row>
    <row r="405" spans="1:28" x14ac:dyDescent="0.2">
      <c r="A405" s="228"/>
      <c r="B405" s="256" t="s">
        <v>67</v>
      </c>
      <c r="C405" s="256"/>
      <c r="D405" s="257"/>
      <c r="E405" s="82" t="s">
        <v>68</v>
      </c>
      <c r="F405" s="248" t="s">
        <v>64</v>
      </c>
      <c r="G405" s="248"/>
      <c r="H405" s="248"/>
      <c r="I405" s="248" t="s">
        <v>76</v>
      </c>
      <c r="J405" s="248"/>
      <c r="K405" s="248"/>
      <c r="L405" s="248" t="s">
        <v>65</v>
      </c>
      <c r="M405" s="248"/>
      <c r="N405" s="248"/>
      <c r="O405" s="248" t="s">
        <v>66</v>
      </c>
      <c r="P405" s="248"/>
      <c r="Q405" s="248"/>
      <c r="R405" s="248" t="s">
        <v>73</v>
      </c>
      <c r="S405" s="248"/>
      <c r="T405" s="248"/>
      <c r="U405" s="248" t="s">
        <v>74</v>
      </c>
      <c r="V405" s="248"/>
      <c r="W405" s="248"/>
      <c r="X405" s="248" t="s">
        <v>75</v>
      </c>
      <c r="Y405" s="248"/>
      <c r="Z405" s="248"/>
      <c r="AA405" s="249"/>
      <c r="AB405" s="249"/>
    </row>
    <row r="406" spans="1:28" x14ac:dyDescent="0.2">
      <c r="A406" s="228"/>
      <c r="B406" s="258"/>
      <c r="C406" s="258"/>
      <c r="D406" s="259"/>
      <c r="E406" s="97" t="s">
        <v>69</v>
      </c>
      <c r="F406" s="83" t="s">
        <v>70</v>
      </c>
      <c r="G406" s="83" t="s">
        <v>71</v>
      </c>
      <c r="H406" s="84" t="s">
        <v>72</v>
      </c>
      <c r="I406" s="83" t="s">
        <v>70</v>
      </c>
      <c r="J406" s="83" t="s">
        <v>71</v>
      </c>
      <c r="K406" s="84" t="s">
        <v>72</v>
      </c>
      <c r="L406" s="83" t="s">
        <v>70</v>
      </c>
      <c r="M406" s="83" t="s">
        <v>71</v>
      </c>
      <c r="N406" s="84" t="s">
        <v>72</v>
      </c>
      <c r="O406" s="83" t="s">
        <v>70</v>
      </c>
      <c r="P406" s="83" t="s">
        <v>71</v>
      </c>
      <c r="Q406" s="84" t="s">
        <v>72</v>
      </c>
      <c r="R406" s="83" t="s">
        <v>70</v>
      </c>
      <c r="S406" s="83" t="s">
        <v>71</v>
      </c>
      <c r="T406" s="84" t="s">
        <v>72</v>
      </c>
      <c r="U406" s="83" t="s">
        <v>70</v>
      </c>
      <c r="V406" s="83" t="s">
        <v>71</v>
      </c>
      <c r="W406" s="84" t="s">
        <v>72</v>
      </c>
      <c r="X406" s="83" t="s">
        <v>70</v>
      </c>
      <c r="Y406" s="83" t="s">
        <v>71</v>
      </c>
      <c r="Z406" s="84" t="s">
        <v>72</v>
      </c>
      <c r="AA406" s="249"/>
      <c r="AB406" s="249"/>
    </row>
    <row r="407" spans="1:28" x14ac:dyDescent="0.2">
      <c r="A407" s="228"/>
      <c r="B407" s="260" t="str">
        <f>B402</f>
        <v>Final ASS</v>
      </c>
      <c r="C407" s="82">
        <f>IF(ISBLANK(C402), "", C402)</f>
        <v>21284</v>
      </c>
      <c r="D407" s="96" t="str">
        <f>IF(ISBLANK(D402), "", D402)</f>
        <v>unilever</v>
      </c>
      <c r="E407" s="82" t="s">
        <v>77</v>
      </c>
      <c r="F407" s="86"/>
      <c r="G407" s="85"/>
      <c r="H407" s="85"/>
      <c r="I407" s="85"/>
      <c r="J407" s="85"/>
      <c r="K407" s="85"/>
      <c r="L407" s="87"/>
      <c r="M407" s="87"/>
      <c r="N407" s="87"/>
      <c r="O407" s="87"/>
      <c r="P407" s="87"/>
      <c r="Q407" s="85"/>
      <c r="R407" s="87"/>
      <c r="S407" s="87"/>
      <c r="T407" s="87"/>
      <c r="U407" s="87"/>
      <c r="V407" s="87"/>
      <c r="W407" s="85"/>
      <c r="X407" s="85"/>
      <c r="Y407" s="85"/>
      <c r="Z407" s="88"/>
      <c r="AA407" s="249"/>
      <c r="AB407" s="249"/>
    </row>
    <row r="408" spans="1:28" x14ac:dyDescent="0.2">
      <c r="A408" s="228"/>
      <c r="B408" s="260"/>
      <c r="C408" s="82">
        <f>IF(ISBLANK(C402), "", C402)</f>
        <v>21284</v>
      </c>
      <c r="D408" s="96" t="str">
        <f>IF(ISBLANK(D402), "", D402)</f>
        <v>unilever</v>
      </c>
      <c r="E408" s="82" t="s">
        <v>78</v>
      </c>
      <c r="F408" s="86"/>
      <c r="G408" s="85"/>
      <c r="H408" s="85"/>
      <c r="I408" s="85"/>
      <c r="J408" s="85"/>
      <c r="K408" s="85"/>
      <c r="L408" s="87"/>
      <c r="M408" s="87"/>
      <c r="N408" s="87"/>
      <c r="O408" s="87"/>
      <c r="P408" s="87"/>
      <c r="Q408" s="85"/>
      <c r="R408" s="87"/>
      <c r="S408" s="87"/>
      <c r="T408" s="87"/>
      <c r="U408" s="87"/>
      <c r="V408" s="87"/>
      <c r="W408" s="85"/>
      <c r="X408" s="85"/>
      <c r="Y408" s="85"/>
      <c r="Z408" s="88"/>
      <c r="AA408" s="249"/>
      <c r="AB408" s="249"/>
    </row>
    <row r="409" spans="1:28" x14ac:dyDescent="0.2">
      <c r="A409" s="228"/>
      <c r="B409" s="260"/>
      <c r="C409" s="82" t="str">
        <f>IF(ISBLANK(C403), "", C403)</f>
        <v/>
      </c>
      <c r="D409" s="96" t="str">
        <f>IF(ISBLANK(D403), "", D403)</f>
        <v/>
      </c>
      <c r="E409" s="82" t="s">
        <v>77</v>
      </c>
      <c r="F409" s="86"/>
      <c r="G409" s="85"/>
      <c r="H409" s="85"/>
      <c r="I409" s="85"/>
      <c r="J409" s="85"/>
      <c r="K409" s="85"/>
      <c r="L409" s="87"/>
      <c r="M409" s="87"/>
      <c r="N409" s="87"/>
      <c r="O409" s="87"/>
      <c r="P409" s="87"/>
      <c r="Q409" s="85"/>
      <c r="R409" s="87"/>
      <c r="S409" s="87"/>
      <c r="T409" s="87"/>
      <c r="U409" s="87"/>
      <c r="V409" s="87"/>
      <c r="W409" s="85"/>
      <c r="X409" s="85"/>
      <c r="Y409" s="85"/>
      <c r="Z409" s="88"/>
      <c r="AA409" s="249"/>
      <c r="AB409" s="249"/>
    </row>
    <row r="410" spans="1:28" x14ac:dyDescent="0.2">
      <c r="A410" s="228"/>
      <c r="B410" s="260"/>
      <c r="C410" s="82" t="str">
        <f>IF(ISBLANK(C403), "", C403)</f>
        <v/>
      </c>
      <c r="D410" s="96" t="str">
        <f>IF(ISBLANK(D403), "", D403)</f>
        <v/>
      </c>
      <c r="E410" s="82" t="s">
        <v>78</v>
      </c>
      <c r="F410" s="86"/>
      <c r="G410" s="85"/>
      <c r="H410" s="85"/>
      <c r="I410" s="85"/>
      <c r="J410" s="85"/>
      <c r="K410" s="85"/>
      <c r="L410" s="87"/>
      <c r="M410" s="87"/>
      <c r="N410" s="87"/>
      <c r="O410" s="87"/>
      <c r="P410" s="87"/>
      <c r="Q410" s="85"/>
      <c r="R410" s="87"/>
      <c r="S410" s="87"/>
      <c r="T410" s="87"/>
      <c r="U410" s="87"/>
      <c r="V410" s="87"/>
      <c r="W410" s="85"/>
      <c r="X410" s="85"/>
      <c r="Y410" s="85"/>
      <c r="Z410" s="88"/>
      <c r="AA410" s="249"/>
      <c r="AB410" s="249"/>
    </row>
    <row r="412" spans="1:28" ht="12.75" customHeight="1" x14ac:dyDescent="0.2">
      <c r="A412" s="228">
        <v>44727</v>
      </c>
      <c r="B412" s="19"/>
      <c r="C412" s="19" t="s">
        <v>42</v>
      </c>
      <c r="D412" s="20"/>
      <c r="E412" s="21" t="s">
        <v>41</v>
      </c>
      <c r="F412" s="20">
        <v>0</v>
      </c>
      <c r="G412" s="20"/>
      <c r="H412" s="20"/>
      <c r="I412" s="21"/>
      <c r="J412" s="21"/>
      <c r="K412" s="32"/>
      <c r="L412" s="32"/>
      <c r="M412" s="20"/>
      <c r="N412" s="21"/>
      <c r="O412" s="21"/>
      <c r="P412" s="32"/>
      <c r="Q412" s="32"/>
      <c r="R412" s="20"/>
      <c r="S412" s="21"/>
      <c r="T412" s="21"/>
      <c r="U412" s="41">
        <v>160</v>
      </c>
      <c r="V412" s="42" t="s">
        <v>32</v>
      </c>
      <c r="W412" s="42"/>
      <c r="X412" s="43"/>
      <c r="Y412" s="31"/>
      <c r="Z412" s="31"/>
      <c r="AA412" s="31"/>
      <c r="AB412" s="33"/>
    </row>
    <row r="413" spans="1:28" ht="12.75" customHeight="1" x14ac:dyDescent="0.2">
      <c r="A413" s="228"/>
      <c r="B413" s="229" t="s">
        <v>10</v>
      </c>
      <c r="C413" s="230" t="s">
        <v>25</v>
      </c>
      <c r="D413" s="230" t="s">
        <v>28</v>
      </c>
      <c r="E413" s="237" t="s">
        <v>12</v>
      </c>
      <c r="F413" s="222" t="s">
        <v>13</v>
      </c>
      <c r="G413" s="223"/>
      <c r="H413" s="223"/>
      <c r="I413" s="223"/>
      <c r="J413" s="224"/>
      <c r="K413" s="222" t="s">
        <v>14</v>
      </c>
      <c r="L413" s="223"/>
      <c r="M413" s="223"/>
      <c r="N413" s="223"/>
      <c r="O413" s="224"/>
      <c r="P413" s="222" t="s">
        <v>15</v>
      </c>
      <c r="Q413" s="223"/>
      <c r="R413" s="223"/>
      <c r="S413" s="223"/>
      <c r="T413" s="224"/>
      <c r="U413" s="255" t="s">
        <v>34</v>
      </c>
      <c r="V413" s="255" t="s">
        <v>48</v>
      </c>
      <c r="W413" s="255" t="s">
        <v>56</v>
      </c>
      <c r="X413" s="255" t="s">
        <v>54</v>
      </c>
      <c r="Y413" s="255" t="s">
        <v>57</v>
      </c>
      <c r="Z413" s="255" t="s">
        <v>55</v>
      </c>
      <c r="AA413" s="255" t="s">
        <v>58</v>
      </c>
      <c r="AB413" s="255" t="s">
        <v>38</v>
      </c>
    </row>
    <row r="414" spans="1:28" ht="38.25" x14ac:dyDescent="0.2">
      <c r="A414" s="228"/>
      <c r="B414" s="229"/>
      <c r="C414" s="230"/>
      <c r="D414" s="230"/>
      <c r="E414" s="237"/>
      <c r="F414" s="18" t="s">
        <v>45</v>
      </c>
      <c r="G414" s="18" t="s">
        <v>29</v>
      </c>
      <c r="H414" s="18" t="s">
        <v>46</v>
      </c>
      <c r="I414" s="18" t="s">
        <v>52</v>
      </c>
      <c r="J414" s="18" t="s">
        <v>53</v>
      </c>
      <c r="K414" s="18" t="s">
        <v>45</v>
      </c>
      <c r="L414" s="18" t="s">
        <v>29</v>
      </c>
      <c r="M414" s="18" t="s">
        <v>46</v>
      </c>
      <c r="N414" s="18" t="s">
        <v>52</v>
      </c>
      <c r="O414" s="18" t="s">
        <v>53</v>
      </c>
      <c r="P414" s="18" t="s">
        <v>45</v>
      </c>
      <c r="Q414" s="18" t="s">
        <v>29</v>
      </c>
      <c r="R414" s="18" t="s">
        <v>46</v>
      </c>
      <c r="S414" s="18" t="s">
        <v>52</v>
      </c>
      <c r="T414" s="18" t="s">
        <v>53</v>
      </c>
      <c r="U414" s="255"/>
      <c r="V414" s="255"/>
      <c r="W414" s="255"/>
      <c r="X414" s="255"/>
      <c r="Y414" s="255"/>
      <c r="Z414" s="255"/>
      <c r="AA414" s="255"/>
      <c r="AB414" s="255"/>
    </row>
    <row r="415" spans="1:28" ht="12.75" customHeight="1" x14ac:dyDescent="0.2">
      <c r="A415" s="228"/>
      <c r="B415" s="232" t="s">
        <v>17</v>
      </c>
      <c r="C415" s="12"/>
      <c r="D415" s="12"/>
      <c r="E415" s="234" t="s">
        <v>1</v>
      </c>
      <c r="F415" s="13">
        <v>0</v>
      </c>
      <c r="G415" s="25">
        <f>F415/$U412</f>
        <v>0</v>
      </c>
      <c r="H415" s="13"/>
      <c r="I415" s="13"/>
      <c r="J415" s="13"/>
      <c r="K415" s="13">
        <v>0</v>
      </c>
      <c r="L415" s="25">
        <f>K415/$U412</f>
        <v>0</v>
      </c>
      <c r="M415" s="13"/>
      <c r="N415" s="13"/>
      <c r="O415" s="13"/>
      <c r="P415" s="13"/>
      <c r="Q415" s="25">
        <f>P415/$U412</f>
        <v>0</v>
      </c>
      <c r="R415" s="13"/>
      <c r="S415" s="13"/>
      <c r="T415" s="13"/>
      <c r="U415" s="210">
        <f>SUM(F415, K415, P415, F416, K416, P416)</f>
        <v>0</v>
      </c>
      <c r="V415" s="210">
        <f>SUM(H415, M415, R415, H416, M416, R416)</f>
        <v>0</v>
      </c>
      <c r="W415" s="212">
        <f>IF($U415=0, ,V415/$U415)</f>
        <v>0</v>
      </c>
      <c r="X415" s="210">
        <f>SUM(I415, N415, S415, I416, N416, S416)</f>
        <v>0</v>
      </c>
      <c r="Y415" s="212">
        <f>IF($U415=0, ,X415/$U415)</f>
        <v>0</v>
      </c>
      <c r="Z415" s="210">
        <f>SUM(J415, O415, T415, J416, O416, T416)</f>
        <v>0</v>
      </c>
      <c r="AA415" s="212">
        <f>IF($U415=0, ,Z415/$U415)</f>
        <v>0</v>
      </c>
      <c r="AB415" s="214"/>
    </row>
    <row r="416" spans="1:28" ht="12.75" customHeight="1" x14ac:dyDescent="0.2">
      <c r="A416" s="228"/>
      <c r="B416" s="250"/>
      <c r="C416" s="12"/>
      <c r="D416" s="12"/>
      <c r="E416" s="236"/>
      <c r="F416" s="13"/>
      <c r="G416" s="25">
        <f>F416/$U412</f>
        <v>0</v>
      </c>
      <c r="H416" s="13"/>
      <c r="I416" s="13"/>
      <c r="J416" s="13"/>
      <c r="K416" s="13"/>
      <c r="L416" s="25">
        <f>K416/$U412</f>
        <v>0</v>
      </c>
      <c r="M416" s="13"/>
      <c r="N416" s="13"/>
      <c r="O416" s="13"/>
      <c r="P416" s="13"/>
      <c r="Q416" s="25">
        <f>P416/$U412</f>
        <v>0</v>
      </c>
      <c r="R416" s="13"/>
      <c r="S416" s="13"/>
      <c r="T416" s="13"/>
      <c r="U416" s="211"/>
      <c r="V416" s="211"/>
      <c r="W416" s="213"/>
      <c r="X416" s="211"/>
      <c r="Y416" s="213"/>
      <c r="Z416" s="211"/>
      <c r="AA416" s="213"/>
      <c r="AB416" s="215"/>
    </row>
    <row r="417" spans="1:28" ht="12.75" customHeight="1" x14ac:dyDescent="0.2">
      <c r="A417" s="228"/>
      <c r="B417" s="216" t="s">
        <v>18</v>
      </c>
      <c r="C417" s="10"/>
      <c r="D417" s="10"/>
      <c r="E417" s="218" t="s">
        <v>1</v>
      </c>
      <c r="F417" s="14">
        <v>0</v>
      </c>
      <c r="G417" s="26">
        <f>F417/$U412</f>
        <v>0</v>
      </c>
      <c r="H417" s="14"/>
      <c r="I417" s="14"/>
      <c r="J417" s="14"/>
      <c r="K417" s="14">
        <v>0</v>
      </c>
      <c r="L417" s="26">
        <f>K417/$U412</f>
        <v>0</v>
      </c>
      <c r="M417" s="14"/>
      <c r="N417" s="14"/>
      <c r="O417" s="14"/>
      <c r="P417" s="14"/>
      <c r="Q417" s="26">
        <f>P417/$U412</f>
        <v>0</v>
      </c>
      <c r="R417" s="14"/>
      <c r="S417" s="14"/>
      <c r="T417" s="14"/>
      <c r="U417" s="220">
        <f>SUM(F417, K417, P417, F418, K418, P418)</f>
        <v>0</v>
      </c>
      <c r="V417" s="220">
        <f>SUM(H417, M417, R417, H418, M418, R418)</f>
        <v>0</v>
      </c>
      <c r="W417" s="194">
        <f>IF($U417=0, ,V417/$U417)</f>
        <v>0</v>
      </c>
      <c r="X417" s="220">
        <f>SUM(I417, N417, S417, I418, N418, S418)</f>
        <v>0</v>
      </c>
      <c r="Y417" s="194">
        <f>IF($U417=0, ,X417/$U417)</f>
        <v>0</v>
      </c>
      <c r="Z417" s="220">
        <f>SUM(J417, O417, T417, J418, O418, T418)</f>
        <v>0</v>
      </c>
      <c r="AA417" s="194">
        <f>IF($U417=0, ,Z417/$U417)</f>
        <v>0</v>
      </c>
      <c r="AB417" s="204"/>
    </row>
    <row r="418" spans="1:28" ht="12.75" customHeight="1" x14ac:dyDescent="0.2">
      <c r="A418" s="228"/>
      <c r="B418" s="217"/>
      <c r="C418" s="10"/>
      <c r="D418" s="10"/>
      <c r="E418" s="219"/>
      <c r="F418" s="14"/>
      <c r="G418" s="26">
        <f>F418/$U412</f>
        <v>0</v>
      </c>
      <c r="H418" s="14"/>
      <c r="I418" s="14"/>
      <c r="J418" s="14"/>
      <c r="K418" s="14"/>
      <c r="L418" s="26">
        <f>K418/$U412</f>
        <v>0</v>
      </c>
      <c r="M418" s="14"/>
      <c r="N418" s="14"/>
      <c r="O418" s="14"/>
      <c r="P418" s="14"/>
      <c r="Q418" s="26">
        <f>P418/$U412</f>
        <v>0</v>
      </c>
      <c r="R418" s="14"/>
      <c r="S418" s="14"/>
      <c r="T418" s="14"/>
      <c r="U418" s="221"/>
      <c r="V418" s="221"/>
      <c r="W418" s="195"/>
      <c r="X418" s="221"/>
      <c r="Y418" s="195"/>
      <c r="Z418" s="221"/>
      <c r="AA418" s="195"/>
      <c r="AB418" s="205"/>
    </row>
    <row r="419" spans="1:28" ht="12.75" customHeight="1" x14ac:dyDescent="0.2">
      <c r="A419" s="228"/>
      <c r="B419" s="232" t="s">
        <v>19</v>
      </c>
      <c r="C419" s="9"/>
      <c r="D419" s="9"/>
      <c r="E419" s="208" t="s">
        <v>1</v>
      </c>
      <c r="F419" s="15">
        <v>0</v>
      </c>
      <c r="G419" s="27">
        <f>F419/$U412</f>
        <v>0</v>
      </c>
      <c r="H419" s="15"/>
      <c r="I419" s="15"/>
      <c r="J419" s="15"/>
      <c r="K419" s="15">
        <v>0</v>
      </c>
      <c r="L419" s="27">
        <f>K419/$U412</f>
        <v>0</v>
      </c>
      <c r="M419" s="15"/>
      <c r="N419" s="15"/>
      <c r="O419" s="15"/>
      <c r="P419" s="15"/>
      <c r="Q419" s="27">
        <f>P419/$U412</f>
        <v>0</v>
      </c>
      <c r="R419" s="15"/>
      <c r="S419" s="15"/>
      <c r="T419" s="15"/>
      <c r="U419" s="210">
        <f>SUM(F419, K419, P419, F420, K420, P420)</f>
        <v>0</v>
      </c>
      <c r="V419" s="210">
        <f>SUM(H419, M419, R419, H420, M420, R420)</f>
        <v>0</v>
      </c>
      <c r="W419" s="212">
        <f>IF($U419=0, ,V419/$U419)</f>
        <v>0</v>
      </c>
      <c r="X419" s="210">
        <f>SUM(I419, N419, S419, I420, N420, S420)</f>
        <v>0</v>
      </c>
      <c r="Y419" s="212">
        <f>IF($U419=0, ,X419/$U419)</f>
        <v>0</v>
      </c>
      <c r="Z419" s="210">
        <f>SUM(J419, O419, T419, J420, O420, T420)</f>
        <v>0</v>
      </c>
      <c r="AA419" s="212">
        <f>IF($U419=0, ,Z419/$U419)</f>
        <v>0</v>
      </c>
      <c r="AB419" s="214"/>
    </row>
    <row r="420" spans="1:28" ht="12.75" customHeight="1" x14ac:dyDescent="0.2">
      <c r="A420" s="228"/>
      <c r="B420" s="250"/>
      <c r="C420" s="9"/>
      <c r="D420" s="9"/>
      <c r="E420" s="209"/>
      <c r="F420" s="15"/>
      <c r="G420" s="27">
        <f>F420/$U412</f>
        <v>0</v>
      </c>
      <c r="H420" s="15"/>
      <c r="I420" s="15"/>
      <c r="J420" s="15"/>
      <c r="K420" s="15"/>
      <c r="L420" s="27">
        <f>K420/$U412</f>
        <v>0</v>
      </c>
      <c r="M420" s="15"/>
      <c r="N420" s="15"/>
      <c r="O420" s="15"/>
      <c r="P420" s="15"/>
      <c r="Q420" s="27">
        <f>P420/$U412</f>
        <v>0</v>
      </c>
      <c r="R420" s="15"/>
      <c r="S420" s="15"/>
      <c r="T420" s="15"/>
      <c r="U420" s="211"/>
      <c r="V420" s="211"/>
      <c r="W420" s="213"/>
      <c r="X420" s="211"/>
      <c r="Y420" s="213"/>
      <c r="Z420" s="211"/>
      <c r="AA420" s="213"/>
      <c r="AB420" s="215"/>
    </row>
    <row r="421" spans="1:28" ht="12.75" customHeight="1" x14ac:dyDescent="0.2">
      <c r="A421" s="228"/>
      <c r="B421" s="216" t="s">
        <v>20</v>
      </c>
      <c r="C421" s="10"/>
      <c r="D421" s="10"/>
      <c r="E421" s="218" t="s">
        <v>1</v>
      </c>
      <c r="F421" s="14">
        <v>0</v>
      </c>
      <c r="G421" s="26">
        <f>F421/$U412</f>
        <v>0</v>
      </c>
      <c r="H421" s="14"/>
      <c r="I421" s="14"/>
      <c r="J421" s="14"/>
      <c r="K421" s="14">
        <v>0</v>
      </c>
      <c r="L421" s="26">
        <f>K421/$U412</f>
        <v>0</v>
      </c>
      <c r="M421" s="14"/>
      <c r="N421" s="14"/>
      <c r="O421" s="14"/>
      <c r="P421" s="14"/>
      <c r="Q421" s="26">
        <f>P421/$U412</f>
        <v>0</v>
      </c>
      <c r="R421" s="14"/>
      <c r="S421" s="14"/>
      <c r="T421" s="14"/>
      <c r="U421" s="220">
        <f>SUM(F421, K421, P421, F422, K422, P422)</f>
        <v>0</v>
      </c>
      <c r="V421" s="220">
        <f>SUM(H421, M421, R421, H422, M422, R422)</f>
        <v>0</v>
      </c>
      <c r="W421" s="194">
        <f>IF($U421=0, ,V421/$U421)</f>
        <v>0</v>
      </c>
      <c r="X421" s="220">
        <f>SUM(I421, N421, S421, I422, N422, S422)</f>
        <v>0</v>
      </c>
      <c r="Y421" s="194">
        <f>IF($U421=0, ,X421/$U421)</f>
        <v>0</v>
      </c>
      <c r="Z421" s="220">
        <f>SUM(J421, O421, T421, J422, O422, T422)</f>
        <v>0</v>
      </c>
      <c r="AA421" s="194">
        <f>IF($U421=0, ,Z421/$U421)</f>
        <v>0</v>
      </c>
      <c r="AB421" s="204"/>
    </row>
    <row r="422" spans="1:28" ht="12.75" customHeight="1" x14ac:dyDescent="0.2">
      <c r="A422" s="228"/>
      <c r="B422" s="217"/>
      <c r="C422" s="10"/>
      <c r="D422" s="10"/>
      <c r="E422" s="219"/>
      <c r="F422" s="14"/>
      <c r="G422" s="26">
        <f>F422/$U412</f>
        <v>0</v>
      </c>
      <c r="H422" s="14"/>
      <c r="I422" s="14"/>
      <c r="J422" s="14"/>
      <c r="K422" s="14"/>
      <c r="L422" s="26">
        <f>K422/$U412</f>
        <v>0</v>
      </c>
      <c r="M422" s="14"/>
      <c r="N422" s="14"/>
      <c r="O422" s="14"/>
      <c r="P422" s="14"/>
      <c r="Q422" s="26">
        <f>P422/$U412</f>
        <v>0</v>
      </c>
      <c r="R422" s="14"/>
      <c r="S422" s="14"/>
      <c r="T422" s="14"/>
      <c r="U422" s="221"/>
      <c r="V422" s="221"/>
      <c r="W422" s="195"/>
      <c r="X422" s="221"/>
      <c r="Y422" s="195"/>
      <c r="Z422" s="221"/>
      <c r="AA422" s="195"/>
      <c r="AB422" s="205"/>
    </row>
    <row r="423" spans="1:28" ht="12.75" customHeight="1" x14ac:dyDescent="0.2">
      <c r="A423" s="228"/>
      <c r="B423" s="232" t="s">
        <v>21</v>
      </c>
      <c r="C423" s="9"/>
      <c r="D423" s="9"/>
      <c r="E423" s="208" t="s">
        <v>1</v>
      </c>
      <c r="F423" s="15">
        <v>0</v>
      </c>
      <c r="G423" s="27">
        <f>F423/$U412</f>
        <v>0</v>
      </c>
      <c r="H423" s="15"/>
      <c r="I423" s="15"/>
      <c r="J423" s="15"/>
      <c r="K423" s="15">
        <v>0</v>
      </c>
      <c r="L423" s="27">
        <f>K423/$U412</f>
        <v>0</v>
      </c>
      <c r="M423" s="15"/>
      <c r="N423" s="15"/>
      <c r="O423" s="15"/>
      <c r="P423" s="15"/>
      <c r="Q423" s="27">
        <f>P423/$U412</f>
        <v>0</v>
      </c>
      <c r="R423" s="15"/>
      <c r="S423" s="15"/>
      <c r="T423" s="15"/>
      <c r="U423" s="210">
        <f>SUM(F423, K423, P423, F424, K424, P424)</f>
        <v>0</v>
      </c>
      <c r="V423" s="210">
        <f>SUM(H423, M423, R423, H424, M424, R424)</f>
        <v>0</v>
      </c>
      <c r="W423" s="212">
        <f>IF($U423=0, ,V423/$U423)</f>
        <v>0</v>
      </c>
      <c r="X423" s="210">
        <f>SUM(I423, N423, S423, I424, N424, S424)</f>
        <v>0</v>
      </c>
      <c r="Y423" s="212">
        <f>IF($U423=0, ,X423/$U423)</f>
        <v>0</v>
      </c>
      <c r="Z423" s="210">
        <f>SUM(J423, O423, T423, J424, O424, T424)</f>
        <v>0</v>
      </c>
      <c r="AA423" s="212">
        <f>IF($U423=0, ,Z423/$U423)</f>
        <v>0</v>
      </c>
      <c r="AB423" s="214"/>
    </row>
    <row r="424" spans="1:28" ht="12.75" customHeight="1" x14ac:dyDescent="0.2">
      <c r="A424" s="228"/>
      <c r="B424" s="250"/>
      <c r="C424" s="9"/>
      <c r="D424" s="9"/>
      <c r="E424" s="209"/>
      <c r="F424" s="15"/>
      <c r="G424" s="27">
        <f>F424/$U412</f>
        <v>0</v>
      </c>
      <c r="H424" s="15"/>
      <c r="I424" s="15"/>
      <c r="J424" s="15"/>
      <c r="K424" s="15"/>
      <c r="L424" s="27">
        <f>K424/$U412</f>
        <v>0</v>
      </c>
      <c r="M424" s="15"/>
      <c r="N424" s="15"/>
      <c r="O424" s="15"/>
      <c r="P424" s="15"/>
      <c r="Q424" s="27">
        <f>P424/$U412</f>
        <v>0</v>
      </c>
      <c r="R424" s="15"/>
      <c r="S424" s="15"/>
      <c r="T424" s="15"/>
      <c r="U424" s="211"/>
      <c r="V424" s="211"/>
      <c r="W424" s="213"/>
      <c r="X424" s="211"/>
      <c r="Y424" s="213"/>
      <c r="Z424" s="211"/>
      <c r="AA424" s="213"/>
      <c r="AB424" s="215"/>
    </row>
    <row r="425" spans="1:28" ht="12.75" customHeight="1" x14ac:dyDescent="0.2">
      <c r="A425" s="228"/>
      <c r="B425" s="216" t="s">
        <v>22</v>
      </c>
      <c r="C425" s="11"/>
      <c r="D425" s="11"/>
      <c r="E425" s="191" t="s">
        <v>1</v>
      </c>
      <c r="F425" s="16">
        <v>0</v>
      </c>
      <c r="G425" s="28">
        <f>F425/$U412</f>
        <v>0</v>
      </c>
      <c r="H425" s="16"/>
      <c r="I425" s="16"/>
      <c r="J425" s="16"/>
      <c r="K425" s="16">
        <v>0</v>
      </c>
      <c r="L425" s="28">
        <f>K425/$U412</f>
        <v>0</v>
      </c>
      <c r="M425" s="16"/>
      <c r="N425" s="16"/>
      <c r="O425" s="16"/>
      <c r="P425" s="16"/>
      <c r="Q425" s="28">
        <f>P425/$U412</f>
        <v>0</v>
      </c>
      <c r="R425" s="16"/>
      <c r="S425" s="16"/>
      <c r="T425" s="16"/>
      <c r="U425" s="220">
        <f>SUM(F425, K425, P425, F426, K426, P426)</f>
        <v>0</v>
      </c>
      <c r="V425" s="220">
        <f>SUM(H425, M425, R425, H426, M426, R426)</f>
        <v>0</v>
      </c>
      <c r="W425" s="194">
        <f>IF($U425=0, ,V425/$U425)</f>
        <v>0</v>
      </c>
      <c r="X425" s="220">
        <f>SUM(I425, N425, S425, I426, N426, S426)</f>
        <v>0</v>
      </c>
      <c r="Y425" s="194">
        <f>IF($U425=0, ,X425/$U425)</f>
        <v>0</v>
      </c>
      <c r="Z425" s="220">
        <f>SUM(J425, O425, T425, J426, O426, T426)</f>
        <v>0</v>
      </c>
      <c r="AA425" s="194">
        <f>IF($U425=0, ,Z425/$U425)</f>
        <v>0</v>
      </c>
      <c r="AB425" s="204"/>
    </row>
    <row r="426" spans="1:28" ht="12.75" customHeight="1" x14ac:dyDescent="0.2">
      <c r="A426" s="228"/>
      <c r="B426" s="217"/>
      <c r="C426" s="11"/>
      <c r="D426" s="11"/>
      <c r="E426" s="192"/>
      <c r="F426" s="16"/>
      <c r="G426" s="28">
        <f>F426/$U412</f>
        <v>0</v>
      </c>
      <c r="H426" s="16"/>
      <c r="I426" s="16"/>
      <c r="J426" s="16"/>
      <c r="K426" s="16"/>
      <c r="L426" s="28">
        <f>K426/$U412</f>
        <v>0</v>
      </c>
      <c r="M426" s="16"/>
      <c r="N426" s="16"/>
      <c r="O426" s="16"/>
      <c r="P426" s="16"/>
      <c r="Q426" s="28">
        <f>P426/$U412</f>
        <v>0</v>
      </c>
      <c r="R426" s="16"/>
      <c r="S426" s="16"/>
      <c r="T426" s="16"/>
      <c r="U426" s="221"/>
      <c r="V426" s="221"/>
      <c r="W426" s="195"/>
      <c r="X426" s="221"/>
      <c r="Y426" s="195"/>
      <c r="Z426" s="221"/>
      <c r="AA426" s="195"/>
      <c r="AB426" s="205"/>
    </row>
    <row r="427" spans="1:28" ht="13.5" customHeight="1" thickBot="1" x14ac:dyDescent="0.25">
      <c r="A427" s="228"/>
      <c r="B427" s="56"/>
      <c r="C427" s="56"/>
      <c r="D427" s="56"/>
      <c r="E427" s="56"/>
      <c r="F427" s="57"/>
      <c r="G427" s="58"/>
      <c r="H427" s="57"/>
      <c r="I427" s="57"/>
      <c r="J427" s="57"/>
      <c r="K427" s="57"/>
      <c r="L427" s="58"/>
      <c r="M427" s="57"/>
      <c r="N427" s="57"/>
      <c r="O427" s="57"/>
      <c r="P427" s="57"/>
      <c r="Q427" s="58"/>
      <c r="R427" s="57"/>
      <c r="S427" s="57"/>
      <c r="T427" s="60" t="s">
        <v>59</v>
      </c>
      <c r="U427" s="61">
        <f>SUM(U415:U426)</f>
        <v>0</v>
      </c>
      <c r="V427" s="61">
        <f>SUM(V415:V426)</f>
        <v>0</v>
      </c>
      <c r="W427" s="62">
        <f>IF($U427=0, ,V427/$U427)</f>
        <v>0</v>
      </c>
      <c r="X427" s="61">
        <f>SUM(X415:X426)</f>
        <v>0</v>
      </c>
      <c r="Y427" s="62">
        <f>IF($U427=0, ,X427/$U427)</f>
        <v>0</v>
      </c>
      <c r="Z427" s="61">
        <f>SUM(Z415:Z426)</f>
        <v>0</v>
      </c>
      <c r="AA427" s="62">
        <f>IF($U427=0, ,Z427/$U427)</f>
        <v>0</v>
      </c>
      <c r="AB427" s="59"/>
    </row>
    <row r="428" spans="1:28" ht="13.5" customHeight="1" thickTop="1" x14ac:dyDescent="0.2">
      <c r="A428" s="228"/>
      <c r="B428" s="44"/>
      <c r="C428" s="45" t="s">
        <v>27</v>
      </c>
      <c r="D428" s="23"/>
      <c r="E428" s="44"/>
      <c r="F428" s="44"/>
      <c r="G428" s="44"/>
      <c r="H428" s="44"/>
      <c r="I428" s="44"/>
      <c r="J428" s="44"/>
      <c r="K428" s="44"/>
      <c r="L428" s="44"/>
      <c r="M428" s="44"/>
      <c r="N428" s="44"/>
      <c r="O428" s="93">
        <v>320</v>
      </c>
      <c r="P428" s="94" t="s">
        <v>33</v>
      </c>
      <c r="Q428" s="44"/>
      <c r="R428" s="44"/>
      <c r="S428" s="44"/>
      <c r="T428" s="44"/>
      <c r="U428" s="44"/>
      <c r="V428" s="44"/>
      <c r="W428" s="44"/>
      <c r="X428" s="44"/>
      <c r="Y428" s="44"/>
      <c r="Z428" s="44"/>
      <c r="AA428" s="44"/>
      <c r="AB428" s="46"/>
    </row>
    <row r="429" spans="1:28" ht="12.75" customHeight="1" x14ac:dyDescent="0.2">
      <c r="A429" s="228"/>
      <c r="B429" s="229" t="s">
        <v>35</v>
      </c>
      <c r="C429" s="230" t="s">
        <v>25</v>
      </c>
      <c r="D429" s="230" t="s">
        <v>28</v>
      </c>
      <c r="E429" s="237" t="s">
        <v>12</v>
      </c>
      <c r="F429" s="241" t="s">
        <v>13</v>
      </c>
      <c r="G429" s="241"/>
      <c r="H429" s="241"/>
      <c r="I429" s="241" t="s">
        <v>14</v>
      </c>
      <c r="J429" s="241"/>
      <c r="K429" s="241"/>
      <c r="L429" s="241" t="s">
        <v>15</v>
      </c>
      <c r="M429" s="241"/>
      <c r="N429" s="241"/>
      <c r="O429" s="225" t="s">
        <v>34</v>
      </c>
      <c r="P429" s="225" t="s">
        <v>48</v>
      </c>
      <c r="Q429" s="225" t="s">
        <v>60</v>
      </c>
      <c r="R429" s="225" t="s">
        <v>49</v>
      </c>
      <c r="S429" s="225" t="s">
        <v>61</v>
      </c>
      <c r="T429" s="251"/>
      <c r="U429" s="251"/>
      <c r="V429" s="251"/>
      <c r="W429" s="251"/>
      <c r="X429" s="251"/>
      <c r="Y429" s="251"/>
      <c r="Z429" s="251"/>
      <c r="AA429" s="251"/>
      <c r="AB429" s="252"/>
    </row>
    <row r="430" spans="1:28" ht="25.5" customHeight="1" x14ac:dyDescent="0.2">
      <c r="A430" s="228"/>
      <c r="B430" s="229"/>
      <c r="C430" s="230"/>
      <c r="D430" s="230"/>
      <c r="E430" s="237"/>
      <c r="F430" s="18" t="s">
        <v>30</v>
      </c>
      <c r="G430" s="18" t="s">
        <v>46</v>
      </c>
      <c r="H430" s="18" t="s">
        <v>47</v>
      </c>
      <c r="I430" s="18" t="s">
        <v>30</v>
      </c>
      <c r="J430" s="18" t="s">
        <v>46</v>
      </c>
      <c r="K430" s="18" t="s">
        <v>47</v>
      </c>
      <c r="L430" s="18" t="s">
        <v>30</v>
      </c>
      <c r="M430" s="18" t="s">
        <v>46</v>
      </c>
      <c r="N430" s="18" t="s">
        <v>47</v>
      </c>
      <c r="O430" s="227"/>
      <c r="P430" s="227"/>
      <c r="Q430" s="227"/>
      <c r="R430" s="227"/>
      <c r="S430" s="227"/>
      <c r="T430" s="253"/>
      <c r="U430" s="253"/>
      <c r="V430" s="253"/>
      <c r="W430" s="253"/>
      <c r="X430" s="253"/>
      <c r="Y430" s="253"/>
      <c r="Z430" s="253"/>
      <c r="AA430" s="253"/>
      <c r="AB430" s="254"/>
    </row>
    <row r="431" spans="1:28" ht="12.75" customHeight="1" x14ac:dyDescent="0.2">
      <c r="A431" s="228"/>
      <c r="B431" s="242" t="s">
        <v>36</v>
      </c>
      <c r="C431" s="12">
        <v>21284</v>
      </c>
      <c r="D431" s="12" t="s">
        <v>95</v>
      </c>
      <c r="E431" s="243" t="s">
        <v>1</v>
      </c>
      <c r="F431" s="13">
        <v>21</v>
      </c>
      <c r="G431" s="13">
        <v>0</v>
      </c>
      <c r="H431" s="13">
        <v>0</v>
      </c>
      <c r="I431" s="13">
        <v>17</v>
      </c>
      <c r="J431" s="13"/>
      <c r="K431" s="13"/>
      <c r="L431" s="13"/>
      <c r="M431" s="13">
        <f>H436+K436+N436+Q436+T436+W436+Z436</f>
        <v>0</v>
      </c>
      <c r="N431" s="13">
        <f>H437+K437+N437+Q437+T437+W437+Z437</f>
        <v>0</v>
      </c>
      <c r="O431" s="210">
        <f>SUM(F431, I431, L431, F432, I432, L432)*$O428</f>
        <v>12160</v>
      </c>
      <c r="P431" s="210">
        <f>SUM(G431, J431, M431, G432, J432, M432)</f>
        <v>0</v>
      </c>
      <c r="Q431" s="212">
        <f>IF($O431=0, ,P431/$O431)</f>
        <v>0</v>
      </c>
      <c r="R431" s="210">
        <f>SUM(H431, K431, N431, H432, K432, N432)</f>
        <v>0</v>
      </c>
      <c r="S431" s="212">
        <f>IF($O431=0, ,R431/$O431)</f>
        <v>0</v>
      </c>
      <c r="T431" s="244"/>
      <c r="U431" s="244"/>
      <c r="V431" s="244"/>
      <c r="W431" s="244"/>
      <c r="X431" s="244"/>
      <c r="Y431" s="244"/>
      <c r="Z431" s="244"/>
      <c r="AA431" s="244"/>
      <c r="AB431" s="245"/>
    </row>
    <row r="432" spans="1:28" ht="12.75" customHeight="1" x14ac:dyDescent="0.2">
      <c r="A432" s="228"/>
      <c r="B432" s="242"/>
      <c r="C432" s="12"/>
      <c r="D432" s="12"/>
      <c r="E432" s="243"/>
      <c r="F432" s="13"/>
      <c r="G432" s="13">
        <f>F438+I438+L438+O438+R438+U438+X438</f>
        <v>0</v>
      </c>
      <c r="H432" s="13">
        <f>F439+I439+L439+O439+R439+U439+X439</f>
        <v>0</v>
      </c>
      <c r="I432" s="13"/>
      <c r="J432" s="13">
        <f>G438+J438+M438+P438+S438+V438+Y438</f>
        <v>0</v>
      </c>
      <c r="K432" s="13">
        <f>G439+J439+M439+P439+S439+V439+Y439</f>
        <v>0</v>
      </c>
      <c r="L432" s="13"/>
      <c r="M432" s="13">
        <f>H438+K438+N438+Q438+T438+W438+Z438</f>
        <v>0</v>
      </c>
      <c r="N432" s="13">
        <f>H439+K439+N439+Q439+T439+W439+Z439</f>
        <v>0</v>
      </c>
      <c r="O432" s="211"/>
      <c r="P432" s="211"/>
      <c r="Q432" s="213"/>
      <c r="R432" s="211"/>
      <c r="S432" s="213"/>
      <c r="T432" s="246"/>
      <c r="U432" s="246"/>
      <c r="V432" s="246"/>
      <c r="W432" s="246"/>
      <c r="X432" s="246"/>
      <c r="Y432" s="246"/>
      <c r="Z432" s="246"/>
      <c r="AA432" s="246"/>
      <c r="AB432" s="247"/>
    </row>
    <row r="433" spans="1:28" ht="12.75" customHeight="1" x14ac:dyDescent="0.2">
      <c r="A433" s="228"/>
      <c r="B433" s="56"/>
      <c r="C433" s="56"/>
      <c r="D433" s="56"/>
      <c r="E433" s="56"/>
      <c r="F433" s="89"/>
      <c r="G433" s="89"/>
      <c r="H433" s="89"/>
      <c r="I433" s="89"/>
      <c r="J433" s="89"/>
      <c r="K433" s="89"/>
      <c r="L433" s="89"/>
      <c r="M433" s="89"/>
      <c r="N433" s="89"/>
      <c r="O433" s="90"/>
      <c r="P433" s="90"/>
      <c r="Q433" s="91"/>
      <c r="R433" s="90"/>
      <c r="S433" s="91"/>
      <c r="T433" s="92"/>
      <c r="U433" s="92"/>
      <c r="V433" s="92"/>
      <c r="W433" s="92"/>
      <c r="X433" s="92"/>
      <c r="Y433" s="92"/>
      <c r="Z433" s="92"/>
      <c r="AA433" s="92"/>
      <c r="AB433" s="95"/>
    </row>
    <row r="434" spans="1:28" ht="12.75" customHeight="1" x14ac:dyDescent="0.2">
      <c r="A434" s="228"/>
      <c r="B434" s="256" t="s">
        <v>67</v>
      </c>
      <c r="C434" s="256"/>
      <c r="D434" s="257"/>
      <c r="E434" s="82" t="s">
        <v>68</v>
      </c>
      <c r="F434" s="248" t="s">
        <v>64</v>
      </c>
      <c r="G434" s="248"/>
      <c r="H434" s="248"/>
      <c r="I434" s="248" t="s">
        <v>76</v>
      </c>
      <c r="J434" s="248"/>
      <c r="K434" s="248"/>
      <c r="L434" s="248" t="s">
        <v>65</v>
      </c>
      <c r="M434" s="248"/>
      <c r="N434" s="248"/>
      <c r="O434" s="248" t="s">
        <v>66</v>
      </c>
      <c r="P434" s="248"/>
      <c r="Q434" s="248"/>
      <c r="R434" s="248" t="s">
        <v>73</v>
      </c>
      <c r="S434" s="248"/>
      <c r="T434" s="248"/>
      <c r="U434" s="248" t="s">
        <v>74</v>
      </c>
      <c r="V434" s="248"/>
      <c r="W434" s="248"/>
      <c r="X434" s="248" t="s">
        <v>75</v>
      </c>
      <c r="Y434" s="248"/>
      <c r="Z434" s="248"/>
      <c r="AA434" s="249"/>
      <c r="AB434" s="249"/>
    </row>
    <row r="435" spans="1:28" ht="12.75" customHeight="1" x14ac:dyDescent="0.2">
      <c r="A435" s="228"/>
      <c r="B435" s="258"/>
      <c r="C435" s="258"/>
      <c r="D435" s="259"/>
      <c r="E435" s="97" t="s">
        <v>69</v>
      </c>
      <c r="F435" s="83" t="s">
        <v>70</v>
      </c>
      <c r="G435" s="83" t="s">
        <v>71</v>
      </c>
      <c r="H435" s="84" t="s">
        <v>72</v>
      </c>
      <c r="I435" s="83" t="s">
        <v>70</v>
      </c>
      <c r="J435" s="83" t="s">
        <v>71</v>
      </c>
      <c r="K435" s="84" t="s">
        <v>72</v>
      </c>
      <c r="L435" s="83" t="s">
        <v>70</v>
      </c>
      <c r="M435" s="83" t="s">
        <v>71</v>
      </c>
      <c r="N435" s="84" t="s">
        <v>72</v>
      </c>
      <c r="O435" s="83" t="s">
        <v>70</v>
      </c>
      <c r="P435" s="83" t="s">
        <v>71</v>
      </c>
      <c r="Q435" s="84" t="s">
        <v>72</v>
      </c>
      <c r="R435" s="83" t="s">
        <v>70</v>
      </c>
      <c r="S435" s="83" t="s">
        <v>71</v>
      </c>
      <c r="T435" s="84" t="s">
        <v>72</v>
      </c>
      <c r="U435" s="83" t="s">
        <v>70</v>
      </c>
      <c r="V435" s="83" t="s">
        <v>71</v>
      </c>
      <c r="W435" s="84" t="s">
        <v>72</v>
      </c>
      <c r="X435" s="83" t="s">
        <v>70</v>
      </c>
      <c r="Y435" s="83" t="s">
        <v>71</v>
      </c>
      <c r="Z435" s="84" t="s">
        <v>72</v>
      </c>
      <c r="AA435" s="249"/>
      <c r="AB435" s="249"/>
    </row>
    <row r="436" spans="1:28" ht="12.75" customHeight="1" x14ac:dyDescent="0.2">
      <c r="A436" s="228"/>
      <c r="B436" s="260" t="str">
        <f>B431</f>
        <v>Final ASS</v>
      </c>
      <c r="C436" s="82">
        <f>IF(ISBLANK(C431), "", C431)</f>
        <v>21284</v>
      </c>
      <c r="D436" s="96" t="str">
        <f>IF(ISBLANK(D431), "", D431)</f>
        <v>unilever</v>
      </c>
      <c r="E436" s="82" t="s">
        <v>77</v>
      </c>
      <c r="F436" s="86"/>
      <c r="G436" s="85"/>
      <c r="H436" s="85"/>
      <c r="I436" s="85"/>
      <c r="J436" s="85"/>
      <c r="K436" s="85"/>
      <c r="L436" s="87"/>
      <c r="M436" s="87"/>
      <c r="N436" s="87"/>
      <c r="O436" s="87"/>
      <c r="P436" s="87"/>
      <c r="Q436" s="85"/>
      <c r="R436" s="87"/>
      <c r="S436" s="87"/>
      <c r="T436" s="87"/>
      <c r="U436" s="87"/>
      <c r="V436" s="87"/>
      <c r="W436" s="85"/>
      <c r="X436" s="85"/>
      <c r="Y436" s="85"/>
      <c r="Z436" s="88"/>
      <c r="AA436" s="249"/>
      <c r="AB436" s="249"/>
    </row>
    <row r="437" spans="1:28" ht="12.75" customHeight="1" x14ac:dyDescent="0.2">
      <c r="A437" s="228"/>
      <c r="B437" s="260"/>
      <c r="C437" s="82">
        <f>IF(ISBLANK(C431), "", C431)</f>
        <v>21284</v>
      </c>
      <c r="D437" s="96" t="str">
        <f>IF(ISBLANK(D431), "", D431)</f>
        <v>unilever</v>
      </c>
      <c r="E437" s="82" t="s">
        <v>78</v>
      </c>
      <c r="F437" s="86"/>
      <c r="G437" s="85"/>
      <c r="H437" s="85"/>
      <c r="I437" s="85"/>
      <c r="J437" s="85"/>
      <c r="K437" s="85"/>
      <c r="L437" s="87"/>
      <c r="M437" s="87"/>
      <c r="N437" s="87"/>
      <c r="O437" s="87"/>
      <c r="P437" s="87"/>
      <c r="Q437" s="85"/>
      <c r="R437" s="87"/>
      <c r="S437" s="87"/>
      <c r="T437" s="87"/>
      <c r="U437" s="87"/>
      <c r="V437" s="87"/>
      <c r="W437" s="85"/>
      <c r="X437" s="85"/>
      <c r="Y437" s="85"/>
      <c r="Z437" s="88"/>
      <c r="AA437" s="249"/>
      <c r="AB437" s="249"/>
    </row>
    <row r="438" spans="1:28" ht="12.75" customHeight="1" x14ac:dyDescent="0.2">
      <c r="A438" s="228"/>
      <c r="B438" s="260"/>
      <c r="C438" s="82" t="str">
        <f>IF(ISBLANK(C432), "", C432)</f>
        <v/>
      </c>
      <c r="D438" s="96" t="str">
        <f>IF(ISBLANK(D432), "", D432)</f>
        <v/>
      </c>
      <c r="E438" s="82" t="s">
        <v>77</v>
      </c>
      <c r="F438" s="86"/>
      <c r="G438" s="85"/>
      <c r="H438" s="85"/>
      <c r="I438" s="85"/>
      <c r="J438" s="85"/>
      <c r="K438" s="85"/>
      <c r="L438" s="87"/>
      <c r="M438" s="87"/>
      <c r="N438" s="87"/>
      <c r="O438" s="87"/>
      <c r="P438" s="87"/>
      <c r="Q438" s="85"/>
      <c r="R438" s="87"/>
      <c r="S438" s="87"/>
      <c r="T438" s="87"/>
      <c r="U438" s="87"/>
      <c r="V438" s="87"/>
      <c r="W438" s="85"/>
      <c r="X438" s="85"/>
      <c r="Y438" s="85"/>
      <c r="Z438" s="88"/>
      <c r="AA438" s="249"/>
      <c r="AB438" s="249"/>
    </row>
    <row r="439" spans="1:28" ht="12.75" customHeight="1" x14ac:dyDescent="0.2">
      <c r="A439" s="228"/>
      <c r="B439" s="260"/>
      <c r="C439" s="82" t="str">
        <f>IF(ISBLANK(C432), "", C432)</f>
        <v/>
      </c>
      <c r="D439" s="96" t="str">
        <f>IF(ISBLANK(D432), "", D432)</f>
        <v/>
      </c>
      <c r="E439" s="82" t="s">
        <v>78</v>
      </c>
      <c r="F439" s="86"/>
      <c r="G439" s="85"/>
      <c r="H439" s="85"/>
      <c r="I439" s="85"/>
      <c r="J439" s="85"/>
      <c r="K439" s="85"/>
      <c r="L439" s="87"/>
      <c r="M439" s="87"/>
      <c r="N439" s="87"/>
      <c r="O439" s="87"/>
      <c r="P439" s="87"/>
      <c r="Q439" s="85"/>
      <c r="R439" s="87"/>
      <c r="S439" s="87"/>
      <c r="T439" s="87"/>
      <c r="U439" s="87"/>
      <c r="V439" s="87"/>
      <c r="W439" s="85"/>
      <c r="X439" s="85"/>
      <c r="Y439" s="85"/>
      <c r="Z439" s="88"/>
      <c r="AA439" s="249"/>
      <c r="AB439" s="249"/>
    </row>
    <row r="441" spans="1:28" x14ac:dyDescent="0.2">
      <c r="A441" s="228">
        <v>44728</v>
      </c>
      <c r="B441" s="19"/>
      <c r="C441" s="19" t="s">
        <v>42</v>
      </c>
      <c r="D441" s="20"/>
      <c r="E441" s="21" t="s">
        <v>41</v>
      </c>
      <c r="F441" s="20">
        <v>0</v>
      </c>
      <c r="G441" s="20"/>
      <c r="H441" s="20"/>
      <c r="I441" s="21"/>
      <c r="J441" s="21"/>
      <c r="K441" s="32"/>
      <c r="L441" s="32"/>
      <c r="M441" s="20"/>
      <c r="N441" s="21"/>
      <c r="O441" s="21"/>
      <c r="P441" s="32"/>
      <c r="Q441" s="32"/>
      <c r="R441" s="20"/>
      <c r="S441" s="21"/>
      <c r="T441" s="21"/>
      <c r="U441" s="41">
        <v>160</v>
      </c>
      <c r="V441" s="42" t="s">
        <v>32</v>
      </c>
      <c r="W441" s="42"/>
      <c r="X441" s="43"/>
      <c r="Y441" s="31"/>
      <c r="Z441" s="31"/>
      <c r="AA441" s="31"/>
      <c r="AB441" s="33"/>
    </row>
    <row r="442" spans="1:28" x14ac:dyDescent="0.2">
      <c r="A442" s="228"/>
      <c r="B442" s="229" t="s">
        <v>10</v>
      </c>
      <c r="C442" s="230" t="s">
        <v>25</v>
      </c>
      <c r="D442" s="230" t="s">
        <v>28</v>
      </c>
      <c r="E442" s="237" t="s">
        <v>12</v>
      </c>
      <c r="F442" s="222" t="s">
        <v>13</v>
      </c>
      <c r="G442" s="223"/>
      <c r="H442" s="223"/>
      <c r="I442" s="223"/>
      <c r="J442" s="224"/>
      <c r="K442" s="222" t="s">
        <v>14</v>
      </c>
      <c r="L442" s="223"/>
      <c r="M442" s="223"/>
      <c r="N442" s="223"/>
      <c r="O442" s="224"/>
      <c r="P442" s="222" t="s">
        <v>15</v>
      </c>
      <c r="Q442" s="223"/>
      <c r="R442" s="223"/>
      <c r="S442" s="223"/>
      <c r="T442" s="224"/>
      <c r="U442" s="255" t="s">
        <v>34</v>
      </c>
      <c r="V442" s="255" t="s">
        <v>48</v>
      </c>
      <c r="W442" s="255" t="s">
        <v>56</v>
      </c>
      <c r="X442" s="255" t="s">
        <v>54</v>
      </c>
      <c r="Y442" s="255" t="s">
        <v>57</v>
      </c>
      <c r="Z442" s="255" t="s">
        <v>55</v>
      </c>
      <c r="AA442" s="255" t="s">
        <v>58</v>
      </c>
      <c r="AB442" s="255" t="s">
        <v>38</v>
      </c>
    </row>
    <row r="443" spans="1:28" ht="38.25" x14ac:dyDescent="0.2">
      <c r="A443" s="228"/>
      <c r="B443" s="229"/>
      <c r="C443" s="230"/>
      <c r="D443" s="230"/>
      <c r="E443" s="237"/>
      <c r="F443" s="18" t="s">
        <v>45</v>
      </c>
      <c r="G443" s="18" t="s">
        <v>29</v>
      </c>
      <c r="H443" s="18" t="s">
        <v>46</v>
      </c>
      <c r="I443" s="18" t="s">
        <v>52</v>
      </c>
      <c r="J443" s="18" t="s">
        <v>53</v>
      </c>
      <c r="K443" s="18" t="s">
        <v>45</v>
      </c>
      <c r="L443" s="18" t="s">
        <v>29</v>
      </c>
      <c r="M443" s="18" t="s">
        <v>46</v>
      </c>
      <c r="N443" s="18" t="s">
        <v>52</v>
      </c>
      <c r="O443" s="18" t="s">
        <v>53</v>
      </c>
      <c r="P443" s="18" t="s">
        <v>45</v>
      </c>
      <c r="Q443" s="18" t="s">
        <v>29</v>
      </c>
      <c r="R443" s="18" t="s">
        <v>46</v>
      </c>
      <c r="S443" s="18" t="s">
        <v>52</v>
      </c>
      <c r="T443" s="18" t="s">
        <v>53</v>
      </c>
      <c r="U443" s="255"/>
      <c r="V443" s="255"/>
      <c r="W443" s="255"/>
      <c r="X443" s="255"/>
      <c r="Y443" s="255"/>
      <c r="Z443" s="255"/>
      <c r="AA443" s="255"/>
      <c r="AB443" s="255"/>
    </row>
    <row r="444" spans="1:28" x14ac:dyDescent="0.2">
      <c r="A444" s="228"/>
      <c r="B444" s="232" t="s">
        <v>17</v>
      </c>
      <c r="C444" s="12"/>
      <c r="D444" s="12"/>
      <c r="E444" s="234" t="s">
        <v>1</v>
      </c>
      <c r="F444" s="13">
        <v>0</v>
      </c>
      <c r="G444" s="25">
        <f>F444/$U441</f>
        <v>0</v>
      </c>
      <c r="H444" s="13"/>
      <c r="I444" s="13"/>
      <c r="J444" s="13"/>
      <c r="K444" s="13">
        <v>0</v>
      </c>
      <c r="L444" s="25">
        <f>K444/$U441</f>
        <v>0</v>
      </c>
      <c r="M444" s="13"/>
      <c r="N444" s="13"/>
      <c r="O444" s="13"/>
      <c r="P444" s="13"/>
      <c r="Q444" s="25">
        <f>P444/$U441</f>
        <v>0</v>
      </c>
      <c r="R444" s="13"/>
      <c r="S444" s="13"/>
      <c r="T444" s="13"/>
      <c r="U444" s="210">
        <f>SUM(F444, K444, P444, F445, K445, P445)</f>
        <v>0</v>
      </c>
      <c r="V444" s="210">
        <f>SUM(H444, M444, R444, H445, M445, R445)</f>
        <v>0</v>
      </c>
      <c r="W444" s="212">
        <f>IF($U444=0, ,V444/$U444)</f>
        <v>0</v>
      </c>
      <c r="X444" s="210">
        <f>SUM(I444, N444, S444, I445, N445, S445)</f>
        <v>0</v>
      </c>
      <c r="Y444" s="212">
        <f>IF($U444=0, ,X444/$U444)</f>
        <v>0</v>
      </c>
      <c r="Z444" s="210">
        <f>SUM(J444, O444, T444, J445, O445, T445)</f>
        <v>0</v>
      </c>
      <c r="AA444" s="212">
        <f>IF($U444=0, ,Z444/$U444)</f>
        <v>0</v>
      </c>
      <c r="AB444" s="214"/>
    </row>
    <row r="445" spans="1:28" x14ac:dyDescent="0.2">
      <c r="A445" s="228"/>
      <c r="B445" s="250"/>
      <c r="C445" s="12"/>
      <c r="D445" s="12"/>
      <c r="E445" s="236"/>
      <c r="F445" s="13"/>
      <c r="G445" s="25">
        <f>F445/$U441</f>
        <v>0</v>
      </c>
      <c r="H445" s="13"/>
      <c r="I445" s="13"/>
      <c r="J445" s="13"/>
      <c r="K445" s="13"/>
      <c r="L445" s="25">
        <f>K445/$U441</f>
        <v>0</v>
      </c>
      <c r="M445" s="13"/>
      <c r="N445" s="13"/>
      <c r="O445" s="13"/>
      <c r="P445" s="13"/>
      <c r="Q445" s="25">
        <f>P445/$U441</f>
        <v>0</v>
      </c>
      <c r="R445" s="13"/>
      <c r="S445" s="13"/>
      <c r="T445" s="13"/>
      <c r="U445" s="211"/>
      <c r="V445" s="211"/>
      <c r="W445" s="213"/>
      <c r="X445" s="211"/>
      <c r="Y445" s="213"/>
      <c r="Z445" s="211"/>
      <c r="AA445" s="213"/>
      <c r="AB445" s="215"/>
    </row>
    <row r="446" spans="1:28" x14ac:dyDescent="0.2">
      <c r="A446" s="228"/>
      <c r="B446" s="216" t="s">
        <v>18</v>
      </c>
      <c r="C446" s="10"/>
      <c r="D446" s="10"/>
      <c r="E446" s="218" t="s">
        <v>1</v>
      </c>
      <c r="F446" s="14">
        <v>0</v>
      </c>
      <c r="G446" s="26">
        <f>F446/$U441</f>
        <v>0</v>
      </c>
      <c r="H446" s="14"/>
      <c r="I446" s="14"/>
      <c r="J446" s="14"/>
      <c r="K446" s="14">
        <v>0</v>
      </c>
      <c r="L446" s="26">
        <f>K446/$U441</f>
        <v>0</v>
      </c>
      <c r="M446" s="14"/>
      <c r="N446" s="14"/>
      <c r="O446" s="14"/>
      <c r="P446" s="14"/>
      <c r="Q446" s="26">
        <f>P446/$U441</f>
        <v>0</v>
      </c>
      <c r="R446" s="14"/>
      <c r="S446" s="14"/>
      <c r="T446" s="14"/>
      <c r="U446" s="220">
        <f>SUM(F446, K446, P446, F447, K447, P447)</f>
        <v>0</v>
      </c>
      <c r="V446" s="220">
        <f>SUM(H446, M446, R446, H447, M447, R447)</f>
        <v>0</v>
      </c>
      <c r="W446" s="194">
        <f>IF($U446=0, ,V446/$U446)</f>
        <v>0</v>
      </c>
      <c r="X446" s="220">
        <f>SUM(I446, N446, S446, I447, N447, S447)</f>
        <v>0</v>
      </c>
      <c r="Y446" s="194">
        <f>IF($U446=0, ,X446/$U446)</f>
        <v>0</v>
      </c>
      <c r="Z446" s="220">
        <f>SUM(J446, O446, T446, J447, O447, T447)</f>
        <v>0</v>
      </c>
      <c r="AA446" s="194">
        <f>IF($U446=0, ,Z446/$U446)</f>
        <v>0</v>
      </c>
      <c r="AB446" s="204"/>
    </row>
    <row r="447" spans="1:28" x14ac:dyDescent="0.2">
      <c r="A447" s="228"/>
      <c r="B447" s="217"/>
      <c r="C447" s="10"/>
      <c r="D447" s="10"/>
      <c r="E447" s="219"/>
      <c r="F447" s="14"/>
      <c r="G447" s="26">
        <f>F447/$U441</f>
        <v>0</v>
      </c>
      <c r="H447" s="14"/>
      <c r="I447" s="14"/>
      <c r="J447" s="14"/>
      <c r="K447" s="14"/>
      <c r="L447" s="26">
        <f>K447/$U441</f>
        <v>0</v>
      </c>
      <c r="M447" s="14"/>
      <c r="N447" s="14"/>
      <c r="O447" s="14"/>
      <c r="P447" s="14"/>
      <c r="Q447" s="26">
        <f>P447/$U441</f>
        <v>0</v>
      </c>
      <c r="R447" s="14"/>
      <c r="S447" s="14"/>
      <c r="T447" s="14"/>
      <c r="U447" s="221"/>
      <c r="V447" s="221"/>
      <c r="W447" s="195"/>
      <c r="X447" s="221"/>
      <c r="Y447" s="195"/>
      <c r="Z447" s="221"/>
      <c r="AA447" s="195"/>
      <c r="AB447" s="205"/>
    </row>
    <row r="448" spans="1:28" x14ac:dyDescent="0.2">
      <c r="A448" s="228"/>
      <c r="B448" s="232" t="s">
        <v>19</v>
      </c>
      <c r="C448" s="9"/>
      <c r="D448" s="9"/>
      <c r="E448" s="208" t="s">
        <v>1</v>
      </c>
      <c r="F448" s="15">
        <v>0</v>
      </c>
      <c r="G448" s="27">
        <f>F448/$U441</f>
        <v>0</v>
      </c>
      <c r="H448" s="15"/>
      <c r="I448" s="15"/>
      <c r="J448" s="15"/>
      <c r="K448" s="15">
        <v>0</v>
      </c>
      <c r="L448" s="27">
        <f>K448/$U441</f>
        <v>0</v>
      </c>
      <c r="M448" s="15"/>
      <c r="N448" s="15"/>
      <c r="O448" s="15"/>
      <c r="P448" s="15"/>
      <c r="Q448" s="27">
        <f>P448/$U441</f>
        <v>0</v>
      </c>
      <c r="R448" s="15"/>
      <c r="S448" s="15"/>
      <c r="T448" s="15"/>
      <c r="U448" s="210">
        <f>SUM(F448, K448, P448, F449, K449, P449)</f>
        <v>0</v>
      </c>
      <c r="V448" s="210">
        <f>SUM(H448, M448, R448, H449, M449, R449)</f>
        <v>0</v>
      </c>
      <c r="W448" s="212">
        <f>IF($U448=0, ,V448/$U448)</f>
        <v>0</v>
      </c>
      <c r="X448" s="210">
        <f>SUM(I448, N448, S448, I449, N449, S449)</f>
        <v>0</v>
      </c>
      <c r="Y448" s="212">
        <f>IF($U448=0, ,X448/$U448)</f>
        <v>0</v>
      </c>
      <c r="Z448" s="210">
        <f>SUM(J448, O448, T448, J449, O449, T449)</f>
        <v>0</v>
      </c>
      <c r="AA448" s="212">
        <f>IF($U448=0, ,Z448/$U448)</f>
        <v>0</v>
      </c>
      <c r="AB448" s="214"/>
    </row>
    <row r="449" spans="1:28" x14ac:dyDescent="0.2">
      <c r="A449" s="228"/>
      <c r="B449" s="250"/>
      <c r="C449" s="9"/>
      <c r="D449" s="9"/>
      <c r="E449" s="209"/>
      <c r="F449" s="15"/>
      <c r="G449" s="27">
        <f>F449/$U441</f>
        <v>0</v>
      </c>
      <c r="H449" s="15"/>
      <c r="I449" s="15"/>
      <c r="J449" s="15"/>
      <c r="K449" s="15"/>
      <c r="L449" s="27">
        <f>K449/$U441</f>
        <v>0</v>
      </c>
      <c r="M449" s="15"/>
      <c r="N449" s="15"/>
      <c r="O449" s="15"/>
      <c r="P449" s="15"/>
      <c r="Q449" s="27">
        <f>P449/$U441</f>
        <v>0</v>
      </c>
      <c r="R449" s="15"/>
      <c r="S449" s="15"/>
      <c r="T449" s="15"/>
      <c r="U449" s="211"/>
      <c r="V449" s="211"/>
      <c r="W449" s="213"/>
      <c r="X449" s="211"/>
      <c r="Y449" s="213"/>
      <c r="Z449" s="211"/>
      <c r="AA449" s="213"/>
      <c r="AB449" s="215"/>
    </row>
    <row r="450" spans="1:28" x14ac:dyDescent="0.2">
      <c r="A450" s="228"/>
      <c r="B450" s="216" t="s">
        <v>20</v>
      </c>
      <c r="C450" s="10"/>
      <c r="D450" s="10"/>
      <c r="E450" s="218" t="s">
        <v>1</v>
      </c>
      <c r="F450" s="14">
        <v>0</v>
      </c>
      <c r="G450" s="26">
        <f>F450/$U441</f>
        <v>0</v>
      </c>
      <c r="H450" s="14"/>
      <c r="I450" s="14"/>
      <c r="J450" s="14"/>
      <c r="K450" s="14">
        <v>0</v>
      </c>
      <c r="L450" s="26">
        <f>K450/$U441</f>
        <v>0</v>
      </c>
      <c r="M450" s="14"/>
      <c r="N450" s="14"/>
      <c r="O450" s="14"/>
      <c r="P450" s="14"/>
      <c r="Q450" s="26">
        <f>P450/$U441</f>
        <v>0</v>
      </c>
      <c r="R450" s="14"/>
      <c r="S450" s="14"/>
      <c r="T450" s="14"/>
      <c r="U450" s="220">
        <f>SUM(F450, K450, P450, F451, K451, P451)</f>
        <v>0</v>
      </c>
      <c r="V450" s="220">
        <f>SUM(H450, M450, R450, H451, M451, R451)</f>
        <v>0</v>
      </c>
      <c r="W450" s="194">
        <f>IF($U450=0, ,V450/$U450)</f>
        <v>0</v>
      </c>
      <c r="X450" s="220">
        <f>SUM(I450, N450, S450, I451, N451, S451)</f>
        <v>0</v>
      </c>
      <c r="Y450" s="194">
        <f>IF($U450=0, ,X450/$U450)</f>
        <v>0</v>
      </c>
      <c r="Z450" s="220">
        <f>SUM(J450, O450, T450, J451, O451, T451)</f>
        <v>0</v>
      </c>
      <c r="AA450" s="194">
        <f>IF($U450=0, ,Z450/$U450)</f>
        <v>0</v>
      </c>
      <c r="AB450" s="204"/>
    </row>
    <row r="451" spans="1:28" x14ac:dyDescent="0.2">
      <c r="A451" s="228"/>
      <c r="B451" s="217"/>
      <c r="C451" s="10"/>
      <c r="D451" s="10"/>
      <c r="E451" s="219"/>
      <c r="F451" s="14"/>
      <c r="G451" s="26">
        <f>F451/$U441</f>
        <v>0</v>
      </c>
      <c r="H451" s="14"/>
      <c r="I451" s="14"/>
      <c r="J451" s="14"/>
      <c r="K451" s="14"/>
      <c r="L451" s="26">
        <f>K451/$U441</f>
        <v>0</v>
      </c>
      <c r="M451" s="14"/>
      <c r="N451" s="14"/>
      <c r="O451" s="14"/>
      <c r="P451" s="14"/>
      <c r="Q451" s="26">
        <f>P451/$U441</f>
        <v>0</v>
      </c>
      <c r="R451" s="14"/>
      <c r="S451" s="14"/>
      <c r="T451" s="14"/>
      <c r="U451" s="221"/>
      <c r="V451" s="221"/>
      <c r="W451" s="195"/>
      <c r="X451" s="221"/>
      <c r="Y451" s="195"/>
      <c r="Z451" s="221"/>
      <c r="AA451" s="195"/>
      <c r="AB451" s="205"/>
    </row>
    <row r="452" spans="1:28" x14ac:dyDescent="0.2">
      <c r="A452" s="228"/>
      <c r="B452" s="232" t="s">
        <v>21</v>
      </c>
      <c r="C452" s="9"/>
      <c r="D452" s="9"/>
      <c r="E452" s="208" t="s">
        <v>1</v>
      </c>
      <c r="F452" s="15">
        <v>0</v>
      </c>
      <c r="G452" s="27">
        <f>F452/$U441</f>
        <v>0</v>
      </c>
      <c r="H452" s="15"/>
      <c r="I452" s="15"/>
      <c r="J452" s="15"/>
      <c r="K452" s="15">
        <v>0</v>
      </c>
      <c r="L452" s="27">
        <f>K452/$U441</f>
        <v>0</v>
      </c>
      <c r="M452" s="15"/>
      <c r="N452" s="15"/>
      <c r="O452" s="15"/>
      <c r="P452" s="15"/>
      <c r="Q452" s="27">
        <f>P452/$U441</f>
        <v>0</v>
      </c>
      <c r="R452" s="15"/>
      <c r="S452" s="15"/>
      <c r="T452" s="15"/>
      <c r="U452" s="210">
        <f>SUM(F452, K452, P452, F453, K453, P453)</f>
        <v>0</v>
      </c>
      <c r="V452" s="210">
        <f>SUM(H452, M452, R452, H453, M453, R453)</f>
        <v>0</v>
      </c>
      <c r="W452" s="212">
        <f>IF($U452=0, ,V452/$U452)</f>
        <v>0</v>
      </c>
      <c r="X452" s="210">
        <f>SUM(I452, N452, S452, I453, N453, S453)</f>
        <v>0</v>
      </c>
      <c r="Y452" s="212">
        <f>IF($U452=0, ,X452/$U452)</f>
        <v>0</v>
      </c>
      <c r="Z452" s="210">
        <f>SUM(J452, O452, T452, J453, O453, T453)</f>
        <v>0</v>
      </c>
      <c r="AA452" s="212">
        <f>IF($U452=0, ,Z452/$U452)</f>
        <v>0</v>
      </c>
      <c r="AB452" s="214"/>
    </row>
    <row r="453" spans="1:28" x14ac:dyDescent="0.2">
      <c r="A453" s="228"/>
      <c r="B453" s="250"/>
      <c r="C453" s="9"/>
      <c r="D453" s="9"/>
      <c r="E453" s="209"/>
      <c r="F453" s="15"/>
      <c r="G453" s="27">
        <f>F453/$U441</f>
        <v>0</v>
      </c>
      <c r="H453" s="15"/>
      <c r="I453" s="15"/>
      <c r="J453" s="15"/>
      <c r="K453" s="15"/>
      <c r="L453" s="27">
        <f>K453/$U441</f>
        <v>0</v>
      </c>
      <c r="M453" s="15"/>
      <c r="N453" s="15"/>
      <c r="O453" s="15"/>
      <c r="P453" s="15"/>
      <c r="Q453" s="27">
        <f>P453/$U441</f>
        <v>0</v>
      </c>
      <c r="R453" s="15"/>
      <c r="S453" s="15"/>
      <c r="T453" s="15"/>
      <c r="U453" s="211"/>
      <c r="V453" s="211"/>
      <c r="W453" s="213"/>
      <c r="X453" s="211"/>
      <c r="Y453" s="213"/>
      <c r="Z453" s="211"/>
      <c r="AA453" s="213"/>
      <c r="AB453" s="215"/>
    </row>
    <row r="454" spans="1:28" x14ac:dyDescent="0.2">
      <c r="A454" s="228"/>
      <c r="B454" s="216" t="s">
        <v>22</v>
      </c>
      <c r="C454" s="11"/>
      <c r="D454" s="11"/>
      <c r="E454" s="191" t="s">
        <v>1</v>
      </c>
      <c r="F454" s="16">
        <v>0</v>
      </c>
      <c r="G454" s="28">
        <f>F454/$U441</f>
        <v>0</v>
      </c>
      <c r="H454" s="16"/>
      <c r="I454" s="16"/>
      <c r="J454" s="16"/>
      <c r="K454" s="16">
        <v>0</v>
      </c>
      <c r="L454" s="28">
        <f>K454/$U441</f>
        <v>0</v>
      </c>
      <c r="M454" s="16"/>
      <c r="N454" s="16"/>
      <c r="O454" s="16"/>
      <c r="P454" s="16"/>
      <c r="Q454" s="28">
        <f>P454/$U441</f>
        <v>0</v>
      </c>
      <c r="R454" s="16"/>
      <c r="S454" s="16"/>
      <c r="T454" s="16"/>
      <c r="U454" s="220">
        <f>SUM(F454, K454, P454, F455, K455, P455)</f>
        <v>0</v>
      </c>
      <c r="V454" s="220">
        <f>SUM(H454, M454, R454, H455, M455, R455)</f>
        <v>0</v>
      </c>
      <c r="W454" s="194">
        <f>IF($U454=0, ,V454/$U454)</f>
        <v>0</v>
      </c>
      <c r="X454" s="220">
        <f>SUM(I454, N454, S454, I455, N455, S455)</f>
        <v>0</v>
      </c>
      <c r="Y454" s="194">
        <f>IF($U454=0, ,X454/$U454)</f>
        <v>0</v>
      </c>
      <c r="Z454" s="220">
        <f>SUM(J454, O454, T454, J455, O455, T455)</f>
        <v>0</v>
      </c>
      <c r="AA454" s="194">
        <f>IF($U454=0, ,Z454/$U454)</f>
        <v>0</v>
      </c>
      <c r="AB454" s="204"/>
    </row>
    <row r="455" spans="1:28" x14ac:dyDescent="0.2">
      <c r="A455" s="228"/>
      <c r="B455" s="217"/>
      <c r="C455" s="11"/>
      <c r="D455" s="11"/>
      <c r="E455" s="192"/>
      <c r="F455" s="16"/>
      <c r="G455" s="28">
        <f>F455/$U441</f>
        <v>0</v>
      </c>
      <c r="H455" s="16"/>
      <c r="I455" s="16"/>
      <c r="J455" s="16"/>
      <c r="K455" s="16"/>
      <c r="L455" s="28">
        <f>K455/$U441</f>
        <v>0</v>
      </c>
      <c r="M455" s="16"/>
      <c r="N455" s="16"/>
      <c r="O455" s="16"/>
      <c r="P455" s="16"/>
      <c r="Q455" s="28">
        <f>P455/$U441</f>
        <v>0</v>
      </c>
      <c r="R455" s="16"/>
      <c r="S455" s="16"/>
      <c r="T455" s="16"/>
      <c r="U455" s="221"/>
      <c r="V455" s="221"/>
      <c r="W455" s="195"/>
      <c r="X455" s="221"/>
      <c r="Y455" s="195"/>
      <c r="Z455" s="221"/>
      <c r="AA455" s="195"/>
      <c r="AB455" s="205"/>
    </row>
    <row r="456" spans="1:28" ht="13.5" thickBot="1" x14ac:dyDescent="0.25">
      <c r="A456" s="228"/>
      <c r="B456" s="56"/>
      <c r="C456" s="56"/>
      <c r="D456" s="56"/>
      <c r="E456" s="56"/>
      <c r="F456" s="57"/>
      <c r="G456" s="58"/>
      <c r="H456" s="57"/>
      <c r="I456" s="57"/>
      <c r="J456" s="57"/>
      <c r="K456" s="57"/>
      <c r="L456" s="58"/>
      <c r="M456" s="57"/>
      <c r="N456" s="57"/>
      <c r="O456" s="57"/>
      <c r="P456" s="57"/>
      <c r="Q456" s="58"/>
      <c r="R456" s="57"/>
      <c r="S456" s="57"/>
      <c r="T456" s="60" t="s">
        <v>59</v>
      </c>
      <c r="U456" s="61">
        <f>SUM(U444:U455)</f>
        <v>0</v>
      </c>
      <c r="V456" s="61">
        <f>SUM(V444:V455)</f>
        <v>0</v>
      </c>
      <c r="W456" s="62">
        <f>IF($U456=0, ,V456/$U456)</f>
        <v>0</v>
      </c>
      <c r="X456" s="61">
        <f>SUM(X444:X455)</f>
        <v>0</v>
      </c>
      <c r="Y456" s="62">
        <f>IF($U456=0, ,X456/$U456)</f>
        <v>0</v>
      </c>
      <c r="Z456" s="61">
        <f>SUM(Z444:Z455)</f>
        <v>0</v>
      </c>
      <c r="AA456" s="62">
        <f>IF($U456=0, ,Z456/$U456)</f>
        <v>0</v>
      </c>
      <c r="AB456" s="59"/>
    </row>
    <row r="457" spans="1:28" ht="13.5" thickTop="1" x14ac:dyDescent="0.2">
      <c r="A457" s="228"/>
      <c r="B457" s="44"/>
      <c r="C457" s="45" t="s">
        <v>27</v>
      </c>
      <c r="D457" s="23"/>
      <c r="E457" s="44"/>
      <c r="F457" s="44"/>
      <c r="G457" s="44"/>
      <c r="H457" s="44"/>
      <c r="I457" s="44"/>
      <c r="J457" s="44"/>
      <c r="K457" s="44"/>
      <c r="L457" s="44"/>
      <c r="M457" s="44"/>
      <c r="N457" s="44"/>
      <c r="O457" s="93">
        <v>320</v>
      </c>
      <c r="P457" s="94" t="s">
        <v>33</v>
      </c>
      <c r="Q457" s="44"/>
      <c r="R457" s="44"/>
      <c r="S457" s="44"/>
      <c r="T457" s="44"/>
      <c r="U457" s="44"/>
      <c r="V457" s="44"/>
      <c r="W457" s="44"/>
      <c r="X457" s="44"/>
      <c r="Y457" s="44"/>
      <c r="Z457" s="44"/>
      <c r="AA457" s="44"/>
      <c r="AB457" s="46"/>
    </row>
    <row r="458" spans="1:28" x14ac:dyDescent="0.2">
      <c r="A458" s="228"/>
      <c r="B458" s="229" t="s">
        <v>35</v>
      </c>
      <c r="C458" s="230" t="s">
        <v>25</v>
      </c>
      <c r="D458" s="230" t="s">
        <v>28</v>
      </c>
      <c r="E458" s="237" t="s">
        <v>12</v>
      </c>
      <c r="F458" s="241" t="s">
        <v>13</v>
      </c>
      <c r="G458" s="241"/>
      <c r="H458" s="241"/>
      <c r="I458" s="241" t="s">
        <v>14</v>
      </c>
      <c r="J458" s="241"/>
      <c r="K458" s="241"/>
      <c r="L458" s="241" t="s">
        <v>15</v>
      </c>
      <c r="M458" s="241"/>
      <c r="N458" s="241"/>
      <c r="O458" s="225" t="s">
        <v>34</v>
      </c>
      <c r="P458" s="225" t="s">
        <v>48</v>
      </c>
      <c r="Q458" s="225" t="s">
        <v>60</v>
      </c>
      <c r="R458" s="225" t="s">
        <v>49</v>
      </c>
      <c r="S458" s="225" t="s">
        <v>61</v>
      </c>
      <c r="T458" s="251"/>
      <c r="U458" s="251"/>
      <c r="V458" s="251"/>
      <c r="W458" s="251"/>
      <c r="X458" s="251"/>
      <c r="Y458" s="251"/>
      <c r="Z458" s="251"/>
      <c r="AA458" s="251"/>
      <c r="AB458" s="252"/>
    </row>
    <row r="459" spans="1:28" ht="25.5" x14ac:dyDescent="0.2">
      <c r="A459" s="228"/>
      <c r="B459" s="229"/>
      <c r="C459" s="230"/>
      <c r="D459" s="230"/>
      <c r="E459" s="237"/>
      <c r="F459" s="18" t="s">
        <v>30</v>
      </c>
      <c r="G459" s="18" t="s">
        <v>46</v>
      </c>
      <c r="H459" s="18" t="s">
        <v>47</v>
      </c>
      <c r="I459" s="18" t="s">
        <v>30</v>
      </c>
      <c r="J459" s="18" t="s">
        <v>46</v>
      </c>
      <c r="K459" s="18" t="s">
        <v>47</v>
      </c>
      <c r="L459" s="18" t="s">
        <v>30</v>
      </c>
      <c r="M459" s="18" t="s">
        <v>46</v>
      </c>
      <c r="N459" s="18" t="s">
        <v>47</v>
      </c>
      <c r="O459" s="227"/>
      <c r="P459" s="227"/>
      <c r="Q459" s="227"/>
      <c r="R459" s="227"/>
      <c r="S459" s="227"/>
      <c r="T459" s="253"/>
      <c r="U459" s="253"/>
      <c r="V459" s="253"/>
      <c r="W459" s="253"/>
      <c r="X459" s="253"/>
      <c r="Y459" s="253"/>
      <c r="Z459" s="253"/>
      <c r="AA459" s="253"/>
      <c r="AB459" s="254"/>
    </row>
    <row r="460" spans="1:28" x14ac:dyDescent="0.2">
      <c r="A460" s="228"/>
      <c r="B460" s="242" t="s">
        <v>36</v>
      </c>
      <c r="C460" s="12"/>
      <c r="D460" s="12" t="s">
        <v>95</v>
      </c>
      <c r="E460" s="243" t="s">
        <v>1</v>
      </c>
      <c r="F460" s="13">
        <v>0</v>
      </c>
      <c r="G460" s="13">
        <v>0</v>
      </c>
      <c r="H460" s="13">
        <v>0</v>
      </c>
      <c r="I460" s="13">
        <v>0</v>
      </c>
      <c r="J460" s="13"/>
      <c r="K460" s="13"/>
      <c r="L460" s="13"/>
      <c r="M460" s="13">
        <f>H465+K465+N465+Q465+T465+W465+Z465</f>
        <v>0</v>
      </c>
      <c r="N460" s="13">
        <f>H466+K466+N466+Q466+T466+W466+Z466</f>
        <v>0</v>
      </c>
      <c r="O460" s="210">
        <f>SUM(F460, I460, L460, F461, I461, L461)*$O457</f>
        <v>0</v>
      </c>
      <c r="P460" s="210">
        <f>SUM(G460, J460, M460, G461, J461, M461)</f>
        <v>0</v>
      </c>
      <c r="Q460" s="212">
        <f>IF($O460=0, ,P460/$O460)</f>
        <v>0</v>
      </c>
      <c r="R460" s="210">
        <f>SUM(H460, K460, N460, H461, K461, N461)</f>
        <v>0</v>
      </c>
      <c r="S460" s="212">
        <f>IF($O460=0, ,R460/$O460)</f>
        <v>0</v>
      </c>
      <c r="T460" s="244"/>
      <c r="U460" s="244"/>
      <c r="V460" s="244"/>
      <c r="W460" s="244"/>
      <c r="X460" s="244"/>
      <c r="Y460" s="244"/>
      <c r="Z460" s="244"/>
      <c r="AA460" s="244"/>
      <c r="AB460" s="245"/>
    </row>
    <row r="461" spans="1:28" x14ac:dyDescent="0.2">
      <c r="A461" s="228"/>
      <c r="B461" s="242"/>
      <c r="C461" s="12"/>
      <c r="D461" s="12"/>
      <c r="E461" s="243"/>
      <c r="F461" s="13"/>
      <c r="G461" s="13">
        <f>F467+I467+L467+O467+R467+U467+X467</f>
        <v>0</v>
      </c>
      <c r="H461" s="13">
        <f>F468+I468+L468+O468+R468+U468+X468</f>
        <v>0</v>
      </c>
      <c r="I461" s="13"/>
      <c r="J461" s="13">
        <f>G467+J467+M467+P467+S467+V467+Y467</f>
        <v>0</v>
      </c>
      <c r="K461" s="13">
        <f>G468+J468+M468+P468+S468+V468+Y468</f>
        <v>0</v>
      </c>
      <c r="L461" s="13"/>
      <c r="M461" s="13">
        <f>H467+K467+N467+Q467+T467+W467+Z467</f>
        <v>0</v>
      </c>
      <c r="N461" s="13">
        <f>H468+K468+N468+Q468+T468+W468+Z468</f>
        <v>0</v>
      </c>
      <c r="O461" s="211"/>
      <c r="P461" s="211"/>
      <c r="Q461" s="213"/>
      <c r="R461" s="211"/>
      <c r="S461" s="213"/>
      <c r="T461" s="246"/>
      <c r="U461" s="246"/>
      <c r="V461" s="246"/>
      <c r="W461" s="246"/>
      <c r="X461" s="246"/>
      <c r="Y461" s="246"/>
      <c r="Z461" s="246"/>
      <c r="AA461" s="246"/>
      <c r="AB461" s="247"/>
    </row>
    <row r="462" spans="1:28" x14ac:dyDescent="0.2">
      <c r="A462" s="228"/>
      <c r="B462" s="56"/>
      <c r="C462" s="56"/>
      <c r="D462" s="56"/>
      <c r="E462" s="56"/>
      <c r="F462" s="89"/>
      <c r="G462" s="89"/>
      <c r="H462" s="89"/>
      <c r="I462" s="89"/>
      <c r="J462" s="89"/>
      <c r="K462" s="89"/>
      <c r="L462" s="89"/>
      <c r="M462" s="89"/>
      <c r="N462" s="89"/>
      <c r="O462" s="90"/>
      <c r="P462" s="90"/>
      <c r="Q462" s="91"/>
      <c r="R462" s="90"/>
      <c r="S462" s="91"/>
      <c r="T462" s="92"/>
      <c r="U462" s="92"/>
      <c r="V462" s="92"/>
      <c r="W462" s="92"/>
      <c r="X462" s="92"/>
      <c r="Y462" s="92"/>
      <c r="Z462" s="92"/>
      <c r="AA462" s="92"/>
      <c r="AB462" s="95"/>
    </row>
    <row r="463" spans="1:28" x14ac:dyDescent="0.2">
      <c r="A463" s="228"/>
      <c r="B463" s="256" t="s">
        <v>67</v>
      </c>
      <c r="C463" s="256"/>
      <c r="D463" s="257"/>
      <c r="E463" s="82" t="s">
        <v>68</v>
      </c>
      <c r="F463" s="248" t="s">
        <v>64</v>
      </c>
      <c r="G463" s="248"/>
      <c r="H463" s="248"/>
      <c r="I463" s="248" t="s">
        <v>76</v>
      </c>
      <c r="J463" s="248"/>
      <c r="K463" s="248"/>
      <c r="L463" s="248" t="s">
        <v>65</v>
      </c>
      <c r="M463" s="248"/>
      <c r="N463" s="248"/>
      <c r="O463" s="248" t="s">
        <v>66</v>
      </c>
      <c r="P463" s="248"/>
      <c r="Q463" s="248"/>
      <c r="R463" s="248" t="s">
        <v>73</v>
      </c>
      <c r="S463" s="248"/>
      <c r="T463" s="248"/>
      <c r="U463" s="248" t="s">
        <v>74</v>
      </c>
      <c r="V463" s="248"/>
      <c r="W463" s="248"/>
      <c r="X463" s="248" t="s">
        <v>75</v>
      </c>
      <c r="Y463" s="248"/>
      <c r="Z463" s="248"/>
      <c r="AA463" s="249"/>
      <c r="AB463" s="249"/>
    </row>
    <row r="464" spans="1:28" x14ac:dyDescent="0.2">
      <c r="A464" s="228"/>
      <c r="B464" s="258"/>
      <c r="C464" s="258"/>
      <c r="D464" s="259"/>
      <c r="E464" s="97" t="s">
        <v>69</v>
      </c>
      <c r="F464" s="83" t="s">
        <v>70</v>
      </c>
      <c r="G464" s="83" t="s">
        <v>71</v>
      </c>
      <c r="H464" s="84" t="s">
        <v>72</v>
      </c>
      <c r="I464" s="83" t="s">
        <v>70</v>
      </c>
      <c r="J464" s="83" t="s">
        <v>71</v>
      </c>
      <c r="K464" s="84" t="s">
        <v>72</v>
      </c>
      <c r="L464" s="83" t="s">
        <v>70</v>
      </c>
      <c r="M464" s="83" t="s">
        <v>71</v>
      </c>
      <c r="N464" s="84" t="s">
        <v>72</v>
      </c>
      <c r="O464" s="83" t="s">
        <v>70</v>
      </c>
      <c r="P464" s="83" t="s">
        <v>71</v>
      </c>
      <c r="Q464" s="84" t="s">
        <v>72</v>
      </c>
      <c r="R464" s="83" t="s">
        <v>70</v>
      </c>
      <c r="S464" s="83" t="s">
        <v>71</v>
      </c>
      <c r="T464" s="84" t="s">
        <v>72</v>
      </c>
      <c r="U464" s="83" t="s">
        <v>70</v>
      </c>
      <c r="V464" s="83" t="s">
        <v>71</v>
      </c>
      <c r="W464" s="84" t="s">
        <v>72</v>
      </c>
      <c r="X464" s="83" t="s">
        <v>70</v>
      </c>
      <c r="Y464" s="83" t="s">
        <v>71</v>
      </c>
      <c r="Z464" s="84" t="s">
        <v>72</v>
      </c>
      <c r="AA464" s="249"/>
      <c r="AB464" s="249"/>
    </row>
    <row r="465" spans="1:28" x14ac:dyDescent="0.2">
      <c r="A465" s="228"/>
      <c r="B465" s="260" t="str">
        <f>B460</f>
        <v>Final ASS</v>
      </c>
      <c r="C465" s="82" t="str">
        <f>IF(ISBLANK(C460), "", C460)</f>
        <v/>
      </c>
      <c r="D465" s="96" t="str">
        <f>IF(ISBLANK(D460), "", D460)</f>
        <v>unilever</v>
      </c>
      <c r="E465" s="82" t="s">
        <v>77</v>
      </c>
      <c r="F465" s="86"/>
      <c r="G465" s="85"/>
      <c r="H465" s="85"/>
      <c r="I465" s="85"/>
      <c r="J465" s="85"/>
      <c r="K465" s="85"/>
      <c r="L465" s="87"/>
      <c r="M465" s="87"/>
      <c r="N465" s="87"/>
      <c r="O465" s="87"/>
      <c r="P465" s="87"/>
      <c r="Q465" s="85"/>
      <c r="R465" s="87"/>
      <c r="S465" s="87"/>
      <c r="T465" s="87"/>
      <c r="U465" s="87"/>
      <c r="V465" s="87"/>
      <c r="W465" s="85"/>
      <c r="X465" s="85"/>
      <c r="Y465" s="85"/>
      <c r="Z465" s="88"/>
      <c r="AA465" s="249"/>
      <c r="AB465" s="249"/>
    </row>
    <row r="466" spans="1:28" x14ac:dyDescent="0.2">
      <c r="A466" s="228"/>
      <c r="B466" s="260"/>
      <c r="C466" s="82" t="str">
        <f>IF(ISBLANK(C460), "", C460)</f>
        <v/>
      </c>
      <c r="D466" s="96" t="str">
        <f>IF(ISBLANK(D460), "", D460)</f>
        <v>unilever</v>
      </c>
      <c r="E466" s="82" t="s">
        <v>78</v>
      </c>
      <c r="F466" s="86"/>
      <c r="G466" s="85"/>
      <c r="H466" s="85"/>
      <c r="I466" s="85"/>
      <c r="J466" s="85"/>
      <c r="K466" s="85"/>
      <c r="L466" s="87"/>
      <c r="M466" s="87"/>
      <c r="N466" s="87"/>
      <c r="O466" s="87"/>
      <c r="P466" s="87"/>
      <c r="Q466" s="85"/>
      <c r="R466" s="87"/>
      <c r="S466" s="87"/>
      <c r="T466" s="87"/>
      <c r="U466" s="87"/>
      <c r="V466" s="87"/>
      <c r="W466" s="85"/>
      <c r="X466" s="85"/>
      <c r="Y466" s="85"/>
      <c r="Z466" s="88"/>
      <c r="AA466" s="249"/>
      <c r="AB466" s="249"/>
    </row>
    <row r="467" spans="1:28" x14ac:dyDescent="0.2">
      <c r="A467" s="228"/>
      <c r="B467" s="260"/>
      <c r="C467" s="82" t="str">
        <f>IF(ISBLANK(C461), "", C461)</f>
        <v/>
      </c>
      <c r="D467" s="96" t="str">
        <f>IF(ISBLANK(D461), "", D461)</f>
        <v/>
      </c>
      <c r="E467" s="82" t="s">
        <v>77</v>
      </c>
      <c r="F467" s="86"/>
      <c r="G467" s="85"/>
      <c r="H467" s="85"/>
      <c r="I467" s="85"/>
      <c r="J467" s="85"/>
      <c r="K467" s="85"/>
      <c r="L467" s="87"/>
      <c r="M467" s="87"/>
      <c r="N467" s="87"/>
      <c r="O467" s="87"/>
      <c r="P467" s="87"/>
      <c r="Q467" s="85"/>
      <c r="R467" s="87"/>
      <c r="S467" s="87"/>
      <c r="T467" s="87"/>
      <c r="U467" s="87"/>
      <c r="V467" s="87"/>
      <c r="W467" s="85"/>
      <c r="X467" s="85"/>
      <c r="Y467" s="85"/>
      <c r="Z467" s="88"/>
      <c r="AA467" s="249"/>
      <c r="AB467" s="249"/>
    </row>
    <row r="468" spans="1:28" x14ac:dyDescent="0.2">
      <c r="A468" s="228"/>
      <c r="B468" s="260"/>
      <c r="C468" s="82" t="str">
        <f>IF(ISBLANK(C461), "", C461)</f>
        <v/>
      </c>
      <c r="D468" s="96" t="str">
        <f>IF(ISBLANK(D461), "", D461)</f>
        <v/>
      </c>
      <c r="E468" s="82" t="s">
        <v>78</v>
      </c>
      <c r="F468" s="86"/>
      <c r="G468" s="85"/>
      <c r="H468" s="85"/>
      <c r="I468" s="85"/>
      <c r="J468" s="85"/>
      <c r="K468" s="85"/>
      <c r="L468" s="87"/>
      <c r="M468" s="87"/>
      <c r="N468" s="87"/>
      <c r="O468" s="87"/>
      <c r="P468" s="87"/>
      <c r="Q468" s="85"/>
      <c r="R468" s="87"/>
      <c r="S468" s="87"/>
      <c r="T468" s="87"/>
      <c r="U468" s="87"/>
      <c r="V468" s="87"/>
      <c r="W468" s="85"/>
      <c r="X468" s="85"/>
      <c r="Y468" s="85"/>
      <c r="Z468" s="88"/>
      <c r="AA468" s="249"/>
      <c r="AB468" s="249"/>
    </row>
    <row r="470" spans="1:28" x14ac:dyDescent="0.2">
      <c r="A470" s="228">
        <v>44729</v>
      </c>
      <c r="B470" s="19"/>
      <c r="C470" s="19" t="s">
        <v>42</v>
      </c>
      <c r="D470" s="20"/>
      <c r="E470" s="21" t="s">
        <v>41</v>
      </c>
      <c r="F470" s="20">
        <v>0</v>
      </c>
      <c r="G470" s="20"/>
      <c r="H470" s="20"/>
      <c r="I470" s="21"/>
      <c r="J470" s="21"/>
      <c r="K470" s="32"/>
      <c r="L470" s="32"/>
      <c r="M470" s="20"/>
      <c r="N470" s="21"/>
      <c r="O470" s="21"/>
      <c r="P470" s="32"/>
      <c r="Q470" s="32"/>
      <c r="R470" s="20"/>
      <c r="S470" s="21"/>
      <c r="T470" s="21"/>
      <c r="U470" s="41">
        <v>160</v>
      </c>
      <c r="V470" s="42" t="s">
        <v>32</v>
      </c>
      <c r="W470" s="42"/>
      <c r="X470" s="43"/>
      <c r="Y470" s="31"/>
      <c r="Z470" s="31"/>
      <c r="AA470" s="31"/>
      <c r="AB470" s="33"/>
    </row>
    <row r="471" spans="1:28" x14ac:dyDescent="0.2">
      <c r="A471" s="228"/>
      <c r="B471" s="229" t="s">
        <v>10</v>
      </c>
      <c r="C471" s="230" t="s">
        <v>25</v>
      </c>
      <c r="D471" s="230" t="s">
        <v>28</v>
      </c>
      <c r="E471" s="237" t="s">
        <v>12</v>
      </c>
      <c r="F471" s="222" t="s">
        <v>13</v>
      </c>
      <c r="G471" s="223"/>
      <c r="H471" s="223"/>
      <c r="I471" s="223"/>
      <c r="J471" s="224"/>
      <c r="K471" s="222" t="s">
        <v>14</v>
      </c>
      <c r="L471" s="223"/>
      <c r="M471" s="223"/>
      <c r="N471" s="223"/>
      <c r="O471" s="224"/>
      <c r="P471" s="222" t="s">
        <v>15</v>
      </c>
      <c r="Q471" s="223"/>
      <c r="R471" s="223"/>
      <c r="S471" s="223"/>
      <c r="T471" s="224"/>
      <c r="U471" s="255" t="s">
        <v>34</v>
      </c>
      <c r="V471" s="255" t="s">
        <v>48</v>
      </c>
      <c r="W471" s="255" t="s">
        <v>56</v>
      </c>
      <c r="X471" s="255" t="s">
        <v>54</v>
      </c>
      <c r="Y471" s="255" t="s">
        <v>57</v>
      </c>
      <c r="Z471" s="255" t="s">
        <v>55</v>
      </c>
      <c r="AA471" s="255" t="s">
        <v>58</v>
      </c>
      <c r="AB471" s="255" t="s">
        <v>38</v>
      </c>
    </row>
    <row r="472" spans="1:28" ht="38.25" x14ac:dyDescent="0.2">
      <c r="A472" s="228"/>
      <c r="B472" s="229"/>
      <c r="C472" s="230"/>
      <c r="D472" s="230"/>
      <c r="E472" s="237"/>
      <c r="F472" s="18" t="s">
        <v>45</v>
      </c>
      <c r="G472" s="18" t="s">
        <v>29</v>
      </c>
      <c r="H472" s="18" t="s">
        <v>46</v>
      </c>
      <c r="I472" s="18" t="s">
        <v>52</v>
      </c>
      <c r="J472" s="18" t="s">
        <v>53</v>
      </c>
      <c r="K472" s="18" t="s">
        <v>45</v>
      </c>
      <c r="L472" s="18" t="s">
        <v>29</v>
      </c>
      <c r="M472" s="18" t="s">
        <v>46</v>
      </c>
      <c r="N472" s="18" t="s">
        <v>52</v>
      </c>
      <c r="O472" s="18" t="s">
        <v>53</v>
      </c>
      <c r="P472" s="18" t="s">
        <v>45</v>
      </c>
      <c r="Q472" s="18" t="s">
        <v>29</v>
      </c>
      <c r="R472" s="18" t="s">
        <v>46</v>
      </c>
      <c r="S472" s="18" t="s">
        <v>52</v>
      </c>
      <c r="T472" s="18" t="s">
        <v>53</v>
      </c>
      <c r="U472" s="255"/>
      <c r="V472" s="255"/>
      <c r="W472" s="255"/>
      <c r="X472" s="255"/>
      <c r="Y472" s="255"/>
      <c r="Z472" s="255"/>
      <c r="AA472" s="255"/>
      <c r="AB472" s="255"/>
    </row>
    <row r="473" spans="1:28" x14ac:dyDescent="0.2">
      <c r="A473" s="228"/>
      <c r="B473" s="232" t="s">
        <v>17</v>
      </c>
      <c r="C473" s="12">
        <v>20591</v>
      </c>
      <c r="D473" s="12"/>
      <c r="E473" s="234" t="s">
        <v>1</v>
      </c>
      <c r="F473" s="13">
        <v>2453</v>
      </c>
      <c r="G473" s="25">
        <f>F473/$U470</f>
        <v>15.331250000000001</v>
      </c>
      <c r="H473" s="13"/>
      <c r="I473" s="13"/>
      <c r="J473" s="13"/>
      <c r="K473" s="13">
        <v>0</v>
      </c>
      <c r="L473" s="25">
        <f>K473/$U470</f>
        <v>0</v>
      </c>
      <c r="M473" s="13"/>
      <c r="N473" s="13"/>
      <c r="O473" s="13"/>
      <c r="P473" s="13"/>
      <c r="Q473" s="25">
        <f>P473/$U470</f>
        <v>0</v>
      </c>
      <c r="R473" s="13"/>
      <c r="S473" s="13"/>
      <c r="T473" s="13"/>
      <c r="U473" s="210">
        <f>SUM(F473, K473, P473, F474, K474, P474)</f>
        <v>2453</v>
      </c>
      <c r="V473" s="210">
        <f>SUM(H473, M473, R473, H474, M474, R474)</f>
        <v>0</v>
      </c>
      <c r="W473" s="212">
        <f>IF($U473=0, ,V473/$U473)</f>
        <v>0</v>
      </c>
      <c r="X473" s="210">
        <f>SUM(I473, N473, S473, I474, N474, S474)</f>
        <v>0</v>
      </c>
      <c r="Y473" s="212">
        <f>IF($U473=0, ,X473/$U473)</f>
        <v>0</v>
      </c>
      <c r="Z473" s="210">
        <f>SUM(J473, O473, T473, J474, O474, T474)</f>
        <v>0</v>
      </c>
      <c r="AA473" s="212">
        <f>IF($U473=0, ,Z473/$U473)</f>
        <v>0</v>
      </c>
      <c r="AB473" s="214"/>
    </row>
    <row r="474" spans="1:28" x14ac:dyDescent="0.2">
      <c r="A474" s="228"/>
      <c r="B474" s="250"/>
      <c r="C474" s="12"/>
      <c r="D474" s="12"/>
      <c r="E474" s="236"/>
      <c r="F474" s="13"/>
      <c r="G474" s="25">
        <f>F474/$U470</f>
        <v>0</v>
      </c>
      <c r="H474" s="13"/>
      <c r="I474" s="13"/>
      <c r="J474" s="13"/>
      <c r="K474" s="13"/>
      <c r="L474" s="25">
        <f>K474/$U470</f>
        <v>0</v>
      </c>
      <c r="M474" s="13"/>
      <c r="N474" s="13"/>
      <c r="O474" s="13"/>
      <c r="P474" s="13"/>
      <c r="Q474" s="25">
        <f>P474/$U470</f>
        <v>0</v>
      </c>
      <c r="R474" s="13"/>
      <c r="S474" s="13"/>
      <c r="T474" s="13"/>
      <c r="U474" s="211"/>
      <c r="V474" s="211"/>
      <c r="W474" s="213"/>
      <c r="X474" s="211"/>
      <c r="Y474" s="213"/>
      <c r="Z474" s="211"/>
      <c r="AA474" s="213"/>
      <c r="AB474" s="215"/>
    </row>
    <row r="475" spans="1:28" x14ac:dyDescent="0.2">
      <c r="A475" s="228"/>
      <c r="B475" s="216" t="s">
        <v>18</v>
      </c>
      <c r="C475" s="10"/>
      <c r="D475" s="10"/>
      <c r="E475" s="218" t="s">
        <v>1</v>
      </c>
      <c r="F475" s="14">
        <v>0</v>
      </c>
      <c r="G475" s="26">
        <f>F475/$U470</f>
        <v>0</v>
      </c>
      <c r="H475" s="14"/>
      <c r="I475" s="14"/>
      <c r="J475" s="14"/>
      <c r="K475" s="14">
        <v>0</v>
      </c>
      <c r="L475" s="26">
        <f>K475/$U470</f>
        <v>0</v>
      </c>
      <c r="M475" s="14"/>
      <c r="N475" s="14"/>
      <c r="O475" s="14"/>
      <c r="P475" s="14"/>
      <c r="Q475" s="26">
        <f>P475/$U470</f>
        <v>0</v>
      </c>
      <c r="R475" s="14"/>
      <c r="S475" s="14"/>
      <c r="T475" s="14"/>
      <c r="U475" s="220">
        <f>SUM(F475, K475, P475, F476, K476, P476)</f>
        <v>0</v>
      </c>
      <c r="V475" s="220">
        <f>SUM(H475, M475, R475, H476, M476, R476)</f>
        <v>0</v>
      </c>
      <c r="W475" s="194">
        <f>IF($U475=0, ,V475/$U475)</f>
        <v>0</v>
      </c>
      <c r="X475" s="220">
        <f>SUM(I475, N475, S475, I476, N476, S476)</f>
        <v>0</v>
      </c>
      <c r="Y475" s="194">
        <f>IF($U475=0, ,X475/$U475)</f>
        <v>0</v>
      </c>
      <c r="Z475" s="220">
        <f>SUM(J475, O475, T475, J476, O476, T476)</f>
        <v>0</v>
      </c>
      <c r="AA475" s="194">
        <f>IF($U475=0, ,Z475/$U475)</f>
        <v>0</v>
      </c>
      <c r="AB475" s="204"/>
    </row>
    <row r="476" spans="1:28" x14ac:dyDescent="0.2">
      <c r="A476" s="228"/>
      <c r="B476" s="217"/>
      <c r="C476" s="10"/>
      <c r="D476" s="10"/>
      <c r="E476" s="219"/>
      <c r="F476" s="14"/>
      <c r="G476" s="26">
        <f>F476/$U470</f>
        <v>0</v>
      </c>
      <c r="H476" s="14"/>
      <c r="I476" s="14"/>
      <c r="J476" s="14"/>
      <c r="K476" s="14"/>
      <c r="L476" s="26">
        <f>K476/$U470</f>
        <v>0</v>
      </c>
      <c r="M476" s="14"/>
      <c r="N476" s="14"/>
      <c r="O476" s="14"/>
      <c r="P476" s="14"/>
      <c r="Q476" s="26">
        <f>P476/$U470</f>
        <v>0</v>
      </c>
      <c r="R476" s="14"/>
      <c r="S476" s="14"/>
      <c r="T476" s="14"/>
      <c r="U476" s="221"/>
      <c r="V476" s="221"/>
      <c r="W476" s="195"/>
      <c r="X476" s="221"/>
      <c r="Y476" s="195"/>
      <c r="Z476" s="221"/>
      <c r="AA476" s="195"/>
      <c r="AB476" s="205"/>
    </row>
    <row r="477" spans="1:28" x14ac:dyDescent="0.2">
      <c r="A477" s="228"/>
      <c r="B477" s="232" t="s">
        <v>19</v>
      </c>
      <c r="C477" s="9"/>
      <c r="D477" s="9"/>
      <c r="E477" s="208" t="s">
        <v>1</v>
      </c>
      <c r="F477" s="15">
        <v>0</v>
      </c>
      <c r="G477" s="27">
        <f>F477/$U470</f>
        <v>0</v>
      </c>
      <c r="H477" s="15"/>
      <c r="I477" s="15"/>
      <c r="J477" s="15"/>
      <c r="K477" s="15">
        <v>0</v>
      </c>
      <c r="L477" s="27">
        <f>K477/$U470</f>
        <v>0</v>
      </c>
      <c r="M477" s="15"/>
      <c r="N477" s="15"/>
      <c r="O477" s="15"/>
      <c r="P477" s="15"/>
      <c r="Q477" s="27">
        <f>P477/$U470</f>
        <v>0</v>
      </c>
      <c r="R477" s="15"/>
      <c r="S477" s="15"/>
      <c r="T477" s="15"/>
      <c r="U477" s="210">
        <f>SUM(F477, K477, P477, F478, K478, P478)</f>
        <v>0</v>
      </c>
      <c r="V477" s="210">
        <f>SUM(H477, M477, R477, H478, M478, R478)</f>
        <v>0</v>
      </c>
      <c r="W477" s="212">
        <f>IF($U477=0, ,V477/$U477)</f>
        <v>0</v>
      </c>
      <c r="X477" s="210">
        <f>SUM(I477, N477, S477, I478, N478, S478)</f>
        <v>0</v>
      </c>
      <c r="Y477" s="212">
        <f>IF($U477=0, ,X477/$U477)</f>
        <v>0</v>
      </c>
      <c r="Z477" s="210">
        <f>SUM(J477, O477, T477, J478, O478, T478)</f>
        <v>0</v>
      </c>
      <c r="AA477" s="212">
        <f>IF($U477=0, ,Z477/$U477)</f>
        <v>0</v>
      </c>
      <c r="AB477" s="214"/>
    </row>
    <row r="478" spans="1:28" x14ac:dyDescent="0.2">
      <c r="A478" s="228"/>
      <c r="B478" s="250"/>
      <c r="C478" s="9"/>
      <c r="D478" s="9"/>
      <c r="E478" s="209"/>
      <c r="F478" s="15"/>
      <c r="G478" s="27">
        <f>F478/$U470</f>
        <v>0</v>
      </c>
      <c r="H478" s="15"/>
      <c r="I478" s="15"/>
      <c r="J478" s="15"/>
      <c r="K478" s="15"/>
      <c r="L478" s="27">
        <f>K478/$U470</f>
        <v>0</v>
      </c>
      <c r="M478" s="15"/>
      <c r="N478" s="15"/>
      <c r="O478" s="15"/>
      <c r="P478" s="15"/>
      <c r="Q478" s="27">
        <f>P478/$U470</f>
        <v>0</v>
      </c>
      <c r="R478" s="15"/>
      <c r="S478" s="15"/>
      <c r="T478" s="15"/>
      <c r="U478" s="211"/>
      <c r="V478" s="211"/>
      <c r="W478" s="213"/>
      <c r="X478" s="211"/>
      <c r="Y478" s="213"/>
      <c r="Z478" s="211"/>
      <c r="AA478" s="213"/>
      <c r="AB478" s="215"/>
    </row>
    <row r="479" spans="1:28" x14ac:dyDescent="0.2">
      <c r="A479" s="228"/>
      <c r="B479" s="216" t="s">
        <v>20</v>
      </c>
      <c r="C479" s="10">
        <v>20591</v>
      </c>
      <c r="D479" s="10"/>
      <c r="E479" s="218" t="s">
        <v>1</v>
      </c>
      <c r="F479" s="14">
        <v>2100</v>
      </c>
      <c r="G479" s="26">
        <f>F479/$U470</f>
        <v>13.125</v>
      </c>
      <c r="H479" s="14"/>
      <c r="I479" s="14"/>
      <c r="J479" s="14"/>
      <c r="K479" s="14">
        <v>0</v>
      </c>
      <c r="L479" s="26">
        <f>K479/$U470</f>
        <v>0</v>
      </c>
      <c r="M479" s="14"/>
      <c r="N479" s="14"/>
      <c r="O479" s="14"/>
      <c r="P479" s="14"/>
      <c r="Q479" s="26">
        <f>P479/$U470</f>
        <v>0</v>
      </c>
      <c r="R479" s="14"/>
      <c r="S479" s="14"/>
      <c r="T479" s="14"/>
      <c r="U479" s="220">
        <f>SUM(F479, K479, P479, F480, K480, P480)</f>
        <v>2100</v>
      </c>
      <c r="V479" s="220">
        <f>SUM(H479, M479, R479, H480, M480, R480)</f>
        <v>0</v>
      </c>
      <c r="W479" s="194">
        <f>IF($U479=0, ,V479/$U479)</f>
        <v>0</v>
      </c>
      <c r="X479" s="220">
        <f>SUM(I479, N479, S479, I480, N480, S480)</f>
        <v>0</v>
      </c>
      <c r="Y479" s="194">
        <f>IF($U479=0, ,X479/$U479)</f>
        <v>0</v>
      </c>
      <c r="Z479" s="220">
        <f>SUM(J479, O479, T479, J480, O480, T480)</f>
        <v>0</v>
      </c>
      <c r="AA479" s="194">
        <f>IF($U479=0, ,Z479/$U479)</f>
        <v>0</v>
      </c>
      <c r="AB479" s="204"/>
    </row>
    <row r="480" spans="1:28" x14ac:dyDescent="0.2">
      <c r="A480" s="228"/>
      <c r="B480" s="217"/>
      <c r="C480" s="10"/>
      <c r="D480" s="10"/>
      <c r="E480" s="219"/>
      <c r="F480" s="14"/>
      <c r="G480" s="26">
        <f>F480/$U470</f>
        <v>0</v>
      </c>
      <c r="H480" s="14"/>
      <c r="I480" s="14"/>
      <c r="J480" s="14"/>
      <c r="K480" s="14"/>
      <c r="L480" s="26">
        <f>K480/$U470</f>
        <v>0</v>
      </c>
      <c r="M480" s="14"/>
      <c r="N480" s="14"/>
      <c r="O480" s="14"/>
      <c r="P480" s="14"/>
      <c r="Q480" s="26">
        <f>P480/$U470</f>
        <v>0</v>
      </c>
      <c r="R480" s="14"/>
      <c r="S480" s="14"/>
      <c r="T480" s="14"/>
      <c r="U480" s="221"/>
      <c r="V480" s="221"/>
      <c r="W480" s="195"/>
      <c r="X480" s="221"/>
      <c r="Y480" s="195"/>
      <c r="Z480" s="221"/>
      <c r="AA480" s="195"/>
      <c r="AB480" s="205"/>
    </row>
    <row r="481" spans="1:28" x14ac:dyDescent="0.2">
      <c r="A481" s="228"/>
      <c r="B481" s="232" t="s">
        <v>21</v>
      </c>
      <c r="C481" s="9">
        <v>20591</v>
      </c>
      <c r="D481" s="9"/>
      <c r="E481" s="208" t="s">
        <v>1</v>
      </c>
      <c r="F481" s="15">
        <v>2507</v>
      </c>
      <c r="G481" s="27">
        <f>F481/$U470</f>
        <v>15.668749999999999</v>
      </c>
      <c r="H481" s="15"/>
      <c r="I481" s="15"/>
      <c r="J481" s="15"/>
      <c r="K481" s="15">
        <v>0</v>
      </c>
      <c r="L481" s="27">
        <f>K481/$U470</f>
        <v>0</v>
      </c>
      <c r="M481" s="15"/>
      <c r="N481" s="15"/>
      <c r="O481" s="15"/>
      <c r="P481" s="15"/>
      <c r="Q481" s="27">
        <f>P481/$U470</f>
        <v>0</v>
      </c>
      <c r="R481" s="15"/>
      <c r="S481" s="15"/>
      <c r="T481" s="15"/>
      <c r="U481" s="210">
        <f>SUM(F481, K481, P481, F482, K482, P482)</f>
        <v>2507</v>
      </c>
      <c r="V481" s="210">
        <f>SUM(H481, M481, R481, H482, M482, R482)</f>
        <v>0</v>
      </c>
      <c r="W481" s="212">
        <f>IF($U481=0, ,V481/$U481)</f>
        <v>0</v>
      </c>
      <c r="X481" s="210">
        <f>SUM(I481, N481, S481, I482, N482, S482)</f>
        <v>0</v>
      </c>
      <c r="Y481" s="212">
        <f>IF($U481=0, ,X481/$U481)</f>
        <v>0</v>
      </c>
      <c r="Z481" s="210">
        <f>SUM(J481, O481, T481, J482, O482, T482)</f>
        <v>0</v>
      </c>
      <c r="AA481" s="212">
        <f>IF($U481=0, ,Z481/$U481)</f>
        <v>0</v>
      </c>
      <c r="AB481" s="214"/>
    </row>
    <row r="482" spans="1:28" x14ac:dyDescent="0.2">
      <c r="A482" s="228"/>
      <c r="B482" s="250"/>
      <c r="C482" s="9"/>
      <c r="D482" s="9"/>
      <c r="E482" s="209"/>
      <c r="F482" s="15"/>
      <c r="G482" s="27">
        <f>F482/$U470</f>
        <v>0</v>
      </c>
      <c r="H482" s="15"/>
      <c r="I482" s="15"/>
      <c r="J482" s="15"/>
      <c r="K482" s="15"/>
      <c r="L482" s="27">
        <f>K482/$U470</f>
        <v>0</v>
      </c>
      <c r="M482" s="15"/>
      <c r="N482" s="15"/>
      <c r="O482" s="15"/>
      <c r="P482" s="15"/>
      <c r="Q482" s="27">
        <f>P482/$U470</f>
        <v>0</v>
      </c>
      <c r="R482" s="15"/>
      <c r="S482" s="15"/>
      <c r="T482" s="15"/>
      <c r="U482" s="211"/>
      <c r="V482" s="211"/>
      <c r="W482" s="213"/>
      <c r="X482" s="211"/>
      <c r="Y482" s="213"/>
      <c r="Z482" s="211"/>
      <c r="AA482" s="213"/>
      <c r="AB482" s="215"/>
    </row>
    <row r="483" spans="1:28" x14ac:dyDescent="0.2">
      <c r="A483" s="228"/>
      <c r="B483" s="216" t="s">
        <v>22</v>
      </c>
      <c r="C483" s="11"/>
      <c r="D483" s="11"/>
      <c r="E483" s="191" t="s">
        <v>1</v>
      </c>
      <c r="F483" s="16">
        <v>0</v>
      </c>
      <c r="G483" s="28">
        <f>F483/$U470</f>
        <v>0</v>
      </c>
      <c r="H483" s="16"/>
      <c r="I483" s="16"/>
      <c r="J483" s="16"/>
      <c r="K483" s="16">
        <v>0</v>
      </c>
      <c r="L483" s="28">
        <f>K483/$U470</f>
        <v>0</v>
      </c>
      <c r="M483" s="16"/>
      <c r="N483" s="16"/>
      <c r="O483" s="16"/>
      <c r="P483" s="16"/>
      <c r="Q483" s="28">
        <f>P483/$U470</f>
        <v>0</v>
      </c>
      <c r="R483" s="16"/>
      <c r="S483" s="16"/>
      <c r="T483" s="16"/>
      <c r="U483" s="220">
        <f>SUM(F483, K483, P483, F484, K484, P484)</f>
        <v>0</v>
      </c>
      <c r="V483" s="220">
        <f>SUM(H483, M483, R483, H484, M484, R484)</f>
        <v>0</v>
      </c>
      <c r="W483" s="194">
        <f>IF($U483=0, ,V483/$U483)</f>
        <v>0</v>
      </c>
      <c r="X483" s="220">
        <f>SUM(I483, N483, S483, I484, N484, S484)</f>
        <v>0</v>
      </c>
      <c r="Y483" s="194">
        <f>IF($U483=0, ,X483/$U483)</f>
        <v>0</v>
      </c>
      <c r="Z483" s="220">
        <f>SUM(J483, O483, T483, J484, O484, T484)</f>
        <v>0</v>
      </c>
      <c r="AA483" s="194">
        <f>IF($U483=0, ,Z483/$U483)</f>
        <v>0</v>
      </c>
      <c r="AB483" s="204"/>
    </row>
    <row r="484" spans="1:28" x14ac:dyDescent="0.2">
      <c r="A484" s="228"/>
      <c r="B484" s="217"/>
      <c r="C484" s="11"/>
      <c r="D484" s="11"/>
      <c r="E484" s="192"/>
      <c r="F484" s="16"/>
      <c r="G484" s="28">
        <f>F484/$U470</f>
        <v>0</v>
      </c>
      <c r="H484" s="16"/>
      <c r="I484" s="16"/>
      <c r="J484" s="16"/>
      <c r="K484" s="16"/>
      <c r="L484" s="28">
        <f>K484/$U470</f>
        <v>0</v>
      </c>
      <c r="M484" s="16"/>
      <c r="N484" s="16"/>
      <c r="O484" s="16"/>
      <c r="P484" s="16"/>
      <c r="Q484" s="28">
        <f>P484/$U470</f>
        <v>0</v>
      </c>
      <c r="R484" s="16"/>
      <c r="S484" s="16"/>
      <c r="T484" s="16"/>
      <c r="U484" s="221"/>
      <c r="V484" s="221"/>
      <c r="W484" s="195"/>
      <c r="X484" s="221"/>
      <c r="Y484" s="195"/>
      <c r="Z484" s="221"/>
      <c r="AA484" s="195"/>
      <c r="AB484" s="205"/>
    </row>
    <row r="485" spans="1:28" ht="13.5" thickBot="1" x14ac:dyDescent="0.25">
      <c r="A485" s="228"/>
      <c r="B485" s="56"/>
      <c r="C485" s="56"/>
      <c r="D485" s="56"/>
      <c r="E485" s="56"/>
      <c r="F485" s="57"/>
      <c r="G485" s="58"/>
      <c r="H485" s="57"/>
      <c r="I485" s="57"/>
      <c r="J485" s="57"/>
      <c r="K485" s="57"/>
      <c r="L485" s="58"/>
      <c r="M485" s="57"/>
      <c r="N485" s="57"/>
      <c r="O485" s="57"/>
      <c r="P485" s="57"/>
      <c r="Q485" s="58"/>
      <c r="R485" s="57"/>
      <c r="S485" s="57"/>
      <c r="T485" s="60" t="s">
        <v>59</v>
      </c>
      <c r="U485" s="61">
        <f>SUM(U473:U484)</f>
        <v>7060</v>
      </c>
      <c r="V485" s="61">
        <f>SUM(V473:V484)</f>
        <v>0</v>
      </c>
      <c r="W485" s="62">
        <f>IF($U485=0, ,V485/$U485)</f>
        <v>0</v>
      </c>
      <c r="X485" s="61">
        <f>SUM(X473:X484)</f>
        <v>0</v>
      </c>
      <c r="Y485" s="62">
        <f>IF($U485=0, ,X485/$U485)</f>
        <v>0</v>
      </c>
      <c r="Z485" s="61">
        <f>SUM(Z473:Z484)</f>
        <v>0</v>
      </c>
      <c r="AA485" s="62">
        <f>IF($U485=0, ,Z485/$U485)</f>
        <v>0</v>
      </c>
      <c r="AB485" s="59"/>
    </row>
    <row r="486" spans="1:28" ht="13.5" thickTop="1" x14ac:dyDescent="0.2">
      <c r="A486" s="228"/>
      <c r="B486" s="44"/>
      <c r="C486" s="45" t="s">
        <v>27</v>
      </c>
      <c r="D486" s="23"/>
      <c r="E486" s="44"/>
      <c r="F486" s="44"/>
      <c r="G486" s="44"/>
      <c r="H486" s="44"/>
      <c r="I486" s="44"/>
      <c r="J486" s="44"/>
      <c r="K486" s="44"/>
      <c r="L486" s="44"/>
      <c r="M486" s="44"/>
      <c r="N486" s="44"/>
      <c r="O486" s="93">
        <v>320</v>
      </c>
      <c r="P486" s="94" t="s">
        <v>33</v>
      </c>
      <c r="Q486" s="44"/>
      <c r="R486" s="44"/>
      <c r="S486" s="44"/>
      <c r="T486" s="44"/>
      <c r="U486" s="44"/>
      <c r="V486" s="44"/>
      <c r="W486" s="44"/>
      <c r="X486" s="44"/>
      <c r="Y486" s="44"/>
      <c r="Z486" s="44"/>
      <c r="AA486" s="44"/>
      <c r="AB486" s="46"/>
    </row>
    <row r="487" spans="1:28" x14ac:dyDescent="0.2">
      <c r="A487" s="228"/>
      <c r="B487" s="229" t="s">
        <v>35</v>
      </c>
      <c r="C487" s="230" t="s">
        <v>25</v>
      </c>
      <c r="D487" s="230" t="s">
        <v>28</v>
      </c>
      <c r="E487" s="237" t="s">
        <v>12</v>
      </c>
      <c r="F487" s="241" t="s">
        <v>13</v>
      </c>
      <c r="G487" s="241"/>
      <c r="H487" s="241"/>
      <c r="I487" s="241" t="s">
        <v>14</v>
      </c>
      <c r="J487" s="241"/>
      <c r="K487" s="241"/>
      <c r="L487" s="241" t="s">
        <v>15</v>
      </c>
      <c r="M487" s="241"/>
      <c r="N487" s="241"/>
      <c r="O487" s="225" t="s">
        <v>34</v>
      </c>
      <c r="P487" s="225" t="s">
        <v>48</v>
      </c>
      <c r="Q487" s="225" t="s">
        <v>60</v>
      </c>
      <c r="R487" s="225" t="s">
        <v>49</v>
      </c>
      <c r="S487" s="225" t="s">
        <v>61</v>
      </c>
      <c r="T487" s="251"/>
      <c r="U487" s="251"/>
      <c r="V487" s="251"/>
      <c r="W487" s="251"/>
      <c r="X487" s="251"/>
      <c r="Y487" s="251"/>
      <c r="Z487" s="251"/>
      <c r="AA487" s="251"/>
      <c r="AB487" s="252"/>
    </row>
    <row r="488" spans="1:28" ht="25.5" x14ac:dyDescent="0.2">
      <c r="A488" s="228"/>
      <c r="B488" s="229"/>
      <c r="C488" s="230"/>
      <c r="D488" s="230"/>
      <c r="E488" s="237"/>
      <c r="F488" s="18" t="s">
        <v>30</v>
      </c>
      <c r="G488" s="18" t="s">
        <v>46</v>
      </c>
      <c r="H488" s="18" t="s">
        <v>47</v>
      </c>
      <c r="I488" s="18" t="s">
        <v>30</v>
      </c>
      <c r="J488" s="18" t="s">
        <v>46</v>
      </c>
      <c r="K488" s="18" t="s">
        <v>47</v>
      </c>
      <c r="L488" s="18" t="s">
        <v>30</v>
      </c>
      <c r="M488" s="18" t="s">
        <v>46</v>
      </c>
      <c r="N488" s="18" t="s">
        <v>47</v>
      </c>
      <c r="O488" s="227"/>
      <c r="P488" s="227"/>
      <c r="Q488" s="227"/>
      <c r="R488" s="227"/>
      <c r="S488" s="227"/>
      <c r="T488" s="253"/>
      <c r="U488" s="253"/>
      <c r="V488" s="253"/>
      <c r="W488" s="253"/>
      <c r="X488" s="253"/>
      <c r="Y488" s="253"/>
      <c r="Z488" s="253"/>
      <c r="AA488" s="253"/>
      <c r="AB488" s="254"/>
    </row>
    <row r="489" spans="1:28" x14ac:dyDescent="0.2">
      <c r="A489" s="228"/>
      <c r="B489" s="242" t="s">
        <v>36</v>
      </c>
      <c r="C489" s="12"/>
      <c r="D489" s="12" t="s">
        <v>95</v>
      </c>
      <c r="E489" s="243" t="s">
        <v>1</v>
      </c>
      <c r="F489" s="13">
        <v>0</v>
      </c>
      <c r="G489" s="13">
        <v>0</v>
      </c>
      <c r="H489" s="13">
        <v>0</v>
      </c>
      <c r="I489" s="13">
        <v>0</v>
      </c>
      <c r="J489" s="13"/>
      <c r="K489" s="13"/>
      <c r="L489" s="13"/>
      <c r="M489" s="13">
        <f>H494+K494+N494+Q494+T494+W494+Z494</f>
        <v>0</v>
      </c>
      <c r="N489" s="13">
        <f>H495+K495+N495+Q495+T495+W495+Z495</f>
        <v>0</v>
      </c>
      <c r="O489" s="210">
        <f>SUM(F489, I489, L489, F490, I490, L490)*$O486</f>
        <v>0</v>
      </c>
      <c r="P489" s="210">
        <f>SUM(G489, J489, M489, G490, J490, M490)</f>
        <v>0</v>
      </c>
      <c r="Q489" s="212">
        <f>IF($O489=0, ,P489/$O489)</f>
        <v>0</v>
      </c>
      <c r="R489" s="210">
        <f>SUM(H489, K489, N489, H490, K490, N490)</f>
        <v>0</v>
      </c>
      <c r="S489" s="212">
        <f>IF($O489=0, ,R489/$O489)</f>
        <v>0</v>
      </c>
      <c r="T489" s="244"/>
      <c r="U489" s="244"/>
      <c r="V489" s="244"/>
      <c r="W489" s="244"/>
      <c r="X489" s="244"/>
      <c r="Y489" s="244"/>
      <c r="Z489" s="244"/>
      <c r="AA489" s="244"/>
      <c r="AB489" s="245"/>
    </row>
    <row r="490" spans="1:28" x14ac:dyDescent="0.2">
      <c r="A490" s="228"/>
      <c r="B490" s="242"/>
      <c r="C490" s="12"/>
      <c r="D490" s="12"/>
      <c r="E490" s="243"/>
      <c r="F490" s="13"/>
      <c r="G490" s="13">
        <f>F496+I496+L496+O496+R496+U496+X496</f>
        <v>0</v>
      </c>
      <c r="H490" s="13">
        <f>F497+I497+L497+O497+R497+U497+X497</f>
        <v>0</v>
      </c>
      <c r="I490" s="13"/>
      <c r="J490" s="13">
        <f>G496+J496+M496+P496+S496+V496+Y496</f>
        <v>0</v>
      </c>
      <c r="K490" s="13">
        <f>G497+J497+M497+P497+S497+V497+Y497</f>
        <v>0</v>
      </c>
      <c r="L490" s="13"/>
      <c r="M490" s="13">
        <f>H496+K496+N496+Q496+T496+W496+Z496</f>
        <v>0</v>
      </c>
      <c r="N490" s="13">
        <f>H497+K497+N497+Q497+T497+W497+Z497</f>
        <v>0</v>
      </c>
      <c r="O490" s="211"/>
      <c r="P490" s="211"/>
      <c r="Q490" s="213"/>
      <c r="R490" s="211"/>
      <c r="S490" s="213"/>
      <c r="T490" s="246"/>
      <c r="U490" s="246"/>
      <c r="V490" s="246"/>
      <c r="W490" s="246"/>
      <c r="X490" s="246"/>
      <c r="Y490" s="246"/>
      <c r="Z490" s="246"/>
      <c r="AA490" s="246"/>
      <c r="AB490" s="247"/>
    </row>
    <row r="491" spans="1:28" x14ac:dyDescent="0.2">
      <c r="A491" s="228"/>
      <c r="B491" s="56"/>
      <c r="C491" s="56"/>
      <c r="D491" s="56"/>
      <c r="E491" s="56"/>
      <c r="F491" s="89"/>
      <c r="G491" s="89"/>
      <c r="H491" s="89"/>
      <c r="I491" s="89"/>
      <c r="J491" s="89"/>
      <c r="K491" s="89"/>
      <c r="L491" s="89"/>
      <c r="M491" s="89"/>
      <c r="N491" s="89"/>
      <c r="O491" s="90"/>
      <c r="P491" s="90"/>
      <c r="Q491" s="91"/>
      <c r="R491" s="90"/>
      <c r="S491" s="91"/>
      <c r="T491" s="92"/>
      <c r="U491" s="92"/>
      <c r="V491" s="92"/>
      <c r="W491" s="92"/>
      <c r="X491" s="92"/>
      <c r="Y491" s="92"/>
      <c r="Z491" s="92"/>
      <c r="AA491" s="92"/>
      <c r="AB491" s="95"/>
    </row>
    <row r="492" spans="1:28" x14ac:dyDescent="0.2">
      <c r="A492" s="228"/>
      <c r="B492" s="256" t="s">
        <v>67</v>
      </c>
      <c r="C492" s="256"/>
      <c r="D492" s="257"/>
      <c r="E492" s="82" t="s">
        <v>68</v>
      </c>
      <c r="F492" s="248" t="s">
        <v>64</v>
      </c>
      <c r="G492" s="248"/>
      <c r="H492" s="248"/>
      <c r="I492" s="248" t="s">
        <v>76</v>
      </c>
      <c r="J492" s="248"/>
      <c r="K492" s="248"/>
      <c r="L492" s="248" t="s">
        <v>65</v>
      </c>
      <c r="M492" s="248"/>
      <c r="N492" s="248"/>
      <c r="O492" s="248" t="s">
        <v>66</v>
      </c>
      <c r="P492" s="248"/>
      <c r="Q492" s="248"/>
      <c r="R492" s="248" t="s">
        <v>73</v>
      </c>
      <c r="S492" s="248"/>
      <c r="T492" s="248"/>
      <c r="U492" s="248" t="s">
        <v>74</v>
      </c>
      <c r="V492" s="248"/>
      <c r="W492" s="248"/>
      <c r="X492" s="248" t="s">
        <v>75</v>
      </c>
      <c r="Y492" s="248"/>
      <c r="Z492" s="248"/>
      <c r="AA492" s="249"/>
      <c r="AB492" s="249"/>
    </row>
    <row r="493" spans="1:28" x14ac:dyDescent="0.2">
      <c r="A493" s="228"/>
      <c r="B493" s="258"/>
      <c r="C493" s="258"/>
      <c r="D493" s="259"/>
      <c r="E493" s="97" t="s">
        <v>69</v>
      </c>
      <c r="F493" s="83" t="s">
        <v>70</v>
      </c>
      <c r="G493" s="83" t="s">
        <v>71</v>
      </c>
      <c r="H493" s="84" t="s">
        <v>72</v>
      </c>
      <c r="I493" s="83" t="s">
        <v>70</v>
      </c>
      <c r="J493" s="83" t="s">
        <v>71</v>
      </c>
      <c r="K493" s="84" t="s">
        <v>72</v>
      </c>
      <c r="L493" s="83" t="s">
        <v>70</v>
      </c>
      <c r="M493" s="83" t="s">
        <v>71</v>
      </c>
      <c r="N493" s="84" t="s">
        <v>72</v>
      </c>
      <c r="O493" s="83" t="s">
        <v>70</v>
      </c>
      <c r="P493" s="83" t="s">
        <v>71</v>
      </c>
      <c r="Q493" s="84" t="s">
        <v>72</v>
      </c>
      <c r="R493" s="83" t="s">
        <v>70</v>
      </c>
      <c r="S493" s="83" t="s">
        <v>71</v>
      </c>
      <c r="T493" s="84" t="s">
        <v>72</v>
      </c>
      <c r="U493" s="83" t="s">
        <v>70</v>
      </c>
      <c r="V493" s="83" t="s">
        <v>71</v>
      </c>
      <c r="W493" s="84" t="s">
        <v>72</v>
      </c>
      <c r="X493" s="83" t="s">
        <v>70</v>
      </c>
      <c r="Y493" s="83" t="s">
        <v>71</v>
      </c>
      <c r="Z493" s="84" t="s">
        <v>72</v>
      </c>
      <c r="AA493" s="249"/>
      <c r="AB493" s="249"/>
    </row>
    <row r="494" spans="1:28" x14ac:dyDescent="0.2">
      <c r="A494" s="228"/>
      <c r="B494" s="260" t="str">
        <f>B489</f>
        <v>Final ASS</v>
      </c>
      <c r="C494" s="82" t="str">
        <f>IF(ISBLANK(C489), "", C489)</f>
        <v/>
      </c>
      <c r="D494" s="96" t="str">
        <f>IF(ISBLANK(D489), "", D489)</f>
        <v>unilever</v>
      </c>
      <c r="E494" s="82" t="s">
        <v>77</v>
      </c>
      <c r="F494" s="86"/>
      <c r="G494" s="85"/>
      <c r="H494" s="85"/>
      <c r="I494" s="85"/>
      <c r="J494" s="85"/>
      <c r="K494" s="85"/>
      <c r="L494" s="87"/>
      <c r="M494" s="87"/>
      <c r="N494" s="87"/>
      <c r="O494" s="87"/>
      <c r="P494" s="87"/>
      <c r="Q494" s="85"/>
      <c r="R494" s="87"/>
      <c r="S494" s="87"/>
      <c r="T494" s="87"/>
      <c r="U494" s="87">
        <v>8</v>
      </c>
      <c r="V494" s="87"/>
      <c r="W494" s="85"/>
      <c r="X494" s="85">
        <v>2</v>
      </c>
      <c r="Y494" s="85"/>
      <c r="Z494" s="88"/>
      <c r="AA494" s="249"/>
      <c r="AB494" s="249"/>
    </row>
    <row r="495" spans="1:28" x14ac:dyDescent="0.2">
      <c r="A495" s="228"/>
      <c r="B495" s="260"/>
      <c r="C495" s="82" t="str">
        <f>IF(ISBLANK(C489), "", C489)</f>
        <v/>
      </c>
      <c r="D495" s="96" t="str">
        <f>IF(ISBLANK(D489), "", D489)</f>
        <v>unilever</v>
      </c>
      <c r="E495" s="82" t="s">
        <v>78</v>
      </c>
      <c r="F495" s="86"/>
      <c r="G495" s="85"/>
      <c r="H495" s="85"/>
      <c r="I495" s="85"/>
      <c r="J495" s="85"/>
      <c r="K495" s="85"/>
      <c r="L495" s="87"/>
      <c r="M495" s="87"/>
      <c r="N495" s="87"/>
      <c r="O495" s="87"/>
      <c r="P495" s="87"/>
      <c r="Q495" s="85"/>
      <c r="R495" s="87"/>
      <c r="S495" s="87"/>
      <c r="T495" s="87"/>
      <c r="U495" s="87"/>
      <c r="V495" s="87"/>
      <c r="W495" s="85"/>
      <c r="X495" s="85"/>
      <c r="Y495" s="85"/>
      <c r="Z495" s="88"/>
      <c r="AA495" s="249"/>
      <c r="AB495" s="249"/>
    </row>
    <row r="496" spans="1:28" x14ac:dyDescent="0.2">
      <c r="A496" s="228"/>
      <c r="B496" s="260"/>
      <c r="C496" s="82" t="str">
        <f>IF(ISBLANK(C490), "", C490)</f>
        <v/>
      </c>
      <c r="D496" s="96" t="str">
        <f>IF(ISBLANK(D490), "", D490)</f>
        <v/>
      </c>
      <c r="E496" s="82" t="s">
        <v>77</v>
      </c>
      <c r="F496" s="86"/>
      <c r="G496" s="85"/>
      <c r="H496" s="85"/>
      <c r="I496" s="85"/>
      <c r="J496" s="85"/>
      <c r="K496" s="85"/>
      <c r="L496" s="87"/>
      <c r="M496" s="87"/>
      <c r="N496" s="87"/>
      <c r="O496" s="87"/>
      <c r="P496" s="87"/>
      <c r="Q496" s="85"/>
      <c r="R496" s="87"/>
      <c r="S496" s="87"/>
      <c r="T496" s="87"/>
      <c r="U496" s="87"/>
      <c r="V496" s="87"/>
      <c r="W496" s="85"/>
      <c r="X496" s="85"/>
      <c r="Y496" s="85"/>
      <c r="Z496" s="88"/>
      <c r="AA496" s="249"/>
      <c r="AB496" s="249"/>
    </row>
    <row r="497" spans="1:28" x14ac:dyDescent="0.2">
      <c r="A497" s="228"/>
      <c r="B497" s="260"/>
      <c r="C497" s="82" t="str">
        <f>IF(ISBLANK(C490), "", C490)</f>
        <v/>
      </c>
      <c r="D497" s="96" t="str">
        <f>IF(ISBLANK(D490), "", D490)</f>
        <v/>
      </c>
      <c r="E497" s="82" t="s">
        <v>78</v>
      </c>
      <c r="F497" s="86"/>
      <c r="G497" s="85"/>
      <c r="H497" s="85"/>
      <c r="I497" s="85"/>
      <c r="J497" s="85"/>
      <c r="K497" s="85"/>
      <c r="L497" s="87"/>
      <c r="M497" s="87"/>
      <c r="N497" s="87"/>
      <c r="O497" s="87"/>
      <c r="P497" s="87"/>
      <c r="Q497" s="85"/>
      <c r="R497" s="87"/>
      <c r="S497" s="87"/>
      <c r="T497" s="87"/>
      <c r="U497" s="87"/>
      <c r="V497" s="87"/>
      <c r="W497" s="85"/>
      <c r="X497" s="85"/>
      <c r="Y497" s="85"/>
      <c r="Z497" s="88"/>
      <c r="AA497" s="249"/>
      <c r="AB497" s="249"/>
    </row>
    <row r="499" spans="1:28" x14ac:dyDescent="0.2">
      <c r="A499" s="228">
        <v>44730</v>
      </c>
      <c r="B499" s="19"/>
      <c r="C499" s="19" t="s">
        <v>42</v>
      </c>
      <c r="D499" s="20"/>
      <c r="E499" s="21" t="s">
        <v>41</v>
      </c>
      <c r="F499" s="20">
        <v>0</v>
      </c>
      <c r="G499" s="20"/>
      <c r="H499" s="20"/>
      <c r="I499" s="21"/>
      <c r="J499" s="21"/>
      <c r="K499" s="32"/>
      <c r="L499" s="32"/>
      <c r="M499" s="20"/>
      <c r="N499" s="21"/>
      <c r="O499" s="21"/>
      <c r="P499" s="32"/>
      <c r="Q499" s="32"/>
      <c r="R499" s="20"/>
      <c r="S499" s="21"/>
      <c r="T499" s="21"/>
      <c r="U499" s="41">
        <v>160</v>
      </c>
      <c r="V499" s="42" t="s">
        <v>32</v>
      </c>
      <c r="W499" s="42"/>
      <c r="X499" s="43"/>
      <c r="Y499" s="31"/>
      <c r="Z499" s="31"/>
      <c r="AA499" s="31"/>
      <c r="AB499" s="33"/>
    </row>
    <row r="500" spans="1:28" x14ac:dyDescent="0.2">
      <c r="A500" s="228"/>
      <c r="B500" s="229" t="s">
        <v>10</v>
      </c>
      <c r="C500" s="230" t="s">
        <v>25</v>
      </c>
      <c r="D500" s="230" t="s">
        <v>28</v>
      </c>
      <c r="E500" s="237" t="s">
        <v>12</v>
      </c>
      <c r="F500" s="222" t="s">
        <v>13</v>
      </c>
      <c r="G500" s="223"/>
      <c r="H500" s="223"/>
      <c r="I500" s="223"/>
      <c r="J500" s="224"/>
      <c r="K500" s="222" t="s">
        <v>14</v>
      </c>
      <c r="L500" s="223"/>
      <c r="M500" s="223"/>
      <c r="N500" s="223"/>
      <c r="O500" s="224"/>
      <c r="P500" s="222" t="s">
        <v>15</v>
      </c>
      <c r="Q500" s="223"/>
      <c r="R500" s="223"/>
      <c r="S500" s="223"/>
      <c r="T500" s="224"/>
      <c r="U500" s="255" t="s">
        <v>34</v>
      </c>
      <c r="V500" s="255" t="s">
        <v>48</v>
      </c>
      <c r="W500" s="255" t="s">
        <v>56</v>
      </c>
      <c r="X500" s="255" t="s">
        <v>54</v>
      </c>
      <c r="Y500" s="255" t="s">
        <v>57</v>
      </c>
      <c r="Z500" s="255" t="s">
        <v>55</v>
      </c>
      <c r="AA500" s="255" t="s">
        <v>58</v>
      </c>
      <c r="AB500" s="255" t="s">
        <v>38</v>
      </c>
    </row>
    <row r="501" spans="1:28" ht="38.25" x14ac:dyDescent="0.2">
      <c r="A501" s="228"/>
      <c r="B501" s="229"/>
      <c r="C501" s="230"/>
      <c r="D501" s="230"/>
      <c r="E501" s="237"/>
      <c r="F501" s="18" t="s">
        <v>45</v>
      </c>
      <c r="G501" s="18" t="s">
        <v>29</v>
      </c>
      <c r="H501" s="18" t="s">
        <v>46</v>
      </c>
      <c r="I501" s="18" t="s">
        <v>52</v>
      </c>
      <c r="J501" s="18" t="s">
        <v>53</v>
      </c>
      <c r="K501" s="18" t="s">
        <v>45</v>
      </c>
      <c r="L501" s="18" t="s">
        <v>29</v>
      </c>
      <c r="M501" s="18" t="s">
        <v>46</v>
      </c>
      <c r="N501" s="18" t="s">
        <v>52</v>
      </c>
      <c r="O501" s="18" t="s">
        <v>53</v>
      </c>
      <c r="P501" s="18" t="s">
        <v>45</v>
      </c>
      <c r="Q501" s="18" t="s">
        <v>29</v>
      </c>
      <c r="R501" s="18" t="s">
        <v>46</v>
      </c>
      <c r="S501" s="18" t="s">
        <v>52</v>
      </c>
      <c r="T501" s="18" t="s">
        <v>53</v>
      </c>
      <c r="U501" s="255"/>
      <c r="V501" s="255"/>
      <c r="W501" s="255"/>
      <c r="X501" s="255"/>
      <c r="Y501" s="255"/>
      <c r="Z501" s="255"/>
      <c r="AA501" s="255"/>
      <c r="AB501" s="255"/>
    </row>
    <row r="502" spans="1:28" x14ac:dyDescent="0.2">
      <c r="A502" s="228"/>
      <c r="B502" s="232" t="s">
        <v>17</v>
      </c>
      <c r="C502" s="12">
        <v>20591</v>
      </c>
      <c r="D502" s="12"/>
      <c r="E502" s="234" t="s">
        <v>1</v>
      </c>
      <c r="F502" s="13">
        <v>3085</v>
      </c>
      <c r="G502" s="25">
        <f>F502/$U499</f>
        <v>19.28125</v>
      </c>
      <c r="H502" s="13"/>
      <c r="I502" s="13"/>
      <c r="J502" s="13"/>
      <c r="K502" s="13">
        <v>0</v>
      </c>
      <c r="L502" s="25">
        <f>K502/$U499</f>
        <v>0</v>
      </c>
      <c r="M502" s="13"/>
      <c r="N502" s="13"/>
      <c r="O502" s="13"/>
      <c r="P502" s="13"/>
      <c r="Q502" s="25">
        <f>P502/$U499</f>
        <v>0</v>
      </c>
      <c r="R502" s="13"/>
      <c r="S502" s="13"/>
      <c r="T502" s="13"/>
      <c r="U502" s="210">
        <f>SUM(F502, K502, P502, F503, K503, P503)</f>
        <v>3085</v>
      </c>
      <c r="V502" s="210">
        <f>SUM(H502, M502, R502, H503, M503, R503)</f>
        <v>0</v>
      </c>
      <c r="W502" s="212">
        <f>IF($U502=0, ,V502/$U502)</f>
        <v>0</v>
      </c>
      <c r="X502" s="210">
        <f>SUM(I502, N502, S502, I503, N503, S503)</f>
        <v>0</v>
      </c>
      <c r="Y502" s="212">
        <f>IF($U502=0, ,X502/$U502)</f>
        <v>0</v>
      </c>
      <c r="Z502" s="210">
        <f>SUM(J502, O502, T502, J503, O503, T503)</f>
        <v>0</v>
      </c>
      <c r="AA502" s="212">
        <f>IF($U502=0, ,Z502/$U502)</f>
        <v>0</v>
      </c>
      <c r="AB502" s="214"/>
    </row>
    <row r="503" spans="1:28" x14ac:dyDescent="0.2">
      <c r="A503" s="228"/>
      <c r="B503" s="250"/>
      <c r="C503" s="12"/>
      <c r="D503" s="12"/>
      <c r="E503" s="236"/>
      <c r="F503" s="13"/>
      <c r="G503" s="25">
        <f>F503/$U499</f>
        <v>0</v>
      </c>
      <c r="H503" s="13"/>
      <c r="I503" s="13"/>
      <c r="J503" s="13"/>
      <c r="K503" s="13"/>
      <c r="L503" s="25">
        <f>K503/$U499</f>
        <v>0</v>
      </c>
      <c r="M503" s="13"/>
      <c r="N503" s="13"/>
      <c r="O503" s="13"/>
      <c r="P503" s="13"/>
      <c r="Q503" s="25">
        <f>P503/$U499</f>
        <v>0</v>
      </c>
      <c r="R503" s="13"/>
      <c r="S503" s="13"/>
      <c r="T503" s="13"/>
      <c r="U503" s="211"/>
      <c r="V503" s="211"/>
      <c r="W503" s="213"/>
      <c r="X503" s="211"/>
      <c r="Y503" s="213"/>
      <c r="Z503" s="211"/>
      <c r="AA503" s="213"/>
      <c r="AB503" s="215"/>
    </row>
    <row r="504" spans="1:28" x14ac:dyDescent="0.2">
      <c r="A504" s="228"/>
      <c r="B504" s="216" t="s">
        <v>18</v>
      </c>
      <c r="C504" s="10"/>
      <c r="D504" s="10"/>
      <c r="E504" s="218" t="s">
        <v>1</v>
      </c>
      <c r="F504" s="14">
        <v>0</v>
      </c>
      <c r="G504" s="26">
        <f>F504/$U499</f>
        <v>0</v>
      </c>
      <c r="H504" s="14"/>
      <c r="I504" s="14"/>
      <c r="J504" s="14"/>
      <c r="K504" s="14">
        <v>0</v>
      </c>
      <c r="L504" s="26">
        <f>K504/$U499</f>
        <v>0</v>
      </c>
      <c r="M504" s="14"/>
      <c r="N504" s="14"/>
      <c r="O504" s="14"/>
      <c r="P504" s="14"/>
      <c r="Q504" s="26">
        <f>P504/$U499</f>
        <v>0</v>
      </c>
      <c r="R504" s="14"/>
      <c r="S504" s="14"/>
      <c r="T504" s="14"/>
      <c r="U504" s="220">
        <f>SUM(F504, K504, P504, F505, K505, P505)</f>
        <v>0</v>
      </c>
      <c r="V504" s="220">
        <f>SUM(H504, M504, R504, H505, M505, R505)</f>
        <v>0</v>
      </c>
      <c r="W504" s="194">
        <f>IF($U504=0, ,V504/$U504)</f>
        <v>0</v>
      </c>
      <c r="X504" s="220">
        <f>SUM(I504, N504, S504, I505, N505, S505)</f>
        <v>0</v>
      </c>
      <c r="Y504" s="194">
        <f>IF($U504=0, ,X504/$U504)</f>
        <v>0</v>
      </c>
      <c r="Z504" s="220">
        <f>SUM(J504, O504, T504, J505, O505, T505)</f>
        <v>0</v>
      </c>
      <c r="AA504" s="194">
        <f>IF($U504=0, ,Z504/$U504)</f>
        <v>0</v>
      </c>
      <c r="AB504" s="204"/>
    </row>
    <row r="505" spans="1:28" x14ac:dyDescent="0.2">
      <c r="A505" s="228"/>
      <c r="B505" s="217"/>
      <c r="C505" s="10"/>
      <c r="D505" s="10"/>
      <c r="E505" s="219"/>
      <c r="F505" s="14"/>
      <c r="G505" s="26">
        <f>F505/$U499</f>
        <v>0</v>
      </c>
      <c r="H505" s="14"/>
      <c r="I505" s="14"/>
      <c r="J505" s="14"/>
      <c r="K505" s="14"/>
      <c r="L505" s="26">
        <f>K505/$U499</f>
        <v>0</v>
      </c>
      <c r="M505" s="14"/>
      <c r="N505" s="14"/>
      <c r="O505" s="14"/>
      <c r="P505" s="14"/>
      <c r="Q505" s="26">
        <f>P505/$U499</f>
        <v>0</v>
      </c>
      <c r="R505" s="14"/>
      <c r="S505" s="14"/>
      <c r="T505" s="14"/>
      <c r="U505" s="221"/>
      <c r="V505" s="221"/>
      <c r="W505" s="195"/>
      <c r="X505" s="221"/>
      <c r="Y505" s="195"/>
      <c r="Z505" s="221"/>
      <c r="AA505" s="195"/>
      <c r="AB505" s="205"/>
    </row>
    <row r="506" spans="1:28" x14ac:dyDescent="0.2">
      <c r="A506" s="228"/>
      <c r="B506" s="232" t="s">
        <v>19</v>
      </c>
      <c r="C506" s="9"/>
      <c r="D506" s="9"/>
      <c r="E506" s="208" t="s">
        <v>1</v>
      </c>
      <c r="F506" s="15">
        <v>0</v>
      </c>
      <c r="G506" s="27">
        <f>F506/$U499</f>
        <v>0</v>
      </c>
      <c r="H506" s="15"/>
      <c r="I506" s="15"/>
      <c r="J506" s="15"/>
      <c r="K506" s="15">
        <v>0</v>
      </c>
      <c r="L506" s="27">
        <f>K506/$U499</f>
        <v>0</v>
      </c>
      <c r="M506" s="15"/>
      <c r="N506" s="15"/>
      <c r="O506" s="15"/>
      <c r="P506" s="15"/>
      <c r="Q506" s="27">
        <f>P506/$U499</f>
        <v>0</v>
      </c>
      <c r="R506" s="15"/>
      <c r="S506" s="15"/>
      <c r="T506" s="15"/>
      <c r="U506" s="210">
        <f>SUM(F506, K506, P506, F507, K507, P507)</f>
        <v>0</v>
      </c>
      <c r="V506" s="210">
        <f>SUM(H506, M506, R506, H507, M507, R507)</f>
        <v>0</v>
      </c>
      <c r="W506" s="212">
        <f>IF($U506=0, ,V506/$U506)</f>
        <v>0</v>
      </c>
      <c r="X506" s="210">
        <f>SUM(I506, N506, S506, I507, N507, S507)</f>
        <v>0</v>
      </c>
      <c r="Y506" s="212">
        <f>IF($U506=0, ,X506/$U506)</f>
        <v>0</v>
      </c>
      <c r="Z506" s="210">
        <f>SUM(J506, O506, T506, J507, O507, T507)</f>
        <v>0</v>
      </c>
      <c r="AA506" s="212">
        <f>IF($U506=0, ,Z506/$U506)</f>
        <v>0</v>
      </c>
      <c r="AB506" s="214"/>
    </row>
    <row r="507" spans="1:28" x14ac:dyDescent="0.2">
      <c r="A507" s="228"/>
      <c r="B507" s="250"/>
      <c r="C507" s="9"/>
      <c r="D507" s="9"/>
      <c r="E507" s="209"/>
      <c r="F507" s="15"/>
      <c r="G507" s="27">
        <f>F507/$U499</f>
        <v>0</v>
      </c>
      <c r="H507" s="15"/>
      <c r="I507" s="15"/>
      <c r="J507" s="15"/>
      <c r="K507" s="15"/>
      <c r="L507" s="27">
        <f>K507/$U499</f>
        <v>0</v>
      </c>
      <c r="M507" s="15"/>
      <c r="N507" s="15"/>
      <c r="O507" s="15"/>
      <c r="P507" s="15"/>
      <c r="Q507" s="27">
        <f>P507/$U499</f>
        <v>0</v>
      </c>
      <c r="R507" s="15"/>
      <c r="S507" s="15"/>
      <c r="T507" s="15"/>
      <c r="U507" s="211"/>
      <c r="V507" s="211"/>
      <c r="W507" s="213"/>
      <c r="X507" s="211"/>
      <c r="Y507" s="213"/>
      <c r="Z507" s="211"/>
      <c r="AA507" s="213"/>
      <c r="AB507" s="215"/>
    </row>
    <row r="508" spans="1:28" x14ac:dyDescent="0.2">
      <c r="A508" s="228"/>
      <c r="B508" s="216" t="s">
        <v>20</v>
      </c>
      <c r="C508" s="10">
        <v>20591</v>
      </c>
      <c r="D508" s="10"/>
      <c r="E508" s="218" t="s">
        <v>1</v>
      </c>
      <c r="F508" s="14">
        <v>2882</v>
      </c>
      <c r="G508" s="26">
        <f>F508/$U499</f>
        <v>18.012499999999999</v>
      </c>
      <c r="H508" s="14"/>
      <c r="I508" s="14"/>
      <c r="J508" s="14"/>
      <c r="K508" s="14">
        <v>0</v>
      </c>
      <c r="L508" s="26">
        <f>K508/$U499</f>
        <v>0</v>
      </c>
      <c r="M508" s="14"/>
      <c r="N508" s="14"/>
      <c r="O508" s="14"/>
      <c r="P508" s="14"/>
      <c r="Q508" s="26">
        <f>P508/$U499</f>
        <v>0</v>
      </c>
      <c r="R508" s="14"/>
      <c r="S508" s="14"/>
      <c r="T508" s="14"/>
      <c r="U508" s="220">
        <f>SUM(F508, K508, P508, F509, K509, P509)</f>
        <v>2882</v>
      </c>
      <c r="V508" s="220">
        <f>SUM(H508, M508, R508, H509, M509, R509)</f>
        <v>0</v>
      </c>
      <c r="W508" s="194">
        <f>IF($U508=0, ,V508/$U508)</f>
        <v>0</v>
      </c>
      <c r="X508" s="220">
        <f>SUM(I508, N508, S508, I509, N509, S509)</f>
        <v>0</v>
      </c>
      <c r="Y508" s="194">
        <f>IF($U508=0, ,X508/$U508)</f>
        <v>0</v>
      </c>
      <c r="Z508" s="220">
        <f>SUM(J508, O508, T508, J509, O509, T509)</f>
        <v>0</v>
      </c>
      <c r="AA508" s="194">
        <f>IF($U508=0, ,Z508/$U508)</f>
        <v>0</v>
      </c>
      <c r="AB508" s="204"/>
    </row>
    <row r="509" spans="1:28" x14ac:dyDescent="0.2">
      <c r="A509" s="228"/>
      <c r="B509" s="217"/>
      <c r="C509" s="10"/>
      <c r="D509" s="10"/>
      <c r="E509" s="219"/>
      <c r="F509" s="14"/>
      <c r="G509" s="26">
        <f>F509/$U499</f>
        <v>0</v>
      </c>
      <c r="H509" s="14"/>
      <c r="I509" s="14"/>
      <c r="J509" s="14"/>
      <c r="K509" s="14"/>
      <c r="L509" s="26">
        <f>K509/$U499</f>
        <v>0</v>
      </c>
      <c r="M509" s="14"/>
      <c r="N509" s="14"/>
      <c r="O509" s="14"/>
      <c r="P509" s="14"/>
      <c r="Q509" s="26">
        <f>P509/$U499</f>
        <v>0</v>
      </c>
      <c r="R509" s="14"/>
      <c r="S509" s="14"/>
      <c r="T509" s="14"/>
      <c r="U509" s="221"/>
      <c r="V509" s="221"/>
      <c r="W509" s="195"/>
      <c r="X509" s="221"/>
      <c r="Y509" s="195"/>
      <c r="Z509" s="221"/>
      <c r="AA509" s="195"/>
      <c r="AB509" s="205"/>
    </row>
    <row r="510" spans="1:28" x14ac:dyDescent="0.2">
      <c r="A510" s="228"/>
      <c r="B510" s="232" t="s">
        <v>21</v>
      </c>
      <c r="C510" s="9">
        <v>20591</v>
      </c>
      <c r="D510" s="9"/>
      <c r="E510" s="208" t="s">
        <v>1</v>
      </c>
      <c r="F510" s="15">
        <v>3053</v>
      </c>
      <c r="G510" s="27">
        <f>F510/$U499</f>
        <v>19.081250000000001</v>
      </c>
      <c r="H510" s="15"/>
      <c r="I510" s="15"/>
      <c r="J510" s="15"/>
      <c r="K510" s="15">
        <v>0</v>
      </c>
      <c r="L510" s="27">
        <f>K510/$U499</f>
        <v>0</v>
      </c>
      <c r="M510" s="15"/>
      <c r="N510" s="15"/>
      <c r="O510" s="15"/>
      <c r="P510" s="15"/>
      <c r="Q510" s="27">
        <f>P510/$U499</f>
        <v>0</v>
      </c>
      <c r="R510" s="15"/>
      <c r="S510" s="15"/>
      <c r="T510" s="15"/>
      <c r="U510" s="210">
        <f>SUM(F510, K510, P510, F511, K511, P511)</f>
        <v>3053</v>
      </c>
      <c r="V510" s="210">
        <f>SUM(H510, M510, R510, H511, M511, R511)</f>
        <v>0</v>
      </c>
      <c r="W510" s="212">
        <f>IF($U510=0, ,V510/$U510)</f>
        <v>0</v>
      </c>
      <c r="X510" s="210">
        <f>SUM(I510, N510, S510, I511, N511, S511)</f>
        <v>0</v>
      </c>
      <c r="Y510" s="212">
        <f>IF($U510=0, ,X510/$U510)</f>
        <v>0</v>
      </c>
      <c r="Z510" s="210">
        <f>SUM(J510, O510, T510, J511, O511, T511)</f>
        <v>0</v>
      </c>
      <c r="AA510" s="212">
        <f>IF($U510=0, ,Z510/$U510)</f>
        <v>0</v>
      </c>
      <c r="AB510" s="214"/>
    </row>
    <row r="511" spans="1:28" x14ac:dyDescent="0.2">
      <c r="A511" s="228"/>
      <c r="B511" s="250"/>
      <c r="C511" s="9"/>
      <c r="D511" s="9"/>
      <c r="E511" s="209"/>
      <c r="F511" s="15"/>
      <c r="G511" s="27">
        <f>F511/$U499</f>
        <v>0</v>
      </c>
      <c r="H511" s="15"/>
      <c r="I511" s="15"/>
      <c r="J511" s="15"/>
      <c r="K511" s="15"/>
      <c r="L511" s="27">
        <f>K511/$U499</f>
        <v>0</v>
      </c>
      <c r="M511" s="15"/>
      <c r="N511" s="15"/>
      <c r="O511" s="15"/>
      <c r="P511" s="15"/>
      <c r="Q511" s="27">
        <f>P511/$U499</f>
        <v>0</v>
      </c>
      <c r="R511" s="15"/>
      <c r="S511" s="15"/>
      <c r="T511" s="15"/>
      <c r="U511" s="211"/>
      <c r="V511" s="211"/>
      <c r="W511" s="213"/>
      <c r="X511" s="211"/>
      <c r="Y511" s="213"/>
      <c r="Z511" s="211"/>
      <c r="AA511" s="213"/>
      <c r="AB511" s="215"/>
    </row>
    <row r="512" spans="1:28" x14ac:dyDescent="0.2">
      <c r="A512" s="228"/>
      <c r="B512" s="216" t="s">
        <v>22</v>
      </c>
      <c r="C512" s="11">
        <v>20591</v>
      </c>
      <c r="D512" s="11"/>
      <c r="E512" s="191" t="s">
        <v>1</v>
      </c>
      <c r="F512" s="16">
        <v>2433</v>
      </c>
      <c r="G512" s="28">
        <f>F512/$U499</f>
        <v>15.206250000000001</v>
      </c>
      <c r="H512" s="16"/>
      <c r="I512" s="16"/>
      <c r="J512" s="16"/>
      <c r="K512" s="16">
        <v>0</v>
      </c>
      <c r="L512" s="28">
        <f>K512/$U499</f>
        <v>0</v>
      </c>
      <c r="M512" s="16"/>
      <c r="N512" s="16"/>
      <c r="O512" s="16"/>
      <c r="P512" s="16"/>
      <c r="Q512" s="28">
        <f>P512/$U499</f>
        <v>0</v>
      </c>
      <c r="R512" s="16"/>
      <c r="S512" s="16"/>
      <c r="T512" s="16"/>
      <c r="U512" s="220">
        <f>SUM(F512, K512, P512, F513, K513, P513)</f>
        <v>2433</v>
      </c>
      <c r="V512" s="220">
        <f>SUM(H512, M512, R512, H513, M513, R513)</f>
        <v>0</v>
      </c>
      <c r="W512" s="194">
        <f>IF($U512=0, ,V512/$U512)</f>
        <v>0</v>
      </c>
      <c r="X512" s="220">
        <f>SUM(I512, N512, S512, I513, N513, S513)</f>
        <v>0</v>
      </c>
      <c r="Y512" s="194">
        <f>IF($U512=0, ,X512/$U512)</f>
        <v>0</v>
      </c>
      <c r="Z512" s="220">
        <f>SUM(J512, O512, T512, J513, O513, T513)</f>
        <v>0</v>
      </c>
      <c r="AA512" s="194">
        <f>IF($U512=0, ,Z512/$U512)</f>
        <v>0</v>
      </c>
      <c r="AB512" s="204"/>
    </row>
    <row r="513" spans="1:28" x14ac:dyDescent="0.2">
      <c r="A513" s="228"/>
      <c r="B513" s="217"/>
      <c r="C513" s="11"/>
      <c r="D513" s="11"/>
      <c r="E513" s="192"/>
      <c r="F513" s="16"/>
      <c r="G513" s="28">
        <f>F513/$U499</f>
        <v>0</v>
      </c>
      <c r="H513" s="16"/>
      <c r="I513" s="16"/>
      <c r="J513" s="16"/>
      <c r="K513" s="16"/>
      <c r="L513" s="28">
        <f>K513/$U499</f>
        <v>0</v>
      </c>
      <c r="M513" s="16"/>
      <c r="N513" s="16"/>
      <c r="O513" s="16"/>
      <c r="P513" s="16"/>
      <c r="Q513" s="28">
        <f>P513/$U499</f>
        <v>0</v>
      </c>
      <c r="R513" s="16"/>
      <c r="S513" s="16"/>
      <c r="T513" s="16"/>
      <c r="U513" s="221"/>
      <c r="V513" s="221"/>
      <c r="W513" s="195"/>
      <c r="X513" s="221"/>
      <c r="Y513" s="195"/>
      <c r="Z513" s="221"/>
      <c r="AA513" s="195"/>
      <c r="AB513" s="205"/>
    </row>
    <row r="514" spans="1:28" ht="13.5" thickBot="1" x14ac:dyDescent="0.25">
      <c r="A514" s="228"/>
      <c r="B514" s="56"/>
      <c r="C514" s="56"/>
      <c r="D514" s="56"/>
      <c r="E514" s="56"/>
      <c r="F514" s="57"/>
      <c r="G514" s="58"/>
      <c r="H514" s="57"/>
      <c r="I514" s="57"/>
      <c r="J514" s="57"/>
      <c r="K514" s="57"/>
      <c r="L514" s="58"/>
      <c r="M514" s="57"/>
      <c r="N514" s="57"/>
      <c r="O514" s="57"/>
      <c r="P514" s="57"/>
      <c r="Q514" s="58"/>
      <c r="R514" s="57"/>
      <c r="S514" s="57"/>
      <c r="T514" s="60" t="s">
        <v>59</v>
      </c>
      <c r="U514" s="61">
        <f>SUM(U502:U513)</f>
        <v>11453</v>
      </c>
      <c r="V514" s="61">
        <f>SUM(V502:V513)</f>
        <v>0</v>
      </c>
      <c r="W514" s="62">
        <f>IF($U514=0, ,V514/$U514)</f>
        <v>0</v>
      </c>
      <c r="X514" s="61">
        <f>SUM(X502:X513)</f>
        <v>0</v>
      </c>
      <c r="Y514" s="62">
        <f>IF($U514=0, ,X514/$U514)</f>
        <v>0</v>
      </c>
      <c r="Z514" s="61">
        <f>SUM(Z502:Z513)</f>
        <v>0</v>
      </c>
      <c r="AA514" s="62">
        <f>IF($U514=0, ,Z514/$U514)</f>
        <v>0</v>
      </c>
      <c r="AB514" s="59"/>
    </row>
    <row r="515" spans="1:28" ht="13.5" thickTop="1" x14ac:dyDescent="0.2">
      <c r="A515" s="228"/>
      <c r="B515" s="44"/>
      <c r="C515" s="45" t="s">
        <v>27</v>
      </c>
      <c r="D515" s="23"/>
      <c r="E515" s="44"/>
      <c r="F515" s="44"/>
      <c r="G515" s="44"/>
      <c r="H515" s="44"/>
      <c r="I515" s="44"/>
      <c r="J515" s="44"/>
      <c r="K515" s="44"/>
      <c r="L515" s="44"/>
      <c r="M515" s="44"/>
      <c r="N515" s="44"/>
      <c r="O515" s="93">
        <v>320</v>
      </c>
      <c r="P515" s="94" t="s">
        <v>33</v>
      </c>
      <c r="Q515" s="44"/>
      <c r="R515" s="44"/>
      <c r="S515" s="44"/>
      <c r="T515" s="44"/>
      <c r="U515" s="44"/>
      <c r="V515" s="44"/>
      <c r="W515" s="44"/>
      <c r="X515" s="44"/>
      <c r="Y515" s="44"/>
      <c r="Z515" s="44"/>
      <c r="AA515" s="44"/>
      <c r="AB515" s="46"/>
    </row>
    <row r="516" spans="1:28" x14ac:dyDescent="0.2">
      <c r="A516" s="228"/>
      <c r="B516" s="229" t="s">
        <v>35</v>
      </c>
      <c r="C516" s="230" t="s">
        <v>25</v>
      </c>
      <c r="D516" s="230" t="s">
        <v>28</v>
      </c>
      <c r="E516" s="237" t="s">
        <v>12</v>
      </c>
      <c r="F516" s="241" t="s">
        <v>13</v>
      </c>
      <c r="G516" s="241"/>
      <c r="H516" s="241"/>
      <c r="I516" s="241" t="s">
        <v>14</v>
      </c>
      <c r="J516" s="241"/>
      <c r="K516" s="241"/>
      <c r="L516" s="241" t="s">
        <v>15</v>
      </c>
      <c r="M516" s="241"/>
      <c r="N516" s="241"/>
      <c r="O516" s="225" t="s">
        <v>34</v>
      </c>
      <c r="P516" s="225" t="s">
        <v>48</v>
      </c>
      <c r="Q516" s="225" t="s">
        <v>60</v>
      </c>
      <c r="R516" s="225" t="s">
        <v>49</v>
      </c>
      <c r="S516" s="225" t="s">
        <v>61</v>
      </c>
      <c r="T516" s="251"/>
      <c r="U516" s="251"/>
      <c r="V516" s="251"/>
      <c r="W516" s="251"/>
      <c r="X516" s="251"/>
      <c r="Y516" s="251"/>
      <c r="Z516" s="251"/>
      <c r="AA516" s="251"/>
      <c r="AB516" s="252"/>
    </row>
    <row r="517" spans="1:28" ht="25.5" x14ac:dyDescent="0.2">
      <c r="A517" s="228"/>
      <c r="B517" s="229"/>
      <c r="C517" s="230"/>
      <c r="D517" s="230"/>
      <c r="E517" s="237"/>
      <c r="F517" s="18" t="s">
        <v>30</v>
      </c>
      <c r="G517" s="18" t="s">
        <v>46</v>
      </c>
      <c r="H517" s="18" t="s">
        <v>47</v>
      </c>
      <c r="I517" s="18" t="s">
        <v>30</v>
      </c>
      <c r="J517" s="18" t="s">
        <v>46</v>
      </c>
      <c r="K517" s="18" t="s">
        <v>47</v>
      </c>
      <c r="L517" s="18" t="s">
        <v>30</v>
      </c>
      <c r="M517" s="18" t="s">
        <v>46</v>
      </c>
      <c r="N517" s="18" t="s">
        <v>47</v>
      </c>
      <c r="O517" s="227"/>
      <c r="P517" s="227"/>
      <c r="Q517" s="227"/>
      <c r="R517" s="227"/>
      <c r="S517" s="227"/>
      <c r="T517" s="253"/>
      <c r="U517" s="253"/>
      <c r="V517" s="253"/>
      <c r="W517" s="253"/>
      <c r="X517" s="253"/>
      <c r="Y517" s="253"/>
      <c r="Z517" s="253"/>
      <c r="AA517" s="253"/>
      <c r="AB517" s="254"/>
    </row>
    <row r="518" spans="1:28" x14ac:dyDescent="0.2">
      <c r="A518" s="228"/>
      <c r="B518" s="242" t="s">
        <v>36</v>
      </c>
      <c r="C518" s="12"/>
      <c r="D518" s="12" t="s">
        <v>95</v>
      </c>
      <c r="E518" s="243" t="s">
        <v>1</v>
      </c>
      <c r="F518" s="13">
        <v>0</v>
      </c>
      <c r="G518" s="13">
        <v>0</v>
      </c>
      <c r="H518" s="13">
        <v>0</v>
      </c>
      <c r="I518" s="13">
        <v>0</v>
      </c>
      <c r="J518" s="13"/>
      <c r="K518" s="13"/>
      <c r="L518" s="13"/>
      <c r="M518" s="13">
        <f>H523+K523+N523+Q523+T523+W523+Z523</f>
        <v>0</v>
      </c>
      <c r="N518" s="13">
        <f>H524+K524+N524+Q524+T524+W524+Z524</f>
        <v>0</v>
      </c>
      <c r="O518" s="210">
        <f>SUM(F518, I518, L518, F519, I519, L519)*$O515</f>
        <v>0</v>
      </c>
      <c r="P518" s="210">
        <f>SUM(G518, J518, M518, G519, J519, M519)</f>
        <v>0</v>
      </c>
      <c r="Q518" s="212">
        <f>IF($O518=0, ,P518/$O518)</f>
        <v>0</v>
      </c>
      <c r="R518" s="210">
        <f>SUM(H518, K518, N518, H519, K519, N519)</f>
        <v>0</v>
      </c>
      <c r="S518" s="212">
        <f>IF($O518=0, ,R518/$O518)</f>
        <v>0</v>
      </c>
      <c r="T518" s="244"/>
      <c r="U518" s="244"/>
      <c r="V518" s="244"/>
      <c r="W518" s="244"/>
      <c r="X518" s="244"/>
      <c r="Y518" s="244"/>
      <c r="Z518" s="244"/>
      <c r="AA518" s="244"/>
      <c r="AB518" s="245"/>
    </row>
    <row r="519" spans="1:28" x14ac:dyDescent="0.2">
      <c r="A519" s="228"/>
      <c r="B519" s="242"/>
      <c r="C519" s="12"/>
      <c r="D519" s="12"/>
      <c r="E519" s="243"/>
      <c r="F519" s="13"/>
      <c r="G519" s="13">
        <f>F525+I525+L525+O525+R525+U525+X525</f>
        <v>0</v>
      </c>
      <c r="H519" s="13">
        <f>F526+I526+L526+O526+R526+U526+X526</f>
        <v>0</v>
      </c>
      <c r="I519" s="13"/>
      <c r="J519" s="13">
        <f>G525+J525+M525+P525+S525+V525+Y525</f>
        <v>0</v>
      </c>
      <c r="K519" s="13">
        <f>G526+J526+M526+P526+S526+V526+Y526</f>
        <v>0</v>
      </c>
      <c r="L519" s="13"/>
      <c r="M519" s="13">
        <f>H525+K525+N525+Q525+T525+W525+Z525</f>
        <v>0</v>
      </c>
      <c r="N519" s="13">
        <f>H526+K526+N526+Q526+T526+W526+Z526</f>
        <v>0</v>
      </c>
      <c r="O519" s="211"/>
      <c r="P519" s="211"/>
      <c r="Q519" s="213"/>
      <c r="R519" s="211"/>
      <c r="S519" s="213"/>
      <c r="T519" s="246"/>
      <c r="U519" s="246"/>
      <c r="V519" s="246"/>
      <c r="W519" s="246"/>
      <c r="X519" s="246"/>
      <c r="Y519" s="246"/>
      <c r="Z519" s="246"/>
      <c r="AA519" s="246"/>
      <c r="AB519" s="247"/>
    </row>
    <row r="520" spans="1:28" x14ac:dyDescent="0.2">
      <c r="A520" s="228"/>
      <c r="B520" s="56"/>
      <c r="C520" s="56"/>
      <c r="D520" s="56"/>
      <c r="E520" s="56"/>
      <c r="F520" s="89"/>
      <c r="G520" s="89"/>
      <c r="H520" s="89"/>
      <c r="I520" s="89"/>
      <c r="J520" s="89"/>
      <c r="K520" s="89"/>
      <c r="L520" s="89"/>
      <c r="M520" s="89"/>
      <c r="N520" s="89"/>
      <c r="O520" s="90"/>
      <c r="P520" s="90"/>
      <c r="Q520" s="91"/>
      <c r="R520" s="90"/>
      <c r="S520" s="91"/>
      <c r="T520" s="92"/>
      <c r="U520" s="92"/>
      <c r="V520" s="92"/>
      <c r="W520" s="92"/>
      <c r="X520" s="92"/>
      <c r="Y520" s="92"/>
      <c r="Z520" s="92"/>
      <c r="AA520" s="92"/>
      <c r="AB520" s="95"/>
    </row>
    <row r="521" spans="1:28" x14ac:dyDescent="0.2">
      <c r="A521" s="228"/>
      <c r="B521" s="256" t="s">
        <v>67</v>
      </c>
      <c r="C521" s="256"/>
      <c r="D521" s="257"/>
      <c r="E521" s="82" t="s">
        <v>68</v>
      </c>
      <c r="F521" s="248" t="s">
        <v>64</v>
      </c>
      <c r="G521" s="248"/>
      <c r="H521" s="248"/>
      <c r="I521" s="248" t="s">
        <v>76</v>
      </c>
      <c r="J521" s="248"/>
      <c r="K521" s="248"/>
      <c r="L521" s="248" t="s">
        <v>65</v>
      </c>
      <c r="M521" s="248"/>
      <c r="N521" s="248"/>
      <c r="O521" s="248" t="s">
        <v>66</v>
      </c>
      <c r="P521" s="248"/>
      <c r="Q521" s="248"/>
      <c r="R521" s="248" t="s">
        <v>73</v>
      </c>
      <c r="S521" s="248"/>
      <c r="T521" s="248"/>
      <c r="U521" s="248" t="s">
        <v>74</v>
      </c>
      <c r="V521" s="248"/>
      <c r="W521" s="248"/>
      <c r="X521" s="248" t="s">
        <v>75</v>
      </c>
      <c r="Y521" s="248"/>
      <c r="Z521" s="248"/>
      <c r="AA521" s="249"/>
      <c r="AB521" s="249"/>
    </row>
    <row r="522" spans="1:28" x14ac:dyDescent="0.2">
      <c r="A522" s="228"/>
      <c r="B522" s="258"/>
      <c r="C522" s="258"/>
      <c r="D522" s="259"/>
      <c r="E522" s="97" t="s">
        <v>69</v>
      </c>
      <c r="F522" s="83" t="s">
        <v>70</v>
      </c>
      <c r="G522" s="83" t="s">
        <v>71</v>
      </c>
      <c r="H522" s="84" t="s">
        <v>72</v>
      </c>
      <c r="I522" s="83" t="s">
        <v>70</v>
      </c>
      <c r="J522" s="83" t="s">
        <v>71</v>
      </c>
      <c r="K522" s="84" t="s">
        <v>72</v>
      </c>
      <c r="L522" s="83" t="s">
        <v>70</v>
      </c>
      <c r="M522" s="83" t="s">
        <v>71</v>
      </c>
      <c r="N522" s="84" t="s">
        <v>72</v>
      </c>
      <c r="O522" s="83" t="s">
        <v>70</v>
      </c>
      <c r="P522" s="83" t="s">
        <v>71</v>
      </c>
      <c r="Q522" s="84" t="s">
        <v>72</v>
      </c>
      <c r="R522" s="83" t="s">
        <v>70</v>
      </c>
      <c r="S522" s="83" t="s">
        <v>71</v>
      </c>
      <c r="T522" s="84" t="s">
        <v>72</v>
      </c>
      <c r="U522" s="83" t="s">
        <v>70</v>
      </c>
      <c r="V522" s="83" t="s">
        <v>71</v>
      </c>
      <c r="W522" s="84" t="s">
        <v>72</v>
      </c>
      <c r="X522" s="83" t="s">
        <v>70</v>
      </c>
      <c r="Y522" s="83" t="s">
        <v>71</v>
      </c>
      <c r="Z522" s="84" t="s">
        <v>72</v>
      </c>
      <c r="AA522" s="249"/>
      <c r="AB522" s="249"/>
    </row>
    <row r="523" spans="1:28" x14ac:dyDescent="0.2">
      <c r="A523" s="228"/>
      <c r="B523" s="260" t="str">
        <f>B518</f>
        <v>Final ASS</v>
      </c>
      <c r="C523" s="82" t="str">
        <f>IF(ISBLANK(C518), "", C518)</f>
        <v/>
      </c>
      <c r="D523" s="96" t="str">
        <f>IF(ISBLANK(D518), "", D518)</f>
        <v>unilever</v>
      </c>
      <c r="E523" s="82" t="s">
        <v>77</v>
      </c>
      <c r="F523" s="86"/>
      <c r="G523" s="85"/>
      <c r="H523" s="85"/>
      <c r="I523" s="85"/>
      <c r="J523" s="85"/>
      <c r="K523" s="85"/>
      <c r="L523" s="87"/>
      <c r="M523" s="87"/>
      <c r="N523" s="87"/>
      <c r="O523" s="87"/>
      <c r="P523" s="87"/>
      <c r="Q523" s="85"/>
      <c r="R523" s="87"/>
      <c r="S523" s="87"/>
      <c r="T523" s="87"/>
      <c r="U523" s="87"/>
      <c r="V523" s="87"/>
      <c r="W523" s="85"/>
      <c r="X523" s="85">
        <v>12</v>
      </c>
      <c r="Y523" s="85"/>
      <c r="Z523" s="88"/>
      <c r="AA523" s="249"/>
      <c r="AB523" s="249"/>
    </row>
    <row r="524" spans="1:28" x14ac:dyDescent="0.2">
      <c r="A524" s="228"/>
      <c r="B524" s="260"/>
      <c r="C524" s="82" t="str">
        <f>IF(ISBLANK(C518), "", C518)</f>
        <v/>
      </c>
      <c r="D524" s="96" t="str">
        <f>IF(ISBLANK(D518), "", D518)</f>
        <v>unilever</v>
      </c>
      <c r="E524" s="82" t="s">
        <v>78</v>
      </c>
      <c r="F524" s="86"/>
      <c r="G524" s="85"/>
      <c r="H524" s="85"/>
      <c r="I524" s="85"/>
      <c r="J524" s="85"/>
      <c r="K524" s="85"/>
      <c r="L524" s="87"/>
      <c r="M524" s="87"/>
      <c r="N524" s="87"/>
      <c r="O524" s="87"/>
      <c r="P524" s="87"/>
      <c r="Q524" s="85"/>
      <c r="R524" s="87"/>
      <c r="S524" s="87"/>
      <c r="T524" s="87"/>
      <c r="U524" s="87"/>
      <c r="V524" s="87"/>
      <c r="W524" s="85"/>
      <c r="X524" s="85"/>
      <c r="Y524" s="85"/>
      <c r="Z524" s="88"/>
      <c r="AA524" s="249"/>
      <c r="AB524" s="249"/>
    </row>
    <row r="525" spans="1:28" x14ac:dyDescent="0.2">
      <c r="A525" s="228"/>
      <c r="B525" s="260"/>
      <c r="C525" s="82" t="str">
        <f>IF(ISBLANK(C519), "", C519)</f>
        <v/>
      </c>
      <c r="D525" s="96" t="str">
        <f>IF(ISBLANK(D519), "", D519)</f>
        <v/>
      </c>
      <c r="E525" s="82" t="s">
        <v>77</v>
      </c>
      <c r="F525" s="86"/>
      <c r="G525" s="85"/>
      <c r="H525" s="85"/>
      <c r="I525" s="85"/>
      <c r="J525" s="85"/>
      <c r="K525" s="85"/>
      <c r="L525" s="87"/>
      <c r="M525" s="87"/>
      <c r="N525" s="87"/>
      <c r="O525" s="87"/>
      <c r="P525" s="87"/>
      <c r="Q525" s="85"/>
      <c r="R525" s="87"/>
      <c r="S525" s="87"/>
      <c r="T525" s="87"/>
      <c r="U525" s="87"/>
      <c r="V525" s="87"/>
      <c r="W525" s="85"/>
      <c r="X525" s="85"/>
      <c r="Y525" s="85"/>
      <c r="Z525" s="88"/>
      <c r="AA525" s="249"/>
      <c r="AB525" s="249"/>
    </row>
    <row r="526" spans="1:28" x14ac:dyDescent="0.2">
      <c r="A526" s="228"/>
      <c r="B526" s="260"/>
      <c r="C526" s="82" t="str">
        <f>IF(ISBLANK(C519), "", C519)</f>
        <v/>
      </c>
      <c r="D526" s="96" t="str">
        <f>IF(ISBLANK(D519), "", D519)</f>
        <v/>
      </c>
      <c r="E526" s="82" t="s">
        <v>78</v>
      </c>
      <c r="F526" s="86"/>
      <c r="G526" s="85"/>
      <c r="H526" s="85"/>
      <c r="I526" s="85"/>
      <c r="J526" s="85"/>
      <c r="K526" s="85"/>
      <c r="L526" s="87"/>
      <c r="M526" s="87"/>
      <c r="N526" s="87"/>
      <c r="O526" s="87"/>
      <c r="P526" s="87"/>
      <c r="Q526" s="85"/>
      <c r="R526" s="87"/>
      <c r="S526" s="87"/>
      <c r="T526" s="87"/>
      <c r="U526" s="87"/>
      <c r="V526" s="87"/>
      <c r="W526" s="85"/>
      <c r="X526" s="85"/>
      <c r="Y526" s="85"/>
      <c r="Z526" s="88"/>
      <c r="AA526" s="249"/>
      <c r="AB526" s="249"/>
    </row>
    <row r="528" spans="1:28" x14ac:dyDescent="0.2">
      <c r="A528" s="228">
        <v>44731</v>
      </c>
      <c r="B528" s="19"/>
      <c r="C528" s="19" t="s">
        <v>42</v>
      </c>
      <c r="D528" s="20"/>
      <c r="E528" s="21" t="s">
        <v>41</v>
      </c>
      <c r="F528" s="20">
        <v>0</v>
      </c>
      <c r="G528" s="20"/>
      <c r="H528" s="20"/>
      <c r="I528" s="21"/>
      <c r="J528" s="21"/>
      <c r="K528" s="32"/>
      <c r="L528" s="32"/>
      <c r="M528" s="20"/>
      <c r="N528" s="21"/>
      <c r="O528" s="21"/>
      <c r="P528" s="32"/>
      <c r="Q528" s="32"/>
      <c r="R528" s="20"/>
      <c r="S528" s="21"/>
      <c r="T528" s="21"/>
      <c r="U528" s="41">
        <v>160</v>
      </c>
      <c r="V528" s="42" t="s">
        <v>32</v>
      </c>
      <c r="W528" s="42"/>
      <c r="X528" s="43"/>
      <c r="Y528" s="31"/>
      <c r="Z528" s="31"/>
      <c r="AA528" s="31"/>
      <c r="AB528" s="33"/>
    </row>
    <row r="529" spans="1:28" x14ac:dyDescent="0.2">
      <c r="A529" s="228"/>
      <c r="B529" s="229" t="s">
        <v>10</v>
      </c>
      <c r="C529" s="230" t="s">
        <v>25</v>
      </c>
      <c r="D529" s="230" t="s">
        <v>28</v>
      </c>
      <c r="E529" s="237" t="s">
        <v>12</v>
      </c>
      <c r="F529" s="222" t="s">
        <v>13</v>
      </c>
      <c r="G529" s="223"/>
      <c r="H529" s="223"/>
      <c r="I529" s="223"/>
      <c r="J529" s="224"/>
      <c r="K529" s="222" t="s">
        <v>14</v>
      </c>
      <c r="L529" s="223"/>
      <c r="M529" s="223"/>
      <c r="N529" s="223"/>
      <c r="O529" s="224"/>
      <c r="P529" s="222" t="s">
        <v>15</v>
      </c>
      <c r="Q529" s="223"/>
      <c r="R529" s="223"/>
      <c r="S529" s="223"/>
      <c r="T529" s="224"/>
      <c r="U529" s="255" t="s">
        <v>34</v>
      </c>
      <c r="V529" s="255" t="s">
        <v>48</v>
      </c>
      <c r="W529" s="255" t="s">
        <v>56</v>
      </c>
      <c r="X529" s="255" t="s">
        <v>54</v>
      </c>
      <c r="Y529" s="255" t="s">
        <v>57</v>
      </c>
      <c r="Z529" s="255" t="s">
        <v>55</v>
      </c>
      <c r="AA529" s="255" t="s">
        <v>58</v>
      </c>
      <c r="AB529" s="255" t="s">
        <v>38</v>
      </c>
    </row>
    <row r="530" spans="1:28" ht="38.25" x14ac:dyDescent="0.2">
      <c r="A530" s="228"/>
      <c r="B530" s="229"/>
      <c r="C530" s="230"/>
      <c r="D530" s="230"/>
      <c r="E530" s="237"/>
      <c r="F530" s="18" t="s">
        <v>45</v>
      </c>
      <c r="G530" s="18" t="s">
        <v>29</v>
      </c>
      <c r="H530" s="18" t="s">
        <v>46</v>
      </c>
      <c r="I530" s="18" t="s">
        <v>52</v>
      </c>
      <c r="J530" s="18" t="s">
        <v>53</v>
      </c>
      <c r="K530" s="18" t="s">
        <v>45</v>
      </c>
      <c r="L530" s="18" t="s">
        <v>29</v>
      </c>
      <c r="M530" s="18" t="s">
        <v>46</v>
      </c>
      <c r="N530" s="18" t="s">
        <v>52</v>
      </c>
      <c r="O530" s="18" t="s">
        <v>53</v>
      </c>
      <c r="P530" s="18" t="s">
        <v>45</v>
      </c>
      <c r="Q530" s="18" t="s">
        <v>29</v>
      </c>
      <c r="R530" s="18" t="s">
        <v>46</v>
      </c>
      <c r="S530" s="18" t="s">
        <v>52</v>
      </c>
      <c r="T530" s="18" t="s">
        <v>53</v>
      </c>
      <c r="U530" s="255"/>
      <c r="V530" s="255"/>
      <c r="W530" s="255"/>
      <c r="X530" s="255"/>
      <c r="Y530" s="255"/>
      <c r="Z530" s="255"/>
      <c r="AA530" s="255"/>
      <c r="AB530" s="255"/>
    </row>
    <row r="531" spans="1:28" x14ac:dyDescent="0.2">
      <c r="A531" s="228"/>
      <c r="B531" s="232" t="s">
        <v>17</v>
      </c>
      <c r="C531" s="12">
        <v>20591</v>
      </c>
      <c r="D531" s="12"/>
      <c r="E531" s="234" t="s">
        <v>1</v>
      </c>
      <c r="F531" s="13">
        <v>3244</v>
      </c>
      <c r="G531" s="25">
        <f>F531/$U528</f>
        <v>20.274999999999999</v>
      </c>
      <c r="H531" s="13"/>
      <c r="I531" s="13"/>
      <c r="J531" s="13"/>
      <c r="K531" s="13">
        <v>0</v>
      </c>
      <c r="L531" s="25">
        <f>K531/$U528</f>
        <v>0</v>
      </c>
      <c r="M531" s="13"/>
      <c r="N531" s="13"/>
      <c r="O531" s="13"/>
      <c r="P531" s="13"/>
      <c r="Q531" s="25">
        <f>P531/$U528</f>
        <v>0</v>
      </c>
      <c r="R531" s="13"/>
      <c r="S531" s="13"/>
      <c r="T531" s="13"/>
      <c r="U531" s="210">
        <f>SUM(F531, K531, P531, F532, K532, P532)</f>
        <v>3244</v>
      </c>
      <c r="V531" s="210">
        <f>SUM(H531, M531, R531, H532, M532, R532)</f>
        <v>0</v>
      </c>
      <c r="W531" s="212">
        <f>IF($U531=0, ,V531/$U531)</f>
        <v>0</v>
      </c>
      <c r="X531" s="210">
        <f>SUM(I531, N531, S531, I532, N532, S532)</f>
        <v>0</v>
      </c>
      <c r="Y531" s="212">
        <f>IF($U531=0, ,X531/$U531)</f>
        <v>0</v>
      </c>
      <c r="Z531" s="210">
        <f>SUM(J531, O531, T531, J532, O532, T532)</f>
        <v>0</v>
      </c>
      <c r="AA531" s="212">
        <f>IF($U531=0, ,Z531/$U531)</f>
        <v>0</v>
      </c>
      <c r="AB531" s="214"/>
    </row>
    <row r="532" spans="1:28" x14ac:dyDescent="0.2">
      <c r="A532" s="228"/>
      <c r="B532" s="250"/>
      <c r="C532" s="12"/>
      <c r="D532" s="12"/>
      <c r="E532" s="236"/>
      <c r="F532" s="13"/>
      <c r="G532" s="25">
        <f>F532/$U528</f>
        <v>0</v>
      </c>
      <c r="H532" s="13"/>
      <c r="I532" s="13"/>
      <c r="J532" s="13"/>
      <c r="K532" s="13"/>
      <c r="L532" s="25">
        <f>K532/$U528</f>
        <v>0</v>
      </c>
      <c r="M532" s="13"/>
      <c r="N532" s="13"/>
      <c r="O532" s="13"/>
      <c r="P532" s="13"/>
      <c r="Q532" s="25">
        <f>P532/$U528</f>
        <v>0</v>
      </c>
      <c r="R532" s="13"/>
      <c r="S532" s="13"/>
      <c r="T532" s="13"/>
      <c r="U532" s="211"/>
      <c r="V532" s="211"/>
      <c r="W532" s="213"/>
      <c r="X532" s="211"/>
      <c r="Y532" s="213"/>
      <c r="Z532" s="211"/>
      <c r="AA532" s="213"/>
      <c r="AB532" s="215"/>
    </row>
    <row r="533" spans="1:28" x14ac:dyDescent="0.2">
      <c r="A533" s="228"/>
      <c r="B533" s="216" t="s">
        <v>18</v>
      </c>
      <c r="C533" s="10"/>
      <c r="D533" s="10"/>
      <c r="E533" s="218" t="s">
        <v>1</v>
      </c>
      <c r="F533" s="14">
        <v>0</v>
      </c>
      <c r="G533" s="26">
        <f>F533/$U528</f>
        <v>0</v>
      </c>
      <c r="H533" s="14"/>
      <c r="I533" s="14"/>
      <c r="J533" s="14"/>
      <c r="K533" s="14">
        <v>0</v>
      </c>
      <c r="L533" s="26">
        <f>K533/$U528</f>
        <v>0</v>
      </c>
      <c r="M533" s="14"/>
      <c r="N533" s="14"/>
      <c r="O533" s="14"/>
      <c r="P533" s="14"/>
      <c r="Q533" s="26">
        <f>P533/$U528</f>
        <v>0</v>
      </c>
      <c r="R533" s="14"/>
      <c r="S533" s="14"/>
      <c r="T533" s="14"/>
      <c r="U533" s="220">
        <f>SUM(F533, K533, P533, F534, K534, P534)</f>
        <v>0</v>
      </c>
      <c r="V533" s="220">
        <f>SUM(H533, M533, R533, H534, M534, R534)</f>
        <v>0</v>
      </c>
      <c r="W533" s="194">
        <f>IF($U533=0, ,V533/$U533)</f>
        <v>0</v>
      </c>
      <c r="X533" s="220">
        <f>SUM(I533, N533, S533, I534, N534, S534)</f>
        <v>0</v>
      </c>
      <c r="Y533" s="194">
        <f>IF($U533=0, ,X533/$U533)</f>
        <v>0</v>
      </c>
      <c r="Z533" s="220">
        <f>SUM(J533, O533, T533, J534, O534, T534)</f>
        <v>0</v>
      </c>
      <c r="AA533" s="194">
        <f>IF($U533=0, ,Z533/$U533)</f>
        <v>0</v>
      </c>
      <c r="AB533" s="204"/>
    </row>
    <row r="534" spans="1:28" x14ac:dyDescent="0.2">
      <c r="A534" s="228"/>
      <c r="B534" s="217"/>
      <c r="C534" s="10"/>
      <c r="D534" s="10"/>
      <c r="E534" s="219"/>
      <c r="F534" s="14"/>
      <c r="G534" s="26">
        <f>F534/$U528</f>
        <v>0</v>
      </c>
      <c r="H534" s="14"/>
      <c r="I534" s="14"/>
      <c r="J534" s="14"/>
      <c r="K534" s="14"/>
      <c r="L534" s="26">
        <f>K534/$U528</f>
        <v>0</v>
      </c>
      <c r="M534" s="14"/>
      <c r="N534" s="14"/>
      <c r="O534" s="14"/>
      <c r="P534" s="14"/>
      <c r="Q534" s="26">
        <f>P534/$U528</f>
        <v>0</v>
      </c>
      <c r="R534" s="14"/>
      <c r="S534" s="14"/>
      <c r="T534" s="14"/>
      <c r="U534" s="221"/>
      <c r="V534" s="221"/>
      <c r="W534" s="195"/>
      <c r="X534" s="221"/>
      <c r="Y534" s="195"/>
      <c r="Z534" s="221"/>
      <c r="AA534" s="195"/>
      <c r="AB534" s="205"/>
    </row>
    <row r="535" spans="1:28" x14ac:dyDescent="0.2">
      <c r="A535" s="228"/>
      <c r="B535" s="232" t="s">
        <v>19</v>
      </c>
      <c r="C535" s="9"/>
      <c r="D535" s="9"/>
      <c r="E535" s="208" t="s">
        <v>1</v>
      </c>
      <c r="F535" s="15">
        <v>0</v>
      </c>
      <c r="G535" s="27">
        <f>F535/$U528</f>
        <v>0</v>
      </c>
      <c r="H535" s="15"/>
      <c r="I535" s="15"/>
      <c r="J535" s="15"/>
      <c r="K535" s="15">
        <v>0</v>
      </c>
      <c r="L535" s="27">
        <f>K535/$U528</f>
        <v>0</v>
      </c>
      <c r="M535" s="15"/>
      <c r="N535" s="15"/>
      <c r="O535" s="15"/>
      <c r="P535" s="15"/>
      <c r="Q535" s="27">
        <f>P535/$U528</f>
        <v>0</v>
      </c>
      <c r="R535" s="15"/>
      <c r="S535" s="15"/>
      <c r="T535" s="15"/>
      <c r="U535" s="210">
        <f>SUM(F535, K535, P535, F536, K536, P536)</f>
        <v>0</v>
      </c>
      <c r="V535" s="210">
        <f>SUM(H535, M535, R535, H536, M536, R536)</f>
        <v>0</v>
      </c>
      <c r="W535" s="212">
        <f>IF($U535=0, ,V535/$U535)</f>
        <v>0</v>
      </c>
      <c r="X535" s="210">
        <f>SUM(I535, N535, S535, I536, N536, S536)</f>
        <v>0</v>
      </c>
      <c r="Y535" s="212">
        <f>IF($U535=0, ,X535/$U535)</f>
        <v>0</v>
      </c>
      <c r="Z535" s="210">
        <f>SUM(J535, O535, T535, J536, O536, T536)</f>
        <v>0</v>
      </c>
      <c r="AA535" s="212">
        <f>IF($U535=0, ,Z535/$U535)</f>
        <v>0</v>
      </c>
      <c r="AB535" s="214"/>
    </row>
    <row r="536" spans="1:28" x14ac:dyDescent="0.2">
      <c r="A536" s="228"/>
      <c r="B536" s="250"/>
      <c r="C536" s="9"/>
      <c r="D536" s="9"/>
      <c r="E536" s="209"/>
      <c r="F536" s="15"/>
      <c r="G536" s="27">
        <f>F536/$U528</f>
        <v>0</v>
      </c>
      <c r="H536" s="15"/>
      <c r="I536" s="15"/>
      <c r="J536" s="15"/>
      <c r="K536" s="15"/>
      <c r="L536" s="27">
        <f>K536/$U528</f>
        <v>0</v>
      </c>
      <c r="M536" s="15"/>
      <c r="N536" s="15"/>
      <c r="O536" s="15"/>
      <c r="P536" s="15"/>
      <c r="Q536" s="27">
        <f>P536/$U528</f>
        <v>0</v>
      </c>
      <c r="R536" s="15"/>
      <c r="S536" s="15"/>
      <c r="T536" s="15"/>
      <c r="U536" s="211"/>
      <c r="V536" s="211"/>
      <c r="W536" s="213"/>
      <c r="X536" s="211"/>
      <c r="Y536" s="213"/>
      <c r="Z536" s="211"/>
      <c r="AA536" s="213"/>
      <c r="AB536" s="215"/>
    </row>
    <row r="537" spans="1:28" x14ac:dyDescent="0.2">
      <c r="A537" s="228"/>
      <c r="B537" s="216" t="s">
        <v>20</v>
      </c>
      <c r="C537" s="10">
        <v>20591</v>
      </c>
      <c r="D537" s="10"/>
      <c r="E537" s="218" t="s">
        <v>1</v>
      </c>
      <c r="F537" s="14">
        <v>2925</v>
      </c>
      <c r="G537" s="26">
        <f>F537/$U528</f>
        <v>18.28125</v>
      </c>
      <c r="H537" s="14"/>
      <c r="I537" s="14"/>
      <c r="J537" s="14"/>
      <c r="K537" s="14">
        <v>0</v>
      </c>
      <c r="L537" s="26">
        <f>K537/$U528</f>
        <v>0</v>
      </c>
      <c r="M537" s="14"/>
      <c r="N537" s="14"/>
      <c r="O537" s="14"/>
      <c r="P537" s="14"/>
      <c r="Q537" s="26">
        <f>P537/$U528</f>
        <v>0</v>
      </c>
      <c r="R537" s="14"/>
      <c r="S537" s="14"/>
      <c r="T537" s="14"/>
      <c r="U537" s="220">
        <f>SUM(F537, K537, P537, F538, K538, P538)</f>
        <v>2925</v>
      </c>
      <c r="V537" s="220">
        <f>SUM(H537, M537, R537, H538, M538, R538)</f>
        <v>0</v>
      </c>
      <c r="W537" s="194">
        <f>IF($U537=0, ,V537/$U537)</f>
        <v>0</v>
      </c>
      <c r="X537" s="220">
        <f>SUM(I537, N537, S537, I538, N538, S538)</f>
        <v>0</v>
      </c>
      <c r="Y537" s="194">
        <f>IF($U537=0, ,X537/$U537)</f>
        <v>0</v>
      </c>
      <c r="Z537" s="220">
        <f>SUM(J537, O537, T537, J538, O538, T538)</f>
        <v>0</v>
      </c>
      <c r="AA537" s="194">
        <f>IF($U537=0, ,Z537/$U537)</f>
        <v>0</v>
      </c>
      <c r="AB537" s="204"/>
    </row>
    <row r="538" spans="1:28" x14ac:dyDescent="0.2">
      <c r="A538" s="228"/>
      <c r="B538" s="217"/>
      <c r="C538" s="10"/>
      <c r="D538" s="10"/>
      <c r="E538" s="219"/>
      <c r="F538" s="14"/>
      <c r="G538" s="26">
        <f>F538/$U528</f>
        <v>0</v>
      </c>
      <c r="H538" s="14"/>
      <c r="I538" s="14"/>
      <c r="J538" s="14"/>
      <c r="K538" s="14"/>
      <c r="L538" s="26">
        <f>K538/$U528</f>
        <v>0</v>
      </c>
      <c r="M538" s="14"/>
      <c r="N538" s="14"/>
      <c r="O538" s="14"/>
      <c r="P538" s="14"/>
      <c r="Q538" s="26">
        <f>P538/$U528</f>
        <v>0</v>
      </c>
      <c r="R538" s="14"/>
      <c r="S538" s="14"/>
      <c r="T538" s="14"/>
      <c r="U538" s="221"/>
      <c r="V538" s="221"/>
      <c r="W538" s="195"/>
      <c r="X538" s="221"/>
      <c r="Y538" s="195"/>
      <c r="Z538" s="221"/>
      <c r="AA538" s="195"/>
      <c r="AB538" s="205"/>
    </row>
    <row r="539" spans="1:28" x14ac:dyDescent="0.2">
      <c r="A539" s="228"/>
      <c r="B539" s="232" t="s">
        <v>21</v>
      </c>
      <c r="C539" s="9">
        <v>20591</v>
      </c>
      <c r="D539" s="9"/>
      <c r="E539" s="208" t="s">
        <v>1</v>
      </c>
      <c r="F539" s="15">
        <v>1726</v>
      </c>
      <c r="G539" s="27">
        <f>F539/$U528</f>
        <v>10.7875</v>
      </c>
      <c r="H539" s="15"/>
      <c r="I539" s="15"/>
      <c r="J539" s="15"/>
      <c r="K539" s="15">
        <v>0</v>
      </c>
      <c r="L539" s="27">
        <f>K539/$U528</f>
        <v>0</v>
      </c>
      <c r="M539" s="15"/>
      <c r="N539" s="15"/>
      <c r="O539" s="15"/>
      <c r="P539" s="15"/>
      <c r="Q539" s="27">
        <f>P539/$U528</f>
        <v>0</v>
      </c>
      <c r="R539" s="15"/>
      <c r="S539" s="15"/>
      <c r="T539" s="15"/>
      <c r="U539" s="210">
        <f>SUM(F539, K539, P539, F540, K540, P540)</f>
        <v>1726</v>
      </c>
      <c r="V539" s="210">
        <f>SUM(H539, M539, R539, H540, M540, R540)</f>
        <v>0</v>
      </c>
      <c r="W539" s="212">
        <f>IF($U539=0, ,V539/$U539)</f>
        <v>0</v>
      </c>
      <c r="X539" s="210">
        <f>SUM(I539, N539, S539, I540, N540, S540)</f>
        <v>0</v>
      </c>
      <c r="Y539" s="212">
        <f>IF($U539=0, ,X539/$U539)</f>
        <v>0</v>
      </c>
      <c r="Z539" s="210">
        <f>SUM(J539, O539, T539, J540, O540, T540)</f>
        <v>0</v>
      </c>
      <c r="AA539" s="212">
        <f>IF($U539=0, ,Z539/$U539)</f>
        <v>0</v>
      </c>
      <c r="AB539" s="214"/>
    </row>
    <row r="540" spans="1:28" x14ac:dyDescent="0.2">
      <c r="A540" s="228"/>
      <c r="B540" s="250"/>
      <c r="C540" s="9"/>
      <c r="D540" s="9"/>
      <c r="E540" s="209"/>
      <c r="F540" s="15"/>
      <c r="G540" s="27">
        <f>F540/$U528</f>
        <v>0</v>
      </c>
      <c r="H540" s="15"/>
      <c r="I540" s="15"/>
      <c r="J540" s="15"/>
      <c r="K540" s="15"/>
      <c r="L540" s="27">
        <f>K540/$U528</f>
        <v>0</v>
      </c>
      <c r="M540" s="15"/>
      <c r="N540" s="15"/>
      <c r="O540" s="15"/>
      <c r="P540" s="15"/>
      <c r="Q540" s="27">
        <f>P540/$U528</f>
        <v>0</v>
      </c>
      <c r="R540" s="15"/>
      <c r="S540" s="15"/>
      <c r="T540" s="15"/>
      <c r="U540" s="211"/>
      <c r="V540" s="211"/>
      <c r="W540" s="213"/>
      <c r="X540" s="211"/>
      <c r="Y540" s="213"/>
      <c r="Z540" s="211"/>
      <c r="AA540" s="213"/>
      <c r="AB540" s="215"/>
    </row>
    <row r="541" spans="1:28" x14ac:dyDescent="0.2">
      <c r="A541" s="228"/>
      <c r="B541" s="216" t="s">
        <v>22</v>
      </c>
      <c r="C541" s="11">
        <v>20591</v>
      </c>
      <c r="D541" s="11"/>
      <c r="E541" s="191" t="s">
        <v>1</v>
      </c>
      <c r="F541" s="16">
        <v>2386</v>
      </c>
      <c r="G541" s="28">
        <f>F541/$U528</f>
        <v>14.9125</v>
      </c>
      <c r="H541" s="16"/>
      <c r="I541" s="16"/>
      <c r="J541" s="16"/>
      <c r="K541" s="16">
        <v>0</v>
      </c>
      <c r="L541" s="28">
        <f>K541/$U528</f>
        <v>0</v>
      </c>
      <c r="M541" s="16"/>
      <c r="N541" s="16"/>
      <c r="O541" s="16"/>
      <c r="P541" s="16"/>
      <c r="Q541" s="28">
        <f>P541/$U528</f>
        <v>0</v>
      </c>
      <c r="R541" s="16"/>
      <c r="S541" s="16"/>
      <c r="T541" s="16"/>
      <c r="U541" s="220">
        <f>SUM(F541, K541, P541, F542, K542, P542)</f>
        <v>2386</v>
      </c>
      <c r="V541" s="220">
        <f>SUM(H541, M541, R541, H542, M542, R542)</f>
        <v>0</v>
      </c>
      <c r="W541" s="194">
        <f>IF($U541=0, ,V541/$U541)</f>
        <v>0</v>
      </c>
      <c r="X541" s="220">
        <f>SUM(I541, N541, S541, I542, N542, S542)</f>
        <v>0</v>
      </c>
      <c r="Y541" s="194">
        <f>IF($U541=0, ,X541/$U541)</f>
        <v>0</v>
      </c>
      <c r="Z541" s="220">
        <f>SUM(J541, O541, T541, J542, O542, T542)</f>
        <v>0</v>
      </c>
      <c r="AA541" s="194">
        <f>IF($U541=0, ,Z541/$U541)</f>
        <v>0</v>
      </c>
      <c r="AB541" s="204"/>
    </row>
    <row r="542" spans="1:28" x14ac:dyDescent="0.2">
      <c r="A542" s="228"/>
      <c r="B542" s="217"/>
      <c r="C542" s="11"/>
      <c r="D542" s="11"/>
      <c r="E542" s="192"/>
      <c r="F542" s="16"/>
      <c r="G542" s="28">
        <f>F542/$U528</f>
        <v>0</v>
      </c>
      <c r="H542" s="16"/>
      <c r="I542" s="16"/>
      <c r="J542" s="16"/>
      <c r="K542" s="16"/>
      <c r="L542" s="28">
        <f>K542/$U528</f>
        <v>0</v>
      </c>
      <c r="M542" s="16"/>
      <c r="N542" s="16"/>
      <c r="O542" s="16"/>
      <c r="P542" s="16"/>
      <c r="Q542" s="28">
        <f>P542/$U528</f>
        <v>0</v>
      </c>
      <c r="R542" s="16"/>
      <c r="S542" s="16"/>
      <c r="T542" s="16"/>
      <c r="U542" s="221"/>
      <c r="V542" s="221"/>
      <c r="W542" s="195"/>
      <c r="X542" s="221"/>
      <c r="Y542" s="195"/>
      <c r="Z542" s="221"/>
      <c r="AA542" s="195"/>
      <c r="AB542" s="205"/>
    </row>
    <row r="543" spans="1:28" ht="13.5" thickBot="1" x14ac:dyDescent="0.25">
      <c r="A543" s="228"/>
      <c r="B543" s="56"/>
      <c r="C543" s="56"/>
      <c r="D543" s="56"/>
      <c r="E543" s="56"/>
      <c r="F543" s="57"/>
      <c r="G543" s="58"/>
      <c r="H543" s="57"/>
      <c r="I543" s="57"/>
      <c r="J543" s="57"/>
      <c r="K543" s="57"/>
      <c r="L543" s="58"/>
      <c r="M543" s="57"/>
      <c r="N543" s="57"/>
      <c r="O543" s="57"/>
      <c r="P543" s="57"/>
      <c r="Q543" s="58"/>
      <c r="R543" s="57"/>
      <c r="S543" s="57"/>
      <c r="T543" s="60" t="s">
        <v>59</v>
      </c>
      <c r="U543" s="61">
        <f>SUM(U531:U542)</f>
        <v>10281</v>
      </c>
      <c r="V543" s="61">
        <f>SUM(V531:V542)</f>
        <v>0</v>
      </c>
      <c r="W543" s="62">
        <f>IF($U543=0, ,V543/$U543)</f>
        <v>0</v>
      </c>
      <c r="X543" s="61">
        <f>SUM(X531:X542)</f>
        <v>0</v>
      </c>
      <c r="Y543" s="62">
        <f>IF($U543=0, ,X543/$U543)</f>
        <v>0</v>
      </c>
      <c r="Z543" s="61">
        <f>SUM(Z531:Z542)</f>
        <v>0</v>
      </c>
      <c r="AA543" s="62">
        <f>IF($U543=0, ,Z543/$U543)</f>
        <v>0</v>
      </c>
      <c r="AB543" s="59"/>
    </row>
    <row r="544" spans="1:28" ht="13.5" thickTop="1" x14ac:dyDescent="0.2">
      <c r="A544" s="228"/>
      <c r="B544" s="44"/>
      <c r="C544" s="45" t="s">
        <v>27</v>
      </c>
      <c r="D544" s="23"/>
      <c r="E544" s="44"/>
      <c r="F544" s="44"/>
      <c r="G544" s="44"/>
      <c r="H544" s="44"/>
      <c r="I544" s="44"/>
      <c r="J544" s="44"/>
      <c r="K544" s="44"/>
      <c r="L544" s="44"/>
      <c r="M544" s="44"/>
      <c r="N544" s="44"/>
      <c r="O544" s="93">
        <v>320</v>
      </c>
      <c r="P544" s="94" t="s">
        <v>33</v>
      </c>
      <c r="Q544" s="44"/>
      <c r="R544" s="44"/>
      <c r="S544" s="44"/>
      <c r="T544" s="44"/>
      <c r="U544" s="44"/>
      <c r="V544" s="44"/>
      <c r="W544" s="44"/>
      <c r="X544" s="44"/>
      <c r="Y544" s="44"/>
      <c r="Z544" s="44"/>
      <c r="AA544" s="44"/>
      <c r="AB544" s="46"/>
    </row>
    <row r="545" spans="1:28" x14ac:dyDescent="0.2">
      <c r="A545" s="228"/>
      <c r="B545" s="229" t="s">
        <v>35</v>
      </c>
      <c r="C545" s="230" t="s">
        <v>25</v>
      </c>
      <c r="D545" s="230" t="s">
        <v>28</v>
      </c>
      <c r="E545" s="237" t="s">
        <v>12</v>
      </c>
      <c r="F545" s="241" t="s">
        <v>13</v>
      </c>
      <c r="G545" s="241"/>
      <c r="H545" s="241"/>
      <c r="I545" s="241" t="s">
        <v>14</v>
      </c>
      <c r="J545" s="241"/>
      <c r="K545" s="241"/>
      <c r="L545" s="241" t="s">
        <v>15</v>
      </c>
      <c r="M545" s="241"/>
      <c r="N545" s="241"/>
      <c r="O545" s="225" t="s">
        <v>34</v>
      </c>
      <c r="P545" s="225" t="s">
        <v>48</v>
      </c>
      <c r="Q545" s="225" t="s">
        <v>60</v>
      </c>
      <c r="R545" s="225" t="s">
        <v>49</v>
      </c>
      <c r="S545" s="225" t="s">
        <v>61</v>
      </c>
      <c r="T545" s="251"/>
      <c r="U545" s="251"/>
      <c r="V545" s="251"/>
      <c r="W545" s="251"/>
      <c r="X545" s="251"/>
      <c r="Y545" s="251"/>
      <c r="Z545" s="251"/>
      <c r="AA545" s="251"/>
      <c r="AB545" s="252"/>
    </row>
    <row r="546" spans="1:28" ht="25.5" x14ac:dyDescent="0.2">
      <c r="A546" s="228"/>
      <c r="B546" s="229"/>
      <c r="C546" s="230"/>
      <c r="D546" s="230"/>
      <c r="E546" s="237"/>
      <c r="F546" s="18" t="s">
        <v>30</v>
      </c>
      <c r="G546" s="18" t="s">
        <v>46</v>
      </c>
      <c r="H546" s="18" t="s">
        <v>47</v>
      </c>
      <c r="I546" s="18" t="s">
        <v>30</v>
      </c>
      <c r="J546" s="18" t="s">
        <v>46</v>
      </c>
      <c r="K546" s="18" t="s">
        <v>47</v>
      </c>
      <c r="L546" s="18" t="s">
        <v>30</v>
      </c>
      <c r="M546" s="18" t="s">
        <v>46</v>
      </c>
      <c r="N546" s="18" t="s">
        <v>47</v>
      </c>
      <c r="O546" s="227"/>
      <c r="P546" s="227"/>
      <c r="Q546" s="227"/>
      <c r="R546" s="227"/>
      <c r="S546" s="227"/>
      <c r="T546" s="253"/>
      <c r="U546" s="253"/>
      <c r="V546" s="253"/>
      <c r="W546" s="253"/>
      <c r="X546" s="253"/>
      <c r="Y546" s="253"/>
      <c r="Z546" s="253"/>
      <c r="AA546" s="253"/>
      <c r="AB546" s="254"/>
    </row>
    <row r="547" spans="1:28" x14ac:dyDescent="0.2">
      <c r="A547" s="228"/>
      <c r="B547" s="242" t="s">
        <v>36</v>
      </c>
      <c r="C547" s="12"/>
      <c r="D547" s="12" t="s">
        <v>95</v>
      </c>
      <c r="E547" s="243" t="s">
        <v>1</v>
      </c>
      <c r="F547" s="13">
        <v>0</v>
      </c>
      <c r="G547" s="13">
        <v>0</v>
      </c>
      <c r="H547" s="13">
        <v>0</v>
      </c>
      <c r="I547" s="13">
        <v>0</v>
      </c>
      <c r="J547" s="13"/>
      <c r="K547" s="13"/>
      <c r="L547" s="13"/>
      <c r="M547" s="13">
        <f>H552+K552+N552+Q552+T552+W552+Z552</f>
        <v>0</v>
      </c>
      <c r="N547" s="13">
        <f>H553+K553+N553+Q553+T553+W553+Z553</f>
        <v>0</v>
      </c>
      <c r="O547" s="210">
        <f>SUM(F547, I547, L547, F548, I548, L548)*$O544</f>
        <v>0</v>
      </c>
      <c r="P547" s="210">
        <f>SUM(G547, J547, M547, G548, J548, M548)</f>
        <v>0</v>
      </c>
      <c r="Q547" s="212">
        <f>IF($O547=0, ,P547/$O547)</f>
        <v>0</v>
      </c>
      <c r="R547" s="210">
        <f>SUM(H547, K547, N547, H548, K548, N548)</f>
        <v>0</v>
      </c>
      <c r="S547" s="212">
        <f>IF($O547=0, ,R547/$O547)</f>
        <v>0</v>
      </c>
      <c r="T547" s="244"/>
      <c r="U547" s="244"/>
      <c r="V547" s="244"/>
      <c r="W547" s="244"/>
      <c r="X547" s="244"/>
      <c r="Y547" s="244"/>
      <c r="Z547" s="244"/>
      <c r="AA547" s="244"/>
      <c r="AB547" s="245"/>
    </row>
    <row r="548" spans="1:28" x14ac:dyDescent="0.2">
      <c r="A548" s="228"/>
      <c r="B548" s="242"/>
      <c r="C548" s="12"/>
      <c r="D548" s="12"/>
      <c r="E548" s="243"/>
      <c r="F548" s="13"/>
      <c r="G548" s="13">
        <f>F554+I554+L554+O554+R554+U554+X554</f>
        <v>0</v>
      </c>
      <c r="H548" s="13">
        <f>F555+I555+L555+O555+R555+U555+X555</f>
        <v>0</v>
      </c>
      <c r="I548" s="13"/>
      <c r="J548" s="13">
        <f>G554+J554+M554+P554+S554+V554+Y554</f>
        <v>0</v>
      </c>
      <c r="K548" s="13">
        <f>G555+J555+M555+P555+S555+V555+Y555</f>
        <v>0</v>
      </c>
      <c r="L548" s="13"/>
      <c r="M548" s="13">
        <f>H554+K554+N554+Q554+T554+W554+Z554</f>
        <v>0</v>
      </c>
      <c r="N548" s="13">
        <f>H555+K555+N555+Q555+T555+W555+Z555</f>
        <v>0</v>
      </c>
      <c r="O548" s="211"/>
      <c r="P548" s="211"/>
      <c r="Q548" s="213"/>
      <c r="R548" s="211"/>
      <c r="S548" s="213"/>
      <c r="T548" s="246"/>
      <c r="U548" s="246"/>
      <c r="V548" s="246"/>
      <c r="W548" s="246"/>
      <c r="X548" s="246"/>
      <c r="Y548" s="246"/>
      <c r="Z548" s="246"/>
      <c r="AA548" s="246"/>
      <c r="AB548" s="247"/>
    </row>
    <row r="549" spans="1:28" x14ac:dyDescent="0.2">
      <c r="A549" s="228"/>
      <c r="B549" s="56"/>
      <c r="C549" s="56"/>
      <c r="D549" s="56"/>
      <c r="E549" s="56"/>
      <c r="F549" s="89"/>
      <c r="G549" s="89"/>
      <c r="H549" s="89"/>
      <c r="I549" s="89"/>
      <c r="J549" s="89"/>
      <c r="K549" s="89"/>
      <c r="L549" s="89"/>
      <c r="M549" s="89"/>
      <c r="N549" s="89"/>
      <c r="O549" s="90"/>
      <c r="P549" s="90"/>
      <c r="Q549" s="91"/>
      <c r="R549" s="90"/>
      <c r="S549" s="91"/>
      <c r="T549" s="92"/>
      <c r="U549" s="92"/>
      <c r="V549" s="92"/>
      <c r="W549" s="92"/>
      <c r="X549" s="92"/>
      <c r="Y549" s="92"/>
      <c r="Z549" s="92"/>
      <c r="AA549" s="92"/>
      <c r="AB549" s="95"/>
    </row>
    <row r="550" spans="1:28" x14ac:dyDescent="0.2">
      <c r="A550" s="228"/>
      <c r="B550" s="256" t="s">
        <v>67</v>
      </c>
      <c r="C550" s="256"/>
      <c r="D550" s="257"/>
      <c r="E550" s="82" t="s">
        <v>68</v>
      </c>
      <c r="F550" s="248" t="s">
        <v>64</v>
      </c>
      <c r="G550" s="248"/>
      <c r="H550" s="248"/>
      <c r="I550" s="248" t="s">
        <v>76</v>
      </c>
      <c r="J550" s="248"/>
      <c r="K550" s="248"/>
      <c r="L550" s="248" t="s">
        <v>65</v>
      </c>
      <c r="M550" s="248"/>
      <c r="N550" s="248"/>
      <c r="O550" s="248" t="s">
        <v>66</v>
      </c>
      <c r="P550" s="248"/>
      <c r="Q550" s="248"/>
      <c r="R550" s="248" t="s">
        <v>73</v>
      </c>
      <c r="S550" s="248"/>
      <c r="T550" s="248"/>
      <c r="U550" s="248" t="s">
        <v>74</v>
      </c>
      <c r="V550" s="248"/>
      <c r="W550" s="248"/>
      <c r="X550" s="248" t="s">
        <v>75</v>
      </c>
      <c r="Y550" s="248"/>
      <c r="Z550" s="248"/>
      <c r="AA550" s="249"/>
      <c r="AB550" s="249"/>
    </row>
    <row r="551" spans="1:28" x14ac:dyDescent="0.2">
      <c r="A551" s="228"/>
      <c r="B551" s="258"/>
      <c r="C551" s="258"/>
      <c r="D551" s="259"/>
      <c r="E551" s="97" t="s">
        <v>69</v>
      </c>
      <c r="F551" s="83" t="s">
        <v>70</v>
      </c>
      <c r="G551" s="83" t="s">
        <v>71</v>
      </c>
      <c r="H551" s="84" t="s">
        <v>72</v>
      </c>
      <c r="I551" s="83" t="s">
        <v>70</v>
      </c>
      <c r="J551" s="83" t="s">
        <v>71</v>
      </c>
      <c r="K551" s="84" t="s">
        <v>72</v>
      </c>
      <c r="L551" s="83" t="s">
        <v>70</v>
      </c>
      <c r="M551" s="83" t="s">
        <v>71</v>
      </c>
      <c r="N551" s="84" t="s">
        <v>72</v>
      </c>
      <c r="O551" s="83" t="s">
        <v>70</v>
      </c>
      <c r="P551" s="83" t="s">
        <v>71</v>
      </c>
      <c r="Q551" s="84" t="s">
        <v>72</v>
      </c>
      <c r="R551" s="83" t="s">
        <v>70</v>
      </c>
      <c r="S551" s="83" t="s">
        <v>71</v>
      </c>
      <c r="T551" s="84" t="s">
        <v>72</v>
      </c>
      <c r="U551" s="83" t="s">
        <v>70</v>
      </c>
      <c r="V551" s="83" t="s">
        <v>71</v>
      </c>
      <c r="W551" s="84" t="s">
        <v>72</v>
      </c>
      <c r="X551" s="83" t="s">
        <v>70</v>
      </c>
      <c r="Y551" s="83" t="s">
        <v>71</v>
      </c>
      <c r="Z551" s="84" t="s">
        <v>72</v>
      </c>
      <c r="AA551" s="249"/>
      <c r="AB551" s="249"/>
    </row>
    <row r="552" spans="1:28" x14ac:dyDescent="0.2">
      <c r="A552" s="228"/>
      <c r="B552" s="260" t="str">
        <f>B547</f>
        <v>Final ASS</v>
      </c>
      <c r="C552" s="82" t="str">
        <f>IF(ISBLANK(C547), "", C547)</f>
        <v/>
      </c>
      <c r="D552" s="96" t="str">
        <f>IF(ISBLANK(D547), "", D547)</f>
        <v>unilever</v>
      </c>
      <c r="E552" s="82" t="s">
        <v>77</v>
      </c>
      <c r="F552" s="86"/>
      <c r="G552" s="85"/>
      <c r="H552" s="85"/>
      <c r="I552" s="85"/>
      <c r="J552" s="85"/>
      <c r="K552" s="85"/>
      <c r="L552" s="87"/>
      <c r="M552" s="87"/>
      <c r="N552" s="87"/>
      <c r="O552" s="87"/>
      <c r="P552" s="87"/>
      <c r="Q552" s="85"/>
      <c r="R552" s="87"/>
      <c r="S552" s="87"/>
      <c r="T552" s="87"/>
      <c r="U552" s="87">
        <v>1</v>
      </c>
      <c r="V552" s="87"/>
      <c r="W552" s="85"/>
      <c r="X552" s="85">
        <v>5</v>
      </c>
      <c r="Y552" s="85"/>
      <c r="Z552" s="88"/>
      <c r="AA552" s="249"/>
      <c r="AB552" s="249"/>
    </row>
    <row r="553" spans="1:28" x14ac:dyDescent="0.2">
      <c r="A553" s="228"/>
      <c r="B553" s="260"/>
      <c r="C553" s="82" t="str">
        <f>IF(ISBLANK(C547), "", C547)</f>
        <v/>
      </c>
      <c r="D553" s="96" t="str">
        <f>IF(ISBLANK(D547), "", D547)</f>
        <v>unilever</v>
      </c>
      <c r="E553" s="82" t="s">
        <v>78</v>
      </c>
      <c r="F553" s="86"/>
      <c r="G553" s="85"/>
      <c r="H553" s="85"/>
      <c r="I553" s="85"/>
      <c r="J553" s="85"/>
      <c r="K553" s="85"/>
      <c r="L553" s="87"/>
      <c r="M553" s="87"/>
      <c r="N553" s="87"/>
      <c r="O553" s="87"/>
      <c r="P553" s="87"/>
      <c r="Q553" s="85"/>
      <c r="R553" s="87"/>
      <c r="S553" s="87"/>
      <c r="T553" s="87"/>
      <c r="U553" s="87"/>
      <c r="V553" s="87"/>
      <c r="W553" s="85"/>
      <c r="X553" s="85"/>
      <c r="Y553" s="85"/>
      <c r="Z553" s="88"/>
      <c r="AA553" s="249"/>
      <c r="AB553" s="249"/>
    </row>
    <row r="554" spans="1:28" x14ac:dyDescent="0.2">
      <c r="A554" s="228"/>
      <c r="B554" s="260"/>
      <c r="C554" s="82" t="str">
        <f>IF(ISBLANK(C548), "", C548)</f>
        <v/>
      </c>
      <c r="D554" s="96" t="str">
        <f>IF(ISBLANK(D548), "", D548)</f>
        <v/>
      </c>
      <c r="E554" s="82" t="s">
        <v>77</v>
      </c>
      <c r="F554" s="86"/>
      <c r="G554" s="85"/>
      <c r="H554" s="85"/>
      <c r="I554" s="85"/>
      <c r="J554" s="85"/>
      <c r="K554" s="85"/>
      <c r="L554" s="87"/>
      <c r="M554" s="87"/>
      <c r="N554" s="87"/>
      <c r="O554" s="87"/>
      <c r="P554" s="87"/>
      <c r="Q554" s="85"/>
      <c r="R554" s="87"/>
      <c r="S554" s="87"/>
      <c r="T554" s="87"/>
      <c r="U554" s="87"/>
      <c r="V554" s="87"/>
      <c r="W554" s="85"/>
      <c r="X554" s="85"/>
      <c r="Y554" s="85"/>
      <c r="Z554" s="88"/>
      <c r="AA554" s="249"/>
      <c r="AB554" s="249"/>
    </row>
    <row r="555" spans="1:28" x14ac:dyDescent="0.2">
      <c r="A555" s="228"/>
      <c r="B555" s="260"/>
      <c r="C555" s="82" t="str">
        <f>IF(ISBLANK(C548), "", C548)</f>
        <v/>
      </c>
      <c r="D555" s="96" t="str">
        <f>IF(ISBLANK(D548), "", D548)</f>
        <v/>
      </c>
      <c r="E555" s="82" t="s">
        <v>78</v>
      </c>
      <c r="F555" s="86"/>
      <c r="G555" s="85"/>
      <c r="H555" s="85"/>
      <c r="I555" s="85"/>
      <c r="J555" s="85"/>
      <c r="K555" s="85"/>
      <c r="L555" s="87"/>
      <c r="M555" s="87"/>
      <c r="N555" s="87"/>
      <c r="O555" s="87"/>
      <c r="P555" s="87"/>
      <c r="Q555" s="85"/>
      <c r="R555" s="87"/>
      <c r="S555" s="87"/>
      <c r="T555" s="87"/>
      <c r="U555" s="87"/>
      <c r="V555" s="87"/>
      <c r="W555" s="85"/>
      <c r="X555" s="85"/>
      <c r="Y555" s="85"/>
      <c r="Z555" s="88"/>
      <c r="AA555" s="249"/>
      <c r="AB555" s="249"/>
    </row>
    <row r="557" spans="1:28" x14ac:dyDescent="0.2">
      <c r="A557" s="228">
        <v>44732</v>
      </c>
      <c r="B557" s="19"/>
      <c r="C557" s="19" t="s">
        <v>42</v>
      </c>
      <c r="D557" s="20"/>
      <c r="E557" s="21" t="s">
        <v>41</v>
      </c>
      <c r="F557" s="20">
        <v>0</v>
      </c>
      <c r="G557" s="20"/>
      <c r="H557" s="20"/>
      <c r="I557" s="21"/>
      <c r="J557" s="21"/>
      <c r="K557" s="32"/>
      <c r="L557" s="32"/>
      <c r="M557" s="20"/>
      <c r="N557" s="21"/>
      <c r="O557" s="21"/>
      <c r="P557" s="32"/>
      <c r="Q557" s="32"/>
      <c r="R557" s="20"/>
      <c r="S557" s="21"/>
      <c r="T557" s="21"/>
      <c r="U557" s="41">
        <v>160</v>
      </c>
      <c r="V557" s="42" t="s">
        <v>32</v>
      </c>
      <c r="W557" s="42"/>
      <c r="X557" s="43"/>
      <c r="Y557" s="31"/>
      <c r="Z557" s="31"/>
      <c r="AA557" s="31"/>
      <c r="AB557" s="33"/>
    </row>
    <row r="558" spans="1:28" x14ac:dyDescent="0.2">
      <c r="A558" s="228"/>
      <c r="B558" s="229" t="s">
        <v>10</v>
      </c>
      <c r="C558" s="230" t="s">
        <v>25</v>
      </c>
      <c r="D558" s="230" t="s">
        <v>28</v>
      </c>
      <c r="E558" s="237" t="s">
        <v>12</v>
      </c>
      <c r="F558" s="222" t="s">
        <v>13</v>
      </c>
      <c r="G558" s="223"/>
      <c r="H558" s="223"/>
      <c r="I558" s="223"/>
      <c r="J558" s="224"/>
      <c r="K558" s="222" t="s">
        <v>14</v>
      </c>
      <c r="L558" s="223"/>
      <c r="M558" s="223"/>
      <c r="N558" s="223"/>
      <c r="O558" s="224"/>
      <c r="P558" s="222" t="s">
        <v>15</v>
      </c>
      <c r="Q558" s="223"/>
      <c r="R558" s="223"/>
      <c r="S558" s="223"/>
      <c r="T558" s="224"/>
      <c r="U558" s="255" t="s">
        <v>34</v>
      </c>
      <c r="V558" s="255" t="s">
        <v>48</v>
      </c>
      <c r="W558" s="255" t="s">
        <v>56</v>
      </c>
      <c r="X558" s="255" t="s">
        <v>54</v>
      </c>
      <c r="Y558" s="255" t="s">
        <v>57</v>
      </c>
      <c r="Z558" s="255" t="s">
        <v>55</v>
      </c>
      <c r="AA558" s="255" t="s">
        <v>58</v>
      </c>
      <c r="AB558" s="255" t="s">
        <v>38</v>
      </c>
    </row>
    <row r="559" spans="1:28" ht="38.25" x14ac:dyDescent="0.2">
      <c r="A559" s="228"/>
      <c r="B559" s="229"/>
      <c r="C559" s="230"/>
      <c r="D559" s="230"/>
      <c r="E559" s="237"/>
      <c r="F559" s="18" t="s">
        <v>45</v>
      </c>
      <c r="G559" s="18" t="s">
        <v>29</v>
      </c>
      <c r="H559" s="18" t="s">
        <v>46</v>
      </c>
      <c r="I559" s="18" t="s">
        <v>52</v>
      </c>
      <c r="J559" s="18" t="s">
        <v>53</v>
      </c>
      <c r="K559" s="18" t="s">
        <v>45</v>
      </c>
      <c r="L559" s="18" t="s">
        <v>29</v>
      </c>
      <c r="M559" s="18" t="s">
        <v>46</v>
      </c>
      <c r="N559" s="18" t="s">
        <v>52</v>
      </c>
      <c r="O559" s="18" t="s">
        <v>53</v>
      </c>
      <c r="P559" s="18" t="s">
        <v>45</v>
      </c>
      <c r="Q559" s="18" t="s">
        <v>29</v>
      </c>
      <c r="R559" s="18" t="s">
        <v>46</v>
      </c>
      <c r="S559" s="18" t="s">
        <v>52</v>
      </c>
      <c r="T559" s="18" t="s">
        <v>53</v>
      </c>
      <c r="U559" s="255"/>
      <c r="V559" s="255"/>
      <c r="W559" s="255"/>
      <c r="X559" s="255"/>
      <c r="Y559" s="255"/>
      <c r="Z559" s="255"/>
      <c r="AA559" s="255"/>
      <c r="AB559" s="255"/>
    </row>
    <row r="560" spans="1:28" x14ac:dyDescent="0.2">
      <c r="A560" s="228"/>
      <c r="B560" s="232" t="s">
        <v>17</v>
      </c>
      <c r="C560" s="12">
        <v>20591</v>
      </c>
      <c r="D560" s="12"/>
      <c r="E560" s="234" t="s">
        <v>1</v>
      </c>
      <c r="F560" s="13">
        <v>1220</v>
      </c>
      <c r="G560" s="25">
        <f>F560/$U557</f>
        <v>7.625</v>
      </c>
      <c r="H560" s="13"/>
      <c r="I560" s="13"/>
      <c r="J560" s="13"/>
      <c r="K560" s="13">
        <v>0</v>
      </c>
      <c r="L560" s="25">
        <f>K560/$U557</f>
        <v>0</v>
      </c>
      <c r="M560" s="13"/>
      <c r="N560" s="13"/>
      <c r="O560" s="13"/>
      <c r="P560" s="13"/>
      <c r="Q560" s="25">
        <f>P560/$U557</f>
        <v>0</v>
      </c>
      <c r="R560" s="13"/>
      <c r="S560" s="13"/>
      <c r="T560" s="13"/>
      <c r="U560" s="210">
        <f>SUM(F560, K560, P560, F561, K561, P561)</f>
        <v>1220</v>
      </c>
      <c r="V560" s="210">
        <f>SUM(H560, M560, R560, H561, M561, R561)</f>
        <v>0</v>
      </c>
      <c r="W560" s="212">
        <f>IF($U560=0, ,V560/$U560)</f>
        <v>0</v>
      </c>
      <c r="X560" s="210">
        <f>SUM(I560, N560, S560, I561, N561, S561)</f>
        <v>0</v>
      </c>
      <c r="Y560" s="212">
        <f>IF($U560=0, ,X560/$U560)</f>
        <v>0</v>
      </c>
      <c r="Z560" s="210">
        <f>SUM(J560, O560, T560, J561, O561, T561)</f>
        <v>0</v>
      </c>
      <c r="AA560" s="212">
        <f>IF($U560=0, ,Z560/$U560)</f>
        <v>0</v>
      </c>
      <c r="AB560" s="214"/>
    </row>
    <row r="561" spans="1:28" x14ac:dyDescent="0.2">
      <c r="A561" s="228"/>
      <c r="B561" s="250"/>
      <c r="C561" s="12"/>
      <c r="D561" s="12"/>
      <c r="E561" s="236"/>
      <c r="F561" s="13"/>
      <c r="G561" s="25">
        <f>F561/$U557</f>
        <v>0</v>
      </c>
      <c r="H561" s="13"/>
      <c r="I561" s="13"/>
      <c r="J561" s="13"/>
      <c r="K561" s="13"/>
      <c r="L561" s="25">
        <f>K561/$U557</f>
        <v>0</v>
      </c>
      <c r="M561" s="13"/>
      <c r="N561" s="13"/>
      <c r="O561" s="13"/>
      <c r="P561" s="13"/>
      <c r="Q561" s="25">
        <f>P561/$U557</f>
        <v>0</v>
      </c>
      <c r="R561" s="13"/>
      <c r="S561" s="13"/>
      <c r="T561" s="13"/>
      <c r="U561" s="211"/>
      <c r="V561" s="211"/>
      <c r="W561" s="213"/>
      <c r="X561" s="211"/>
      <c r="Y561" s="213"/>
      <c r="Z561" s="211"/>
      <c r="AA561" s="213"/>
      <c r="AB561" s="215"/>
    </row>
    <row r="562" spans="1:28" x14ac:dyDescent="0.2">
      <c r="A562" s="228"/>
      <c r="B562" s="216" t="s">
        <v>18</v>
      </c>
      <c r="C562" s="10"/>
      <c r="D562" s="10"/>
      <c r="E562" s="218" t="s">
        <v>1</v>
      </c>
      <c r="F562" s="14">
        <v>0</v>
      </c>
      <c r="G562" s="26">
        <f>F562/$U557</f>
        <v>0</v>
      </c>
      <c r="H562" s="14"/>
      <c r="I562" s="14"/>
      <c r="J562" s="14"/>
      <c r="K562" s="14">
        <v>0</v>
      </c>
      <c r="L562" s="26">
        <f>K562/$U557</f>
        <v>0</v>
      </c>
      <c r="M562" s="14"/>
      <c r="N562" s="14"/>
      <c r="O562" s="14"/>
      <c r="P562" s="14"/>
      <c r="Q562" s="26">
        <f>P562/$U557</f>
        <v>0</v>
      </c>
      <c r="R562" s="14"/>
      <c r="S562" s="14"/>
      <c r="T562" s="14"/>
      <c r="U562" s="220">
        <f>SUM(F562, K562, P562, F563, K563, P563)</f>
        <v>0</v>
      </c>
      <c r="V562" s="220">
        <f>SUM(H562, M562, R562, H563, M563, R563)</f>
        <v>0</v>
      </c>
      <c r="W562" s="194">
        <f>IF($U562=0, ,V562/$U562)</f>
        <v>0</v>
      </c>
      <c r="X562" s="220">
        <f>SUM(I562, N562, S562, I563, N563, S563)</f>
        <v>0</v>
      </c>
      <c r="Y562" s="194">
        <f>IF($U562=0, ,X562/$U562)</f>
        <v>0</v>
      </c>
      <c r="Z562" s="220">
        <f>SUM(J562, O562, T562, J563, O563, T563)</f>
        <v>0</v>
      </c>
      <c r="AA562" s="194">
        <f>IF($U562=0, ,Z562/$U562)</f>
        <v>0</v>
      </c>
      <c r="AB562" s="204"/>
    </row>
    <row r="563" spans="1:28" x14ac:dyDescent="0.2">
      <c r="A563" s="228"/>
      <c r="B563" s="217"/>
      <c r="C563" s="10"/>
      <c r="D563" s="10"/>
      <c r="E563" s="219"/>
      <c r="F563" s="14"/>
      <c r="G563" s="26">
        <f>F563/$U557</f>
        <v>0</v>
      </c>
      <c r="H563" s="14"/>
      <c r="I563" s="14"/>
      <c r="J563" s="14"/>
      <c r="K563" s="14"/>
      <c r="L563" s="26">
        <f>K563/$U557</f>
        <v>0</v>
      </c>
      <c r="M563" s="14"/>
      <c r="N563" s="14"/>
      <c r="O563" s="14"/>
      <c r="P563" s="14"/>
      <c r="Q563" s="26">
        <f>P563/$U557</f>
        <v>0</v>
      </c>
      <c r="R563" s="14"/>
      <c r="S563" s="14"/>
      <c r="T563" s="14"/>
      <c r="U563" s="221"/>
      <c r="V563" s="221"/>
      <c r="W563" s="195"/>
      <c r="X563" s="221"/>
      <c r="Y563" s="195"/>
      <c r="Z563" s="221"/>
      <c r="AA563" s="195"/>
      <c r="AB563" s="205"/>
    </row>
    <row r="564" spans="1:28" x14ac:dyDescent="0.2">
      <c r="A564" s="228"/>
      <c r="B564" s="232" t="s">
        <v>19</v>
      </c>
      <c r="C564" s="9"/>
      <c r="D564" s="9"/>
      <c r="E564" s="208" t="s">
        <v>1</v>
      </c>
      <c r="F564" s="15">
        <v>0</v>
      </c>
      <c r="G564" s="27">
        <f>F564/$U557</f>
        <v>0</v>
      </c>
      <c r="H564" s="15"/>
      <c r="I564" s="15"/>
      <c r="J564" s="15"/>
      <c r="K564" s="15">
        <v>0</v>
      </c>
      <c r="L564" s="27">
        <f>K564/$U557</f>
        <v>0</v>
      </c>
      <c r="M564" s="15"/>
      <c r="N564" s="15"/>
      <c r="O564" s="15"/>
      <c r="P564" s="15"/>
      <c r="Q564" s="27">
        <f>P564/$U557</f>
        <v>0</v>
      </c>
      <c r="R564" s="15"/>
      <c r="S564" s="15"/>
      <c r="T564" s="15"/>
      <c r="U564" s="210">
        <f>SUM(F564, K564, P564, F565, K565, P565)</f>
        <v>0</v>
      </c>
      <c r="V564" s="210">
        <f>SUM(H564, M564, R564, H565, M565, R565)</f>
        <v>0</v>
      </c>
      <c r="W564" s="212">
        <f>IF($U564=0, ,V564/$U564)</f>
        <v>0</v>
      </c>
      <c r="X564" s="210">
        <f>SUM(I564, N564, S564, I565, N565, S565)</f>
        <v>0</v>
      </c>
      <c r="Y564" s="212">
        <f>IF($U564=0, ,X564/$U564)</f>
        <v>0</v>
      </c>
      <c r="Z564" s="210">
        <f>SUM(J564, O564, T564, J565, O565, T565)</f>
        <v>0</v>
      </c>
      <c r="AA564" s="212">
        <f>IF($U564=0, ,Z564/$U564)</f>
        <v>0</v>
      </c>
      <c r="AB564" s="214"/>
    </row>
    <row r="565" spans="1:28" x14ac:dyDescent="0.2">
      <c r="A565" s="228"/>
      <c r="B565" s="250"/>
      <c r="C565" s="9"/>
      <c r="D565" s="9"/>
      <c r="E565" s="209"/>
      <c r="F565" s="15"/>
      <c r="G565" s="27">
        <f>F565/$U557</f>
        <v>0</v>
      </c>
      <c r="H565" s="15"/>
      <c r="I565" s="15"/>
      <c r="J565" s="15"/>
      <c r="K565" s="15"/>
      <c r="L565" s="27">
        <f>K565/$U557</f>
        <v>0</v>
      </c>
      <c r="M565" s="15"/>
      <c r="N565" s="15"/>
      <c r="O565" s="15"/>
      <c r="P565" s="15"/>
      <c r="Q565" s="27">
        <f>P565/$U557</f>
        <v>0</v>
      </c>
      <c r="R565" s="15"/>
      <c r="S565" s="15"/>
      <c r="T565" s="15"/>
      <c r="U565" s="211"/>
      <c r="V565" s="211"/>
      <c r="W565" s="213"/>
      <c r="X565" s="211"/>
      <c r="Y565" s="213"/>
      <c r="Z565" s="211"/>
      <c r="AA565" s="213"/>
      <c r="AB565" s="215"/>
    </row>
    <row r="566" spans="1:28" x14ac:dyDescent="0.2">
      <c r="A566" s="228"/>
      <c r="B566" s="216" t="s">
        <v>20</v>
      </c>
      <c r="C566" s="10">
        <v>20591</v>
      </c>
      <c r="D566" s="10"/>
      <c r="E566" s="218" t="s">
        <v>1</v>
      </c>
      <c r="F566" s="14">
        <v>1507</v>
      </c>
      <c r="G566" s="26">
        <f>F566/$U557</f>
        <v>9.4187499999999993</v>
      </c>
      <c r="H566" s="14"/>
      <c r="I566" s="14"/>
      <c r="J566" s="14"/>
      <c r="K566" s="14">
        <v>0</v>
      </c>
      <c r="L566" s="26">
        <f>K566/$U557</f>
        <v>0</v>
      </c>
      <c r="M566" s="14"/>
      <c r="N566" s="14"/>
      <c r="O566" s="14"/>
      <c r="P566" s="14"/>
      <c r="Q566" s="26">
        <f>P566/$U557</f>
        <v>0</v>
      </c>
      <c r="R566" s="14"/>
      <c r="S566" s="14"/>
      <c r="T566" s="14"/>
      <c r="U566" s="220">
        <f>SUM(F566, K566, P566, F567, K567, P567)</f>
        <v>1507</v>
      </c>
      <c r="V566" s="220">
        <f>SUM(H566, M566, R566, H567, M567, R567)</f>
        <v>0</v>
      </c>
      <c r="W566" s="194">
        <f>IF($U566=0, ,V566/$U566)</f>
        <v>0</v>
      </c>
      <c r="X566" s="220">
        <f>SUM(I566, N566, S566, I567, N567, S567)</f>
        <v>0</v>
      </c>
      <c r="Y566" s="194">
        <f>IF($U566=0, ,X566/$U566)</f>
        <v>0</v>
      </c>
      <c r="Z566" s="220">
        <f>SUM(J566, O566, T566, J567, O567, T567)</f>
        <v>0</v>
      </c>
      <c r="AA566" s="194">
        <f>IF($U566=0, ,Z566/$U566)</f>
        <v>0</v>
      </c>
      <c r="AB566" s="204"/>
    </row>
    <row r="567" spans="1:28" x14ac:dyDescent="0.2">
      <c r="A567" s="228"/>
      <c r="B567" s="217"/>
      <c r="C567" s="10"/>
      <c r="D567" s="10"/>
      <c r="E567" s="219"/>
      <c r="F567" s="14"/>
      <c r="G567" s="26">
        <f>F567/$U557</f>
        <v>0</v>
      </c>
      <c r="H567" s="14"/>
      <c r="I567" s="14"/>
      <c r="J567" s="14"/>
      <c r="K567" s="14"/>
      <c r="L567" s="26">
        <f>K567/$U557</f>
        <v>0</v>
      </c>
      <c r="M567" s="14"/>
      <c r="N567" s="14"/>
      <c r="O567" s="14"/>
      <c r="P567" s="14"/>
      <c r="Q567" s="26">
        <f>P567/$U557</f>
        <v>0</v>
      </c>
      <c r="R567" s="14"/>
      <c r="S567" s="14"/>
      <c r="T567" s="14"/>
      <c r="U567" s="221"/>
      <c r="V567" s="221"/>
      <c r="W567" s="195"/>
      <c r="X567" s="221"/>
      <c r="Y567" s="195"/>
      <c r="Z567" s="221"/>
      <c r="AA567" s="195"/>
      <c r="AB567" s="205"/>
    </row>
    <row r="568" spans="1:28" x14ac:dyDescent="0.2">
      <c r="A568" s="228"/>
      <c r="B568" s="232" t="s">
        <v>21</v>
      </c>
      <c r="C568" s="9">
        <v>20591</v>
      </c>
      <c r="D568" s="9"/>
      <c r="E568" s="208" t="s">
        <v>1</v>
      </c>
      <c r="F568" s="15">
        <v>860</v>
      </c>
      <c r="G568" s="27">
        <f>F568/$U557</f>
        <v>5.375</v>
      </c>
      <c r="H568" s="15"/>
      <c r="I568" s="15"/>
      <c r="J568" s="15"/>
      <c r="K568" s="15">
        <v>0</v>
      </c>
      <c r="L568" s="27">
        <f>K568/$U557</f>
        <v>0</v>
      </c>
      <c r="M568" s="15"/>
      <c r="N568" s="15"/>
      <c r="O568" s="15"/>
      <c r="P568" s="15"/>
      <c r="Q568" s="27">
        <f>P568/$U557</f>
        <v>0</v>
      </c>
      <c r="R568" s="15"/>
      <c r="S568" s="15"/>
      <c r="T568" s="15"/>
      <c r="U568" s="210">
        <f>SUM(F568, K568, P568, F569, K569, P569)</f>
        <v>860</v>
      </c>
      <c r="V568" s="210">
        <f>SUM(H568, M568, R568, H569, M569, R569)</f>
        <v>0</v>
      </c>
      <c r="W568" s="212">
        <f>IF($U568=0, ,V568/$U568)</f>
        <v>0</v>
      </c>
      <c r="X568" s="210">
        <f>SUM(I568, N568, S568, I569, N569, S569)</f>
        <v>0</v>
      </c>
      <c r="Y568" s="212">
        <f>IF($U568=0, ,X568/$U568)</f>
        <v>0</v>
      </c>
      <c r="Z568" s="210">
        <f>SUM(J568, O568, T568, J569, O569, T569)</f>
        <v>0</v>
      </c>
      <c r="AA568" s="212">
        <f>IF($U568=0, ,Z568/$U568)</f>
        <v>0</v>
      </c>
      <c r="AB568" s="214"/>
    </row>
    <row r="569" spans="1:28" x14ac:dyDescent="0.2">
      <c r="A569" s="228"/>
      <c r="B569" s="250"/>
      <c r="C569" s="9"/>
      <c r="D569" s="9"/>
      <c r="E569" s="209"/>
      <c r="F569" s="15"/>
      <c r="G569" s="27">
        <f>F569/$U557</f>
        <v>0</v>
      </c>
      <c r="H569" s="15"/>
      <c r="I569" s="15"/>
      <c r="J569" s="15"/>
      <c r="K569" s="15"/>
      <c r="L569" s="27">
        <f>K569/$U557</f>
        <v>0</v>
      </c>
      <c r="M569" s="15"/>
      <c r="N569" s="15"/>
      <c r="O569" s="15"/>
      <c r="P569" s="15"/>
      <c r="Q569" s="27">
        <f>P569/$U557</f>
        <v>0</v>
      </c>
      <c r="R569" s="15"/>
      <c r="S569" s="15"/>
      <c r="T569" s="15"/>
      <c r="U569" s="211"/>
      <c r="V569" s="211"/>
      <c r="W569" s="213"/>
      <c r="X569" s="211"/>
      <c r="Y569" s="213"/>
      <c r="Z569" s="211"/>
      <c r="AA569" s="213"/>
      <c r="AB569" s="215"/>
    </row>
    <row r="570" spans="1:28" x14ac:dyDescent="0.2">
      <c r="A570" s="228"/>
      <c r="B570" s="216" t="s">
        <v>22</v>
      </c>
      <c r="C570" s="11">
        <v>20591</v>
      </c>
      <c r="D570" s="11"/>
      <c r="E570" s="191" t="s">
        <v>1</v>
      </c>
      <c r="F570" s="16">
        <v>845</v>
      </c>
      <c r="G570" s="28">
        <f>F570/$U557</f>
        <v>5.28125</v>
      </c>
      <c r="H570" s="16"/>
      <c r="I570" s="16"/>
      <c r="J570" s="16"/>
      <c r="K570" s="16">
        <v>0</v>
      </c>
      <c r="L570" s="28">
        <f>K570/$U557</f>
        <v>0</v>
      </c>
      <c r="M570" s="16"/>
      <c r="N570" s="16"/>
      <c r="O570" s="16"/>
      <c r="P570" s="16"/>
      <c r="Q570" s="28">
        <f>P570/$U557</f>
        <v>0</v>
      </c>
      <c r="R570" s="16"/>
      <c r="S570" s="16"/>
      <c r="T570" s="16"/>
      <c r="U570" s="220">
        <f>SUM(F570, K570, P570, F571, K571, P571)</f>
        <v>845</v>
      </c>
      <c r="V570" s="220">
        <f>SUM(H570, M570, R570, H571, M571, R571)</f>
        <v>0</v>
      </c>
      <c r="W570" s="194">
        <f>IF($U570=0, ,V570/$U570)</f>
        <v>0</v>
      </c>
      <c r="X570" s="220">
        <f>SUM(I570, N570, S570, I571, N571, S571)</f>
        <v>0</v>
      </c>
      <c r="Y570" s="194">
        <f>IF($U570=0, ,X570/$U570)</f>
        <v>0</v>
      </c>
      <c r="Z570" s="220">
        <f>SUM(J570, O570, T570, J571, O571, T571)</f>
        <v>0</v>
      </c>
      <c r="AA570" s="194">
        <f>IF($U570=0, ,Z570/$U570)</f>
        <v>0</v>
      </c>
      <c r="AB570" s="204"/>
    </row>
    <row r="571" spans="1:28" x14ac:dyDescent="0.2">
      <c r="A571" s="228"/>
      <c r="B571" s="217"/>
      <c r="C571" s="11"/>
      <c r="D571" s="11"/>
      <c r="E571" s="192"/>
      <c r="F571" s="16"/>
      <c r="G571" s="28">
        <f>F571/$U557</f>
        <v>0</v>
      </c>
      <c r="H571" s="16"/>
      <c r="I571" s="16"/>
      <c r="J571" s="16"/>
      <c r="K571" s="16"/>
      <c r="L571" s="28">
        <f>K571/$U557</f>
        <v>0</v>
      </c>
      <c r="M571" s="16"/>
      <c r="N571" s="16"/>
      <c r="O571" s="16"/>
      <c r="P571" s="16"/>
      <c r="Q571" s="28">
        <f>P571/$U557</f>
        <v>0</v>
      </c>
      <c r="R571" s="16"/>
      <c r="S571" s="16"/>
      <c r="T571" s="16"/>
      <c r="U571" s="221"/>
      <c r="V571" s="221"/>
      <c r="W571" s="195"/>
      <c r="X571" s="221"/>
      <c r="Y571" s="195"/>
      <c r="Z571" s="221"/>
      <c r="AA571" s="195"/>
      <c r="AB571" s="205"/>
    </row>
    <row r="572" spans="1:28" ht="13.5" thickBot="1" x14ac:dyDescent="0.25">
      <c r="A572" s="228"/>
      <c r="B572" s="56"/>
      <c r="C572" s="56"/>
      <c r="D572" s="56"/>
      <c r="E572" s="56"/>
      <c r="F572" s="57"/>
      <c r="G572" s="58"/>
      <c r="H572" s="57"/>
      <c r="I572" s="57"/>
      <c r="J572" s="57"/>
      <c r="K572" s="57"/>
      <c r="L572" s="58"/>
      <c r="M572" s="57"/>
      <c r="N572" s="57"/>
      <c r="O572" s="57"/>
      <c r="P572" s="57"/>
      <c r="Q572" s="58"/>
      <c r="R572" s="57"/>
      <c r="S572" s="57"/>
      <c r="T572" s="60" t="s">
        <v>59</v>
      </c>
      <c r="U572" s="61">
        <f>SUM(U560:U571)</f>
        <v>4432</v>
      </c>
      <c r="V572" s="61">
        <f>SUM(V560:V571)</f>
        <v>0</v>
      </c>
      <c r="W572" s="62">
        <f>IF($U572=0, ,V572/$U572)</f>
        <v>0</v>
      </c>
      <c r="X572" s="61">
        <f>SUM(X560:X571)</f>
        <v>0</v>
      </c>
      <c r="Y572" s="62">
        <f>IF($U572=0, ,X572/$U572)</f>
        <v>0</v>
      </c>
      <c r="Z572" s="61">
        <f>SUM(Z560:Z571)</f>
        <v>0</v>
      </c>
      <c r="AA572" s="62">
        <f>IF($U572=0, ,Z572/$U572)</f>
        <v>0</v>
      </c>
      <c r="AB572" s="59"/>
    </row>
    <row r="573" spans="1:28" ht="13.5" thickTop="1" x14ac:dyDescent="0.2">
      <c r="A573" s="228"/>
      <c r="B573" s="44"/>
      <c r="C573" s="45" t="s">
        <v>27</v>
      </c>
      <c r="D573" s="23"/>
      <c r="E573" s="44"/>
      <c r="F573" s="44"/>
      <c r="G573" s="44"/>
      <c r="H573" s="44"/>
      <c r="I573" s="44"/>
      <c r="J573" s="44"/>
      <c r="K573" s="44"/>
      <c r="L573" s="44"/>
      <c r="M573" s="44"/>
      <c r="N573" s="44"/>
      <c r="O573" s="93">
        <v>320</v>
      </c>
      <c r="P573" s="94" t="s">
        <v>33</v>
      </c>
      <c r="Q573" s="44"/>
      <c r="R573" s="44"/>
      <c r="S573" s="44"/>
      <c r="T573" s="44"/>
      <c r="U573" s="44"/>
      <c r="V573" s="44"/>
      <c r="W573" s="44"/>
      <c r="X573" s="44"/>
      <c r="Y573" s="44"/>
      <c r="Z573" s="44"/>
      <c r="AA573" s="44"/>
      <c r="AB573" s="46"/>
    </row>
    <row r="574" spans="1:28" x14ac:dyDescent="0.2">
      <c r="A574" s="228"/>
      <c r="B574" s="229" t="s">
        <v>35</v>
      </c>
      <c r="C574" s="230" t="s">
        <v>25</v>
      </c>
      <c r="D574" s="230" t="s">
        <v>28</v>
      </c>
      <c r="E574" s="237" t="s">
        <v>12</v>
      </c>
      <c r="F574" s="241" t="s">
        <v>13</v>
      </c>
      <c r="G574" s="241"/>
      <c r="H574" s="241"/>
      <c r="I574" s="241" t="s">
        <v>14</v>
      </c>
      <c r="J574" s="241"/>
      <c r="K574" s="241"/>
      <c r="L574" s="241" t="s">
        <v>15</v>
      </c>
      <c r="M574" s="241"/>
      <c r="N574" s="241"/>
      <c r="O574" s="225" t="s">
        <v>34</v>
      </c>
      <c r="P574" s="225" t="s">
        <v>48</v>
      </c>
      <c r="Q574" s="225" t="s">
        <v>60</v>
      </c>
      <c r="R574" s="225" t="s">
        <v>49</v>
      </c>
      <c r="S574" s="225" t="s">
        <v>61</v>
      </c>
      <c r="T574" s="251"/>
      <c r="U574" s="251"/>
      <c r="V574" s="251"/>
      <c r="W574" s="251"/>
      <c r="X574" s="251"/>
      <c r="Y574" s="251"/>
      <c r="Z574" s="251"/>
      <c r="AA574" s="251"/>
      <c r="AB574" s="252"/>
    </row>
    <row r="575" spans="1:28" ht="25.5" x14ac:dyDescent="0.2">
      <c r="A575" s="228"/>
      <c r="B575" s="229"/>
      <c r="C575" s="230"/>
      <c r="D575" s="230"/>
      <c r="E575" s="237"/>
      <c r="F575" s="18" t="s">
        <v>30</v>
      </c>
      <c r="G575" s="18" t="s">
        <v>46</v>
      </c>
      <c r="H575" s="18" t="s">
        <v>47</v>
      </c>
      <c r="I575" s="18" t="s">
        <v>30</v>
      </c>
      <c r="J575" s="18" t="s">
        <v>46</v>
      </c>
      <c r="K575" s="18" t="s">
        <v>47</v>
      </c>
      <c r="L575" s="18" t="s">
        <v>30</v>
      </c>
      <c r="M575" s="18" t="s">
        <v>46</v>
      </c>
      <c r="N575" s="18" t="s">
        <v>47</v>
      </c>
      <c r="O575" s="227"/>
      <c r="P575" s="227"/>
      <c r="Q575" s="227"/>
      <c r="R575" s="227"/>
      <c r="S575" s="227"/>
      <c r="T575" s="253"/>
      <c r="U575" s="253"/>
      <c r="V575" s="253"/>
      <c r="W575" s="253"/>
      <c r="X575" s="253"/>
      <c r="Y575" s="253"/>
      <c r="Z575" s="253"/>
      <c r="AA575" s="253"/>
      <c r="AB575" s="254"/>
    </row>
    <row r="576" spans="1:28" x14ac:dyDescent="0.2">
      <c r="A576" s="228"/>
      <c r="B576" s="242" t="s">
        <v>36</v>
      </c>
      <c r="C576" s="12"/>
      <c r="D576" s="12" t="s">
        <v>95</v>
      </c>
      <c r="E576" s="243" t="s">
        <v>1</v>
      </c>
      <c r="F576" s="13">
        <v>0</v>
      </c>
      <c r="G576" s="13">
        <v>0</v>
      </c>
      <c r="H576" s="13">
        <v>0</v>
      </c>
      <c r="I576" s="13">
        <v>0</v>
      </c>
      <c r="J576" s="13"/>
      <c r="K576" s="13"/>
      <c r="L576" s="13"/>
      <c r="M576" s="13">
        <f>H581+K581+N581+Q581+T581+W581+Z581</f>
        <v>0</v>
      </c>
      <c r="N576" s="13">
        <f>H582+K582+N582+Q582+T582+W582+Z582</f>
        <v>0</v>
      </c>
      <c r="O576" s="210">
        <f>SUM(F576, I576, L576, F577, I577, L577)*$O573</f>
        <v>0</v>
      </c>
      <c r="P576" s="210">
        <f>SUM(G576, J576, M576, G577, J577, M577)</f>
        <v>0</v>
      </c>
      <c r="Q576" s="212">
        <f>IF($O576=0, ,P576/$O576)</f>
        <v>0</v>
      </c>
      <c r="R576" s="210">
        <f>SUM(H576, K576, N576, H577, K577, N577)</f>
        <v>0</v>
      </c>
      <c r="S576" s="212">
        <f>IF($O576=0, ,R576/$O576)</f>
        <v>0</v>
      </c>
      <c r="T576" s="244"/>
      <c r="U576" s="244"/>
      <c r="V576" s="244"/>
      <c r="W576" s="244"/>
      <c r="X576" s="244"/>
      <c r="Y576" s="244"/>
      <c r="Z576" s="244"/>
      <c r="AA576" s="244"/>
      <c r="AB576" s="245"/>
    </row>
    <row r="577" spans="1:28" x14ac:dyDescent="0.2">
      <c r="A577" s="228"/>
      <c r="B577" s="242"/>
      <c r="C577" s="12"/>
      <c r="D577" s="12"/>
      <c r="E577" s="243"/>
      <c r="F577" s="13"/>
      <c r="G577" s="13">
        <f>F583+I583+L583+O583+R583+U583+X583</f>
        <v>0</v>
      </c>
      <c r="H577" s="13">
        <f>F584+I584+L584+O584+R584+U584+X584</f>
        <v>0</v>
      </c>
      <c r="I577" s="13"/>
      <c r="J577" s="13">
        <f>G583+J583+M583+P583+S583+V583+Y583</f>
        <v>0</v>
      </c>
      <c r="K577" s="13">
        <f>G584+J584+M584+P584+S584+V584+Y584</f>
        <v>0</v>
      </c>
      <c r="L577" s="13"/>
      <c r="M577" s="13">
        <f>H583+K583+N583+Q583+T583+W583+Z583</f>
        <v>0</v>
      </c>
      <c r="N577" s="13">
        <f>H584+K584+N584+Q584+T584+W584+Z584</f>
        <v>0</v>
      </c>
      <c r="O577" s="211"/>
      <c r="P577" s="211"/>
      <c r="Q577" s="213"/>
      <c r="R577" s="211"/>
      <c r="S577" s="213"/>
      <c r="T577" s="246"/>
      <c r="U577" s="246"/>
      <c r="V577" s="246"/>
      <c r="W577" s="246"/>
      <c r="X577" s="246"/>
      <c r="Y577" s="246"/>
      <c r="Z577" s="246"/>
      <c r="AA577" s="246"/>
      <c r="AB577" s="247"/>
    </row>
    <row r="578" spans="1:28" x14ac:dyDescent="0.2">
      <c r="A578" s="228"/>
      <c r="B578" s="56"/>
      <c r="C578" s="56"/>
      <c r="D578" s="56"/>
      <c r="E578" s="56"/>
      <c r="F578" s="89"/>
      <c r="G578" s="89"/>
      <c r="H578" s="89"/>
      <c r="I578" s="89"/>
      <c r="J578" s="89"/>
      <c r="K578" s="89"/>
      <c r="L578" s="89"/>
      <c r="M578" s="89"/>
      <c r="N578" s="89"/>
      <c r="O578" s="90"/>
      <c r="P578" s="90"/>
      <c r="Q578" s="91"/>
      <c r="R578" s="90"/>
      <c r="S578" s="91"/>
      <c r="T578" s="92"/>
      <c r="U578" s="92"/>
      <c r="V578" s="92"/>
      <c r="W578" s="92"/>
      <c r="X578" s="92"/>
      <c r="Y578" s="92"/>
      <c r="Z578" s="92"/>
      <c r="AA578" s="92"/>
      <c r="AB578" s="95"/>
    </row>
    <row r="579" spans="1:28" x14ac:dyDescent="0.2">
      <c r="A579" s="228"/>
      <c r="B579" s="256" t="s">
        <v>67</v>
      </c>
      <c r="C579" s="256"/>
      <c r="D579" s="257"/>
      <c r="E579" s="82" t="s">
        <v>68</v>
      </c>
      <c r="F579" s="248" t="s">
        <v>64</v>
      </c>
      <c r="G579" s="248"/>
      <c r="H579" s="248"/>
      <c r="I579" s="248" t="s">
        <v>76</v>
      </c>
      <c r="J579" s="248"/>
      <c r="K579" s="248"/>
      <c r="L579" s="248" t="s">
        <v>65</v>
      </c>
      <c r="M579" s="248"/>
      <c r="N579" s="248"/>
      <c r="O579" s="248" t="s">
        <v>66</v>
      </c>
      <c r="P579" s="248"/>
      <c r="Q579" s="248"/>
      <c r="R579" s="248" t="s">
        <v>73</v>
      </c>
      <c r="S579" s="248"/>
      <c r="T579" s="248"/>
      <c r="U579" s="248" t="s">
        <v>74</v>
      </c>
      <c r="V579" s="248"/>
      <c r="W579" s="248"/>
      <c r="X579" s="248" t="s">
        <v>75</v>
      </c>
      <c r="Y579" s="248"/>
      <c r="Z579" s="248"/>
      <c r="AA579" s="249"/>
      <c r="AB579" s="249"/>
    </row>
    <row r="580" spans="1:28" x14ac:dyDescent="0.2">
      <c r="A580" s="228"/>
      <c r="B580" s="258"/>
      <c r="C580" s="258"/>
      <c r="D580" s="259"/>
      <c r="E580" s="97" t="s">
        <v>69</v>
      </c>
      <c r="F580" s="83" t="s">
        <v>70</v>
      </c>
      <c r="G580" s="83" t="s">
        <v>71</v>
      </c>
      <c r="H580" s="84" t="s">
        <v>72</v>
      </c>
      <c r="I580" s="83" t="s">
        <v>70</v>
      </c>
      <c r="J580" s="83" t="s">
        <v>71</v>
      </c>
      <c r="K580" s="84" t="s">
        <v>72</v>
      </c>
      <c r="L580" s="83" t="s">
        <v>70</v>
      </c>
      <c r="M580" s="83" t="s">
        <v>71</v>
      </c>
      <c r="N580" s="84" t="s">
        <v>72</v>
      </c>
      <c r="O580" s="83" t="s">
        <v>70</v>
      </c>
      <c r="P580" s="83" t="s">
        <v>71</v>
      </c>
      <c r="Q580" s="84" t="s">
        <v>72</v>
      </c>
      <c r="R580" s="83" t="s">
        <v>70</v>
      </c>
      <c r="S580" s="83" t="s">
        <v>71</v>
      </c>
      <c r="T580" s="84" t="s">
        <v>72</v>
      </c>
      <c r="U580" s="83" t="s">
        <v>70</v>
      </c>
      <c r="V580" s="83" t="s">
        <v>71</v>
      </c>
      <c r="W580" s="84" t="s">
        <v>72</v>
      </c>
      <c r="X580" s="83" t="s">
        <v>70</v>
      </c>
      <c r="Y580" s="83" t="s">
        <v>71</v>
      </c>
      <c r="Z580" s="84" t="s">
        <v>72</v>
      </c>
      <c r="AA580" s="249"/>
      <c r="AB580" s="249"/>
    </row>
    <row r="581" spans="1:28" x14ac:dyDescent="0.2">
      <c r="A581" s="228"/>
      <c r="B581" s="260" t="str">
        <f>B576</f>
        <v>Final ASS</v>
      </c>
      <c r="C581" s="82" t="str">
        <f>IF(ISBLANK(C576), "", C576)</f>
        <v/>
      </c>
      <c r="D581" s="96" t="str">
        <f>IF(ISBLANK(D576), "", D576)</f>
        <v>unilever</v>
      </c>
      <c r="E581" s="82" t="s">
        <v>77</v>
      </c>
      <c r="F581" s="86"/>
      <c r="G581" s="85"/>
      <c r="H581" s="85"/>
      <c r="I581" s="85"/>
      <c r="J581" s="85"/>
      <c r="K581" s="85"/>
      <c r="L581" s="87"/>
      <c r="M581" s="87"/>
      <c r="N581" s="87"/>
      <c r="O581" s="87"/>
      <c r="P581" s="87"/>
      <c r="Q581" s="85"/>
      <c r="R581" s="87"/>
      <c r="S581" s="87"/>
      <c r="T581" s="87"/>
      <c r="U581" s="87">
        <v>3</v>
      </c>
      <c r="V581" s="87"/>
      <c r="W581" s="85"/>
      <c r="X581" s="85">
        <v>4</v>
      </c>
      <c r="Y581" s="85"/>
      <c r="Z581" s="88"/>
      <c r="AA581" s="249"/>
      <c r="AB581" s="249"/>
    </row>
    <row r="582" spans="1:28" x14ac:dyDescent="0.2">
      <c r="A582" s="228"/>
      <c r="B582" s="260"/>
      <c r="C582" s="82" t="str">
        <f>IF(ISBLANK(C576), "", C576)</f>
        <v/>
      </c>
      <c r="D582" s="96" t="str">
        <f>IF(ISBLANK(D576), "", D576)</f>
        <v>unilever</v>
      </c>
      <c r="E582" s="82" t="s">
        <v>78</v>
      </c>
      <c r="F582" s="86"/>
      <c r="G582" s="85"/>
      <c r="H582" s="85"/>
      <c r="I582" s="85"/>
      <c r="J582" s="85"/>
      <c r="K582" s="85"/>
      <c r="L582" s="87"/>
      <c r="M582" s="87"/>
      <c r="N582" s="87"/>
      <c r="O582" s="87"/>
      <c r="P582" s="87"/>
      <c r="Q582" s="85"/>
      <c r="R582" s="87"/>
      <c r="S582" s="87"/>
      <c r="T582" s="87"/>
      <c r="U582" s="87"/>
      <c r="V582" s="87"/>
      <c r="W582" s="85"/>
      <c r="X582" s="85"/>
      <c r="Y582" s="85"/>
      <c r="Z582" s="88"/>
      <c r="AA582" s="249"/>
      <c r="AB582" s="249"/>
    </row>
    <row r="583" spans="1:28" x14ac:dyDescent="0.2">
      <c r="A583" s="228"/>
      <c r="B583" s="260"/>
      <c r="C583" s="82" t="str">
        <f>IF(ISBLANK(C577), "", C577)</f>
        <v/>
      </c>
      <c r="D583" s="96" t="str">
        <f>IF(ISBLANK(D577), "", D577)</f>
        <v/>
      </c>
      <c r="E583" s="82" t="s">
        <v>77</v>
      </c>
      <c r="F583" s="86"/>
      <c r="G583" s="85"/>
      <c r="H583" s="85"/>
      <c r="I583" s="85"/>
      <c r="J583" s="85"/>
      <c r="K583" s="85"/>
      <c r="L583" s="87"/>
      <c r="M583" s="87"/>
      <c r="N583" s="87"/>
      <c r="O583" s="87"/>
      <c r="P583" s="87"/>
      <c r="Q583" s="85"/>
      <c r="R583" s="87"/>
      <c r="S583" s="87"/>
      <c r="T583" s="87"/>
      <c r="U583" s="87"/>
      <c r="V583" s="87"/>
      <c r="W583" s="85"/>
      <c r="X583" s="85"/>
      <c r="Y583" s="85"/>
      <c r="Z583" s="88"/>
      <c r="AA583" s="249"/>
      <c r="AB583" s="249"/>
    </row>
    <row r="584" spans="1:28" x14ac:dyDescent="0.2">
      <c r="A584" s="228"/>
      <c r="B584" s="260"/>
      <c r="C584" s="82" t="str">
        <f>IF(ISBLANK(C577), "", C577)</f>
        <v/>
      </c>
      <c r="D584" s="96" t="str">
        <f>IF(ISBLANK(D577), "", D577)</f>
        <v/>
      </c>
      <c r="E584" s="82" t="s">
        <v>78</v>
      </c>
      <c r="F584" s="86"/>
      <c r="G584" s="85"/>
      <c r="H584" s="85"/>
      <c r="I584" s="85"/>
      <c r="J584" s="85"/>
      <c r="K584" s="85"/>
      <c r="L584" s="87"/>
      <c r="M584" s="87"/>
      <c r="N584" s="87"/>
      <c r="O584" s="87"/>
      <c r="P584" s="87"/>
      <c r="Q584" s="85"/>
      <c r="R584" s="87"/>
      <c r="S584" s="87"/>
      <c r="T584" s="87"/>
      <c r="U584" s="87"/>
      <c r="V584" s="87"/>
      <c r="W584" s="85"/>
      <c r="X584" s="85"/>
      <c r="Y584" s="85"/>
      <c r="Z584" s="88"/>
      <c r="AA584" s="249"/>
      <c r="AB584" s="249"/>
    </row>
    <row r="586" spans="1:28" x14ac:dyDescent="0.2">
      <c r="A586" s="228">
        <v>44733</v>
      </c>
      <c r="B586" s="19"/>
      <c r="C586" s="19" t="s">
        <v>42</v>
      </c>
      <c r="D586" s="20"/>
      <c r="E586" s="21" t="s">
        <v>41</v>
      </c>
      <c r="F586" s="20">
        <v>0</v>
      </c>
      <c r="G586" s="20"/>
      <c r="H586" s="20"/>
      <c r="I586" s="21"/>
      <c r="J586" s="21"/>
      <c r="K586" s="32"/>
      <c r="L586" s="32"/>
      <c r="M586" s="20"/>
      <c r="N586" s="21"/>
      <c r="O586" s="21"/>
      <c r="P586" s="32"/>
      <c r="Q586" s="32"/>
      <c r="R586" s="20"/>
      <c r="S586" s="21"/>
      <c r="T586" s="21"/>
      <c r="U586" s="41">
        <v>160</v>
      </c>
      <c r="V586" s="42" t="s">
        <v>32</v>
      </c>
      <c r="W586" s="42"/>
      <c r="X586" s="43"/>
      <c r="Y586" s="31"/>
      <c r="Z586" s="31"/>
      <c r="AA586" s="31"/>
      <c r="AB586" s="33"/>
    </row>
    <row r="587" spans="1:28" x14ac:dyDescent="0.2">
      <c r="A587" s="228"/>
      <c r="B587" s="229" t="s">
        <v>10</v>
      </c>
      <c r="C587" s="230" t="s">
        <v>25</v>
      </c>
      <c r="D587" s="230" t="s">
        <v>28</v>
      </c>
      <c r="E587" s="237" t="s">
        <v>12</v>
      </c>
      <c r="F587" s="222" t="s">
        <v>13</v>
      </c>
      <c r="G587" s="223"/>
      <c r="H587" s="223"/>
      <c r="I587" s="223"/>
      <c r="J587" s="224"/>
      <c r="K587" s="222" t="s">
        <v>14</v>
      </c>
      <c r="L587" s="223"/>
      <c r="M587" s="223"/>
      <c r="N587" s="223"/>
      <c r="O587" s="224"/>
      <c r="P587" s="222" t="s">
        <v>15</v>
      </c>
      <c r="Q587" s="223"/>
      <c r="R587" s="223"/>
      <c r="S587" s="223"/>
      <c r="T587" s="224"/>
      <c r="U587" s="255" t="s">
        <v>34</v>
      </c>
      <c r="V587" s="255" t="s">
        <v>48</v>
      </c>
      <c r="W587" s="255" t="s">
        <v>56</v>
      </c>
      <c r="X587" s="255" t="s">
        <v>54</v>
      </c>
      <c r="Y587" s="255" t="s">
        <v>57</v>
      </c>
      <c r="Z587" s="255" t="s">
        <v>55</v>
      </c>
      <c r="AA587" s="255" t="s">
        <v>58</v>
      </c>
      <c r="AB587" s="255" t="s">
        <v>38</v>
      </c>
    </row>
    <row r="588" spans="1:28" ht="38.25" x14ac:dyDescent="0.2">
      <c r="A588" s="228"/>
      <c r="B588" s="229"/>
      <c r="C588" s="230"/>
      <c r="D588" s="230"/>
      <c r="E588" s="237"/>
      <c r="F588" s="18" t="s">
        <v>45</v>
      </c>
      <c r="G588" s="18" t="s">
        <v>29</v>
      </c>
      <c r="H588" s="18" t="s">
        <v>46</v>
      </c>
      <c r="I588" s="18" t="s">
        <v>52</v>
      </c>
      <c r="J588" s="18" t="s">
        <v>53</v>
      </c>
      <c r="K588" s="18" t="s">
        <v>45</v>
      </c>
      <c r="L588" s="18" t="s">
        <v>29</v>
      </c>
      <c r="M588" s="18" t="s">
        <v>46</v>
      </c>
      <c r="N588" s="18" t="s">
        <v>52</v>
      </c>
      <c r="O588" s="18" t="s">
        <v>53</v>
      </c>
      <c r="P588" s="18" t="s">
        <v>45</v>
      </c>
      <c r="Q588" s="18" t="s">
        <v>29</v>
      </c>
      <c r="R588" s="18" t="s">
        <v>46</v>
      </c>
      <c r="S588" s="18" t="s">
        <v>52</v>
      </c>
      <c r="T588" s="18" t="s">
        <v>53</v>
      </c>
      <c r="U588" s="255"/>
      <c r="V588" s="255"/>
      <c r="W588" s="255"/>
      <c r="X588" s="255"/>
      <c r="Y588" s="255"/>
      <c r="Z588" s="255"/>
      <c r="AA588" s="255"/>
      <c r="AB588" s="255"/>
    </row>
    <row r="589" spans="1:28" x14ac:dyDescent="0.2">
      <c r="A589" s="228"/>
      <c r="B589" s="232" t="s">
        <v>17</v>
      </c>
      <c r="C589" s="12"/>
      <c r="D589" s="12"/>
      <c r="E589" s="234" t="s">
        <v>1</v>
      </c>
      <c r="F589" s="13">
        <v>0</v>
      </c>
      <c r="G589" s="25">
        <f>F589/$U586</f>
        <v>0</v>
      </c>
      <c r="H589" s="13"/>
      <c r="I589" s="13"/>
      <c r="J589" s="13"/>
      <c r="K589" s="13">
        <v>0</v>
      </c>
      <c r="L589" s="25">
        <f>K589/$U586</f>
        <v>0</v>
      </c>
      <c r="M589" s="13"/>
      <c r="N589" s="13"/>
      <c r="O589" s="13"/>
      <c r="P589" s="13"/>
      <c r="Q589" s="25">
        <f>P589/$U586</f>
        <v>0</v>
      </c>
      <c r="R589" s="13"/>
      <c r="S589" s="13"/>
      <c r="T589" s="13"/>
      <c r="U589" s="210">
        <f>SUM(F589, K589, P589, F590, K590, P590)</f>
        <v>0</v>
      </c>
      <c r="V589" s="210">
        <f>SUM(H589, M589, R589, H590, M590, R590)</f>
        <v>0</v>
      </c>
      <c r="W589" s="212">
        <f>IF($U589=0, ,V589/$U589)</f>
        <v>0</v>
      </c>
      <c r="X589" s="210">
        <f>SUM(I589, N589, S589, I590, N590, S590)</f>
        <v>0</v>
      </c>
      <c r="Y589" s="212">
        <f>IF($U589=0, ,X589/$U589)</f>
        <v>0</v>
      </c>
      <c r="Z589" s="210">
        <f>SUM(J589, O589, T589, J590, O590, T590)</f>
        <v>0</v>
      </c>
      <c r="AA589" s="212">
        <f>IF($U589=0, ,Z589/$U589)</f>
        <v>0</v>
      </c>
      <c r="AB589" s="214"/>
    </row>
    <row r="590" spans="1:28" x14ac:dyDescent="0.2">
      <c r="A590" s="228"/>
      <c r="B590" s="250"/>
      <c r="C590" s="12"/>
      <c r="D590" s="12"/>
      <c r="E590" s="236"/>
      <c r="F590" s="13"/>
      <c r="G590" s="25">
        <f>F590/$U586</f>
        <v>0</v>
      </c>
      <c r="H590" s="13"/>
      <c r="I590" s="13"/>
      <c r="J590" s="13"/>
      <c r="K590" s="13"/>
      <c r="L590" s="25">
        <f>K590/$U586</f>
        <v>0</v>
      </c>
      <c r="M590" s="13"/>
      <c r="N590" s="13"/>
      <c r="O590" s="13"/>
      <c r="P590" s="13"/>
      <c r="Q590" s="25">
        <f>P590/$U586</f>
        <v>0</v>
      </c>
      <c r="R590" s="13"/>
      <c r="S590" s="13"/>
      <c r="T590" s="13"/>
      <c r="U590" s="211"/>
      <c r="V590" s="211"/>
      <c r="W590" s="213"/>
      <c r="X590" s="211"/>
      <c r="Y590" s="213"/>
      <c r="Z590" s="211"/>
      <c r="AA590" s="213"/>
      <c r="AB590" s="215"/>
    </row>
    <row r="591" spans="1:28" x14ac:dyDescent="0.2">
      <c r="A591" s="228"/>
      <c r="B591" s="216" t="s">
        <v>18</v>
      </c>
      <c r="C591" s="10"/>
      <c r="D591" s="10"/>
      <c r="E591" s="218" t="s">
        <v>1</v>
      </c>
      <c r="F591" s="14">
        <v>0</v>
      </c>
      <c r="G591" s="26">
        <f>F591/$U586</f>
        <v>0</v>
      </c>
      <c r="H591" s="14"/>
      <c r="I591" s="14"/>
      <c r="J591" s="14"/>
      <c r="K591" s="14">
        <v>0</v>
      </c>
      <c r="L591" s="26">
        <f>K591/$U586</f>
        <v>0</v>
      </c>
      <c r="M591" s="14"/>
      <c r="N591" s="14"/>
      <c r="O591" s="14"/>
      <c r="P591" s="14"/>
      <c r="Q591" s="26">
        <f>P591/$U586</f>
        <v>0</v>
      </c>
      <c r="R591" s="14"/>
      <c r="S591" s="14"/>
      <c r="T591" s="14"/>
      <c r="U591" s="220">
        <f>SUM(F591, K591, P591, F592, K592, P592)</f>
        <v>0</v>
      </c>
      <c r="V591" s="220">
        <f>SUM(H591, M591, R591, H592, M592, R592)</f>
        <v>0</v>
      </c>
      <c r="W591" s="194">
        <f>IF($U591=0, ,V591/$U591)</f>
        <v>0</v>
      </c>
      <c r="X591" s="220">
        <f>SUM(I591, N591, S591, I592, N592, S592)</f>
        <v>0</v>
      </c>
      <c r="Y591" s="194">
        <f>IF($U591=0, ,X591/$U591)</f>
        <v>0</v>
      </c>
      <c r="Z591" s="220">
        <f>SUM(J591, O591, T591, J592, O592, T592)</f>
        <v>0</v>
      </c>
      <c r="AA591" s="194">
        <f>IF($U591=0, ,Z591/$U591)</f>
        <v>0</v>
      </c>
      <c r="AB591" s="204"/>
    </row>
    <row r="592" spans="1:28" x14ac:dyDescent="0.2">
      <c r="A592" s="228"/>
      <c r="B592" s="217"/>
      <c r="C592" s="10"/>
      <c r="D592" s="10"/>
      <c r="E592" s="219"/>
      <c r="F592" s="14"/>
      <c r="G592" s="26">
        <f>F592/$U586</f>
        <v>0</v>
      </c>
      <c r="H592" s="14"/>
      <c r="I592" s="14"/>
      <c r="J592" s="14"/>
      <c r="K592" s="14"/>
      <c r="L592" s="26">
        <f>K592/$U586</f>
        <v>0</v>
      </c>
      <c r="M592" s="14"/>
      <c r="N592" s="14"/>
      <c r="O592" s="14"/>
      <c r="P592" s="14"/>
      <c r="Q592" s="26">
        <f>P592/$U586</f>
        <v>0</v>
      </c>
      <c r="R592" s="14"/>
      <c r="S592" s="14"/>
      <c r="T592" s="14"/>
      <c r="U592" s="221"/>
      <c r="V592" s="221"/>
      <c r="W592" s="195"/>
      <c r="X592" s="221"/>
      <c r="Y592" s="195"/>
      <c r="Z592" s="221"/>
      <c r="AA592" s="195"/>
      <c r="AB592" s="205"/>
    </row>
    <row r="593" spans="1:28" x14ac:dyDescent="0.2">
      <c r="A593" s="228"/>
      <c r="B593" s="232" t="s">
        <v>19</v>
      </c>
      <c r="C593" s="9"/>
      <c r="D593" s="9"/>
      <c r="E593" s="208" t="s">
        <v>1</v>
      </c>
      <c r="F593" s="15">
        <v>0</v>
      </c>
      <c r="G593" s="27">
        <f>F593/$U586</f>
        <v>0</v>
      </c>
      <c r="H593" s="15"/>
      <c r="I593" s="15"/>
      <c r="J593" s="15"/>
      <c r="K593" s="15">
        <v>0</v>
      </c>
      <c r="L593" s="27">
        <f>K593/$U586</f>
        <v>0</v>
      </c>
      <c r="M593" s="15"/>
      <c r="N593" s="15"/>
      <c r="O593" s="15"/>
      <c r="P593" s="15"/>
      <c r="Q593" s="27">
        <f>P593/$U586</f>
        <v>0</v>
      </c>
      <c r="R593" s="15"/>
      <c r="S593" s="15"/>
      <c r="T593" s="15"/>
      <c r="U593" s="210">
        <f>SUM(F593, K593, P593, F594, K594, P594)</f>
        <v>0</v>
      </c>
      <c r="V593" s="210">
        <f>SUM(H593, M593, R593, H594, M594, R594)</f>
        <v>0</v>
      </c>
      <c r="W593" s="212">
        <f>IF($U593=0, ,V593/$U593)</f>
        <v>0</v>
      </c>
      <c r="X593" s="210">
        <f>SUM(I593, N593, S593, I594, N594, S594)</f>
        <v>0</v>
      </c>
      <c r="Y593" s="212">
        <f>IF($U593=0, ,X593/$U593)</f>
        <v>0</v>
      </c>
      <c r="Z593" s="210">
        <f>SUM(J593, O593, T593, J594, O594, T594)</f>
        <v>0</v>
      </c>
      <c r="AA593" s="212">
        <f>IF($U593=0, ,Z593/$U593)</f>
        <v>0</v>
      </c>
      <c r="AB593" s="214"/>
    </row>
    <row r="594" spans="1:28" x14ac:dyDescent="0.2">
      <c r="A594" s="228"/>
      <c r="B594" s="250"/>
      <c r="C594" s="9"/>
      <c r="D594" s="9"/>
      <c r="E594" s="209"/>
      <c r="F594" s="15"/>
      <c r="G594" s="27">
        <f>F594/$U586</f>
        <v>0</v>
      </c>
      <c r="H594" s="15"/>
      <c r="I594" s="15"/>
      <c r="J594" s="15"/>
      <c r="K594" s="15"/>
      <c r="L594" s="27">
        <f>K594/$U586</f>
        <v>0</v>
      </c>
      <c r="M594" s="15"/>
      <c r="N594" s="15"/>
      <c r="O594" s="15"/>
      <c r="P594" s="15"/>
      <c r="Q594" s="27">
        <f>P594/$U586</f>
        <v>0</v>
      </c>
      <c r="R594" s="15"/>
      <c r="S594" s="15"/>
      <c r="T594" s="15"/>
      <c r="U594" s="211"/>
      <c r="V594" s="211"/>
      <c r="W594" s="213"/>
      <c r="X594" s="211"/>
      <c r="Y594" s="213"/>
      <c r="Z594" s="211"/>
      <c r="AA594" s="213"/>
      <c r="AB594" s="215"/>
    </row>
    <row r="595" spans="1:28" x14ac:dyDescent="0.2">
      <c r="A595" s="228"/>
      <c r="B595" s="216" t="s">
        <v>20</v>
      </c>
      <c r="C595" s="10"/>
      <c r="D595" s="10"/>
      <c r="E595" s="218" t="s">
        <v>1</v>
      </c>
      <c r="F595" s="14">
        <v>0</v>
      </c>
      <c r="G595" s="26">
        <f>F595/$U586</f>
        <v>0</v>
      </c>
      <c r="H595" s="14"/>
      <c r="I595" s="14"/>
      <c r="J595" s="14"/>
      <c r="K595" s="14">
        <v>0</v>
      </c>
      <c r="L595" s="26">
        <f>K595/$U586</f>
        <v>0</v>
      </c>
      <c r="M595" s="14"/>
      <c r="N595" s="14"/>
      <c r="O595" s="14"/>
      <c r="P595" s="14"/>
      <c r="Q595" s="26">
        <f>P595/$U586</f>
        <v>0</v>
      </c>
      <c r="R595" s="14"/>
      <c r="S595" s="14"/>
      <c r="T595" s="14"/>
      <c r="U595" s="220">
        <f>SUM(F595, K595, P595, F596, K596, P596)</f>
        <v>0</v>
      </c>
      <c r="V595" s="220">
        <f>SUM(H595, M595, R595, H596, M596, R596)</f>
        <v>0</v>
      </c>
      <c r="W595" s="194">
        <f>IF($U595=0, ,V595/$U595)</f>
        <v>0</v>
      </c>
      <c r="X595" s="220">
        <f>SUM(I595, N595, S595, I596, N596, S596)</f>
        <v>0</v>
      </c>
      <c r="Y595" s="194">
        <f>IF($U595=0, ,X595/$U595)</f>
        <v>0</v>
      </c>
      <c r="Z595" s="220">
        <f>SUM(J595, O595, T595, J596, O596, T596)</f>
        <v>0</v>
      </c>
      <c r="AA595" s="194">
        <f>IF($U595=0, ,Z595/$U595)</f>
        <v>0</v>
      </c>
      <c r="AB595" s="204"/>
    </row>
    <row r="596" spans="1:28" x14ac:dyDescent="0.2">
      <c r="A596" s="228"/>
      <c r="B596" s="217"/>
      <c r="C596" s="10"/>
      <c r="D596" s="10"/>
      <c r="E596" s="219"/>
      <c r="F596" s="14"/>
      <c r="G596" s="26">
        <f>F596/$U586</f>
        <v>0</v>
      </c>
      <c r="H596" s="14"/>
      <c r="I596" s="14"/>
      <c r="J596" s="14"/>
      <c r="K596" s="14"/>
      <c r="L596" s="26">
        <f>K596/$U586</f>
        <v>0</v>
      </c>
      <c r="M596" s="14"/>
      <c r="N596" s="14"/>
      <c r="O596" s="14"/>
      <c r="P596" s="14"/>
      <c r="Q596" s="26">
        <f>P596/$U586</f>
        <v>0</v>
      </c>
      <c r="R596" s="14"/>
      <c r="S596" s="14"/>
      <c r="T596" s="14"/>
      <c r="U596" s="221"/>
      <c r="V596" s="221"/>
      <c r="W596" s="195"/>
      <c r="X596" s="221"/>
      <c r="Y596" s="195"/>
      <c r="Z596" s="221"/>
      <c r="AA596" s="195"/>
      <c r="AB596" s="205"/>
    </row>
    <row r="597" spans="1:28" x14ac:dyDescent="0.2">
      <c r="A597" s="228"/>
      <c r="B597" s="232" t="s">
        <v>21</v>
      </c>
      <c r="C597" s="9"/>
      <c r="D597" s="9"/>
      <c r="E597" s="208" t="s">
        <v>1</v>
      </c>
      <c r="F597" s="15">
        <v>0</v>
      </c>
      <c r="G597" s="27">
        <f>F597/$U586</f>
        <v>0</v>
      </c>
      <c r="H597" s="15"/>
      <c r="I597" s="15"/>
      <c r="J597" s="15"/>
      <c r="K597" s="15">
        <v>0</v>
      </c>
      <c r="L597" s="27">
        <f>K597/$U586</f>
        <v>0</v>
      </c>
      <c r="M597" s="15"/>
      <c r="N597" s="15"/>
      <c r="O597" s="15"/>
      <c r="P597" s="15"/>
      <c r="Q597" s="27">
        <f>P597/$U586</f>
        <v>0</v>
      </c>
      <c r="R597" s="15"/>
      <c r="S597" s="15"/>
      <c r="T597" s="15"/>
      <c r="U597" s="210">
        <f>SUM(F597, K597, P597, F598, K598, P598)</f>
        <v>0</v>
      </c>
      <c r="V597" s="210">
        <f>SUM(H597, M597, R597, H598, M598, R598)</f>
        <v>0</v>
      </c>
      <c r="W597" s="212">
        <f>IF($U597=0, ,V597/$U597)</f>
        <v>0</v>
      </c>
      <c r="X597" s="210">
        <f>SUM(I597, N597, S597, I598, N598, S598)</f>
        <v>0</v>
      </c>
      <c r="Y597" s="212">
        <f>IF($U597=0, ,X597/$U597)</f>
        <v>0</v>
      </c>
      <c r="Z597" s="210">
        <f>SUM(J597, O597, T597, J598, O598, T598)</f>
        <v>0</v>
      </c>
      <c r="AA597" s="212">
        <f>IF($U597=0, ,Z597/$U597)</f>
        <v>0</v>
      </c>
      <c r="AB597" s="214"/>
    </row>
    <row r="598" spans="1:28" x14ac:dyDescent="0.2">
      <c r="A598" s="228"/>
      <c r="B598" s="250"/>
      <c r="C598" s="9"/>
      <c r="D598" s="9"/>
      <c r="E598" s="209"/>
      <c r="F598" s="15"/>
      <c r="G598" s="27">
        <f>F598/$U586</f>
        <v>0</v>
      </c>
      <c r="H598" s="15"/>
      <c r="I598" s="15"/>
      <c r="J598" s="15"/>
      <c r="K598" s="15"/>
      <c r="L598" s="27">
        <f>K598/$U586</f>
        <v>0</v>
      </c>
      <c r="M598" s="15"/>
      <c r="N598" s="15"/>
      <c r="O598" s="15"/>
      <c r="P598" s="15"/>
      <c r="Q598" s="27">
        <f>P598/$U586</f>
        <v>0</v>
      </c>
      <c r="R598" s="15"/>
      <c r="S598" s="15"/>
      <c r="T598" s="15"/>
      <c r="U598" s="211"/>
      <c r="V598" s="211"/>
      <c r="W598" s="213"/>
      <c r="X598" s="211"/>
      <c r="Y598" s="213"/>
      <c r="Z598" s="211"/>
      <c r="AA598" s="213"/>
      <c r="AB598" s="215"/>
    </row>
    <row r="599" spans="1:28" x14ac:dyDescent="0.2">
      <c r="A599" s="228"/>
      <c r="B599" s="216" t="s">
        <v>22</v>
      </c>
      <c r="C599" s="11"/>
      <c r="D599" s="11"/>
      <c r="E599" s="191" t="s">
        <v>1</v>
      </c>
      <c r="F599" s="16">
        <v>0</v>
      </c>
      <c r="G599" s="28">
        <f>F599/$U586</f>
        <v>0</v>
      </c>
      <c r="H599" s="16"/>
      <c r="I599" s="16"/>
      <c r="J599" s="16"/>
      <c r="K599" s="16">
        <v>0</v>
      </c>
      <c r="L599" s="28">
        <f>K599/$U586</f>
        <v>0</v>
      </c>
      <c r="M599" s="16"/>
      <c r="N599" s="16"/>
      <c r="O599" s="16"/>
      <c r="P599" s="16"/>
      <c r="Q599" s="28">
        <f>P599/$U586</f>
        <v>0</v>
      </c>
      <c r="R599" s="16"/>
      <c r="S599" s="16"/>
      <c r="T599" s="16"/>
      <c r="U599" s="220">
        <f>SUM(F599, K599, P599, F600, K600, P600)</f>
        <v>0</v>
      </c>
      <c r="V599" s="220">
        <f>SUM(H599, M599, R599, H600, M600, R600)</f>
        <v>0</v>
      </c>
      <c r="W599" s="194">
        <f>IF($U599=0, ,V599/$U599)</f>
        <v>0</v>
      </c>
      <c r="X599" s="220">
        <f>SUM(I599, N599, S599, I600, N600, S600)</f>
        <v>0</v>
      </c>
      <c r="Y599" s="194">
        <f>IF($U599=0, ,X599/$U599)</f>
        <v>0</v>
      </c>
      <c r="Z599" s="220">
        <f>SUM(J599, O599, T599, J600, O600, T600)</f>
        <v>0</v>
      </c>
      <c r="AA599" s="194">
        <f>IF($U599=0, ,Z599/$U599)</f>
        <v>0</v>
      </c>
      <c r="AB599" s="204"/>
    </row>
    <row r="600" spans="1:28" x14ac:dyDescent="0.2">
      <c r="A600" s="228"/>
      <c r="B600" s="217"/>
      <c r="C600" s="11"/>
      <c r="D600" s="11"/>
      <c r="E600" s="192"/>
      <c r="F600" s="16"/>
      <c r="G600" s="28">
        <f>F600/$U586</f>
        <v>0</v>
      </c>
      <c r="H600" s="16"/>
      <c r="I600" s="16"/>
      <c r="J600" s="16"/>
      <c r="K600" s="16"/>
      <c r="L600" s="28">
        <f>K600/$U586</f>
        <v>0</v>
      </c>
      <c r="M600" s="16"/>
      <c r="N600" s="16"/>
      <c r="O600" s="16"/>
      <c r="P600" s="16"/>
      <c r="Q600" s="28">
        <f>P600/$U586</f>
        <v>0</v>
      </c>
      <c r="R600" s="16"/>
      <c r="S600" s="16"/>
      <c r="T600" s="16"/>
      <c r="U600" s="221"/>
      <c r="V600" s="221"/>
      <c r="W600" s="195"/>
      <c r="X600" s="221"/>
      <c r="Y600" s="195"/>
      <c r="Z600" s="221"/>
      <c r="AA600" s="195"/>
      <c r="AB600" s="205"/>
    </row>
    <row r="601" spans="1:28" ht="13.5" thickBot="1" x14ac:dyDescent="0.25">
      <c r="A601" s="228"/>
      <c r="B601" s="56"/>
      <c r="C601" s="56"/>
      <c r="D601" s="56"/>
      <c r="E601" s="56"/>
      <c r="F601" s="57"/>
      <c r="G601" s="58"/>
      <c r="H601" s="57"/>
      <c r="I601" s="57"/>
      <c r="J601" s="57"/>
      <c r="K601" s="57"/>
      <c r="L601" s="58"/>
      <c r="M601" s="57"/>
      <c r="N601" s="57"/>
      <c r="O601" s="57"/>
      <c r="P601" s="57"/>
      <c r="Q601" s="58"/>
      <c r="R601" s="57"/>
      <c r="S601" s="57"/>
      <c r="T601" s="60" t="s">
        <v>59</v>
      </c>
      <c r="U601" s="61">
        <f>SUM(U589:U600)</f>
        <v>0</v>
      </c>
      <c r="V601" s="61">
        <f>SUM(V589:V600)</f>
        <v>0</v>
      </c>
      <c r="W601" s="62">
        <f>IF($U601=0, ,V601/$U601)</f>
        <v>0</v>
      </c>
      <c r="X601" s="61">
        <f>SUM(X589:X600)</f>
        <v>0</v>
      </c>
      <c r="Y601" s="62">
        <f>IF($U601=0, ,X601/$U601)</f>
        <v>0</v>
      </c>
      <c r="Z601" s="61">
        <f>SUM(Z589:Z600)</f>
        <v>0</v>
      </c>
      <c r="AA601" s="62">
        <f>IF($U601=0, ,Z601/$U601)</f>
        <v>0</v>
      </c>
      <c r="AB601" s="59"/>
    </row>
    <row r="602" spans="1:28" ht="13.5" thickTop="1" x14ac:dyDescent="0.2">
      <c r="A602" s="228"/>
      <c r="B602" s="44"/>
      <c r="C602" s="45" t="s">
        <v>27</v>
      </c>
      <c r="D602" s="23"/>
      <c r="E602" s="44"/>
      <c r="F602" s="44"/>
      <c r="G602" s="44"/>
      <c r="H602" s="44"/>
      <c r="I602" s="44"/>
      <c r="J602" s="44"/>
      <c r="K602" s="44"/>
      <c r="L602" s="44"/>
      <c r="M602" s="44"/>
      <c r="N602" s="44"/>
      <c r="O602" s="93">
        <v>320</v>
      </c>
      <c r="P602" s="94" t="s">
        <v>33</v>
      </c>
      <c r="Q602" s="44"/>
      <c r="R602" s="44"/>
      <c r="S602" s="44"/>
      <c r="T602" s="44"/>
      <c r="U602" s="44"/>
      <c r="V602" s="44"/>
      <c r="W602" s="44"/>
      <c r="X602" s="44"/>
      <c r="Y602" s="44"/>
      <c r="Z602" s="44"/>
      <c r="AA602" s="44"/>
      <c r="AB602" s="46"/>
    </row>
    <row r="603" spans="1:28" x14ac:dyDescent="0.2">
      <c r="A603" s="228"/>
      <c r="B603" s="229" t="s">
        <v>35</v>
      </c>
      <c r="C603" s="230" t="s">
        <v>25</v>
      </c>
      <c r="D603" s="230" t="s">
        <v>28</v>
      </c>
      <c r="E603" s="237" t="s">
        <v>12</v>
      </c>
      <c r="F603" s="241" t="s">
        <v>13</v>
      </c>
      <c r="G603" s="241"/>
      <c r="H603" s="241"/>
      <c r="I603" s="241" t="s">
        <v>14</v>
      </c>
      <c r="J603" s="241"/>
      <c r="K603" s="241"/>
      <c r="L603" s="241" t="s">
        <v>15</v>
      </c>
      <c r="M603" s="241"/>
      <c r="N603" s="241"/>
      <c r="O603" s="225" t="s">
        <v>34</v>
      </c>
      <c r="P603" s="225" t="s">
        <v>48</v>
      </c>
      <c r="Q603" s="225" t="s">
        <v>60</v>
      </c>
      <c r="R603" s="225" t="s">
        <v>49</v>
      </c>
      <c r="S603" s="225" t="s">
        <v>61</v>
      </c>
      <c r="T603" s="251"/>
      <c r="U603" s="251"/>
      <c r="V603" s="251"/>
      <c r="W603" s="251"/>
      <c r="X603" s="251"/>
      <c r="Y603" s="251"/>
      <c r="Z603" s="251"/>
      <c r="AA603" s="251"/>
      <c r="AB603" s="252"/>
    </row>
    <row r="604" spans="1:28" ht="25.5" x14ac:dyDescent="0.2">
      <c r="A604" s="228"/>
      <c r="B604" s="229"/>
      <c r="C604" s="230"/>
      <c r="D604" s="230"/>
      <c r="E604" s="237"/>
      <c r="F604" s="18" t="s">
        <v>30</v>
      </c>
      <c r="G604" s="18" t="s">
        <v>46</v>
      </c>
      <c r="H604" s="18" t="s">
        <v>47</v>
      </c>
      <c r="I604" s="18" t="s">
        <v>30</v>
      </c>
      <c r="J604" s="18" t="s">
        <v>46</v>
      </c>
      <c r="K604" s="18" t="s">
        <v>47</v>
      </c>
      <c r="L604" s="18" t="s">
        <v>30</v>
      </c>
      <c r="M604" s="18" t="s">
        <v>46</v>
      </c>
      <c r="N604" s="18" t="s">
        <v>47</v>
      </c>
      <c r="O604" s="227"/>
      <c r="P604" s="227"/>
      <c r="Q604" s="227"/>
      <c r="R604" s="227"/>
      <c r="S604" s="227"/>
      <c r="T604" s="253"/>
      <c r="U604" s="253"/>
      <c r="V604" s="253"/>
      <c r="W604" s="253"/>
      <c r="X604" s="253"/>
      <c r="Y604" s="253"/>
      <c r="Z604" s="253"/>
      <c r="AA604" s="253"/>
      <c r="AB604" s="254"/>
    </row>
    <row r="605" spans="1:28" x14ac:dyDescent="0.2">
      <c r="A605" s="228"/>
      <c r="B605" s="242" t="s">
        <v>36</v>
      </c>
      <c r="C605" s="12"/>
      <c r="D605" s="12" t="s">
        <v>95</v>
      </c>
      <c r="E605" s="243" t="s">
        <v>1</v>
      </c>
      <c r="F605" s="13">
        <v>0</v>
      </c>
      <c r="G605" s="13">
        <v>0</v>
      </c>
      <c r="H605" s="13">
        <v>0</v>
      </c>
      <c r="I605" s="13">
        <v>0</v>
      </c>
      <c r="J605" s="13"/>
      <c r="K605" s="13"/>
      <c r="L605" s="13"/>
      <c r="M605" s="13">
        <f>H610+K610+N610+Q610+T610+W610+Z610</f>
        <v>0</v>
      </c>
      <c r="N605" s="13">
        <f>H611+K611+N611+Q611+T611+W611+Z611</f>
        <v>0</v>
      </c>
      <c r="O605" s="210">
        <f>SUM(F605, I605, L605, F606, I606, L606)*$O602</f>
        <v>0</v>
      </c>
      <c r="P605" s="210">
        <f>SUM(G605, J605, M605, G606, J606, M606)</f>
        <v>0</v>
      </c>
      <c r="Q605" s="212">
        <f>IF($O605=0, ,P605/$O605)</f>
        <v>0</v>
      </c>
      <c r="R605" s="210">
        <f>SUM(H605, K605, N605, H606, K606, N606)</f>
        <v>0</v>
      </c>
      <c r="S605" s="212">
        <f>IF($O605=0, ,R605/$O605)</f>
        <v>0</v>
      </c>
      <c r="T605" s="244"/>
      <c r="U605" s="244"/>
      <c r="V605" s="244"/>
      <c r="W605" s="244"/>
      <c r="X605" s="244"/>
      <c r="Y605" s="244"/>
      <c r="Z605" s="244"/>
      <c r="AA605" s="244"/>
      <c r="AB605" s="245"/>
    </row>
    <row r="606" spans="1:28" x14ac:dyDescent="0.2">
      <c r="A606" s="228"/>
      <c r="B606" s="242"/>
      <c r="C606" s="12"/>
      <c r="D606" s="12"/>
      <c r="E606" s="243"/>
      <c r="F606" s="13"/>
      <c r="G606" s="13">
        <f>F612+I612+L612+O612+R612+U612+X612</f>
        <v>0</v>
      </c>
      <c r="H606" s="13">
        <f>F613+I613+L613+O613+R613+U613+X613</f>
        <v>0</v>
      </c>
      <c r="I606" s="13"/>
      <c r="J606" s="13">
        <f>G612+J612+M612+P612+S612+V612+Y612</f>
        <v>0</v>
      </c>
      <c r="K606" s="13">
        <f>G613+J613+M613+P613+S613+V613+Y613</f>
        <v>0</v>
      </c>
      <c r="L606" s="13"/>
      <c r="M606" s="13">
        <f>H612+K612+N612+Q612+T612+W612+Z612</f>
        <v>0</v>
      </c>
      <c r="N606" s="13">
        <f>H613+K613+N613+Q613+T613+W613+Z613</f>
        <v>0</v>
      </c>
      <c r="O606" s="211"/>
      <c r="P606" s="211"/>
      <c r="Q606" s="213"/>
      <c r="R606" s="211"/>
      <c r="S606" s="213"/>
      <c r="T606" s="246"/>
      <c r="U606" s="246"/>
      <c r="V606" s="246"/>
      <c r="W606" s="246"/>
      <c r="X606" s="246"/>
      <c r="Y606" s="246"/>
      <c r="Z606" s="246"/>
      <c r="AA606" s="246"/>
      <c r="AB606" s="247"/>
    </row>
    <row r="607" spans="1:28" x14ac:dyDescent="0.2">
      <c r="A607" s="228"/>
      <c r="B607" s="56"/>
      <c r="C607" s="56"/>
      <c r="D607" s="56"/>
      <c r="E607" s="56"/>
      <c r="F607" s="89"/>
      <c r="G607" s="89"/>
      <c r="H607" s="89"/>
      <c r="I607" s="89"/>
      <c r="J607" s="89"/>
      <c r="K607" s="89"/>
      <c r="L607" s="89"/>
      <c r="M607" s="89"/>
      <c r="N607" s="89"/>
      <c r="O607" s="90"/>
      <c r="P607" s="90"/>
      <c r="Q607" s="91"/>
      <c r="R607" s="90"/>
      <c r="S607" s="91"/>
      <c r="T607" s="92"/>
      <c r="U607" s="92"/>
      <c r="V607" s="92"/>
      <c r="W607" s="92"/>
      <c r="X607" s="92"/>
      <c r="Y607" s="92"/>
      <c r="Z607" s="92"/>
      <c r="AA607" s="92"/>
      <c r="AB607" s="95"/>
    </row>
    <row r="608" spans="1:28" x14ac:dyDescent="0.2">
      <c r="A608" s="228"/>
      <c r="B608" s="256" t="s">
        <v>67</v>
      </c>
      <c r="C608" s="256"/>
      <c r="D608" s="257"/>
      <c r="E608" s="82" t="s">
        <v>68</v>
      </c>
      <c r="F608" s="248" t="s">
        <v>64</v>
      </c>
      <c r="G608" s="248"/>
      <c r="H608" s="248"/>
      <c r="I608" s="248" t="s">
        <v>76</v>
      </c>
      <c r="J608" s="248"/>
      <c r="K608" s="248"/>
      <c r="L608" s="248" t="s">
        <v>65</v>
      </c>
      <c r="M608" s="248"/>
      <c r="N608" s="248"/>
      <c r="O608" s="248" t="s">
        <v>66</v>
      </c>
      <c r="P608" s="248"/>
      <c r="Q608" s="248"/>
      <c r="R608" s="248" t="s">
        <v>73</v>
      </c>
      <c r="S608" s="248"/>
      <c r="T608" s="248"/>
      <c r="U608" s="248" t="s">
        <v>74</v>
      </c>
      <c r="V608" s="248"/>
      <c r="W608" s="248"/>
      <c r="X608" s="248" t="s">
        <v>75</v>
      </c>
      <c r="Y608" s="248"/>
      <c r="Z608" s="248"/>
      <c r="AA608" s="249"/>
      <c r="AB608" s="249"/>
    </row>
    <row r="609" spans="1:28" x14ac:dyDescent="0.2">
      <c r="A609" s="228"/>
      <c r="B609" s="258"/>
      <c r="C609" s="258"/>
      <c r="D609" s="259"/>
      <c r="E609" s="97" t="s">
        <v>69</v>
      </c>
      <c r="F609" s="83" t="s">
        <v>70</v>
      </c>
      <c r="G609" s="83" t="s">
        <v>71</v>
      </c>
      <c r="H609" s="84" t="s">
        <v>72</v>
      </c>
      <c r="I609" s="83" t="s">
        <v>70</v>
      </c>
      <c r="J609" s="83" t="s">
        <v>71</v>
      </c>
      <c r="K609" s="84" t="s">
        <v>72</v>
      </c>
      <c r="L609" s="83" t="s">
        <v>70</v>
      </c>
      <c r="M609" s="83" t="s">
        <v>71</v>
      </c>
      <c r="N609" s="84" t="s">
        <v>72</v>
      </c>
      <c r="O609" s="83" t="s">
        <v>70</v>
      </c>
      <c r="P609" s="83" t="s">
        <v>71</v>
      </c>
      <c r="Q609" s="84" t="s">
        <v>72</v>
      </c>
      <c r="R609" s="83" t="s">
        <v>70</v>
      </c>
      <c r="S609" s="83" t="s">
        <v>71</v>
      </c>
      <c r="T609" s="84" t="s">
        <v>72</v>
      </c>
      <c r="U609" s="83" t="s">
        <v>70</v>
      </c>
      <c r="V609" s="83" t="s">
        <v>71</v>
      </c>
      <c r="W609" s="84" t="s">
        <v>72</v>
      </c>
      <c r="X609" s="83" t="s">
        <v>70</v>
      </c>
      <c r="Y609" s="83" t="s">
        <v>71</v>
      </c>
      <c r="Z609" s="84" t="s">
        <v>72</v>
      </c>
      <c r="AA609" s="249"/>
      <c r="AB609" s="249"/>
    </row>
    <row r="610" spans="1:28" x14ac:dyDescent="0.2">
      <c r="A610" s="228"/>
      <c r="B610" s="260" t="str">
        <f>B605</f>
        <v>Final ASS</v>
      </c>
      <c r="C610" s="82" t="str">
        <f>IF(ISBLANK(C605), "", C605)</f>
        <v/>
      </c>
      <c r="D610" s="96" t="str">
        <f>IF(ISBLANK(D605), "", D605)</f>
        <v>unilever</v>
      </c>
      <c r="E610" s="82" t="s">
        <v>77</v>
      </c>
      <c r="F610" s="86"/>
      <c r="G610" s="85"/>
      <c r="H610" s="85"/>
      <c r="I610" s="85"/>
      <c r="J610" s="85"/>
      <c r="K610" s="85"/>
      <c r="L610" s="87"/>
      <c r="M610" s="87"/>
      <c r="N610" s="87"/>
      <c r="O610" s="87"/>
      <c r="P610" s="87"/>
      <c r="Q610" s="85"/>
      <c r="R610" s="87"/>
      <c r="S610" s="87"/>
      <c r="T610" s="87"/>
      <c r="U610" s="87"/>
      <c r="V610" s="87"/>
      <c r="W610" s="85"/>
      <c r="X610" s="85"/>
      <c r="Y610" s="85"/>
      <c r="Z610" s="88"/>
      <c r="AA610" s="249"/>
      <c r="AB610" s="249"/>
    </row>
    <row r="611" spans="1:28" x14ac:dyDescent="0.2">
      <c r="A611" s="228"/>
      <c r="B611" s="260"/>
      <c r="C611" s="82" t="str">
        <f>IF(ISBLANK(C605), "", C605)</f>
        <v/>
      </c>
      <c r="D611" s="96" t="str">
        <f>IF(ISBLANK(D605), "", D605)</f>
        <v>unilever</v>
      </c>
      <c r="E611" s="82" t="s">
        <v>78</v>
      </c>
      <c r="F611" s="86"/>
      <c r="G611" s="85"/>
      <c r="H611" s="85"/>
      <c r="I611" s="85"/>
      <c r="J611" s="85"/>
      <c r="K611" s="85"/>
      <c r="L611" s="87"/>
      <c r="M611" s="87"/>
      <c r="N611" s="87"/>
      <c r="O611" s="87"/>
      <c r="P611" s="87"/>
      <c r="Q611" s="85"/>
      <c r="R611" s="87"/>
      <c r="S611" s="87"/>
      <c r="T611" s="87"/>
      <c r="U611" s="87"/>
      <c r="V611" s="87"/>
      <c r="W611" s="85"/>
      <c r="X611" s="85"/>
      <c r="Y611" s="85"/>
      <c r="Z611" s="88"/>
      <c r="AA611" s="249"/>
      <c r="AB611" s="249"/>
    </row>
    <row r="612" spans="1:28" x14ac:dyDescent="0.2">
      <c r="A612" s="228"/>
      <c r="B612" s="260"/>
      <c r="C612" s="82" t="str">
        <f>IF(ISBLANK(C606), "", C606)</f>
        <v/>
      </c>
      <c r="D612" s="96" t="str">
        <f>IF(ISBLANK(D606), "", D606)</f>
        <v/>
      </c>
      <c r="E612" s="82" t="s">
        <v>77</v>
      </c>
      <c r="F612" s="86"/>
      <c r="G612" s="85"/>
      <c r="H612" s="85"/>
      <c r="I612" s="85"/>
      <c r="J612" s="85"/>
      <c r="K612" s="85"/>
      <c r="L612" s="87"/>
      <c r="M612" s="87"/>
      <c r="N612" s="87"/>
      <c r="O612" s="87"/>
      <c r="P612" s="87"/>
      <c r="Q612" s="85"/>
      <c r="R612" s="87"/>
      <c r="S612" s="87"/>
      <c r="T612" s="87"/>
      <c r="U612" s="87"/>
      <c r="V612" s="87"/>
      <c r="W612" s="85"/>
      <c r="X612" s="85"/>
      <c r="Y612" s="85"/>
      <c r="Z612" s="88"/>
      <c r="AA612" s="249"/>
      <c r="AB612" s="249"/>
    </row>
    <row r="613" spans="1:28" x14ac:dyDescent="0.2">
      <c r="A613" s="228"/>
      <c r="B613" s="260"/>
      <c r="C613" s="82" t="str">
        <f>IF(ISBLANK(C606), "", C606)</f>
        <v/>
      </c>
      <c r="D613" s="96" t="str">
        <f>IF(ISBLANK(D606), "", D606)</f>
        <v/>
      </c>
      <c r="E613" s="82" t="s">
        <v>78</v>
      </c>
      <c r="F613" s="86"/>
      <c r="G613" s="85"/>
      <c r="H613" s="85"/>
      <c r="I613" s="85"/>
      <c r="J613" s="85"/>
      <c r="K613" s="85"/>
      <c r="L613" s="87"/>
      <c r="M613" s="87"/>
      <c r="N613" s="87"/>
      <c r="O613" s="87"/>
      <c r="P613" s="87"/>
      <c r="Q613" s="85"/>
      <c r="R613" s="87"/>
      <c r="S613" s="87"/>
      <c r="T613" s="87"/>
      <c r="U613" s="87"/>
      <c r="V613" s="87"/>
      <c r="W613" s="85"/>
      <c r="X613" s="85"/>
      <c r="Y613" s="85"/>
      <c r="Z613" s="88"/>
      <c r="AA613" s="249"/>
      <c r="AB613" s="249"/>
    </row>
    <row r="615" spans="1:28" x14ac:dyDescent="0.2">
      <c r="A615" s="228">
        <v>44734</v>
      </c>
      <c r="B615" s="19"/>
      <c r="C615" s="19" t="s">
        <v>42</v>
      </c>
      <c r="D615" s="20"/>
      <c r="E615" s="21" t="s">
        <v>41</v>
      </c>
      <c r="F615" s="20">
        <v>0</v>
      </c>
      <c r="G615" s="20"/>
      <c r="H615" s="20"/>
      <c r="I615" s="21"/>
      <c r="J615" s="21"/>
      <c r="K615" s="32"/>
      <c r="L615" s="32"/>
      <c r="M615" s="20"/>
      <c r="N615" s="21"/>
      <c r="O615" s="21"/>
      <c r="P615" s="32"/>
      <c r="Q615" s="32"/>
      <c r="R615" s="20"/>
      <c r="S615" s="21"/>
      <c r="T615" s="21"/>
      <c r="U615" s="41">
        <v>160</v>
      </c>
      <c r="V615" s="42" t="s">
        <v>32</v>
      </c>
      <c r="W615" s="42"/>
      <c r="X615" s="43"/>
      <c r="Y615" s="31"/>
      <c r="Z615" s="31"/>
      <c r="AA615" s="31"/>
      <c r="AB615" s="33"/>
    </row>
    <row r="616" spans="1:28" x14ac:dyDescent="0.2">
      <c r="A616" s="228"/>
      <c r="B616" s="229" t="s">
        <v>10</v>
      </c>
      <c r="C616" s="230" t="s">
        <v>25</v>
      </c>
      <c r="D616" s="230" t="s">
        <v>28</v>
      </c>
      <c r="E616" s="237" t="s">
        <v>12</v>
      </c>
      <c r="F616" s="222" t="s">
        <v>13</v>
      </c>
      <c r="G616" s="223"/>
      <c r="H616" s="223"/>
      <c r="I616" s="223"/>
      <c r="J616" s="224"/>
      <c r="K616" s="222" t="s">
        <v>14</v>
      </c>
      <c r="L616" s="223"/>
      <c r="M616" s="223"/>
      <c r="N616" s="223"/>
      <c r="O616" s="224"/>
      <c r="P616" s="222" t="s">
        <v>15</v>
      </c>
      <c r="Q616" s="223"/>
      <c r="R616" s="223"/>
      <c r="S616" s="223"/>
      <c r="T616" s="224"/>
      <c r="U616" s="255" t="s">
        <v>34</v>
      </c>
      <c r="V616" s="255" t="s">
        <v>48</v>
      </c>
      <c r="W616" s="255" t="s">
        <v>56</v>
      </c>
      <c r="X616" s="255" t="s">
        <v>54</v>
      </c>
      <c r="Y616" s="255" t="s">
        <v>57</v>
      </c>
      <c r="Z616" s="255" t="s">
        <v>55</v>
      </c>
      <c r="AA616" s="255" t="s">
        <v>58</v>
      </c>
      <c r="AB616" s="255" t="s">
        <v>38</v>
      </c>
    </row>
    <row r="617" spans="1:28" ht="38.25" x14ac:dyDescent="0.2">
      <c r="A617" s="228"/>
      <c r="B617" s="229"/>
      <c r="C617" s="230"/>
      <c r="D617" s="230"/>
      <c r="E617" s="237"/>
      <c r="F617" s="18" t="s">
        <v>45</v>
      </c>
      <c r="G617" s="18" t="s">
        <v>29</v>
      </c>
      <c r="H617" s="18" t="s">
        <v>46</v>
      </c>
      <c r="I617" s="18" t="s">
        <v>52</v>
      </c>
      <c r="J617" s="18" t="s">
        <v>53</v>
      </c>
      <c r="K617" s="18" t="s">
        <v>45</v>
      </c>
      <c r="L617" s="18" t="s">
        <v>29</v>
      </c>
      <c r="M617" s="18" t="s">
        <v>46</v>
      </c>
      <c r="N617" s="18" t="s">
        <v>52</v>
      </c>
      <c r="O617" s="18" t="s">
        <v>53</v>
      </c>
      <c r="P617" s="18" t="s">
        <v>45</v>
      </c>
      <c r="Q617" s="18" t="s">
        <v>29</v>
      </c>
      <c r="R617" s="18" t="s">
        <v>46</v>
      </c>
      <c r="S617" s="18" t="s">
        <v>52</v>
      </c>
      <c r="T617" s="18" t="s">
        <v>53</v>
      </c>
      <c r="U617" s="255"/>
      <c r="V617" s="255"/>
      <c r="W617" s="255"/>
      <c r="X617" s="255"/>
      <c r="Y617" s="255"/>
      <c r="Z617" s="255"/>
      <c r="AA617" s="255"/>
      <c r="AB617" s="255"/>
    </row>
    <row r="618" spans="1:28" x14ac:dyDescent="0.2">
      <c r="A618" s="228"/>
      <c r="B618" s="232" t="s">
        <v>17</v>
      </c>
      <c r="C618" s="12"/>
      <c r="D618" s="12"/>
      <c r="E618" s="234" t="s">
        <v>1</v>
      </c>
      <c r="F618" s="13">
        <v>0</v>
      </c>
      <c r="G618" s="25">
        <f>F618/$U615</f>
        <v>0</v>
      </c>
      <c r="H618" s="13"/>
      <c r="I618" s="13"/>
      <c r="J618" s="13"/>
      <c r="K618" s="13">
        <v>0</v>
      </c>
      <c r="L618" s="25">
        <f>K618/$U615</f>
        <v>0</v>
      </c>
      <c r="M618" s="13"/>
      <c r="N618" s="13"/>
      <c r="O618" s="13"/>
      <c r="P618" s="13"/>
      <c r="Q618" s="25">
        <f>P618/$U615</f>
        <v>0</v>
      </c>
      <c r="R618" s="13"/>
      <c r="S618" s="13"/>
      <c r="T618" s="13"/>
      <c r="U618" s="210">
        <f>SUM(F618, K618, P618, F619, K619, P619)</f>
        <v>0</v>
      </c>
      <c r="V618" s="210">
        <f>SUM(H618, M618, R618, H619, M619, R619)</f>
        <v>0</v>
      </c>
      <c r="W618" s="212">
        <f>IF($U618=0, ,V618/$U618)</f>
        <v>0</v>
      </c>
      <c r="X618" s="210">
        <f>SUM(I618, N618, S618, I619, N619, S619)</f>
        <v>0</v>
      </c>
      <c r="Y618" s="212">
        <f>IF($U618=0, ,X618/$U618)</f>
        <v>0</v>
      </c>
      <c r="Z618" s="210">
        <f>SUM(J618, O618, T618, J619, O619, T619)</f>
        <v>0</v>
      </c>
      <c r="AA618" s="212">
        <f>IF($U618=0, ,Z618/$U618)</f>
        <v>0</v>
      </c>
      <c r="AB618" s="214"/>
    </row>
    <row r="619" spans="1:28" x14ac:dyDescent="0.2">
      <c r="A619" s="228"/>
      <c r="B619" s="250"/>
      <c r="C619" s="12"/>
      <c r="D619" s="12"/>
      <c r="E619" s="236"/>
      <c r="F619" s="13"/>
      <c r="G619" s="25">
        <f>F619/$U615</f>
        <v>0</v>
      </c>
      <c r="H619" s="13"/>
      <c r="I619" s="13"/>
      <c r="J619" s="13"/>
      <c r="K619" s="13"/>
      <c r="L619" s="25">
        <f>K619/$U615</f>
        <v>0</v>
      </c>
      <c r="M619" s="13"/>
      <c r="N619" s="13"/>
      <c r="O619" s="13"/>
      <c r="P619" s="13"/>
      <c r="Q619" s="25">
        <f>P619/$U615</f>
        <v>0</v>
      </c>
      <c r="R619" s="13"/>
      <c r="S619" s="13"/>
      <c r="T619" s="13"/>
      <c r="U619" s="211"/>
      <c r="V619" s="211"/>
      <c r="W619" s="213"/>
      <c r="X619" s="211"/>
      <c r="Y619" s="213"/>
      <c r="Z619" s="211"/>
      <c r="AA619" s="213"/>
      <c r="AB619" s="215"/>
    </row>
    <row r="620" spans="1:28" x14ac:dyDescent="0.2">
      <c r="A620" s="228"/>
      <c r="B620" s="216" t="s">
        <v>18</v>
      </c>
      <c r="C620" s="10"/>
      <c r="D620" s="10"/>
      <c r="E620" s="218" t="s">
        <v>1</v>
      </c>
      <c r="F620" s="14">
        <v>0</v>
      </c>
      <c r="G620" s="26">
        <f>F620/$U615</f>
        <v>0</v>
      </c>
      <c r="H620" s="14"/>
      <c r="I620" s="14"/>
      <c r="J620" s="14"/>
      <c r="K620" s="14">
        <v>0</v>
      </c>
      <c r="L620" s="26">
        <f>K620/$U615</f>
        <v>0</v>
      </c>
      <c r="M620" s="14"/>
      <c r="N620" s="14"/>
      <c r="O620" s="14"/>
      <c r="P620" s="14"/>
      <c r="Q620" s="26">
        <f>P620/$U615</f>
        <v>0</v>
      </c>
      <c r="R620" s="14"/>
      <c r="S620" s="14"/>
      <c r="T620" s="14"/>
      <c r="U620" s="220">
        <f>SUM(F620, K620, P620, F621, K621, P621)</f>
        <v>0</v>
      </c>
      <c r="V620" s="220">
        <f>SUM(H620, M620, R620, H621, M621, R621)</f>
        <v>0</v>
      </c>
      <c r="W620" s="194">
        <f>IF($U620=0, ,V620/$U620)</f>
        <v>0</v>
      </c>
      <c r="X620" s="220">
        <f>SUM(I620, N620, S620, I621, N621, S621)</f>
        <v>0</v>
      </c>
      <c r="Y620" s="194">
        <f>IF($U620=0, ,X620/$U620)</f>
        <v>0</v>
      </c>
      <c r="Z620" s="220">
        <f>SUM(J620, O620, T620, J621, O621, T621)</f>
        <v>0</v>
      </c>
      <c r="AA620" s="194">
        <f>IF($U620=0, ,Z620/$U620)</f>
        <v>0</v>
      </c>
      <c r="AB620" s="204"/>
    </row>
    <row r="621" spans="1:28" x14ac:dyDescent="0.2">
      <c r="A621" s="228"/>
      <c r="B621" s="217"/>
      <c r="C621" s="10"/>
      <c r="D621" s="10"/>
      <c r="E621" s="219"/>
      <c r="F621" s="14"/>
      <c r="G621" s="26">
        <f>F621/$U615</f>
        <v>0</v>
      </c>
      <c r="H621" s="14"/>
      <c r="I621" s="14"/>
      <c r="J621" s="14"/>
      <c r="K621" s="14"/>
      <c r="L621" s="26">
        <f>K621/$U615</f>
        <v>0</v>
      </c>
      <c r="M621" s="14"/>
      <c r="N621" s="14"/>
      <c r="O621" s="14"/>
      <c r="P621" s="14"/>
      <c r="Q621" s="26">
        <f>P621/$U615</f>
        <v>0</v>
      </c>
      <c r="R621" s="14"/>
      <c r="S621" s="14"/>
      <c r="T621" s="14"/>
      <c r="U621" s="221"/>
      <c r="V621" s="221"/>
      <c r="W621" s="195"/>
      <c r="X621" s="221"/>
      <c r="Y621" s="195"/>
      <c r="Z621" s="221"/>
      <c r="AA621" s="195"/>
      <c r="AB621" s="205"/>
    </row>
    <row r="622" spans="1:28" x14ac:dyDescent="0.2">
      <c r="A622" s="228"/>
      <c r="B622" s="232" t="s">
        <v>19</v>
      </c>
      <c r="C622" s="9"/>
      <c r="D622" s="9"/>
      <c r="E622" s="208" t="s">
        <v>1</v>
      </c>
      <c r="F622" s="15">
        <v>0</v>
      </c>
      <c r="G622" s="27">
        <f>F622/$U615</f>
        <v>0</v>
      </c>
      <c r="H622" s="15"/>
      <c r="I622" s="15"/>
      <c r="J622" s="15"/>
      <c r="K622" s="15">
        <v>0</v>
      </c>
      <c r="L622" s="27">
        <f>K622/$U615</f>
        <v>0</v>
      </c>
      <c r="M622" s="15"/>
      <c r="N622" s="15"/>
      <c r="O622" s="15"/>
      <c r="P622" s="15"/>
      <c r="Q622" s="27">
        <f>P622/$U615</f>
        <v>0</v>
      </c>
      <c r="R622" s="15"/>
      <c r="S622" s="15"/>
      <c r="T622" s="15"/>
      <c r="U622" s="210">
        <f>SUM(F622, K622, P622, F623, K623, P623)</f>
        <v>0</v>
      </c>
      <c r="V622" s="210">
        <f>SUM(H622, M622, R622, H623, M623, R623)</f>
        <v>0</v>
      </c>
      <c r="W622" s="212">
        <f>IF($U622=0, ,V622/$U622)</f>
        <v>0</v>
      </c>
      <c r="X622" s="210">
        <f>SUM(I622, N622, S622, I623, N623, S623)</f>
        <v>0</v>
      </c>
      <c r="Y622" s="212">
        <f>IF($U622=0, ,X622/$U622)</f>
        <v>0</v>
      </c>
      <c r="Z622" s="210">
        <f>SUM(J622, O622, T622, J623, O623, T623)</f>
        <v>0</v>
      </c>
      <c r="AA622" s="212">
        <f>IF($U622=0, ,Z622/$U622)</f>
        <v>0</v>
      </c>
      <c r="AB622" s="214"/>
    </row>
    <row r="623" spans="1:28" x14ac:dyDescent="0.2">
      <c r="A623" s="228"/>
      <c r="B623" s="250"/>
      <c r="C623" s="9"/>
      <c r="D623" s="9"/>
      <c r="E623" s="209"/>
      <c r="F623" s="15"/>
      <c r="G623" s="27">
        <f>F623/$U615</f>
        <v>0</v>
      </c>
      <c r="H623" s="15"/>
      <c r="I623" s="15"/>
      <c r="J623" s="15"/>
      <c r="K623" s="15"/>
      <c r="L623" s="27">
        <f>K623/$U615</f>
        <v>0</v>
      </c>
      <c r="M623" s="15"/>
      <c r="N623" s="15"/>
      <c r="O623" s="15"/>
      <c r="P623" s="15"/>
      <c r="Q623" s="27">
        <f>P623/$U615</f>
        <v>0</v>
      </c>
      <c r="R623" s="15"/>
      <c r="S623" s="15"/>
      <c r="T623" s="15"/>
      <c r="U623" s="211"/>
      <c r="V623" s="211"/>
      <c r="W623" s="213"/>
      <c r="X623" s="211"/>
      <c r="Y623" s="213"/>
      <c r="Z623" s="211"/>
      <c r="AA623" s="213"/>
      <c r="AB623" s="215"/>
    </row>
    <row r="624" spans="1:28" x14ac:dyDescent="0.2">
      <c r="A624" s="228"/>
      <c r="B624" s="216" t="s">
        <v>20</v>
      </c>
      <c r="C624" s="10"/>
      <c r="D624" s="10"/>
      <c r="E624" s="218" t="s">
        <v>1</v>
      </c>
      <c r="F624" s="14">
        <v>0</v>
      </c>
      <c r="G624" s="26">
        <f>F624/$U615</f>
        <v>0</v>
      </c>
      <c r="H624" s="14"/>
      <c r="I624" s="14"/>
      <c r="J624" s="14"/>
      <c r="K624" s="14">
        <v>0</v>
      </c>
      <c r="L624" s="26">
        <f>K624/$U615</f>
        <v>0</v>
      </c>
      <c r="M624" s="14"/>
      <c r="N624" s="14"/>
      <c r="O624" s="14"/>
      <c r="P624" s="14"/>
      <c r="Q624" s="26">
        <f>P624/$U615</f>
        <v>0</v>
      </c>
      <c r="R624" s="14"/>
      <c r="S624" s="14"/>
      <c r="T624" s="14"/>
      <c r="U624" s="220">
        <f>SUM(F624, K624, P624, F625, K625, P625)</f>
        <v>0</v>
      </c>
      <c r="V624" s="220">
        <f>SUM(H624, M624, R624, H625, M625, R625)</f>
        <v>0</v>
      </c>
      <c r="W624" s="194">
        <f>IF($U624=0, ,V624/$U624)</f>
        <v>0</v>
      </c>
      <c r="X624" s="220">
        <f>SUM(I624, N624, S624, I625, N625, S625)</f>
        <v>0</v>
      </c>
      <c r="Y624" s="194">
        <f>IF($U624=0, ,X624/$U624)</f>
        <v>0</v>
      </c>
      <c r="Z624" s="220">
        <f>SUM(J624, O624, T624, J625, O625, T625)</f>
        <v>0</v>
      </c>
      <c r="AA624" s="194">
        <f>IF($U624=0, ,Z624/$U624)</f>
        <v>0</v>
      </c>
      <c r="AB624" s="204"/>
    </row>
    <row r="625" spans="1:28" x14ac:dyDescent="0.2">
      <c r="A625" s="228"/>
      <c r="B625" s="217"/>
      <c r="C625" s="10"/>
      <c r="D625" s="10"/>
      <c r="E625" s="219"/>
      <c r="F625" s="14"/>
      <c r="G625" s="26">
        <f>F625/$U615</f>
        <v>0</v>
      </c>
      <c r="H625" s="14"/>
      <c r="I625" s="14"/>
      <c r="J625" s="14"/>
      <c r="K625" s="14"/>
      <c r="L625" s="26">
        <f>K625/$U615</f>
        <v>0</v>
      </c>
      <c r="M625" s="14"/>
      <c r="N625" s="14"/>
      <c r="O625" s="14"/>
      <c r="P625" s="14"/>
      <c r="Q625" s="26">
        <f>P625/$U615</f>
        <v>0</v>
      </c>
      <c r="R625" s="14"/>
      <c r="S625" s="14"/>
      <c r="T625" s="14"/>
      <c r="U625" s="221"/>
      <c r="V625" s="221"/>
      <c r="W625" s="195"/>
      <c r="X625" s="221"/>
      <c r="Y625" s="195"/>
      <c r="Z625" s="221"/>
      <c r="AA625" s="195"/>
      <c r="AB625" s="205"/>
    </row>
    <row r="626" spans="1:28" x14ac:dyDescent="0.2">
      <c r="A626" s="228"/>
      <c r="B626" s="232" t="s">
        <v>21</v>
      </c>
      <c r="C626" s="9"/>
      <c r="D626" s="9"/>
      <c r="E626" s="208" t="s">
        <v>1</v>
      </c>
      <c r="F626" s="15">
        <v>0</v>
      </c>
      <c r="G626" s="27">
        <f>F626/$U615</f>
        <v>0</v>
      </c>
      <c r="H626" s="15"/>
      <c r="I626" s="15"/>
      <c r="J626" s="15"/>
      <c r="K626" s="15">
        <v>0</v>
      </c>
      <c r="L626" s="27">
        <f>K626/$U615</f>
        <v>0</v>
      </c>
      <c r="M626" s="15"/>
      <c r="N626" s="15"/>
      <c r="O626" s="15"/>
      <c r="P626" s="15"/>
      <c r="Q626" s="27">
        <f>P626/$U615</f>
        <v>0</v>
      </c>
      <c r="R626" s="15"/>
      <c r="S626" s="15"/>
      <c r="T626" s="15"/>
      <c r="U626" s="210">
        <f>SUM(F626, K626, P626, F627, K627, P627)</f>
        <v>0</v>
      </c>
      <c r="V626" s="210">
        <f>SUM(H626, M626, R626, H627, M627, R627)</f>
        <v>0</v>
      </c>
      <c r="W626" s="212">
        <f>IF($U626=0, ,V626/$U626)</f>
        <v>0</v>
      </c>
      <c r="X626" s="210">
        <f>SUM(I626, N626, S626, I627, N627, S627)</f>
        <v>0</v>
      </c>
      <c r="Y626" s="212">
        <f>IF($U626=0, ,X626/$U626)</f>
        <v>0</v>
      </c>
      <c r="Z626" s="210">
        <f>SUM(J626, O626, T626, J627, O627, T627)</f>
        <v>0</v>
      </c>
      <c r="AA626" s="212">
        <f>IF($U626=0, ,Z626/$U626)</f>
        <v>0</v>
      </c>
      <c r="AB626" s="214"/>
    </row>
    <row r="627" spans="1:28" x14ac:dyDescent="0.2">
      <c r="A627" s="228"/>
      <c r="B627" s="250"/>
      <c r="C627" s="9"/>
      <c r="D627" s="9"/>
      <c r="E627" s="209"/>
      <c r="F627" s="15"/>
      <c r="G627" s="27">
        <f>F627/$U615</f>
        <v>0</v>
      </c>
      <c r="H627" s="15"/>
      <c r="I627" s="15"/>
      <c r="J627" s="15"/>
      <c r="K627" s="15"/>
      <c r="L627" s="27">
        <f>K627/$U615</f>
        <v>0</v>
      </c>
      <c r="M627" s="15"/>
      <c r="N627" s="15"/>
      <c r="O627" s="15"/>
      <c r="P627" s="15"/>
      <c r="Q627" s="27">
        <f>P627/$U615</f>
        <v>0</v>
      </c>
      <c r="R627" s="15"/>
      <c r="S627" s="15"/>
      <c r="T627" s="15"/>
      <c r="U627" s="211"/>
      <c r="V627" s="211"/>
      <c r="W627" s="213"/>
      <c r="X627" s="211"/>
      <c r="Y627" s="213"/>
      <c r="Z627" s="211"/>
      <c r="AA627" s="213"/>
      <c r="AB627" s="215"/>
    </row>
    <row r="628" spans="1:28" x14ac:dyDescent="0.2">
      <c r="A628" s="228"/>
      <c r="B628" s="216" t="s">
        <v>22</v>
      </c>
      <c r="C628" s="11"/>
      <c r="D628" s="11"/>
      <c r="E628" s="191" t="s">
        <v>1</v>
      </c>
      <c r="F628" s="16">
        <v>0</v>
      </c>
      <c r="G628" s="28">
        <f>F628/$U615</f>
        <v>0</v>
      </c>
      <c r="H628" s="16"/>
      <c r="I628" s="16"/>
      <c r="J628" s="16"/>
      <c r="K628" s="16">
        <v>0</v>
      </c>
      <c r="L628" s="28">
        <f>K628/$U615</f>
        <v>0</v>
      </c>
      <c r="M628" s="16"/>
      <c r="N628" s="16"/>
      <c r="O628" s="16"/>
      <c r="P628" s="16"/>
      <c r="Q628" s="28">
        <f>P628/$U615</f>
        <v>0</v>
      </c>
      <c r="R628" s="16"/>
      <c r="S628" s="16"/>
      <c r="T628" s="16"/>
      <c r="U628" s="220">
        <f>SUM(F628, K628, P628, F629, K629, P629)</f>
        <v>0</v>
      </c>
      <c r="V628" s="220">
        <f>SUM(H628, M628, R628, H629, M629, R629)</f>
        <v>0</v>
      </c>
      <c r="W628" s="194">
        <f>IF($U628=0, ,V628/$U628)</f>
        <v>0</v>
      </c>
      <c r="X628" s="220">
        <f>SUM(I628, N628, S628, I629, N629, S629)</f>
        <v>0</v>
      </c>
      <c r="Y628" s="194">
        <f>IF($U628=0, ,X628/$U628)</f>
        <v>0</v>
      </c>
      <c r="Z628" s="220">
        <f>SUM(J628, O628, T628, J629, O629, T629)</f>
        <v>0</v>
      </c>
      <c r="AA628" s="194">
        <f>IF($U628=0, ,Z628/$U628)</f>
        <v>0</v>
      </c>
      <c r="AB628" s="204"/>
    </row>
    <row r="629" spans="1:28" x14ac:dyDescent="0.2">
      <c r="A629" s="228"/>
      <c r="B629" s="217"/>
      <c r="C629" s="11"/>
      <c r="D629" s="11"/>
      <c r="E629" s="192"/>
      <c r="F629" s="16"/>
      <c r="G629" s="28">
        <f>F629/$U615</f>
        <v>0</v>
      </c>
      <c r="H629" s="16"/>
      <c r="I629" s="16"/>
      <c r="J629" s="16"/>
      <c r="K629" s="16"/>
      <c r="L629" s="28">
        <f>K629/$U615</f>
        <v>0</v>
      </c>
      <c r="M629" s="16"/>
      <c r="N629" s="16"/>
      <c r="O629" s="16"/>
      <c r="P629" s="16"/>
      <c r="Q629" s="28">
        <f>P629/$U615</f>
        <v>0</v>
      </c>
      <c r="R629" s="16"/>
      <c r="S629" s="16"/>
      <c r="T629" s="16"/>
      <c r="U629" s="221"/>
      <c r="V629" s="221"/>
      <c r="W629" s="195"/>
      <c r="X629" s="221"/>
      <c r="Y629" s="195"/>
      <c r="Z629" s="221"/>
      <c r="AA629" s="195"/>
      <c r="AB629" s="205"/>
    </row>
    <row r="630" spans="1:28" ht="13.5" thickBot="1" x14ac:dyDescent="0.25">
      <c r="A630" s="228"/>
      <c r="B630" s="56"/>
      <c r="C630" s="56"/>
      <c r="D630" s="56"/>
      <c r="E630" s="56"/>
      <c r="F630" s="57"/>
      <c r="G630" s="58"/>
      <c r="H630" s="57"/>
      <c r="I630" s="57"/>
      <c r="J630" s="57"/>
      <c r="K630" s="57"/>
      <c r="L630" s="58"/>
      <c r="M630" s="57"/>
      <c r="N630" s="57"/>
      <c r="O630" s="57"/>
      <c r="P630" s="57"/>
      <c r="Q630" s="58"/>
      <c r="R630" s="57"/>
      <c r="S630" s="57"/>
      <c r="T630" s="60" t="s">
        <v>59</v>
      </c>
      <c r="U630" s="61">
        <f>SUM(U618:U629)</f>
        <v>0</v>
      </c>
      <c r="V630" s="61">
        <f>SUM(V618:V629)</f>
        <v>0</v>
      </c>
      <c r="W630" s="62">
        <f>IF($U630=0, ,V630/$U630)</f>
        <v>0</v>
      </c>
      <c r="X630" s="61">
        <f>SUM(X618:X629)</f>
        <v>0</v>
      </c>
      <c r="Y630" s="62">
        <f>IF($U630=0, ,X630/$U630)</f>
        <v>0</v>
      </c>
      <c r="Z630" s="61">
        <f>SUM(Z618:Z629)</f>
        <v>0</v>
      </c>
      <c r="AA630" s="62">
        <f>IF($U630=0, ,Z630/$U630)</f>
        <v>0</v>
      </c>
      <c r="AB630" s="59"/>
    </row>
    <row r="631" spans="1:28" ht="13.5" thickTop="1" x14ac:dyDescent="0.2">
      <c r="A631" s="228"/>
      <c r="B631" s="44"/>
      <c r="C631" s="45" t="s">
        <v>27</v>
      </c>
      <c r="D631" s="23"/>
      <c r="E631" s="44"/>
      <c r="F631" s="44"/>
      <c r="G631" s="44"/>
      <c r="H631" s="44"/>
      <c r="I631" s="44"/>
      <c r="J631" s="44"/>
      <c r="K631" s="44"/>
      <c r="L631" s="44"/>
      <c r="M631" s="44"/>
      <c r="N631" s="44"/>
      <c r="O631" s="93">
        <v>320</v>
      </c>
      <c r="P631" s="94" t="s">
        <v>33</v>
      </c>
      <c r="Q631" s="44"/>
      <c r="R631" s="44"/>
      <c r="S631" s="44"/>
      <c r="T631" s="44"/>
      <c r="U631" s="44"/>
      <c r="V631" s="44"/>
      <c r="W631" s="44"/>
      <c r="X631" s="44"/>
      <c r="Y631" s="44"/>
      <c r="Z631" s="44"/>
      <c r="AA631" s="44"/>
      <c r="AB631" s="46"/>
    </row>
    <row r="632" spans="1:28" x14ac:dyDescent="0.2">
      <c r="A632" s="228"/>
      <c r="B632" s="229" t="s">
        <v>35</v>
      </c>
      <c r="C632" s="230" t="s">
        <v>25</v>
      </c>
      <c r="D632" s="230" t="s">
        <v>28</v>
      </c>
      <c r="E632" s="237" t="s">
        <v>12</v>
      </c>
      <c r="F632" s="241" t="s">
        <v>13</v>
      </c>
      <c r="G632" s="241"/>
      <c r="H632" s="241"/>
      <c r="I632" s="241" t="s">
        <v>14</v>
      </c>
      <c r="J632" s="241"/>
      <c r="K632" s="241"/>
      <c r="L632" s="241" t="s">
        <v>15</v>
      </c>
      <c r="M632" s="241"/>
      <c r="N632" s="241"/>
      <c r="O632" s="225" t="s">
        <v>34</v>
      </c>
      <c r="P632" s="225" t="s">
        <v>48</v>
      </c>
      <c r="Q632" s="225" t="s">
        <v>60</v>
      </c>
      <c r="R632" s="225" t="s">
        <v>49</v>
      </c>
      <c r="S632" s="225" t="s">
        <v>61</v>
      </c>
      <c r="T632" s="251"/>
      <c r="U632" s="251"/>
      <c r="V632" s="251"/>
      <c r="W632" s="251"/>
      <c r="X632" s="251"/>
      <c r="Y632" s="251"/>
      <c r="Z632" s="251"/>
      <c r="AA632" s="251"/>
      <c r="AB632" s="252"/>
    </row>
    <row r="633" spans="1:28" ht="25.5" x14ac:dyDescent="0.2">
      <c r="A633" s="228"/>
      <c r="B633" s="229"/>
      <c r="C633" s="230"/>
      <c r="D633" s="230"/>
      <c r="E633" s="237"/>
      <c r="F633" s="18" t="s">
        <v>30</v>
      </c>
      <c r="G633" s="18" t="s">
        <v>46</v>
      </c>
      <c r="H633" s="18" t="s">
        <v>47</v>
      </c>
      <c r="I633" s="18" t="s">
        <v>30</v>
      </c>
      <c r="J633" s="18" t="s">
        <v>46</v>
      </c>
      <c r="K633" s="18" t="s">
        <v>47</v>
      </c>
      <c r="L633" s="18" t="s">
        <v>30</v>
      </c>
      <c r="M633" s="18" t="s">
        <v>46</v>
      </c>
      <c r="N633" s="18" t="s">
        <v>47</v>
      </c>
      <c r="O633" s="227"/>
      <c r="P633" s="227"/>
      <c r="Q633" s="227"/>
      <c r="R633" s="227"/>
      <c r="S633" s="227"/>
      <c r="T633" s="253"/>
      <c r="U633" s="253"/>
      <c r="V633" s="253"/>
      <c r="W633" s="253"/>
      <c r="X633" s="253"/>
      <c r="Y633" s="253"/>
      <c r="Z633" s="253"/>
      <c r="AA633" s="253"/>
      <c r="AB633" s="254"/>
    </row>
    <row r="634" spans="1:28" x14ac:dyDescent="0.2">
      <c r="A634" s="228"/>
      <c r="B634" s="242" t="s">
        <v>36</v>
      </c>
      <c r="C634" s="12"/>
      <c r="D634" s="12" t="s">
        <v>95</v>
      </c>
      <c r="E634" s="243" t="s">
        <v>1</v>
      </c>
      <c r="F634" s="13">
        <v>0</v>
      </c>
      <c r="G634" s="13">
        <v>0</v>
      </c>
      <c r="H634" s="13">
        <v>0</v>
      </c>
      <c r="I634" s="13">
        <v>0</v>
      </c>
      <c r="J634" s="13"/>
      <c r="K634" s="13"/>
      <c r="L634" s="13"/>
      <c r="M634" s="13">
        <f>H639+K639+N639+Q639+T639+W639+Z639</f>
        <v>0</v>
      </c>
      <c r="N634" s="13">
        <f>H640+K640+N640+Q640+T640+W640+Z640</f>
        <v>0</v>
      </c>
      <c r="O634" s="210">
        <f>SUM(F634, I634, L634, F635, I635, L635)*$O631</f>
        <v>0</v>
      </c>
      <c r="P634" s="210">
        <f>SUM(G634, J634, M634, G635, J635, M635)</f>
        <v>0</v>
      </c>
      <c r="Q634" s="212">
        <f>IF($O634=0, ,P634/$O634)</f>
        <v>0</v>
      </c>
      <c r="R634" s="210">
        <f>SUM(H634, K634, N634, H635, K635, N635)</f>
        <v>0</v>
      </c>
      <c r="S634" s="212">
        <f>IF($O634=0, ,R634/$O634)</f>
        <v>0</v>
      </c>
      <c r="T634" s="244"/>
      <c r="U634" s="244"/>
      <c r="V634" s="244"/>
      <c r="W634" s="244"/>
      <c r="X634" s="244"/>
      <c r="Y634" s="244"/>
      <c r="Z634" s="244"/>
      <c r="AA634" s="244"/>
      <c r="AB634" s="245"/>
    </row>
    <row r="635" spans="1:28" x14ac:dyDescent="0.2">
      <c r="A635" s="228"/>
      <c r="B635" s="242"/>
      <c r="C635" s="12"/>
      <c r="D635" s="12"/>
      <c r="E635" s="243"/>
      <c r="F635" s="13"/>
      <c r="G635" s="13">
        <f>F641+I641+L641+O641+R641+U641+X641</f>
        <v>0</v>
      </c>
      <c r="H635" s="13">
        <f>F642+I642+L642+O642+R642+U642+X642</f>
        <v>0</v>
      </c>
      <c r="I635" s="13"/>
      <c r="J635" s="13">
        <f>G641+J641+M641+P641+S641+V641+Y641</f>
        <v>0</v>
      </c>
      <c r="K635" s="13">
        <f>G642+J642+M642+P642+S642+V642+Y642</f>
        <v>0</v>
      </c>
      <c r="L635" s="13"/>
      <c r="M635" s="13">
        <f>H641+K641+N641+Q641+T641+W641+Z641</f>
        <v>0</v>
      </c>
      <c r="N635" s="13">
        <f>H642+K642+N642+Q642+T642+W642+Z642</f>
        <v>0</v>
      </c>
      <c r="O635" s="211"/>
      <c r="P635" s="211"/>
      <c r="Q635" s="213"/>
      <c r="R635" s="211"/>
      <c r="S635" s="213"/>
      <c r="T635" s="246"/>
      <c r="U635" s="246"/>
      <c r="V635" s="246"/>
      <c r="W635" s="246"/>
      <c r="X635" s="246"/>
      <c r="Y635" s="246"/>
      <c r="Z635" s="246"/>
      <c r="AA635" s="246"/>
      <c r="AB635" s="247"/>
    </row>
    <row r="636" spans="1:28" x14ac:dyDescent="0.2">
      <c r="A636" s="228"/>
      <c r="B636" s="56"/>
      <c r="C636" s="56"/>
      <c r="D636" s="56"/>
      <c r="E636" s="56"/>
      <c r="F636" s="89"/>
      <c r="G636" s="89"/>
      <c r="H636" s="89"/>
      <c r="I636" s="89"/>
      <c r="J636" s="89"/>
      <c r="K636" s="89"/>
      <c r="L636" s="89"/>
      <c r="M636" s="89"/>
      <c r="N636" s="89"/>
      <c r="O636" s="90"/>
      <c r="P636" s="90"/>
      <c r="Q636" s="91"/>
      <c r="R636" s="90"/>
      <c r="S636" s="91"/>
      <c r="T636" s="92"/>
      <c r="U636" s="92"/>
      <c r="V636" s="92"/>
      <c r="W636" s="92"/>
      <c r="X636" s="92"/>
      <c r="Y636" s="92"/>
      <c r="Z636" s="92"/>
      <c r="AA636" s="92"/>
      <c r="AB636" s="95"/>
    </row>
    <row r="637" spans="1:28" x14ac:dyDescent="0.2">
      <c r="A637" s="228"/>
      <c r="B637" s="256" t="s">
        <v>67</v>
      </c>
      <c r="C637" s="256"/>
      <c r="D637" s="257"/>
      <c r="E637" s="82" t="s">
        <v>68</v>
      </c>
      <c r="F637" s="248" t="s">
        <v>64</v>
      </c>
      <c r="G637" s="248"/>
      <c r="H637" s="248"/>
      <c r="I637" s="248" t="s">
        <v>76</v>
      </c>
      <c r="J637" s="248"/>
      <c r="K637" s="248"/>
      <c r="L637" s="248" t="s">
        <v>65</v>
      </c>
      <c r="M637" s="248"/>
      <c r="N637" s="248"/>
      <c r="O637" s="248" t="s">
        <v>66</v>
      </c>
      <c r="P637" s="248"/>
      <c r="Q637" s="248"/>
      <c r="R637" s="248" t="s">
        <v>73</v>
      </c>
      <c r="S637" s="248"/>
      <c r="T637" s="248"/>
      <c r="U637" s="248" t="s">
        <v>74</v>
      </c>
      <c r="V637" s="248"/>
      <c r="W637" s="248"/>
      <c r="X637" s="248" t="s">
        <v>75</v>
      </c>
      <c r="Y637" s="248"/>
      <c r="Z637" s="248"/>
      <c r="AA637" s="249"/>
      <c r="AB637" s="249"/>
    </row>
    <row r="638" spans="1:28" x14ac:dyDescent="0.2">
      <c r="A638" s="228"/>
      <c r="B638" s="258"/>
      <c r="C638" s="258"/>
      <c r="D638" s="259"/>
      <c r="E638" s="97" t="s">
        <v>69</v>
      </c>
      <c r="F638" s="83" t="s">
        <v>70</v>
      </c>
      <c r="G638" s="83" t="s">
        <v>71</v>
      </c>
      <c r="H638" s="84" t="s">
        <v>72</v>
      </c>
      <c r="I638" s="83" t="s">
        <v>70</v>
      </c>
      <c r="J638" s="83" t="s">
        <v>71</v>
      </c>
      <c r="K638" s="84" t="s">
        <v>72</v>
      </c>
      <c r="L638" s="83" t="s">
        <v>70</v>
      </c>
      <c r="M638" s="83" t="s">
        <v>71</v>
      </c>
      <c r="N638" s="84" t="s">
        <v>72</v>
      </c>
      <c r="O638" s="83" t="s">
        <v>70</v>
      </c>
      <c r="P638" s="83" t="s">
        <v>71</v>
      </c>
      <c r="Q638" s="84" t="s">
        <v>72</v>
      </c>
      <c r="R638" s="83" t="s">
        <v>70</v>
      </c>
      <c r="S638" s="83" t="s">
        <v>71</v>
      </c>
      <c r="T638" s="84" t="s">
        <v>72</v>
      </c>
      <c r="U638" s="83" t="s">
        <v>70</v>
      </c>
      <c r="V638" s="83" t="s">
        <v>71</v>
      </c>
      <c r="W638" s="84" t="s">
        <v>72</v>
      </c>
      <c r="X638" s="83" t="s">
        <v>70</v>
      </c>
      <c r="Y638" s="83" t="s">
        <v>71</v>
      </c>
      <c r="Z638" s="84" t="s">
        <v>72</v>
      </c>
      <c r="AA638" s="249"/>
      <c r="AB638" s="249"/>
    </row>
    <row r="639" spans="1:28" x14ac:dyDescent="0.2">
      <c r="A639" s="228"/>
      <c r="B639" s="260" t="str">
        <f>B634</f>
        <v>Final ASS</v>
      </c>
      <c r="C639" s="82" t="str">
        <f>IF(ISBLANK(C634), "", C634)</f>
        <v/>
      </c>
      <c r="D639" s="96" t="str">
        <f>IF(ISBLANK(D634), "", D634)</f>
        <v>unilever</v>
      </c>
      <c r="E639" s="82" t="s">
        <v>77</v>
      </c>
      <c r="F639" s="86"/>
      <c r="G639" s="85"/>
      <c r="H639" s="85"/>
      <c r="I639" s="85"/>
      <c r="J639" s="85"/>
      <c r="K639" s="85"/>
      <c r="L639" s="87"/>
      <c r="M639" s="87"/>
      <c r="N639" s="87"/>
      <c r="O639" s="87"/>
      <c r="P639" s="87"/>
      <c r="Q639" s="85"/>
      <c r="R639" s="87"/>
      <c r="S639" s="87"/>
      <c r="T639" s="87"/>
      <c r="U639" s="87"/>
      <c r="V639" s="87"/>
      <c r="W639" s="85"/>
      <c r="X639" s="85"/>
      <c r="Y639" s="85"/>
      <c r="Z639" s="88"/>
      <c r="AA639" s="249"/>
      <c r="AB639" s="249"/>
    </row>
    <row r="640" spans="1:28" x14ac:dyDescent="0.2">
      <c r="A640" s="228"/>
      <c r="B640" s="260"/>
      <c r="C640" s="82" t="str">
        <f>IF(ISBLANK(C634), "", C634)</f>
        <v/>
      </c>
      <c r="D640" s="96" t="str">
        <f>IF(ISBLANK(D634), "", D634)</f>
        <v>unilever</v>
      </c>
      <c r="E640" s="82" t="s">
        <v>78</v>
      </c>
      <c r="F640" s="86"/>
      <c r="G640" s="85"/>
      <c r="H640" s="85"/>
      <c r="I640" s="85"/>
      <c r="J640" s="85"/>
      <c r="K640" s="85"/>
      <c r="L640" s="87"/>
      <c r="M640" s="87"/>
      <c r="N640" s="87"/>
      <c r="O640" s="87"/>
      <c r="P640" s="87"/>
      <c r="Q640" s="85"/>
      <c r="R640" s="87"/>
      <c r="S640" s="87"/>
      <c r="T640" s="87"/>
      <c r="U640" s="87"/>
      <c r="V640" s="87"/>
      <c r="W640" s="85"/>
      <c r="X640" s="85"/>
      <c r="Y640" s="85"/>
      <c r="Z640" s="88"/>
      <c r="AA640" s="249"/>
      <c r="AB640" s="249"/>
    </row>
    <row r="641" spans="1:28" x14ac:dyDescent="0.2">
      <c r="A641" s="228"/>
      <c r="B641" s="260"/>
      <c r="C641" s="82" t="str">
        <f>IF(ISBLANK(C635), "", C635)</f>
        <v/>
      </c>
      <c r="D641" s="96" t="str">
        <f>IF(ISBLANK(D635), "", D635)</f>
        <v/>
      </c>
      <c r="E641" s="82" t="s">
        <v>77</v>
      </c>
      <c r="F641" s="86"/>
      <c r="G641" s="85"/>
      <c r="H641" s="85"/>
      <c r="I641" s="85"/>
      <c r="J641" s="85"/>
      <c r="K641" s="85"/>
      <c r="L641" s="87"/>
      <c r="M641" s="87"/>
      <c r="N641" s="87"/>
      <c r="O641" s="87"/>
      <c r="P641" s="87"/>
      <c r="Q641" s="85"/>
      <c r="R641" s="87"/>
      <c r="S641" s="87"/>
      <c r="T641" s="87"/>
      <c r="U641" s="87"/>
      <c r="V641" s="87"/>
      <c r="W641" s="85"/>
      <c r="X641" s="85"/>
      <c r="Y641" s="85"/>
      <c r="Z641" s="88"/>
      <c r="AA641" s="249"/>
      <c r="AB641" s="249"/>
    </row>
    <row r="642" spans="1:28" x14ac:dyDescent="0.2">
      <c r="A642" s="228"/>
      <c r="B642" s="260"/>
      <c r="C642" s="82" t="str">
        <f>IF(ISBLANK(C635), "", C635)</f>
        <v/>
      </c>
      <c r="D642" s="96" t="str">
        <f>IF(ISBLANK(D635), "", D635)</f>
        <v/>
      </c>
      <c r="E642" s="82" t="s">
        <v>78</v>
      </c>
      <c r="F642" s="86"/>
      <c r="G642" s="85"/>
      <c r="H642" s="85"/>
      <c r="I642" s="85"/>
      <c r="J642" s="85"/>
      <c r="K642" s="85"/>
      <c r="L642" s="87"/>
      <c r="M642" s="87"/>
      <c r="N642" s="87"/>
      <c r="O642" s="87"/>
      <c r="P642" s="87"/>
      <c r="Q642" s="85"/>
      <c r="R642" s="87"/>
      <c r="S642" s="87"/>
      <c r="T642" s="87"/>
      <c r="U642" s="87"/>
      <c r="V642" s="87"/>
      <c r="W642" s="85"/>
      <c r="X642" s="85"/>
      <c r="Y642" s="85"/>
      <c r="Z642" s="88"/>
      <c r="AA642" s="249"/>
      <c r="AB642" s="249"/>
    </row>
  </sheetData>
  <mergeCells count="2355">
    <mergeCell ref="L608:N608"/>
    <mergeCell ref="O608:Q608"/>
    <mergeCell ref="R608:T608"/>
    <mergeCell ref="U608:W608"/>
    <mergeCell ref="X608:Z608"/>
    <mergeCell ref="AA608:AB613"/>
    <mergeCell ref="B605:B606"/>
    <mergeCell ref="E605:E606"/>
    <mergeCell ref="O605:O606"/>
    <mergeCell ref="P605:P606"/>
    <mergeCell ref="Q605:Q606"/>
    <mergeCell ref="R605:R606"/>
    <mergeCell ref="P603:P604"/>
    <mergeCell ref="Q603:Q604"/>
    <mergeCell ref="R603:R604"/>
    <mergeCell ref="S603:S604"/>
    <mergeCell ref="T603:AB604"/>
    <mergeCell ref="B603:B604"/>
    <mergeCell ref="C603:C604"/>
    <mergeCell ref="D603:D604"/>
    <mergeCell ref="E603:E604"/>
    <mergeCell ref="F603:H603"/>
    <mergeCell ref="I603:K603"/>
    <mergeCell ref="O603:O604"/>
    <mergeCell ref="X597:X598"/>
    <mergeCell ref="Y593:Y594"/>
    <mergeCell ref="Z593:Z594"/>
    <mergeCell ref="AA593:AA594"/>
    <mergeCell ref="AB593:AB594"/>
    <mergeCell ref="B595:B596"/>
    <mergeCell ref="E595:E596"/>
    <mergeCell ref="U595:U596"/>
    <mergeCell ref="V595:V596"/>
    <mergeCell ref="W595:W596"/>
    <mergeCell ref="X595:X596"/>
    <mergeCell ref="Y599:Y600"/>
    <mergeCell ref="U593:U594"/>
    <mergeCell ref="V593:V594"/>
    <mergeCell ref="W593:W594"/>
    <mergeCell ref="X593:X594"/>
    <mergeCell ref="S605:S606"/>
    <mergeCell ref="T605:AB606"/>
    <mergeCell ref="L603:N603"/>
    <mergeCell ref="Y589:Y590"/>
    <mergeCell ref="Z589:Z590"/>
    <mergeCell ref="AA589:AA590"/>
    <mergeCell ref="AB589:AB590"/>
    <mergeCell ref="B591:B592"/>
    <mergeCell ref="E591:E592"/>
    <mergeCell ref="U591:U592"/>
    <mergeCell ref="V591:V592"/>
    <mergeCell ref="W591:W592"/>
    <mergeCell ref="X591:X592"/>
    <mergeCell ref="Y595:Y596"/>
    <mergeCell ref="Z595:Z596"/>
    <mergeCell ref="AA595:AA596"/>
    <mergeCell ref="AB595:AB596"/>
    <mergeCell ref="Z599:Z600"/>
    <mergeCell ref="AA599:AA600"/>
    <mergeCell ref="AB599:AB600"/>
    <mergeCell ref="Y597:Y598"/>
    <mergeCell ref="Z597:Z598"/>
    <mergeCell ref="AA597:AA598"/>
    <mergeCell ref="AB597:AB598"/>
    <mergeCell ref="B599:B600"/>
    <mergeCell ref="E599:E600"/>
    <mergeCell ref="U599:U600"/>
    <mergeCell ref="V599:V600"/>
    <mergeCell ref="W599:W600"/>
    <mergeCell ref="X599:X600"/>
    <mergeCell ref="B597:B598"/>
    <mergeCell ref="E597:E598"/>
    <mergeCell ref="U597:U598"/>
    <mergeCell ref="V597:V598"/>
    <mergeCell ref="W597:W598"/>
    <mergeCell ref="Y587:Y588"/>
    <mergeCell ref="Z587:Z588"/>
    <mergeCell ref="AA587:AA588"/>
    <mergeCell ref="AB587:AB588"/>
    <mergeCell ref="B589:B590"/>
    <mergeCell ref="E589:E590"/>
    <mergeCell ref="U589:U590"/>
    <mergeCell ref="V589:V590"/>
    <mergeCell ref="W589:W590"/>
    <mergeCell ref="X589:X590"/>
    <mergeCell ref="K587:O587"/>
    <mergeCell ref="P587:T587"/>
    <mergeCell ref="U587:U588"/>
    <mergeCell ref="V587:V588"/>
    <mergeCell ref="W587:W588"/>
    <mergeCell ref="X587:X588"/>
    <mergeCell ref="A586:A613"/>
    <mergeCell ref="B587:B588"/>
    <mergeCell ref="C587:C588"/>
    <mergeCell ref="D587:D588"/>
    <mergeCell ref="E587:E588"/>
    <mergeCell ref="F587:J587"/>
    <mergeCell ref="B608:D609"/>
    <mergeCell ref="F608:H608"/>
    <mergeCell ref="I608:K608"/>
    <mergeCell ref="B610:B613"/>
    <mergeCell ref="Y591:Y592"/>
    <mergeCell ref="Z591:Z592"/>
    <mergeCell ref="AA591:AA592"/>
    <mergeCell ref="AB591:AB592"/>
    <mergeCell ref="B593:B594"/>
    <mergeCell ref="E593:E594"/>
    <mergeCell ref="S431:S432"/>
    <mergeCell ref="T431:AB432"/>
    <mergeCell ref="L429:N429"/>
    <mergeCell ref="L434:N434"/>
    <mergeCell ref="O434:Q434"/>
    <mergeCell ref="R434:T434"/>
    <mergeCell ref="U434:W434"/>
    <mergeCell ref="X434:Z434"/>
    <mergeCell ref="AA434:AB439"/>
    <mergeCell ref="P429:P430"/>
    <mergeCell ref="B431:B432"/>
    <mergeCell ref="E431:E432"/>
    <mergeCell ref="O431:O432"/>
    <mergeCell ref="P431:P432"/>
    <mergeCell ref="Q431:Q432"/>
    <mergeCell ref="R431:R432"/>
    <mergeCell ref="Q429:Q430"/>
    <mergeCell ref="R429:R430"/>
    <mergeCell ref="S429:S430"/>
    <mergeCell ref="T429:AB430"/>
    <mergeCell ref="X425:X426"/>
    <mergeCell ref="B429:B430"/>
    <mergeCell ref="C429:C430"/>
    <mergeCell ref="D429:D430"/>
    <mergeCell ref="E429:E430"/>
    <mergeCell ref="F429:H429"/>
    <mergeCell ref="I429:K429"/>
    <mergeCell ref="O429:O430"/>
    <mergeCell ref="Y423:Y424"/>
    <mergeCell ref="Z423:Z424"/>
    <mergeCell ref="AA423:AA424"/>
    <mergeCell ref="AB423:AB424"/>
    <mergeCell ref="B425:B426"/>
    <mergeCell ref="E425:E426"/>
    <mergeCell ref="U425:U426"/>
    <mergeCell ref="V425:V426"/>
    <mergeCell ref="W425:W426"/>
    <mergeCell ref="B423:B424"/>
    <mergeCell ref="E423:E424"/>
    <mergeCell ref="U423:U424"/>
    <mergeCell ref="V423:V424"/>
    <mergeCell ref="W423:W424"/>
    <mergeCell ref="X423:X424"/>
    <mergeCell ref="Y419:Y420"/>
    <mergeCell ref="Z419:Z420"/>
    <mergeCell ref="AA419:AA420"/>
    <mergeCell ref="AB419:AB420"/>
    <mergeCell ref="B421:B422"/>
    <mergeCell ref="E421:E422"/>
    <mergeCell ref="U421:U422"/>
    <mergeCell ref="V421:V422"/>
    <mergeCell ref="W421:W422"/>
    <mergeCell ref="X421:X422"/>
    <mergeCell ref="Y425:Y426"/>
    <mergeCell ref="U419:U420"/>
    <mergeCell ref="V419:V420"/>
    <mergeCell ref="W419:W420"/>
    <mergeCell ref="X419:X420"/>
    <mergeCell ref="Y415:Y416"/>
    <mergeCell ref="Z415:Z416"/>
    <mergeCell ref="AA415:AA416"/>
    <mergeCell ref="AB415:AB416"/>
    <mergeCell ref="B417:B418"/>
    <mergeCell ref="E417:E418"/>
    <mergeCell ref="U417:U418"/>
    <mergeCell ref="V417:V418"/>
    <mergeCell ref="W417:W418"/>
    <mergeCell ref="X417:X418"/>
    <mergeCell ref="Y421:Y422"/>
    <mergeCell ref="Z421:Z422"/>
    <mergeCell ref="AA421:AA422"/>
    <mergeCell ref="AB421:AB422"/>
    <mergeCell ref="Z425:Z426"/>
    <mergeCell ref="AA425:AA426"/>
    <mergeCell ref="AB425:AB426"/>
    <mergeCell ref="Y413:Y414"/>
    <mergeCell ref="Z413:Z414"/>
    <mergeCell ref="AA413:AA414"/>
    <mergeCell ref="AB413:AB414"/>
    <mergeCell ref="B415:B416"/>
    <mergeCell ref="E415:E416"/>
    <mergeCell ref="U415:U416"/>
    <mergeCell ref="V415:V416"/>
    <mergeCell ref="W415:W416"/>
    <mergeCell ref="X415:X416"/>
    <mergeCell ref="K413:O413"/>
    <mergeCell ref="P413:T413"/>
    <mergeCell ref="U413:U414"/>
    <mergeCell ref="V413:V414"/>
    <mergeCell ref="W413:W414"/>
    <mergeCell ref="X413:X414"/>
    <mergeCell ref="A412:A439"/>
    <mergeCell ref="B413:B414"/>
    <mergeCell ref="C413:C414"/>
    <mergeCell ref="D413:D414"/>
    <mergeCell ref="E413:E414"/>
    <mergeCell ref="F413:J413"/>
    <mergeCell ref="B434:D435"/>
    <mergeCell ref="F434:H434"/>
    <mergeCell ref="I434:K434"/>
    <mergeCell ref="B436:B439"/>
    <mergeCell ref="Y417:Y418"/>
    <mergeCell ref="Z417:Z418"/>
    <mergeCell ref="AA417:AA418"/>
    <mergeCell ref="AB417:AB418"/>
    <mergeCell ref="B419:B420"/>
    <mergeCell ref="E419:E420"/>
    <mergeCell ref="S373:S374"/>
    <mergeCell ref="T373:AB374"/>
    <mergeCell ref="L371:N371"/>
    <mergeCell ref="L376:N376"/>
    <mergeCell ref="O376:Q376"/>
    <mergeCell ref="R376:T376"/>
    <mergeCell ref="U376:W376"/>
    <mergeCell ref="X376:Z376"/>
    <mergeCell ref="AA376:AB381"/>
    <mergeCell ref="P371:P372"/>
    <mergeCell ref="B373:B374"/>
    <mergeCell ref="E373:E374"/>
    <mergeCell ref="O373:O374"/>
    <mergeCell ref="P373:P374"/>
    <mergeCell ref="Q373:Q374"/>
    <mergeCell ref="R373:R374"/>
    <mergeCell ref="Q371:Q372"/>
    <mergeCell ref="R371:R372"/>
    <mergeCell ref="S371:S372"/>
    <mergeCell ref="T371:AB372"/>
    <mergeCell ref="X367:X368"/>
    <mergeCell ref="B371:B372"/>
    <mergeCell ref="C371:C372"/>
    <mergeCell ref="D371:D372"/>
    <mergeCell ref="E371:E372"/>
    <mergeCell ref="F371:H371"/>
    <mergeCell ref="I371:K371"/>
    <mergeCell ref="O371:O372"/>
    <mergeCell ref="Y365:Y366"/>
    <mergeCell ref="Z365:Z366"/>
    <mergeCell ref="AA365:AA366"/>
    <mergeCell ref="AB365:AB366"/>
    <mergeCell ref="B367:B368"/>
    <mergeCell ref="E367:E368"/>
    <mergeCell ref="U367:U368"/>
    <mergeCell ref="V367:V368"/>
    <mergeCell ref="W367:W368"/>
    <mergeCell ref="B365:B366"/>
    <mergeCell ref="E365:E366"/>
    <mergeCell ref="U365:U366"/>
    <mergeCell ref="V365:V366"/>
    <mergeCell ref="W365:W366"/>
    <mergeCell ref="X365:X366"/>
    <mergeCell ref="Y361:Y362"/>
    <mergeCell ref="Z361:Z362"/>
    <mergeCell ref="AA361:AA362"/>
    <mergeCell ref="AB361:AB362"/>
    <mergeCell ref="B363:B364"/>
    <mergeCell ref="E363:E364"/>
    <mergeCell ref="U363:U364"/>
    <mergeCell ref="V363:V364"/>
    <mergeCell ref="W363:W364"/>
    <mergeCell ref="X363:X364"/>
    <mergeCell ref="Y367:Y368"/>
    <mergeCell ref="U361:U362"/>
    <mergeCell ref="V361:V362"/>
    <mergeCell ref="W361:W362"/>
    <mergeCell ref="X361:X362"/>
    <mergeCell ref="Y357:Y358"/>
    <mergeCell ref="Z357:Z358"/>
    <mergeCell ref="AA357:AA358"/>
    <mergeCell ref="AB357:AB358"/>
    <mergeCell ref="B359:B360"/>
    <mergeCell ref="E359:E360"/>
    <mergeCell ref="U359:U360"/>
    <mergeCell ref="V359:V360"/>
    <mergeCell ref="W359:W360"/>
    <mergeCell ref="X359:X360"/>
    <mergeCell ref="Y363:Y364"/>
    <mergeCell ref="Z363:Z364"/>
    <mergeCell ref="AA363:AA364"/>
    <mergeCell ref="AB363:AB364"/>
    <mergeCell ref="Z367:Z368"/>
    <mergeCell ref="AA367:AA368"/>
    <mergeCell ref="AB367:AB368"/>
    <mergeCell ref="Y355:Y356"/>
    <mergeCell ref="Z355:Z356"/>
    <mergeCell ref="AA355:AA356"/>
    <mergeCell ref="AB355:AB356"/>
    <mergeCell ref="B357:B358"/>
    <mergeCell ref="E357:E358"/>
    <mergeCell ref="U357:U358"/>
    <mergeCell ref="V357:V358"/>
    <mergeCell ref="W357:W358"/>
    <mergeCell ref="X357:X358"/>
    <mergeCell ref="K355:O355"/>
    <mergeCell ref="P355:T355"/>
    <mergeCell ref="U355:U356"/>
    <mergeCell ref="V355:V356"/>
    <mergeCell ref="W355:W356"/>
    <mergeCell ref="X355:X356"/>
    <mergeCell ref="A354:A381"/>
    <mergeCell ref="B355:B356"/>
    <mergeCell ref="C355:C356"/>
    <mergeCell ref="D355:D356"/>
    <mergeCell ref="E355:E356"/>
    <mergeCell ref="F355:J355"/>
    <mergeCell ref="B376:D377"/>
    <mergeCell ref="F376:H376"/>
    <mergeCell ref="I376:K376"/>
    <mergeCell ref="B378:B381"/>
    <mergeCell ref="Y359:Y360"/>
    <mergeCell ref="Z359:Z360"/>
    <mergeCell ref="AA359:AA360"/>
    <mergeCell ref="AB359:AB360"/>
    <mergeCell ref="B361:B362"/>
    <mergeCell ref="E361:E362"/>
    <mergeCell ref="S344:S345"/>
    <mergeCell ref="T344:AB345"/>
    <mergeCell ref="L342:N342"/>
    <mergeCell ref="L347:N347"/>
    <mergeCell ref="O347:Q347"/>
    <mergeCell ref="R347:T347"/>
    <mergeCell ref="U347:W347"/>
    <mergeCell ref="X347:Z347"/>
    <mergeCell ref="AA347:AB352"/>
    <mergeCell ref="P342:P343"/>
    <mergeCell ref="B344:B345"/>
    <mergeCell ref="E344:E345"/>
    <mergeCell ref="O344:O345"/>
    <mergeCell ref="P344:P345"/>
    <mergeCell ref="Q344:Q345"/>
    <mergeCell ref="R344:R345"/>
    <mergeCell ref="Q342:Q343"/>
    <mergeCell ref="R342:R343"/>
    <mergeCell ref="S342:S343"/>
    <mergeCell ref="T342:AB343"/>
    <mergeCell ref="X338:X339"/>
    <mergeCell ref="B342:B343"/>
    <mergeCell ref="C342:C343"/>
    <mergeCell ref="D342:D343"/>
    <mergeCell ref="E342:E343"/>
    <mergeCell ref="F342:H342"/>
    <mergeCell ref="I342:K342"/>
    <mergeCell ref="O342:O343"/>
    <mergeCell ref="Y336:Y337"/>
    <mergeCell ref="Z336:Z337"/>
    <mergeCell ref="AA336:AA337"/>
    <mergeCell ref="AB336:AB337"/>
    <mergeCell ref="B338:B339"/>
    <mergeCell ref="E338:E339"/>
    <mergeCell ref="U338:U339"/>
    <mergeCell ref="V338:V339"/>
    <mergeCell ref="W338:W339"/>
    <mergeCell ref="B336:B337"/>
    <mergeCell ref="E336:E337"/>
    <mergeCell ref="U336:U337"/>
    <mergeCell ref="V336:V337"/>
    <mergeCell ref="W336:W337"/>
    <mergeCell ref="X336:X337"/>
    <mergeCell ref="Y332:Y333"/>
    <mergeCell ref="Z332:Z333"/>
    <mergeCell ref="AA332:AA333"/>
    <mergeCell ref="AB332:AB333"/>
    <mergeCell ref="B334:B335"/>
    <mergeCell ref="E334:E335"/>
    <mergeCell ref="U334:U335"/>
    <mergeCell ref="V334:V335"/>
    <mergeCell ref="W334:W335"/>
    <mergeCell ref="X334:X335"/>
    <mergeCell ref="Y338:Y339"/>
    <mergeCell ref="U332:U333"/>
    <mergeCell ref="V332:V333"/>
    <mergeCell ref="W332:W333"/>
    <mergeCell ref="X332:X333"/>
    <mergeCell ref="Y328:Y329"/>
    <mergeCell ref="Z328:Z329"/>
    <mergeCell ref="AA328:AA329"/>
    <mergeCell ref="AB328:AB329"/>
    <mergeCell ref="B330:B331"/>
    <mergeCell ref="E330:E331"/>
    <mergeCell ref="U330:U331"/>
    <mergeCell ref="V330:V331"/>
    <mergeCell ref="W330:W331"/>
    <mergeCell ref="X330:X331"/>
    <mergeCell ref="Y334:Y335"/>
    <mergeCell ref="Z334:Z335"/>
    <mergeCell ref="AA334:AA335"/>
    <mergeCell ref="AB334:AB335"/>
    <mergeCell ref="Z338:Z339"/>
    <mergeCell ref="AA338:AA339"/>
    <mergeCell ref="AB338:AB339"/>
    <mergeCell ref="Y326:Y327"/>
    <mergeCell ref="Z326:Z327"/>
    <mergeCell ref="AA326:AA327"/>
    <mergeCell ref="AB326:AB327"/>
    <mergeCell ref="B328:B329"/>
    <mergeCell ref="E328:E329"/>
    <mergeCell ref="U328:U329"/>
    <mergeCell ref="V328:V329"/>
    <mergeCell ref="W328:W329"/>
    <mergeCell ref="X328:X329"/>
    <mergeCell ref="K326:O326"/>
    <mergeCell ref="P326:T326"/>
    <mergeCell ref="U326:U327"/>
    <mergeCell ref="V326:V327"/>
    <mergeCell ref="W326:W327"/>
    <mergeCell ref="X326:X327"/>
    <mergeCell ref="A325:A352"/>
    <mergeCell ref="B326:B327"/>
    <mergeCell ref="C326:C327"/>
    <mergeCell ref="D326:D327"/>
    <mergeCell ref="E326:E327"/>
    <mergeCell ref="F326:J326"/>
    <mergeCell ref="B347:D348"/>
    <mergeCell ref="F347:H347"/>
    <mergeCell ref="I347:K347"/>
    <mergeCell ref="B349:B352"/>
    <mergeCell ref="Y330:Y331"/>
    <mergeCell ref="Z330:Z331"/>
    <mergeCell ref="AA330:AA331"/>
    <mergeCell ref="AB330:AB331"/>
    <mergeCell ref="B332:B333"/>
    <mergeCell ref="E332:E333"/>
    <mergeCell ref="S315:S316"/>
    <mergeCell ref="T315:AB316"/>
    <mergeCell ref="L313:N313"/>
    <mergeCell ref="L318:N318"/>
    <mergeCell ref="O318:Q318"/>
    <mergeCell ref="R318:T318"/>
    <mergeCell ref="U318:W318"/>
    <mergeCell ref="X318:Z318"/>
    <mergeCell ref="AA318:AB323"/>
    <mergeCell ref="P313:P314"/>
    <mergeCell ref="B315:B316"/>
    <mergeCell ref="E315:E316"/>
    <mergeCell ref="O315:O316"/>
    <mergeCell ref="P315:P316"/>
    <mergeCell ref="Q315:Q316"/>
    <mergeCell ref="R315:R316"/>
    <mergeCell ref="Q313:Q314"/>
    <mergeCell ref="R313:R314"/>
    <mergeCell ref="S313:S314"/>
    <mergeCell ref="T313:AB314"/>
    <mergeCell ref="X309:X310"/>
    <mergeCell ref="B313:B314"/>
    <mergeCell ref="C313:C314"/>
    <mergeCell ref="D313:D314"/>
    <mergeCell ref="E313:E314"/>
    <mergeCell ref="F313:H313"/>
    <mergeCell ref="I313:K313"/>
    <mergeCell ref="O313:O314"/>
    <mergeCell ref="Y307:Y308"/>
    <mergeCell ref="Z307:Z308"/>
    <mergeCell ref="AA307:AA308"/>
    <mergeCell ref="AB307:AB308"/>
    <mergeCell ref="B309:B310"/>
    <mergeCell ref="E309:E310"/>
    <mergeCell ref="U309:U310"/>
    <mergeCell ref="V309:V310"/>
    <mergeCell ref="W309:W310"/>
    <mergeCell ref="B307:B308"/>
    <mergeCell ref="E307:E308"/>
    <mergeCell ref="U307:U308"/>
    <mergeCell ref="V307:V308"/>
    <mergeCell ref="W307:W308"/>
    <mergeCell ref="X307:X308"/>
    <mergeCell ref="Y303:Y304"/>
    <mergeCell ref="Z303:Z304"/>
    <mergeCell ref="AA303:AA304"/>
    <mergeCell ref="AB303:AB304"/>
    <mergeCell ref="B305:B306"/>
    <mergeCell ref="E305:E306"/>
    <mergeCell ref="U305:U306"/>
    <mergeCell ref="V305:V306"/>
    <mergeCell ref="W305:W306"/>
    <mergeCell ref="X305:X306"/>
    <mergeCell ref="Y309:Y310"/>
    <mergeCell ref="U303:U304"/>
    <mergeCell ref="V303:V304"/>
    <mergeCell ref="W303:W304"/>
    <mergeCell ref="X303:X304"/>
    <mergeCell ref="Y299:Y300"/>
    <mergeCell ref="Z299:Z300"/>
    <mergeCell ref="AA299:AA300"/>
    <mergeCell ref="AB299:AB300"/>
    <mergeCell ref="B301:B302"/>
    <mergeCell ref="E301:E302"/>
    <mergeCell ref="U301:U302"/>
    <mergeCell ref="V301:V302"/>
    <mergeCell ref="W301:W302"/>
    <mergeCell ref="X301:X302"/>
    <mergeCell ref="Y305:Y306"/>
    <mergeCell ref="Z305:Z306"/>
    <mergeCell ref="AA305:AA306"/>
    <mergeCell ref="AB305:AB306"/>
    <mergeCell ref="Z309:Z310"/>
    <mergeCell ref="AA309:AA310"/>
    <mergeCell ref="AB309:AB310"/>
    <mergeCell ref="Y297:Y298"/>
    <mergeCell ref="Z297:Z298"/>
    <mergeCell ref="AA297:AA298"/>
    <mergeCell ref="AB297:AB298"/>
    <mergeCell ref="B299:B300"/>
    <mergeCell ref="E299:E300"/>
    <mergeCell ref="U299:U300"/>
    <mergeCell ref="V299:V300"/>
    <mergeCell ref="W299:W300"/>
    <mergeCell ref="X299:X300"/>
    <mergeCell ref="K297:O297"/>
    <mergeCell ref="P297:T297"/>
    <mergeCell ref="U297:U298"/>
    <mergeCell ref="V297:V298"/>
    <mergeCell ref="W297:W298"/>
    <mergeCell ref="X297:X298"/>
    <mergeCell ref="A296:A323"/>
    <mergeCell ref="B297:B298"/>
    <mergeCell ref="C297:C298"/>
    <mergeCell ref="D297:D298"/>
    <mergeCell ref="E297:E298"/>
    <mergeCell ref="F297:J297"/>
    <mergeCell ref="B318:D319"/>
    <mergeCell ref="F318:H318"/>
    <mergeCell ref="I318:K318"/>
    <mergeCell ref="B320:B323"/>
    <mergeCell ref="Y301:Y302"/>
    <mergeCell ref="Z301:Z302"/>
    <mergeCell ref="AA301:AA302"/>
    <mergeCell ref="AB301:AB302"/>
    <mergeCell ref="B303:B304"/>
    <mergeCell ref="E303:E304"/>
    <mergeCell ref="S286:S287"/>
    <mergeCell ref="T286:AB287"/>
    <mergeCell ref="L284:N284"/>
    <mergeCell ref="L289:N289"/>
    <mergeCell ref="O289:Q289"/>
    <mergeCell ref="R289:T289"/>
    <mergeCell ref="U289:W289"/>
    <mergeCell ref="X289:Z289"/>
    <mergeCell ref="AA289:AB294"/>
    <mergeCell ref="P284:P285"/>
    <mergeCell ref="B286:B287"/>
    <mergeCell ref="E286:E287"/>
    <mergeCell ref="O286:O287"/>
    <mergeCell ref="P286:P287"/>
    <mergeCell ref="Q286:Q287"/>
    <mergeCell ref="R286:R287"/>
    <mergeCell ref="Q284:Q285"/>
    <mergeCell ref="R284:R285"/>
    <mergeCell ref="S284:S285"/>
    <mergeCell ref="T284:AB285"/>
    <mergeCell ref="X280:X281"/>
    <mergeCell ref="B284:B285"/>
    <mergeCell ref="C284:C285"/>
    <mergeCell ref="D284:D285"/>
    <mergeCell ref="E284:E285"/>
    <mergeCell ref="F284:H284"/>
    <mergeCell ref="I284:K284"/>
    <mergeCell ref="O284:O285"/>
    <mergeCell ref="Y278:Y279"/>
    <mergeCell ref="Z278:Z279"/>
    <mergeCell ref="AA278:AA279"/>
    <mergeCell ref="AB278:AB279"/>
    <mergeCell ref="B280:B281"/>
    <mergeCell ref="E280:E281"/>
    <mergeCell ref="U280:U281"/>
    <mergeCell ref="V280:V281"/>
    <mergeCell ref="W280:W281"/>
    <mergeCell ref="B278:B279"/>
    <mergeCell ref="E278:E279"/>
    <mergeCell ref="U278:U279"/>
    <mergeCell ref="V278:V279"/>
    <mergeCell ref="W278:W279"/>
    <mergeCell ref="X278:X279"/>
    <mergeCell ref="Y274:Y275"/>
    <mergeCell ref="Z274:Z275"/>
    <mergeCell ref="AA274:AA275"/>
    <mergeCell ref="AB274:AB275"/>
    <mergeCell ref="B276:B277"/>
    <mergeCell ref="E276:E277"/>
    <mergeCell ref="U276:U277"/>
    <mergeCell ref="V276:V277"/>
    <mergeCell ref="W276:W277"/>
    <mergeCell ref="X276:X277"/>
    <mergeCell ref="Y280:Y281"/>
    <mergeCell ref="U274:U275"/>
    <mergeCell ref="V274:V275"/>
    <mergeCell ref="W274:W275"/>
    <mergeCell ref="X274:X275"/>
    <mergeCell ref="Y270:Y271"/>
    <mergeCell ref="Z270:Z271"/>
    <mergeCell ref="AA270:AA271"/>
    <mergeCell ref="AB270:AB271"/>
    <mergeCell ref="B272:B273"/>
    <mergeCell ref="E272:E273"/>
    <mergeCell ref="U272:U273"/>
    <mergeCell ref="V272:V273"/>
    <mergeCell ref="W272:W273"/>
    <mergeCell ref="X272:X273"/>
    <mergeCell ref="Y276:Y277"/>
    <mergeCell ref="Z276:Z277"/>
    <mergeCell ref="AA276:AA277"/>
    <mergeCell ref="AB276:AB277"/>
    <mergeCell ref="Z280:Z281"/>
    <mergeCell ref="AA280:AA281"/>
    <mergeCell ref="AB280:AB281"/>
    <mergeCell ref="Y268:Y269"/>
    <mergeCell ref="Z268:Z269"/>
    <mergeCell ref="AA268:AA269"/>
    <mergeCell ref="AB268:AB269"/>
    <mergeCell ref="B270:B271"/>
    <mergeCell ref="E270:E271"/>
    <mergeCell ref="U270:U271"/>
    <mergeCell ref="V270:V271"/>
    <mergeCell ref="W270:W271"/>
    <mergeCell ref="X270:X271"/>
    <mergeCell ref="K268:O268"/>
    <mergeCell ref="P268:T268"/>
    <mergeCell ref="U268:U269"/>
    <mergeCell ref="V268:V269"/>
    <mergeCell ref="W268:W269"/>
    <mergeCell ref="X268:X269"/>
    <mergeCell ref="A267:A294"/>
    <mergeCell ref="B268:B269"/>
    <mergeCell ref="C268:C269"/>
    <mergeCell ref="D268:D269"/>
    <mergeCell ref="E268:E269"/>
    <mergeCell ref="F268:J268"/>
    <mergeCell ref="B289:D290"/>
    <mergeCell ref="F289:H289"/>
    <mergeCell ref="I289:K289"/>
    <mergeCell ref="B291:B294"/>
    <mergeCell ref="Y272:Y273"/>
    <mergeCell ref="Z272:Z273"/>
    <mergeCell ref="AA272:AA273"/>
    <mergeCell ref="AB272:AB273"/>
    <mergeCell ref="B274:B275"/>
    <mergeCell ref="E274:E275"/>
    <mergeCell ref="S257:S258"/>
    <mergeCell ref="T257:AB258"/>
    <mergeCell ref="L255:N255"/>
    <mergeCell ref="L260:N260"/>
    <mergeCell ref="O260:Q260"/>
    <mergeCell ref="R260:T260"/>
    <mergeCell ref="U260:W260"/>
    <mergeCell ref="X260:Z260"/>
    <mergeCell ref="AA260:AB265"/>
    <mergeCell ref="P255:P256"/>
    <mergeCell ref="B257:B258"/>
    <mergeCell ref="E257:E258"/>
    <mergeCell ref="O257:O258"/>
    <mergeCell ref="P257:P258"/>
    <mergeCell ref="Q257:Q258"/>
    <mergeCell ref="R257:R258"/>
    <mergeCell ref="Q255:Q256"/>
    <mergeCell ref="R255:R256"/>
    <mergeCell ref="S255:S256"/>
    <mergeCell ref="T255:AB256"/>
    <mergeCell ref="X251:X252"/>
    <mergeCell ref="B255:B256"/>
    <mergeCell ref="C255:C256"/>
    <mergeCell ref="D255:D256"/>
    <mergeCell ref="E255:E256"/>
    <mergeCell ref="F255:H255"/>
    <mergeCell ref="I255:K255"/>
    <mergeCell ref="O255:O256"/>
    <mergeCell ref="Y249:Y250"/>
    <mergeCell ref="Z249:Z250"/>
    <mergeCell ref="AA249:AA250"/>
    <mergeCell ref="AB249:AB250"/>
    <mergeCell ref="B251:B252"/>
    <mergeCell ref="E251:E252"/>
    <mergeCell ref="U251:U252"/>
    <mergeCell ref="V251:V252"/>
    <mergeCell ref="W251:W252"/>
    <mergeCell ref="B249:B250"/>
    <mergeCell ref="E249:E250"/>
    <mergeCell ref="U249:U250"/>
    <mergeCell ref="V249:V250"/>
    <mergeCell ref="W249:W250"/>
    <mergeCell ref="X249:X250"/>
    <mergeCell ref="Y245:Y246"/>
    <mergeCell ref="Z245:Z246"/>
    <mergeCell ref="AA245:AA246"/>
    <mergeCell ref="AB245:AB246"/>
    <mergeCell ref="B247:B248"/>
    <mergeCell ref="E247:E248"/>
    <mergeCell ref="U247:U248"/>
    <mergeCell ref="V247:V248"/>
    <mergeCell ref="W247:W248"/>
    <mergeCell ref="X247:X248"/>
    <mergeCell ref="Y251:Y252"/>
    <mergeCell ref="U245:U246"/>
    <mergeCell ref="V245:V246"/>
    <mergeCell ref="W245:W246"/>
    <mergeCell ref="X245:X246"/>
    <mergeCell ref="Y241:Y242"/>
    <mergeCell ref="Z241:Z242"/>
    <mergeCell ref="AA241:AA242"/>
    <mergeCell ref="AB241:AB242"/>
    <mergeCell ref="B243:B244"/>
    <mergeCell ref="E243:E244"/>
    <mergeCell ref="U243:U244"/>
    <mergeCell ref="V243:V244"/>
    <mergeCell ref="W243:W244"/>
    <mergeCell ref="X243:X244"/>
    <mergeCell ref="Y247:Y248"/>
    <mergeCell ref="Z247:Z248"/>
    <mergeCell ref="AA247:AA248"/>
    <mergeCell ref="AB247:AB248"/>
    <mergeCell ref="Z251:Z252"/>
    <mergeCell ref="AA251:AA252"/>
    <mergeCell ref="AB251:AB252"/>
    <mergeCell ref="Y239:Y240"/>
    <mergeCell ref="Z239:Z240"/>
    <mergeCell ref="AA239:AA240"/>
    <mergeCell ref="AB239:AB240"/>
    <mergeCell ref="B241:B242"/>
    <mergeCell ref="E241:E242"/>
    <mergeCell ref="U241:U242"/>
    <mergeCell ref="V241:V242"/>
    <mergeCell ref="W241:W242"/>
    <mergeCell ref="X241:X242"/>
    <mergeCell ref="K239:O239"/>
    <mergeCell ref="P239:T239"/>
    <mergeCell ref="U239:U240"/>
    <mergeCell ref="V239:V240"/>
    <mergeCell ref="W239:W240"/>
    <mergeCell ref="X239:X240"/>
    <mergeCell ref="A238:A265"/>
    <mergeCell ref="B239:B240"/>
    <mergeCell ref="C239:C240"/>
    <mergeCell ref="D239:D240"/>
    <mergeCell ref="E239:E240"/>
    <mergeCell ref="F239:J239"/>
    <mergeCell ref="B260:D261"/>
    <mergeCell ref="F260:H260"/>
    <mergeCell ref="I260:K260"/>
    <mergeCell ref="B262:B265"/>
    <mergeCell ref="Y243:Y244"/>
    <mergeCell ref="Z243:Z244"/>
    <mergeCell ref="AA243:AA244"/>
    <mergeCell ref="AB243:AB244"/>
    <mergeCell ref="B245:B246"/>
    <mergeCell ref="E245:E246"/>
    <mergeCell ref="S228:S229"/>
    <mergeCell ref="T228:AB229"/>
    <mergeCell ref="L226:N226"/>
    <mergeCell ref="L231:N231"/>
    <mergeCell ref="O231:Q231"/>
    <mergeCell ref="R231:T231"/>
    <mergeCell ref="U231:W231"/>
    <mergeCell ref="X231:Z231"/>
    <mergeCell ref="AA231:AB236"/>
    <mergeCell ref="P226:P227"/>
    <mergeCell ref="B228:B229"/>
    <mergeCell ref="E228:E229"/>
    <mergeCell ref="O228:O229"/>
    <mergeCell ref="P228:P229"/>
    <mergeCell ref="Q228:Q229"/>
    <mergeCell ref="R228:R229"/>
    <mergeCell ref="Q226:Q227"/>
    <mergeCell ref="R226:R227"/>
    <mergeCell ref="S226:S227"/>
    <mergeCell ref="T226:AB227"/>
    <mergeCell ref="X222:X223"/>
    <mergeCell ref="B226:B227"/>
    <mergeCell ref="C226:C227"/>
    <mergeCell ref="D226:D227"/>
    <mergeCell ref="E226:E227"/>
    <mergeCell ref="F226:H226"/>
    <mergeCell ref="I226:K226"/>
    <mergeCell ref="O226:O227"/>
    <mergeCell ref="Y220:Y221"/>
    <mergeCell ref="Z220:Z221"/>
    <mergeCell ref="AA220:AA221"/>
    <mergeCell ref="AB220:AB221"/>
    <mergeCell ref="B222:B223"/>
    <mergeCell ref="E222:E223"/>
    <mergeCell ref="U222:U223"/>
    <mergeCell ref="V222:V223"/>
    <mergeCell ref="W222:W223"/>
    <mergeCell ref="B220:B221"/>
    <mergeCell ref="E220:E221"/>
    <mergeCell ref="U220:U221"/>
    <mergeCell ref="V220:V221"/>
    <mergeCell ref="W220:W221"/>
    <mergeCell ref="X220:X221"/>
    <mergeCell ref="Y216:Y217"/>
    <mergeCell ref="Z216:Z217"/>
    <mergeCell ref="AA216:AA217"/>
    <mergeCell ref="AB216:AB217"/>
    <mergeCell ref="B218:B219"/>
    <mergeCell ref="E218:E219"/>
    <mergeCell ref="U218:U219"/>
    <mergeCell ref="V218:V219"/>
    <mergeCell ref="W218:W219"/>
    <mergeCell ref="X218:X219"/>
    <mergeCell ref="Y222:Y223"/>
    <mergeCell ref="U216:U217"/>
    <mergeCell ref="V216:V217"/>
    <mergeCell ref="W216:W217"/>
    <mergeCell ref="X216:X217"/>
    <mergeCell ref="Y212:Y213"/>
    <mergeCell ref="Z212:Z213"/>
    <mergeCell ref="AA212:AA213"/>
    <mergeCell ref="AB212:AB213"/>
    <mergeCell ref="B214:B215"/>
    <mergeCell ref="E214:E215"/>
    <mergeCell ref="U214:U215"/>
    <mergeCell ref="V214:V215"/>
    <mergeCell ref="W214:W215"/>
    <mergeCell ref="X214:X215"/>
    <mergeCell ref="Y218:Y219"/>
    <mergeCell ref="Z218:Z219"/>
    <mergeCell ref="AA218:AA219"/>
    <mergeCell ref="AB218:AB219"/>
    <mergeCell ref="Z222:Z223"/>
    <mergeCell ref="AA222:AA223"/>
    <mergeCell ref="AB222:AB223"/>
    <mergeCell ref="Y210:Y211"/>
    <mergeCell ref="Z210:Z211"/>
    <mergeCell ref="AA210:AA211"/>
    <mergeCell ref="AB210:AB211"/>
    <mergeCell ref="B212:B213"/>
    <mergeCell ref="E212:E213"/>
    <mergeCell ref="U212:U213"/>
    <mergeCell ref="V212:V213"/>
    <mergeCell ref="W212:W213"/>
    <mergeCell ref="X212:X213"/>
    <mergeCell ref="K210:O210"/>
    <mergeCell ref="P210:T210"/>
    <mergeCell ref="U210:U211"/>
    <mergeCell ref="V210:V211"/>
    <mergeCell ref="W210:W211"/>
    <mergeCell ref="X210:X211"/>
    <mergeCell ref="A209:A236"/>
    <mergeCell ref="B210:B211"/>
    <mergeCell ref="C210:C211"/>
    <mergeCell ref="D210:D211"/>
    <mergeCell ref="E210:E211"/>
    <mergeCell ref="F210:J210"/>
    <mergeCell ref="B231:D232"/>
    <mergeCell ref="F231:H231"/>
    <mergeCell ref="I231:K231"/>
    <mergeCell ref="B233:B236"/>
    <mergeCell ref="Y214:Y215"/>
    <mergeCell ref="Z214:Z215"/>
    <mergeCell ref="AA214:AA215"/>
    <mergeCell ref="AB214:AB215"/>
    <mergeCell ref="B216:B217"/>
    <mergeCell ref="E216:E217"/>
    <mergeCell ref="S199:S200"/>
    <mergeCell ref="T199:AB200"/>
    <mergeCell ref="L197:N197"/>
    <mergeCell ref="L202:N202"/>
    <mergeCell ref="O202:Q202"/>
    <mergeCell ref="R202:T202"/>
    <mergeCell ref="U202:W202"/>
    <mergeCell ref="X202:Z202"/>
    <mergeCell ref="AA202:AB207"/>
    <mergeCell ref="P197:P198"/>
    <mergeCell ref="B199:B200"/>
    <mergeCell ref="E199:E200"/>
    <mergeCell ref="O199:O200"/>
    <mergeCell ref="P199:P200"/>
    <mergeCell ref="Q199:Q200"/>
    <mergeCell ref="R199:R200"/>
    <mergeCell ref="Q197:Q198"/>
    <mergeCell ref="R197:R198"/>
    <mergeCell ref="S197:S198"/>
    <mergeCell ref="T197:AB198"/>
    <mergeCell ref="X193:X194"/>
    <mergeCell ref="B197:B198"/>
    <mergeCell ref="C197:C198"/>
    <mergeCell ref="D197:D198"/>
    <mergeCell ref="E197:E198"/>
    <mergeCell ref="F197:H197"/>
    <mergeCell ref="I197:K197"/>
    <mergeCell ref="O197:O198"/>
    <mergeCell ref="Y191:Y192"/>
    <mergeCell ref="Z191:Z192"/>
    <mergeCell ref="AA191:AA192"/>
    <mergeCell ref="AB191:AB192"/>
    <mergeCell ref="B193:B194"/>
    <mergeCell ref="E193:E194"/>
    <mergeCell ref="U193:U194"/>
    <mergeCell ref="V193:V194"/>
    <mergeCell ref="W193:W194"/>
    <mergeCell ref="B191:B192"/>
    <mergeCell ref="E191:E192"/>
    <mergeCell ref="U191:U192"/>
    <mergeCell ref="V191:V192"/>
    <mergeCell ref="W191:W192"/>
    <mergeCell ref="X191:X192"/>
    <mergeCell ref="Y187:Y188"/>
    <mergeCell ref="Z187:Z188"/>
    <mergeCell ref="AA187:AA188"/>
    <mergeCell ref="AB187:AB188"/>
    <mergeCell ref="B189:B190"/>
    <mergeCell ref="E189:E190"/>
    <mergeCell ref="U189:U190"/>
    <mergeCell ref="V189:V190"/>
    <mergeCell ref="W189:W190"/>
    <mergeCell ref="X189:X190"/>
    <mergeCell ref="Y193:Y194"/>
    <mergeCell ref="U187:U188"/>
    <mergeCell ref="V187:V188"/>
    <mergeCell ref="W187:W188"/>
    <mergeCell ref="X187:X188"/>
    <mergeCell ref="Y183:Y184"/>
    <mergeCell ref="Z183:Z184"/>
    <mergeCell ref="AA183:AA184"/>
    <mergeCell ref="AB183:AB184"/>
    <mergeCell ref="B185:B186"/>
    <mergeCell ref="E185:E186"/>
    <mergeCell ref="U185:U186"/>
    <mergeCell ref="V185:V186"/>
    <mergeCell ref="W185:W186"/>
    <mergeCell ref="X185:X186"/>
    <mergeCell ref="Y189:Y190"/>
    <mergeCell ref="Z189:Z190"/>
    <mergeCell ref="AA189:AA190"/>
    <mergeCell ref="AB189:AB190"/>
    <mergeCell ref="Z193:Z194"/>
    <mergeCell ref="AA193:AA194"/>
    <mergeCell ref="AB193:AB194"/>
    <mergeCell ref="Y181:Y182"/>
    <mergeCell ref="Z181:Z182"/>
    <mergeCell ref="AA181:AA182"/>
    <mergeCell ref="AB181:AB182"/>
    <mergeCell ref="B183:B184"/>
    <mergeCell ref="E183:E184"/>
    <mergeCell ref="U183:U184"/>
    <mergeCell ref="V183:V184"/>
    <mergeCell ref="W183:W184"/>
    <mergeCell ref="X183:X184"/>
    <mergeCell ref="K181:O181"/>
    <mergeCell ref="P181:T181"/>
    <mergeCell ref="U181:U182"/>
    <mergeCell ref="V181:V182"/>
    <mergeCell ref="W181:W182"/>
    <mergeCell ref="X181:X182"/>
    <mergeCell ref="A180:A207"/>
    <mergeCell ref="B181:B182"/>
    <mergeCell ref="C181:C182"/>
    <mergeCell ref="D181:D182"/>
    <mergeCell ref="E181:E182"/>
    <mergeCell ref="F181:J181"/>
    <mergeCell ref="B202:D203"/>
    <mergeCell ref="F202:H202"/>
    <mergeCell ref="I202:K202"/>
    <mergeCell ref="B204:B207"/>
    <mergeCell ref="Y185:Y186"/>
    <mergeCell ref="Z185:Z186"/>
    <mergeCell ref="AA185:AA186"/>
    <mergeCell ref="AB185:AB186"/>
    <mergeCell ref="B187:B188"/>
    <mergeCell ref="E187:E188"/>
    <mergeCell ref="S170:S171"/>
    <mergeCell ref="T170:AB171"/>
    <mergeCell ref="L168:N168"/>
    <mergeCell ref="L173:N173"/>
    <mergeCell ref="O173:Q173"/>
    <mergeCell ref="R173:T173"/>
    <mergeCell ref="U173:W173"/>
    <mergeCell ref="X173:Z173"/>
    <mergeCell ref="AA173:AB178"/>
    <mergeCell ref="P168:P169"/>
    <mergeCell ref="B170:B171"/>
    <mergeCell ref="E170:E171"/>
    <mergeCell ref="O170:O171"/>
    <mergeCell ref="P170:P171"/>
    <mergeCell ref="Q170:Q171"/>
    <mergeCell ref="R170:R171"/>
    <mergeCell ref="Q168:Q169"/>
    <mergeCell ref="R168:R169"/>
    <mergeCell ref="S168:S169"/>
    <mergeCell ref="T168:AB169"/>
    <mergeCell ref="X164:X165"/>
    <mergeCell ref="B168:B169"/>
    <mergeCell ref="C168:C169"/>
    <mergeCell ref="D168:D169"/>
    <mergeCell ref="E168:E169"/>
    <mergeCell ref="F168:H168"/>
    <mergeCell ref="I168:K168"/>
    <mergeCell ref="O168:O169"/>
    <mergeCell ref="Y162:Y163"/>
    <mergeCell ref="Z162:Z163"/>
    <mergeCell ref="AA162:AA163"/>
    <mergeCell ref="AB162:AB163"/>
    <mergeCell ref="B164:B165"/>
    <mergeCell ref="E164:E165"/>
    <mergeCell ref="U164:U165"/>
    <mergeCell ref="V164:V165"/>
    <mergeCell ref="W164:W165"/>
    <mergeCell ref="B162:B163"/>
    <mergeCell ref="E162:E163"/>
    <mergeCell ref="U162:U163"/>
    <mergeCell ref="V162:V163"/>
    <mergeCell ref="W162:W163"/>
    <mergeCell ref="X162:X163"/>
    <mergeCell ref="Y158:Y159"/>
    <mergeCell ref="Z158:Z159"/>
    <mergeCell ref="AA158:AA159"/>
    <mergeCell ref="AB158:AB159"/>
    <mergeCell ref="B160:B161"/>
    <mergeCell ref="E160:E161"/>
    <mergeCell ref="U160:U161"/>
    <mergeCell ref="V160:V161"/>
    <mergeCell ref="W160:W161"/>
    <mergeCell ref="X160:X161"/>
    <mergeCell ref="Y164:Y165"/>
    <mergeCell ref="U158:U159"/>
    <mergeCell ref="V158:V159"/>
    <mergeCell ref="W158:W159"/>
    <mergeCell ref="X158:X159"/>
    <mergeCell ref="Y154:Y155"/>
    <mergeCell ref="Z154:Z155"/>
    <mergeCell ref="AA154:AA155"/>
    <mergeCell ref="AB154:AB155"/>
    <mergeCell ref="B156:B157"/>
    <mergeCell ref="E156:E157"/>
    <mergeCell ref="U156:U157"/>
    <mergeCell ref="V156:V157"/>
    <mergeCell ref="W156:W157"/>
    <mergeCell ref="X156:X157"/>
    <mergeCell ref="Y160:Y161"/>
    <mergeCell ref="Z160:Z161"/>
    <mergeCell ref="AA160:AA161"/>
    <mergeCell ref="AB160:AB161"/>
    <mergeCell ref="Z164:Z165"/>
    <mergeCell ref="AA164:AA165"/>
    <mergeCell ref="AB164:AB165"/>
    <mergeCell ref="Y152:Y153"/>
    <mergeCell ref="Z152:Z153"/>
    <mergeCell ref="AA152:AA153"/>
    <mergeCell ref="AB152:AB153"/>
    <mergeCell ref="B154:B155"/>
    <mergeCell ref="E154:E155"/>
    <mergeCell ref="U154:U155"/>
    <mergeCell ref="V154:V155"/>
    <mergeCell ref="W154:W155"/>
    <mergeCell ref="X154:X155"/>
    <mergeCell ref="K152:O152"/>
    <mergeCell ref="P152:T152"/>
    <mergeCell ref="U152:U153"/>
    <mergeCell ref="V152:V153"/>
    <mergeCell ref="W152:W153"/>
    <mergeCell ref="X152:X153"/>
    <mergeCell ref="A151:A178"/>
    <mergeCell ref="B152:B153"/>
    <mergeCell ref="C152:C153"/>
    <mergeCell ref="D152:D153"/>
    <mergeCell ref="E152:E153"/>
    <mergeCell ref="F152:J152"/>
    <mergeCell ref="B173:D174"/>
    <mergeCell ref="F173:H173"/>
    <mergeCell ref="I173:K173"/>
    <mergeCell ref="B175:B178"/>
    <mergeCell ref="Y156:Y157"/>
    <mergeCell ref="Z156:Z157"/>
    <mergeCell ref="AA156:AA157"/>
    <mergeCell ref="AB156:AB157"/>
    <mergeCell ref="B158:B159"/>
    <mergeCell ref="E158:E159"/>
    <mergeCell ref="S141:S142"/>
    <mergeCell ref="T141:AB142"/>
    <mergeCell ref="L139:N139"/>
    <mergeCell ref="L144:N144"/>
    <mergeCell ref="O144:Q144"/>
    <mergeCell ref="R144:T144"/>
    <mergeCell ref="U144:W144"/>
    <mergeCell ref="X144:Z144"/>
    <mergeCell ref="AA144:AB149"/>
    <mergeCell ref="P139:P140"/>
    <mergeCell ref="B141:B142"/>
    <mergeCell ref="E141:E142"/>
    <mergeCell ref="O141:O142"/>
    <mergeCell ref="P141:P142"/>
    <mergeCell ref="Q141:Q142"/>
    <mergeCell ref="R141:R142"/>
    <mergeCell ref="Q139:Q140"/>
    <mergeCell ref="R139:R140"/>
    <mergeCell ref="S139:S140"/>
    <mergeCell ref="T139:AB140"/>
    <mergeCell ref="X135:X136"/>
    <mergeCell ref="B139:B140"/>
    <mergeCell ref="C139:C140"/>
    <mergeCell ref="D139:D140"/>
    <mergeCell ref="E139:E140"/>
    <mergeCell ref="F139:H139"/>
    <mergeCell ref="I139:K139"/>
    <mergeCell ref="O139:O140"/>
    <mergeCell ref="Y133:Y134"/>
    <mergeCell ref="Z133:Z134"/>
    <mergeCell ref="AA133:AA134"/>
    <mergeCell ref="AB133:AB134"/>
    <mergeCell ref="B135:B136"/>
    <mergeCell ref="E135:E136"/>
    <mergeCell ref="U135:U136"/>
    <mergeCell ref="V135:V136"/>
    <mergeCell ref="W135:W136"/>
    <mergeCell ref="B133:B134"/>
    <mergeCell ref="E133:E134"/>
    <mergeCell ref="U133:U134"/>
    <mergeCell ref="V133:V134"/>
    <mergeCell ref="W133:W134"/>
    <mergeCell ref="X133:X134"/>
    <mergeCell ref="Y129:Y130"/>
    <mergeCell ref="Z129:Z130"/>
    <mergeCell ref="AA129:AA130"/>
    <mergeCell ref="AB129:AB130"/>
    <mergeCell ref="B131:B132"/>
    <mergeCell ref="E131:E132"/>
    <mergeCell ref="U131:U132"/>
    <mergeCell ref="V131:V132"/>
    <mergeCell ref="W131:W132"/>
    <mergeCell ref="X131:X132"/>
    <mergeCell ref="Y135:Y136"/>
    <mergeCell ref="U129:U130"/>
    <mergeCell ref="V129:V130"/>
    <mergeCell ref="W129:W130"/>
    <mergeCell ref="X129:X130"/>
    <mergeCell ref="Y125:Y126"/>
    <mergeCell ref="Z125:Z126"/>
    <mergeCell ref="AA125:AA126"/>
    <mergeCell ref="AB125:AB126"/>
    <mergeCell ref="B127:B128"/>
    <mergeCell ref="E127:E128"/>
    <mergeCell ref="U127:U128"/>
    <mergeCell ref="V127:V128"/>
    <mergeCell ref="W127:W128"/>
    <mergeCell ref="X127:X128"/>
    <mergeCell ref="Y131:Y132"/>
    <mergeCell ref="Z131:Z132"/>
    <mergeCell ref="AA131:AA132"/>
    <mergeCell ref="AB131:AB132"/>
    <mergeCell ref="Z135:Z136"/>
    <mergeCell ref="AA135:AA136"/>
    <mergeCell ref="AB135:AB136"/>
    <mergeCell ref="Y123:Y124"/>
    <mergeCell ref="Z123:Z124"/>
    <mergeCell ref="AA123:AA124"/>
    <mergeCell ref="AB123:AB124"/>
    <mergeCell ref="B125:B126"/>
    <mergeCell ref="E125:E126"/>
    <mergeCell ref="U125:U126"/>
    <mergeCell ref="V125:V126"/>
    <mergeCell ref="W125:W126"/>
    <mergeCell ref="X125:X126"/>
    <mergeCell ref="K123:O123"/>
    <mergeCell ref="P123:T123"/>
    <mergeCell ref="U123:U124"/>
    <mergeCell ref="V123:V124"/>
    <mergeCell ref="W123:W124"/>
    <mergeCell ref="X123:X124"/>
    <mergeCell ref="A122:A149"/>
    <mergeCell ref="B123:B124"/>
    <mergeCell ref="C123:C124"/>
    <mergeCell ref="D123:D124"/>
    <mergeCell ref="E123:E124"/>
    <mergeCell ref="F123:J123"/>
    <mergeCell ref="B144:D145"/>
    <mergeCell ref="F144:H144"/>
    <mergeCell ref="I144:K144"/>
    <mergeCell ref="B146:B149"/>
    <mergeCell ref="Y127:Y128"/>
    <mergeCell ref="Z127:Z128"/>
    <mergeCell ref="AA127:AA128"/>
    <mergeCell ref="AB127:AB128"/>
    <mergeCell ref="B129:B130"/>
    <mergeCell ref="E129:E130"/>
    <mergeCell ref="S112:S113"/>
    <mergeCell ref="T112:AB113"/>
    <mergeCell ref="L110:N110"/>
    <mergeCell ref="L115:N115"/>
    <mergeCell ref="O115:Q115"/>
    <mergeCell ref="R115:T115"/>
    <mergeCell ref="U115:W115"/>
    <mergeCell ref="X115:Z115"/>
    <mergeCell ref="AA115:AB120"/>
    <mergeCell ref="P110:P111"/>
    <mergeCell ref="B112:B113"/>
    <mergeCell ref="E112:E113"/>
    <mergeCell ref="O112:O113"/>
    <mergeCell ref="P112:P113"/>
    <mergeCell ref="Q112:Q113"/>
    <mergeCell ref="R112:R113"/>
    <mergeCell ref="Q110:Q111"/>
    <mergeCell ref="R110:R111"/>
    <mergeCell ref="S110:S111"/>
    <mergeCell ref="T110:AB111"/>
    <mergeCell ref="X106:X107"/>
    <mergeCell ref="B110:B111"/>
    <mergeCell ref="C110:C111"/>
    <mergeCell ref="D110:D111"/>
    <mergeCell ref="E110:E111"/>
    <mergeCell ref="F110:H110"/>
    <mergeCell ref="I110:K110"/>
    <mergeCell ref="O110:O111"/>
    <mergeCell ref="Y104:Y105"/>
    <mergeCell ref="Z104:Z105"/>
    <mergeCell ref="AA104:AA105"/>
    <mergeCell ref="AB104:AB105"/>
    <mergeCell ref="B106:B107"/>
    <mergeCell ref="E106:E107"/>
    <mergeCell ref="U106:U107"/>
    <mergeCell ref="V106:V107"/>
    <mergeCell ref="W106:W107"/>
    <mergeCell ref="B104:B105"/>
    <mergeCell ref="E104:E105"/>
    <mergeCell ref="U104:U105"/>
    <mergeCell ref="V104:V105"/>
    <mergeCell ref="W104:W105"/>
    <mergeCell ref="X104:X105"/>
    <mergeCell ref="Y100:Y101"/>
    <mergeCell ref="Z100:Z101"/>
    <mergeCell ref="AA100:AA101"/>
    <mergeCell ref="AB100:AB101"/>
    <mergeCell ref="B102:B103"/>
    <mergeCell ref="E102:E103"/>
    <mergeCell ref="U102:U103"/>
    <mergeCell ref="V102:V103"/>
    <mergeCell ref="W102:W103"/>
    <mergeCell ref="X102:X103"/>
    <mergeCell ref="Y106:Y107"/>
    <mergeCell ref="U100:U101"/>
    <mergeCell ref="V100:V101"/>
    <mergeCell ref="W100:W101"/>
    <mergeCell ref="X100:X101"/>
    <mergeCell ref="Y96:Y97"/>
    <mergeCell ref="Z96:Z97"/>
    <mergeCell ref="AA96:AA97"/>
    <mergeCell ref="AB96:AB97"/>
    <mergeCell ref="B98:B99"/>
    <mergeCell ref="E98:E99"/>
    <mergeCell ref="U98:U99"/>
    <mergeCell ref="V98:V99"/>
    <mergeCell ref="W98:W99"/>
    <mergeCell ref="X98:X99"/>
    <mergeCell ref="Y102:Y103"/>
    <mergeCell ref="Z102:Z103"/>
    <mergeCell ref="AA102:AA103"/>
    <mergeCell ref="AB102:AB103"/>
    <mergeCell ref="Z106:Z107"/>
    <mergeCell ref="AA106:AA107"/>
    <mergeCell ref="AB106:AB107"/>
    <mergeCell ref="Y94:Y95"/>
    <mergeCell ref="Z94:Z95"/>
    <mergeCell ref="AA94:AA95"/>
    <mergeCell ref="AB94:AB95"/>
    <mergeCell ref="B96:B97"/>
    <mergeCell ref="E96:E97"/>
    <mergeCell ref="U96:U97"/>
    <mergeCell ref="V96:V97"/>
    <mergeCell ref="W96:W97"/>
    <mergeCell ref="X96:X97"/>
    <mergeCell ref="K94:O94"/>
    <mergeCell ref="P94:T94"/>
    <mergeCell ref="U94:U95"/>
    <mergeCell ref="V94:V95"/>
    <mergeCell ref="W94:W95"/>
    <mergeCell ref="X94:X95"/>
    <mergeCell ref="A93:A120"/>
    <mergeCell ref="B94:B95"/>
    <mergeCell ref="C94:C95"/>
    <mergeCell ref="D94:D95"/>
    <mergeCell ref="E94:E95"/>
    <mergeCell ref="F94:J94"/>
    <mergeCell ref="B115:D116"/>
    <mergeCell ref="F115:H115"/>
    <mergeCell ref="I115:K115"/>
    <mergeCell ref="B117:B120"/>
    <mergeCell ref="Y98:Y99"/>
    <mergeCell ref="Z98:Z99"/>
    <mergeCell ref="AA98:AA99"/>
    <mergeCell ref="AB98:AB99"/>
    <mergeCell ref="B100:B101"/>
    <mergeCell ref="E100:E101"/>
    <mergeCell ref="S54:S55"/>
    <mergeCell ref="T54:AB55"/>
    <mergeCell ref="L52:N52"/>
    <mergeCell ref="L57:N57"/>
    <mergeCell ref="O57:Q57"/>
    <mergeCell ref="R57:T57"/>
    <mergeCell ref="U57:W57"/>
    <mergeCell ref="X57:Z57"/>
    <mergeCell ref="AA57:AB62"/>
    <mergeCell ref="P52:P53"/>
    <mergeCell ref="B54:B55"/>
    <mergeCell ref="E54:E55"/>
    <mergeCell ref="O54:O55"/>
    <mergeCell ref="P54:P55"/>
    <mergeCell ref="Q54:Q55"/>
    <mergeCell ref="R54:R55"/>
    <mergeCell ref="Q52:Q53"/>
    <mergeCell ref="R52:R53"/>
    <mergeCell ref="S52:S53"/>
    <mergeCell ref="T52:AB53"/>
    <mergeCell ref="X48:X49"/>
    <mergeCell ref="B52:B53"/>
    <mergeCell ref="C52:C53"/>
    <mergeCell ref="D52:D53"/>
    <mergeCell ref="E52:E53"/>
    <mergeCell ref="F52:H52"/>
    <mergeCell ref="I52:K52"/>
    <mergeCell ref="O52:O53"/>
    <mergeCell ref="Y46:Y47"/>
    <mergeCell ref="Z46:Z47"/>
    <mergeCell ref="AA46:AA47"/>
    <mergeCell ref="AB46:AB47"/>
    <mergeCell ref="B48:B49"/>
    <mergeCell ref="E48:E49"/>
    <mergeCell ref="U48:U49"/>
    <mergeCell ref="V48:V49"/>
    <mergeCell ref="W48:W49"/>
    <mergeCell ref="B46:B47"/>
    <mergeCell ref="E46:E47"/>
    <mergeCell ref="U46:U47"/>
    <mergeCell ref="V46:V47"/>
    <mergeCell ref="W46:W47"/>
    <mergeCell ref="X46:X47"/>
    <mergeCell ref="Y42:Y43"/>
    <mergeCell ref="Z42:Z43"/>
    <mergeCell ref="AA42:AA43"/>
    <mergeCell ref="AB42:AB43"/>
    <mergeCell ref="B44:B45"/>
    <mergeCell ref="E44:E45"/>
    <mergeCell ref="U44:U45"/>
    <mergeCell ref="V44:V45"/>
    <mergeCell ref="W44:W45"/>
    <mergeCell ref="X44:X45"/>
    <mergeCell ref="Y48:Y49"/>
    <mergeCell ref="U42:U43"/>
    <mergeCell ref="V42:V43"/>
    <mergeCell ref="W42:W43"/>
    <mergeCell ref="X42:X43"/>
    <mergeCell ref="Y38:Y39"/>
    <mergeCell ref="Z38:Z39"/>
    <mergeCell ref="AA38:AA39"/>
    <mergeCell ref="AB38:AB39"/>
    <mergeCell ref="B40:B41"/>
    <mergeCell ref="E40:E41"/>
    <mergeCell ref="U40:U41"/>
    <mergeCell ref="V40:V41"/>
    <mergeCell ref="W40:W41"/>
    <mergeCell ref="X40:X41"/>
    <mergeCell ref="Y44:Y45"/>
    <mergeCell ref="Z44:Z45"/>
    <mergeCell ref="AA44:AA45"/>
    <mergeCell ref="AB44:AB45"/>
    <mergeCell ref="Z48:Z49"/>
    <mergeCell ref="AA48:AA49"/>
    <mergeCell ref="AB48:AB49"/>
    <mergeCell ref="Y36:Y37"/>
    <mergeCell ref="Z36:Z37"/>
    <mergeCell ref="AA36:AA37"/>
    <mergeCell ref="AB36:AB37"/>
    <mergeCell ref="B38:B39"/>
    <mergeCell ref="E38:E39"/>
    <mergeCell ref="U38:U39"/>
    <mergeCell ref="V38:V39"/>
    <mergeCell ref="W38:W39"/>
    <mergeCell ref="X38:X39"/>
    <mergeCell ref="K36:O36"/>
    <mergeCell ref="P36:T36"/>
    <mergeCell ref="U36:U37"/>
    <mergeCell ref="V36:V37"/>
    <mergeCell ref="W36:W37"/>
    <mergeCell ref="X36:X37"/>
    <mergeCell ref="A35:A62"/>
    <mergeCell ref="B36:B37"/>
    <mergeCell ref="C36:C37"/>
    <mergeCell ref="D36:D37"/>
    <mergeCell ref="E36:E37"/>
    <mergeCell ref="F36:J36"/>
    <mergeCell ref="B57:D58"/>
    <mergeCell ref="F57:H57"/>
    <mergeCell ref="I57:K57"/>
    <mergeCell ref="B59:B62"/>
    <mergeCell ref="Y40:Y41"/>
    <mergeCell ref="Z40:Z41"/>
    <mergeCell ref="AA40:AA41"/>
    <mergeCell ref="AB40:AB41"/>
    <mergeCell ref="B42:B43"/>
    <mergeCell ref="E42:E43"/>
    <mergeCell ref="R28:T28"/>
    <mergeCell ref="U28:W28"/>
    <mergeCell ref="X28:Z28"/>
    <mergeCell ref="AA28:AB33"/>
    <mergeCell ref="S23:S24"/>
    <mergeCell ref="T23:AB24"/>
    <mergeCell ref="B25:B26"/>
    <mergeCell ref="E25:E26"/>
    <mergeCell ref="O25:O26"/>
    <mergeCell ref="P25:P26"/>
    <mergeCell ref="Q25:Q26"/>
    <mergeCell ref="R25:R26"/>
    <mergeCell ref="S25:S26"/>
    <mergeCell ref="Z19:Z20"/>
    <mergeCell ref="AA19:AA20"/>
    <mergeCell ref="AB19:AB20"/>
    <mergeCell ref="B23:B24"/>
    <mergeCell ref="C23:C24"/>
    <mergeCell ref="D23:D24"/>
    <mergeCell ref="E23:E24"/>
    <mergeCell ref="F23:H23"/>
    <mergeCell ref="I23:K23"/>
    <mergeCell ref="Y19:Y20"/>
    <mergeCell ref="B30:B33"/>
    <mergeCell ref="O23:O24"/>
    <mergeCell ref="P23:P24"/>
    <mergeCell ref="Q23:Q24"/>
    <mergeCell ref="R23:R24"/>
    <mergeCell ref="X17:X18"/>
    <mergeCell ref="Y17:Y18"/>
    <mergeCell ref="Z17:Z18"/>
    <mergeCell ref="AA17:AA18"/>
    <mergeCell ref="AB17:AB18"/>
    <mergeCell ref="B19:B20"/>
    <mergeCell ref="E19:E20"/>
    <mergeCell ref="U19:U20"/>
    <mergeCell ref="V19:V20"/>
    <mergeCell ref="W19:W20"/>
    <mergeCell ref="X15:X16"/>
    <mergeCell ref="Y15:Y16"/>
    <mergeCell ref="Z15:Z16"/>
    <mergeCell ref="AA15:AA16"/>
    <mergeCell ref="AB15:AB16"/>
    <mergeCell ref="B17:B18"/>
    <mergeCell ref="E17:E18"/>
    <mergeCell ref="U17:U18"/>
    <mergeCell ref="V17:V18"/>
    <mergeCell ref="W17:W18"/>
    <mergeCell ref="X19:X20"/>
    <mergeCell ref="X13:X14"/>
    <mergeCell ref="Y13:Y14"/>
    <mergeCell ref="Z13:Z14"/>
    <mergeCell ref="AA13:AA14"/>
    <mergeCell ref="AB13:AB14"/>
    <mergeCell ref="B15:B16"/>
    <mergeCell ref="E15:E16"/>
    <mergeCell ref="U15:U16"/>
    <mergeCell ref="V15:V16"/>
    <mergeCell ref="W15:W16"/>
    <mergeCell ref="X11:X12"/>
    <mergeCell ref="Y11:Y12"/>
    <mergeCell ref="Z11:Z12"/>
    <mergeCell ref="AA11:AA12"/>
    <mergeCell ref="AB11:AB12"/>
    <mergeCell ref="B13:B14"/>
    <mergeCell ref="E13:E14"/>
    <mergeCell ref="U13:U14"/>
    <mergeCell ref="V13:V14"/>
    <mergeCell ref="W13:W14"/>
    <mergeCell ref="X9:X10"/>
    <mergeCell ref="Y9:Y10"/>
    <mergeCell ref="Z9:Z10"/>
    <mergeCell ref="AA9:AA10"/>
    <mergeCell ref="AB9:AB10"/>
    <mergeCell ref="B11:B12"/>
    <mergeCell ref="E11:E12"/>
    <mergeCell ref="U11:U12"/>
    <mergeCell ref="V11:V12"/>
    <mergeCell ref="W11:W12"/>
    <mergeCell ref="X7:X8"/>
    <mergeCell ref="Y7:Y8"/>
    <mergeCell ref="Z7:Z8"/>
    <mergeCell ref="AA7:AA8"/>
    <mergeCell ref="AB7:AB8"/>
    <mergeCell ref="B9:B10"/>
    <mergeCell ref="E9:E10"/>
    <mergeCell ref="U9:U10"/>
    <mergeCell ref="V9:V10"/>
    <mergeCell ref="W9:W10"/>
    <mergeCell ref="K7:O7"/>
    <mergeCell ref="P7:T7"/>
    <mergeCell ref="U7:U8"/>
    <mergeCell ref="V7:V8"/>
    <mergeCell ref="W7:W8"/>
    <mergeCell ref="J2:M2"/>
    <mergeCell ref="A6:A33"/>
    <mergeCell ref="B7:B8"/>
    <mergeCell ref="C7:C8"/>
    <mergeCell ref="D7:D8"/>
    <mergeCell ref="E7:E8"/>
    <mergeCell ref="F7:J7"/>
    <mergeCell ref="B28:D29"/>
    <mergeCell ref="F28:H28"/>
    <mergeCell ref="I28:K28"/>
    <mergeCell ref="A64:A91"/>
    <mergeCell ref="B65:B66"/>
    <mergeCell ref="C65:C66"/>
    <mergeCell ref="D65:D66"/>
    <mergeCell ref="E65:E66"/>
    <mergeCell ref="F65:J65"/>
    <mergeCell ref="B86:D87"/>
    <mergeCell ref="F86:H86"/>
    <mergeCell ref="I86:K86"/>
    <mergeCell ref="B88:B91"/>
    <mergeCell ref="K65:O65"/>
    <mergeCell ref="B75:B76"/>
    <mergeCell ref="E75:E76"/>
    <mergeCell ref="B83:B84"/>
    <mergeCell ref="E83:E84"/>
    <mergeCell ref="O83:O84"/>
    <mergeCell ref="P65:T65"/>
    <mergeCell ref="B69:B70"/>
    <mergeCell ref="E69:E70"/>
    <mergeCell ref="B73:B74"/>
    <mergeCell ref="E73:E74"/>
    <mergeCell ref="S81:S82"/>
    <mergeCell ref="T25:AB26"/>
    <mergeCell ref="L23:N23"/>
    <mergeCell ref="L28:N28"/>
    <mergeCell ref="O28:Q28"/>
    <mergeCell ref="U65:U66"/>
    <mergeCell ref="V65:V66"/>
    <mergeCell ref="W65:W66"/>
    <mergeCell ref="X65:X66"/>
    <mergeCell ref="Y65:Y66"/>
    <mergeCell ref="Z65:Z66"/>
    <mergeCell ref="AA65:AA66"/>
    <mergeCell ref="AB65:AB66"/>
    <mergeCell ref="B67:B68"/>
    <mergeCell ref="E67:E68"/>
    <mergeCell ref="U67:U68"/>
    <mergeCell ref="V67:V68"/>
    <mergeCell ref="W67:W68"/>
    <mergeCell ref="X67:X68"/>
    <mergeCell ref="Y67:Y68"/>
    <mergeCell ref="Z67:Z68"/>
    <mergeCell ref="AA67:AA68"/>
    <mergeCell ref="AB67:AB68"/>
    <mergeCell ref="U69:U70"/>
    <mergeCell ref="V69:V70"/>
    <mergeCell ref="W69:W70"/>
    <mergeCell ref="X69:X70"/>
    <mergeCell ref="Y69:Y70"/>
    <mergeCell ref="Z69:Z70"/>
    <mergeCell ref="AA69:AA70"/>
    <mergeCell ref="AB69:AB70"/>
    <mergeCell ref="B71:B72"/>
    <mergeCell ref="E71:E72"/>
    <mergeCell ref="U71:U72"/>
    <mergeCell ref="V71:V72"/>
    <mergeCell ref="W71:W72"/>
    <mergeCell ref="X71:X72"/>
    <mergeCell ref="Y71:Y72"/>
    <mergeCell ref="Z71:Z72"/>
    <mergeCell ref="AA71:AA72"/>
    <mergeCell ref="AB71:AB72"/>
    <mergeCell ref="U73:U74"/>
    <mergeCell ref="V73:V74"/>
    <mergeCell ref="W73:W74"/>
    <mergeCell ref="X73:X74"/>
    <mergeCell ref="Y73:Y74"/>
    <mergeCell ref="Z73:Z74"/>
    <mergeCell ref="AA73:AA74"/>
    <mergeCell ref="AB73:AB74"/>
    <mergeCell ref="U75:U76"/>
    <mergeCell ref="V75:V76"/>
    <mergeCell ref="W75:W76"/>
    <mergeCell ref="X75:X76"/>
    <mergeCell ref="O81:O82"/>
    <mergeCell ref="Y75:Y76"/>
    <mergeCell ref="Z75:Z76"/>
    <mergeCell ref="AA75:AA76"/>
    <mergeCell ref="AB75:AB76"/>
    <mergeCell ref="B77:B78"/>
    <mergeCell ref="E77:E78"/>
    <mergeCell ref="U77:U78"/>
    <mergeCell ref="V77:V78"/>
    <mergeCell ref="W77:W78"/>
    <mergeCell ref="B81:B82"/>
    <mergeCell ref="C81:C82"/>
    <mergeCell ref="D81:D82"/>
    <mergeCell ref="E81:E82"/>
    <mergeCell ref="F81:H81"/>
    <mergeCell ref="I81:K81"/>
    <mergeCell ref="Q81:Q82"/>
    <mergeCell ref="R81:R82"/>
    <mergeCell ref="Y77:Y78"/>
    <mergeCell ref="T81:AB82"/>
    <mergeCell ref="Z77:Z78"/>
    <mergeCell ref="AA77:AA78"/>
    <mergeCell ref="AB77:AB78"/>
    <mergeCell ref="X77:X78"/>
    <mergeCell ref="P83:P84"/>
    <mergeCell ref="Q83:Q84"/>
    <mergeCell ref="R83:R84"/>
    <mergeCell ref="S83:S84"/>
    <mergeCell ref="T83:AB84"/>
    <mergeCell ref="L81:N81"/>
    <mergeCell ref="L86:N86"/>
    <mergeCell ref="O86:Q86"/>
    <mergeCell ref="R86:T86"/>
    <mergeCell ref="U86:W86"/>
    <mergeCell ref="X86:Z86"/>
    <mergeCell ref="AA86:AB91"/>
    <mergeCell ref="P81:P82"/>
    <mergeCell ref="A383:A410"/>
    <mergeCell ref="B384:B385"/>
    <mergeCell ref="C384:C385"/>
    <mergeCell ref="D384:D385"/>
    <mergeCell ref="E384:E385"/>
    <mergeCell ref="F384:J384"/>
    <mergeCell ref="B405:D406"/>
    <mergeCell ref="F405:H405"/>
    <mergeCell ref="I405:K405"/>
    <mergeCell ref="B407:B410"/>
    <mergeCell ref="K384:O384"/>
    <mergeCell ref="P384:T384"/>
    <mergeCell ref="U384:U385"/>
    <mergeCell ref="V384:V385"/>
    <mergeCell ref="W384:W385"/>
    <mergeCell ref="X384:X385"/>
    <mergeCell ref="Y384:Y385"/>
    <mergeCell ref="B390:B391"/>
    <mergeCell ref="E390:E391"/>
    <mergeCell ref="Z384:Z385"/>
    <mergeCell ref="AA384:AA385"/>
    <mergeCell ref="AB384:AB385"/>
    <mergeCell ref="B386:B387"/>
    <mergeCell ref="E386:E387"/>
    <mergeCell ref="U386:U387"/>
    <mergeCell ref="V386:V387"/>
    <mergeCell ref="W386:W387"/>
    <mergeCell ref="X386:X387"/>
    <mergeCell ref="Y386:Y387"/>
    <mergeCell ref="Z386:Z387"/>
    <mergeCell ref="AA386:AA387"/>
    <mergeCell ref="AB386:AB387"/>
    <mergeCell ref="B388:B389"/>
    <mergeCell ref="E388:E389"/>
    <mergeCell ref="U388:U389"/>
    <mergeCell ref="V388:V389"/>
    <mergeCell ref="W388:W389"/>
    <mergeCell ref="X388:X389"/>
    <mergeCell ref="Y388:Y389"/>
    <mergeCell ref="Z388:Z389"/>
    <mergeCell ref="AA388:AA389"/>
    <mergeCell ref="AB388:AB389"/>
    <mergeCell ref="Z390:Z391"/>
    <mergeCell ref="AA390:AA391"/>
    <mergeCell ref="AB390:AB391"/>
    <mergeCell ref="B392:B393"/>
    <mergeCell ref="E392:E393"/>
    <mergeCell ref="U392:U393"/>
    <mergeCell ref="V392:V393"/>
    <mergeCell ref="W392:W393"/>
    <mergeCell ref="X392:X393"/>
    <mergeCell ref="Y392:Y393"/>
    <mergeCell ref="Z392:Z393"/>
    <mergeCell ref="AA392:AA393"/>
    <mergeCell ref="AB392:AB393"/>
    <mergeCell ref="U390:U391"/>
    <mergeCell ref="V390:V391"/>
    <mergeCell ref="W390:W391"/>
    <mergeCell ref="X390:X391"/>
    <mergeCell ref="Y390:Y391"/>
    <mergeCell ref="B394:B395"/>
    <mergeCell ref="E394:E395"/>
    <mergeCell ref="U394:U395"/>
    <mergeCell ref="V394:V395"/>
    <mergeCell ref="W394:W395"/>
    <mergeCell ref="X394:X395"/>
    <mergeCell ref="Y394:Y395"/>
    <mergeCell ref="Z394:Z395"/>
    <mergeCell ref="AA394:AA395"/>
    <mergeCell ref="AB394:AB395"/>
    <mergeCell ref="D400:D401"/>
    <mergeCell ref="E400:E401"/>
    <mergeCell ref="F400:H400"/>
    <mergeCell ref="I400:K400"/>
    <mergeCell ref="Q400:Q401"/>
    <mergeCell ref="R400:R401"/>
    <mergeCell ref="S400:S401"/>
    <mergeCell ref="Y396:Y397"/>
    <mergeCell ref="T400:AB401"/>
    <mergeCell ref="Z396:Z397"/>
    <mergeCell ref="AA396:AA397"/>
    <mergeCell ref="AB396:AB397"/>
    <mergeCell ref="X396:X397"/>
    <mergeCell ref="O400:O401"/>
    <mergeCell ref="B396:B397"/>
    <mergeCell ref="E396:E397"/>
    <mergeCell ref="U396:U397"/>
    <mergeCell ref="V396:V397"/>
    <mergeCell ref="W396:W397"/>
    <mergeCell ref="B400:B401"/>
    <mergeCell ref="C400:C401"/>
    <mergeCell ref="B402:B403"/>
    <mergeCell ref="E402:E403"/>
    <mergeCell ref="O402:O403"/>
    <mergeCell ref="P402:P403"/>
    <mergeCell ref="Q402:Q403"/>
    <mergeCell ref="R402:R403"/>
    <mergeCell ref="S402:S403"/>
    <mergeCell ref="T402:AB403"/>
    <mergeCell ref="L400:N400"/>
    <mergeCell ref="L405:N405"/>
    <mergeCell ref="O405:Q405"/>
    <mergeCell ref="R405:T405"/>
    <mergeCell ref="U405:W405"/>
    <mergeCell ref="X405:Z405"/>
    <mergeCell ref="AA405:AB410"/>
    <mergeCell ref="P400:P401"/>
    <mergeCell ref="A441:A468"/>
    <mergeCell ref="B442:B443"/>
    <mergeCell ref="C442:C443"/>
    <mergeCell ref="D442:D443"/>
    <mergeCell ref="E442:E443"/>
    <mergeCell ref="F442:J442"/>
    <mergeCell ref="B463:D464"/>
    <mergeCell ref="F463:H463"/>
    <mergeCell ref="I463:K463"/>
    <mergeCell ref="B465:B468"/>
    <mergeCell ref="K442:O442"/>
    <mergeCell ref="P442:T442"/>
    <mergeCell ref="U442:U443"/>
    <mergeCell ref="V442:V443"/>
    <mergeCell ref="W442:W443"/>
    <mergeCell ref="X442:X443"/>
    <mergeCell ref="Y442:Y443"/>
    <mergeCell ref="Z442:Z443"/>
    <mergeCell ref="AA442:AA443"/>
    <mergeCell ref="AB442:AB443"/>
    <mergeCell ref="B444:B445"/>
    <mergeCell ref="E444:E445"/>
    <mergeCell ref="U444:U445"/>
    <mergeCell ref="V444:V445"/>
    <mergeCell ref="W444:W445"/>
    <mergeCell ref="X444:X445"/>
    <mergeCell ref="Y444:Y445"/>
    <mergeCell ref="Z444:Z445"/>
    <mergeCell ref="AA444:AA445"/>
    <mergeCell ref="AB444:AB445"/>
    <mergeCell ref="B446:B447"/>
    <mergeCell ref="E446:E447"/>
    <mergeCell ref="U446:U447"/>
    <mergeCell ref="V446:V447"/>
    <mergeCell ref="W446:W447"/>
    <mergeCell ref="X446:X447"/>
    <mergeCell ref="Y446:Y447"/>
    <mergeCell ref="Z446:Z447"/>
    <mergeCell ref="AA446:AA447"/>
    <mergeCell ref="AB446:AB447"/>
    <mergeCell ref="B448:B449"/>
    <mergeCell ref="E448:E449"/>
    <mergeCell ref="U448:U449"/>
    <mergeCell ref="V448:V449"/>
    <mergeCell ref="W448:W449"/>
    <mergeCell ref="X448:X449"/>
    <mergeCell ref="Y448:Y449"/>
    <mergeCell ref="Z448:Z449"/>
    <mergeCell ref="AA448:AA449"/>
    <mergeCell ref="AB448:AB449"/>
    <mergeCell ref="B450:B451"/>
    <mergeCell ref="E450:E451"/>
    <mergeCell ref="U450:U451"/>
    <mergeCell ref="V450:V451"/>
    <mergeCell ref="W450:W451"/>
    <mergeCell ref="X450:X451"/>
    <mergeCell ref="Y450:Y451"/>
    <mergeCell ref="Z450:Z451"/>
    <mergeCell ref="AA450:AA451"/>
    <mergeCell ref="AB450:AB451"/>
    <mergeCell ref="B452:B453"/>
    <mergeCell ref="E452:E453"/>
    <mergeCell ref="U452:U453"/>
    <mergeCell ref="V452:V453"/>
    <mergeCell ref="W452:W453"/>
    <mergeCell ref="X452:X453"/>
    <mergeCell ref="O458:O459"/>
    <mergeCell ref="Y452:Y453"/>
    <mergeCell ref="Z452:Z453"/>
    <mergeCell ref="AA452:AA453"/>
    <mergeCell ref="AB452:AB453"/>
    <mergeCell ref="B454:B455"/>
    <mergeCell ref="E454:E455"/>
    <mergeCell ref="U454:U455"/>
    <mergeCell ref="V454:V455"/>
    <mergeCell ref="W454:W455"/>
    <mergeCell ref="B458:B459"/>
    <mergeCell ref="C458:C459"/>
    <mergeCell ref="D458:D459"/>
    <mergeCell ref="E458:E459"/>
    <mergeCell ref="F458:H458"/>
    <mergeCell ref="I458:K458"/>
    <mergeCell ref="Q458:Q459"/>
    <mergeCell ref="R458:R459"/>
    <mergeCell ref="S458:S459"/>
    <mergeCell ref="Y454:Y455"/>
    <mergeCell ref="T458:AB459"/>
    <mergeCell ref="Z454:Z455"/>
    <mergeCell ref="AA454:AA455"/>
    <mergeCell ref="AB454:AB455"/>
    <mergeCell ref="X454:X455"/>
    <mergeCell ref="B460:B461"/>
    <mergeCell ref="E460:E461"/>
    <mergeCell ref="O460:O461"/>
    <mergeCell ref="P460:P461"/>
    <mergeCell ref="Q460:Q461"/>
    <mergeCell ref="R460:R461"/>
    <mergeCell ref="S460:S461"/>
    <mergeCell ref="T460:AB461"/>
    <mergeCell ref="L458:N458"/>
    <mergeCell ref="L463:N463"/>
    <mergeCell ref="O463:Q463"/>
    <mergeCell ref="R463:T463"/>
    <mergeCell ref="U463:W463"/>
    <mergeCell ref="X463:Z463"/>
    <mergeCell ref="AA463:AB468"/>
    <mergeCell ref="P458:P459"/>
    <mergeCell ref="A470:A497"/>
    <mergeCell ref="B471:B472"/>
    <mergeCell ref="C471:C472"/>
    <mergeCell ref="D471:D472"/>
    <mergeCell ref="E471:E472"/>
    <mergeCell ref="F471:J471"/>
    <mergeCell ref="B492:D493"/>
    <mergeCell ref="F492:H492"/>
    <mergeCell ref="I492:K492"/>
    <mergeCell ref="B494:B497"/>
    <mergeCell ref="K471:O471"/>
    <mergeCell ref="P471:T471"/>
    <mergeCell ref="U471:U472"/>
    <mergeCell ref="V471:V472"/>
    <mergeCell ref="W471:W472"/>
    <mergeCell ref="X471:X472"/>
    <mergeCell ref="Y471:Y472"/>
    <mergeCell ref="Z471:Z472"/>
    <mergeCell ref="AA471:AA472"/>
    <mergeCell ref="AB471:AB472"/>
    <mergeCell ref="B473:B474"/>
    <mergeCell ref="E473:E474"/>
    <mergeCell ref="U473:U474"/>
    <mergeCell ref="V473:V474"/>
    <mergeCell ref="W473:W474"/>
    <mergeCell ref="X473:X474"/>
    <mergeCell ref="Y473:Y474"/>
    <mergeCell ref="Z473:Z474"/>
    <mergeCell ref="AA473:AA474"/>
    <mergeCell ref="AB473:AB474"/>
    <mergeCell ref="B475:B476"/>
    <mergeCell ref="E475:E476"/>
    <mergeCell ref="U475:U476"/>
    <mergeCell ref="V475:V476"/>
    <mergeCell ref="W475:W476"/>
    <mergeCell ref="X475:X476"/>
    <mergeCell ref="Y475:Y476"/>
    <mergeCell ref="Z475:Z476"/>
    <mergeCell ref="AA475:AA476"/>
    <mergeCell ref="AB475:AB476"/>
    <mergeCell ref="B477:B478"/>
    <mergeCell ref="E477:E478"/>
    <mergeCell ref="U477:U478"/>
    <mergeCell ref="V477:V478"/>
    <mergeCell ref="W477:W478"/>
    <mergeCell ref="X477:X478"/>
    <mergeCell ref="Y477:Y478"/>
    <mergeCell ref="Z477:Z478"/>
    <mergeCell ref="AA477:AA478"/>
    <mergeCell ref="AB477:AB478"/>
    <mergeCell ref="B479:B480"/>
    <mergeCell ref="E479:E480"/>
    <mergeCell ref="U479:U480"/>
    <mergeCell ref="V479:V480"/>
    <mergeCell ref="W479:W480"/>
    <mergeCell ref="X479:X480"/>
    <mergeCell ref="Y479:Y480"/>
    <mergeCell ref="Z479:Z480"/>
    <mergeCell ref="AA479:AA480"/>
    <mergeCell ref="AB479:AB480"/>
    <mergeCell ref="B481:B482"/>
    <mergeCell ref="E481:E482"/>
    <mergeCell ref="U481:U482"/>
    <mergeCell ref="V481:V482"/>
    <mergeCell ref="W481:W482"/>
    <mergeCell ref="X481:X482"/>
    <mergeCell ref="O487:O488"/>
    <mergeCell ref="Y481:Y482"/>
    <mergeCell ref="Z481:Z482"/>
    <mergeCell ref="AA481:AA482"/>
    <mergeCell ref="AB481:AB482"/>
    <mergeCell ref="B483:B484"/>
    <mergeCell ref="E483:E484"/>
    <mergeCell ref="U483:U484"/>
    <mergeCell ref="V483:V484"/>
    <mergeCell ref="W483:W484"/>
    <mergeCell ref="B487:B488"/>
    <mergeCell ref="C487:C488"/>
    <mergeCell ref="D487:D488"/>
    <mergeCell ref="E487:E488"/>
    <mergeCell ref="F487:H487"/>
    <mergeCell ref="I487:K487"/>
    <mergeCell ref="Q487:Q488"/>
    <mergeCell ref="R487:R488"/>
    <mergeCell ref="S487:S488"/>
    <mergeCell ref="Y483:Y484"/>
    <mergeCell ref="T487:AB488"/>
    <mergeCell ref="Z483:Z484"/>
    <mergeCell ref="AA483:AA484"/>
    <mergeCell ref="AB483:AB484"/>
    <mergeCell ref="X483:X484"/>
    <mergeCell ref="B489:B490"/>
    <mergeCell ref="E489:E490"/>
    <mergeCell ref="O489:O490"/>
    <mergeCell ref="P489:P490"/>
    <mergeCell ref="Q489:Q490"/>
    <mergeCell ref="R489:R490"/>
    <mergeCell ref="S489:S490"/>
    <mergeCell ref="T489:AB490"/>
    <mergeCell ref="L487:N487"/>
    <mergeCell ref="L492:N492"/>
    <mergeCell ref="O492:Q492"/>
    <mergeCell ref="R492:T492"/>
    <mergeCell ref="U492:W492"/>
    <mergeCell ref="X492:Z492"/>
    <mergeCell ref="AA492:AB497"/>
    <mergeCell ref="P487:P488"/>
    <mergeCell ref="A499:A526"/>
    <mergeCell ref="B500:B501"/>
    <mergeCell ref="C500:C501"/>
    <mergeCell ref="D500:D501"/>
    <mergeCell ref="E500:E501"/>
    <mergeCell ref="F500:J500"/>
    <mergeCell ref="B521:D522"/>
    <mergeCell ref="F521:H521"/>
    <mergeCell ref="I521:K521"/>
    <mergeCell ref="B523:B526"/>
    <mergeCell ref="K500:O500"/>
    <mergeCell ref="P500:T500"/>
    <mergeCell ref="U500:U501"/>
    <mergeCell ref="V500:V501"/>
    <mergeCell ref="W500:W501"/>
    <mergeCell ref="X500:X501"/>
    <mergeCell ref="Y500:Y501"/>
    <mergeCell ref="Z500:Z501"/>
    <mergeCell ref="AA500:AA501"/>
    <mergeCell ref="AB500:AB501"/>
    <mergeCell ref="B502:B503"/>
    <mergeCell ref="E502:E503"/>
    <mergeCell ref="U502:U503"/>
    <mergeCell ref="V502:V503"/>
    <mergeCell ref="W502:W503"/>
    <mergeCell ref="X502:X503"/>
    <mergeCell ref="Y502:Y503"/>
    <mergeCell ref="Z502:Z503"/>
    <mergeCell ref="AA502:AA503"/>
    <mergeCell ref="AB502:AB503"/>
    <mergeCell ref="B504:B505"/>
    <mergeCell ref="E504:E505"/>
    <mergeCell ref="U504:U505"/>
    <mergeCell ref="V504:V505"/>
    <mergeCell ref="W504:W505"/>
    <mergeCell ref="X504:X505"/>
    <mergeCell ref="Y504:Y505"/>
    <mergeCell ref="Z504:Z505"/>
    <mergeCell ref="AA504:AA505"/>
    <mergeCell ref="AB504:AB505"/>
    <mergeCell ref="B506:B507"/>
    <mergeCell ref="E506:E507"/>
    <mergeCell ref="U506:U507"/>
    <mergeCell ref="V506:V507"/>
    <mergeCell ref="W506:W507"/>
    <mergeCell ref="X506:X507"/>
    <mergeCell ref="Y506:Y507"/>
    <mergeCell ref="Z506:Z507"/>
    <mergeCell ref="AA506:AA507"/>
    <mergeCell ref="AB506:AB507"/>
    <mergeCell ref="B508:B509"/>
    <mergeCell ref="E508:E509"/>
    <mergeCell ref="U508:U509"/>
    <mergeCell ref="V508:V509"/>
    <mergeCell ref="W508:W509"/>
    <mergeCell ref="X508:X509"/>
    <mergeCell ref="Y508:Y509"/>
    <mergeCell ref="Z508:Z509"/>
    <mergeCell ref="AA508:AA509"/>
    <mergeCell ref="AB508:AB509"/>
    <mergeCell ref="B510:B511"/>
    <mergeCell ref="E510:E511"/>
    <mergeCell ref="U510:U511"/>
    <mergeCell ref="V510:V511"/>
    <mergeCell ref="W510:W511"/>
    <mergeCell ref="X510:X511"/>
    <mergeCell ref="O516:O517"/>
    <mergeCell ref="Y510:Y511"/>
    <mergeCell ref="Z510:Z511"/>
    <mergeCell ref="AA510:AA511"/>
    <mergeCell ref="AB510:AB511"/>
    <mergeCell ref="B512:B513"/>
    <mergeCell ref="E512:E513"/>
    <mergeCell ref="U512:U513"/>
    <mergeCell ref="V512:V513"/>
    <mergeCell ref="W512:W513"/>
    <mergeCell ref="B516:B517"/>
    <mergeCell ref="C516:C517"/>
    <mergeCell ref="D516:D517"/>
    <mergeCell ref="E516:E517"/>
    <mergeCell ref="F516:H516"/>
    <mergeCell ref="I516:K516"/>
    <mergeCell ref="Q516:Q517"/>
    <mergeCell ref="R516:R517"/>
    <mergeCell ref="S516:S517"/>
    <mergeCell ref="Y512:Y513"/>
    <mergeCell ref="T516:AB517"/>
    <mergeCell ref="Z512:Z513"/>
    <mergeCell ref="AA512:AA513"/>
    <mergeCell ref="AB512:AB513"/>
    <mergeCell ref="X512:X513"/>
    <mergeCell ref="B518:B519"/>
    <mergeCell ref="E518:E519"/>
    <mergeCell ref="O518:O519"/>
    <mergeCell ref="P518:P519"/>
    <mergeCell ref="Q518:Q519"/>
    <mergeCell ref="R518:R519"/>
    <mergeCell ref="S518:S519"/>
    <mergeCell ref="T518:AB519"/>
    <mergeCell ref="L516:N516"/>
    <mergeCell ref="L521:N521"/>
    <mergeCell ref="O521:Q521"/>
    <mergeCell ref="R521:T521"/>
    <mergeCell ref="U521:W521"/>
    <mergeCell ref="X521:Z521"/>
    <mergeCell ref="AA521:AB526"/>
    <mergeCell ref="P516:P517"/>
    <mergeCell ref="A528:A555"/>
    <mergeCell ref="B529:B530"/>
    <mergeCell ref="C529:C530"/>
    <mergeCell ref="D529:D530"/>
    <mergeCell ref="E529:E530"/>
    <mergeCell ref="F529:J529"/>
    <mergeCell ref="B550:D551"/>
    <mergeCell ref="F550:H550"/>
    <mergeCell ref="I550:K550"/>
    <mergeCell ref="B552:B555"/>
    <mergeCell ref="K529:O529"/>
    <mergeCell ref="P529:T529"/>
    <mergeCell ref="U529:U530"/>
    <mergeCell ref="V529:V530"/>
    <mergeCell ref="W529:W530"/>
    <mergeCell ref="X529:X530"/>
    <mergeCell ref="Y529:Y530"/>
    <mergeCell ref="Z529:Z530"/>
    <mergeCell ref="AA529:AA530"/>
    <mergeCell ref="AB529:AB530"/>
    <mergeCell ref="B531:B532"/>
    <mergeCell ref="E531:E532"/>
    <mergeCell ref="U531:U532"/>
    <mergeCell ref="V531:V532"/>
    <mergeCell ref="W531:W532"/>
    <mergeCell ref="X531:X532"/>
    <mergeCell ref="Y531:Y532"/>
    <mergeCell ref="Z531:Z532"/>
    <mergeCell ref="AA531:AA532"/>
    <mergeCell ref="AB531:AB532"/>
    <mergeCell ref="B533:B534"/>
    <mergeCell ref="E533:E534"/>
    <mergeCell ref="U533:U534"/>
    <mergeCell ref="V533:V534"/>
    <mergeCell ref="W533:W534"/>
    <mergeCell ref="X533:X534"/>
    <mergeCell ref="Y533:Y534"/>
    <mergeCell ref="Z533:Z534"/>
    <mergeCell ref="AA533:AA534"/>
    <mergeCell ref="AB533:AB534"/>
    <mergeCell ref="B535:B536"/>
    <mergeCell ref="E535:E536"/>
    <mergeCell ref="U535:U536"/>
    <mergeCell ref="V535:V536"/>
    <mergeCell ref="W535:W536"/>
    <mergeCell ref="X535:X536"/>
    <mergeCell ref="Y535:Y536"/>
    <mergeCell ref="Z535:Z536"/>
    <mergeCell ref="AA535:AA536"/>
    <mergeCell ref="AB535:AB536"/>
    <mergeCell ref="B537:B538"/>
    <mergeCell ref="E537:E538"/>
    <mergeCell ref="U537:U538"/>
    <mergeCell ref="V537:V538"/>
    <mergeCell ref="W537:W538"/>
    <mergeCell ref="X537:X538"/>
    <mergeCell ref="Y537:Y538"/>
    <mergeCell ref="Z537:Z538"/>
    <mergeCell ref="AA537:AA538"/>
    <mergeCell ref="AB537:AB538"/>
    <mergeCell ref="B539:B540"/>
    <mergeCell ref="E539:E540"/>
    <mergeCell ref="U539:U540"/>
    <mergeCell ref="V539:V540"/>
    <mergeCell ref="W539:W540"/>
    <mergeCell ref="X539:X540"/>
    <mergeCell ref="O545:O546"/>
    <mergeCell ref="Y539:Y540"/>
    <mergeCell ref="Z539:Z540"/>
    <mergeCell ref="AA539:AA540"/>
    <mergeCell ref="AB539:AB540"/>
    <mergeCell ref="B541:B542"/>
    <mergeCell ref="E541:E542"/>
    <mergeCell ref="U541:U542"/>
    <mergeCell ref="V541:V542"/>
    <mergeCell ref="W541:W542"/>
    <mergeCell ref="B545:B546"/>
    <mergeCell ref="C545:C546"/>
    <mergeCell ref="D545:D546"/>
    <mergeCell ref="E545:E546"/>
    <mergeCell ref="F545:H545"/>
    <mergeCell ref="I545:K545"/>
    <mergeCell ref="Q545:Q546"/>
    <mergeCell ref="R545:R546"/>
    <mergeCell ref="S545:S546"/>
    <mergeCell ref="Y541:Y542"/>
    <mergeCell ref="T545:AB546"/>
    <mergeCell ref="Z541:Z542"/>
    <mergeCell ref="AA541:AA542"/>
    <mergeCell ref="AB541:AB542"/>
    <mergeCell ref="X541:X542"/>
    <mergeCell ref="B547:B548"/>
    <mergeCell ref="E547:E548"/>
    <mergeCell ref="O547:O548"/>
    <mergeCell ref="P547:P548"/>
    <mergeCell ref="Q547:Q548"/>
    <mergeCell ref="R547:R548"/>
    <mergeCell ref="S547:S548"/>
    <mergeCell ref="T547:AB548"/>
    <mergeCell ref="L545:N545"/>
    <mergeCell ref="L550:N550"/>
    <mergeCell ref="O550:Q550"/>
    <mergeCell ref="R550:T550"/>
    <mergeCell ref="U550:W550"/>
    <mergeCell ref="X550:Z550"/>
    <mergeCell ref="AA550:AB555"/>
    <mergeCell ref="P545:P546"/>
    <mergeCell ref="A557:A584"/>
    <mergeCell ref="B558:B559"/>
    <mergeCell ref="C558:C559"/>
    <mergeCell ref="D558:D559"/>
    <mergeCell ref="E558:E559"/>
    <mergeCell ref="F558:J558"/>
    <mergeCell ref="B579:D580"/>
    <mergeCell ref="F579:H579"/>
    <mergeCell ref="I579:K579"/>
    <mergeCell ref="B581:B584"/>
    <mergeCell ref="K558:O558"/>
    <mergeCell ref="P558:T558"/>
    <mergeCell ref="U558:U559"/>
    <mergeCell ref="V558:V559"/>
    <mergeCell ref="W558:W559"/>
    <mergeCell ref="X558:X559"/>
    <mergeCell ref="Y558:Y559"/>
    <mergeCell ref="Z558:Z559"/>
    <mergeCell ref="AA558:AA559"/>
    <mergeCell ref="AB558:AB559"/>
    <mergeCell ref="B560:B561"/>
    <mergeCell ref="E560:E561"/>
    <mergeCell ref="U560:U561"/>
    <mergeCell ref="V560:V561"/>
    <mergeCell ref="W560:W561"/>
    <mergeCell ref="X560:X561"/>
    <mergeCell ref="Y560:Y561"/>
    <mergeCell ref="Z560:Z561"/>
    <mergeCell ref="AA560:AA561"/>
    <mergeCell ref="AB560:AB561"/>
    <mergeCell ref="B562:B563"/>
    <mergeCell ref="E562:E563"/>
    <mergeCell ref="U562:U563"/>
    <mergeCell ref="V562:V563"/>
    <mergeCell ref="W562:W563"/>
    <mergeCell ref="X562:X563"/>
    <mergeCell ref="Y562:Y563"/>
    <mergeCell ref="Z562:Z563"/>
    <mergeCell ref="AA562:AA563"/>
    <mergeCell ref="AB562:AB563"/>
    <mergeCell ref="B564:B565"/>
    <mergeCell ref="E564:E565"/>
    <mergeCell ref="U564:U565"/>
    <mergeCell ref="V564:V565"/>
    <mergeCell ref="W564:W565"/>
    <mergeCell ref="X564:X565"/>
    <mergeCell ref="Y564:Y565"/>
    <mergeCell ref="Z564:Z565"/>
    <mergeCell ref="AA564:AA565"/>
    <mergeCell ref="AB564:AB565"/>
    <mergeCell ref="B566:B567"/>
    <mergeCell ref="E566:E567"/>
    <mergeCell ref="U566:U567"/>
    <mergeCell ref="V566:V567"/>
    <mergeCell ref="W566:W567"/>
    <mergeCell ref="X566:X567"/>
    <mergeCell ref="Y566:Y567"/>
    <mergeCell ref="Z566:Z567"/>
    <mergeCell ref="AA566:AA567"/>
    <mergeCell ref="AB566:AB567"/>
    <mergeCell ref="B568:B569"/>
    <mergeCell ref="E568:E569"/>
    <mergeCell ref="U568:U569"/>
    <mergeCell ref="V568:V569"/>
    <mergeCell ref="W568:W569"/>
    <mergeCell ref="X568:X569"/>
    <mergeCell ref="O574:O575"/>
    <mergeCell ref="Y568:Y569"/>
    <mergeCell ref="Z568:Z569"/>
    <mergeCell ref="AA568:AA569"/>
    <mergeCell ref="AB568:AB569"/>
    <mergeCell ref="B570:B571"/>
    <mergeCell ref="E570:E571"/>
    <mergeCell ref="U570:U571"/>
    <mergeCell ref="V570:V571"/>
    <mergeCell ref="W570:W571"/>
    <mergeCell ref="B574:B575"/>
    <mergeCell ref="C574:C575"/>
    <mergeCell ref="D574:D575"/>
    <mergeCell ref="E574:E575"/>
    <mergeCell ref="F574:H574"/>
    <mergeCell ref="I574:K574"/>
    <mergeCell ref="Q574:Q575"/>
    <mergeCell ref="R574:R575"/>
    <mergeCell ref="S574:S575"/>
    <mergeCell ref="Y570:Y571"/>
    <mergeCell ref="T574:AB575"/>
    <mergeCell ref="Z570:Z571"/>
    <mergeCell ref="AA570:AA571"/>
    <mergeCell ref="AB570:AB571"/>
    <mergeCell ref="X570:X571"/>
    <mergeCell ref="B576:B577"/>
    <mergeCell ref="E576:E577"/>
    <mergeCell ref="O576:O577"/>
    <mergeCell ref="P576:P577"/>
    <mergeCell ref="Q576:Q577"/>
    <mergeCell ref="R576:R577"/>
    <mergeCell ref="S576:S577"/>
    <mergeCell ref="T576:AB577"/>
    <mergeCell ref="L574:N574"/>
    <mergeCell ref="L579:N579"/>
    <mergeCell ref="O579:Q579"/>
    <mergeCell ref="R579:T579"/>
    <mergeCell ref="U579:W579"/>
    <mergeCell ref="X579:Z579"/>
    <mergeCell ref="AA579:AB584"/>
    <mergeCell ref="P574:P575"/>
    <mergeCell ref="A615:A642"/>
    <mergeCell ref="B616:B617"/>
    <mergeCell ref="C616:C617"/>
    <mergeCell ref="D616:D617"/>
    <mergeCell ref="E616:E617"/>
    <mergeCell ref="F616:J616"/>
    <mergeCell ref="B637:D638"/>
    <mergeCell ref="F637:H637"/>
    <mergeCell ref="I637:K637"/>
    <mergeCell ref="B639:B642"/>
    <mergeCell ref="K616:O616"/>
    <mergeCell ref="P616:T616"/>
    <mergeCell ref="U616:U617"/>
    <mergeCell ref="V616:V617"/>
    <mergeCell ref="W616:W617"/>
    <mergeCell ref="X616:X617"/>
    <mergeCell ref="W626:W627"/>
    <mergeCell ref="X626:X627"/>
    <mergeCell ref="Y626:Y627"/>
    <mergeCell ref="Y616:Y617"/>
    <mergeCell ref="Z616:Z617"/>
    <mergeCell ref="AA616:AA617"/>
    <mergeCell ref="AB616:AB617"/>
    <mergeCell ref="B618:B619"/>
    <mergeCell ref="E618:E619"/>
    <mergeCell ref="U618:U619"/>
    <mergeCell ref="V618:V619"/>
    <mergeCell ref="W618:W619"/>
    <mergeCell ref="X618:X619"/>
    <mergeCell ref="Y618:Y619"/>
    <mergeCell ref="Z618:Z619"/>
    <mergeCell ref="AA618:AA619"/>
    <mergeCell ref="AB618:AB619"/>
    <mergeCell ref="B620:B621"/>
    <mergeCell ref="E620:E621"/>
    <mergeCell ref="U620:U621"/>
    <mergeCell ref="V620:V621"/>
    <mergeCell ref="W620:W621"/>
    <mergeCell ref="X620:X621"/>
    <mergeCell ref="Y620:Y621"/>
    <mergeCell ref="Z620:Z621"/>
    <mergeCell ref="AA620:AA621"/>
    <mergeCell ref="AB620:AB621"/>
    <mergeCell ref="D632:D633"/>
    <mergeCell ref="E632:E633"/>
    <mergeCell ref="F632:H632"/>
    <mergeCell ref="B622:B623"/>
    <mergeCell ref="E622:E623"/>
    <mergeCell ref="U622:U623"/>
    <mergeCell ref="V622:V623"/>
    <mergeCell ref="W622:W623"/>
    <mergeCell ref="X622:X623"/>
    <mergeCell ref="Y622:Y623"/>
    <mergeCell ref="Z622:Z623"/>
    <mergeCell ref="AA622:AA623"/>
    <mergeCell ref="AB622:AB623"/>
    <mergeCell ref="Q632:Q633"/>
    <mergeCell ref="R632:R633"/>
    <mergeCell ref="S632:S633"/>
    <mergeCell ref="Y628:Y629"/>
    <mergeCell ref="T632:AB633"/>
    <mergeCell ref="B624:B625"/>
    <mergeCell ref="E624:E625"/>
    <mergeCell ref="U624:U625"/>
    <mergeCell ref="V624:V625"/>
    <mergeCell ref="W624:W625"/>
    <mergeCell ref="X624:X625"/>
    <mergeCell ref="Y624:Y625"/>
    <mergeCell ref="Z624:Z625"/>
    <mergeCell ref="AA624:AA625"/>
    <mergeCell ref="AB624:AB625"/>
    <mergeCell ref="B626:B627"/>
    <mergeCell ref="E626:E627"/>
    <mergeCell ref="U626:U627"/>
    <mergeCell ref="V626:V627"/>
    <mergeCell ref="I632:K632"/>
    <mergeCell ref="O632:O633"/>
    <mergeCell ref="P632:P633"/>
    <mergeCell ref="Z626:Z627"/>
    <mergeCell ref="AA626:AA627"/>
    <mergeCell ref="AB626:AB627"/>
    <mergeCell ref="B634:B635"/>
    <mergeCell ref="E634:E635"/>
    <mergeCell ref="O634:O635"/>
    <mergeCell ref="P634:P635"/>
    <mergeCell ref="Q634:Q635"/>
    <mergeCell ref="R634:R635"/>
    <mergeCell ref="S634:S635"/>
    <mergeCell ref="T634:AB635"/>
    <mergeCell ref="L632:N632"/>
    <mergeCell ref="L637:N637"/>
    <mergeCell ref="O637:Q637"/>
    <mergeCell ref="R637:T637"/>
    <mergeCell ref="U637:W637"/>
    <mergeCell ref="X637:Z637"/>
    <mergeCell ref="AA637:AB642"/>
    <mergeCell ref="B628:B629"/>
    <mergeCell ref="E628:E629"/>
    <mergeCell ref="U628:U629"/>
    <mergeCell ref="V628:V629"/>
    <mergeCell ref="W628:W629"/>
    <mergeCell ref="X628:X629"/>
    <mergeCell ref="Z628:Z629"/>
    <mergeCell ref="AA628:AA629"/>
    <mergeCell ref="AB628:AB629"/>
    <mergeCell ref="B632:B633"/>
    <mergeCell ref="C632:C633"/>
  </mergeCells>
  <phoneticPr fontId="8" type="noConversion"/>
  <pageMargins left="0.75" right="0.75" top="1" bottom="1" header="0.5" footer="0.5"/>
  <pageSetup scale="49" fitToHeight="0" orientation="landscape" r:id="rId1"/>
  <headerFooter alignWithMargins="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3:J5"/>
  <sheetViews>
    <sheetView workbookViewId="0">
      <selection activeCell="B3" sqref="B3"/>
    </sheetView>
  </sheetViews>
  <sheetFormatPr defaultRowHeight="12.75" x14ac:dyDescent="0.2"/>
  <cols>
    <col min="1" max="1" width="13.85546875" bestFit="1" customWidth="1"/>
    <col min="2" max="2" width="14.42578125" bestFit="1" customWidth="1"/>
    <col min="3" max="3" width="16" customWidth="1"/>
    <col min="4" max="4" width="15.140625" customWidth="1"/>
    <col min="5" max="5" width="17.28515625" customWidth="1"/>
    <col min="6" max="6" width="13.42578125" customWidth="1"/>
    <col min="7" max="7" width="17.85546875" customWidth="1"/>
    <col min="8" max="8" width="20.28515625" bestFit="1" customWidth="1"/>
    <col min="9" max="9" width="13.7109375" bestFit="1" customWidth="1"/>
    <col min="10" max="10" width="15.28515625" bestFit="1" customWidth="1"/>
  </cols>
  <sheetData>
    <row r="3" spans="1:10" x14ac:dyDescent="0.2">
      <c r="A3" s="143" t="s">
        <v>167</v>
      </c>
      <c r="B3" t="s">
        <v>168</v>
      </c>
      <c r="C3" t="s">
        <v>171</v>
      </c>
      <c r="D3" t="s">
        <v>172</v>
      </c>
      <c r="E3" t="s">
        <v>173</v>
      </c>
      <c r="F3" t="s">
        <v>174</v>
      </c>
      <c r="G3" t="s">
        <v>169</v>
      </c>
      <c r="H3" t="s">
        <v>170</v>
      </c>
      <c r="I3" s="151" t="s">
        <v>175</v>
      </c>
      <c r="J3" s="151" t="s">
        <v>176</v>
      </c>
    </row>
    <row r="4" spans="1:10" x14ac:dyDescent="0.2">
      <c r="A4" s="148" t="s">
        <v>191</v>
      </c>
      <c r="B4" s="150">
        <v>38</v>
      </c>
      <c r="C4" s="150">
        <v>0</v>
      </c>
      <c r="D4" s="150">
        <v>0</v>
      </c>
      <c r="E4" s="150">
        <v>0</v>
      </c>
      <c r="F4" s="145">
        <v>8</v>
      </c>
      <c r="G4" s="150">
        <v>92.449999999999989</v>
      </c>
      <c r="H4" s="149">
        <v>5</v>
      </c>
      <c r="I4" s="152">
        <f>G4/H4</f>
        <v>18.489999999999998</v>
      </c>
      <c r="J4" s="153">
        <f>3600*F4/I4</f>
        <v>1557.5987020010818</v>
      </c>
    </row>
    <row r="5" spans="1:10" x14ac:dyDescent="0.2">
      <c r="A5" s="148" t="s">
        <v>161</v>
      </c>
      <c r="B5" s="150">
        <v>38</v>
      </c>
      <c r="C5" s="150">
        <v>0</v>
      </c>
      <c r="D5" s="150">
        <v>0</v>
      </c>
      <c r="E5" s="150">
        <v>0</v>
      </c>
      <c r="F5" s="145">
        <v>8</v>
      </c>
      <c r="G5" s="150">
        <v>92.449999999999989</v>
      </c>
      <c r="H5" s="149">
        <v>5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>
    <pageSetUpPr fitToPage="1"/>
  </sheetPr>
  <dimension ref="A1:BD203"/>
  <sheetViews>
    <sheetView tabSelected="1" zoomScaleNormal="100" workbookViewId="0">
      <pane xSplit="4" ySplit="5" topLeftCell="E54" activePane="bottomRight" state="frozen"/>
      <selection pane="topRight" activeCell="E1" sqref="E1"/>
      <selection pane="bottomLeft" activeCell="A6" sqref="A6"/>
      <selection pane="bottomRight" activeCell="H80" sqref="H80"/>
    </sheetView>
  </sheetViews>
  <sheetFormatPr defaultRowHeight="12.75" x14ac:dyDescent="0.2"/>
  <cols>
    <col min="1" max="1" width="9.7109375" customWidth="1"/>
    <col min="2" max="2" width="11.140625" customWidth="1"/>
    <col min="3" max="3" width="11.7109375" customWidth="1"/>
    <col min="4" max="4" width="9.5703125" customWidth="1"/>
    <col min="5" max="5" width="10.85546875" customWidth="1"/>
    <col min="6" max="6" width="9.7109375" customWidth="1"/>
    <col min="7" max="7" width="8.85546875" bestFit="1" customWidth="1"/>
    <col min="8" max="8" width="11.7109375" style="54" customWidth="1"/>
    <col min="9" max="9" width="9.5703125" style="70" bestFit="1" customWidth="1"/>
    <col min="10" max="10" width="10.85546875" style="75" customWidth="1"/>
    <col min="11" max="11" width="11.140625" customWidth="1"/>
    <col min="12" max="12" width="11.28515625" customWidth="1"/>
    <col min="13" max="13" width="8" customWidth="1"/>
    <col min="14" max="14" width="11.7109375" style="54" customWidth="1"/>
    <col min="15" max="15" width="9.5703125" style="70" bestFit="1" customWidth="1"/>
    <col min="16" max="16" width="10.85546875" style="75" customWidth="1"/>
    <col min="17" max="17" width="11.140625" customWidth="1"/>
    <col min="18" max="18" width="8.5703125" customWidth="1"/>
    <col min="19" max="19" width="8" customWidth="1"/>
    <col min="20" max="20" width="11.7109375" style="54" customWidth="1"/>
    <col min="21" max="21" width="9.5703125" style="70" bestFit="1" customWidth="1"/>
    <col min="22" max="22" width="10.85546875" style="75" customWidth="1"/>
    <col min="23" max="23" width="11.140625" customWidth="1"/>
    <col min="24" max="24" width="8.5703125" customWidth="1"/>
    <col min="25" max="25" width="8" customWidth="1"/>
    <col min="26" max="26" width="8.7109375" customWidth="1"/>
    <col min="27" max="27" width="10.28515625" customWidth="1"/>
    <col min="28" max="28" width="8.7109375" customWidth="1"/>
    <col min="29" max="29" width="65" customWidth="1"/>
    <col min="30" max="32" width="10" customWidth="1"/>
    <col min="33" max="35" width="9.85546875" customWidth="1"/>
    <col min="36" max="38" width="9.7109375" customWidth="1"/>
    <col min="39" max="41" width="10.85546875" customWidth="1"/>
    <col min="42" max="44" width="9.7109375" customWidth="1"/>
    <col min="45" max="47" width="7" customWidth="1"/>
    <col min="48" max="48" width="9.28515625" customWidth="1"/>
    <col min="49" max="49" width="11.140625" bestFit="1" customWidth="1"/>
    <col min="50" max="50" width="10.28515625" bestFit="1" customWidth="1"/>
    <col min="51" max="51" width="12.28515625" bestFit="1" customWidth="1"/>
    <col min="52" max="56" width="0" hidden="1" customWidth="1"/>
  </cols>
  <sheetData>
    <row r="1" spans="1:56" x14ac:dyDescent="0.2"/>
    <row r="2" spans="1:56" ht="27.75" thickBot="1" x14ac:dyDescent="0.4">
      <c r="A2" s="263" t="s">
        <v>156</v>
      </c>
      <c r="B2" s="263"/>
      <c r="C2" s="263"/>
      <c r="D2" s="263"/>
      <c r="E2" s="263"/>
      <c r="F2" s="263"/>
      <c r="G2" s="263"/>
      <c r="H2" s="263"/>
      <c r="I2" s="109"/>
      <c r="J2" s="109"/>
      <c r="K2" s="5"/>
      <c r="L2" s="111" t="s">
        <v>40</v>
      </c>
      <c r="M2" s="262">
        <f>$A$6</f>
        <v>45413</v>
      </c>
      <c r="N2" s="262"/>
      <c r="O2" s="262"/>
      <c r="P2" s="262"/>
      <c r="Q2" s="262"/>
      <c r="R2" s="262"/>
      <c r="S2" s="6"/>
      <c r="T2" s="55"/>
      <c r="U2" s="71"/>
      <c r="V2" s="72"/>
      <c r="W2" s="6"/>
      <c r="X2" s="6"/>
      <c r="Y2" s="6"/>
      <c r="Z2" s="7"/>
      <c r="AA2" s="6"/>
      <c r="AB2" s="6"/>
      <c r="AW2" t="s">
        <v>203</v>
      </c>
    </row>
    <row r="3" spans="1:56" ht="18.75" thickTop="1" x14ac:dyDescent="0.25">
      <c r="B3" s="1"/>
      <c r="C3" s="2"/>
      <c r="D3" s="2"/>
      <c r="E3" s="3"/>
      <c r="F3" s="4"/>
      <c r="G3" s="5"/>
      <c r="H3" s="51"/>
      <c r="I3" s="64"/>
      <c r="J3" s="72"/>
      <c r="K3" s="5"/>
      <c r="L3" s="8"/>
      <c r="M3" s="8"/>
      <c r="N3" s="51"/>
      <c r="O3" s="64"/>
      <c r="P3" s="72"/>
      <c r="Q3" s="5"/>
      <c r="R3" s="8"/>
      <c r="S3" s="8"/>
      <c r="T3" s="51"/>
      <c r="U3" s="64"/>
      <c r="V3" s="72"/>
      <c r="W3" s="5"/>
      <c r="X3" s="8"/>
      <c r="Y3" s="8"/>
      <c r="Z3" s="8"/>
      <c r="AA3" s="8"/>
      <c r="AB3" s="8"/>
      <c r="AT3" t="s">
        <v>149</v>
      </c>
      <c r="AV3" s="134">
        <f>SUM(Prod[S1Hrs], Prod[S2Hrs], Prod[S3Hrs])</f>
        <v>757.25</v>
      </c>
      <c r="AW3">
        <f>SUMIF(Prod[B/C],TRUE,Prod[S1Hrs])+SUMIF(Prod[B/C],TRUE,Prod[S2Hrs])+SUMIF(Prod[B/C],TRUE,Prod[S3Hrs])</f>
        <v>291.75</v>
      </c>
    </row>
    <row r="5" spans="1:56" x14ac:dyDescent="0.2">
      <c r="A5" s="113" t="s">
        <v>107</v>
      </c>
      <c r="B5" s="113" t="s">
        <v>108</v>
      </c>
      <c r="C5" s="113" t="s">
        <v>0</v>
      </c>
      <c r="D5" s="113" t="s">
        <v>25</v>
      </c>
      <c r="E5" s="113" t="s">
        <v>11</v>
      </c>
      <c r="F5" s="113" t="s">
        <v>16</v>
      </c>
      <c r="G5" s="113" t="s">
        <v>12</v>
      </c>
      <c r="H5" s="114" t="s">
        <v>109</v>
      </c>
      <c r="I5" s="115" t="s">
        <v>110</v>
      </c>
      <c r="J5" s="116" t="s">
        <v>111</v>
      </c>
      <c r="K5" s="113" t="s">
        <v>112</v>
      </c>
      <c r="L5" s="113" t="s">
        <v>113</v>
      </c>
      <c r="M5" s="113" t="s">
        <v>114</v>
      </c>
      <c r="N5" s="114" t="s">
        <v>115</v>
      </c>
      <c r="O5" s="115" t="s">
        <v>116</v>
      </c>
      <c r="P5" s="116" t="s">
        <v>117</v>
      </c>
      <c r="Q5" s="113" t="s">
        <v>118</v>
      </c>
      <c r="R5" s="113" t="s">
        <v>119</v>
      </c>
      <c r="S5" s="113" t="s">
        <v>120</v>
      </c>
      <c r="T5" s="114" t="s">
        <v>121</v>
      </c>
      <c r="U5" s="115" t="s">
        <v>122</v>
      </c>
      <c r="V5" s="116" t="s">
        <v>123</v>
      </c>
      <c r="W5" s="113" t="s">
        <v>124</v>
      </c>
      <c r="X5" s="113" t="s">
        <v>125</v>
      </c>
      <c r="Y5" s="113" t="s">
        <v>126</v>
      </c>
      <c r="Z5" s="113" t="s">
        <v>59</v>
      </c>
      <c r="AA5" s="113" t="s">
        <v>127</v>
      </c>
      <c r="AB5" s="113" t="s">
        <v>128</v>
      </c>
      <c r="AC5" s="146" t="s">
        <v>144</v>
      </c>
      <c r="AD5" s="113" t="s">
        <v>129</v>
      </c>
      <c r="AE5" s="113" t="s">
        <v>130</v>
      </c>
      <c r="AF5" s="113" t="s">
        <v>131</v>
      </c>
      <c r="AG5" s="113" t="s">
        <v>132</v>
      </c>
      <c r="AH5" s="113" t="s">
        <v>133</v>
      </c>
      <c r="AI5" s="113" t="s">
        <v>134</v>
      </c>
      <c r="AJ5" s="113" t="s">
        <v>135</v>
      </c>
      <c r="AK5" s="113" t="s">
        <v>136</v>
      </c>
      <c r="AL5" s="113" t="s">
        <v>137</v>
      </c>
      <c r="AM5" s="113" t="s">
        <v>138</v>
      </c>
      <c r="AN5" s="113" t="s">
        <v>139</v>
      </c>
      <c r="AO5" s="113" t="s">
        <v>140</v>
      </c>
      <c r="AP5" s="113" t="s">
        <v>141</v>
      </c>
      <c r="AQ5" s="113" t="s">
        <v>142</v>
      </c>
      <c r="AR5" s="113" t="s">
        <v>143</v>
      </c>
      <c r="AS5" t="s">
        <v>145</v>
      </c>
      <c r="AT5" t="s">
        <v>146</v>
      </c>
      <c r="AU5" t="s">
        <v>147</v>
      </c>
      <c r="AV5" t="s">
        <v>148</v>
      </c>
      <c r="AW5" t="s">
        <v>152</v>
      </c>
      <c r="AX5" t="s">
        <v>153</v>
      </c>
      <c r="AY5" t="s">
        <v>154</v>
      </c>
      <c r="AZ5" t="s">
        <v>164</v>
      </c>
      <c r="BA5" t="s">
        <v>165</v>
      </c>
      <c r="BB5" t="s">
        <v>166</v>
      </c>
      <c r="BC5" t="s">
        <v>44</v>
      </c>
      <c r="BD5" t="s">
        <v>203</v>
      </c>
    </row>
    <row r="6" spans="1:56" x14ac:dyDescent="0.2">
      <c r="A6" s="117">
        <v>45413</v>
      </c>
      <c r="B6" s="131" t="s">
        <v>158</v>
      </c>
      <c r="C6" s="132" t="s">
        <v>191</v>
      </c>
      <c r="D6" s="119">
        <v>27121</v>
      </c>
      <c r="E6" s="132" t="s">
        <v>189</v>
      </c>
      <c r="F6" s="119">
        <v>814</v>
      </c>
      <c r="G6" s="119" t="str">
        <f>IF(OR(Prod[[#This Row],[S1Hrs]]&gt;0,Prod[[#This Row],[S2Hrs]]&gt;0,Prod[[#This Row],[S3Hrs]]&gt;0),"Running","Down")</f>
        <v>Running</v>
      </c>
      <c r="H6" s="157">
        <v>18.29</v>
      </c>
      <c r="I6" s="156">
        <v>8</v>
      </c>
      <c r="J6" s="120">
        <v>1516</v>
      </c>
      <c r="K6" s="131">
        <v>4</v>
      </c>
      <c r="L6" s="120">
        <f>Prod[[#This Row],[S1Shot]]*Prod[[#This Row],[S1Cavity]]-Prod[[#This Row],[S1Dft]]</f>
        <v>6059</v>
      </c>
      <c r="M6" s="137">
        <f>SUM(Prod[[#This Row],[S1Mold]],Prod[[#This Row],[S1Print]],Prod[[#This Row],[S1Ovlp]],Prod[[#This Row],[S1Seam]],Prod[[#This Row],[S1Dmg]])</f>
        <v>5</v>
      </c>
      <c r="N6" s="157">
        <v>18.29</v>
      </c>
      <c r="O6" s="156">
        <v>8</v>
      </c>
      <c r="P6" s="120">
        <v>1617</v>
      </c>
      <c r="Q6" s="131">
        <v>4</v>
      </c>
      <c r="R6" s="120">
        <f>Prod[[#This Row],[S2Shot]]*Prod[[#This Row],[S2Cavity]]-Prod[[#This Row],[S2Dft]]</f>
        <v>6463</v>
      </c>
      <c r="S6" s="137">
        <f>SUM(Prod[[#This Row],[S2Mold]],Prod[[#This Row],[S2Print]],Prod[[#This Row],[S2Ovlp]],Prod[[#This Row],[S2Seam]],Prod[[#This Row],[S2Dmg]])</f>
        <v>5</v>
      </c>
      <c r="T6" s="157">
        <v>18.29</v>
      </c>
      <c r="U6" s="156">
        <v>8</v>
      </c>
      <c r="V6" s="120">
        <v>1552</v>
      </c>
      <c r="W6" s="131">
        <v>4</v>
      </c>
      <c r="X6" s="120">
        <f>Prod[[#This Row],[S3Shot]]*Prod[[#This Row],[S3Cavity]]-Prod[[#This Row],[S3Dft]]</f>
        <v>6204</v>
      </c>
      <c r="Y6" s="120">
        <f>SUM(Prod[[#This Row],[S3Mold]],Prod[[#This Row],[S3Print]],Prod[[#This Row],[S3Ovlp]],Prod[[#This Row],[S3Seam]],Prod[[#This Row],[S3Dmg]])</f>
        <v>4</v>
      </c>
      <c r="Z6" s="120">
        <f>SUM(Prod[[#This Row],[S1Qty]],Prod[[#This Row],[S2Qty]],Prod[[#This Row],[S3Qty]])</f>
        <v>18726</v>
      </c>
      <c r="AA6" s="120">
        <f>SUM(Prod[[#This Row],[S1Dft]],Prod[[#This Row],[S2Dft]],Prod[[#This Row],[S3Dft]])</f>
        <v>14</v>
      </c>
      <c r="AB6" s="121">
        <f>IF(Prod[[#This Row],[Total]]=0,0,Prod[[#This Row],[TotalDft]]/Prod[[#This Row],[Total]])</f>
        <v>7.4762362490654708E-4</v>
      </c>
      <c r="AC6" s="118"/>
      <c r="AD6" s="120">
        <v>5</v>
      </c>
      <c r="AE6" s="120">
        <v>5</v>
      </c>
      <c r="AF6" s="120">
        <v>4</v>
      </c>
      <c r="AG6" s="120">
        <v>0</v>
      </c>
      <c r="AH6" s="120">
        <v>0</v>
      </c>
      <c r="AI6" s="120">
        <v>0</v>
      </c>
      <c r="AJ6" s="120">
        <v>0</v>
      </c>
      <c r="AK6" s="120">
        <v>0</v>
      </c>
      <c r="AL6" s="120">
        <v>0</v>
      </c>
      <c r="AM6" s="120">
        <v>0</v>
      </c>
      <c r="AN6" s="120">
        <v>0</v>
      </c>
      <c r="AO6" s="120">
        <v>0</v>
      </c>
      <c r="AP6" s="120">
        <v>0</v>
      </c>
      <c r="AQ6" s="120">
        <v>0</v>
      </c>
      <c r="AR6" s="120">
        <v>0</v>
      </c>
      <c r="AS6" s="133">
        <f>IF(Prod[[#This Row],[S1Hrs]]=0,0,Prod[[#This Row],[S1Shot]]*Prod[[#This Row],[S1Cycle]]/(Prod[[#This Row],[S1Hrs]]*60*60))</f>
        <v>0.96276527777777776</v>
      </c>
      <c r="AT6" s="133">
        <f>IF(Prod[[#This Row],[S2Hrs]]=0,0,Prod[[#This Row],[S2Shot]]*Prod[[#This Row],[S2Cycle]]/(Prod[[#This Row],[S2Hrs]]*60*60))</f>
        <v>1.0269072916666666</v>
      </c>
      <c r="AU6" s="133">
        <f>IF(Prod[[#This Row],[S3Hrs]]=0,0,Prod[[#This Row],[S3Shot]]*Prod[[#This Row],[S3Cycle]]/(Prod[[#This Row],[S3Hrs]]*60*60))</f>
        <v>0.98562777777777766</v>
      </c>
      <c r="AV6" s="133">
        <f>IFERROR(AVERAGEIF(Prod[[#This Row],[S1%]:[S3%]], "&lt;&gt;0"),0)</f>
        <v>0.99176678240740734</v>
      </c>
      <c r="AW6" s="133">
        <v>0</v>
      </c>
      <c r="AX6" s="133">
        <v>0</v>
      </c>
      <c r="AY6" s="133">
        <v>0</v>
      </c>
      <c r="AZ6" s="147">
        <f>IF(Prod[[#This Row],[S1Cycle]]&lt;&gt;0,1,0)</f>
        <v>1</v>
      </c>
      <c r="BA6" s="147">
        <f>IF(Prod[[#This Row],[S2Cycle]]&lt;&gt;0,1,0)</f>
        <v>1</v>
      </c>
      <c r="BB6" s="147">
        <f>IF(Prod[[#This Row],[S3Cycle]]&lt;&gt;0,1,0)</f>
        <v>1</v>
      </c>
      <c r="BC6" s="147">
        <f>MAX(Prod[[#This Row],[S1Cavity]],Prod[[#This Row],[S2Cavity]],Prod[[#This Row],[S3Cavity]])</f>
        <v>4</v>
      </c>
      <c r="BD6" s="147" t="b">
        <f>RegExpMatch(Prod[[#This Row],[MoldNo]], "^MEO-(B|C)")</f>
        <v>1</v>
      </c>
    </row>
    <row r="7" spans="1:56" x14ac:dyDescent="0.2">
      <c r="A7" s="117">
        <v>45413</v>
      </c>
      <c r="B7" s="131" t="s">
        <v>187</v>
      </c>
      <c r="C7" s="132" t="s">
        <v>178</v>
      </c>
      <c r="D7" s="119">
        <v>27570</v>
      </c>
      <c r="E7" s="132" t="s">
        <v>92</v>
      </c>
      <c r="F7" s="119">
        <v>2304</v>
      </c>
      <c r="G7" s="119" t="str">
        <f>IF(OR(Prod[[#This Row],[S1Hrs]]&gt;0,Prod[[#This Row],[S2Hrs]]&gt;0,Prod[[#This Row],[S3Hrs]]&gt;0),"Running","Down")</f>
        <v>Running</v>
      </c>
      <c r="H7" s="157">
        <v>14.92</v>
      </c>
      <c r="I7" s="156">
        <v>8</v>
      </c>
      <c r="J7" s="120">
        <v>1902</v>
      </c>
      <c r="K7" s="131">
        <v>16</v>
      </c>
      <c r="L7" s="120">
        <f>Prod[[#This Row],[S1Shot]]*Prod[[#This Row],[S1Cavity]]-Prod[[#This Row],[S1Dft]]</f>
        <v>30432</v>
      </c>
      <c r="M7" s="135"/>
      <c r="N7" s="157">
        <v>14.92</v>
      </c>
      <c r="O7" s="156">
        <v>8</v>
      </c>
      <c r="P7" s="120">
        <v>1945</v>
      </c>
      <c r="Q7" s="131">
        <v>16</v>
      </c>
      <c r="R7" s="120">
        <f>Prod[[#This Row],[S2Shot]]*Prod[[#This Row],[S2Cavity]]-Prod[[#This Row],[S2Dft]]</f>
        <v>31120</v>
      </c>
      <c r="S7" s="135"/>
      <c r="T7" s="157">
        <v>14.92</v>
      </c>
      <c r="U7" s="156">
        <v>8</v>
      </c>
      <c r="V7" s="120">
        <v>1912</v>
      </c>
      <c r="W7" s="131">
        <v>16</v>
      </c>
      <c r="X7" s="120">
        <f>Prod[[#This Row],[S3Shot]]*Prod[[#This Row],[S3Cavity]]-Prod[[#This Row],[S3Dft]]</f>
        <v>30592</v>
      </c>
      <c r="Y7" s="135"/>
      <c r="Z7" s="120">
        <f>SUM(Prod[[#This Row],[S1Qty]],Prod[[#This Row],[S2Qty]],Prod[[#This Row],[S3Qty]])</f>
        <v>92144</v>
      </c>
      <c r="AA7" s="135"/>
      <c r="AB7" s="136"/>
      <c r="AC7" s="118"/>
      <c r="AD7" s="135"/>
      <c r="AE7" s="135"/>
      <c r="AF7" s="135"/>
      <c r="AG7" s="135"/>
      <c r="AH7" s="135"/>
      <c r="AI7" s="135"/>
      <c r="AJ7" s="135"/>
      <c r="AK7" s="135"/>
      <c r="AL7" s="135"/>
      <c r="AM7" s="135"/>
      <c r="AN7" s="135"/>
      <c r="AO7" s="135"/>
      <c r="AP7" s="135"/>
      <c r="AQ7" s="135"/>
      <c r="AR7" s="135"/>
      <c r="AS7" s="133">
        <f>IF(Prod[[#This Row],[S1Hrs]]=0,0,Prod[[#This Row],[S1Shot]]*Prod[[#This Row],[S1Cycle]]/(Prod[[#This Row],[S1Hrs]]*60*60))</f>
        <v>0.98534166666666667</v>
      </c>
      <c r="AT7" s="133">
        <f>IF(Prod[[#This Row],[S2Hrs]]=0,0,Prod[[#This Row],[S2Shot]]*Prod[[#This Row],[S2Cycle]]/(Prod[[#This Row],[S2Hrs]]*60*60))</f>
        <v>1.0076180555555556</v>
      </c>
      <c r="AU7" s="133">
        <f>IF(Prod[[#This Row],[S3Hrs]]=0,0,Prod[[#This Row],[S3Shot]]*Prod[[#This Row],[S3Cycle]]/(Prod[[#This Row],[S3Hrs]]*60*60))</f>
        <v>0.9905222222222223</v>
      </c>
      <c r="AV7" s="133">
        <f>IFERROR(AVERAGEIF(Prod[[#This Row],[S1%]:[S3%]], "&lt;&gt;0"),0)</f>
        <v>0.9944939814814816</v>
      </c>
      <c r="AW7" s="133">
        <v>0</v>
      </c>
      <c r="AX7" s="133">
        <v>0</v>
      </c>
      <c r="AY7" s="133">
        <v>0</v>
      </c>
      <c r="AZ7" s="147">
        <f>IF(Prod[[#This Row],[S1Cycle]]&lt;&gt;0,1,0)</f>
        <v>1</v>
      </c>
      <c r="BA7" s="147">
        <f>IF(Prod[[#This Row],[S2Cycle]]&lt;&gt;0,1,0)</f>
        <v>1</v>
      </c>
      <c r="BB7" s="147">
        <f>IF(Prod[[#This Row],[S3Cycle]]&lt;&gt;0,1,0)</f>
        <v>1</v>
      </c>
      <c r="BC7" s="147">
        <f>MAX(Prod[[#This Row],[S1Cavity]],Prod[[#This Row],[S2Cavity]],Prod[[#This Row],[S3Cavity]])</f>
        <v>16</v>
      </c>
      <c r="BD7" s="147" t="b">
        <f>RegExpMatch(Prod[[#This Row],[MoldNo]], "^MEO-(B|C)")</f>
        <v>0</v>
      </c>
    </row>
    <row r="8" spans="1:56" x14ac:dyDescent="0.2">
      <c r="A8" s="117">
        <v>45413</v>
      </c>
      <c r="B8" s="131" t="s">
        <v>181</v>
      </c>
      <c r="C8" s="132" t="s">
        <v>182</v>
      </c>
      <c r="D8" s="119">
        <v>26680</v>
      </c>
      <c r="E8" s="132" t="s">
        <v>185</v>
      </c>
      <c r="F8" s="119">
        <v>6331</v>
      </c>
      <c r="G8" s="119" t="str">
        <f>IF(OR(Prod[[#This Row],[S1Hrs]]&gt;0,Prod[[#This Row],[S2Hrs]]&gt;0,Prod[[#This Row],[S3Hrs]]&gt;0),"Running","Down")</f>
        <v>Running</v>
      </c>
      <c r="H8" s="157">
        <v>34.29</v>
      </c>
      <c r="I8" s="156">
        <v>8</v>
      </c>
      <c r="J8" s="120">
        <v>792</v>
      </c>
      <c r="K8" s="131">
        <v>16</v>
      </c>
      <c r="L8" s="120">
        <f>Prod[[#This Row],[S1Shot]]*Prod[[#This Row],[S1Cavity]]-Prod[[#This Row],[S1Dft]]</f>
        <v>12668</v>
      </c>
      <c r="M8" s="137">
        <f>SUM(Prod[[#This Row],[S1Mold]],Prod[[#This Row],[S1Print]],Prod[[#This Row],[S1Ovlp]],Prod[[#This Row],[S1Seam]],Prod[[#This Row],[S1Dmg]])</f>
        <v>4</v>
      </c>
      <c r="N8" s="157">
        <v>34.29</v>
      </c>
      <c r="O8" s="156">
        <v>8</v>
      </c>
      <c r="P8" s="120">
        <v>898</v>
      </c>
      <c r="Q8" s="131">
        <v>16</v>
      </c>
      <c r="R8" s="120">
        <f>Prod[[#This Row],[S2Shot]]*Prod[[#This Row],[S2Cavity]]-Prod[[#This Row],[S2Dft]]</f>
        <v>14363</v>
      </c>
      <c r="S8" s="137">
        <f>SUM(Prod[[#This Row],[S2Mold]],Prod[[#This Row],[S2Print]],Prod[[#This Row],[S2Ovlp]],Prod[[#This Row],[S2Seam]],Prod[[#This Row],[S2Dmg]])</f>
        <v>5</v>
      </c>
      <c r="T8" s="157">
        <v>34.299999999999997</v>
      </c>
      <c r="U8" s="156">
        <v>8</v>
      </c>
      <c r="V8" s="120">
        <v>774</v>
      </c>
      <c r="W8" s="131">
        <v>16</v>
      </c>
      <c r="X8" s="120">
        <f>Prod[[#This Row],[S3Shot]]*Prod[[#This Row],[S3Cavity]]-Prod[[#This Row],[S3Dft]]</f>
        <v>12380</v>
      </c>
      <c r="Y8" s="120">
        <f>SUM(Prod[[#This Row],[S3Mold]],Prod[[#This Row],[S3Print]],Prod[[#This Row],[S3Ovlp]],Prod[[#This Row],[S3Seam]],Prod[[#This Row],[S3Dmg]])</f>
        <v>4</v>
      </c>
      <c r="Z8" s="120">
        <f>SUM(Prod[[#This Row],[S1Qty]],Prod[[#This Row],[S2Qty]],Prod[[#This Row],[S3Qty]])</f>
        <v>39411</v>
      </c>
      <c r="AA8" s="120">
        <f>SUM(Prod[[#This Row],[S1Dft]],Prod[[#This Row],[S2Dft]],Prod[[#This Row],[S3Dft]])</f>
        <v>13</v>
      </c>
      <c r="AB8" s="121">
        <f>IF(Prod[[#This Row],[Total]]=0,0,Prod[[#This Row],[TotalDft]]/Prod[[#This Row],[Total]])</f>
        <v>3.2985714648194666E-4</v>
      </c>
      <c r="AC8" s="118"/>
      <c r="AD8" s="120">
        <v>4</v>
      </c>
      <c r="AE8" s="120">
        <v>5</v>
      </c>
      <c r="AF8" s="120">
        <v>4</v>
      </c>
      <c r="AG8" s="120">
        <v>0</v>
      </c>
      <c r="AH8" s="120">
        <v>0</v>
      </c>
      <c r="AI8" s="120">
        <v>0</v>
      </c>
      <c r="AJ8" s="120">
        <v>0</v>
      </c>
      <c r="AK8" s="120">
        <v>0</v>
      </c>
      <c r="AL8" s="120">
        <v>0</v>
      </c>
      <c r="AM8" s="120">
        <v>0</v>
      </c>
      <c r="AN8" s="120">
        <v>0</v>
      </c>
      <c r="AO8" s="120">
        <v>0</v>
      </c>
      <c r="AP8" s="120">
        <v>0</v>
      </c>
      <c r="AQ8" s="120">
        <v>0</v>
      </c>
      <c r="AR8" s="120">
        <v>0</v>
      </c>
      <c r="AS8" s="133">
        <f>IF(Prod[[#This Row],[S1Hrs]]=0,0,Prod[[#This Row],[S1Shot]]*Prod[[#This Row],[S1Cycle]]/(Prod[[#This Row],[S1Hrs]]*60*60))</f>
        <v>0.94297500000000001</v>
      </c>
      <c r="AT8" s="133">
        <f>IF(Prod[[#This Row],[S2Hrs]]=0,0,Prod[[#This Row],[S2Shot]]*Prod[[#This Row],[S2Cycle]]/(Prod[[#This Row],[S2Hrs]]*60*60))</f>
        <v>1.06918125</v>
      </c>
      <c r="AU8" s="133">
        <f>IF(Prod[[#This Row],[S3Hrs]]=0,0,Prod[[#This Row],[S3Shot]]*Prod[[#This Row],[S3Cycle]]/(Prod[[#This Row],[S3Hrs]]*60*60))</f>
        <v>0.92181249999999992</v>
      </c>
      <c r="AV8" s="133">
        <f>IFERROR(AVERAGEIF(Prod[[#This Row],[S1%]:[S3%]], "&lt;&gt;0"),0)</f>
        <v>0.9779895833333333</v>
      </c>
      <c r="AW8" s="133">
        <v>0</v>
      </c>
      <c r="AX8" s="133">
        <v>0</v>
      </c>
      <c r="AY8" s="133">
        <v>0</v>
      </c>
      <c r="AZ8" s="147">
        <f>IF(Prod[[#This Row],[S1Cycle]]&lt;&gt;0,1,0)</f>
        <v>1</v>
      </c>
      <c r="BA8" s="147">
        <f>IF(Prod[[#This Row],[S2Cycle]]&lt;&gt;0,1,0)</f>
        <v>1</v>
      </c>
      <c r="BB8" s="147">
        <f>IF(Prod[[#This Row],[S3Cycle]]&lt;&gt;0,1,0)</f>
        <v>1</v>
      </c>
      <c r="BC8" s="147">
        <f>MAX(Prod[[#This Row],[S1Cavity]],Prod[[#This Row],[S2Cavity]],Prod[[#This Row],[S3Cavity]])</f>
        <v>16</v>
      </c>
      <c r="BD8" s="147" t="b">
        <f>RegExpMatch(Prod[[#This Row],[MoldNo]], "^MEO-(B|C)")</f>
        <v>1</v>
      </c>
    </row>
    <row r="9" spans="1:56" x14ac:dyDescent="0.2">
      <c r="A9" s="117">
        <v>45413</v>
      </c>
      <c r="B9" s="131" t="s">
        <v>179</v>
      </c>
      <c r="C9" s="132" t="s">
        <v>180</v>
      </c>
      <c r="D9" s="119">
        <v>26680</v>
      </c>
      <c r="E9" s="132" t="s">
        <v>185</v>
      </c>
      <c r="F9" s="119">
        <v>6331</v>
      </c>
      <c r="G9" s="119" t="str">
        <f>IF(OR(Prod[[#This Row],[S1Hrs]]&gt;0,Prod[[#This Row],[S2Hrs]]&gt;0,Prod[[#This Row],[S3Hrs]]&gt;0),"Running","Down")</f>
        <v>Running</v>
      </c>
      <c r="H9" s="157">
        <v>0</v>
      </c>
      <c r="I9" s="156">
        <v>0</v>
      </c>
      <c r="J9" s="120">
        <v>0</v>
      </c>
      <c r="K9" s="131">
        <v>0</v>
      </c>
      <c r="L9" s="120">
        <f>Prod[[#This Row],[S1Shot]]*Prod[[#This Row],[S1Cavity]]-Prod[[#This Row],[S1Dft]]</f>
        <v>0</v>
      </c>
      <c r="M9" s="135"/>
      <c r="N9" s="157">
        <v>18.559999999999999</v>
      </c>
      <c r="O9" s="156">
        <v>5.5</v>
      </c>
      <c r="P9" s="120">
        <v>1055</v>
      </c>
      <c r="Q9" s="131">
        <v>15</v>
      </c>
      <c r="R9" s="120">
        <f>Prod[[#This Row],[S2Shot]]*Prod[[#This Row],[S2Cavity]]-Prod[[#This Row],[S2Dft]]</f>
        <v>15825</v>
      </c>
      <c r="S9" s="135"/>
      <c r="T9" s="157">
        <v>18.55</v>
      </c>
      <c r="U9" s="156">
        <v>8</v>
      </c>
      <c r="V9" s="120">
        <v>1451</v>
      </c>
      <c r="W9" s="131">
        <v>15</v>
      </c>
      <c r="X9" s="120">
        <f>Prod[[#This Row],[S3Shot]]*Prod[[#This Row],[S3Cavity]]-Prod[[#This Row],[S3Dft]]</f>
        <v>21765</v>
      </c>
      <c r="Y9" s="120">
        <f>SUM(Prod[[#This Row],[S3Mold]],Prod[[#This Row],[S3Print]],Prod[[#This Row],[S3Ovlp]],Prod[[#This Row],[S3Seam]],Prod[[#This Row],[S3Dmg]])</f>
        <v>0</v>
      </c>
      <c r="Z9" s="120">
        <f>SUM(Prod[[#This Row],[S1Qty]],Prod[[#This Row],[S2Qty]],Prod[[#This Row],[S3Qty]])</f>
        <v>37590</v>
      </c>
      <c r="AA9" s="120">
        <f>SUM(Prod[[#This Row],[S1Dft]],Prod[[#This Row],[S2Dft]],Prod[[#This Row],[S3Dft]])</f>
        <v>0</v>
      </c>
      <c r="AB9" s="121">
        <f>IF(Prod[[#This Row],[Total]]=0,0,Prod[[#This Row],[TotalDft]]/Prod[[#This Row],[Total]])</f>
        <v>0</v>
      </c>
      <c r="AC9" s="132"/>
      <c r="AD9" s="135"/>
      <c r="AE9" s="135"/>
      <c r="AF9" s="135"/>
      <c r="AG9" s="135"/>
      <c r="AH9" s="135"/>
      <c r="AI9" s="135"/>
      <c r="AJ9" s="135"/>
      <c r="AK9" s="135"/>
      <c r="AL9" s="135"/>
      <c r="AM9" s="135"/>
      <c r="AN9" s="135"/>
      <c r="AO9" s="135"/>
      <c r="AP9" s="135"/>
      <c r="AQ9" s="135"/>
      <c r="AR9" s="135"/>
      <c r="AS9" s="133">
        <f>IF(Prod[[#This Row],[S1Hrs]]=0,0,Prod[[#This Row],[S1Shot]]*Prod[[#This Row],[S1Cycle]]/(Prod[[#This Row],[S1Hrs]]*60*60))</f>
        <v>0</v>
      </c>
      <c r="AT9" s="133">
        <f>IF(Prod[[#This Row],[S2Hrs]]=0,0,Prod[[#This Row],[S2Shot]]*Prod[[#This Row],[S2Cycle]]/(Prod[[#This Row],[S2Hrs]]*60*60))</f>
        <v>0.98892929292929288</v>
      </c>
      <c r="AU9" s="133">
        <f>IF(Prod[[#This Row],[S3Hrs]]=0,0,Prod[[#This Row],[S3Shot]]*Prod[[#This Row],[S3Cycle]]/(Prod[[#This Row],[S3Hrs]]*60*60))</f>
        <v>0.93458506944444442</v>
      </c>
      <c r="AV9" s="133">
        <f>IFERROR(AVERAGEIF(Prod[[#This Row],[S1%]:[S3%]], "&lt;&gt;0"),0)</f>
        <v>0.96175718118686859</v>
      </c>
      <c r="AW9" s="133">
        <v>0.5</v>
      </c>
      <c r="AX9" s="133">
        <v>0</v>
      </c>
      <c r="AY9" s="133">
        <v>0</v>
      </c>
      <c r="AZ9" s="147">
        <f>IF(Prod[[#This Row],[S1Cycle]]&lt;&gt;0,1,0)</f>
        <v>0</v>
      </c>
      <c r="BA9" s="147">
        <f>IF(Prod[[#This Row],[S2Cycle]]&lt;&gt;0,1,0)</f>
        <v>1</v>
      </c>
      <c r="BB9" s="147">
        <f>IF(Prod[[#This Row],[S3Cycle]]&lt;&gt;0,1,0)</f>
        <v>1</v>
      </c>
      <c r="BC9" s="147">
        <f>MAX(Prod[[#This Row],[S1Cavity]],Prod[[#This Row],[S2Cavity]],Prod[[#This Row],[S3Cavity]])</f>
        <v>15</v>
      </c>
      <c r="BD9" s="147" t="b">
        <f>RegExpMatch(Prod[[#This Row],[MoldNo]], "^MEO-(B|C)")</f>
        <v>0</v>
      </c>
    </row>
    <row r="10" spans="1:56" x14ac:dyDescent="0.2">
      <c r="A10" s="117">
        <v>45413</v>
      </c>
      <c r="B10" s="131" t="s">
        <v>183</v>
      </c>
      <c r="C10" s="132" t="s">
        <v>184</v>
      </c>
      <c r="D10" s="119"/>
      <c r="E10" s="132"/>
      <c r="F10" s="119"/>
      <c r="G10" s="119" t="str">
        <f>IF(OR(Prod[[#This Row],[S1Hrs]]&gt;0,Prod[[#This Row],[S2Hrs]]&gt;0,Prod[[#This Row],[S3Hrs]]&gt;0),"Running","Down")</f>
        <v>Down</v>
      </c>
      <c r="H10" s="157">
        <v>0</v>
      </c>
      <c r="I10" s="156">
        <v>0</v>
      </c>
      <c r="J10" s="120">
        <v>0</v>
      </c>
      <c r="K10" s="131">
        <v>0</v>
      </c>
      <c r="L10" s="120">
        <f>Prod[[#This Row],[S1Shot]]*Prod[[#This Row],[S1Cavity]]-Prod[[#This Row],[S1Dft]]</f>
        <v>0</v>
      </c>
      <c r="M10" s="137">
        <f>SUM(Prod[[#This Row],[S1Mold]],Prod[[#This Row],[S1Print]],Prod[[#This Row],[S1Ovlp]],Prod[[#This Row],[S1Seam]],Prod[[#This Row],[S1Dmg]])</f>
        <v>0</v>
      </c>
      <c r="N10" s="157">
        <v>0</v>
      </c>
      <c r="O10" s="156">
        <v>0</v>
      </c>
      <c r="P10" s="120">
        <v>0</v>
      </c>
      <c r="Q10" s="131">
        <v>0</v>
      </c>
      <c r="R10" s="120">
        <f>Prod[[#This Row],[S2Shot]]*Prod[[#This Row],[S2Cavity]]-Prod[[#This Row],[S2Dft]]</f>
        <v>0</v>
      </c>
      <c r="S10" s="137">
        <f>SUM(Prod[[#This Row],[S2Mold]],Prod[[#This Row],[S2Print]],Prod[[#This Row],[S2Ovlp]],Prod[[#This Row],[S2Seam]],Prod[[#This Row],[S2Dmg]])</f>
        <v>0</v>
      </c>
      <c r="T10" s="157">
        <v>0</v>
      </c>
      <c r="U10" s="156">
        <v>0</v>
      </c>
      <c r="V10" s="120">
        <v>0</v>
      </c>
      <c r="W10" s="131">
        <v>0</v>
      </c>
      <c r="X10" s="120">
        <f>Prod[[#This Row],[S3Shot]]*Prod[[#This Row],[S3Cavity]]-Prod[[#This Row],[S3Dft]]</f>
        <v>0</v>
      </c>
      <c r="Y10" s="120">
        <f>SUM(Prod[[#This Row],[S3Mold]],Prod[[#This Row],[S3Print]],Prod[[#This Row],[S3Ovlp]],Prod[[#This Row],[S3Seam]],Prod[[#This Row],[S3Dmg]])</f>
        <v>0</v>
      </c>
      <c r="Z10" s="120">
        <f>SUM(Prod[[#This Row],[S1Qty]],Prod[[#This Row],[S2Qty]],Prod[[#This Row],[S3Qty]])</f>
        <v>0</v>
      </c>
      <c r="AA10" s="120">
        <f>SUM(Prod[[#This Row],[S1Dft]],Prod[[#This Row],[S2Dft]],Prod[[#This Row],[S3Dft]])</f>
        <v>0</v>
      </c>
      <c r="AB10" s="121">
        <f>IF(Prod[[#This Row],[Total]]=0,0,Prod[[#This Row],[TotalDft]]/Prod[[#This Row],[Total]])</f>
        <v>0</v>
      </c>
      <c r="AC10" s="118"/>
      <c r="AD10" s="120">
        <v>0</v>
      </c>
      <c r="AE10" s="120">
        <v>0</v>
      </c>
      <c r="AF10" s="120">
        <v>0</v>
      </c>
      <c r="AG10" s="120">
        <v>0</v>
      </c>
      <c r="AH10" s="120">
        <v>0</v>
      </c>
      <c r="AI10" s="120">
        <v>0</v>
      </c>
      <c r="AJ10" s="120">
        <v>0</v>
      </c>
      <c r="AK10" s="120">
        <v>0</v>
      </c>
      <c r="AL10" s="120">
        <v>0</v>
      </c>
      <c r="AM10" s="120">
        <v>0</v>
      </c>
      <c r="AN10" s="120">
        <v>0</v>
      </c>
      <c r="AO10" s="120">
        <v>0</v>
      </c>
      <c r="AP10" s="120">
        <v>0</v>
      </c>
      <c r="AQ10" s="120">
        <v>0</v>
      </c>
      <c r="AR10" s="120">
        <v>0</v>
      </c>
      <c r="AS10" s="133">
        <f>IF(Prod[[#This Row],[S1Hrs]]=0,0,Prod[[#This Row],[S1Shot]]*Prod[[#This Row],[S1Cycle]]/(Prod[[#This Row],[S1Hrs]]*60*60))</f>
        <v>0</v>
      </c>
      <c r="AT10" s="133">
        <f>IF(Prod[[#This Row],[S2Hrs]]=0,0,Prod[[#This Row],[S2Shot]]*Prod[[#This Row],[S2Cycle]]/(Prod[[#This Row],[S2Hrs]]*60*60))</f>
        <v>0</v>
      </c>
      <c r="AU10" s="133">
        <f>IF(Prod[[#This Row],[S3Hrs]]=0,0,Prod[[#This Row],[S3Shot]]*Prod[[#This Row],[S3Cycle]]/(Prod[[#This Row],[S3Hrs]]*60*60))</f>
        <v>0</v>
      </c>
      <c r="AV10" s="133">
        <f>IFERROR(AVERAGEIF(Prod[[#This Row],[S1%]:[S3%]], "&lt;&gt;0"),0)</f>
        <v>0</v>
      </c>
      <c r="AW10" s="133">
        <v>0</v>
      </c>
      <c r="AX10" s="133">
        <v>0</v>
      </c>
      <c r="AY10" s="133">
        <v>0</v>
      </c>
      <c r="AZ10" s="147">
        <f>IF(Prod[[#This Row],[S1Cycle]]&lt;&gt;0,1,0)</f>
        <v>0</v>
      </c>
      <c r="BA10" s="147">
        <f>IF(Prod[[#This Row],[S2Cycle]]&lt;&gt;0,1,0)</f>
        <v>0</v>
      </c>
      <c r="BB10" s="147">
        <f>IF(Prod[[#This Row],[S3Cycle]]&lt;&gt;0,1,0)</f>
        <v>0</v>
      </c>
      <c r="BC10" s="147">
        <f>MAX(Prod[[#This Row],[S1Cavity]],Prod[[#This Row],[S2Cavity]],Prod[[#This Row],[S3Cavity]])</f>
        <v>0</v>
      </c>
      <c r="BD10" s="147" t="b">
        <f>RegExpMatch(Prod[[#This Row],[MoldNo]], "^MEO-(B|C)")</f>
        <v>1</v>
      </c>
    </row>
    <row r="11" spans="1:56" x14ac:dyDescent="0.2">
      <c r="A11" s="117">
        <v>45413</v>
      </c>
      <c r="B11" s="131" t="s">
        <v>177</v>
      </c>
      <c r="C11" s="132" t="s">
        <v>157</v>
      </c>
      <c r="D11" s="119"/>
      <c r="E11" s="132"/>
      <c r="F11" s="119"/>
      <c r="G11" s="119" t="str">
        <f>IF(OR(Prod[[#This Row],[S1Hrs]]&gt;0,Prod[[#This Row],[S2Hrs]]&gt;0,Prod[[#This Row],[S3Hrs]]&gt;0),"Running","Down")</f>
        <v>Down</v>
      </c>
      <c r="H11" s="157">
        <v>0</v>
      </c>
      <c r="I11" s="156">
        <v>0</v>
      </c>
      <c r="J11" s="120">
        <v>0</v>
      </c>
      <c r="K11" s="131">
        <v>0</v>
      </c>
      <c r="L11" s="120">
        <f>Prod[[#This Row],[S1Shot]]*Prod[[#This Row],[S1Cavity]]-Prod[[#This Row],[S1Dft]]</f>
        <v>0</v>
      </c>
      <c r="M11" s="137">
        <f>SUM(Prod[[#This Row],[S1Mold]],Prod[[#This Row],[S1Print]],Prod[[#This Row],[S1Ovlp]],Prod[[#This Row],[S1Seam]],Prod[[#This Row],[S1Dmg]])</f>
        <v>0</v>
      </c>
      <c r="N11" s="157">
        <v>0</v>
      </c>
      <c r="O11" s="156">
        <v>0</v>
      </c>
      <c r="P11" s="120">
        <v>0</v>
      </c>
      <c r="Q11" s="131">
        <v>0</v>
      </c>
      <c r="R11" s="120">
        <f>Prod[[#This Row],[S2Shot]]*Prod[[#This Row],[S2Cavity]]-Prod[[#This Row],[S2Dft]]</f>
        <v>0</v>
      </c>
      <c r="S11" s="137">
        <f>SUM(Prod[[#This Row],[S2Mold]],Prod[[#This Row],[S2Print]],Prod[[#This Row],[S2Ovlp]],Prod[[#This Row],[S2Seam]],Prod[[#This Row],[S2Dmg]])</f>
        <v>0</v>
      </c>
      <c r="T11" s="157">
        <v>0</v>
      </c>
      <c r="U11" s="156">
        <v>0</v>
      </c>
      <c r="V11" s="120">
        <v>0</v>
      </c>
      <c r="W11" s="131">
        <v>0</v>
      </c>
      <c r="X11" s="120">
        <f>Prod[[#This Row],[S3Shot]]*Prod[[#This Row],[S3Cavity]]-Prod[[#This Row],[S3Dft]]</f>
        <v>0</v>
      </c>
      <c r="Y11" s="120">
        <f>SUM(Prod[[#This Row],[S3Mold]],Prod[[#This Row],[S3Print]],Prod[[#This Row],[S3Ovlp]],Prod[[#This Row],[S3Seam]],Prod[[#This Row],[S3Dmg]])</f>
        <v>0</v>
      </c>
      <c r="Z11" s="120">
        <f>SUM(Prod[[#This Row],[S1Qty]],Prod[[#This Row],[S2Qty]],Prod[[#This Row],[S3Qty]])</f>
        <v>0</v>
      </c>
      <c r="AA11" s="120">
        <f>SUM(Prod[[#This Row],[S1Dft]],Prod[[#This Row],[S2Dft]],Prod[[#This Row],[S3Dft]])</f>
        <v>0</v>
      </c>
      <c r="AB11" s="121">
        <f>IF(Prod[[#This Row],[Total]]=0,0,Prod[[#This Row],[TotalDft]]/Prod[[#This Row],[Total]])</f>
        <v>0</v>
      </c>
      <c r="AC11" s="132"/>
      <c r="AD11" s="120">
        <v>0</v>
      </c>
      <c r="AE11" s="120">
        <v>0</v>
      </c>
      <c r="AF11" s="120">
        <v>0</v>
      </c>
      <c r="AG11" s="120">
        <v>0</v>
      </c>
      <c r="AH11" s="120">
        <v>0</v>
      </c>
      <c r="AI11" s="120">
        <v>0</v>
      </c>
      <c r="AJ11" s="120">
        <v>0</v>
      </c>
      <c r="AK11" s="120">
        <v>0</v>
      </c>
      <c r="AL11" s="120">
        <v>0</v>
      </c>
      <c r="AM11" s="120">
        <v>0</v>
      </c>
      <c r="AN11" s="120">
        <v>0</v>
      </c>
      <c r="AO11" s="120">
        <v>0</v>
      </c>
      <c r="AP11" s="120">
        <v>0</v>
      </c>
      <c r="AQ11" s="120">
        <v>0</v>
      </c>
      <c r="AR11" s="120">
        <v>0</v>
      </c>
      <c r="AS11" s="133">
        <f>IF(Prod[[#This Row],[S1Hrs]]=0,0,Prod[[#This Row],[S1Shot]]*Prod[[#This Row],[S1Cycle]]/(Prod[[#This Row],[S1Hrs]]*60*60))</f>
        <v>0</v>
      </c>
      <c r="AT11" s="133">
        <f>IF(Prod[[#This Row],[S2Hrs]]=0,0,Prod[[#This Row],[S2Shot]]*Prod[[#This Row],[S2Cycle]]/(Prod[[#This Row],[S2Hrs]]*60*60))</f>
        <v>0</v>
      </c>
      <c r="AU11" s="133">
        <f>IF(Prod[[#This Row],[S3Hrs]]=0,0,Prod[[#This Row],[S3Shot]]*Prod[[#This Row],[S3Cycle]]/(Prod[[#This Row],[S3Hrs]]*60*60))</f>
        <v>0</v>
      </c>
      <c r="AV11" s="133">
        <f>IFERROR(AVERAGEIF(Prod[[#This Row],[S1%]:[S3%]], "&lt;&gt;0"),0)</f>
        <v>0</v>
      </c>
      <c r="AW11" s="133">
        <v>0</v>
      </c>
      <c r="AX11" s="133">
        <v>0</v>
      </c>
      <c r="AY11" s="133">
        <v>0</v>
      </c>
      <c r="AZ11" s="147">
        <f>IF(Prod[[#This Row],[S1Cycle]]&lt;&gt;0,1,0)</f>
        <v>0</v>
      </c>
      <c r="BA11" s="147">
        <f>IF(Prod[[#This Row],[S2Cycle]]&lt;&gt;0,1,0)</f>
        <v>0</v>
      </c>
      <c r="BB11" s="147">
        <f>IF(Prod[[#This Row],[S3Cycle]]&lt;&gt;0,1,0)</f>
        <v>0</v>
      </c>
      <c r="BC11" s="147">
        <f>MAX(Prod[[#This Row],[S1Cavity]],Prod[[#This Row],[S2Cavity]],Prod[[#This Row],[S3Cavity]])</f>
        <v>0</v>
      </c>
      <c r="BD11" s="147" t="b">
        <f>RegExpMatch(Prod[[#This Row],[MoldNo]], "^MEO-(B|C)")</f>
        <v>1</v>
      </c>
    </row>
    <row r="12" spans="1:56" x14ac:dyDescent="0.2">
      <c r="A12" s="117">
        <v>45414</v>
      </c>
      <c r="B12" s="131" t="s">
        <v>158</v>
      </c>
      <c r="C12" s="132" t="s">
        <v>191</v>
      </c>
      <c r="D12" s="119">
        <v>27121</v>
      </c>
      <c r="E12" s="132" t="s">
        <v>189</v>
      </c>
      <c r="F12" s="119">
        <v>814</v>
      </c>
      <c r="G12" s="119" t="str">
        <f>IF(OR(Prod[[#This Row],[S1Hrs]]&gt;0,Prod[[#This Row],[S2Hrs]]&gt;0,Prod[[#This Row],[S3Hrs]]&gt;0),"Running","Down")</f>
        <v>Running</v>
      </c>
      <c r="H12" s="157">
        <v>18.28</v>
      </c>
      <c r="I12" s="156">
        <v>6</v>
      </c>
      <c r="J12" s="120">
        <v>1192</v>
      </c>
      <c r="K12" s="131">
        <v>4</v>
      </c>
      <c r="L12" s="120">
        <f>Prod[[#This Row],[S1Shot]]*Prod[[#This Row],[S1Cavity]]-Prod[[#This Row],[S1Dft]]</f>
        <v>4764</v>
      </c>
      <c r="M12" s="137">
        <f>SUM(Prod[[#This Row],[S1Mold]],Prod[[#This Row],[S1Print]],Prod[[#This Row],[S1Ovlp]],Prod[[#This Row],[S1Seam]],Prod[[#This Row],[S1Dmg]])</f>
        <v>4</v>
      </c>
      <c r="N12" s="157">
        <v>19.3</v>
      </c>
      <c r="O12" s="156">
        <v>8</v>
      </c>
      <c r="P12" s="120">
        <v>1472</v>
      </c>
      <c r="Q12" s="131">
        <v>8</v>
      </c>
      <c r="R12" s="120">
        <f>Prod[[#This Row],[S2Shot]]*Prod[[#This Row],[S2Cavity]]-Prod[[#This Row],[S2Dft]]</f>
        <v>11771</v>
      </c>
      <c r="S12" s="137">
        <f>SUM(Prod[[#This Row],[S2Mold]],Prod[[#This Row],[S2Print]],Prod[[#This Row],[S2Ovlp]],Prod[[#This Row],[S2Seam]],Prod[[#This Row],[S2Dmg]])</f>
        <v>5</v>
      </c>
      <c r="T12" s="157">
        <v>0</v>
      </c>
      <c r="U12" s="156">
        <v>0</v>
      </c>
      <c r="V12" s="120">
        <v>0</v>
      </c>
      <c r="W12" s="131">
        <v>0</v>
      </c>
      <c r="X12" s="120">
        <f>Prod[[#This Row],[S3Shot]]*Prod[[#This Row],[S3Cavity]]-Prod[[#This Row],[S3Dft]]</f>
        <v>0</v>
      </c>
      <c r="Y12" s="120">
        <f>SUM(Prod[[#This Row],[S3Mold]],Prod[[#This Row],[S3Print]],Prod[[#This Row],[S3Ovlp]],Prod[[#This Row],[S3Seam]],Prod[[#This Row],[S3Dmg]])</f>
        <v>0</v>
      </c>
      <c r="Z12" s="120">
        <f>SUM(Prod[[#This Row],[S1Qty]],Prod[[#This Row],[S2Qty]],Prod[[#This Row],[S3Qty]])</f>
        <v>16535</v>
      </c>
      <c r="AA12" s="120">
        <f>SUM(Prod[[#This Row],[S1Dft]],Prod[[#This Row],[S2Dft]],Prod[[#This Row],[S3Dft]])</f>
        <v>9</v>
      </c>
      <c r="AB12" s="121">
        <f>IF(Prod[[#This Row],[Total]]=0,0,Prod[[#This Row],[TotalDft]]/Prod[[#This Row],[Total]])</f>
        <v>5.4429996976111282E-4</v>
      </c>
      <c r="AC12" s="118"/>
      <c r="AD12" s="120">
        <v>4</v>
      </c>
      <c r="AE12" s="120">
        <v>5</v>
      </c>
      <c r="AF12" s="120">
        <v>0</v>
      </c>
      <c r="AG12" s="120">
        <v>0</v>
      </c>
      <c r="AH12" s="120">
        <v>0</v>
      </c>
      <c r="AI12" s="120">
        <v>0</v>
      </c>
      <c r="AJ12" s="120">
        <v>0</v>
      </c>
      <c r="AK12" s="120">
        <v>0</v>
      </c>
      <c r="AL12" s="120">
        <v>0</v>
      </c>
      <c r="AM12" s="120">
        <v>0</v>
      </c>
      <c r="AN12" s="120">
        <v>0</v>
      </c>
      <c r="AO12" s="120">
        <v>0</v>
      </c>
      <c r="AP12" s="120">
        <v>0</v>
      </c>
      <c r="AQ12" s="120">
        <v>0</v>
      </c>
      <c r="AR12" s="120">
        <v>0</v>
      </c>
      <c r="AS12" s="133">
        <f>IF(Prod[[#This Row],[S1Hrs]]=0,0,Prod[[#This Row],[S1Shot]]*Prod[[#This Row],[S1Cycle]]/(Prod[[#This Row],[S1Hrs]]*60*60))</f>
        <v>1.0087851851851852</v>
      </c>
      <c r="AT12" s="133">
        <f>IF(Prod[[#This Row],[S2Hrs]]=0,0,Prod[[#This Row],[S2Shot]]*Prod[[#This Row],[S2Cycle]]/(Prod[[#This Row],[S2Hrs]]*60*60))</f>
        <v>0.98644444444444457</v>
      </c>
      <c r="AU12" s="133">
        <f>IF(Prod[[#This Row],[S3Hrs]]=0,0,Prod[[#This Row],[S3Shot]]*Prod[[#This Row],[S3Cycle]]/(Prod[[#This Row],[S3Hrs]]*60*60))</f>
        <v>0</v>
      </c>
      <c r="AV12" s="133">
        <f>IFERROR(AVERAGEIF(Prod[[#This Row],[S1%]:[S3%]], "&lt;&gt;0"),0)</f>
        <v>0.99761481481481495</v>
      </c>
      <c r="AW12" s="133">
        <v>0</v>
      </c>
      <c r="AX12" s="133">
        <v>0</v>
      </c>
      <c r="AY12" s="133">
        <v>0</v>
      </c>
      <c r="AZ12" s="147">
        <f>IF(Prod[[#This Row],[S1Cycle]]&lt;&gt;0,1,0)</f>
        <v>1</v>
      </c>
      <c r="BA12" s="147">
        <f>IF(Prod[[#This Row],[S2Cycle]]&lt;&gt;0,1,0)</f>
        <v>1</v>
      </c>
      <c r="BB12" s="147">
        <f>IF(Prod[[#This Row],[S3Cycle]]&lt;&gt;0,1,0)</f>
        <v>0</v>
      </c>
      <c r="BC12" s="147">
        <f>MAX(Prod[[#This Row],[S1Cavity]],Prod[[#This Row],[S2Cavity]],Prod[[#This Row],[S3Cavity]])</f>
        <v>8</v>
      </c>
      <c r="BD12" s="147" t="b">
        <f>RegExpMatch(Prod[[#This Row],[MoldNo]], "^MEO-(B|C)")</f>
        <v>1</v>
      </c>
    </row>
    <row r="13" spans="1:56" x14ac:dyDescent="0.2">
      <c r="A13" s="117">
        <v>45414</v>
      </c>
      <c r="B13" s="131" t="s">
        <v>187</v>
      </c>
      <c r="C13" s="132" t="s">
        <v>178</v>
      </c>
      <c r="D13" s="119">
        <v>27570</v>
      </c>
      <c r="E13" s="132" t="s">
        <v>92</v>
      </c>
      <c r="F13" s="119">
        <v>2304</v>
      </c>
      <c r="G13" s="119" t="str">
        <f>IF(OR(Prod[[#This Row],[S1Hrs]]&gt;0,Prod[[#This Row],[S2Hrs]]&gt;0,Prod[[#This Row],[S3Hrs]]&gt;0),"Running","Down")</f>
        <v>Running</v>
      </c>
      <c r="H13" s="157">
        <v>14.92</v>
      </c>
      <c r="I13" s="156">
        <v>8</v>
      </c>
      <c r="J13" s="120">
        <v>1946</v>
      </c>
      <c r="K13" s="131">
        <v>16</v>
      </c>
      <c r="L13" s="120">
        <f>Prod[[#This Row],[S1Shot]]*Prod[[#This Row],[S1Cavity]]-Prod[[#This Row],[S1Dft]]</f>
        <v>31136</v>
      </c>
      <c r="M13" s="135"/>
      <c r="N13" s="157">
        <v>14.92</v>
      </c>
      <c r="O13" s="156">
        <v>8</v>
      </c>
      <c r="P13" s="120">
        <v>2094</v>
      </c>
      <c r="Q13" s="131">
        <v>16</v>
      </c>
      <c r="R13" s="120">
        <f>Prod[[#This Row],[S2Shot]]*Prod[[#This Row],[S2Cavity]]-Prod[[#This Row],[S2Dft]]</f>
        <v>33504</v>
      </c>
      <c r="S13" s="135"/>
      <c r="T13" s="157">
        <v>14.92</v>
      </c>
      <c r="U13" s="156">
        <v>8</v>
      </c>
      <c r="V13" s="120">
        <v>1808</v>
      </c>
      <c r="W13" s="131">
        <v>16</v>
      </c>
      <c r="X13" s="120">
        <f>Prod[[#This Row],[S3Shot]]*Prod[[#This Row],[S3Cavity]]-Prod[[#This Row],[S3Dft]]</f>
        <v>28928</v>
      </c>
      <c r="Y13" s="135"/>
      <c r="Z13" s="120">
        <f>SUM(Prod[[#This Row],[S1Qty]],Prod[[#This Row],[S2Qty]],Prod[[#This Row],[S3Qty]])</f>
        <v>93568</v>
      </c>
      <c r="AA13" s="135"/>
      <c r="AB13" s="136"/>
      <c r="AC13" s="118"/>
      <c r="AD13" s="135"/>
      <c r="AE13" s="135"/>
      <c r="AF13" s="135"/>
      <c r="AG13" s="135"/>
      <c r="AH13" s="135"/>
      <c r="AI13" s="135"/>
      <c r="AJ13" s="135"/>
      <c r="AK13" s="135"/>
      <c r="AL13" s="135"/>
      <c r="AM13" s="135"/>
      <c r="AN13" s="135"/>
      <c r="AO13" s="135"/>
      <c r="AP13" s="135"/>
      <c r="AQ13" s="135"/>
      <c r="AR13" s="135"/>
      <c r="AS13" s="133">
        <f>IF(Prod[[#This Row],[S1Hrs]]=0,0,Prod[[#This Row],[S1Shot]]*Prod[[#This Row],[S1Cycle]]/(Prod[[#This Row],[S1Hrs]]*60*60))</f>
        <v>1.0081361111111111</v>
      </c>
      <c r="AT13" s="133">
        <f>IF(Prod[[#This Row],[S2Hrs]]=0,0,Prod[[#This Row],[S2Shot]]*Prod[[#This Row],[S2Cycle]]/(Prod[[#This Row],[S2Hrs]]*60*60))</f>
        <v>1.0848083333333334</v>
      </c>
      <c r="AU13" s="133">
        <f>IF(Prod[[#This Row],[S3Hrs]]=0,0,Prod[[#This Row],[S3Shot]]*Prod[[#This Row],[S3Cycle]]/(Prod[[#This Row],[S3Hrs]]*60*60))</f>
        <v>0.9366444444444445</v>
      </c>
      <c r="AV13" s="133">
        <f>IFERROR(AVERAGEIF(Prod[[#This Row],[S1%]:[S3%]], "&lt;&gt;0"),0)</f>
        <v>1.009862962962963</v>
      </c>
      <c r="AW13" s="133">
        <v>0</v>
      </c>
      <c r="AX13" s="133">
        <v>0</v>
      </c>
      <c r="AY13" s="133">
        <v>0</v>
      </c>
      <c r="AZ13" s="147">
        <f>IF(Prod[[#This Row],[S1Cycle]]&lt;&gt;0,1,0)</f>
        <v>1</v>
      </c>
      <c r="BA13" s="147">
        <f>IF(Prod[[#This Row],[S2Cycle]]&lt;&gt;0,1,0)</f>
        <v>1</v>
      </c>
      <c r="BB13" s="147">
        <f>IF(Prod[[#This Row],[S3Cycle]]&lt;&gt;0,1,0)</f>
        <v>1</v>
      </c>
      <c r="BC13" s="147">
        <f>MAX(Prod[[#This Row],[S1Cavity]],Prod[[#This Row],[S2Cavity]],Prod[[#This Row],[S3Cavity]])</f>
        <v>16</v>
      </c>
      <c r="BD13" s="147" t="b">
        <f>RegExpMatch(Prod[[#This Row],[MoldNo]], "^MEO-(B|C)")</f>
        <v>0</v>
      </c>
    </row>
    <row r="14" spans="1:56" x14ac:dyDescent="0.2">
      <c r="A14" s="117">
        <v>45414</v>
      </c>
      <c r="B14" s="131" t="s">
        <v>181</v>
      </c>
      <c r="C14" s="132" t="s">
        <v>182</v>
      </c>
      <c r="D14" s="119">
        <v>26680</v>
      </c>
      <c r="E14" s="132" t="s">
        <v>185</v>
      </c>
      <c r="F14" s="119">
        <v>6331</v>
      </c>
      <c r="G14" s="119" t="str">
        <f>IF(OR(Prod[[#This Row],[S1Hrs]]&gt;0,Prod[[#This Row],[S2Hrs]]&gt;0,Prod[[#This Row],[S3Hrs]]&gt;0),"Running","Down")</f>
        <v>Running</v>
      </c>
      <c r="H14" s="157">
        <v>34.299999999999997</v>
      </c>
      <c r="I14" s="156">
        <v>8</v>
      </c>
      <c r="J14" s="120">
        <v>838</v>
      </c>
      <c r="K14" s="131">
        <v>16</v>
      </c>
      <c r="L14" s="120">
        <f>Prod[[#This Row],[S1Shot]]*Prod[[#This Row],[S1Cavity]]-Prod[[#This Row],[S1Dft]]</f>
        <v>13405</v>
      </c>
      <c r="M14" s="137">
        <f>SUM(Prod[[#This Row],[S1Mold]],Prod[[#This Row],[S1Print]],Prod[[#This Row],[S1Ovlp]],Prod[[#This Row],[S1Seam]],Prod[[#This Row],[S1Dmg]])</f>
        <v>3</v>
      </c>
      <c r="N14" s="157">
        <v>34.29</v>
      </c>
      <c r="O14" s="156">
        <v>8</v>
      </c>
      <c r="P14" s="120">
        <v>903</v>
      </c>
      <c r="Q14" s="131">
        <v>16</v>
      </c>
      <c r="R14" s="120">
        <f>Prod[[#This Row],[S2Shot]]*Prod[[#This Row],[S2Cavity]]-Prod[[#This Row],[S2Dft]]</f>
        <v>14443</v>
      </c>
      <c r="S14" s="137">
        <f>SUM(Prod[[#This Row],[S2Mold]],Prod[[#This Row],[S2Print]],Prod[[#This Row],[S2Ovlp]],Prod[[#This Row],[S2Seam]],Prod[[#This Row],[S2Dmg]])</f>
        <v>5</v>
      </c>
      <c r="T14" s="157">
        <v>34.299999999999997</v>
      </c>
      <c r="U14" s="156">
        <v>8</v>
      </c>
      <c r="V14" s="120">
        <v>767</v>
      </c>
      <c r="W14" s="131">
        <v>16</v>
      </c>
      <c r="X14" s="120">
        <f>Prod[[#This Row],[S3Shot]]*Prod[[#This Row],[S3Cavity]]-Prod[[#This Row],[S3Dft]]</f>
        <v>12268</v>
      </c>
      <c r="Y14" s="120">
        <f>SUM(Prod[[#This Row],[S3Mold]],Prod[[#This Row],[S3Print]],Prod[[#This Row],[S3Ovlp]],Prod[[#This Row],[S3Seam]],Prod[[#This Row],[S3Dmg]])</f>
        <v>4</v>
      </c>
      <c r="Z14" s="120">
        <f>SUM(Prod[[#This Row],[S1Qty]],Prod[[#This Row],[S2Qty]],Prod[[#This Row],[S3Qty]])</f>
        <v>40116</v>
      </c>
      <c r="AA14" s="120">
        <f>SUM(Prod[[#This Row],[S1Dft]],Prod[[#This Row],[S2Dft]],Prod[[#This Row],[S3Dft]])</f>
        <v>12</v>
      </c>
      <c r="AB14" s="121">
        <f>IF(Prod[[#This Row],[Total]]=0,0,Prod[[#This Row],[TotalDft]]/Prod[[#This Row],[Total]])</f>
        <v>2.9913251570445708E-4</v>
      </c>
      <c r="AC14" s="118"/>
      <c r="AD14" s="120">
        <v>3</v>
      </c>
      <c r="AE14" s="120">
        <v>5</v>
      </c>
      <c r="AF14" s="120">
        <v>4</v>
      </c>
      <c r="AG14" s="120">
        <v>0</v>
      </c>
      <c r="AH14" s="120">
        <v>0</v>
      </c>
      <c r="AI14" s="120">
        <v>0</v>
      </c>
      <c r="AJ14" s="120">
        <v>0</v>
      </c>
      <c r="AK14" s="120">
        <v>0</v>
      </c>
      <c r="AL14" s="120">
        <v>0</v>
      </c>
      <c r="AM14" s="120">
        <v>0</v>
      </c>
      <c r="AN14" s="120">
        <v>0</v>
      </c>
      <c r="AO14" s="120">
        <v>0</v>
      </c>
      <c r="AP14" s="120">
        <v>0</v>
      </c>
      <c r="AQ14" s="120">
        <v>0</v>
      </c>
      <c r="AR14" s="120">
        <v>0</v>
      </c>
      <c r="AS14" s="133">
        <f>IF(Prod[[#This Row],[S1Hrs]]=0,0,Prod[[#This Row],[S1Shot]]*Prod[[#This Row],[S1Cycle]]/(Prod[[#This Row],[S1Hrs]]*60*60))</f>
        <v>0.99803472222222211</v>
      </c>
      <c r="AT14" s="133">
        <f>IF(Prod[[#This Row],[S2Hrs]]=0,0,Prod[[#This Row],[S2Shot]]*Prod[[#This Row],[S2Cycle]]/(Prod[[#This Row],[S2Hrs]]*60*60))</f>
        <v>1.075134375</v>
      </c>
      <c r="AU14" s="133">
        <f>IF(Prod[[#This Row],[S3Hrs]]=0,0,Prod[[#This Row],[S3Shot]]*Prod[[#This Row],[S3Cycle]]/(Prod[[#This Row],[S3Hrs]]*60*60))</f>
        <v>0.91347569444444443</v>
      </c>
      <c r="AV14" s="133">
        <f>IFERROR(AVERAGEIF(Prod[[#This Row],[S1%]:[S3%]], "&lt;&gt;0"),0)</f>
        <v>0.99554826388888884</v>
      </c>
      <c r="AW14" s="133">
        <v>0</v>
      </c>
      <c r="AX14" s="133">
        <v>0</v>
      </c>
      <c r="AY14" s="133">
        <v>0</v>
      </c>
      <c r="AZ14" s="147">
        <f>IF(Prod[[#This Row],[S1Cycle]]&lt;&gt;0,1,0)</f>
        <v>1</v>
      </c>
      <c r="BA14" s="147">
        <f>IF(Prod[[#This Row],[S2Cycle]]&lt;&gt;0,1,0)</f>
        <v>1</v>
      </c>
      <c r="BB14" s="147">
        <f>IF(Prod[[#This Row],[S3Cycle]]&lt;&gt;0,1,0)</f>
        <v>1</v>
      </c>
      <c r="BC14" s="147">
        <f>MAX(Prod[[#This Row],[S1Cavity]],Prod[[#This Row],[S2Cavity]],Prod[[#This Row],[S3Cavity]])</f>
        <v>16</v>
      </c>
      <c r="BD14" s="147" t="b">
        <f>RegExpMatch(Prod[[#This Row],[MoldNo]], "^MEO-(B|C)")</f>
        <v>1</v>
      </c>
    </row>
    <row r="15" spans="1:56" x14ac:dyDescent="0.2">
      <c r="A15" s="117">
        <v>45414</v>
      </c>
      <c r="B15" s="131" t="s">
        <v>179</v>
      </c>
      <c r="C15" s="132" t="s">
        <v>180</v>
      </c>
      <c r="D15" s="119">
        <v>26680</v>
      </c>
      <c r="E15" s="132" t="s">
        <v>185</v>
      </c>
      <c r="F15" s="119">
        <v>6331</v>
      </c>
      <c r="G15" s="119" t="str">
        <f>IF(OR(Prod[[#This Row],[S1Hrs]]&gt;0,Prod[[#This Row],[S2Hrs]]&gt;0,Prod[[#This Row],[S3Hrs]]&gt;0),"Running","Down")</f>
        <v>Running</v>
      </c>
      <c r="H15" s="157">
        <v>18.559999999999999</v>
      </c>
      <c r="I15" s="156">
        <v>8</v>
      </c>
      <c r="J15" s="120">
        <v>1581</v>
      </c>
      <c r="K15" s="131">
        <v>15</v>
      </c>
      <c r="L15" s="120">
        <f>Prod[[#This Row],[S1Shot]]*Prod[[#This Row],[S1Cavity]]-Prod[[#This Row],[S1Dft]]</f>
        <v>23715</v>
      </c>
      <c r="M15" s="135"/>
      <c r="N15" s="157">
        <v>18.55</v>
      </c>
      <c r="O15" s="156">
        <v>8</v>
      </c>
      <c r="P15" s="120">
        <v>1367</v>
      </c>
      <c r="Q15" s="131">
        <v>15</v>
      </c>
      <c r="R15" s="120">
        <f>Prod[[#This Row],[S2Shot]]*Prod[[#This Row],[S2Cavity]]-Prod[[#This Row],[S2Dft]]</f>
        <v>20505</v>
      </c>
      <c r="S15" s="135"/>
      <c r="T15" s="157">
        <v>18.55</v>
      </c>
      <c r="U15" s="156">
        <v>8</v>
      </c>
      <c r="V15" s="120">
        <v>1471</v>
      </c>
      <c r="W15" s="131">
        <v>15</v>
      </c>
      <c r="X15" s="120">
        <f>Prod[[#This Row],[S3Shot]]*Prod[[#This Row],[S3Cavity]]-Prod[[#This Row],[S3Dft]]</f>
        <v>22065</v>
      </c>
      <c r="Y15" s="120">
        <f>SUM(Prod[[#This Row],[S3Mold]],Prod[[#This Row],[S3Print]],Prod[[#This Row],[S3Ovlp]],Prod[[#This Row],[S3Seam]],Prod[[#This Row],[S3Dmg]])</f>
        <v>0</v>
      </c>
      <c r="Z15" s="120">
        <f>SUM(Prod[[#This Row],[S1Qty]],Prod[[#This Row],[S2Qty]],Prod[[#This Row],[S3Qty]])</f>
        <v>66285</v>
      </c>
      <c r="AA15" s="120">
        <f>SUM(Prod[[#This Row],[S1Dft]],Prod[[#This Row],[S2Dft]],Prod[[#This Row],[S3Dft]])</f>
        <v>0</v>
      </c>
      <c r="AB15" s="121">
        <f>IF(Prod[[#This Row],[Total]]=0,0,Prod[[#This Row],[TotalDft]]/Prod[[#This Row],[Total]])</f>
        <v>0</v>
      </c>
      <c r="AC15" s="132"/>
      <c r="AD15" s="135"/>
      <c r="AE15" s="135"/>
      <c r="AF15" s="135"/>
      <c r="AG15" s="135"/>
      <c r="AH15" s="135"/>
      <c r="AI15" s="135"/>
      <c r="AJ15" s="135"/>
      <c r="AK15" s="135"/>
      <c r="AL15" s="135"/>
      <c r="AM15" s="135"/>
      <c r="AN15" s="135"/>
      <c r="AO15" s="135"/>
      <c r="AP15" s="135"/>
      <c r="AQ15" s="135"/>
      <c r="AR15" s="135"/>
      <c r="AS15" s="133">
        <f>IF(Prod[[#This Row],[S1Hrs]]=0,0,Prod[[#This Row],[S1Shot]]*Prod[[#This Row],[S1Cycle]]/(Prod[[#This Row],[S1Hrs]]*60*60))</f>
        <v>1.0188666666666666</v>
      </c>
      <c r="AT15" s="133">
        <f>IF(Prod[[#This Row],[S2Hrs]]=0,0,Prod[[#This Row],[S2Shot]]*Prod[[#This Row],[S2Cycle]]/(Prod[[#This Row],[S2Hrs]]*60*60))</f>
        <v>0.88048090277777791</v>
      </c>
      <c r="AU15" s="133">
        <f>IF(Prod[[#This Row],[S3Hrs]]=0,0,Prod[[#This Row],[S3Shot]]*Prod[[#This Row],[S3Cycle]]/(Prod[[#This Row],[S3Hrs]]*60*60))</f>
        <v>0.94746701388888888</v>
      </c>
      <c r="AV15" s="133">
        <f>IFERROR(AVERAGEIF(Prod[[#This Row],[S1%]:[S3%]], "&lt;&gt;0"),0)</f>
        <v>0.94893819444444449</v>
      </c>
      <c r="AW15" s="133">
        <v>0</v>
      </c>
      <c r="AX15" s="133">
        <v>0</v>
      </c>
      <c r="AY15" s="133">
        <v>0</v>
      </c>
      <c r="AZ15" s="147">
        <f>IF(Prod[[#This Row],[S1Cycle]]&lt;&gt;0,1,0)</f>
        <v>1</v>
      </c>
      <c r="BA15" s="147">
        <f>IF(Prod[[#This Row],[S2Cycle]]&lt;&gt;0,1,0)</f>
        <v>1</v>
      </c>
      <c r="BB15" s="147">
        <f>IF(Prod[[#This Row],[S3Cycle]]&lt;&gt;0,1,0)</f>
        <v>1</v>
      </c>
      <c r="BC15" s="147">
        <f>MAX(Prod[[#This Row],[S1Cavity]],Prod[[#This Row],[S2Cavity]],Prod[[#This Row],[S3Cavity]])</f>
        <v>15</v>
      </c>
      <c r="BD15" s="147" t="b">
        <f>RegExpMatch(Prod[[#This Row],[MoldNo]], "^MEO-(B|C)")</f>
        <v>0</v>
      </c>
    </row>
    <row r="16" spans="1:56" x14ac:dyDescent="0.2">
      <c r="A16" s="117">
        <v>45414</v>
      </c>
      <c r="B16" s="131" t="s">
        <v>183</v>
      </c>
      <c r="C16" s="132" t="s">
        <v>184</v>
      </c>
      <c r="D16" s="119">
        <v>27124</v>
      </c>
      <c r="E16" s="132" t="s">
        <v>189</v>
      </c>
      <c r="F16" s="119">
        <v>814</v>
      </c>
      <c r="G16" s="119" t="str">
        <f>IF(OR(Prod[[#This Row],[S1Hrs]]&gt;0,Prod[[#This Row],[S2Hrs]]&gt;0,Prod[[#This Row],[S3Hrs]]&gt;0),"Running","Down")</f>
        <v>Running</v>
      </c>
      <c r="H16" s="157">
        <v>12.25</v>
      </c>
      <c r="I16" s="156">
        <v>4</v>
      </c>
      <c r="J16" s="120">
        <v>1120</v>
      </c>
      <c r="K16" s="131">
        <v>16</v>
      </c>
      <c r="L16" s="120">
        <f>Prod[[#This Row],[S1Shot]]*Prod[[#This Row],[S1Cavity]]-Prod[[#This Row],[S1Dft]]</f>
        <v>17912</v>
      </c>
      <c r="M16" s="137">
        <f>SUM(Prod[[#This Row],[S1Mold]],Prod[[#This Row],[S1Print]],Prod[[#This Row],[S1Ovlp]],Prod[[#This Row],[S1Seam]],Prod[[#This Row],[S1Dmg]])</f>
        <v>8</v>
      </c>
      <c r="N16" s="157">
        <v>12.25</v>
      </c>
      <c r="O16" s="156">
        <v>8</v>
      </c>
      <c r="P16" s="120">
        <v>2485</v>
      </c>
      <c r="Q16" s="131">
        <v>16</v>
      </c>
      <c r="R16" s="120">
        <f>Prod[[#This Row],[S2Shot]]*Prod[[#This Row],[S2Cavity]]-Prod[[#This Row],[S2Dft]]</f>
        <v>39755</v>
      </c>
      <c r="S16" s="137">
        <f>SUM(Prod[[#This Row],[S2Mold]],Prod[[#This Row],[S2Print]],Prod[[#This Row],[S2Ovlp]],Prod[[#This Row],[S2Seam]],Prod[[#This Row],[S2Dmg]])</f>
        <v>5</v>
      </c>
      <c r="T16" s="157">
        <v>12.25</v>
      </c>
      <c r="U16" s="156">
        <v>1.75</v>
      </c>
      <c r="V16" s="120">
        <v>507</v>
      </c>
      <c r="W16" s="131">
        <v>16</v>
      </c>
      <c r="X16" s="120">
        <f>Prod[[#This Row],[S3Shot]]*Prod[[#This Row],[S3Cavity]]-Prod[[#This Row],[S3Dft]]</f>
        <v>8102</v>
      </c>
      <c r="Y16" s="120">
        <f>SUM(Prod[[#This Row],[S3Mold]],Prod[[#This Row],[S3Print]],Prod[[#This Row],[S3Ovlp]],Prod[[#This Row],[S3Seam]],Prod[[#This Row],[S3Dmg]])</f>
        <v>10</v>
      </c>
      <c r="Z16" s="120">
        <f>SUM(Prod[[#This Row],[S1Qty]],Prod[[#This Row],[S2Qty]],Prod[[#This Row],[S3Qty]])</f>
        <v>65769</v>
      </c>
      <c r="AA16" s="120">
        <f>SUM(Prod[[#This Row],[S1Dft]],Prod[[#This Row],[S2Dft]],Prod[[#This Row],[S3Dft]])</f>
        <v>23</v>
      </c>
      <c r="AB16" s="121">
        <f>IF(Prod[[#This Row],[Total]]=0,0,Prod[[#This Row],[TotalDft]]/Prod[[#This Row],[Total]])</f>
        <v>3.4970882938770544E-4</v>
      </c>
      <c r="AC16" s="132" t="s">
        <v>204</v>
      </c>
      <c r="AD16" s="120">
        <v>8</v>
      </c>
      <c r="AE16" s="120">
        <v>5</v>
      </c>
      <c r="AF16" s="120">
        <v>10</v>
      </c>
      <c r="AG16" s="120">
        <v>0</v>
      </c>
      <c r="AH16" s="120">
        <v>0</v>
      </c>
      <c r="AI16" s="120">
        <v>0</v>
      </c>
      <c r="AJ16" s="120">
        <v>0</v>
      </c>
      <c r="AK16" s="120">
        <v>0</v>
      </c>
      <c r="AL16" s="120">
        <v>0</v>
      </c>
      <c r="AM16" s="120">
        <v>0</v>
      </c>
      <c r="AN16" s="120">
        <v>0</v>
      </c>
      <c r="AO16" s="120">
        <v>0</v>
      </c>
      <c r="AP16" s="120">
        <v>0</v>
      </c>
      <c r="AQ16" s="120">
        <v>0</v>
      </c>
      <c r="AR16" s="120">
        <v>0</v>
      </c>
      <c r="AS16" s="133">
        <f>IF(Prod[[#This Row],[S1Hrs]]=0,0,Prod[[#This Row],[S1Shot]]*Prod[[#This Row],[S1Cycle]]/(Prod[[#This Row],[S1Hrs]]*60*60))</f>
        <v>0.95277777777777772</v>
      </c>
      <c r="AT16" s="133">
        <f>IF(Prod[[#This Row],[S2Hrs]]=0,0,Prod[[#This Row],[S2Shot]]*Prod[[#This Row],[S2Cycle]]/(Prod[[#This Row],[S2Hrs]]*60*60))</f>
        <v>1.0569878472222223</v>
      </c>
      <c r="AU16" s="133">
        <f>IF(Prod[[#This Row],[S3Hrs]]=0,0,Prod[[#This Row],[S3Shot]]*Prod[[#This Row],[S3Cycle]]/(Prod[[#This Row],[S3Hrs]]*60*60))</f>
        <v>0.98583333333333334</v>
      </c>
      <c r="AV16" s="133">
        <f>IFERROR(AVERAGEIF(Prod[[#This Row],[S1%]:[S3%]], "&lt;&gt;0"),0)</f>
        <v>0.99853298611111108</v>
      </c>
      <c r="AW16" s="133">
        <v>1</v>
      </c>
      <c r="AX16" s="133">
        <v>0</v>
      </c>
      <c r="AY16" s="133">
        <v>0</v>
      </c>
      <c r="AZ16" s="147">
        <f>IF(Prod[[#This Row],[S1Cycle]]&lt;&gt;0,1,0)</f>
        <v>1</v>
      </c>
      <c r="BA16" s="147">
        <f>IF(Prod[[#This Row],[S2Cycle]]&lt;&gt;0,1,0)</f>
        <v>1</v>
      </c>
      <c r="BB16" s="147">
        <f>IF(Prod[[#This Row],[S3Cycle]]&lt;&gt;0,1,0)</f>
        <v>1</v>
      </c>
      <c r="BC16" s="147">
        <f>MAX(Prod[[#This Row],[S1Cavity]],Prod[[#This Row],[S2Cavity]],Prod[[#This Row],[S3Cavity]])</f>
        <v>16</v>
      </c>
      <c r="BD16" s="147" t="b">
        <f>RegExpMatch(Prod[[#This Row],[MoldNo]], "^MEO-(B|C)")</f>
        <v>1</v>
      </c>
    </row>
    <row r="17" spans="1:56" x14ac:dyDescent="0.2">
      <c r="A17" s="117">
        <v>45414</v>
      </c>
      <c r="B17" s="131" t="s">
        <v>177</v>
      </c>
      <c r="C17" s="132" t="s">
        <v>157</v>
      </c>
      <c r="D17" s="119"/>
      <c r="E17" s="132"/>
      <c r="F17" s="119"/>
      <c r="G17" s="119" t="str">
        <f>IF(OR(Prod[[#This Row],[S1Hrs]]&gt;0,Prod[[#This Row],[S2Hrs]]&gt;0,Prod[[#This Row],[S3Hrs]]&gt;0),"Running","Down")</f>
        <v>Down</v>
      </c>
      <c r="H17" s="157">
        <v>0</v>
      </c>
      <c r="I17" s="156">
        <v>0</v>
      </c>
      <c r="J17" s="120">
        <v>0</v>
      </c>
      <c r="K17" s="131">
        <v>0</v>
      </c>
      <c r="L17" s="120">
        <f>Prod[[#This Row],[S1Shot]]*Prod[[#This Row],[S1Cavity]]-Prod[[#This Row],[S1Dft]]</f>
        <v>0</v>
      </c>
      <c r="M17" s="137">
        <f>SUM(Prod[[#This Row],[S1Mold]],Prod[[#This Row],[S1Print]],Prod[[#This Row],[S1Ovlp]],Prod[[#This Row],[S1Seam]],Prod[[#This Row],[S1Dmg]])</f>
        <v>0</v>
      </c>
      <c r="N17" s="157">
        <v>0</v>
      </c>
      <c r="O17" s="156">
        <v>0</v>
      </c>
      <c r="P17" s="120">
        <v>0</v>
      </c>
      <c r="Q17" s="131">
        <v>0</v>
      </c>
      <c r="R17" s="120">
        <f>Prod[[#This Row],[S2Shot]]*Prod[[#This Row],[S2Cavity]]-Prod[[#This Row],[S2Dft]]</f>
        <v>0</v>
      </c>
      <c r="S17" s="137">
        <f>SUM(Prod[[#This Row],[S2Mold]],Prod[[#This Row],[S2Print]],Prod[[#This Row],[S2Ovlp]],Prod[[#This Row],[S2Seam]],Prod[[#This Row],[S2Dmg]])</f>
        <v>0</v>
      </c>
      <c r="T17" s="157">
        <v>0</v>
      </c>
      <c r="U17" s="156">
        <v>0</v>
      </c>
      <c r="V17" s="120">
        <v>0</v>
      </c>
      <c r="W17" s="131">
        <v>0</v>
      </c>
      <c r="X17" s="120">
        <f>Prod[[#This Row],[S3Shot]]*Prod[[#This Row],[S3Cavity]]-Prod[[#This Row],[S3Dft]]</f>
        <v>0</v>
      </c>
      <c r="Y17" s="120">
        <f>SUM(Prod[[#This Row],[S3Mold]],Prod[[#This Row],[S3Print]],Prod[[#This Row],[S3Ovlp]],Prod[[#This Row],[S3Seam]],Prod[[#This Row],[S3Dmg]])</f>
        <v>0</v>
      </c>
      <c r="Z17" s="120">
        <f>SUM(Prod[[#This Row],[S1Qty]],Prod[[#This Row],[S2Qty]],Prod[[#This Row],[S3Qty]])</f>
        <v>0</v>
      </c>
      <c r="AA17" s="120">
        <f>SUM(Prod[[#This Row],[S1Dft]],Prod[[#This Row],[S2Dft]],Prod[[#This Row],[S3Dft]])</f>
        <v>0</v>
      </c>
      <c r="AB17" s="121">
        <f>IF(Prod[[#This Row],[Total]]=0,0,Prod[[#This Row],[TotalDft]]/Prod[[#This Row],[Total]])</f>
        <v>0</v>
      </c>
      <c r="AC17" s="132"/>
      <c r="AD17" s="120">
        <v>0</v>
      </c>
      <c r="AE17" s="120">
        <v>0</v>
      </c>
      <c r="AF17" s="120">
        <v>0</v>
      </c>
      <c r="AG17" s="120">
        <v>0</v>
      </c>
      <c r="AH17" s="120">
        <v>0</v>
      </c>
      <c r="AI17" s="120">
        <v>0</v>
      </c>
      <c r="AJ17" s="120">
        <v>0</v>
      </c>
      <c r="AK17" s="120">
        <v>0</v>
      </c>
      <c r="AL17" s="120">
        <v>0</v>
      </c>
      <c r="AM17" s="120">
        <v>0</v>
      </c>
      <c r="AN17" s="120">
        <v>0</v>
      </c>
      <c r="AO17" s="120">
        <v>0</v>
      </c>
      <c r="AP17" s="120">
        <v>0</v>
      </c>
      <c r="AQ17" s="120">
        <v>0</v>
      </c>
      <c r="AR17" s="120">
        <v>0</v>
      </c>
      <c r="AS17" s="133">
        <f>IF(Prod[[#This Row],[S1Hrs]]=0,0,Prod[[#This Row],[S1Shot]]*Prod[[#This Row],[S1Cycle]]/(Prod[[#This Row],[S1Hrs]]*60*60))</f>
        <v>0</v>
      </c>
      <c r="AT17" s="133">
        <f>IF(Prod[[#This Row],[S2Hrs]]=0,0,Prod[[#This Row],[S2Shot]]*Prod[[#This Row],[S2Cycle]]/(Prod[[#This Row],[S2Hrs]]*60*60))</f>
        <v>0</v>
      </c>
      <c r="AU17" s="133">
        <f>IF(Prod[[#This Row],[S3Hrs]]=0,0,Prod[[#This Row],[S3Shot]]*Prod[[#This Row],[S3Cycle]]/(Prod[[#This Row],[S3Hrs]]*60*60))</f>
        <v>0</v>
      </c>
      <c r="AV17" s="133">
        <f>IFERROR(AVERAGEIF(Prod[[#This Row],[S1%]:[S3%]], "&lt;&gt;0"),0)</f>
        <v>0</v>
      </c>
      <c r="AW17" s="133">
        <v>0</v>
      </c>
      <c r="AX17" s="133">
        <v>0</v>
      </c>
      <c r="AY17" s="133">
        <v>0</v>
      </c>
      <c r="AZ17" s="147">
        <f>IF(Prod[[#This Row],[S1Cycle]]&lt;&gt;0,1,0)</f>
        <v>0</v>
      </c>
      <c r="BA17" s="147">
        <f>IF(Prod[[#This Row],[S2Cycle]]&lt;&gt;0,1,0)</f>
        <v>0</v>
      </c>
      <c r="BB17" s="147">
        <f>IF(Prod[[#This Row],[S3Cycle]]&lt;&gt;0,1,0)</f>
        <v>0</v>
      </c>
      <c r="BC17" s="147">
        <f>MAX(Prod[[#This Row],[S1Cavity]],Prod[[#This Row],[S2Cavity]],Prod[[#This Row],[S3Cavity]])</f>
        <v>0</v>
      </c>
      <c r="BD17" s="147" t="b">
        <f>RegExpMatch(Prod[[#This Row],[MoldNo]], "^MEO-(B|C)")</f>
        <v>1</v>
      </c>
    </row>
    <row r="18" spans="1:56" x14ac:dyDescent="0.2">
      <c r="A18" s="117">
        <v>45415</v>
      </c>
      <c r="B18" s="131" t="s">
        <v>158</v>
      </c>
      <c r="C18" s="132" t="s">
        <v>191</v>
      </c>
      <c r="D18" s="119"/>
      <c r="E18" s="132"/>
      <c r="F18" s="119"/>
      <c r="G18" s="119" t="str">
        <f>IF(OR(Prod[[#This Row],[S1Hrs]]&gt;0,Prod[[#This Row],[S2Hrs]]&gt;0,Prod[[#This Row],[S3Hrs]]&gt;0),"Running","Down")</f>
        <v>Down</v>
      </c>
      <c r="H18" s="157">
        <v>0</v>
      </c>
      <c r="I18" s="156">
        <v>0</v>
      </c>
      <c r="J18" s="120">
        <v>0</v>
      </c>
      <c r="K18" s="131">
        <v>0</v>
      </c>
      <c r="L18" s="120">
        <f>Prod[[#This Row],[S1Shot]]*Prod[[#This Row],[S1Cavity]]-Prod[[#This Row],[S1Dft]]</f>
        <v>0</v>
      </c>
      <c r="M18" s="137">
        <f>SUM(Prod[[#This Row],[S1Mold]],Prod[[#This Row],[S1Print]],Prod[[#This Row],[S1Ovlp]],Prod[[#This Row],[S1Seam]],Prod[[#This Row],[S1Dmg]])</f>
        <v>0</v>
      </c>
      <c r="N18" s="157">
        <v>0</v>
      </c>
      <c r="O18" s="156">
        <v>0</v>
      </c>
      <c r="P18" s="120">
        <v>0</v>
      </c>
      <c r="Q18" s="131">
        <v>0</v>
      </c>
      <c r="R18" s="120">
        <f>Prod[[#This Row],[S2Shot]]*Prod[[#This Row],[S2Cavity]]-Prod[[#This Row],[S2Dft]]</f>
        <v>0</v>
      </c>
      <c r="S18" s="137">
        <f>SUM(Prod[[#This Row],[S2Mold]],Prod[[#This Row],[S2Print]],Prod[[#This Row],[S2Ovlp]],Prod[[#This Row],[S2Seam]],Prod[[#This Row],[S2Dmg]])</f>
        <v>0</v>
      </c>
      <c r="T18" s="157">
        <v>0</v>
      </c>
      <c r="U18" s="156">
        <v>0</v>
      </c>
      <c r="V18" s="120">
        <v>0</v>
      </c>
      <c r="W18" s="131">
        <v>0</v>
      </c>
      <c r="X18" s="120">
        <f>Prod[[#This Row],[S3Shot]]*Prod[[#This Row],[S3Cavity]]-Prod[[#This Row],[S3Dft]]</f>
        <v>0</v>
      </c>
      <c r="Y18" s="120">
        <f>SUM(Prod[[#This Row],[S3Mold]],Prod[[#This Row],[S3Print]],Prod[[#This Row],[S3Ovlp]],Prod[[#This Row],[S3Seam]],Prod[[#This Row],[S3Dmg]])</f>
        <v>0</v>
      </c>
      <c r="Z18" s="120">
        <f>SUM(Prod[[#This Row],[S1Qty]],Prod[[#This Row],[S2Qty]],Prod[[#This Row],[S3Qty]])</f>
        <v>0</v>
      </c>
      <c r="AA18" s="120">
        <f>SUM(Prod[[#This Row],[S1Dft]],Prod[[#This Row],[S2Dft]],Prod[[#This Row],[S3Dft]])</f>
        <v>0</v>
      </c>
      <c r="AB18" s="121">
        <f>IF(Prod[[#This Row],[Total]]=0,0,Prod[[#This Row],[TotalDft]]/Prod[[#This Row],[Total]])</f>
        <v>0</v>
      </c>
      <c r="AC18" s="118"/>
      <c r="AD18" s="120">
        <v>0</v>
      </c>
      <c r="AE18" s="120">
        <v>0</v>
      </c>
      <c r="AF18" s="120">
        <v>0</v>
      </c>
      <c r="AG18" s="120">
        <v>0</v>
      </c>
      <c r="AH18" s="120">
        <v>0</v>
      </c>
      <c r="AI18" s="120">
        <v>0</v>
      </c>
      <c r="AJ18" s="120">
        <v>0</v>
      </c>
      <c r="AK18" s="120">
        <v>0</v>
      </c>
      <c r="AL18" s="120">
        <v>0</v>
      </c>
      <c r="AM18" s="120">
        <v>0</v>
      </c>
      <c r="AN18" s="120">
        <v>0</v>
      </c>
      <c r="AO18" s="120">
        <v>0</v>
      </c>
      <c r="AP18" s="120">
        <v>0</v>
      </c>
      <c r="AQ18" s="120">
        <v>0</v>
      </c>
      <c r="AR18" s="120">
        <v>0</v>
      </c>
      <c r="AS18" s="133">
        <f>IF(Prod[[#This Row],[S1Hrs]]=0,0,Prod[[#This Row],[S1Shot]]*Prod[[#This Row],[S1Cycle]]/(Prod[[#This Row],[S1Hrs]]*60*60))</f>
        <v>0</v>
      </c>
      <c r="AT18" s="133">
        <f>IF(Prod[[#This Row],[S2Hrs]]=0,0,Prod[[#This Row],[S2Shot]]*Prod[[#This Row],[S2Cycle]]/(Prod[[#This Row],[S2Hrs]]*60*60))</f>
        <v>0</v>
      </c>
      <c r="AU18" s="133">
        <f>IF(Prod[[#This Row],[S3Hrs]]=0,0,Prod[[#This Row],[S3Shot]]*Prod[[#This Row],[S3Cycle]]/(Prod[[#This Row],[S3Hrs]]*60*60))</f>
        <v>0</v>
      </c>
      <c r="AV18" s="133">
        <f>IFERROR(AVERAGEIF(Prod[[#This Row],[S1%]:[S3%]], "&lt;&gt;0"),0)</f>
        <v>0</v>
      </c>
      <c r="AW18" s="133">
        <v>0</v>
      </c>
      <c r="AX18" s="133">
        <v>0</v>
      </c>
      <c r="AY18" s="133">
        <v>0</v>
      </c>
      <c r="AZ18" s="147">
        <f>IF(Prod[[#This Row],[S1Cycle]]&lt;&gt;0,1,0)</f>
        <v>0</v>
      </c>
      <c r="BA18" s="147">
        <f>IF(Prod[[#This Row],[S2Cycle]]&lt;&gt;0,1,0)</f>
        <v>0</v>
      </c>
      <c r="BB18" s="147">
        <f>IF(Prod[[#This Row],[S3Cycle]]&lt;&gt;0,1,0)</f>
        <v>0</v>
      </c>
      <c r="BC18" s="147">
        <f>MAX(Prod[[#This Row],[S1Cavity]],Prod[[#This Row],[S2Cavity]],Prod[[#This Row],[S3Cavity]])</f>
        <v>0</v>
      </c>
      <c r="BD18" s="147" t="b">
        <f>RegExpMatch(Prod[[#This Row],[MoldNo]], "^MEO-(B|C)")</f>
        <v>1</v>
      </c>
    </row>
    <row r="19" spans="1:56" x14ac:dyDescent="0.2">
      <c r="A19" s="117">
        <v>45415</v>
      </c>
      <c r="B19" s="131" t="s">
        <v>187</v>
      </c>
      <c r="C19" s="132" t="s">
        <v>178</v>
      </c>
      <c r="D19" s="119">
        <v>27570</v>
      </c>
      <c r="E19" s="132" t="s">
        <v>92</v>
      </c>
      <c r="F19" s="119">
        <v>2304</v>
      </c>
      <c r="G19" s="119" t="str">
        <f>IF(OR(Prod[[#This Row],[S1Hrs]]&gt;0,Prod[[#This Row],[S2Hrs]]&gt;0,Prod[[#This Row],[S3Hrs]]&gt;0),"Running","Down")</f>
        <v>Running</v>
      </c>
      <c r="H19" s="157">
        <v>14.92</v>
      </c>
      <c r="I19" s="156">
        <v>8</v>
      </c>
      <c r="J19" s="120">
        <v>1873</v>
      </c>
      <c r="K19" s="131">
        <v>16</v>
      </c>
      <c r="L19" s="120">
        <f>Prod[[#This Row],[S1Shot]]*Prod[[#This Row],[S1Cavity]]-Prod[[#This Row],[S1Dft]]</f>
        <v>29968</v>
      </c>
      <c r="M19" s="135"/>
      <c r="N19" s="157">
        <v>14.92</v>
      </c>
      <c r="O19" s="156">
        <v>8</v>
      </c>
      <c r="P19" s="120">
        <v>2124</v>
      </c>
      <c r="Q19" s="131">
        <v>16</v>
      </c>
      <c r="R19" s="120">
        <f>Prod[[#This Row],[S2Shot]]*Prod[[#This Row],[S2Cavity]]-Prod[[#This Row],[S2Dft]]</f>
        <v>33984</v>
      </c>
      <c r="S19" s="135"/>
      <c r="T19" s="157">
        <v>14.92</v>
      </c>
      <c r="U19" s="156">
        <v>8</v>
      </c>
      <c r="V19" s="120">
        <v>1789</v>
      </c>
      <c r="W19" s="131">
        <v>16</v>
      </c>
      <c r="X19" s="120">
        <f>Prod[[#This Row],[S3Shot]]*Prod[[#This Row],[S3Cavity]]-Prod[[#This Row],[S3Dft]]</f>
        <v>28624</v>
      </c>
      <c r="Y19" s="135"/>
      <c r="Z19" s="120">
        <f>SUM(Prod[[#This Row],[S1Qty]],Prod[[#This Row],[S2Qty]],Prod[[#This Row],[S3Qty]])</f>
        <v>92576</v>
      </c>
      <c r="AA19" s="135"/>
      <c r="AB19" s="136"/>
      <c r="AC19" s="118"/>
      <c r="AD19" s="135"/>
      <c r="AE19" s="135"/>
      <c r="AF19" s="135"/>
      <c r="AG19" s="135"/>
      <c r="AH19" s="135"/>
      <c r="AI19" s="135"/>
      <c r="AJ19" s="135"/>
      <c r="AK19" s="135"/>
      <c r="AL19" s="135"/>
      <c r="AM19" s="135"/>
      <c r="AN19" s="135"/>
      <c r="AO19" s="135"/>
      <c r="AP19" s="135"/>
      <c r="AQ19" s="135"/>
      <c r="AR19" s="135"/>
      <c r="AS19" s="133">
        <f>IF(Prod[[#This Row],[S1Hrs]]=0,0,Prod[[#This Row],[S1Shot]]*Prod[[#This Row],[S1Cycle]]/(Prod[[#This Row],[S1Hrs]]*60*60))</f>
        <v>0.9703180555555555</v>
      </c>
      <c r="AT19" s="133">
        <f>IF(Prod[[#This Row],[S2Hrs]]=0,0,Prod[[#This Row],[S2Shot]]*Prod[[#This Row],[S2Cycle]]/(Prod[[#This Row],[S2Hrs]]*60*60))</f>
        <v>1.1003499999999999</v>
      </c>
      <c r="AU19" s="133">
        <f>IF(Prod[[#This Row],[S3Hrs]]=0,0,Prod[[#This Row],[S3Shot]]*Prod[[#This Row],[S3Cycle]]/(Prod[[#This Row],[S3Hrs]]*60*60))</f>
        <v>0.92680138888888897</v>
      </c>
      <c r="AV19" s="133">
        <f>IFERROR(AVERAGEIF(Prod[[#This Row],[S1%]:[S3%]], "&lt;&gt;0"),0)</f>
        <v>0.9991564814814814</v>
      </c>
      <c r="AW19" s="133">
        <v>0</v>
      </c>
      <c r="AX19" s="133">
        <v>0</v>
      </c>
      <c r="AY19" s="133">
        <v>0</v>
      </c>
      <c r="AZ19" s="147">
        <f>IF(Prod[[#This Row],[S1Cycle]]&lt;&gt;0,1,0)</f>
        <v>1</v>
      </c>
      <c r="BA19" s="147">
        <f>IF(Prod[[#This Row],[S2Cycle]]&lt;&gt;0,1,0)</f>
        <v>1</v>
      </c>
      <c r="BB19" s="147">
        <f>IF(Prod[[#This Row],[S3Cycle]]&lt;&gt;0,1,0)</f>
        <v>1</v>
      </c>
      <c r="BC19" s="147">
        <f>MAX(Prod[[#This Row],[S1Cavity]],Prod[[#This Row],[S2Cavity]],Prod[[#This Row],[S3Cavity]])</f>
        <v>16</v>
      </c>
      <c r="BD19" s="147" t="b">
        <f>RegExpMatch(Prod[[#This Row],[MoldNo]], "^MEO-(B|C)")</f>
        <v>0</v>
      </c>
    </row>
    <row r="20" spans="1:56" x14ac:dyDescent="0.2">
      <c r="A20" s="117">
        <v>45415</v>
      </c>
      <c r="B20" s="131" t="s">
        <v>181</v>
      </c>
      <c r="C20" s="132" t="s">
        <v>182</v>
      </c>
      <c r="D20" s="119">
        <v>26680</v>
      </c>
      <c r="E20" s="132" t="s">
        <v>185</v>
      </c>
      <c r="F20" s="119">
        <v>6331</v>
      </c>
      <c r="G20" s="119" t="str">
        <f>IF(OR(Prod[[#This Row],[S1Hrs]]&gt;0,Prod[[#This Row],[S2Hrs]]&gt;0,Prod[[#This Row],[S3Hrs]]&gt;0),"Running","Down")</f>
        <v>Running</v>
      </c>
      <c r="H20" s="157">
        <v>34.299999999999997</v>
      </c>
      <c r="I20" s="156">
        <v>8</v>
      </c>
      <c r="J20" s="120">
        <v>863</v>
      </c>
      <c r="K20" s="131">
        <v>16</v>
      </c>
      <c r="L20" s="120">
        <f>Prod[[#This Row],[S1Shot]]*Prod[[#This Row],[S1Cavity]]-Prod[[#This Row],[S1Dft]]</f>
        <v>13796</v>
      </c>
      <c r="M20" s="137">
        <f>SUM(Prod[[#This Row],[S1Mold]],Prod[[#This Row],[S1Print]],Prod[[#This Row],[S1Ovlp]],Prod[[#This Row],[S1Seam]],Prod[[#This Row],[S1Dmg]])</f>
        <v>12</v>
      </c>
      <c r="N20" s="157">
        <v>34.299999999999997</v>
      </c>
      <c r="O20" s="156">
        <v>8</v>
      </c>
      <c r="P20" s="120">
        <v>720</v>
      </c>
      <c r="Q20" s="131">
        <v>16</v>
      </c>
      <c r="R20" s="120">
        <f>Prod[[#This Row],[S2Shot]]*Prod[[#This Row],[S2Cavity]]-Prod[[#This Row],[S2Dft]]</f>
        <v>11512</v>
      </c>
      <c r="S20" s="137">
        <f>SUM(Prod[[#This Row],[S2Mold]],Prod[[#This Row],[S2Print]],Prod[[#This Row],[S2Ovlp]],Prod[[#This Row],[S2Seam]],Prod[[#This Row],[S2Dmg]])</f>
        <v>8</v>
      </c>
      <c r="T20" s="157">
        <v>34.29</v>
      </c>
      <c r="U20" s="156">
        <v>8</v>
      </c>
      <c r="V20" s="120">
        <v>825</v>
      </c>
      <c r="W20" s="131">
        <v>16</v>
      </c>
      <c r="X20" s="120">
        <f>Prod[[#This Row],[S3Shot]]*Prod[[#This Row],[S3Cavity]]-Prod[[#This Row],[S3Dft]]</f>
        <v>13195</v>
      </c>
      <c r="Y20" s="120">
        <f>SUM(Prod[[#This Row],[S3Mold]],Prod[[#This Row],[S3Print]],Prod[[#This Row],[S3Ovlp]],Prod[[#This Row],[S3Seam]],Prod[[#This Row],[S3Dmg]])</f>
        <v>5</v>
      </c>
      <c r="Z20" s="120">
        <f>SUM(Prod[[#This Row],[S1Qty]],Prod[[#This Row],[S2Qty]],Prod[[#This Row],[S3Qty]])</f>
        <v>38503</v>
      </c>
      <c r="AA20" s="120">
        <f>SUM(Prod[[#This Row],[S1Dft]],Prod[[#This Row],[S2Dft]],Prod[[#This Row],[S3Dft]])</f>
        <v>25</v>
      </c>
      <c r="AB20" s="121">
        <f>IF(Prod[[#This Row],[Total]]=0,0,Prod[[#This Row],[TotalDft]]/Prod[[#This Row],[Total]])</f>
        <v>6.4930005454120457E-4</v>
      </c>
      <c r="AC20" s="118"/>
      <c r="AD20" s="120">
        <v>12</v>
      </c>
      <c r="AE20" s="120">
        <v>8</v>
      </c>
      <c r="AF20" s="120">
        <v>5</v>
      </c>
      <c r="AG20" s="120">
        <v>0</v>
      </c>
      <c r="AH20" s="120">
        <v>0</v>
      </c>
      <c r="AI20" s="120">
        <v>0</v>
      </c>
      <c r="AJ20" s="120">
        <v>0</v>
      </c>
      <c r="AK20" s="120">
        <v>0</v>
      </c>
      <c r="AL20" s="120">
        <v>0</v>
      </c>
      <c r="AM20" s="120">
        <v>0</v>
      </c>
      <c r="AN20" s="120">
        <v>0</v>
      </c>
      <c r="AO20" s="120">
        <v>0</v>
      </c>
      <c r="AP20" s="120">
        <v>0</v>
      </c>
      <c r="AQ20" s="120">
        <v>0</v>
      </c>
      <c r="AR20" s="120">
        <v>0</v>
      </c>
      <c r="AS20" s="133">
        <f>IF(Prod[[#This Row],[S1Hrs]]=0,0,Prod[[#This Row],[S1Shot]]*Prod[[#This Row],[S1Cycle]]/(Prod[[#This Row],[S1Hrs]]*60*60))</f>
        <v>1.0278090277777776</v>
      </c>
      <c r="AT20" s="133">
        <f>IF(Prod[[#This Row],[S2Hrs]]=0,0,Prod[[#This Row],[S2Shot]]*Prod[[#This Row],[S2Cycle]]/(Prod[[#This Row],[S2Hrs]]*60*60))</f>
        <v>0.85749999999999993</v>
      </c>
      <c r="AU20" s="133">
        <f>IF(Prod[[#This Row],[S3Hrs]]=0,0,Prod[[#This Row],[S3Shot]]*Prod[[#This Row],[S3Cycle]]/(Prod[[#This Row],[S3Hrs]]*60*60))</f>
        <v>0.98226562500000003</v>
      </c>
      <c r="AV20" s="133">
        <f>IFERROR(AVERAGEIF(Prod[[#This Row],[S1%]:[S3%]], "&lt;&gt;0"),0)</f>
        <v>0.95585821759259249</v>
      </c>
      <c r="AW20" s="133">
        <v>0</v>
      </c>
      <c r="AX20" s="133">
        <v>0</v>
      </c>
      <c r="AY20" s="133">
        <v>0</v>
      </c>
      <c r="AZ20" s="147">
        <f>IF(Prod[[#This Row],[S1Cycle]]&lt;&gt;0,1,0)</f>
        <v>1</v>
      </c>
      <c r="BA20" s="147">
        <f>IF(Prod[[#This Row],[S2Cycle]]&lt;&gt;0,1,0)</f>
        <v>1</v>
      </c>
      <c r="BB20" s="147">
        <f>IF(Prod[[#This Row],[S3Cycle]]&lt;&gt;0,1,0)</f>
        <v>1</v>
      </c>
      <c r="BC20" s="147">
        <f>MAX(Prod[[#This Row],[S1Cavity]],Prod[[#This Row],[S2Cavity]],Prod[[#This Row],[S3Cavity]])</f>
        <v>16</v>
      </c>
      <c r="BD20" s="147" t="b">
        <f>RegExpMatch(Prod[[#This Row],[MoldNo]], "^MEO-(B|C)")</f>
        <v>1</v>
      </c>
    </row>
    <row r="21" spans="1:56" x14ac:dyDescent="0.2">
      <c r="A21" s="117">
        <v>45415</v>
      </c>
      <c r="B21" s="131" t="s">
        <v>179</v>
      </c>
      <c r="C21" s="132" t="s">
        <v>180</v>
      </c>
      <c r="D21" s="119">
        <v>26680</v>
      </c>
      <c r="E21" s="132" t="s">
        <v>185</v>
      </c>
      <c r="F21" s="119">
        <v>6331</v>
      </c>
      <c r="G21" s="119" t="str">
        <f>IF(OR(Prod[[#This Row],[S1Hrs]]&gt;0,Prod[[#This Row],[S2Hrs]]&gt;0,Prod[[#This Row],[S3Hrs]]&gt;0),"Running","Down")</f>
        <v>Running</v>
      </c>
      <c r="H21" s="157">
        <v>18.559999999999999</v>
      </c>
      <c r="I21" s="156">
        <v>4</v>
      </c>
      <c r="J21" s="120">
        <v>938</v>
      </c>
      <c r="K21" s="131">
        <v>15</v>
      </c>
      <c r="L21" s="120">
        <f>Prod[[#This Row],[S1Shot]]*Prod[[#This Row],[S1Cavity]]-Prod[[#This Row],[S1Dft]]</f>
        <v>14070</v>
      </c>
      <c r="M21" s="135"/>
      <c r="N21" s="157">
        <v>18.36</v>
      </c>
      <c r="O21" s="156">
        <v>8</v>
      </c>
      <c r="P21" s="120">
        <v>1669</v>
      </c>
      <c r="Q21" s="131">
        <v>15</v>
      </c>
      <c r="R21" s="120">
        <f>Prod[[#This Row],[S2Shot]]*Prod[[#This Row],[S2Cavity]]-Prod[[#This Row],[S2Dft]]</f>
        <v>25035</v>
      </c>
      <c r="S21" s="135"/>
      <c r="T21" s="157">
        <v>18.36</v>
      </c>
      <c r="U21" s="156">
        <v>8</v>
      </c>
      <c r="V21" s="120">
        <v>1465</v>
      </c>
      <c r="W21" s="131">
        <v>15</v>
      </c>
      <c r="X21" s="120">
        <f>Prod[[#This Row],[S3Shot]]*Prod[[#This Row],[S3Cavity]]-Prod[[#This Row],[S3Dft]]</f>
        <v>21975</v>
      </c>
      <c r="Y21" s="120">
        <f>SUM(Prod[[#This Row],[S3Mold]],Prod[[#This Row],[S3Print]],Prod[[#This Row],[S3Ovlp]],Prod[[#This Row],[S3Seam]],Prod[[#This Row],[S3Dmg]])</f>
        <v>0</v>
      </c>
      <c r="Z21" s="120">
        <f>SUM(Prod[[#This Row],[S1Qty]],Prod[[#This Row],[S2Qty]],Prod[[#This Row],[S3Qty]])</f>
        <v>61080</v>
      </c>
      <c r="AA21" s="120">
        <f>SUM(Prod[[#This Row],[S1Dft]],Prod[[#This Row],[S2Dft]],Prod[[#This Row],[S3Dft]])</f>
        <v>0</v>
      </c>
      <c r="AB21" s="121">
        <f>IF(Prod[[#This Row],[Total]]=0,0,Prod[[#This Row],[TotalDft]]/Prod[[#This Row],[Total]])</f>
        <v>0</v>
      </c>
      <c r="AC21" s="132"/>
      <c r="AD21" s="135"/>
      <c r="AE21" s="135"/>
      <c r="AF21" s="135"/>
      <c r="AG21" s="135"/>
      <c r="AH21" s="135"/>
      <c r="AI21" s="135"/>
      <c r="AJ21" s="135"/>
      <c r="AK21" s="135"/>
      <c r="AL21" s="135"/>
      <c r="AM21" s="135"/>
      <c r="AN21" s="135"/>
      <c r="AO21" s="135"/>
      <c r="AP21" s="135"/>
      <c r="AQ21" s="135"/>
      <c r="AR21" s="135"/>
      <c r="AS21" s="133">
        <f>IF(Prod[[#This Row],[S1Hrs]]=0,0,Prod[[#This Row],[S1Shot]]*Prod[[#This Row],[S1Cycle]]/(Prod[[#This Row],[S1Hrs]]*60*60))</f>
        <v>1.2089777777777777</v>
      </c>
      <c r="AT21" s="133">
        <f>IF(Prod[[#This Row],[S2Hrs]]=0,0,Prod[[#This Row],[S2Shot]]*Prod[[#This Row],[S2Cycle]]/(Prod[[#This Row],[S2Hrs]]*60*60))</f>
        <v>1.0639875000000001</v>
      </c>
      <c r="AU21" s="133">
        <f>IF(Prod[[#This Row],[S3Hrs]]=0,0,Prod[[#This Row],[S3Shot]]*Prod[[#This Row],[S3Cycle]]/(Prod[[#This Row],[S3Hrs]]*60*60))</f>
        <v>0.93393749999999998</v>
      </c>
      <c r="AV21" s="133">
        <f>IFERROR(AVERAGEIF(Prod[[#This Row],[S1%]:[S3%]], "&lt;&gt;0"),0)</f>
        <v>1.0689675925925926</v>
      </c>
      <c r="AW21" s="133">
        <v>0</v>
      </c>
      <c r="AX21" s="133">
        <v>0</v>
      </c>
      <c r="AY21" s="133">
        <v>0</v>
      </c>
      <c r="AZ21" s="147">
        <f>IF(Prod[[#This Row],[S1Cycle]]&lt;&gt;0,1,0)</f>
        <v>1</v>
      </c>
      <c r="BA21" s="147">
        <f>IF(Prod[[#This Row],[S2Cycle]]&lt;&gt;0,1,0)</f>
        <v>1</v>
      </c>
      <c r="BB21" s="147">
        <f>IF(Prod[[#This Row],[S3Cycle]]&lt;&gt;0,1,0)</f>
        <v>1</v>
      </c>
      <c r="BC21" s="147">
        <f>MAX(Prod[[#This Row],[S1Cavity]],Prod[[#This Row],[S2Cavity]],Prod[[#This Row],[S3Cavity]])</f>
        <v>15</v>
      </c>
      <c r="BD21" s="147" t="b">
        <f>RegExpMatch(Prod[[#This Row],[MoldNo]], "^MEO-(B|C)")</f>
        <v>0</v>
      </c>
    </row>
    <row r="22" spans="1:56" x14ac:dyDescent="0.2">
      <c r="A22" s="117">
        <v>45415</v>
      </c>
      <c r="B22" s="131" t="s">
        <v>183</v>
      </c>
      <c r="C22" s="132" t="s">
        <v>184</v>
      </c>
      <c r="D22" s="119"/>
      <c r="E22" s="132"/>
      <c r="F22" s="119"/>
      <c r="G22" s="119" t="str">
        <f>IF(OR(Prod[[#This Row],[S1Hrs]]&gt;0,Prod[[#This Row],[S2Hrs]]&gt;0,Prod[[#This Row],[S3Hrs]]&gt;0),"Running","Down")</f>
        <v>Down</v>
      </c>
      <c r="H22" s="157">
        <v>0</v>
      </c>
      <c r="I22" s="156">
        <v>0</v>
      </c>
      <c r="J22" s="120">
        <v>0</v>
      </c>
      <c r="K22" s="131">
        <v>0</v>
      </c>
      <c r="L22" s="120">
        <f>Prod[[#This Row],[S1Shot]]*Prod[[#This Row],[S1Cavity]]-Prod[[#This Row],[S1Dft]]</f>
        <v>0</v>
      </c>
      <c r="M22" s="137">
        <f>SUM(Prod[[#This Row],[S1Mold]],Prod[[#This Row],[S1Print]],Prod[[#This Row],[S1Ovlp]],Prod[[#This Row],[S1Seam]],Prod[[#This Row],[S1Dmg]])</f>
        <v>0</v>
      </c>
      <c r="N22" s="157">
        <v>0</v>
      </c>
      <c r="O22" s="156">
        <v>0</v>
      </c>
      <c r="P22" s="120">
        <v>0</v>
      </c>
      <c r="Q22" s="131">
        <v>0</v>
      </c>
      <c r="R22" s="120">
        <f>Prod[[#This Row],[S2Shot]]*Prod[[#This Row],[S2Cavity]]-Prod[[#This Row],[S2Dft]]</f>
        <v>0</v>
      </c>
      <c r="S22" s="137">
        <f>SUM(Prod[[#This Row],[S2Mold]],Prod[[#This Row],[S2Print]],Prod[[#This Row],[S2Ovlp]],Prod[[#This Row],[S2Seam]],Prod[[#This Row],[S2Dmg]])</f>
        <v>0</v>
      </c>
      <c r="T22" s="157">
        <v>0</v>
      </c>
      <c r="U22" s="156">
        <v>0</v>
      </c>
      <c r="V22" s="120">
        <v>0</v>
      </c>
      <c r="W22" s="131">
        <v>0</v>
      </c>
      <c r="X22" s="120">
        <f>Prod[[#This Row],[S3Shot]]*Prod[[#This Row],[S3Cavity]]-Prod[[#This Row],[S3Dft]]</f>
        <v>0</v>
      </c>
      <c r="Y22" s="120">
        <f>SUM(Prod[[#This Row],[S3Mold]],Prod[[#This Row],[S3Print]],Prod[[#This Row],[S3Ovlp]],Prod[[#This Row],[S3Seam]],Prod[[#This Row],[S3Dmg]])</f>
        <v>0</v>
      </c>
      <c r="Z22" s="120">
        <f>SUM(Prod[[#This Row],[S1Qty]],Prod[[#This Row],[S2Qty]],Prod[[#This Row],[S3Qty]])</f>
        <v>0</v>
      </c>
      <c r="AA22" s="120">
        <f>SUM(Prod[[#This Row],[S1Dft]],Prod[[#This Row],[S2Dft]],Prod[[#This Row],[S3Dft]])</f>
        <v>0</v>
      </c>
      <c r="AB22" s="121">
        <f>IF(Prod[[#This Row],[Total]]=0,0,Prod[[#This Row],[TotalDft]]/Prod[[#This Row],[Total]])</f>
        <v>0</v>
      </c>
      <c r="AC22" s="118"/>
      <c r="AD22" s="120">
        <v>0</v>
      </c>
      <c r="AE22" s="120">
        <v>0</v>
      </c>
      <c r="AF22" s="120">
        <v>0</v>
      </c>
      <c r="AG22" s="120">
        <v>0</v>
      </c>
      <c r="AH22" s="120">
        <v>0</v>
      </c>
      <c r="AI22" s="120">
        <v>0</v>
      </c>
      <c r="AJ22" s="120">
        <v>0</v>
      </c>
      <c r="AK22" s="120">
        <v>0</v>
      </c>
      <c r="AL22" s="120">
        <v>0</v>
      </c>
      <c r="AM22" s="120">
        <v>0</v>
      </c>
      <c r="AN22" s="120">
        <v>0</v>
      </c>
      <c r="AO22" s="120">
        <v>0</v>
      </c>
      <c r="AP22" s="120">
        <v>0</v>
      </c>
      <c r="AQ22" s="120">
        <v>0</v>
      </c>
      <c r="AR22" s="120">
        <v>0</v>
      </c>
      <c r="AS22" s="133">
        <f>IF(Prod[[#This Row],[S1Hrs]]=0,0,Prod[[#This Row],[S1Shot]]*Prod[[#This Row],[S1Cycle]]/(Prod[[#This Row],[S1Hrs]]*60*60))</f>
        <v>0</v>
      </c>
      <c r="AT22" s="133">
        <f>IF(Prod[[#This Row],[S2Hrs]]=0,0,Prod[[#This Row],[S2Shot]]*Prod[[#This Row],[S2Cycle]]/(Prod[[#This Row],[S2Hrs]]*60*60))</f>
        <v>0</v>
      </c>
      <c r="AU22" s="133">
        <f>IF(Prod[[#This Row],[S3Hrs]]=0,0,Prod[[#This Row],[S3Shot]]*Prod[[#This Row],[S3Cycle]]/(Prod[[#This Row],[S3Hrs]]*60*60))</f>
        <v>0</v>
      </c>
      <c r="AV22" s="133">
        <f>IFERROR(AVERAGEIF(Prod[[#This Row],[S1%]:[S3%]], "&lt;&gt;0"),0)</f>
        <v>0</v>
      </c>
      <c r="AW22" s="133">
        <v>0</v>
      </c>
      <c r="AX22" s="133">
        <v>0</v>
      </c>
      <c r="AY22" s="133">
        <v>0</v>
      </c>
      <c r="AZ22" s="147">
        <f>IF(Prod[[#This Row],[S1Cycle]]&lt;&gt;0,1,0)</f>
        <v>0</v>
      </c>
      <c r="BA22" s="147">
        <f>IF(Prod[[#This Row],[S2Cycle]]&lt;&gt;0,1,0)</f>
        <v>0</v>
      </c>
      <c r="BB22" s="147">
        <f>IF(Prod[[#This Row],[S3Cycle]]&lt;&gt;0,1,0)</f>
        <v>0</v>
      </c>
      <c r="BC22" s="147">
        <f>MAX(Prod[[#This Row],[S1Cavity]],Prod[[#This Row],[S2Cavity]],Prod[[#This Row],[S3Cavity]])</f>
        <v>0</v>
      </c>
      <c r="BD22" s="147" t="b">
        <f>RegExpMatch(Prod[[#This Row],[MoldNo]], "^MEO-(B|C)")</f>
        <v>1</v>
      </c>
    </row>
    <row r="23" spans="1:56" x14ac:dyDescent="0.2">
      <c r="A23" s="117">
        <v>45415</v>
      </c>
      <c r="B23" s="131" t="s">
        <v>177</v>
      </c>
      <c r="C23" s="132" t="s">
        <v>157</v>
      </c>
      <c r="D23" s="119"/>
      <c r="E23" s="132"/>
      <c r="F23" s="119"/>
      <c r="G23" s="119" t="str">
        <f>IF(OR(Prod[[#This Row],[S1Hrs]]&gt;0,Prod[[#This Row],[S2Hrs]]&gt;0,Prod[[#This Row],[S3Hrs]]&gt;0),"Running","Down")</f>
        <v>Down</v>
      </c>
      <c r="H23" s="157">
        <v>0</v>
      </c>
      <c r="I23" s="156">
        <v>0</v>
      </c>
      <c r="J23" s="120">
        <v>0</v>
      </c>
      <c r="K23" s="131">
        <v>0</v>
      </c>
      <c r="L23" s="120">
        <f>Prod[[#This Row],[S1Shot]]*Prod[[#This Row],[S1Cavity]]-Prod[[#This Row],[S1Dft]]</f>
        <v>0</v>
      </c>
      <c r="M23" s="137">
        <f>SUM(Prod[[#This Row],[S1Mold]],Prod[[#This Row],[S1Print]],Prod[[#This Row],[S1Ovlp]],Prod[[#This Row],[S1Seam]],Prod[[#This Row],[S1Dmg]])</f>
        <v>0</v>
      </c>
      <c r="N23" s="157">
        <v>0</v>
      </c>
      <c r="O23" s="156">
        <v>0</v>
      </c>
      <c r="P23" s="120">
        <v>0</v>
      </c>
      <c r="Q23" s="131">
        <v>0</v>
      </c>
      <c r="R23" s="120">
        <f>Prod[[#This Row],[S2Shot]]*Prod[[#This Row],[S2Cavity]]-Prod[[#This Row],[S2Dft]]</f>
        <v>0</v>
      </c>
      <c r="S23" s="137">
        <f>SUM(Prod[[#This Row],[S2Mold]],Prod[[#This Row],[S2Print]],Prod[[#This Row],[S2Ovlp]],Prod[[#This Row],[S2Seam]],Prod[[#This Row],[S2Dmg]])</f>
        <v>0</v>
      </c>
      <c r="T23" s="157">
        <v>0</v>
      </c>
      <c r="U23" s="156">
        <v>0</v>
      </c>
      <c r="V23" s="120">
        <v>0</v>
      </c>
      <c r="W23" s="131">
        <v>0</v>
      </c>
      <c r="X23" s="120">
        <f>Prod[[#This Row],[S3Shot]]*Prod[[#This Row],[S3Cavity]]-Prod[[#This Row],[S3Dft]]</f>
        <v>0</v>
      </c>
      <c r="Y23" s="120">
        <f>SUM(Prod[[#This Row],[S3Mold]],Prod[[#This Row],[S3Print]],Prod[[#This Row],[S3Ovlp]],Prod[[#This Row],[S3Seam]],Prod[[#This Row],[S3Dmg]])</f>
        <v>0</v>
      </c>
      <c r="Z23" s="120">
        <f>SUM(Prod[[#This Row],[S1Qty]],Prod[[#This Row],[S2Qty]],Prod[[#This Row],[S3Qty]])</f>
        <v>0</v>
      </c>
      <c r="AA23" s="120">
        <f>SUM(Prod[[#This Row],[S1Dft]],Prod[[#This Row],[S2Dft]],Prod[[#This Row],[S3Dft]])</f>
        <v>0</v>
      </c>
      <c r="AB23" s="121">
        <f>IF(Prod[[#This Row],[Total]]=0,0,Prod[[#This Row],[TotalDft]]/Prod[[#This Row],[Total]])</f>
        <v>0</v>
      </c>
      <c r="AC23" s="132"/>
      <c r="AD23" s="120">
        <v>0</v>
      </c>
      <c r="AE23" s="120">
        <v>0</v>
      </c>
      <c r="AF23" s="120">
        <v>0</v>
      </c>
      <c r="AG23" s="120">
        <v>0</v>
      </c>
      <c r="AH23" s="120">
        <v>0</v>
      </c>
      <c r="AI23" s="120">
        <v>0</v>
      </c>
      <c r="AJ23" s="120">
        <v>0</v>
      </c>
      <c r="AK23" s="120">
        <v>0</v>
      </c>
      <c r="AL23" s="120">
        <v>0</v>
      </c>
      <c r="AM23" s="120">
        <v>0</v>
      </c>
      <c r="AN23" s="120">
        <v>0</v>
      </c>
      <c r="AO23" s="120">
        <v>0</v>
      </c>
      <c r="AP23" s="120">
        <v>0</v>
      </c>
      <c r="AQ23" s="120">
        <v>0</v>
      </c>
      <c r="AR23" s="120">
        <v>0</v>
      </c>
      <c r="AS23" s="133">
        <f>IF(Prod[[#This Row],[S1Hrs]]=0,0,Prod[[#This Row],[S1Shot]]*Prod[[#This Row],[S1Cycle]]/(Prod[[#This Row],[S1Hrs]]*60*60))</f>
        <v>0</v>
      </c>
      <c r="AT23" s="133">
        <f>IF(Prod[[#This Row],[S2Hrs]]=0,0,Prod[[#This Row],[S2Shot]]*Prod[[#This Row],[S2Cycle]]/(Prod[[#This Row],[S2Hrs]]*60*60))</f>
        <v>0</v>
      </c>
      <c r="AU23" s="133">
        <f>IF(Prod[[#This Row],[S3Hrs]]=0,0,Prod[[#This Row],[S3Shot]]*Prod[[#This Row],[S3Cycle]]/(Prod[[#This Row],[S3Hrs]]*60*60))</f>
        <v>0</v>
      </c>
      <c r="AV23" s="133">
        <f>IFERROR(AVERAGEIF(Prod[[#This Row],[S1%]:[S3%]], "&lt;&gt;0"),0)</f>
        <v>0</v>
      </c>
      <c r="AW23" s="133">
        <v>0</v>
      </c>
      <c r="AX23" s="133">
        <v>0</v>
      </c>
      <c r="AY23" s="133">
        <v>0</v>
      </c>
      <c r="AZ23" s="147">
        <f>IF(Prod[[#This Row],[S1Cycle]]&lt;&gt;0,1,0)</f>
        <v>0</v>
      </c>
      <c r="BA23" s="147">
        <f>IF(Prod[[#This Row],[S2Cycle]]&lt;&gt;0,1,0)</f>
        <v>0</v>
      </c>
      <c r="BB23" s="147">
        <f>IF(Prod[[#This Row],[S3Cycle]]&lt;&gt;0,1,0)</f>
        <v>0</v>
      </c>
      <c r="BC23" s="147">
        <f>MAX(Prod[[#This Row],[S1Cavity]],Prod[[#This Row],[S2Cavity]],Prod[[#This Row],[S3Cavity]])</f>
        <v>0</v>
      </c>
      <c r="BD23" s="147" t="b">
        <f>RegExpMatch(Prod[[#This Row],[MoldNo]], "^MEO-(B|C)")</f>
        <v>1</v>
      </c>
    </row>
    <row r="24" spans="1:56" x14ac:dyDescent="0.2">
      <c r="A24" s="117">
        <v>45416</v>
      </c>
      <c r="B24" s="131" t="s">
        <v>158</v>
      </c>
      <c r="C24" s="132" t="s">
        <v>191</v>
      </c>
      <c r="D24" s="119"/>
      <c r="E24" s="132"/>
      <c r="F24" s="119"/>
      <c r="G24" s="119" t="str">
        <f>IF(OR(Prod[[#This Row],[S1Hrs]]&gt;0,Prod[[#This Row],[S2Hrs]]&gt;0,Prod[[#This Row],[S3Hrs]]&gt;0),"Running","Down")</f>
        <v>Down</v>
      </c>
      <c r="H24" s="179">
        <v>0</v>
      </c>
      <c r="I24" s="180">
        <v>0</v>
      </c>
      <c r="J24" s="131">
        <v>0</v>
      </c>
      <c r="K24" s="131">
        <v>0</v>
      </c>
      <c r="L24" s="120">
        <f>Prod[[#This Row],[S1Shot]]*Prod[[#This Row],[S1Cavity]]-Prod[[#This Row],[S1Dft]]</f>
        <v>0</v>
      </c>
      <c r="M24" s="137">
        <f>SUM(Prod[[#This Row],[S1Mold]],Prod[[#This Row],[S1Print]],Prod[[#This Row],[S1Ovlp]],Prod[[#This Row],[S1Seam]],Prod[[#This Row],[S1Dmg]])</f>
        <v>0</v>
      </c>
      <c r="N24" s="179">
        <v>0</v>
      </c>
      <c r="O24" s="180">
        <v>0</v>
      </c>
      <c r="P24" s="131">
        <v>0</v>
      </c>
      <c r="Q24" s="131">
        <v>0</v>
      </c>
      <c r="R24" s="120">
        <f>Prod[[#This Row],[S2Shot]]*Prod[[#This Row],[S2Cavity]]-Prod[[#This Row],[S2Dft]]</f>
        <v>0</v>
      </c>
      <c r="S24" s="137">
        <f>SUM(Prod[[#This Row],[S2Mold]],Prod[[#This Row],[S2Print]],Prod[[#This Row],[S2Ovlp]],Prod[[#This Row],[S2Seam]],Prod[[#This Row],[S2Dmg]])</f>
        <v>0</v>
      </c>
      <c r="T24" s="179">
        <v>0</v>
      </c>
      <c r="U24" s="180">
        <v>0</v>
      </c>
      <c r="V24" s="131">
        <v>0</v>
      </c>
      <c r="W24" s="131">
        <v>0</v>
      </c>
      <c r="X24" s="120">
        <f>Prod[[#This Row],[S3Shot]]*Prod[[#This Row],[S3Cavity]]-Prod[[#This Row],[S3Dft]]</f>
        <v>0</v>
      </c>
      <c r="Y24" s="120">
        <f>SUM(Prod[[#This Row],[S3Mold]],Prod[[#This Row],[S3Print]],Prod[[#This Row],[S3Ovlp]],Prod[[#This Row],[S3Seam]],Prod[[#This Row],[S3Dmg]])</f>
        <v>0</v>
      </c>
      <c r="Z24" s="120">
        <f>SUM(Prod[[#This Row],[S1Qty]],Prod[[#This Row],[S2Qty]],Prod[[#This Row],[S3Qty]])</f>
        <v>0</v>
      </c>
      <c r="AA24" s="120">
        <f>SUM(Prod[[#This Row],[S1Dft]],Prod[[#This Row],[S2Dft]],Prod[[#This Row],[S3Dft]])</f>
        <v>0</v>
      </c>
      <c r="AB24" s="121">
        <f>IF(Prod[[#This Row],[Total]]=0,0,Prod[[#This Row],[TotalDft]]/Prod[[#This Row],[Total]])</f>
        <v>0</v>
      </c>
      <c r="AC24" s="118"/>
      <c r="AD24" s="120">
        <v>0</v>
      </c>
      <c r="AE24" s="120">
        <v>0</v>
      </c>
      <c r="AF24" s="120">
        <v>0</v>
      </c>
      <c r="AG24" s="120">
        <v>0</v>
      </c>
      <c r="AH24" s="120">
        <v>0</v>
      </c>
      <c r="AI24" s="120">
        <v>0</v>
      </c>
      <c r="AJ24" s="120">
        <v>0</v>
      </c>
      <c r="AK24" s="120">
        <v>0</v>
      </c>
      <c r="AL24" s="120">
        <v>0</v>
      </c>
      <c r="AM24" s="120">
        <v>0</v>
      </c>
      <c r="AN24" s="120">
        <v>0</v>
      </c>
      <c r="AO24" s="120">
        <v>0</v>
      </c>
      <c r="AP24" s="120">
        <v>0</v>
      </c>
      <c r="AQ24" s="120">
        <v>0</v>
      </c>
      <c r="AR24" s="120">
        <v>0</v>
      </c>
      <c r="AS24" s="133">
        <f>IF(Prod[[#This Row],[S1Hrs]]=0,0,Prod[[#This Row],[S1Shot]]*Prod[[#This Row],[S1Cycle]]/(Prod[[#This Row],[S1Hrs]]*60*60))</f>
        <v>0</v>
      </c>
      <c r="AT24" s="133">
        <f>IF(Prod[[#This Row],[S2Hrs]]=0,0,Prod[[#This Row],[S2Shot]]*Prod[[#This Row],[S2Cycle]]/(Prod[[#This Row],[S2Hrs]]*60*60))</f>
        <v>0</v>
      </c>
      <c r="AU24" s="133">
        <f>IF(Prod[[#This Row],[S3Hrs]]=0,0,Prod[[#This Row],[S3Shot]]*Prod[[#This Row],[S3Cycle]]/(Prod[[#This Row],[S3Hrs]]*60*60))</f>
        <v>0</v>
      </c>
      <c r="AV24" s="133">
        <f>IFERROR(AVERAGEIF(Prod[[#This Row],[S1%]:[S3%]], "&lt;&gt;0"),0)</f>
        <v>0</v>
      </c>
      <c r="AW24" s="133">
        <v>0</v>
      </c>
      <c r="AX24" s="133">
        <v>0</v>
      </c>
      <c r="AY24" s="133">
        <v>0</v>
      </c>
      <c r="AZ24" s="147">
        <f>IF(Prod[[#This Row],[S1Cycle]]&lt;&gt;0,1,0)</f>
        <v>0</v>
      </c>
      <c r="BA24" s="147">
        <f>IF(Prod[[#This Row],[S2Cycle]]&lt;&gt;0,1,0)</f>
        <v>0</v>
      </c>
      <c r="BB24" s="147">
        <f>IF(Prod[[#This Row],[S3Cycle]]&lt;&gt;0,1,0)</f>
        <v>0</v>
      </c>
      <c r="BC24" s="147">
        <f>MAX(Prod[[#This Row],[S1Cavity]],Prod[[#This Row],[S2Cavity]],Prod[[#This Row],[S3Cavity]])</f>
        <v>0</v>
      </c>
      <c r="BD24" s="147" t="b">
        <f>RegExpMatch(Prod[[#This Row],[MoldNo]], "^MEO-(B|C)")</f>
        <v>1</v>
      </c>
    </row>
    <row r="25" spans="1:56" x14ac:dyDescent="0.2">
      <c r="A25" s="117">
        <v>45416</v>
      </c>
      <c r="B25" s="131" t="s">
        <v>187</v>
      </c>
      <c r="C25" s="132" t="s">
        <v>178</v>
      </c>
      <c r="D25" s="119">
        <v>27570</v>
      </c>
      <c r="E25" s="132" t="s">
        <v>92</v>
      </c>
      <c r="F25" s="119">
        <v>2304</v>
      </c>
      <c r="G25" s="119" t="str">
        <f>IF(OR(Prod[[#This Row],[S1Hrs]]&gt;0,Prod[[#This Row],[S2Hrs]]&gt;0,Prod[[#This Row],[S3Hrs]]&gt;0),"Running","Down")</f>
        <v>Running</v>
      </c>
      <c r="H25" s="179">
        <v>14.92</v>
      </c>
      <c r="I25" s="180">
        <v>8</v>
      </c>
      <c r="J25" s="131">
        <v>1861</v>
      </c>
      <c r="K25" s="131">
        <v>16</v>
      </c>
      <c r="L25" s="120">
        <f>Prod[[#This Row],[S1Shot]]*Prod[[#This Row],[S1Cavity]]-Prod[[#This Row],[S1Dft]]</f>
        <v>29776</v>
      </c>
      <c r="M25" s="135"/>
      <c r="N25" s="179">
        <v>14.92</v>
      </c>
      <c r="O25" s="180">
        <v>8</v>
      </c>
      <c r="P25" s="131">
        <v>1830</v>
      </c>
      <c r="Q25" s="131">
        <v>16</v>
      </c>
      <c r="R25" s="120">
        <f>Prod[[#This Row],[S2Shot]]*Prod[[#This Row],[S2Cavity]]-Prod[[#This Row],[S2Dft]]</f>
        <v>29280</v>
      </c>
      <c r="S25" s="135"/>
      <c r="T25" s="179">
        <v>14.92</v>
      </c>
      <c r="U25" s="180">
        <v>8</v>
      </c>
      <c r="V25" s="131">
        <v>1834</v>
      </c>
      <c r="W25" s="131">
        <v>16</v>
      </c>
      <c r="X25" s="120">
        <f>Prod[[#This Row],[S3Shot]]*Prod[[#This Row],[S3Cavity]]-Prod[[#This Row],[S3Dft]]</f>
        <v>29344</v>
      </c>
      <c r="Y25" s="135"/>
      <c r="Z25" s="120">
        <f>SUM(Prod[[#This Row],[S1Qty]],Prod[[#This Row],[S2Qty]],Prod[[#This Row],[S3Qty]])</f>
        <v>88400</v>
      </c>
      <c r="AA25" s="135"/>
      <c r="AB25" s="136"/>
      <c r="AC25" s="118"/>
      <c r="AD25" s="135"/>
      <c r="AE25" s="135"/>
      <c r="AF25" s="135"/>
      <c r="AG25" s="135"/>
      <c r="AH25" s="135"/>
      <c r="AI25" s="135"/>
      <c r="AJ25" s="135"/>
      <c r="AK25" s="135"/>
      <c r="AL25" s="135"/>
      <c r="AM25" s="135"/>
      <c r="AN25" s="135"/>
      <c r="AO25" s="135"/>
      <c r="AP25" s="135"/>
      <c r="AQ25" s="135"/>
      <c r="AR25" s="135"/>
      <c r="AS25" s="133">
        <f>IF(Prod[[#This Row],[S1Hrs]]=0,0,Prod[[#This Row],[S1Shot]]*Prod[[#This Row],[S1Cycle]]/(Prod[[#This Row],[S1Hrs]]*60*60))</f>
        <v>0.96410138888888885</v>
      </c>
      <c r="AT25" s="133">
        <f>IF(Prod[[#This Row],[S2Hrs]]=0,0,Prod[[#This Row],[S2Shot]]*Prod[[#This Row],[S2Cycle]]/(Prod[[#This Row],[S2Hrs]]*60*60))</f>
        <v>0.94804166666666667</v>
      </c>
      <c r="AU25" s="133">
        <f>IF(Prod[[#This Row],[S3Hrs]]=0,0,Prod[[#This Row],[S3Shot]]*Prod[[#This Row],[S3Cycle]]/(Prod[[#This Row],[S3Hrs]]*60*60))</f>
        <v>0.95011388888888881</v>
      </c>
      <c r="AV25" s="133">
        <f>IFERROR(AVERAGEIF(Prod[[#This Row],[S1%]:[S3%]], "&lt;&gt;0"),0)</f>
        <v>0.95408564814814811</v>
      </c>
      <c r="AW25" s="133">
        <v>0</v>
      </c>
      <c r="AX25" s="133">
        <v>0</v>
      </c>
      <c r="AY25" s="133">
        <v>0</v>
      </c>
      <c r="AZ25" s="147">
        <f>IF(Prod[[#This Row],[S1Cycle]]&lt;&gt;0,1,0)</f>
        <v>1</v>
      </c>
      <c r="BA25" s="147">
        <f>IF(Prod[[#This Row],[S2Cycle]]&lt;&gt;0,1,0)</f>
        <v>1</v>
      </c>
      <c r="BB25" s="147">
        <f>IF(Prod[[#This Row],[S3Cycle]]&lt;&gt;0,1,0)</f>
        <v>1</v>
      </c>
      <c r="BC25" s="147">
        <f>MAX(Prod[[#This Row],[S1Cavity]],Prod[[#This Row],[S2Cavity]],Prod[[#This Row],[S3Cavity]])</f>
        <v>16</v>
      </c>
      <c r="BD25" s="147" t="b">
        <f>RegExpMatch(Prod[[#This Row],[MoldNo]], "^MEO-(B|C)")</f>
        <v>0</v>
      </c>
    </row>
    <row r="26" spans="1:56" x14ac:dyDescent="0.2">
      <c r="A26" s="117">
        <v>45416</v>
      </c>
      <c r="B26" s="131" t="s">
        <v>181</v>
      </c>
      <c r="C26" s="132" t="s">
        <v>182</v>
      </c>
      <c r="D26" s="119">
        <v>26680</v>
      </c>
      <c r="E26" s="132" t="s">
        <v>185</v>
      </c>
      <c r="F26" s="119">
        <v>6331</v>
      </c>
      <c r="G26" s="119" t="str">
        <f>IF(OR(Prod[[#This Row],[S1Hrs]]&gt;0,Prod[[#This Row],[S2Hrs]]&gt;0,Prod[[#This Row],[S3Hrs]]&gt;0),"Running","Down")</f>
        <v>Running</v>
      </c>
      <c r="H26" s="179">
        <v>34.299999999999997</v>
      </c>
      <c r="I26" s="180">
        <v>8</v>
      </c>
      <c r="J26" s="131">
        <v>840</v>
      </c>
      <c r="K26" s="131">
        <v>16</v>
      </c>
      <c r="L26" s="120">
        <f>Prod[[#This Row],[S1Shot]]*Prod[[#This Row],[S1Cavity]]-Prod[[#This Row],[S1Dft]]</f>
        <v>13425</v>
      </c>
      <c r="M26" s="137">
        <f>SUM(Prod[[#This Row],[S1Mold]],Prod[[#This Row],[S1Print]],Prod[[#This Row],[S1Ovlp]],Prod[[#This Row],[S1Seam]],Prod[[#This Row],[S1Dmg]])</f>
        <v>15</v>
      </c>
      <c r="N26" s="179">
        <v>34.299999999999997</v>
      </c>
      <c r="O26" s="180">
        <v>8</v>
      </c>
      <c r="P26" s="131">
        <v>843</v>
      </c>
      <c r="Q26" s="131">
        <v>16</v>
      </c>
      <c r="R26" s="120">
        <f>Prod[[#This Row],[S2Shot]]*Prod[[#This Row],[S2Cavity]]-Prod[[#This Row],[S2Dft]]</f>
        <v>13478</v>
      </c>
      <c r="S26" s="137">
        <f>SUM(Prod[[#This Row],[S2Mold]],Prod[[#This Row],[S2Print]],Prod[[#This Row],[S2Ovlp]],Prod[[#This Row],[S2Seam]],Prod[[#This Row],[S2Dmg]])</f>
        <v>10</v>
      </c>
      <c r="T26" s="179">
        <v>34.299999999999997</v>
      </c>
      <c r="U26" s="180">
        <v>8</v>
      </c>
      <c r="V26" s="131">
        <v>851</v>
      </c>
      <c r="W26" s="131">
        <v>16</v>
      </c>
      <c r="X26" s="120">
        <f>Prod[[#This Row],[S3Shot]]*Prod[[#This Row],[S3Cavity]]-Prod[[#This Row],[S3Dft]]</f>
        <v>13608</v>
      </c>
      <c r="Y26" s="120">
        <f>SUM(Prod[[#This Row],[S3Mold]],Prod[[#This Row],[S3Print]],Prod[[#This Row],[S3Ovlp]],Prod[[#This Row],[S3Seam]],Prod[[#This Row],[S3Dmg]])</f>
        <v>8</v>
      </c>
      <c r="Z26" s="120">
        <f>SUM(Prod[[#This Row],[S1Qty]],Prod[[#This Row],[S2Qty]],Prod[[#This Row],[S3Qty]])</f>
        <v>40511</v>
      </c>
      <c r="AA26" s="120">
        <f>SUM(Prod[[#This Row],[S1Dft]],Prod[[#This Row],[S2Dft]],Prod[[#This Row],[S3Dft]])</f>
        <v>33</v>
      </c>
      <c r="AB26" s="121">
        <f>IF(Prod[[#This Row],[Total]]=0,0,Prod[[#This Row],[TotalDft]]/Prod[[#This Row],[Total]])</f>
        <v>8.1459356717928462E-4</v>
      </c>
      <c r="AC26" s="118"/>
      <c r="AD26" s="120">
        <v>15</v>
      </c>
      <c r="AE26" s="120">
        <v>10</v>
      </c>
      <c r="AF26" s="120">
        <v>8</v>
      </c>
      <c r="AG26" s="120">
        <v>0</v>
      </c>
      <c r="AH26" s="120">
        <v>0</v>
      </c>
      <c r="AI26" s="120">
        <v>0</v>
      </c>
      <c r="AJ26" s="120">
        <v>0</v>
      </c>
      <c r="AK26" s="120">
        <v>0</v>
      </c>
      <c r="AL26" s="120">
        <v>0</v>
      </c>
      <c r="AM26" s="120">
        <v>0</v>
      </c>
      <c r="AN26" s="120">
        <v>0</v>
      </c>
      <c r="AO26" s="120">
        <v>0</v>
      </c>
      <c r="AP26" s="120">
        <v>0</v>
      </c>
      <c r="AQ26" s="120">
        <v>0</v>
      </c>
      <c r="AR26" s="120">
        <v>0</v>
      </c>
      <c r="AS26" s="133">
        <f>IF(Prod[[#This Row],[S1Hrs]]=0,0,Prod[[#This Row],[S1Shot]]*Prod[[#This Row],[S1Cycle]]/(Prod[[#This Row],[S1Hrs]]*60*60))</f>
        <v>1.0004166666666665</v>
      </c>
      <c r="AT26" s="133">
        <f>IF(Prod[[#This Row],[S2Hrs]]=0,0,Prod[[#This Row],[S2Shot]]*Prod[[#This Row],[S2Cycle]]/(Prod[[#This Row],[S2Hrs]]*60*60))</f>
        <v>1.0039895833333332</v>
      </c>
      <c r="AU26" s="133">
        <f>IF(Prod[[#This Row],[S3Hrs]]=0,0,Prod[[#This Row],[S3Shot]]*Prod[[#This Row],[S3Cycle]]/(Prod[[#This Row],[S3Hrs]]*60*60))</f>
        <v>1.013517361111111</v>
      </c>
      <c r="AV26" s="133">
        <f>IFERROR(AVERAGEIF(Prod[[#This Row],[S1%]:[S3%]], "&lt;&gt;0"),0)</f>
        <v>1.005974537037037</v>
      </c>
      <c r="AW26" s="133">
        <v>0</v>
      </c>
      <c r="AX26" s="133">
        <v>0</v>
      </c>
      <c r="AY26" s="133">
        <v>0</v>
      </c>
      <c r="AZ26" s="147">
        <f>IF(Prod[[#This Row],[S1Cycle]]&lt;&gt;0,1,0)</f>
        <v>1</v>
      </c>
      <c r="BA26" s="147">
        <f>IF(Prod[[#This Row],[S2Cycle]]&lt;&gt;0,1,0)</f>
        <v>1</v>
      </c>
      <c r="BB26" s="147">
        <f>IF(Prod[[#This Row],[S3Cycle]]&lt;&gt;0,1,0)</f>
        <v>1</v>
      </c>
      <c r="BC26" s="147">
        <f>MAX(Prod[[#This Row],[S1Cavity]],Prod[[#This Row],[S2Cavity]],Prod[[#This Row],[S3Cavity]])</f>
        <v>16</v>
      </c>
      <c r="BD26" s="147" t="b">
        <f>RegExpMatch(Prod[[#This Row],[MoldNo]], "^MEO-(B|C)")</f>
        <v>1</v>
      </c>
    </row>
    <row r="27" spans="1:56" x14ac:dyDescent="0.2">
      <c r="A27" s="117">
        <v>45416</v>
      </c>
      <c r="B27" s="131" t="s">
        <v>179</v>
      </c>
      <c r="C27" s="132" t="s">
        <v>180</v>
      </c>
      <c r="D27" s="119">
        <v>26680</v>
      </c>
      <c r="E27" s="132" t="s">
        <v>185</v>
      </c>
      <c r="F27" s="119">
        <v>6331</v>
      </c>
      <c r="G27" s="119" t="str">
        <f>IF(OR(Prod[[#This Row],[S1Hrs]]&gt;0,Prod[[#This Row],[S2Hrs]]&gt;0,Prod[[#This Row],[S3Hrs]]&gt;0),"Running","Down")</f>
        <v>Running</v>
      </c>
      <c r="H27" s="179">
        <v>18.36</v>
      </c>
      <c r="I27" s="180">
        <v>8</v>
      </c>
      <c r="J27" s="131">
        <v>1605</v>
      </c>
      <c r="K27" s="131">
        <v>16</v>
      </c>
      <c r="L27" s="120">
        <f>Prod[[#This Row],[S1Shot]]*Prod[[#This Row],[S1Cavity]]-Prod[[#This Row],[S1Dft]]</f>
        <v>25680</v>
      </c>
      <c r="M27" s="135"/>
      <c r="N27" s="179">
        <v>18.36</v>
      </c>
      <c r="O27" s="180">
        <v>8</v>
      </c>
      <c r="P27" s="131">
        <v>1437</v>
      </c>
      <c r="Q27" s="131">
        <v>16</v>
      </c>
      <c r="R27" s="120">
        <f>Prod[[#This Row],[S2Shot]]*Prod[[#This Row],[S2Cavity]]-Prod[[#This Row],[S2Dft]]</f>
        <v>22992</v>
      </c>
      <c r="S27" s="135"/>
      <c r="T27" s="179">
        <v>18.36</v>
      </c>
      <c r="U27" s="180">
        <v>8</v>
      </c>
      <c r="V27" s="131">
        <v>1551</v>
      </c>
      <c r="W27" s="131">
        <v>16</v>
      </c>
      <c r="X27" s="120">
        <f>Prod[[#This Row],[S3Shot]]*Prod[[#This Row],[S3Cavity]]-Prod[[#This Row],[S3Dft]]</f>
        <v>24816</v>
      </c>
      <c r="Y27" s="120">
        <f>SUM(Prod[[#This Row],[S3Mold]],Prod[[#This Row],[S3Print]],Prod[[#This Row],[S3Ovlp]],Prod[[#This Row],[S3Seam]],Prod[[#This Row],[S3Dmg]])</f>
        <v>0</v>
      </c>
      <c r="Z27" s="120">
        <f>SUM(Prod[[#This Row],[S1Qty]],Prod[[#This Row],[S2Qty]],Prod[[#This Row],[S3Qty]])</f>
        <v>73488</v>
      </c>
      <c r="AA27" s="120">
        <f>SUM(Prod[[#This Row],[S1Dft]],Prod[[#This Row],[S2Dft]],Prod[[#This Row],[S3Dft]])</f>
        <v>0</v>
      </c>
      <c r="AB27" s="121">
        <f>IF(Prod[[#This Row],[Total]]=0,0,Prod[[#This Row],[TotalDft]]/Prod[[#This Row],[Total]])</f>
        <v>0</v>
      </c>
      <c r="AC27" s="132"/>
      <c r="AD27" s="135"/>
      <c r="AE27" s="135"/>
      <c r="AF27" s="135"/>
      <c r="AG27" s="135"/>
      <c r="AH27" s="135"/>
      <c r="AI27" s="135"/>
      <c r="AJ27" s="135"/>
      <c r="AK27" s="135"/>
      <c r="AL27" s="135"/>
      <c r="AM27" s="135"/>
      <c r="AN27" s="135"/>
      <c r="AO27" s="135"/>
      <c r="AP27" s="135"/>
      <c r="AQ27" s="135"/>
      <c r="AR27" s="135"/>
      <c r="AS27" s="133">
        <f>IF(Prod[[#This Row],[S1Hrs]]=0,0,Prod[[#This Row],[S1Shot]]*Prod[[#This Row],[S1Cycle]]/(Prod[[#This Row],[S1Hrs]]*60*60))</f>
        <v>1.0231874999999999</v>
      </c>
      <c r="AT27" s="133">
        <f>IF(Prod[[#This Row],[S2Hrs]]=0,0,Prod[[#This Row],[S2Shot]]*Prod[[#This Row],[S2Cycle]]/(Prod[[#This Row],[S2Hrs]]*60*60))</f>
        <v>0.91608749999999994</v>
      </c>
      <c r="AU27" s="133">
        <f>IF(Prod[[#This Row],[S3Hrs]]=0,0,Prod[[#This Row],[S3Shot]]*Prod[[#This Row],[S3Cycle]]/(Prod[[#This Row],[S3Hrs]]*60*60))</f>
        <v>0.98876249999999999</v>
      </c>
      <c r="AV27" s="133">
        <f>IFERROR(AVERAGEIF(Prod[[#This Row],[S1%]:[S3%]], "&lt;&gt;0"),0)</f>
        <v>0.97601249999999995</v>
      </c>
      <c r="AW27" s="133">
        <v>0</v>
      </c>
      <c r="AX27" s="133">
        <v>0</v>
      </c>
      <c r="AY27" s="133">
        <v>0</v>
      </c>
      <c r="AZ27" s="147">
        <f>IF(Prod[[#This Row],[S1Cycle]]&lt;&gt;0,1,0)</f>
        <v>1</v>
      </c>
      <c r="BA27" s="147">
        <f>IF(Prod[[#This Row],[S2Cycle]]&lt;&gt;0,1,0)</f>
        <v>1</v>
      </c>
      <c r="BB27" s="147">
        <f>IF(Prod[[#This Row],[S3Cycle]]&lt;&gt;0,1,0)</f>
        <v>1</v>
      </c>
      <c r="BC27" s="147">
        <f>MAX(Prod[[#This Row],[S1Cavity]],Prod[[#This Row],[S2Cavity]],Prod[[#This Row],[S3Cavity]])</f>
        <v>16</v>
      </c>
      <c r="BD27" s="147" t="b">
        <f>RegExpMatch(Prod[[#This Row],[MoldNo]], "^MEO-(B|C)")</f>
        <v>0</v>
      </c>
    </row>
    <row r="28" spans="1:56" x14ac:dyDescent="0.2">
      <c r="A28" s="117">
        <v>45416</v>
      </c>
      <c r="B28" s="131" t="s">
        <v>183</v>
      </c>
      <c r="C28" s="132" t="s">
        <v>184</v>
      </c>
      <c r="D28" s="119"/>
      <c r="E28" s="132"/>
      <c r="F28" s="119"/>
      <c r="G28" s="119" t="str">
        <f>IF(OR(Prod[[#This Row],[S1Hrs]]&gt;0,Prod[[#This Row],[S2Hrs]]&gt;0,Prod[[#This Row],[S3Hrs]]&gt;0),"Running","Down")</f>
        <v>Down</v>
      </c>
      <c r="H28" s="179">
        <v>0</v>
      </c>
      <c r="I28" s="180">
        <v>0</v>
      </c>
      <c r="J28" s="131">
        <v>0</v>
      </c>
      <c r="K28" s="131">
        <v>0</v>
      </c>
      <c r="L28" s="120">
        <f>Prod[[#This Row],[S1Shot]]*Prod[[#This Row],[S1Cavity]]-Prod[[#This Row],[S1Dft]]</f>
        <v>0</v>
      </c>
      <c r="M28" s="137">
        <f>SUM(Prod[[#This Row],[S1Mold]],Prod[[#This Row],[S1Print]],Prod[[#This Row],[S1Ovlp]],Prod[[#This Row],[S1Seam]],Prod[[#This Row],[S1Dmg]])</f>
        <v>0</v>
      </c>
      <c r="N28" s="179">
        <v>0</v>
      </c>
      <c r="O28" s="180">
        <v>0</v>
      </c>
      <c r="P28" s="131">
        <v>0</v>
      </c>
      <c r="Q28" s="131">
        <v>0</v>
      </c>
      <c r="R28" s="120">
        <f>Prod[[#This Row],[S2Shot]]*Prod[[#This Row],[S2Cavity]]-Prod[[#This Row],[S2Dft]]</f>
        <v>0</v>
      </c>
      <c r="S28" s="137">
        <f>SUM(Prod[[#This Row],[S2Mold]],Prod[[#This Row],[S2Print]],Prod[[#This Row],[S2Ovlp]],Prod[[#This Row],[S2Seam]],Prod[[#This Row],[S2Dmg]])</f>
        <v>0</v>
      </c>
      <c r="T28" s="179">
        <v>0</v>
      </c>
      <c r="U28" s="180">
        <v>0</v>
      </c>
      <c r="V28" s="131">
        <v>0</v>
      </c>
      <c r="W28" s="131">
        <v>0</v>
      </c>
      <c r="X28" s="120">
        <f>Prod[[#This Row],[S3Shot]]*Prod[[#This Row],[S3Cavity]]-Prod[[#This Row],[S3Dft]]</f>
        <v>0</v>
      </c>
      <c r="Y28" s="120">
        <f>SUM(Prod[[#This Row],[S3Mold]],Prod[[#This Row],[S3Print]],Prod[[#This Row],[S3Ovlp]],Prod[[#This Row],[S3Seam]],Prod[[#This Row],[S3Dmg]])</f>
        <v>0</v>
      </c>
      <c r="Z28" s="120">
        <f>SUM(Prod[[#This Row],[S1Qty]],Prod[[#This Row],[S2Qty]],Prod[[#This Row],[S3Qty]])</f>
        <v>0</v>
      </c>
      <c r="AA28" s="120">
        <f>SUM(Prod[[#This Row],[S1Dft]],Prod[[#This Row],[S2Dft]],Prod[[#This Row],[S3Dft]])</f>
        <v>0</v>
      </c>
      <c r="AB28" s="121">
        <f>IF(Prod[[#This Row],[Total]]=0,0,Prod[[#This Row],[TotalDft]]/Prod[[#This Row],[Total]])</f>
        <v>0</v>
      </c>
      <c r="AC28" s="118"/>
      <c r="AD28" s="120">
        <v>0</v>
      </c>
      <c r="AE28" s="120">
        <v>0</v>
      </c>
      <c r="AF28" s="120">
        <v>0</v>
      </c>
      <c r="AG28" s="120">
        <v>0</v>
      </c>
      <c r="AH28" s="120">
        <v>0</v>
      </c>
      <c r="AI28" s="120">
        <v>0</v>
      </c>
      <c r="AJ28" s="120">
        <v>0</v>
      </c>
      <c r="AK28" s="120">
        <v>0</v>
      </c>
      <c r="AL28" s="120">
        <v>0</v>
      </c>
      <c r="AM28" s="120">
        <v>0</v>
      </c>
      <c r="AN28" s="120">
        <v>0</v>
      </c>
      <c r="AO28" s="120">
        <v>0</v>
      </c>
      <c r="AP28" s="120">
        <v>0</v>
      </c>
      <c r="AQ28" s="120">
        <v>0</v>
      </c>
      <c r="AR28" s="120">
        <v>0</v>
      </c>
      <c r="AS28" s="133">
        <f>IF(Prod[[#This Row],[S1Hrs]]=0,0,Prod[[#This Row],[S1Shot]]*Prod[[#This Row],[S1Cycle]]/(Prod[[#This Row],[S1Hrs]]*60*60))</f>
        <v>0</v>
      </c>
      <c r="AT28" s="133">
        <f>IF(Prod[[#This Row],[S2Hrs]]=0,0,Prod[[#This Row],[S2Shot]]*Prod[[#This Row],[S2Cycle]]/(Prod[[#This Row],[S2Hrs]]*60*60))</f>
        <v>0</v>
      </c>
      <c r="AU28" s="133">
        <f>IF(Prod[[#This Row],[S3Hrs]]=0,0,Prod[[#This Row],[S3Shot]]*Prod[[#This Row],[S3Cycle]]/(Prod[[#This Row],[S3Hrs]]*60*60))</f>
        <v>0</v>
      </c>
      <c r="AV28" s="133">
        <f>IFERROR(AVERAGEIF(Prod[[#This Row],[S1%]:[S3%]], "&lt;&gt;0"),0)</f>
        <v>0</v>
      </c>
      <c r="AW28" s="133">
        <v>0</v>
      </c>
      <c r="AX28" s="133">
        <v>0</v>
      </c>
      <c r="AY28" s="133">
        <v>0</v>
      </c>
      <c r="AZ28" s="147">
        <f>IF(Prod[[#This Row],[S1Cycle]]&lt;&gt;0,1,0)</f>
        <v>0</v>
      </c>
      <c r="BA28" s="147">
        <f>IF(Prod[[#This Row],[S2Cycle]]&lt;&gt;0,1,0)</f>
        <v>0</v>
      </c>
      <c r="BB28" s="147">
        <f>IF(Prod[[#This Row],[S3Cycle]]&lt;&gt;0,1,0)</f>
        <v>0</v>
      </c>
      <c r="BC28" s="147">
        <f>MAX(Prod[[#This Row],[S1Cavity]],Prod[[#This Row],[S2Cavity]],Prod[[#This Row],[S3Cavity]])</f>
        <v>0</v>
      </c>
      <c r="BD28" s="147" t="b">
        <f>RegExpMatch(Prod[[#This Row],[MoldNo]], "^MEO-(B|C)")</f>
        <v>1</v>
      </c>
    </row>
    <row r="29" spans="1:56" x14ac:dyDescent="0.2">
      <c r="A29" s="117">
        <v>45416</v>
      </c>
      <c r="B29" s="131" t="s">
        <v>177</v>
      </c>
      <c r="C29" s="132" t="s">
        <v>157</v>
      </c>
      <c r="D29" s="119"/>
      <c r="E29" s="132"/>
      <c r="F29" s="119"/>
      <c r="G29" s="119" t="str">
        <f>IF(OR(Prod[[#This Row],[S1Hrs]]&gt;0,Prod[[#This Row],[S2Hrs]]&gt;0,Prod[[#This Row],[S3Hrs]]&gt;0),"Running","Down")</f>
        <v>Down</v>
      </c>
      <c r="H29" s="179">
        <v>0</v>
      </c>
      <c r="I29" s="180">
        <v>0</v>
      </c>
      <c r="J29" s="131">
        <v>0</v>
      </c>
      <c r="K29" s="131">
        <v>0</v>
      </c>
      <c r="L29" s="120">
        <f>Prod[[#This Row],[S1Shot]]*Prod[[#This Row],[S1Cavity]]-Prod[[#This Row],[S1Dft]]</f>
        <v>0</v>
      </c>
      <c r="M29" s="137">
        <f>SUM(Prod[[#This Row],[S1Mold]],Prod[[#This Row],[S1Print]],Prod[[#This Row],[S1Ovlp]],Prod[[#This Row],[S1Seam]],Prod[[#This Row],[S1Dmg]])</f>
        <v>0</v>
      </c>
      <c r="N29" s="179">
        <v>0</v>
      </c>
      <c r="O29" s="180">
        <v>0</v>
      </c>
      <c r="P29" s="131">
        <v>0</v>
      </c>
      <c r="Q29" s="131">
        <v>0</v>
      </c>
      <c r="R29" s="120">
        <f>Prod[[#This Row],[S2Shot]]*Prod[[#This Row],[S2Cavity]]-Prod[[#This Row],[S2Dft]]</f>
        <v>0</v>
      </c>
      <c r="S29" s="137">
        <f>SUM(Prod[[#This Row],[S2Mold]],Prod[[#This Row],[S2Print]],Prod[[#This Row],[S2Ovlp]],Prod[[#This Row],[S2Seam]],Prod[[#This Row],[S2Dmg]])</f>
        <v>0</v>
      </c>
      <c r="T29" s="179">
        <v>0</v>
      </c>
      <c r="U29" s="180">
        <v>0</v>
      </c>
      <c r="V29" s="131">
        <v>0</v>
      </c>
      <c r="W29" s="131">
        <v>0</v>
      </c>
      <c r="X29" s="120">
        <f>Prod[[#This Row],[S3Shot]]*Prod[[#This Row],[S3Cavity]]-Prod[[#This Row],[S3Dft]]</f>
        <v>0</v>
      </c>
      <c r="Y29" s="120">
        <f>SUM(Prod[[#This Row],[S3Mold]],Prod[[#This Row],[S3Print]],Prod[[#This Row],[S3Ovlp]],Prod[[#This Row],[S3Seam]],Prod[[#This Row],[S3Dmg]])</f>
        <v>0</v>
      </c>
      <c r="Z29" s="120">
        <f>SUM(Prod[[#This Row],[S1Qty]],Prod[[#This Row],[S2Qty]],Prod[[#This Row],[S3Qty]])</f>
        <v>0</v>
      </c>
      <c r="AA29" s="120">
        <f>SUM(Prod[[#This Row],[S1Dft]],Prod[[#This Row],[S2Dft]],Prod[[#This Row],[S3Dft]])</f>
        <v>0</v>
      </c>
      <c r="AB29" s="121">
        <f>IF(Prod[[#This Row],[Total]]=0,0,Prod[[#This Row],[TotalDft]]/Prod[[#This Row],[Total]])</f>
        <v>0</v>
      </c>
      <c r="AC29" s="132"/>
      <c r="AD29" s="120">
        <v>0</v>
      </c>
      <c r="AE29" s="120">
        <v>0</v>
      </c>
      <c r="AF29" s="120">
        <v>0</v>
      </c>
      <c r="AG29" s="120">
        <v>0</v>
      </c>
      <c r="AH29" s="120">
        <v>0</v>
      </c>
      <c r="AI29" s="120">
        <v>0</v>
      </c>
      <c r="AJ29" s="120">
        <v>0</v>
      </c>
      <c r="AK29" s="120">
        <v>0</v>
      </c>
      <c r="AL29" s="120">
        <v>0</v>
      </c>
      <c r="AM29" s="120">
        <v>0</v>
      </c>
      <c r="AN29" s="120">
        <v>0</v>
      </c>
      <c r="AO29" s="120">
        <v>0</v>
      </c>
      <c r="AP29" s="120">
        <v>0</v>
      </c>
      <c r="AQ29" s="120">
        <v>0</v>
      </c>
      <c r="AR29" s="120">
        <v>0</v>
      </c>
      <c r="AS29" s="133">
        <f>IF(Prod[[#This Row],[S1Hrs]]=0,0,Prod[[#This Row],[S1Shot]]*Prod[[#This Row],[S1Cycle]]/(Prod[[#This Row],[S1Hrs]]*60*60))</f>
        <v>0</v>
      </c>
      <c r="AT29" s="133">
        <f>IF(Prod[[#This Row],[S2Hrs]]=0,0,Prod[[#This Row],[S2Shot]]*Prod[[#This Row],[S2Cycle]]/(Prod[[#This Row],[S2Hrs]]*60*60))</f>
        <v>0</v>
      </c>
      <c r="AU29" s="133">
        <f>IF(Prod[[#This Row],[S3Hrs]]=0,0,Prod[[#This Row],[S3Shot]]*Prod[[#This Row],[S3Cycle]]/(Prod[[#This Row],[S3Hrs]]*60*60))</f>
        <v>0</v>
      </c>
      <c r="AV29" s="133">
        <f>IFERROR(AVERAGEIF(Prod[[#This Row],[S1%]:[S3%]], "&lt;&gt;0"),0)</f>
        <v>0</v>
      </c>
      <c r="AW29" s="133">
        <v>0</v>
      </c>
      <c r="AX29" s="133">
        <v>0</v>
      </c>
      <c r="AY29" s="133">
        <v>0</v>
      </c>
      <c r="AZ29" s="147">
        <f>IF(Prod[[#This Row],[S1Cycle]]&lt;&gt;0,1,0)</f>
        <v>0</v>
      </c>
      <c r="BA29" s="147">
        <f>IF(Prod[[#This Row],[S2Cycle]]&lt;&gt;0,1,0)</f>
        <v>0</v>
      </c>
      <c r="BB29" s="147">
        <f>IF(Prod[[#This Row],[S3Cycle]]&lt;&gt;0,1,0)</f>
        <v>0</v>
      </c>
      <c r="BC29" s="147">
        <f>MAX(Prod[[#This Row],[S1Cavity]],Prod[[#This Row],[S2Cavity]],Prod[[#This Row],[S3Cavity]])</f>
        <v>0</v>
      </c>
      <c r="BD29" s="147" t="b">
        <f>RegExpMatch(Prod[[#This Row],[MoldNo]], "^MEO-(B|C)")</f>
        <v>1</v>
      </c>
    </row>
    <row r="30" spans="1:56" x14ac:dyDescent="0.2">
      <c r="A30" s="117">
        <v>45417</v>
      </c>
      <c r="B30" s="131" t="s">
        <v>158</v>
      </c>
      <c r="C30" s="132" t="s">
        <v>191</v>
      </c>
      <c r="D30" s="119"/>
      <c r="E30" s="132"/>
      <c r="F30" s="119"/>
      <c r="G30" s="119" t="str">
        <f>IF(OR(Prod[[#This Row],[S1Hrs]]&gt;0,Prod[[#This Row],[S2Hrs]]&gt;0,Prod[[#This Row],[S3Hrs]]&gt;0),"Running","Down")</f>
        <v>Down</v>
      </c>
      <c r="H30" s="179">
        <v>0</v>
      </c>
      <c r="I30" s="180">
        <v>0</v>
      </c>
      <c r="J30" s="131">
        <v>0</v>
      </c>
      <c r="K30" s="131">
        <v>0</v>
      </c>
      <c r="L30" s="120">
        <f>Prod[[#This Row],[S1Shot]]*Prod[[#This Row],[S1Cavity]]-Prod[[#This Row],[S1Dft]]</f>
        <v>0</v>
      </c>
      <c r="M30" s="137">
        <f>SUM(Prod[[#This Row],[S1Mold]],Prod[[#This Row],[S1Print]],Prod[[#This Row],[S1Ovlp]],Prod[[#This Row],[S1Seam]],Prod[[#This Row],[S1Dmg]])</f>
        <v>0</v>
      </c>
      <c r="N30" s="179">
        <v>0</v>
      </c>
      <c r="O30" s="180">
        <v>0</v>
      </c>
      <c r="P30" s="131">
        <v>0</v>
      </c>
      <c r="Q30" s="131">
        <v>0</v>
      </c>
      <c r="R30" s="120">
        <f>Prod[[#This Row],[S2Shot]]*Prod[[#This Row],[S2Cavity]]-Prod[[#This Row],[S2Dft]]</f>
        <v>0</v>
      </c>
      <c r="S30" s="137">
        <f>SUM(Prod[[#This Row],[S2Mold]],Prod[[#This Row],[S2Print]],Prod[[#This Row],[S2Ovlp]],Prod[[#This Row],[S2Seam]],Prod[[#This Row],[S2Dmg]])</f>
        <v>0</v>
      </c>
      <c r="T30" s="179">
        <v>0</v>
      </c>
      <c r="U30" s="180">
        <v>0</v>
      </c>
      <c r="V30" s="131">
        <v>0</v>
      </c>
      <c r="W30" s="131">
        <v>0</v>
      </c>
      <c r="X30" s="120">
        <f>Prod[[#This Row],[S3Shot]]*Prod[[#This Row],[S3Cavity]]-Prod[[#This Row],[S3Dft]]</f>
        <v>0</v>
      </c>
      <c r="Y30" s="120">
        <f>SUM(Prod[[#This Row],[S3Mold]],Prod[[#This Row],[S3Print]],Prod[[#This Row],[S3Ovlp]],Prod[[#This Row],[S3Seam]],Prod[[#This Row],[S3Dmg]])</f>
        <v>0</v>
      </c>
      <c r="Z30" s="120">
        <f>SUM(Prod[[#This Row],[S1Qty]],Prod[[#This Row],[S2Qty]],Prod[[#This Row],[S3Qty]])</f>
        <v>0</v>
      </c>
      <c r="AA30" s="120">
        <f>SUM(Prod[[#This Row],[S1Dft]],Prod[[#This Row],[S2Dft]],Prod[[#This Row],[S3Dft]])</f>
        <v>0</v>
      </c>
      <c r="AB30" s="121">
        <f>IF(Prod[[#This Row],[Total]]=0,0,Prod[[#This Row],[TotalDft]]/Prod[[#This Row],[Total]])</f>
        <v>0</v>
      </c>
      <c r="AC30" s="118"/>
      <c r="AD30" s="120">
        <v>0</v>
      </c>
      <c r="AE30" s="120">
        <v>0</v>
      </c>
      <c r="AF30" s="120">
        <v>0</v>
      </c>
      <c r="AG30" s="120">
        <v>0</v>
      </c>
      <c r="AH30" s="120">
        <v>0</v>
      </c>
      <c r="AI30" s="120">
        <v>0</v>
      </c>
      <c r="AJ30" s="120">
        <v>0</v>
      </c>
      <c r="AK30" s="120">
        <v>0</v>
      </c>
      <c r="AL30" s="120">
        <v>0</v>
      </c>
      <c r="AM30" s="120">
        <v>0</v>
      </c>
      <c r="AN30" s="120">
        <v>0</v>
      </c>
      <c r="AO30" s="120">
        <v>0</v>
      </c>
      <c r="AP30" s="120">
        <v>0</v>
      </c>
      <c r="AQ30" s="120">
        <v>0</v>
      </c>
      <c r="AR30" s="120">
        <v>0</v>
      </c>
      <c r="AS30" s="133">
        <f>IF(Prod[[#This Row],[S1Hrs]]=0,0,Prod[[#This Row],[S1Shot]]*Prod[[#This Row],[S1Cycle]]/(Prod[[#This Row],[S1Hrs]]*60*60))</f>
        <v>0</v>
      </c>
      <c r="AT30" s="133">
        <f>IF(Prod[[#This Row],[S2Hrs]]=0,0,Prod[[#This Row],[S2Shot]]*Prod[[#This Row],[S2Cycle]]/(Prod[[#This Row],[S2Hrs]]*60*60))</f>
        <v>0</v>
      </c>
      <c r="AU30" s="133">
        <f>IF(Prod[[#This Row],[S3Hrs]]=0,0,Prod[[#This Row],[S3Shot]]*Prod[[#This Row],[S3Cycle]]/(Prod[[#This Row],[S3Hrs]]*60*60))</f>
        <v>0</v>
      </c>
      <c r="AV30" s="133">
        <f>IFERROR(AVERAGEIF(Prod[[#This Row],[S1%]:[S3%]], "&lt;&gt;0"),0)</f>
        <v>0</v>
      </c>
      <c r="AW30" s="133">
        <v>0</v>
      </c>
      <c r="AX30" s="133">
        <v>0</v>
      </c>
      <c r="AY30" s="133">
        <v>0</v>
      </c>
      <c r="AZ30" s="147">
        <f>IF(Prod[[#This Row],[S1Cycle]]&lt;&gt;0,1,0)</f>
        <v>0</v>
      </c>
      <c r="BA30" s="147">
        <f>IF(Prod[[#This Row],[S2Cycle]]&lt;&gt;0,1,0)</f>
        <v>0</v>
      </c>
      <c r="BB30" s="147">
        <f>IF(Prod[[#This Row],[S3Cycle]]&lt;&gt;0,1,0)</f>
        <v>0</v>
      </c>
      <c r="BC30" s="147">
        <f>MAX(Prod[[#This Row],[S1Cavity]],Prod[[#This Row],[S2Cavity]],Prod[[#This Row],[S3Cavity]])</f>
        <v>0</v>
      </c>
      <c r="BD30" s="147" t="b">
        <f>RegExpMatch(Prod[[#This Row],[MoldNo]], "^MEO-(B|C)")</f>
        <v>1</v>
      </c>
    </row>
    <row r="31" spans="1:56" x14ac:dyDescent="0.2">
      <c r="A31" s="117">
        <v>45417</v>
      </c>
      <c r="B31" s="131" t="s">
        <v>187</v>
      </c>
      <c r="C31" s="132" t="s">
        <v>178</v>
      </c>
      <c r="D31" s="119">
        <v>27570</v>
      </c>
      <c r="E31" s="132" t="s">
        <v>92</v>
      </c>
      <c r="F31" s="119">
        <v>2304</v>
      </c>
      <c r="G31" s="119" t="str">
        <f>IF(OR(Prod[[#This Row],[S1Hrs]]&gt;0,Prod[[#This Row],[S2Hrs]]&gt;0,Prod[[#This Row],[S3Hrs]]&gt;0),"Running","Down")</f>
        <v>Running</v>
      </c>
      <c r="H31" s="179">
        <v>14.92</v>
      </c>
      <c r="I31" s="180">
        <v>8</v>
      </c>
      <c r="J31" s="131">
        <v>1911</v>
      </c>
      <c r="K31" s="131">
        <v>16</v>
      </c>
      <c r="L31" s="120">
        <f>Prod[[#This Row],[S1Shot]]*Prod[[#This Row],[S1Cavity]]-Prod[[#This Row],[S1Dft]]</f>
        <v>30576</v>
      </c>
      <c r="M31" s="135"/>
      <c r="N31" s="179">
        <v>14.92</v>
      </c>
      <c r="O31" s="180">
        <v>8</v>
      </c>
      <c r="P31" s="131">
        <v>1930</v>
      </c>
      <c r="Q31" s="131">
        <v>16</v>
      </c>
      <c r="R31" s="120">
        <f>Prod[[#This Row],[S2Shot]]*Prod[[#This Row],[S2Cavity]]-Prod[[#This Row],[S2Dft]]</f>
        <v>30880</v>
      </c>
      <c r="S31" s="135"/>
      <c r="T31" s="179">
        <v>14.92</v>
      </c>
      <c r="U31" s="180">
        <v>8</v>
      </c>
      <c r="V31" s="131">
        <v>1931</v>
      </c>
      <c r="W31" s="131">
        <v>16</v>
      </c>
      <c r="X31" s="120">
        <f>Prod[[#This Row],[S3Shot]]*Prod[[#This Row],[S3Cavity]]-Prod[[#This Row],[S3Dft]]</f>
        <v>30896</v>
      </c>
      <c r="Y31" s="135"/>
      <c r="Z31" s="120">
        <f>SUM(Prod[[#This Row],[S1Qty]],Prod[[#This Row],[S2Qty]],Prod[[#This Row],[S3Qty]])</f>
        <v>92352</v>
      </c>
      <c r="AA31" s="135"/>
      <c r="AB31" s="136"/>
      <c r="AC31" s="118"/>
      <c r="AD31" s="135"/>
      <c r="AE31" s="135"/>
      <c r="AF31" s="135"/>
      <c r="AG31" s="135"/>
      <c r="AH31" s="135"/>
      <c r="AI31" s="135"/>
      <c r="AJ31" s="135"/>
      <c r="AK31" s="135"/>
      <c r="AL31" s="135"/>
      <c r="AM31" s="135"/>
      <c r="AN31" s="135"/>
      <c r="AO31" s="135"/>
      <c r="AP31" s="135"/>
      <c r="AQ31" s="135"/>
      <c r="AR31" s="135"/>
      <c r="AS31" s="133">
        <f>IF(Prod[[#This Row],[S1Hrs]]=0,0,Prod[[#This Row],[S1Shot]]*Prod[[#This Row],[S1Cycle]]/(Prod[[#This Row],[S1Hrs]]*60*60))</f>
        <v>0.99000416666666669</v>
      </c>
      <c r="AT31" s="133">
        <f>IF(Prod[[#This Row],[S2Hrs]]=0,0,Prod[[#This Row],[S2Shot]]*Prod[[#This Row],[S2Cycle]]/(Prod[[#This Row],[S2Hrs]]*60*60))</f>
        <v>0.99984722222222222</v>
      </c>
      <c r="AU31" s="133">
        <f>IF(Prod[[#This Row],[S3Hrs]]=0,0,Prod[[#This Row],[S3Shot]]*Prod[[#This Row],[S3Cycle]]/(Prod[[#This Row],[S3Hrs]]*60*60))</f>
        <v>1.0003652777777778</v>
      </c>
      <c r="AV31" s="133">
        <f>IFERROR(AVERAGEIF(Prod[[#This Row],[S1%]:[S3%]], "&lt;&gt;0"),0)</f>
        <v>0.99673888888888895</v>
      </c>
      <c r="AW31" s="133">
        <v>0</v>
      </c>
      <c r="AX31" s="133">
        <v>0</v>
      </c>
      <c r="AY31" s="133">
        <v>0</v>
      </c>
      <c r="AZ31" s="147">
        <f>IF(Prod[[#This Row],[S1Cycle]]&lt;&gt;0,1,0)</f>
        <v>1</v>
      </c>
      <c r="BA31" s="147">
        <f>IF(Prod[[#This Row],[S2Cycle]]&lt;&gt;0,1,0)</f>
        <v>1</v>
      </c>
      <c r="BB31" s="147">
        <f>IF(Prod[[#This Row],[S3Cycle]]&lt;&gt;0,1,0)</f>
        <v>1</v>
      </c>
      <c r="BC31" s="147">
        <f>MAX(Prod[[#This Row],[S1Cavity]],Prod[[#This Row],[S2Cavity]],Prod[[#This Row],[S3Cavity]])</f>
        <v>16</v>
      </c>
      <c r="BD31" s="147" t="b">
        <f>RegExpMatch(Prod[[#This Row],[MoldNo]], "^MEO-(B|C)")</f>
        <v>0</v>
      </c>
    </row>
    <row r="32" spans="1:56" x14ac:dyDescent="0.2">
      <c r="A32" s="117">
        <v>45417</v>
      </c>
      <c r="B32" s="131" t="s">
        <v>181</v>
      </c>
      <c r="C32" s="132" t="s">
        <v>182</v>
      </c>
      <c r="D32" s="119">
        <v>26680</v>
      </c>
      <c r="E32" s="132" t="s">
        <v>185</v>
      </c>
      <c r="F32" s="119">
        <v>6331</v>
      </c>
      <c r="G32" s="119" t="str">
        <f>IF(OR(Prod[[#This Row],[S1Hrs]]&gt;0,Prod[[#This Row],[S2Hrs]]&gt;0,Prod[[#This Row],[S3Hrs]]&gt;0),"Running","Down")</f>
        <v>Running</v>
      </c>
      <c r="H32" s="179">
        <v>34.299999999999997</v>
      </c>
      <c r="I32" s="180">
        <v>8</v>
      </c>
      <c r="J32" s="131">
        <v>791</v>
      </c>
      <c r="K32" s="131">
        <v>16</v>
      </c>
      <c r="L32" s="120">
        <f>Prod[[#This Row],[S1Shot]]*Prod[[#This Row],[S1Cavity]]-Prod[[#This Row],[S1Dft]]</f>
        <v>12651</v>
      </c>
      <c r="M32" s="137">
        <f>SUM(Prod[[#This Row],[S1Mold]],Prod[[#This Row],[S1Print]],Prod[[#This Row],[S1Ovlp]],Prod[[#This Row],[S1Seam]],Prod[[#This Row],[S1Dmg]])</f>
        <v>5</v>
      </c>
      <c r="N32" s="179">
        <v>34.299999999999997</v>
      </c>
      <c r="O32" s="180">
        <v>8</v>
      </c>
      <c r="P32" s="131">
        <v>842</v>
      </c>
      <c r="Q32" s="131">
        <v>16</v>
      </c>
      <c r="R32" s="120">
        <f>Prod[[#This Row],[S2Shot]]*Prod[[#This Row],[S2Cavity]]-Prod[[#This Row],[S2Dft]]</f>
        <v>13467</v>
      </c>
      <c r="S32" s="137">
        <f>SUM(Prod[[#This Row],[S2Mold]],Prod[[#This Row],[S2Print]],Prod[[#This Row],[S2Ovlp]],Prod[[#This Row],[S2Seam]],Prod[[#This Row],[S2Dmg]])</f>
        <v>5</v>
      </c>
      <c r="T32" s="179">
        <v>34.299999999999997</v>
      </c>
      <c r="U32" s="180">
        <v>8</v>
      </c>
      <c r="V32" s="131">
        <v>839</v>
      </c>
      <c r="W32" s="131">
        <v>16</v>
      </c>
      <c r="X32" s="120">
        <f>Prod[[#This Row],[S3Shot]]*Prod[[#This Row],[S3Cavity]]-Prod[[#This Row],[S3Dft]]</f>
        <v>13416</v>
      </c>
      <c r="Y32" s="120">
        <f>SUM(Prod[[#This Row],[S3Mold]],Prod[[#This Row],[S3Print]],Prod[[#This Row],[S3Ovlp]],Prod[[#This Row],[S3Seam]],Prod[[#This Row],[S3Dmg]])</f>
        <v>8</v>
      </c>
      <c r="Z32" s="120">
        <f>SUM(Prod[[#This Row],[S1Qty]],Prod[[#This Row],[S2Qty]],Prod[[#This Row],[S3Qty]])</f>
        <v>39534</v>
      </c>
      <c r="AA32" s="120">
        <f>SUM(Prod[[#This Row],[S1Dft]],Prod[[#This Row],[S2Dft]],Prod[[#This Row],[S3Dft]])</f>
        <v>18</v>
      </c>
      <c r="AB32" s="121">
        <f>IF(Prod[[#This Row],[Total]]=0,0,Prod[[#This Row],[TotalDft]]/Prod[[#This Row],[Total]])</f>
        <v>4.5530429503718318E-4</v>
      </c>
      <c r="AC32" s="118"/>
      <c r="AD32" s="120">
        <v>5</v>
      </c>
      <c r="AE32" s="120">
        <v>5</v>
      </c>
      <c r="AF32" s="120">
        <v>8</v>
      </c>
      <c r="AG32" s="120">
        <v>0</v>
      </c>
      <c r="AH32" s="120">
        <v>0</v>
      </c>
      <c r="AI32" s="120">
        <v>0</v>
      </c>
      <c r="AJ32" s="120">
        <v>0</v>
      </c>
      <c r="AK32" s="120">
        <v>0</v>
      </c>
      <c r="AL32" s="120">
        <v>0</v>
      </c>
      <c r="AM32" s="120">
        <v>0</v>
      </c>
      <c r="AN32" s="120">
        <v>0</v>
      </c>
      <c r="AO32" s="120">
        <v>0</v>
      </c>
      <c r="AP32" s="120">
        <v>0</v>
      </c>
      <c r="AQ32" s="120">
        <v>0</v>
      </c>
      <c r="AR32" s="120">
        <v>0</v>
      </c>
      <c r="AS32" s="133">
        <f>IF(Prod[[#This Row],[S1Hrs]]=0,0,Prod[[#This Row],[S1Shot]]*Prod[[#This Row],[S1Cycle]]/(Prod[[#This Row],[S1Hrs]]*60*60))</f>
        <v>0.94205902777777772</v>
      </c>
      <c r="AT32" s="133">
        <f>IF(Prod[[#This Row],[S2Hrs]]=0,0,Prod[[#This Row],[S2Shot]]*Prod[[#This Row],[S2Cycle]]/(Prod[[#This Row],[S2Hrs]]*60*60))</f>
        <v>1.0027986111111111</v>
      </c>
      <c r="AU32" s="133">
        <f>IF(Prod[[#This Row],[S3Hrs]]=0,0,Prod[[#This Row],[S3Shot]]*Prod[[#This Row],[S3Cycle]]/(Prod[[#This Row],[S3Hrs]]*60*60))</f>
        <v>0.99922569444444431</v>
      </c>
      <c r="AV32" s="133">
        <f>IFERROR(AVERAGEIF(Prod[[#This Row],[S1%]:[S3%]], "&lt;&gt;0"),0)</f>
        <v>0.98136111111111102</v>
      </c>
      <c r="AW32" s="133">
        <v>0</v>
      </c>
      <c r="AX32" s="133">
        <v>0</v>
      </c>
      <c r="AY32" s="133">
        <v>0</v>
      </c>
      <c r="AZ32" s="147">
        <f>IF(Prod[[#This Row],[S1Cycle]]&lt;&gt;0,1,0)</f>
        <v>1</v>
      </c>
      <c r="BA32" s="147">
        <f>IF(Prod[[#This Row],[S2Cycle]]&lt;&gt;0,1,0)</f>
        <v>1</v>
      </c>
      <c r="BB32" s="147">
        <f>IF(Prod[[#This Row],[S3Cycle]]&lt;&gt;0,1,0)</f>
        <v>1</v>
      </c>
      <c r="BC32" s="147">
        <f>MAX(Prod[[#This Row],[S1Cavity]],Prod[[#This Row],[S2Cavity]],Prod[[#This Row],[S3Cavity]])</f>
        <v>16</v>
      </c>
      <c r="BD32" s="147" t="b">
        <f>RegExpMatch(Prod[[#This Row],[MoldNo]], "^MEO-(B|C)")</f>
        <v>1</v>
      </c>
    </row>
    <row r="33" spans="1:56" x14ac:dyDescent="0.2">
      <c r="A33" s="117">
        <v>45417</v>
      </c>
      <c r="B33" s="131" t="s">
        <v>179</v>
      </c>
      <c r="C33" s="132" t="s">
        <v>180</v>
      </c>
      <c r="D33" s="119">
        <v>26680</v>
      </c>
      <c r="E33" s="132" t="s">
        <v>185</v>
      </c>
      <c r="F33" s="119">
        <v>6331</v>
      </c>
      <c r="G33" s="119" t="str">
        <f>IF(OR(Prod[[#This Row],[S1Hrs]]&gt;0,Prod[[#This Row],[S2Hrs]]&gt;0,Prod[[#This Row],[S3Hrs]]&gt;0),"Running","Down")</f>
        <v>Running</v>
      </c>
      <c r="H33" s="179">
        <v>18.36</v>
      </c>
      <c r="I33" s="180">
        <v>8</v>
      </c>
      <c r="J33" s="131">
        <v>1462</v>
      </c>
      <c r="K33" s="131">
        <v>15</v>
      </c>
      <c r="L33" s="120">
        <f>Prod[[#This Row],[S1Shot]]*Prod[[#This Row],[S1Cavity]]-Prod[[#This Row],[S1Dft]]</f>
        <v>21930</v>
      </c>
      <c r="M33" s="135"/>
      <c r="N33" s="179">
        <v>18.36</v>
      </c>
      <c r="O33" s="180">
        <v>8</v>
      </c>
      <c r="P33" s="131">
        <v>1628</v>
      </c>
      <c r="Q33" s="131">
        <v>15</v>
      </c>
      <c r="R33" s="120">
        <f>Prod[[#This Row],[S2Shot]]*Prod[[#This Row],[S2Cavity]]-Prod[[#This Row],[S2Dft]]</f>
        <v>24420</v>
      </c>
      <c r="S33" s="135"/>
      <c r="T33" s="179">
        <v>18.36</v>
      </c>
      <c r="U33" s="180">
        <v>8</v>
      </c>
      <c r="V33" s="131">
        <v>1564</v>
      </c>
      <c r="W33" s="131">
        <v>15</v>
      </c>
      <c r="X33" s="120">
        <f>Prod[[#This Row],[S3Shot]]*Prod[[#This Row],[S3Cavity]]-Prod[[#This Row],[S3Dft]]</f>
        <v>23460</v>
      </c>
      <c r="Y33" s="120">
        <f>SUM(Prod[[#This Row],[S3Mold]],Prod[[#This Row],[S3Print]],Prod[[#This Row],[S3Ovlp]],Prod[[#This Row],[S3Seam]],Prod[[#This Row],[S3Dmg]])</f>
        <v>0</v>
      </c>
      <c r="Z33" s="120">
        <f>SUM(Prod[[#This Row],[S1Qty]],Prod[[#This Row],[S2Qty]],Prod[[#This Row],[S3Qty]])</f>
        <v>69810</v>
      </c>
      <c r="AA33" s="120">
        <f>SUM(Prod[[#This Row],[S1Dft]],Prod[[#This Row],[S2Dft]],Prod[[#This Row],[S3Dft]])</f>
        <v>0</v>
      </c>
      <c r="AB33" s="121">
        <f>IF(Prod[[#This Row],[Total]]=0,0,Prod[[#This Row],[TotalDft]]/Prod[[#This Row],[Total]])</f>
        <v>0</v>
      </c>
      <c r="AC33" s="132"/>
      <c r="AD33" s="135"/>
      <c r="AE33" s="135"/>
      <c r="AF33" s="135"/>
      <c r="AG33" s="135"/>
      <c r="AH33" s="135"/>
      <c r="AI33" s="135"/>
      <c r="AJ33" s="135"/>
      <c r="AK33" s="135"/>
      <c r="AL33" s="135"/>
      <c r="AM33" s="135"/>
      <c r="AN33" s="135"/>
      <c r="AO33" s="135"/>
      <c r="AP33" s="135"/>
      <c r="AQ33" s="135"/>
      <c r="AR33" s="135"/>
      <c r="AS33" s="133">
        <f>IF(Prod[[#This Row],[S1Hrs]]=0,0,Prod[[#This Row],[S1Shot]]*Prod[[#This Row],[S1Cycle]]/(Prod[[#This Row],[S1Hrs]]*60*60))</f>
        <v>0.93202499999999999</v>
      </c>
      <c r="AT33" s="133">
        <f>IF(Prod[[#This Row],[S2Hrs]]=0,0,Prod[[#This Row],[S2Shot]]*Prod[[#This Row],[S2Cycle]]/(Prod[[#This Row],[S2Hrs]]*60*60))</f>
        <v>1.0378499999999999</v>
      </c>
      <c r="AU33" s="133">
        <f>IF(Prod[[#This Row],[S3Hrs]]=0,0,Prod[[#This Row],[S3Shot]]*Prod[[#This Row],[S3Cycle]]/(Prod[[#This Row],[S3Hrs]]*60*60))</f>
        <v>0.99704999999999999</v>
      </c>
      <c r="AV33" s="133">
        <f>IFERROR(AVERAGEIF(Prod[[#This Row],[S1%]:[S3%]], "&lt;&gt;0"),0)</f>
        <v>0.98897499999999994</v>
      </c>
      <c r="AW33" s="133">
        <v>0</v>
      </c>
      <c r="AX33" s="133">
        <v>0</v>
      </c>
      <c r="AY33" s="133">
        <v>0</v>
      </c>
      <c r="AZ33" s="147">
        <f>IF(Prod[[#This Row],[S1Cycle]]&lt;&gt;0,1,0)</f>
        <v>1</v>
      </c>
      <c r="BA33" s="147">
        <f>IF(Prod[[#This Row],[S2Cycle]]&lt;&gt;0,1,0)</f>
        <v>1</v>
      </c>
      <c r="BB33" s="147">
        <f>IF(Prod[[#This Row],[S3Cycle]]&lt;&gt;0,1,0)</f>
        <v>1</v>
      </c>
      <c r="BC33" s="147">
        <f>MAX(Prod[[#This Row],[S1Cavity]],Prod[[#This Row],[S2Cavity]],Prod[[#This Row],[S3Cavity]])</f>
        <v>15</v>
      </c>
      <c r="BD33" s="147" t="b">
        <f>RegExpMatch(Prod[[#This Row],[MoldNo]], "^MEO-(B|C)")</f>
        <v>0</v>
      </c>
    </row>
    <row r="34" spans="1:56" x14ac:dyDescent="0.2">
      <c r="A34" s="117">
        <v>45417</v>
      </c>
      <c r="B34" s="131" t="s">
        <v>183</v>
      </c>
      <c r="C34" s="132" t="s">
        <v>184</v>
      </c>
      <c r="D34" s="119"/>
      <c r="E34" s="132"/>
      <c r="F34" s="119"/>
      <c r="G34" s="119" t="str">
        <f>IF(OR(Prod[[#This Row],[S1Hrs]]&gt;0,Prod[[#This Row],[S2Hrs]]&gt;0,Prod[[#This Row],[S3Hrs]]&gt;0),"Running","Down")</f>
        <v>Down</v>
      </c>
      <c r="H34" s="179">
        <v>0</v>
      </c>
      <c r="I34" s="180">
        <v>0</v>
      </c>
      <c r="J34" s="131">
        <v>0</v>
      </c>
      <c r="K34" s="131">
        <v>0</v>
      </c>
      <c r="L34" s="120">
        <f>Prod[[#This Row],[S1Shot]]*Prod[[#This Row],[S1Cavity]]-Prod[[#This Row],[S1Dft]]</f>
        <v>0</v>
      </c>
      <c r="M34" s="137">
        <f>SUM(Prod[[#This Row],[S1Mold]],Prod[[#This Row],[S1Print]],Prod[[#This Row],[S1Ovlp]],Prod[[#This Row],[S1Seam]],Prod[[#This Row],[S1Dmg]])</f>
        <v>0</v>
      </c>
      <c r="N34" s="179">
        <v>0</v>
      </c>
      <c r="O34" s="180">
        <v>0</v>
      </c>
      <c r="P34" s="131">
        <v>0</v>
      </c>
      <c r="Q34" s="131">
        <v>0</v>
      </c>
      <c r="R34" s="120">
        <f>Prod[[#This Row],[S2Shot]]*Prod[[#This Row],[S2Cavity]]-Prod[[#This Row],[S2Dft]]</f>
        <v>0</v>
      </c>
      <c r="S34" s="137">
        <f>SUM(Prod[[#This Row],[S2Mold]],Prod[[#This Row],[S2Print]],Prod[[#This Row],[S2Ovlp]],Prod[[#This Row],[S2Seam]],Prod[[#This Row],[S2Dmg]])</f>
        <v>0</v>
      </c>
      <c r="T34" s="179">
        <v>0</v>
      </c>
      <c r="U34" s="180">
        <v>0</v>
      </c>
      <c r="V34" s="131">
        <v>0</v>
      </c>
      <c r="W34" s="131">
        <v>0</v>
      </c>
      <c r="X34" s="120">
        <f>Prod[[#This Row],[S3Shot]]*Prod[[#This Row],[S3Cavity]]-Prod[[#This Row],[S3Dft]]</f>
        <v>0</v>
      </c>
      <c r="Y34" s="120">
        <f>SUM(Prod[[#This Row],[S3Mold]],Prod[[#This Row],[S3Print]],Prod[[#This Row],[S3Ovlp]],Prod[[#This Row],[S3Seam]],Prod[[#This Row],[S3Dmg]])</f>
        <v>0</v>
      </c>
      <c r="Z34" s="120">
        <f>SUM(Prod[[#This Row],[S1Qty]],Prod[[#This Row],[S2Qty]],Prod[[#This Row],[S3Qty]])</f>
        <v>0</v>
      </c>
      <c r="AA34" s="120">
        <f>SUM(Prod[[#This Row],[S1Dft]],Prod[[#This Row],[S2Dft]],Prod[[#This Row],[S3Dft]])</f>
        <v>0</v>
      </c>
      <c r="AB34" s="121">
        <f>IF(Prod[[#This Row],[Total]]=0,0,Prod[[#This Row],[TotalDft]]/Prod[[#This Row],[Total]])</f>
        <v>0</v>
      </c>
      <c r="AC34" s="118"/>
      <c r="AD34" s="120">
        <v>0</v>
      </c>
      <c r="AE34" s="120">
        <v>0</v>
      </c>
      <c r="AF34" s="120">
        <v>0</v>
      </c>
      <c r="AG34" s="120">
        <v>0</v>
      </c>
      <c r="AH34" s="120">
        <v>0</v>
      </c>
      <c r="AI34" s="120">
        <v>0</v>
      </c>
      <c r="AJ34" s="120">
        <v>0</v>
      </c>
      <c r="AK34" s="120">
        <v>0</v>
      </c>
      <c r="AL34" s="120">
        <v>0</v>
      </c>
      <c r="AM34" s="120">
        <v>0</v>
      </c>
      <c r="AN34" s="120">
        <v>0</v>
      </c>
      <c r="AO34" s="120">
        <v>0</v>
      </c>
      <c r="AP34" s="120">
        <v>0</v>
      </c>
      <c r="AQ34" s="120">
        <v>0</v>
      </c>
      <c r="AR34" s="120">
        <v>0</v>
      </c>
      <c r="AS34" s="133">
        <f>IF(Prod[[#This Row],[S1Hrs]]=0,0,Prod[[#This Row],[S1Shot]]*Prod[[#This Row],[S1Cycle]]/(Prod[[#This Row],[S1Hrs]]*60*60))</f>
        <v>0</v>
      </c>
      <c r="AT34" s="133">
        <f>IF(Prod[[#This Row],[S2Hrs]]=0,0,Prod[[#This Row],[S2Shot]]*Prod[[#This Row],[S2Cycle]]/(Prod[[#This Row],[S2Hrs]]*60*60))</f>
        <v>0</v>
      </c>
      <c r="AU34" s="133">
        <f>IF(Prod[[#This Row],[S3Hrs]]=0,0,Prod[[#This Row],[S3Shot]]*Prod[[#This Row],[S3Cycle]]/(Prod[[#This Row],[S3Hrs]]*60*60))</f>
        <v>0</v>
      </c>
      <c r="AV34" s="133">
        <f>IFERROR(AVERAGEIF(Prod[[#This Row],[S1%]:[S3%]], "&lt;&gt;0"),0)</f>
        <v>0</v>
      </c>
      <c r="AW34" s="133">
        <v>0</v>
      </c>
      <c r="AX34" s="133">
        <v>0</v>
      </c>
      <c r="AY34" s="133">
        <v>0</v>
      </c>
      <c r="AZ34" s="147">
        <f>IF(Prod[[#This Row],[S1Cycle]]&lt;&gt;0,1,0)</f>
        <v>0</v>
      </c>
      <c r="BA34" s="147">
        <f>IF(Prod[[#This Row],[S2Cycle]]&lt;&gt;0,1,0)</f>
        <v>0</v>
      </c>
      <c r="BB34" s="147">
        <f>IF(Prod[[#This Row],[S3Cycle]]&lt;&gt;0,1,0)</f>
        <v>0</v>
      </c>
      <c r="BC34" s="147">
        <f>MAX(Prod[[#This Row],[S1Cavity]],Prod[[#This Row],[S2Cavity]],Prod[[#This Row],[S3Cavity]])</f>
        <v>0</v>
      </c>
      <c r="BD34" s="147" t="b">
        <f>RegExpMatch(Prod[[#This Row],[MoldNo]], "^MEO-(B|C)")</f>
        <v>1</v>
      </c>
    </row>
    <row r="35" spans="1:56" x14ac:dyDescent="0.2">
      <c r="A35" s="117">
        <v>45417</v>
      </c>
      <c r="B35" s="131" t="s">
        <v>177</v>
      </c>
      <c r="C35" s="132" t="s">
        <v>157</v>
      </c>
      <c r="D35" s="119"/>
      <c r="E35" s="132"/>
      <c r="F35" s="119"/>
      <c r="G35" s="119" t="str">
        <f>IF(OR(Prod[[#This Row],[S1Hrs]]&gt;0,Prod[[#This Row],[S2Hrs]]&gt;0,Prod[[#This Row],[S3Hrs]]&gt;0),"Running","Down")</f>
        <v>Down</v>
      </c>
      <c r="H35" s="179">
        <v>0</v>
      </c>
      <c r="I35" s="180">
        <v>0</v>
      </c>
      <c r="J35" s="131">
        <v>0</v>
      </c>
      <c r="K35" s="131">
        <v>0</v>
      </c>
      <c r="L35" s="120">
        <f>Prod[[#This Row],[S1Shot]]*Prod[[#This Row],[S1Cavity]]-Prod[[#This Row],[S1Dft]]</f>
        <v>0</v>
      </c>
      <c r="M35" s="137">
        <f>SUM(Prod[[#This Row],[S1Mold]],Prod[[#This Row],[S1Print]],Prod[[#This Row],[S1Ovlp]],Prod[[#This Row],[S1Seam]],Prod[[#This Row],[S1Dmg]])</f>
        <v>0</v>
      </c>
      <c r="N35" s="179">
        <v>0</v>
      </c>
      <c r="O35" s="180">
        <v>0</v>
      </c>
      <c r="P35" s="131">
        <v>0</v>
      </c>
      <c r="Q35" s="131">
        <v>0</v>
      </c>
      <c r="R35" s="120">
        <f>Prod[[#This Row],[S2Shot]]*Prod[[#This Row],[S2Cavity]]-Prod[[#This Row],[S2Dft]]</f>
        <v>0</v>
      </c>
      <c r="S35" s="137">
        <f>SUM(Prod[[#This Row],[S2Mold]],Prod[[#This Row],[S2Print]],Prod[[#This Row],[S2Ovlp]],Prod[[#This Row],[S2Seam]],Prod[[#This Row],[S2Dmg]])</f>
        <v>0</v>
      </c>
      <c r="T35" s="179">
        <v>0</v>
      </c>
      <c r="U35" s="180">
        <v>0</v>
      </c>
      <c r="V35" s="131">
        <v>0</v>
      </c>
      <c r="W35" s="131">
        <v>0</v>
      </c>
      <c r="X35" s="120">
        <f>Prod[[#This Row],[S3Shot]]*Prod[[#This Row],[S3Cavity]]-Prod[[#This Row],[S3Dft]]</f>
        <v>0</v>
      </c>
      <c r="Y35" s="120">
        <f>SUM(Prod[[#This Row],[S3Mold]],Prod[[#This Row],[S3Print]],Prod[[#This Row],[S3Ovlp]],Prod[[#This Row],[S3Seam]],Prod[[#This Row],[S3Dmg]])</f>
        <v>0</v>
      </c>
      <c r="Z35" s="120">
        <f>SUM(Prod[[#This Row],[S1Qty]],Prod[[#This Row],[S2Qty]],Prod[[#This Row],[S3Qty]])</f>
        <v>0</v>
      </c>
      <c r="AA35" s="120">
        <f>SUM(Prod[[#This Row],[S1Dft]],Prod[[#This Row],[S2Dft]],Prod[[#This Row],[S3Dft]])</f>
        <v>0</v>
      </c>
      <c r="AB35" s="121">
        <f>IF(Prod[[#This Row],[Total]]=0,0,Prod[[#This Row],[TotalDft]]/Prod[[#This Row],[Total]])</f>
        <v>0</v>
      </c>
      <c r="AC35" s="132"/>
      <c r="AD35" s="120">
        <v>0</v>
      </c>
      <c r="AE35" s="120">
        <v>0</v>
      </c>
      <c r="AF35" s="120">
        <v>0</v>
      </c>
      <c r="AG35" s="120">
        <v>0</v>
      </c>
      <c r="AH35" s="120">
        <v>0</v>
      </c>
      <c r="AI35" s="120">
        <v>0</v>
      </c>
      <c r="AJ35" s="120">
        <v>0</v>
      </c>
      <c r="AK35" s="120">
        <v>0</v>
      </c>
      <c r="AL35" s="120">
        <v>0</v>
      </c>
      <c r="AM35" s="120">
        <v>0</v>
      </c>
      <c r="AN35" s="120">
        <v>0</v>
      </c>
      <c r="AO35" s="120">
        <v>0</v>
      </c>
      <c r="AP35" s="120">
        <v>0</v>
      </c>
      <c r="AQ35" s="120">
        <v>0</v>
      </c>
      <c r="AR35" s="120">
        <v>0</v>
      </c>
      <c r="AS35" s="133">
        <f>IF(Prod[[#This Row],[S1Hrs]]=0,0,Prod[[#This Row],[S1Shot]]*Prod[[#This Row],[S1Cycle]]/(Prod[[#This Row],[S1Hrs]]*60*60))</f>
        <v>0</v>
      </c>
      <c r="AT35" s="133">
        <f>IF(Prod[[#This Row],[S2Hrs]]=0,0,Prod[[#This Row],[S2Shot]]*Prod[[#This Row],[S2Cycle]]/(Prod[[#This Row],[S2Hrs]]*60*60))</f>
        <v>0</v>
      </c>
      <c r="AU35" s="133">
        <f>IF(Prod[[#This Row],[S3Hrs]]=0,0,Prod[[#This Row],[S3Shot]]*Prod[[#This Row],[S3Cycle]]/(Prod[[#This Row],[S3Hrs]]*60*60))</f>
        <v>0</v>
      </c>
      <c r="AV35" s="133">
        <f>IFERROR(AVERAGEIF(Prod[[#This Row],[S1%]:[S3%]], "&lt;&gt;0"),0)</f>
        <v>0</v>
      </c>
      <c r="AW35" s="133">
        <v>0</v>
      </c>
      <c r="AX35" s="133">
        <v>0</v>
      </c>
      <c r="AY35" s="133">
        <v>0</v>
      </c>
      <c r="AZ35" s="147">
        <f>IF(Prod[[#This Row],[S1Cycle]]&lt;&gt;0,1,0)</f>
        <v>0</v>
      </c>
      <c r="BA35" s="147">
        <f>IF(Prod[[#This Row],[S2Cycle]]&lt;&gt;0,1,0)</f>
        <v>0</v>
      </c>
      <c r="BB35" s="147">
        <f>IF(Prod[[#This Row],[S3Cycle]]&lt;&gt;0,1,0)</f>
        <v>0</v>
      </c>
      <c r="BC35" s="147">
        <f>MAX(Prod[[#This Row],[S1Cavity]],Prod[[#This Row],[S2Cavity]],Prod[[#This Row],[S3Cavity]])</f>
        <v>0</v>
      </c>
      <c r="BD35" s="147" t="b">
        <f>RegExpMatch(Prod[[#This Row],[MoldNo]], "^MEO-(B|C)")</f>
        <v>1</v>
      </c>
    </row>
    <row r="36" spans="1:56" x14ac:dyDescent="0.2">
      <c r="A36" s="117">
        <v>45418</v>
      </c>
      <c r="B36" s="131" t="s">
        <v>158</v>
      </c>
      <c r="C36" s="132" t="s">
        <v>191</v>
      </c>
      <c r="D36" s="119"/>
      <c r="E36" s="132"/>
      <c r="F36" s="119"/>
      <c r="G36" s="119" t="str">
        <f>IF(OR(Prod[[#This Row],[S1Hrs]]&gt;0,Prod[[#This Row],[S2Hrs]]&gt;0,Prod[[#This Row],[S3Hrs]]&gt;0),"Running","Down")</f>
        <v>Down</v>
      </c>
      <c r="H36" s="179">
        <v>0</v>
      </c>
      <c r="I36" s="180">
        <v>0</v>
      </c>
      <c r="J36" s="131">
        <v>0</v>
      </c>
      <c r="K36" s="131">
        <v>0</v>
      </c>
      <c r="L36" s="120">
        <f>Prod[[#This Row],[S1Shot]]*Prod[[#This Row],[S1Cavity]]-Prod[[#This Row],[S1Dft]]</f>
        <v>0</v>
      </c>
      <c r="M36" s="137">
        <f>SUM(Prod[[#This Row],[S1Mold]],Prod[[#This Row],[S1Print]],Prod[[#This Row],[S1Ovlp]],Prod[[#This Row],[S1Seam]],Prod[[#This Row],[S1Dmg]])</f>
        <v>0</v>
      </c>
      <c r="N36" s="179">
        <v>0</v>
      </c>
      <c r="O36" s="180">
        <v>0</v>
      </c>
      <c r="P36" s="131">
        <v>0</v>
      </c>
      <c r="Q36" s="131">
        <v>0</v>
      </c>
      <c r="R36" s="120">
        <f>Prod[[#This Row],[S2Shot]]*Prod[[#This Row],[S2Cavity]]-Prod[[#This Row],[S2Dft]]</f>
        <v>0</v>
      </c>
      <c r="S36" s="137">
        <f>SUM(Prod[[#This Row],[S2Mold]],Prod[[#This Row],[S2Print]],Prod[[#This Row],[S2Ovlp]],Prod[[#This Row],[S2Seam]],Prod[[#This Row],[S2Dmg]])</f>
        <v>0</v>
      </c>
      <c r="T36" s="179">
        <v>0</v>
      </c>
      <c r="U36" s="180">
        <v>0</v>
      </c>
      <c r="V36" s="131">
        <v>0</v>
      </c>
      <c r="W36" s="131">
        <v>0</v>
      </c>
      <c r="X36" s="120">
        <f>Prod[[#This Row],[S3Shot]]*Prod[[#This Row],[S3Cavity]]-Prod[[#This Row],[S3Dft]]</f>
        <v>0</v>
      </c>
      <c r="Y36" s="120">
        <f>SUM(Prod[[#This Row],[S3Mold]],Prod[[#This Row],[S3Print]],Prod[[#This Row],[S3Ovlp]],Prod[[#This Row],[S3Seam]],Prod[[#This Row],[S3Dmg]])</f>
        <v>0</v>
      </c>
      <c r="Z36" s="120">
        <f>SUM(Prod[[#This Row],[S1Qty]],Prod[[#This Row],[S2Qty]],Prod[[#This Row],[S3Qty]])</f>
        <v>0</v>
      </c>
      <c r="AA36" s="120">
        <f>SUM(Prod[[#This Row],[S1Dft]],Prod[[#This Row],[S2Dft]],Prod[[#This Row],[S3Dft]])</f>
        <v>0</v>
      </c>
      <c r="AB36" s="121">
        <f>IF(Prod[[#This Row],[Total]]=0,0,Prod[[#This Row],[TotalDft]]/Prod[[#This Row],[Total]])</f>
        <v>0</v>
      </c>
      <c r="AC36" s="118"/>
      <c r="AD36" s="120">
        <v>0</v>
      </c>
      <c r="AE36" s="120">
        <v>0</v>
      </c>
      <c r="AF36" s="120">
        <v>0</v>
      </c>
      <c r="AG36" s="120">
        <v>0</v>
      </c>
      <c r="AH36" s="120">
        <v>0</v>
      </c>
      <c r="AI36" s="120">
        <v>0</v>
      </c>
      <c r="AJ36" s="120">
        <v>0</v>
      </c>
      <c r="AK36" s="120">
        <v>0</v>
      </c>
      <c r="AL36" s="120">
        <v>0</v>
      </c>
      <c r="AM36" s="120">
        <v>0</v>
      </c>
      <c r="AN36" s="120">
        <v>0</v>
      </c>
      <c r="AO36" s="120">
        <v>0</v>
      </c>
      <c r="AP36" s="120">
        <v>0</v>
      </c>
      <c r="AQ36" s="120">
        <v>0</v>
      </c>
      <c r="AR36" s="120">
        <v>0</v>
      </c>
      <c r="AS36" s="133">
        <f>IF(Prod[[#This Row],[S1Hrs]]=0,0,Prod[[#This Row],[S1Shot]]*Prod[[#This Row],[S1Cycle]]/(Prod[[#This Row],[S1Hrs]]*60*60))</f>
        <v>0</v>
      </c>
      <c r="AT36" s="133">
        <f>IF(Prod[[#This Row],[S2Hrs]]=0,0,Prod[[#This Row],[S2Shot]]*Prod[[#This Row],[S2Cycle]]/(Prod[[#This Row],[S2Hrs]]*60*60))</f>
        <v>0</v>
      </c>
      <c r="AU36" s="133">
        <f>IF(Prod[[#This Row],[S3Hrs]]=0,0,Prod[[#This Row],[S3Shot]]*Prod[[#This Row],[S3Cycle]]/(Prod[[#This Row],[S3Hrs]]*60*60))</f>
        <v>0</v>
      </c>
      <c r="AV36" s="133">
        <f>IFERROR(AVERAGEIF(Prod[[#This Row],[S1%]:[S3%]], "&lt;&gt;0"),0)</f>
        <v>0</v>
      </c>
      <c r="AW36" s="133">
        <v>0</v>
      </c>
      <c r="AX36" s="133">
        <v>0</v>
      </c>
      <c r="AY36" s="133">
        <v>0</v>
      </c>
      <c r="AZ36" s="147">
        <f>IF(Prod[[#This Row],[S1Cycle]]&lt;&gt;0,1,0)</f>
        <v>0</v>
      </c>
      <c r="BA36" s="147">
        <f>IF(Prod[[#This Row],[S2Cycle]]&lt;&gt;0,1,0)</f>
        <v>0</v>
      </c>
      <c r="BB36" s="147">
        <f>IF(Prod[[#This Row],[S3Cycle]]&lt;&gt;0,1,0)</f>
        <v>0</v>
      </c>
      <c r="BC36" s="147">
        <f>MAX(Prod[[#This Row],[S1Cavity]],Prod[[#This Row],[S2Cavity]],Prod[[#This Row],[S3Cavity]])</f>
        <v>0</v>
      </c>
      <c r="BD36" s="147" t="b">
        <f>RegExpMatch(Prod[[#This Row],[MoldNo]], "^MEO-(B|C)")</f>
        <v>1</v>
      </c>
    </row>
    <row r="37" spans="1:56" x14ac:dyDescent="0.2">
      <c r="A37" s="117">
        <v>45418</v>
      </c>
      <c r="B37" s="131" t="s">
        <v>187</v>
      </c>
      <c r="C37" s="132" t="s">
        <v>178</v>
      </c>
      <c r="D37" s="119">
        <v>27570</v>
      </c>
      <c r="E37" s="132" t="s">
        <v>92</v>
      </c>
      <c r="F37" s="119">
        <v>2304</v>
      </c>
      <c r="G37" s="119" t="str">
        <f>IF(OR(Prod[[#This Row],[S1Hrs]]&gt;0,Prod[[#This Row],[S2Hrs]]&gt;0,Prod[[#This Row],[S3Hrs]]&gt;0),"Running","Down")</f>
        <v>Running</v>
      </c>
      <c r="H37" s="179">
        <v>14.93</v>
      </c>
      <c r="I37" s="180">
        <v>8</v>
      </c>
      <c r="J37" s="131">
        <v>1925</v>
      </c>
      <c r="K37" s="131">
        <v>16</v>
      </c>
      <c r="L37" s="120">
        <f>Prod[[#This Row],[S1Shot]]*Prod[[#This Row],[S1Cavity]]-Prod[[#This Row],[S1Dft]]</f>
        <v>30800</v>
      </c>
      <c r="M37" s="135"/>
      <c r="N37" s="179">
        <v>14.93</v>
      </c>
      <c r="O37" s="180">
        <v>8</v>
      </c>
      <c r="P37" s="131">
        <v>1887</v>
      </c>
      <c r="Q37" s="131">
        <v>16</v>
      </c>
      <c r="R37" s="120">
        <f>Prod[[#This Row],[S2Shot]]*Prod[[#This Row],[S2Cavity]]-Prod[[#This Row],[S2Dft]]</f>
        <v>30192</v>
      </c>
      <c r="S37" s="135"/>
      <c r="T37" s="179">
        <v>14.92</v>
      </c>
      <c r="U37" s="180">
        <v>8</v>
      </c>
      <c r="V37" s="131">
        <v>1825</v>
      </c>
      <c r="W37" s="131">
        <v>16</v>
      </c>
      <c r="X37" s="120">
        <f>Prod[[#This Row],[S3Shot]]*Prod[[#This Row],[S3Cavity]]-Prod[[#This Row],[S3Dft]]</f>
        <v>29200</v>
      </c>
      <c r="Y37" s="135"/>
      <c r="Z37" s="120">
        <f>SUM(Prod[[#This Row],[S1Qty]],Prod[[#This Row],[S2Qty]],Prod[[#This Row],[S3Qty]])</f>
        <v>90192</v>
      </c>
      <c r="AA37" s="135"/>
      <c r="AB37" s="136"/>
      <c r="AC37" s="118"/>
      <c r="AD37" s="135"/>
      <c r="AE37" s="135"/>
      <c r="AF37" s="135"/>
      <c r="AG37" s="135"/>
      <c r="AH37" s="135"/>
      <c r="AI37" s="135"/>
      <c r="AJ37" s="135"/>
      <c r="AK37" s="135"/>
      <c r="AL37" s="135"/>
      <c r="AM37" s="135"/>
      <c r="AN37" s="135"/>
      <c r="AO37" s="135"/>
      <c r="AP37" s="135"/>
      <c r="AQ37" s="135"/>
      <c r="AR37" s="135"/>
      <c r="AS37" s="133">
        <f>IF(Prod[[#This Row],[S1Hrs]]=0,0,Prod[[#This Row],[S1Shot]]*Prod[[#This Row],[S1Cycle]]/(Prod[[#This Row],[S1Hrs]]*60*60))</f>
        <v>0.99792534722222226</v>
      </c>
      <c r="AT37" s="133">
        <f>IF(Prod[[#This Row],[S2Hrs]]=0,0,Prod[[#This Row],[S2Shot]]*Prod[[#This Row],[S2Cycle]]/(Prod[[#This Row],[S2Hrs]]*60*60))</f>
        <v>0.97822604166666671</v>
      </c>
      <c r="AU37" s="133">
        <f>IF(Prod[[#This Row],[S3Hrs]]=0,0,Prod[[#This Row],[S3Shot]]*Prod[[#This Row],[S3Cycle]]/(Prod[[#This Row],[S3Hrs]]*60*60))</f>
        <v>0.94545138888888891</v>
      </c>
      <c r="AV37" s="133">
        <f>IFERROR(AVERAGEIF(Prod[[#This Row],[S1%]:[S3%]], "&lt;&gt;0"),0)</f>
        <v>0.97386759259259259</v>
      </c>
      <c r="AW37" s="133">
        <v>0</v>
      </c>
      <c r="AX37" s="133">
        <v>0</v>
      </c>
      <c r="AY37" s="133">
        <v>0</v>
      </c>
      <c r="AZ37" s="147">
        <f>IF(Prod[[#This Row],[S1Cycle]]&lt;&gt;0,1,0)</f>
        <v>1</v>
      </c>
      <c r="BA37" s="147">
        <f>IF(Prod[[#This Row],[S2Cycle]]&lt;&gt;0,1,0)</f>
        <v>1</v>
      </c>
      <c r="BB37" s="147">
        <f>IF(Prod[[#This Row],[S3Cycle]]&lt;&gt;0,1,0)</f>
        <v>1</v>
      </c>
      <c r="BC37" s="147">
        <f>MAX(Prod[[#This Row],[S1Cavity]],Prod[[#This Row],[S2Cavity]],Prod[[#This Row],[S3Cavity]])</f>
        <v>16</v>
      </c>
      <c r="BD37" s="147" t="b">
        <f>RegExpMatch(Prod[[#This Row],[MoldNo]], "^MEO-(B|C)")</f>
        <v>0</v>
      </c>
    </row>
    <row r="38" spans="1:56" x14ac:dyDescent="0.2">
      <c r="A38" s="117">
        <v>45418</v>
      </c>
      <c r="B38" s="131" t="s">
        <v>181</v>
      </c>
      <c r="C38" s="132" t="s">
        <v>182</v>
      </c>
      <c r="D38" s="119">
        <v>26680</v>
      </c>
      <c r="E38" s="132" t="s">
        <v>185</v>
      </c>
      <c r="F38" s="119">
        <v>6331</v>
      </c>
      <c r="G38" s="119" t="str">
        <f>IF(OR(Prod[[#This Row],[S1Hrs]]&gt;0,Prod[[#This Row],[S2Hrs]]&gt;0,Prod[[#This Row],[S3Hrs]]&gt;0),"Running","Down")</f>
        <v>Running</v>
      </c>
      <c r="H38" s="179">
        <v>34.299999999999997</v>
      </c>
      <c r="I38" s="180">
        <v>8</v>
      </c>
      <c r="J38" s="131">
        <v>801</v>
      </c>
      <c r="K38" s="131">
        <v>16</v>
      </c>
      <c r="L38" s="120">
        <f>Prod[[#This Row],[S1Shot]]*Prod[[#This Row],[S1Cavity]]-Prod[[#This Row],[S1Dft]]</f>
        <v>12806</v>
      </c>
      <c r="M38" s="137">
        <f>SUM(Prod[[#This Row],[S1Mold]],Prod[[#This Row],[S1Print]],Prod[[#This Row],[S1Ovlp]],Prod[[#This Row],[S1Seam]],Prod[[#This Row],[S1Dmg]])</f>
        <v>10</v>
      </c>
      <c r="N38" s="179">
        <v>34.31</v>
      </c>
      <c r="O38" s="180">
        <v>8</v>
      </c>
      <c r="P38" s="131">
        <v>916</v>
      </c>
      <c r="Q38" s="131">
        <v>16</v>
      </c>
      <c r="R38" s="120">
        <f>Prod[[#This Row],[S2Shot]]*Prod[[#This Row],[S2Cavity]]-Prod[[#This Row],[S2Dft]]</f>
        <v>14648</v>
      </c>
      <c r="S38" s="137">
        <f>SUM(Prod[[#This Row],[S2Mold]],Prod[[#This Row],[S2Print]],Prod[[#This Row],[S2Ovlp]],Prod[[#This Row],[S2Seam]],Prod[[#This Row],[S2Dmg]])</f>
        <v>8</v>
      </c>
      <c r="T38" s="179">
        <v>34.29</v>
      </c>
      <c r="U38" s="180">
        <v>8</v>
      </c>
      <c r="V38" s="131">
        <v>804</v>
      </c>
      <c r="W38" s="131">
        <v>16</v>
      </c>
      <c r="X38" s="120">
        <f>Prod[[#This Row],[S3Shot]]*Prod[[#This Row],[S3Cavity]]-Prod[[#This Row],[S3Dft]]</f>
        <v>12859</v>
      </c>
      <c r="Y38" s="120">
        <f>SUM(Prod[[#This Row],[S3Mold]],Prod[[#This Row],[S3Print]],Prod[[#This Row],[S3Ovlp]],Prod[[#This Row],[S3Seam]],Prod[[#This Row],[S3Dmg]])</f>
        <v>5</v>
      </c>
      <c r="Z38" s="120">
        <f>SUM(Prod[[#This Row],[S1Qty]],Prod[[#This Row],[S2Qty]],Prod[[#This Row],[S3Qty]])</f>
        <v>40313</v>
      </c>
      <c r="AA38" s="120">
        <f>SUM(Prod[[#This Row],[S1Dft]],Prod[[#This Row],[S2Dft]],Prod[[#This Row],[S3Dft]])</f>
        <v>23</v>
      </c>
      <c r="AB38" s="121">
        <f>IF(Prod[[#This Row],[Total]]=0,0,Prod[[#This Row],[TotalDft]]/Prod[[#This Row],[Total]])</f>
        <v>5.7053555924887751E-4</v>
      </c>
      <c r="AC38" s="118"/>
      <c r="AD38" s="120">
        <v>10</v>
      </c>
      <c r="AE38" s="120">
        <v>8</v>
      </c>
      <c r="AF38" s="120">
        <v>5</v>
      </c>
      <c r="AG38" s="120">
        <v>0</v>
      </c>
      <c r="AH38" s="120">
        <v>0</v>
      </c>
      <c r="AI38" s="120">
        <v>0</v>
      </c>
      <c r="AJ38" s="120">
        <v>0</v>
      </c>
      <c r="AK38" s="120">
        <v>0</v>
      </c>
      <c r="AL38" s="120">
        <v>0</v>
      </c>
      <c r="AM38" s="120">
        <v>0</v>
      </c>
      <c r="AN38" s="120">
        <v>0</v>
      </c>
      <c r="AO38" s="120">
        <v>0</v>
      </c>
      <c r="AP38" s="120">
        <v>0</v>
      </c>
      <c r="AQ38" s="120">
        <v>0</v>
      </c>
      <c r="AR38" s="120">
        <v>0</v>
      </c>
      <c r="AS38" s="133">
        <f>IF(Prod[[#This Row],[S1Hrs]]=0,0,Prod[[#This Row],[S1Shot]]*Prod[[#This Row],[S1Cycle]]/(Prod[[#This Row],[S1Hrs]]*60*60))</f>
        <v>0.95396874999999992</v>
      </c>
      <c r="AT38" s="133">
        <f>IF(Prod[[#This Row],[S2Hrs]]=0,0,Prod[[#This Row],[S2Shot]]*Prod[[#This Row],[S2Cycle]]/(Prod[[#This Row],[S2Hrs]]*60*60))</f>
        <v>1.0912486111111113</v>
      </c>
      <c r="AU38" s="133">
        <f>IF(Prod[[#This Row],[S3Hrs]]=0,0,Prod[[#This Row],[S3Shot]]*Prod[[#This Row],[S3Cycle]]/(Prod[[#This Row],[S3Hrs]]*60*60))</f>
        <v>0.95726250000000002</v>
      </c>
      <c r="AV38" s="133">
        <f>IFERROR(AVERAGEIF(Prod[[#This Row],[S1%]:[S3%]], "&lt;&gt;0"),0)</f>
        <v>1.0008266203703704</v>
      </c>
      <c r="AW38" s="133">
        <v>0</v>
      </c>
      <c r="AX38" s="133">
        <v>0</v>
      </c>
      <c r="AY38" s="133">
        <v>0</v>
      </c>
      <c r="AZ38" s="147">
        <f>IF(Prod[[#This Row],[S1Cycle]]&lt;&gt;0,1,0)</f>
        <v>1</v>
      </c>
      <c r="BA38" s="147">
        <f>IF(Prod[[#This Row],[S2Cycle]]&lt;&gt;0,1,0)</f>
        <v>1</v>
      </c>
      <c r="BB38" s="147">
        <f>IF(Prod[[#This Row],[S3Cycle]]&lt;&gt;0,1,0)</f>
        <v>1</v>
      </c>
      <c r="BC38" s="147">
        <f>MAX(Prod[[#This Row],[S1Cavity]],Prod[[#This Row],[S2Cavity]],Prod[[#This Row],[S3Cavity]])</f>
        <v>16</v>
      </c>
      <c r="BD38" s="147" t="b">
        <f>RegExpMatch(Prod[[#This Row],[MoldNo]], "^MEO-(B|C)")</f>
        <v>1</v>
      </c>
    </row>
    <row r="39" spans="1:56" x14ac:dyDescent="0.2">
      <c r="A39" s="117">
        <v>45418</v>
      </c>
      <c r="B39" s="131" t="s">
        <v>179</v>
      </c>
      <c r="C39" s="132" t="s">
        <v>180</v>
      </c>
      <c r="D39" s="119">
        <v>26680</v>
      </c>
      <c r="E39" s="132" t="s">
        <v>185</v>
      </c>
      <c r="F39" s="119">
        <v>6331</v>
      </c>
      <c r="G39" s="119" t="str">
        <f>IF(OR(Prod[[#This Row],[S1Hrs]]&gt;0,Prod[[#This Row],[S2Hrs]]&gt;0,Prod[[#This Row],[S3Hrs]]&gt;0),"Running","Down")</f>
        <v>Running</v>
      </c>
      <c r="H39" s="179">
        <v>18.37</v>
      </c>
      <c r="I39" s="180">
        <v>8</v>
      </c>
      <c r="J39" s="131">
        <v>1436</v>
      </c>
      <c r="K39" s="131">
        <v>15</v>
      </c>
      <c r="L39" s="120">
        <f>Prod[[#This Row],[S1Shot]]*Prod[[#This Row],[S1Cavity]]-Prod[[#This Row],[S1Dft]]</f>
        <v>21540</v>
      </c>
      <c r="M39" s="135"/>
      <c r="N39" s="179">
        <v>18.36</v>
      </c>
      <c r="O39" s="180">
        <v>8</v>
      </c>
      <c r="P39" s="131">
        <v>1711</v>
      </c>
      <c r="Q39" s="131">
        <v>15</v>
      </c>
      <c r="R39" s="120">
        <f>Prod[[#This Row],[S2Shot]]*Prod[[#This Row],[S2Cavity]]-Prod[[#This Row],[S2Dft]]</f>
        <v>25665</v>
      </c>
      <c r="S39" s="135"/>
      <c r="T39" s="179">
        <v>18.36</v>
      </c>
      <c r="U39" s="180">
        <v>8</v>
      </c>
      <c r="V39" s="131">
        <v>1491</v>
      </c>
      <c r="W39" s="131">
        <v>15</v>
      </c>
      <c r="X39" s="120">
        <f>Prod[[#This Row],[S3Shot]]*Prod[[#This Row],[S3Cavity]]-Prod[[#This Row],[S3Dft]]</f>
        <v>22365</v>
      </c>
      <c r="Y39" s="120">
        <f>SUM(Prod[[#This Row],[S3Mold]],Prod[[#This Row],[S3Print]],Prod[[#This Row],[S3Ovlp]],Prod[[#This Row],[S3Seam]],Prod[[#This Row],[S3Dmg]])</f>
        <v>0</v>
      </c>
      <c r="Z39" s="120">
        <f>SUM(Prod[[#This Row],[S1Qty]],Prod[[#This Row],[S2Qty]],Prod[[#This Row],[S3Qty]])</f>
        <v>69570</v>
      </c>
      <c r="AA39" s="120">
        <f>SUM(Prod[[#This Row],[S1Dft]],Prod[[#This Row],[S2Dft]],Prod[[#This Row],[S3Dft]])</f>
        <v>0</v>
      </c>
      <c r="AB39" s="121">
        <f>IF(Prod[[#This Row],[Total]]=0,0,Prod[[#This Row],[TotalDft]]/Prod[[#This Row],[Total]])</f>
        <v>0</v>
      </c>
      <c r="AC39" s="132"/>
      <c r="AD39" s="135"/>
      <c r="AE39" s="135"/>
      <c r="AF39" s="135"/>
      <c r="AG39" s="135"/>
      <c r="AH39" s="135"/>
      <c r="AI39" s="135"/>
      <c r="AJ39" s="135"/>
      <c r="AK39" s="135"/>
      <c r="AL39" s="135"/>
      <c r="AM39" s="135"/>
      <c r="AN39" s="135"/>
      <c r="AO39" s="135"/>
      <c r="AP39" s="135"/>
      <c r="AQ39" s="135"/>
      <c r="AR39" s="135"/>
      <c r="AS39" s="133">
        <f>IF(Prod[[#This Row],[S1Hrs]]=0,0,Prod[[#This Row],[S1Shot]]*Prod[[#This Row],[S1Cycle]]/(Prod[[#This Row],[S1Hrs]]*60*60))</f>
        <v>0.91594861111111114</v>
      </c>
      <c r="AT39" s="133">
        <f>IF(Prod[[#This Row],[S2Hrs]]=0,0,Prod[[#This Row],[S2Shot]]*Prod[[#This Row],[S2Cycle]]/(Prod[[#This Row],[S2Hrs]]*60*60))</f>
        <v>1.0907625000000001</v>
      </c>
      <c r="AU39" s="133">
        <f>IF(Prod[[#This Row],[S3Hrs]]=0,0,Prod[[#This Row],[S3Shot]]*Prod[[#This Row],[S3Cycle]]/(Prod[[#This Row],[S3Hrs]]*60*60))</f>
        <v>0.95051249999999998</v>
      </c>
      <c r="AV39" s="133">
        <f>IFERROR(AVERAGEIF(Prod[[#This Row],[S1%]:[S3%]], "&lt;&gt;0"),0)</f>
        <v>0.98574120370370366</v>
      </c>
      <c r="AW39" s="133">
        <v>0</v>
      </c>
      <c r="AX39" s="133">
        <v>0</v>
      </c>
      <c r="AY39" s="133">
        <v>0</v>
      </c>
      <c r="AZ39" s="147">
        <f>IF(Prod[[#This Row],[S1Cycle]]&lt;&gt;0,1,0)</f>
        <v>1</v>
      </c>
      <c r="BA39" s="147">
        <f>IF(Prod[[#This Row],[S2Cycle]]&lt;&gt;0,1,0)</f>
        <v>1</v>
      </c>
      <c r="BB39" s="147">
        <f>IF(Prod[[#This Row],[S3Cycle]]&lt;&gt;0,1,0)</f>
        <v>1</v>
      </c>
      <c r="BC39" s="147">
        <f>MAX(Prod[[#This Row],[S1Cavity]],Prod[[#This Row],[S2Cavity]],Prod[[#This Row],[S3Cavity]])</f>
        <v>15</v>
      </c>
      <c r="BD39" s="147" t="b">
        <f>RegExpMatch(Prod[[#This Row],[MoldNo]], "^MEO-(B|C)")</f>
        <v>0</v>
      </c>
    </row>
    <row r="40" spans="1:56" x14ac:dyDescent="0.2">
      <c r="A40" s="117">
        <v>45418</v>
      </c>
      <c r="B40" s="131" t="s">
        <v>183</v>
      </c>
      <c r="C40" s="132" t="s">
        <v>184</v>
      </c>
      <c r="D40" s="119"/>
      <c r="E40" s="132"/>
      <c r="F40" s="119"/>
      <c r="G40" s="119" t="str">
        <f>IF(OR(Prod[[#This Row],[S1Hrs]]&gt;0,Prod[[#This Row],[S2Hrs]]&gt;0,Prod[[#This Row],[S3Hrs]]&gt;0),"Running","Down")</f>
        <v>Down</v>
      </c>
      <c r="H40" s="179">
        <v>0</v>
      </c>
      <c r="I40" s="180">
        <v>0</v>
      </c>
      <c r="J40" s="131">
        <v>0</v>
      </c>
      <c r="K40" s="131">
        <v>0</v>
      </c>
      <c r="L40" s="120">
        <f>Prod[[#This Row],[S1Shot]]*Prod[[#This Row],[S1Cavity]]-Prod[[#This Row],[S1Dft]]</f>
        <v>0</v>
      </c>
      <c r="M40" s="137">
        <f>SUM(Prod[[#This Row],[S1Mold]],Prod[[#This Row],[S1Print]],Prod[[#This Row],[S1Ovlp]],Prod[[#This Row],[S1Seam]],Prod[[#This Row],[S1Dmg]])</f>
        <v>0</v>
      </c>
      <c r="N40" s="179">
        <v>0</v>
      </c>
      <c r="O40" s="180">
        <v>0</v>
      </c>
      <c r="P40" s="131">
        <v>0</v>
      </c>
      <c r="Q40" s="131">
        <v>0</v>
      </c>
      <c r="R40" s="120">
        <f>Prod[[#This Row],[S2Shot]]*Prod[[#This Row],[S2Cavity]]-Prod[[#This Row],[S2Dft]]</f>
        <v>0</v>
      </c>
      <c r="S40" s="137">
        <f>SUM(Prod[[#This Row],[S2Mold]],Prod[[#This Row],[S2Print]],Prod[[#This Row],[S2Ovlp]],Prod[[#This Row],[S2Seam]],Prod[[#This Row],[S2Dmg]])</f>
        <v>0</v>
      </c>
      <c r="T40" s="179">
        <v>0</v>
      </c>
      <c r="U40" s="180">
        <v>0</v>
      </c>
      <c r="V40" s="131">
        <v>0</v>
      </c>
      <c r="W40" s="131">
        <v>0</v>
      </c>
      <c r="X40" s="120">
        <f>Prod[[#This Row],[S3Shot]]*Prod[[#This Row],[S3Cavity]]-Prod[[#This Row],[S3Dft]]</f>
        <v>0</v>
      </c>
      <c r="Y40" s="120">
        <f>SUM(Prod[[#This Row],[S3Mold]],Prod[[#This Row],[S3Print]],Prod[[#This Row],[S3Ovlp]],Prod[[#This Row],[S3Seam]],Prod[[#This Row],[S3Dmg]])</f>
        <v>0</v>
      </c>
      <c r="Z40" s="120">
        <f>SUM(Prod[[#This Row],[S1Qty]],Prod[[#This Row],[S2Qty]],Prod[[#This Row],[S3Qty]])</f>
        <v>0</v>
      </c>
      <c r="AA40" s="120">
        <f>SUM(Prod[[#This Row],[S1Dft]],Prod[[#This Row],[S2Dft]],Prod[[#This Row],[S3Dft]])</f>
        <v>0</v>
      </c>
      <c r="AB40" s="121">
        <f>IF(Prod[[#This Row],[Total]]=0,0,Prod[[#This Row],[TotalDft]]/Prod[[#This Row],[Total]])</f>
        <v>0</v>
      </c>
      <c r="AC40" s="118"/>
      <c r="AD40" s="120">
        <v>0</v>
      </c>
      <c r="AE40" s="120">
        <v>0</v>
      </c>
      <c r="AF40" s="120">
        <v>0</v>
      </c>
      <c r="AG40" s="120">
        <v>0</v>
      </c>
      <c r="AH40" s="120">
        <v>0</v>
      </c>
      <c r="AI40" s="120">
        <v>0</v>
      </c>
      <c r="AJ40" s="120">
        <v>0</v>
      </c>
      <c r="AK40" s="120">
        <v>0</v>
      </c>
      <c r="AL40" s="120">
        <v>0</v>
      </c>
      <c r="AM40" s="120">
        <v>0</v>
      </c>
      <c r="AN40" s="120">
        <v>0</v>
      </c>
      <c r="AO40" s="120">
        <v>0</v>
      </c>
      <c r="AP40" s="120">
        <v>0</v>
      </c>
      <c r="AQ40" s="120">
        <v>0</v>
      </c>
      <c r="AR40" s="120">
        <v>0</v>
      </c>
      <c r="AS40" s="133">
        <f>IF(Prod[[#This Row],[S1Hrs]]=0,0,Prod[[#This Row],[S1Shot]]*Prod[[#This Row],[S1Cycle]]/(Prod[[#This Row],[S1Hrs]]*60*60))</f>
        <v>0</v>
      </c>
      <c r="AT40" s="133">
        <f>IF(Prod[[#This Row],[S2Hrs]]=0,0,Prod[[#This Row],[S2Shot]]*Prod[[#This Row],[S2Cycle]]/(Prod[[#This Row],[S2Hrs]]*60*60))</f>
        <v>0</v>
      </c>
      <c r="AU40" s="133">
        <f>IF(Prod[[#This Row],[S3Hrs]]=0,0,Prod[[#This Row],[S3Shot]]*Prod[[#This Row],[S3Cycle]]/(Prod[[#This Row],[S3Hrs]]*60*60))</f>
        <v>0</v>
      </c>
      <c r="AV40" s="133">
        <f>IFERROR(AVERAGEIF(Prod[[#This Row],[S1%]:[S3%]], "&lt;&gt;0"),0)</f>
        <v>0</v>
      </c>
      <c r="AW40" s="133">
        <v>0</v>
      </c>
      <c r="AX40" s="133">
        <v>0</v>
      </c>
      <c r="AY40" s="133">
        <v>0</v>
      </c>
      <c r="AZ40" s="147">
        <f>IF(Prod[[#This Row],[S1Cycle]]&lt;&gt;0,1,0)</f>
        <v>0</v>
      </c>
      <c r="BA40" s="147">
        <f>IF(Prod[[#This Row],[S2Cycle]]&lt;&gt;0,1,0)</f>
        <v>0</v>
      </c>
      <c r="BB40" s="147">
        <f>IF(Prod[[#This Row],[S3Cycle]]&lt;&gt;0,1,0)</f>
        <v>0</v>
      </c>
      <c r="BC40" s="147">
        <f>MAX(Prod[[#This Row],[S1Cavity]],Prod[[#This Row],[S2Cavity]],Prod[[#This Row],[S3Cavity]])</f>
        <v>0</v>
      </c>
      <c r="BD40" s="147" t="b">
        <f>RegExpMatch(Prod[[#This Row],[MoldNo]], "^MEO-(B|C)")</f>
        <v>1</v>
      </c>
    </row>
    <row r="41" spans="1:56" x14ac:dyDescent="0.2">
      <c r="A41" s="117">
        <v>45418</v>
      </c>
      <c r="B41" s="131" t="s">
        <v>177</v>
      </c>
      <c r="C41" s="132" t="s">
        <v>157</v>
      </c>
      <c r="D41" s="119"/>
      <c r="E41" s="132"/>
      <c r="F41" s="119"/>
      <c r="G41" s="119" t="str">
        <f>IF(OR(Prod[[#This Row],[S1Hrs]]&gt;0,Prod[[#This Row],[S2Hrs]]&gt;0,Prod[[#This Row],[S3Hrs]]&gt;0),"Running","Down")</f>
        <v>Down</v>
      </c>
      <c r="H41" s="179">
        <v>0</v>
      </c>
      <c r="I41" s="180">
        <v>0</v>
      </c>
      <c r="J41" s="131">
        <v>0</v>
      </c>
      <c r="K41" s="131">
        <v>0</v>
      </c>
      <c r="L41" s="120">
        <f>Prod[[#This Row],[S1Shot]]*Prod[[#This Row],[S1Cavity]]-Prod[[#This Row],[S1Dft]]</f>
        <v>0</v>
      </c>
      <c r="M41" s="137">
        <f>SUM(Prod[[#This Row],[S1Mold]],Prod[[#This Row],[S1Print]],Prod[[#This Row],[S1Ovlp]],Prod[[#This Row],[S1Seam]],Prod[[#This Row],[S1Dmg]])</f>
        <v>0</v>
      </c>
      <c r="N41" s="179">
        <v>0</v>
      </c>
      <c r="O41" s="180">
        <v>0</v>
      </c>
      <c r="P41" s="131">
        <v>0</v>
      </c>
      <c r="Q41" s="131">
        <v>0</v>
      </c>
      <c r="R41" s="120">
        <f>Prod[[#This Row],[S2Shot]]*Prod[[#This Row],[S2Cavity]]-Prod[[#This Row],[S2Dft]]</f>
        <v>0</v>
      </c>
      <c r="S41" s="137">
        <f>SUM(Prod[[#This Row],[S2Mold]],Prod[[#This Row],[S2Print]],Prod[[#This Row],[S2Ovlp]],Prod[[#This Row],[S2Seam]],Prod[[#This Row],[S2Dmg]])</f>
        <v>0</v>
      </c>
      <c r="T41" s="179">
        <v>0</v>
      </c>
      <c r="U41" s="180">
        <v>0</v>
      </c>
      <c r="V41" s="131">
        <v>0</v>
      </c>
      <c r="W41" s="131">
        <v>0</v>
      </c>
      <c r="X41" s="120">
        <f>Prod[[#This Row],[S3Shot]]*Prod[[#This Row],[S3Cavity]]-Prod[[#This Row],[S3Dft]]</f>
        <v>0</v>
      </c>
      <c r="Y41" s="120">
        <f>SUM(Prod[[#This Row],[S3Mold]],Prod[[#This Row],[S3Print]],Prod[[#This Row],[S3Ovlp]],Prod[[#This Row],[S3Seam]],Prod[[#This Row],[S3Dmg]])</f>
        <v>0</v>
      </c>
      <c r="Z41" s="120">
        <f>SUM(Prod[[#This Row],[S1Qty]],Prod[[#This Row],[S2Qty]],Prod[[#This Row],[S3Qty]])</f>
        <v>0</v>
      </c>
      <c r="AA41" s="120">
        <f>SUM(Prod[[#This Row],[S1Dft]],Prod[[#This Row],[S2Dft]],Prod[[#This Row],[S3Dft]])</f>
        <v>0</v>
      </c>
      <c r="AB41" s="121">
        <f>IF(Prod[[#This Row],[Total]]=0,0,Prod[[#This Row],[TotalDft]]/Prod[[#This Row],[Total]])</f>
        <v>0</v>
      </c>
      <c r="AC41" s="132"/>
      <c r="AD41" s="120">
        <v>0</v>
      </c>
      <c r="AE41" s="120">
        <v>0</v>
      </c>
      <c r="AF41" s="120">
        <v>0</v>
      </c>
      <c r="AG41" s="120">
        <v>0</v>
      </c>
      <c r="AH41" s="120">
        <v>0</v>
      </c>
      <c r="AI41" s="120">
        <v>0</v>
      </c>
      <c r="AJ41" s="120">
        <v>0</v>
      </c>
      <c r="AK41" s="120">
        <v>0</v>
      </c>
      <c r="AL41" s="120">
        <v>0</v>
      </c>
      <c r="AM41" s="120">
        <v>0</v>
      </c>
      <c r="AN41" s="120">
        <v>0</v>
      </c>
      <c r="AO41" s="120">
        <v>0</v>
      </c>
      <c r="AP41" s="120">
        <v>0</v>
      </c>
      <c r="AQ41" s="120">
        <v>0</v>
      </c>
      <c r="AR41" s="120">
        <v>0</v>
      </c>
      <c r="AS41" s="133">
        <f>IF(Prod[[#This Row],[S1Hrs]]=0,0,Prod[[#This Row],[S1Shot]]*Prod[[#This Row],[S1Cycle]]/(Prod[[#This Row],[S1Hrs]]*60*60))</f>
        <v>0</v>
      </c>
      <c r="AT41" s="133">
        <f>IF(Prod[[#This Row],[S2Hrs]]=0,0,Prod[[#This Row],[S2Shot]]*Prod[[#This Row],[S2Cycle]]/(Prod[[#This Row],[S2Hrs]]*60*60))</f>
        <v>0</v>
      </c>
      <c r="AU41" s="133">
        <f>IF(Prod[[#This Row],[S3Hrs]]=0,0,Prod[[#This Row],[S3Shot]]*Prod[[#This Row],[S3Cycle]]/(Prod[[#This Row],[S3Hrs]]*60*60))</f>
        <v>0</v>
      </c>
      <c r="AV41" s="133">
        <f>IFERROR(AVERAGEIF(Prod[[#This Row],[S1%]:[S3%]], "&lt;&gt;0"),0)</f>
        <v>0</v>
      </c>
      <c r="AW41" s="133">
        <v>0</v>
      </c>
      <c r="AX41" s="133">
        <v>0</v>
      </c>
      <c r="AY41" s="133">
        <v>0</v>
      </c>
      <c r="AZ41" s="147">
        <f>IF(Prod[[#This Row],[S1Cycle]]&lt;&gt;0,1,0)</f>
        <v>0</v>
      </c>
      <c r="BA41" s="147">
        <f>IF(Prod[[#This Row],[S2Cycle]]&lt;&gt;0,1,0)</f>
        <v>0</v>
      </c>
      <c r="BB41" s="147">
        <f>IF(Prod[[#This Row],[S3Cycle]]&lt;&gt;0,1,0)</f>
        <v>0</v>
      </c>
      <c r="BC41" s="147">
        <f>MAX(Prod[[#This Row],[S1Cavity]],Prod[[#This Row],[S2Cavity]],Prod[[#This Row],[S3Cavity]])</f>
        <v>0</v>
      </c>
      <c r="BD41" s="147" t="b">
        <f>RegExpMatch(Prod[[#This Row],[MoldNo]], "^MEO-(B|C)")</f>
        <v>1</v>
      </c>
    </row>
    <row r="42" spans="1:56" x14ac:dyDescent="0.2">
      <c r="A42" s="117">
        <v>45419</v>
      </c>
      <c r="B42" s="131" t="s">
        <v>158</v>
      </c>
      <c r="C42" s="132" t="s">
        <v>191</v>
      </c>
      <c r="D42" s="119"/>
      <c r="E42" s="132"/>
      <c r="F42" s="119"/>
      <c r="G42" s="119" t="str">
        <f>IF(OR(Prod[[#This Row],[S1Hrs]]&gt;0,Prod[[#This Row],[S2Hrs]]&gt;0,Prod[[#This Row],[S3Hrs]]&gt;0),"Running","Down")</f>
        <v>Down</v>
      </c>
      <c r="H42" s="179">
        <v>0</v>
      </c>
      <c r="I42" s="180">
        <v>0</v>
      </c>
      <c r="J42" s="131">
        <v>0</v>
      </c>
      <c r="K42" s="131">
        <v>0</v>
      </c>
      <c r="L42" s="120">
        <f>Prod[[#This Row],[S1Shot]]*Prod[[#This Row],[S1Cavity]]-Prod[[#This Row],[S1Dft]]</f>
        <v>0</v>
      </c>
      <c r="M42" s="137">
        <f>SUM(Prod[[#This Row],[S1Mold]],Prod[[#This Row],[S1Print]],Prod[[#This Row],[S1Ovlp]],Prod[[#This Row],[S1Seam]],Prod[[#This Row],[S1Dmg]])</f>
        <v>0</v>
      </c>
      <c r="N42" s="179">
        <v>0</v>
      </c>
      <c r="O42" s="180">
        <v>0</v>
      </c>
      <c r="P42" s="131">
        <v>0</v>
      </c>
      <c r="Q42" s="131">
        <v>0</v>
      </c>
      <c r="R42" s="120">
        <f>Prod[[#This Row],[S2Shot]]*Prod[[#This Row],[S2Cavity]]-Prod[[#This Row],[S2Dft]]</f>
        <v>0</v>
      </c>
      <c r="S42" s="137">
        <f>SUM(Prod[[#This Row],[S2Mold]],Prod[[#This Row],[S2Print]],Prod[[#This Row],[S2Ovlp]],Prod[[#This Row],[S2Seam]],Prod[[#This Row],[S2Dmg]])</f>
        <v>0</v>
      </c>
      <c r="T42" s="179">
        <v>0</v>
      </c>
      <c r="U42" s="180">
        <v>0</v>
      </c>
      <c r="V42" s="131">
        <v>0</v>
      </c>
      <c r="W42" s="131">
        <v>0</v>
      </c>
      <c r="X42" s="120">
        <f>Prod[[#This Row],[S3Shot]]*Prod[[#This Row],[S3Cavity]]-Prod[[#This Row],[S3Dft]]</f>
        <v>0</v>
      </c>
      <c r="Y42" s="120">
        <f>SUM(Prod[[#This Row],[S3Mold]],Prod[[#This Row],[S3Print]],Prod[[#This Row],[S3Ovlp]],Prod[[#This Row],[S3Seam]],Prod[[#This Row],[S3Dmg]])</f>
        <v>0</v>
      </c>
      <c r="Z42" s="120">
        <f>SUM(Prod[[#This Row],[S1Qty]],Prod[[#This Row],[S2Qty]],Prod[[#This Row],[S3Qty]])</f>
        <v>0</v>
      </c>
      <c r="AA42" s="120">
        <f>SUM(Prod[[#This Row],[S1Dft]],Prod[[#This Row],[S2Dft]],Prod[[#This Row],[S3Dft]])</f>
        <v>0</v>
      </c>
      <c r="AB42" s="121">
        <f>IF(Prod[[#This Row],[Total]]=0,0,Prod[[#This Row],[TotalDft]]/Prod[[#This Row],[Total]])</f>
        <v>0</v>
      </c>
      <c r="AC42" s="118"/>
      <c r="AD42" s="120">
        <v>0</v>
      </c>
      <c r="AE42" s="120">
        <v>0</v>
      </c>
      <c r="AF42" s="120">
        <v>0</v>
      </c>
      <c r="AG42" s="120">
        <v>0</v>
      </c>
      <c r="AH42" s="120">
        <v>0</v>
      </c>
      <c r="AI42" s="120">
        <v>0</v>
      </c>
      <c r="AJ42" s="120">
        <v>0</v>
      </c>
      <c r="AK42" s="120">
        <v>0</v>
      </c>
      <c r="AL42" s="120">
        <v>0</v>
      </c>
      <c r="AM42" s="120">
        <v>0</v>
      </c>
      <c r="AN42" s="120">
        <v>0</v>
      </c>
      <c r="AO42" s="120">
        <v>0</v>
      </c>
      <c r="AP42" s="120">
        <v>0</v>
      </c>
      <c r="AQ42" s="120">
        <v>0</v>
      </c>
      <c r="AR42" s="120">
        <v>0</v>
      </c>
      <c r="AS42" s="133">
        <f>IF(Prod[[#This Row],[S1Hrs]]=0,0,Prod[[#This Row],[S1Shot]]*Prod[[#This Row],[S1Cycle]]/(Prod[[#This Row],[S1Hrs]]*60*60))</f>
        <v>0</v>
      </c>
      <c r="AT42" s="133">
        <f>IF(Prod[[#This Row],[S2Hrs]]=0,0,Prod[[#This Row],[S2Shot]]*Prod[[#This Row],[S2Cycle]]/(Prod[[#This Row],[S2Hrs]]*60*60))</f>
        <v>0</v>
      </c>
      <c r="AU42" s="133">
        <f>IF(Prod[[#This Row],[S3Hrs]]=0,0,Prod[[#This Row],[S3Shot]]*Prod[[#This Row],[S3Cycle]]/(Prod[[#This Row],[S3Hrs]]*60*60))</f>
        <v>0</v>
      </c>
      <c r="AV42" s="133">
        <f>IFERROR(AVERAGEIF(Prod[[#This Row],[S1%]:[S3%]], "&lt;&gt;0"),0)</f>
        <v>0</v>
      </c>
      <c r="AW42" s="133">
        <v>0</v>
      </c>
      <c r="AX42" s="133">
        <v>0</v>
      </c>
      <c r="AY42" s="133">
        <v>0</v>
      </c>
      <c r="AZ42" s="147">
        <f>IF(Prod[[#This Row],[S1Cycle]]&lt;&gt;0,1,0)</f>
        <v>0</v>
      </c>
      <c r="BA42" s="147">
        <f>IF(Prod[[#This Row],[S2Cycle]]&lt;&gt;0,1,0)</f>
        <v>0</v>
      </c>
      <c r="BB42" s="147">
        <f>IF(Prod[[#This Row],[S3Cycle]]&lt;&gt;0,1,0)</f>
        <v>0</v>
      </c>
      <c r="BC42" s="147">
        <f>MAX(Prod[[#This Row],[S1Cavity]],Prod[[#This Row],[S2Cavity]],Prod[[#This Row],[S3Cavity]])</f>
        <v>0</v>
      </c>
      <c r="BD42" s="147" t="b">
        <f>RegExpMatch(Prod[[#This Row],[MoldNo]], "^MEO-(B|C)")</f>
        <v>1</v>
      </c>
    </row>
    <row r="43" spans="1:56" x14ac:dyDescent="0.2">
      <c r="A43" s="117">
        <v>45419</v>
      </c>
      <c r="B43" s="131" t="s">
        <v>187</v>
      </c>
      <c r="C43" s="132" t="s">
        <v>178</v>
      </c>
      <c r="D43" s="119">
        <v>27570</v>
      </c>
      <c r="E43" s="132" t="s">
        <v>92</v>
      </c>
      <c r="F43" s="119">
        <v>2304</v>
      </c>
      <c r="G43" s="119" t="str">
        <f>IF(OR(Prod[[#This Row],[S1Hrs]]&gt;0,Prod[[#This Row],[S2Hrs]]&gt;0,Prod[[#This Row],[S3Hrs]]&gt;0),"Running","Down")</f>
        <v>Running</v>
      </c>
      <c r="H43" s="179">
        <v>14.92</v>
      </c>
      <c r="I43" s="180">
        <v>8</v>
      </c>
      <c r="J43" s="131">
        <v>1972</v>
      </c>
      <c r="K43" s="131">
        <v>16</v>
      </c>
      <c r="L43" s="120">
        <f>Prod[[#This Row],[S1Shot]]*Prod[[#This Row],[S1Cavity]]-Prod[[#This Row],[S1Dft]]</f>
        <v>31552</v>
      </c>
      <c r="M43" s="135"/>
      <c r="N43" s="179">
        <v>14.92</v>
      </c>
      <c r="O43" s="180">
        <v>8</v>
      </c>
      <c r="P43" s="131">
        <v>2097</v>
      </c>
      <c r="Q43" s="131">
        <v>16</v>
      </c>
      <c r="R43" s="120">
        <f>Prod[[#This Row],[S2Shot]]*Prod[[#This Row],[S2Cavity]]-Prod[[#This Row],[S2Dft]]</f>
        <v>33552</v>
      </c>
      <c r="S43" s="135"/>
      <c r="T43" s="179">
        <v>14.92</v>
      </c>
      <c r="U43" s="180">
        <v>8</v>
      </c>
      <c r="V43" s="131">
        <v>1888</v>
      </c>
      <c r="W43" s="131">
        <v>16</v>
      </c>
      <c r="X43" s="120">
        <f>Prod[[#This Row],[S3Shot]]*Prod[[#This Row],[S3Cavity]]-Prod[[#This Row],[S3Dft]]</f>
        <v>30208</v>
      </c>
      <c r="Y43" s="135"/>
      <c r="Z43" s="120">
        <f>SUM(Prod[[#This Row],[S1Qty]],Prod[[#This Row],[S2Qty]],Prod[[#This Row],[S3Qty]])</f>
        <v>95312</v>
      </c>
      <c r="AA43" s="135"/>
      <c r="AB43" s="136"/>
      <c r="AC43" s="118"/>
      <c r="AD43" s="135"/>
      <c r="AE43" s="135"/>
      <c r="AF43" s="135"/>
      <c r="AG43" s="135"/>
      <c r="AH43" s="135"/>
      <c r="AI43" s="135"/>
      <c r="AJ43" s="135"/>
      <c r="AK43" s="135"/>
      <c r="AL43" s="135"/>
      <c r="AM43" s="135"/>
      <c r="AN43" s="135"/>
      <c r="AO43" s="135"/>
      <c r="AP43" s="135"/>
      <c r="AQ43" s="135"/>
      <c r="AR43" s="135"/>
      <c r="AS43" s="133">
        <f>IF(Prod[[#This Row],[S1Hrs]]=0,0,Prod[[#This Row],[S1Shot]]*Prod[[#This Row],[S1Cycle]]/(Prod[[#This Row],[S1Hrs]]*60*60))</f>
        <v>1.0216055555555557</v>
      </c>
      <c r="AT43" s="133">
        <f>IF(Prod[[#This Row],[S2Hrs]]=0,0,Prod[[#This Row],[S2Shot]]*Prod[[#This Row],[S2Cycle]]/(Prod[[#This Row],[S2Hrs]]*60*60))</f>
        <v>1.0863625000000001</v>
      </c>
      <c r="AU43" s="133">
        <f>IF(Prod[[#This Row],[S3Hrs]]=0,0,Prod[[#This Row],[S3Shot]]*Prod[[#This Row],[S3Cycle]]/(Prod[[#This Row],[S3Hrs]]*60*60))</f>
        <v>0.9780888888888889</v>
      </c>
      <c r="AV43" s="133">
        <f>IFERROR(AVERAGEIF(Prod[[#This Row],[S1%]:[S3%]], "&lt;&gt;0"),0)</f>
        <v>1.0286856481481481</v>
      </c>
      <c r="AW43" s="133">
        <v>0</v>
      </c>
      <c r="AX43" s="133">
        <v>0</v>
      </c>
      <c r="AY43" s="133">
        <v>0</v>
      </c>
      <c r="AZ43" s="147">
        <f>IF(Prod[[#This Row],[S1Cycle]]&lt;&gt;0,1,0)</f>
        <v>1</v>
      </c>
      <c r="BA43" s="147">
        <f>IF(Prod[[#This Row],[S2Cycle]]&lt;&gt;0,1,0)</f>
        <v>1</v>
      </c>
      <c r="BB43" s="147">
        <f>IF(Prod[[#This Row],[S3Cycle]]&lt;&gt;0,1,0)</f>
        <v>1</v>
      </c>
      <c r="BC43" s="147">
        <f>MAX(Prod[[#This Row],[S1Cavity]],Prod[[#This Row],[S2Cavity]],Prod[[#This Row],[S3Cavity]])</f>
        <v>16</v>
      </c>
      <c r="BD43" s="147" t="b">
        <f>RegExpMatch(Prod[[#This Row],[MoldNo]], "^MEO-(B|C)")</f>
        <v>0</v>
      </c>
    </row>
    <row r="44" spans="1:56" x14ac:dyDescent="0.2">
      <c r="A44" s="117">
        <v>45419</v>
      </c>
      <c r="B44" s="131" t="s">
        <v>181</v>
      </c>
      <c r="C44" s="132" t="s">
        <v>182</v>
      </c>
      <c r="D44" s="119">
        <v>26680</v>
      </c>
      <c r="E44" s="132" t="s">
        <v>185</v>
      </c>
      <c r="F44" s="119">
        <v>6331</v>
      </c>
      <c r="G44" s="119" t="str">
        <f>IF(OR(Prod[[#This Row],[S1Hrs]]&gt;0,Prod[[#This Row],[S2Hrs]]&gt;0,Prod[[#This Row],[S3Hrs]]&gt;0),"Running","Down")</f>
        <v>Running</v>
      </c>
      <c r="H44" s="179">
        <v>34.4</v>
      </c>
      <c r="I44" s="180">
        <v>8</v>
      </c>
      <c r="J44" s="131">
        <v>849</v>
      </c>
      <c r="K44" s="131">
        <v>16</v>
      </c>
      <c r="L44" s="120">
        <f>Prod[[#This Row],[S1Shot]]*Prod[[#This Row],[S1Cavity]]-Prod[[#This Row],[S1Dft]]</f>
        <v>13576</v>
      </c>
      <c r="M44" s="137">
        <f>SUM(Prod[[#This Row],[S1Mold]],Prod[[#This Row],[S1Print]],Prod[[#This Row],[S1Ovlp]],Prod[[#This Row],[S1Seam]],Prod[[#This Row],[S1Dmg]])</f>
        <v>8</v>
      </c>
      <c r="N44" s="179">
        <v>34.299999999999997</v>
      </c>
      <c r="O44" s="180">
        <v>8</v>
      </c>
      <c r="P44" s="131">
        <v>869</v>
      </c>
      <c r="Q44" s="131">
        <v>16</v>
      </c>
      <c r="R44" s="120">
        <f>Prod[[#This Row],[S2Shot]]*Prod[[#This Row],[S2Cavity]]-Prod[[#This Row],[S2Dft]]</f>
        <v>13899</v>
      </c>
      <c r="S44" s="137">
        <f>SUM(Prod[[#This Row],[S2Mold]],Prod[[#This Row],[S2Print]],Prod[[#This Row],[S2Ovlp]],Prod[[#This Row],[S2Seam]],Prod[[#This Row],[S2Dmg]])</f>
        <v>5</v>
      </c>
      <c r="T44" s="179">
        <v>34.299999999999997</v>
      </c>
      <c r="U44" s="180">
        <v>8</v>
      </c>
      <c r="V44" s="131">
        <v>782</v>
      </c>
      <c r="W44" s="131">
        <v>16</v>
      </c>
      <c r="X44" s="120">
        <f>Prod[[#This Row],[S3Shot]]*Prod[[#This Row],[S3Cavity]]-Prod[[#This Row],[S3Dft]]</f>
        <v>12507</v>
      </c>
      <c r="Y44" s="120">
        <f>SUM(Prod[[#This Row],[S3Mold]],Prod[[#This Row],[S3Print]],Prod[[#This Row],[S3Ovlp]],Prod[[#This Row],[S3Seam]],Prod[[#This Row],[S3Dmg]])</f>
        <v>5</v>
      </c>
      <c r="Z44" s="120">
        <f>SUM(Prod[[#This Row],[S1Qty]],Prod[[#This Row],[S2Qty]],Prod[[#This Row],[S3Qty]])</f>
        <v>39982</v>
      </c>
      <c r="AA44" s="120">
        <f>SUM(Prod[[#This Row],[S1Dft]],Prod[[#This Row],[S2Dft]],Prod[[#This Row],[S3Dft]])</f>
        <v>18</v>
      </c>
      <c r="AB44" s="121">
        <f>IF(Prod[[#This Row],[Total]]=0,0,Prod[[#This Row],[TotalDft]]/Prod[[#This Row],[Total]])</f>
        <v>4.5020259116602469E-4</v>
      </c>
      <c r="AC44" s="118"/>
      <c r="AD44" s="120">
        <v>8</v>
      </c>
      <c r="AE44" s="120">
        <v>5</v>
      </c>
      <c r="AF44" s="120">
        <v>5</v>
      </c>
      <c r="AG44" s="120">
        <v>0</v>
      </c>
      <c r="AH44" s="120">
        <v>0</v>
      </c>
      <c r="AI44" s="120">
        <v>0</v>
      </c>
      <c r="AJ44" s="120">
        <v>0</v>
      </c>
      <c r="AK44" s="120">
        <v>0</v>
      </c>
      <c r="AL44" s="120">
        <v>0</v>
      </c>
      <c r="AM44" s="120">
        <v>0</v>
      </c>
      <c r="AN44" s="120">
        <v>0</v>
      </c>
      <c r="AO44" s="120">
        <v>0</v>
      </c>
      <c r="AP44" s="120">
        <v>0</v>
      </c>
      <c r="AQ44" s="120">
        <v>0</v>
      </c>
      <c r="AR44" s="120">
        <v>0</v>
      </c>
      <c r="AS44" s="133">
        <f>IF(Prod[[#This Row],[S1Hrs]]=0,0,Prod[[#This Row],[S1Shot]]*Prod[[#This Row],[S1Cycle]]/(Prod[[#This Row],[S1Hrs]]*60*60))</f>
        <v>1.0140833333333332</v>
      </c>
      <c r="AT44" s="133">
        <f>IF(Prod[[#This Row],[S2Hrs]]=0,0,Prod[[#This Row],[S2Shot]]*Prod[[#This Row],[S2Cycle]]/(Prod[[#This Row],[S2Hrs]]*60*60))</f>
        <v>1.034954861111111</v>
      </c>
      <c r="AU44" s="133">
        <f>IF(Prod[[#This Row],[S3Hrs]]=0,0,Prod[[#This Row],[S3Shot]]*Prod[[#This Row],[S3Cycle]]/(Prod[[#This Row],[S3Hrs]]*60*60))</f>
        <v>0.93134027777777773</v>
      </c>
      <c r="AV44" s="133">
        <f>IFERROR(AVERAGEIF(Prod[[#This Row],[S1%]:[S3%]], "&lt;&gt;0"),0)</f>
        <v>0.99345949074074058</v>
      </c>
      <c r="AW44" s="133">
        <v>0</v>
      </c>
      <c r="AX44" s="133">
        <v>0</v>
      </c>
      <c r="AY44" s="133">
        <v>0</v>
      </c>
      <c r="AZ44" s="147">
        <f>IF(Prod[[#This Row],[S1Cycle]]&lt;&gt;0,1,0)</f>
        <v>1</v>
      </c>
      <c r="BA44" s="147">
        <f>IF(Prod[[#This Row],[S2Cycle]]&lt;&gt;0,1,0)</f>
        <v>1</v>
      </c>
      <c r="BB44" s="147">
        <f>IF(Prod[[#This Row],[S3Cycle]]&lt;&gt;0,1,0)</f>
        <v>1</v>
      </c>
      <c r="BC44" s="147">
        <f>MAX(Prod[[#This Row],[S1Cavity]],Prod[[#This Row],[S2Cavity]],Prod[[#This Row],[S3Cavity]])</f>
        <v>16</v>
      </c>
      <c r="BD44" s="147" t="b">
        <f>RegExpMatch(Prod[[#This Row],[MoldNo]], "^MEO-(B|C)")</f>
        <v>1</v>
      </c>
    </row>
    <row r="45" spans="1:56" x14ac:dyDescent="0.2">
      <c r="A45" s="117">
        <v>45419</v>
      </c>
      <c r="B45" s="131" t="s">
        <v>179</v>
      </c>
      <c r="C45" s="132" t="s">
        <v>180</v>
      </c>
      <c r="D45" s="119">
        <v>26680</v>
      </c>
      <c r="E45" s="132" t="s">
        <v>185</v>
      </c>
      <c r="F45" s="119">
        <v>6331</v>
      </c>
      <c r="G45" s="119" t="str">
        <f>IF(OR(Prod[[#This Row],[S1Hrs]]&gt;0,Prod[[#This Row],[S2Hrs]]&gt;0,Prod[[#This Row],[S3Hrs]]&gt;0),"Running","Down")</f>
        <v>Running</v>
      </c>
      <c r="H45" s="179">
        <v>18.36</v>
      </c>
      <c r="I45" s="180">
        <v>8</v>
      </c>
      <c r="J45" s="131">
        <v>1435</v>
      </c>
      <c r="K45" s="131">
        <v>15</v>
      </c>
      <c r="L45" s="120">
        <f>Prod[[#This Row],[S1Shot]]*Prod[[#This Row],[S1Cavity]]-Prod[[#This Row],[S1Dft]]</f>
        <v>21525</v>
      </c>
      <c r="M45" s="135"/>
      <c r="N45" s="179">
        <v>18.36</v>
      </c>
      <c r="O45" s="180">
        <v>8</v>
      </c>
      <c r="P45" s="131">
        <v>1589</v>
      </c>
      <c r="Q45" s="131">
        <v>15</v>
      </c>
      <c r="R45" s="120">
        <f>Prod[[#This Row],[S2Shot]]*Prod[[#This Row],[S2Cavity]]-Prod[[#This Row],[S2Dft]]</f>
        <v>23835</v>
      </c>
      <c r="S45" s="135"/>
      <c r="T45" s="179">
        <v>18.36</v>
      </c>
      <c r="U45" s="180">
        <v>8</v>
      </c>
      <c r="V45" s="131">
        <v>1219</v>
      </c>
      <c r="W45" s="131">
        <v>15</v>
      </c>
      <c r="X45" s="120">
        <f>Prod[[#This Row],[S3Shot]]*Prod[[#This Row],[S3Cavity]]-Prod[[#This Row],[S3Dft]]</f>
        <v>18285</v>
      </c>
      <c r="Y45" s="120">
        <f>SUM(Prod[[#This Row],[S3Mold]],Prod[[#This Row],[S3Print]],Prod[[#This Row],[S3Ovlp]],Prod[[#This Row],[S3Seam]],Prod[[#This Row],[S3Dmg]])</f>
        <v>0</v>
      </c>
      <c r="Z45" s="120">
        <f>SUM(Prod[[#This Row],[S1Qty]],Prod[[#This Row],[S2Qty]],Prod[[#This Row],[S3Qty]])</f>
        <v>63645</v>
      </c>
      <c r="AA45" s="120">
        <f>SUM(Prod[[#This Row],[S1Dft]],Prod[[#This Row],[S2Dft]],Prod[[#This Row],[S3Dft]])</f>
        <v>0</v>
      </c>
      <c r="AB45" s="121">
        <f>IF(Prod[[#This Row],[Total]]=0,0,Prod[[#This Row],[TotalDft]]/Prod[[#This Row],[Total]])</f>
        <v>0</v>
      </c>
      <c r="AC45" s="132"/>
      <c r="AD45" s="135"/>
      <c r="AE45" s="135"/>
      <c r="AF45" s="135"/>
      <c r="AG45" s="135"/>
      <c r="AH45" s="135"/>
      <c r="AI45" s="135"/>
      <c r="AJ45" s="135"/>
      <c r="AK45" s="135"/>
      <c r="AL45" s="135"/>
      <c r="AM45" s="135"/>
      <c r="AN45" s="135"/>
      <c r="AO45" s="135"/>
      <c r="AP45" s="135"/>
      <c r="AQ45" s="135"/>
      <c r="AR45" s="135"/>
      <c r="AS45" s="133">
        <f>IF(Prod[[#This Row],[S1Hrs]]=0,0,Prod[[#This Row],[S1Shot]]*Prod[[#This Row],[S1Cycle]]/(Prod[[#This Row],[S1Hrs]]*60*60))</f>
        <v>0.91481249999999992</v>
      </c>
      <c r="AT45" s="133">
        <f>IF(Prod[[#This Row],[S2Hrs]]=0,0,Prod[[#This Row],[S2Shot]]*Prod[[#This Row],[S2Cycle]]/(Prod[[#This Row],[S2Hrs]]*60*60))</f>
        <v>1.0129874999999999</v>
      </c>
      <c r="AU45" s="133">
        <f>IF(Prod[[#This Row],[S3Hrs]]=0,0,Prod[[#This Row],[S3Shot]]*Prod[[#This Row],[S3Cycle]]/(Prod[[#This Row],[S3Hrs]]*60*60))</f>
        <v>0.77711249999999998</v>
      </c>
      <c r="AV45" s="133">
        <f>IFERROR(AVERAGEIF(Prod[[#This Row],[S1%]:[S3%]], "&lt;&gt;0"),0)</f>
        <v>0.90163749999999998</v>
      </c>
      <c r="AW45" s="133">
        <v>0</v>
      </c>
      <c r="AX45" s="133">
        <v>0</v>
      </c>
      <c r="AY45" s="133">
        <v>0</v>
      </c>
      <c r="AZ45" s="147">
        <f>IF(Prod[[#This Row],[S1Cycle]]&lt;&gt;0,1,0)</f>
        <v>1</v>
      </c>
      <c r="BA45" s="147">
        <f>IF(Prod[[#This Row],[S2Cycle]]&lt;&gt;0,1,0)</f>
        <v>1</v>
      </c>
      <c r="BB45" s="147">
        <f>IF(Prod[[#This Row],[S3Cycle]]&lt;&gt;0,1,0)</f>
        <v>1</v>
      </c>
      <c r="BC45" s="147">
        <f>MAX(Prod[[#This Row],[S1Cavity]],Prod[[#This Row],[S2Cavity]],Prod[[#This Row],[S3Cavity]])</f>
        <v>15</v>
      </c>
      <c r="BD45" s="147" t="b">
        <f>RegExpMatch(Prod[[#This Row],[MoldNo]], "^MEO-(B|C)")</f>
        <v>0</v>
      </c>
    </row>
    <row r="46" spans="1:56" x14ac:dyDescent="0.2">
      <c r="A46" s="117">
        <v>45419</v>
      </c>
      <c r="B46" s="131" t="s">
        <v>183</v>
      </c>
      <c r="C46" s="132" t="s">
        <v>184</v>
      </c>
      <c r="D46" s="119"/>
      <c r="E46" s="132"/>
      <c r="F46" s="119"/>
      <c r="G46" s="119" t="str">
        <f>IF(OR(Prod[[#This Row],[S1Hrs]]&gt;0,Prod[[#This Row],[S2Hrs]]&gt;0,Prod[[#This Row],[S3Hrs]]&gt;0),"Running","Down")</f>
        <v>Down</v>
      </c>
      <c r="H46" s="179">
        <v>0</v>
      </c>
      <c r="I46" s="180">
        <v>0</v>
      </c>
      <c r="J46" s="131">
        <v>0</v>
      </c>
      <c r="K46" s="131">
        <v>0</v>
      </c>
      <c r="L46" s="120">
        <f>Prod[[#This Row],[S1Shot]]*Prod[[#This Row],[S1Cavity]]-Prod[[#This Row],[S1Dft]]</f>
        <v>0</v>
      </c>
      <c r="M46" s="137">
        <f>SUM(Prod[[#This Row],[S1Mold]],Prod[[#This Row],[S1Print]],Prod[[#This Row],[S1Ovlp]],Prod[[#This Row],[S1Seam]],Prod[[#This Row],[S1Dmg]])</f>
        <v>0</v>
      </c>
      <c r="N46" s="179">
        <v>0</v>
      </c>
      <c r="O46" s="180">
        <v>0</v>
      </c>
      <c r="P46" s="131">
        <v>0</v>
      </c>
      <c r="Q46" s="131">
        <v>0</v>
      </c>
      <c r="R46" s="120">
        <f>Prod[[#This Row],[S2Shot]]*Prod[[#This Row],[S2Cavity]]-Prod[[#This Row],[S2Dft]]</f>
        <v>0</v>
      </c>
      <c r="S46" s="137">
        <f>SUM(Prod[[#This Row],[S2Mold]],Prod[[#This Row],[S2Print]],Prod[[#This Row],[S2Ovlp]],Prod[[#This Row],[S2Seam]],Prod[[#This Row],[S2Dmg]])</f>
        <v>0</v>
      </c>
      <c r="T46" s="179">
        <v>0</v>
      </c>
      <c r="U46" s="180">
        <v>0</v>
      </c>
      <c r="V46" s="131">
        <v>0</v>
      </c>
      <c r="W46" s="131">
        <v>0</v>
      </c>
      <c r="X46" s="120">
        <f>Prod[[#This Row],[S3Shot]]*Prod[[#This Row],[S3Cavity]]-Prod[[#This Row],[S3Dft]]</f>
        <v>0</v>
      </c>
      <c r="Y46" s="120">
        <f>SUM(Prod[[#This Row],[S3Mold]],Prod[[#This Row],[S3Print]],Prod[[#This Row],[S3Ovlp]],Prod[[#This Row],[S3Seam]],Prod[[#This Row],[S3Dmg]])</f>
        <v>0</v>
      </c>
      <c r="Z46" s="120">
        <f>SUM(Prod[[#This Row],[S1Qty]],Prod[[#This Row],[S2Qty]],Prod[[#This Row],[S3Qty]])</f>
        <v>0</v>
      </c>
      <c r="AA46" s="120">
        <f>SUM(Prod[[#This Row],[S1Dft]],Prod[[#This Row],[S2Dft]],Prod[[#This Row],[S3Dft]])</f>
        <v>0</v>
      </c>
      <c r="AB46" s="121">
        <f>IF(Prod[[#This Row],[Total]]=0,0,Prod[[#This Row],[TotalDft]]/Prod[[#This Row],[Total]])</f>
        <v>0</v>
      </c>
      <c r="AC46" s="118"/>
      <c r="AD46" s="120">
        <v>0</v>
      </c>
      <c r="AE46" s="120">
        <v>0</v>
      </c>
      <c r="AF46" s="120">
        <v>0</v>
      </c>
      <c r="AG46" s="120">
        <v>0</v>
      </c>
      <c r="AH46" s="120">
        <v>0</v>
      </c>
      <c r="AI46" s="120">
        <v>0</v>
      </c>
      <c r="AJ46" s="120">
        <v>0</v>
      </c>
      <c r="AK46" s="120">
        <v>0</v>
      </c>
      <c r="AL46" s="120">
        <v>0</v>
      </c>
      <c r="AM46" s="120">
        <v>0</v>
      </c>
      <c r="AN46" s="120">
        <v>0</v>
      </c>
      <c r="AO46" s="120">
        <v>0</v>
      </c>
      <c r="AP46" s="120">
        <v>0</v>
      </c>
      <c r="AQ46" s="120">
        <v>0</v>
      </c>
      <c r="AR46" s="120">
        <v>0</v>
      </c>
      <c r="AS46" s="133">
        <f>IF(Prod[[#This Row],[S1Hrs]]=0,0,Prod[[#This Row],[S1Shot]]*Prod[[#This Row],[S1Cycle]]/(Prod[[#This Row],[S1Hrs]]*60*60))</f>
        <v>0</v>
      </c>
      <c r="AT46" s="133">
        <f>IF(Prod[[#This Row],[S2Hrs]]=0,0,Prod[[#This Row],[S2Shot]]*Prod[[#This Row],[S2Cycle]]/(Prod[[#This Row],[S2Hrs]]*60*60))</f>
        <v>0</v>
      </c>
      <c r="AU46" s="133">
        <f>IF(Prod[[#This Row],[S3Hrs]]=0,0,Prod[[#This Row],[S3Shot]]*Prod[[#This Row],[S3Cycle]]/(Prod[[#This Row],[S3Hrs]]*60*60))</f>
        <v>0</v>
      </c>
      <c r="AV46" s="133">
        <f>IFERROR(AVERAGEIF(Prod[[#This Row],[S1%]:[S3%]], "&lt;&gt;0"),0)</f>
        <v>0</v>
      </c>
      <c r="AW46" s="133">
        <v>0</v>
      </c>
      <c r="AX46" s="133">
        <v>0</v>
      </c>
      <c r="AY46" s="133">
        <v>0</v>
      </c>
      <c r="AZ46" s="147">
        <f>IF(Prod[[#This Row],[S1Cycle]]&lt;&gt;0,1,0)</f>
        <v>0</v>
      </c>
      <c r="BA46" s="147">
        <f>IF(Prod[[#This Row],[S2Cycle]]&lt;&gt;0,1,0)</f>
        <v>0</v>
      </c>
      <c r="BB46" s="147">
        <f>IF(Prod[[#This Row],[S3Cycle]]&lt;&gt;0,1,0)</f>
        <v>0</v>
      </c>
      <c r="BC46" s="147">
        <f>MAX(Prod[[#This Row],[S1Cavity]],Prod[[#This Row],[S2Cavity]],Prod[[#This Row],[S3Cavity]])</f>
        <v>0</v>
      </c>
      <c r="BD46" s="147" t="b">
        <f>RegExpMatch(Prod[[#This Row],[MoldNo]], "^MEO-(B|C)")</f>
        <v>1</v>
      </c>
    </row>
    <row r="47" spans="1:56" x14ac:dyDescent="0.2">
      <c r="A47" s="117">
        <v>45419</v>
      </c>
      <c r="B47" s="131" t="s">
        <v>177</v>
      </c>
      <c r="C47" s="132" t="s">
        <v>157</v>
      </c>
      <c r="D47" s="119"/>
      <c r="E47" s="132"/>
      <c r="F47" s="119"/>
      <c r="G47" s="119" t="str">
        <f>IF(OR(Prod[[#This Row],[S1Hrs]]&gt;0,Prod[[#This Row],[S2Hrs]]&gt;0,Prod[[#This Row],[S3Hrs]]&gt;0),"Running","Down")</f>
        <v>Down</v>
      </c>
      <c r="H47" s="179">
        <v>0</v>
      </c>
      <c r="I47" s="180">
        <v>0</v>
      </c>
      <c r="J47" s="131">
        <v>0</v>
      </c>
      <c r="K47" s="131">
        <v>0</v>
      </c>
      <c r="L47" s="120">
        <f>Prod[[#This Row],[S1Shot]]*Prod[[#This Row],[S1Cavity]]-Prod[[#This Row],[S1Dft]]</f>
        <v>0</v>
      </c>
      <c r="M47" s="137">
        <f>SUM(Prod[[#This Row],[S1Mold]],Prod[[#This Row],[S1Print]],Prod[[#This Row],[S1Ovlp]],Prod[[#This Row],[S1Seam]],Prod[[#This Row],[S1Dmg]])</f>
        <v>0</v>
      </c>
      <c r="N47" s="179">
        <v>0</v>
      </c>
      <c r="O47" s="180">
        <v>0</v>
      </c>
      <c r="P47" s="131">
        <v>0</v>
      </c>
      <c r="Q47" s="131">
        <v>0</v>
      </c>
      <c r="R47" s="120">
        <f>Prod[[#This Row],[S2Shot]]*Prod[[#This Row],[S2Cavity]]-Prod[[#This Row],[S2Dft]]</f>
        <v>0</v>
      </c>
      <c r="S47" s="137">
        <f>SUM(Prod[[#This Row],[S2Mold]],Prod[[#This Row],[S2Print]],Prod[[#This Row],[S2Ovlp]],Prod[[#This Row],[S2Seam]],Prod[[#This Row],[S2Dmg]])</f>
        <v>0</v>
      </c>
      <c r="T47" s="179">
        <v>0</v>
      </c>
      <c r="U47" s="180">
        <v>0</v>
      </c>
      <c r="V47" s="131">
        <v>0</v>
      </c>
      <c r="W47" s="131">
        <v>0</v>
      </c>
      <c r="X47" s="120">
        <f>Prod[[#This Row],[S3Shot]]*Prod[[#This Row],[S3Cavity]]-Prod[[#This Row],[S3Dft]]</f>
        <v>0</v>
      </c>
      <c r="Y47" s="120">
        <f>SUM(Prod[[#This Row],[S3Mold]],Prod[[#This Row],[S3Print]],Prod[[#This Row],[S3Ovlp]],Prod[[#This Row],[S3Seam]],Prod[[#This Row],[S3Dmg]])</f>
        <v>0</v>
      </c>
      <c r="Z47" s="120">
        <f>SUM(Prod[[#This Row],[S1Qty]],Prod[[#This Row],[S2Qty]],Prod[[#This Row],[S3Qty]])</f>
        <v>0</v>
      </c>
      <c r="AA47" s="120">
        <f>SUM(Prod[[#This Row],[S1Dft]],Prod[[#This Row],[S2Dft]],Prod[[#This Row],[S3Dft]])</f>
        <v>0</v>
      </c>
      <c r="AB47" s="121">
        <f>IF(Prod[[#This Row],[Total]]=0,0,Prod[[#This Row],[TotalDft]]/Prod[[#This Row],[Total]])</f>
        <v>0</v>
      </c>
      <c r="AC47" s="132"/>
      <c r="AD47" s="120">
        <v>0</v>
      </c>
      <c r="AE47" s="120">
        <v>0</v>
      </c>
      <c r="AF47" s="120">
        <v>0</v>
      </c>
      <c r="AG47" s="120">
        <v>0</v>
      </c>
      <c r="AH47" s="120">
        <v>0</v>
      </c>
      <c r="AI47" s="120">
        <v>0</v>
      </c>
      <c r="AJ47" s="120">
        <v>0</v>
      </c>
      <c r="AK47" s="120">
        <v>0</v>
      </c>
      <c r="AL47" s="120">
        <v>0</v>
      </c>
      <c r="AM47" s="120">
        <v>0</v>
      </c>
      <c r="AN47" s="120">
        <v>0</v>
      </c>
      <c r="AO47" s="120">
        <v>0</v>
      </c>
      <c r="AP47" s="120">
        <v>0</v>
      </c>
      <c r="AQ47" s="120">
        <v>0</v>
      </c>
      <c r="AR47" s="120">
        <v>0</v>
      </c>
      <c r="AS47" s="133">
        <f>IF(Prod[[#This Row],[S1Hrs]]=0,0,Prod[[#This Row],[S1Shot]]*Prod[[#This Row],[S1Cycle]]/(Prod[[#This Row],[S1Hrs]]*60*60))</f>
        <v>0</v>
      </c>
      <c r="AT47" s="133">
        <f>IF(Prod[[#This Row],[S2Hrs]]=0,0,Prod[[#This Row],[S2Shot]]*Prod[[#This Row],[S2Cycle]]/(Prod[[#This Row],[S2Hrs]]*60*60))</f>
        <v>0</v>
      </c>
      <c r="AU47" s="133">
        <f>IF(Prod[[#This Row],[S3Hrs]]=0,0,Prod[[#This Row],[S3Shot]]*Prod[[#This Row],[S3Cycle]]/(Prod[[#This Row],[S3Hrs]]*60*60))</f>
        <v>0</v>
      </c>
      <c r="AV47" s="133">
        <f>IFERROR(AVERAGEIF(Prod[[#This Row],[S1%]:[S3%]], "&lt;&gt;0"),0)</f>
        <v>0</v>
      </c>
      <c r="AW47" s="133">
        <v>0</v>
      </c>
      <c r="AX47" s="133">
        <v>0</v>
      </c>
      <c r="AY47" s="133">
        <v>0</v>
      </c>
      <c r="AZ47" s="147">
        <f>IF(Prod[[#This Row],[S1Cycle]]&lt;&gt;0,1,0)</f>
        <v>0</v>
      </c>
      <c r="BA47" s="147">
        <f>IF(Prod[[#This Row],[S2Cycle]]&lt;&gt;0,1,0)</f>
        <v>0</v>
      </c>
      <c r="BB47" s="147">
        <f>IF(Prod[[#This Row],[S3Cycle]]&lt;&gt;0,1,0)</f>
        <v>0</v>
      </c>
      <c r="BC47" s="147">
        <f>MAX(Prod[[#This Row],[S1Cavity]],Prod[[#This Row],[S2Cavity]],Prod[[#This Row],[S3Cavity]])</f>
        <v>0</v>
      </c>
      <c r="BD47" s="147" t="b">
        <f>RegExpMatch(Prod[[#This Row],[MoldNo]], "^MEO-(B|C)")</f>
        <v>1</v>
      </c>
    </row>
    <row r="48" spans="1:56" x14ac:dyDescent="0.2">
      <c r="A48" s="117">
        <v>45420</v>
      </c>
      <c r="B48" s="131" t="s">
        <v>158</v>
      </c>
      <c r="C48" s="132" t="s">
        <v>191</v>
      </c>
      <c r="D48" s="119"/>
      <c r="E48" s="132"/>
      <c r="F48" s="119"/>
      <c r="G48" s="119" t="str">
        <f>IF(OR(Prod[[#This Row],[S1Hrs]]&gt;0,Prod[[#This Row],[S2Hrs]]&gt;0,Prod[[#This Row],[S3Hrs]]&gt;0),"Running","Down")</f>
        <v>Down</v>
      </c>
      <c r="H48" s="179">
        <v>0</v>
      </c>
      <c r="I48" s="180">
        <v>0</v>
      </c>
      <c r="J48" s="131">
        <v>0</v>
      </c>
      <c r="K48" s="131">
        <v>0</v>
      </c>
      <c r="L48" s="120">
        <f>Prod[[#This Row],[S1Shot]]*Prod[[#This Row],[S1Cavity]]-Prod[[#This Row],[S1Dft]]</f>
        <v>0</v>
      </c>
      <c r="M48" s="137">
        <f>SUM(Prod[[#This Row],[S1Mold]],Prod[[#This Row],[S1Print]],Prod[[#This Row],[S1Ovlp]],Prod[[#This Row],[S1Seam]],Prod[[#This Row],[S1Dmg]])</f>
        <v>0</v>
      </c>
      <c r="N48" s="179">
        <v>0</v>
      </c>
      <c r="O48" s="180">
        <v>0</v>
      </c>
      <c r="P48" s="131">
        <v>0</v>
      </c>
      <c r="Q48" s="131">
        <v>0</v>
      </c>
      <c r="R48" s="120">
        <f>Prod[[#This Row],[S2Shot]]*Prod[[#This Row],[S2Cavity]]-Prod[[#This Row],[S2Dft]]</f>
        <v>0</v>
      </c>
      <c r="S48" s="137">
        <f>SUM(Prod[[#This Row],[S2Mold]],Prod[[#This Row],[S2Print]],Prod[[#This Row],[S2Ovlp]],Prod[[#This Row],[S2Seam]],Prod[[#This Row],[S2Dmg]])</f>
        <v>0</v>
      </c>
      <c r="T48" s="179">
        <v>0</v>
      </c>
      <c r="U48" s="180">
        <v>0</v>
      </c>
      <c r="V48" s="131">
        <v>0</v>
      </c>
      <c r="W48" s="131">
        <v>0</v>
      </c>
      <c r="X48" s="120">
        <f>Prod[[#This Row],[S3Shot]]*Prod[[#This Row],[S3Cavity]]-Prod[[#This Row],[S3Dft]]</f>
        <v>0</v>
      </c>
      <c r="Y48" s="120">
        <f>SUM(Prod[[#This Row],[S3Mold]],Prod[[#This Row],[S3Print]],Prod[[#This Row],[S3Ovlp]],Prod[[#This Row],[S3Seam]],Prod[[#This Row],[S3Dmg]])</f>
        <v>0</v>
      </c>
      <c r="Z48" s="120">
        <f>SUM(Prod[[#This Row],[S1Qty]],Prod[[#This Row],[S2Qty]],Prod[[#This Row],[S3Qty]])</f>
        <v>0</v>
      </c>
      <c r="AA48" s="120">
        <f>SUM(Prod[[#This Row],[S1Dft]],Prod[[#This Row],[S2Dft]],Prod[[#This Row],[S3Dft]])</f>
        <v>0</v>
      </c>
      <c r="AB48" s="121">
        <f>IF(Prod[[#This Row],[Total]]=0,0,Prod[[#This Row],[TotalDft]]/Prod[[#This Row],[Total]])</f>
        <v>0</v>
      </c>
      <c r="AC48" s="118"/>
      <c r="AD48" s="120">
        <v>0</v>
      </c>
      <c r="AE48" s="120">
        <v>0</v>
      </c>
      <c r="AF48" s="120">
        <v>0</v>
      </c>
      <c r="AG48" s="120">
        <v>0</v>
      </c>
      <c r="AH48" s="120">
        <v>0</v>
      </c>
      <c r="AI48" s="120">
        <v>0</v>
      </c>
      <c r="AJ48" s="120">
        <v>0</v>
      </c>
      <c r="AK48" s="120">
        <v>0</v>
      </c>
      <c r="AL48" s="120">
        <v>0</v>
      </c>
      <c r="AM48" s="120">
        <v>0</v>
      </c>
      <c r="AN48" s="120">
        <v>0</v>
      </c>
      <c r="AO48" s="120">
        <v>0</v>
      </c>
      <c r="AP48" s="120">
        <v>0</v>
      </c>
      <c r="AQ48" s="120">
        <v>0</v>
      </c>
      <c r="AR48" s="120">
        <v>0</v>
      </c>
      <c r="AS48" s="133">
        <f>IF(Prod[[#This Row],[S1Hrs]]=0,0,Prod[[#This Row],[S1Shot]]*Prod[[#This Row],[S1Cycle]]/(Prod[[#This Row],[S1Hrs]]*60*60))</f>
        <v>0</v>
      </c>
      <c r="AT48" s="133">
        <f>IF(Prod[[#This Row],[S2Hrs]]=0,0,Prod[[#This Row],[S2Shot]]*Prod[[#This Row],[S2Cycle]]/(Prod[[#This Row],[S2Hrs]]*60*60))</f>
        <v>0</v>
      </c>
      <c r="AU48" s="133">
        <f>IF(Prod[[#This Row],[S3Hrs]]=0,0,Prod[[#This Row],[S3Shot]]*Prod[[#This Row],[S3Cycle]]/(Prod[[#This Row],[S3Hrs]]*60*60))</f>
        <v>0</v>
      </c>
      <c r="AV48" s="133">
        <f>IFERROR(AVERAGEIF(Prod[[#This Row],[S1%]:[S3%]], "&lt;&gt;0"),0)</f>
        <v>0</v>
      </c>
      <c r="AW48" s="133">
        <v>0</v>
      </c>
      <c r="AX48" s="133">
        <v>0</v>
      </c>
      <c r="AY48" s="133">
        <v>0</v>
      </c>
      <c r="AZ48" s="147">
        <f>IF(Prod[[#This Row],[S1Cycle]]&lt;&gt;0,1,0)</f>
        <v>0</v>
      </c>
      <c r="BA48" s="147">
        <f>IF(Prod[[#This Row],[S2Cycle]]&lt;&gt;0,1,0)</f>
        <v>0</v>
      </c>
      <c r="BB48" s="147">
        <f>IF(Prod[[#This Row],[S3Cycle]]&lt;&gt;0,1,0)</f>
        <v>0</v>
      </c>
      <c r="BC48" s="147">
        <f>MAX(Prod[[#This Row],[S1Cavity]],Prod[[#This Row],[S2Cavity]],Prod[[#This Row],[S3Cavity]])</f>
        <v>0</v>
      </c>
      <c r="BD48" s="147" t="b">
        <f>RegExpMatch(Prod[[#This Row],[MoldNo]], "^MEO-(B|C)")</f>
        <v>1</v>
      </c>
    </row>
    <row r="49" spans="1:56" x14ac:dyDescent="0.2">
      <c r="A49" s="117">
        <v>45420</v>
      </c>
      <c r="B49" s="131" t="s">
        <v>187</v>
      </c>
      <c r="C49" s="132" t="s">
        <v>178</v>
      </c>
      <c r="D49" s="119">
        <v>27570</v>
      </c>
      <c r="E49" s="132" t="s">
        <v>92</v>
      </c>
      <c r="F49" s="119">
        <v>2304</v>
      </c>
      <c r="G49" s="119" t="str">
        <f>IF(OR(Prod[[#This Row],[S1Hrs]]&gt;0,Prod[[#This Row],[S2Hrs]]&gt;0,Prod[[#This Row],[S3Hrs]]&gt;0),"Running","Down")</f>
        <v>Running</v>
      </c>
      <c r="H49" s="179">
        <v>14.9</v>
      </c>
      <c r="I49" s="180">
        <v>8</v>
      </c>
      <c r="J49" s="131">
        <v>1996</v>
      </c>
      <c r="K49" s="131">
        <v>16</v>
      </c>
      <c r="L49" s="120">
        <f>Prod[[#This Row],[S1Shot]]*Prod[[#This Row],[S1Cavity]]-Prod[[#This Row],[S1Dft]]</f>
        <v>31936</v>
      </c>
      <c r="M49" s="135"/>
      <c r="N49" s="179">
        <v>14.9</v>
      </c>
      <c r="O49" s="180">
        <v>8</v>
      </c>
      <c r="P49" s="131">
        <v>1846</v>
      </c>
      <c r="Q49" s="131">
        <v>16</v>
      </c>
      <c r="R49" s="120">
        <f>Prod[[#This Row],[S2Shot]]*Prod[[#This Row],[S2Cavity]]-Prod[[#This Row],[S2Dft]]</f>
        <v>29536</v>
      </c>
      <c r="S49" s="135"/>
      <c r="T49" s="179">
        <v>14.92</v>
      </c>
      <c r="U49" s="180">
        <v>8</v>
      </c>
      <c r="V49" s="131">
        <v>1891</v>
      </c>
      <c r="W49" s="131">
        <v>16</v>
      </c>
      <c r="X49" s="120">
        <f>Prod[[#This Row],[S3Shot]]*Prod[[#This Row],[S3Cavity]]-Prod[[#This Row],[S3Dft]]</f>
        <v>30256</v>
      </c>
      <c r="Y49" s="135"/>
      <c r="Z49" s="120">
        <f>SUM(Prod[[#This Row],[S1Qty]],Prod[[#This Row],[S2Qty]],Prod[[#This Row],[S3Qty]])</f>
        <v>91728</v>
      </c>
      <c r="AA49" s="135"/>
      <c r="AB49" s="136"/>
      <c r="AC49" s="118"/>
      <c r="AD49" s="135"/>
      <c r="AE49" s="135"/>
      <c r="AF49" s="135"/>
      <c r="AG49" s="135"/>
      <c r="AH49" s="135"/>
      <c r="AI49" s="135"/>
      <c r="AJ49" s="135"/>
      <c r="AK49" s="135"/>
      <c r="AL49" s="135"/>
      <c r="AM49" s="135"/>
      <c r="AN49" s="135"/>
      <c r="AO49" s="135"/>
      <c r="AP49" s="135"/>
      <c r="AQ49" s="135"/>
      <c r="AR49" s="135"/>
      <c r="AS49" s="133">
        <f>IF(Prod[[#This Row],[S1Hrs]]=0,0,Prod[[#This Row],[S1Shot]]*Prod[[#This Row],[S1Cycle]]/(Prod[[#This Row],[S1Hrs]]*60*60))</f>
        <v>1.0326527777777779</v>
      </c>
      <c r="AT49" s="133">
        <f>IF(Prod[[#This Row],[S2Hrs]]=0,0,Prod[[#This Row],[S2Shot]]*Prod[[#This Row],[S2Cycle]]/(Prod[[#This Row],[S2Hrs]]*60*60))</f>
        <v>0.95504861111111117</v>
      </c>
      <c r="AU49" s="133">
        <f>IF(Prod[[#This Row],[S3Hrs]]=0,0,Prod[[#This Row],[S3Shot]]*Prod[[#This Row],[S3Cycle]]/(Prod[[#This Row],[S3Hrs]]*60*60))</f>
        <v>0.97964305555555564</v>
      </c>
      <c r="AV49" s="133">
        <f>IFERROR(AVERAGEIF(Prod[[#This Row],[S1%]:[S3%]], "&lt;&gt;0"),0)</f>
        <v>0.98911481481481489</v>
      </c>
      <c r="AW49" s="133">
        <v>0</v>
      </c>
      <c r="AX49" s="133">
        <v>0</v>
      </c>
      <c r="AY49" s="133">
        <v>0</v>
      </c>
      <c r="AZ49" s="147">
        <f>IF(Prod[[#This Row],[S1Cycle]]&lt;&gt;0,1,0)</f>
        <v>1</v>
      </c>
      <c r="BA49" s="147">
        <f>IF(Prod[[#This Row],[S2Cycle]]&lt;&gt;0,1,0)</f>
        <v>1</v>
      </c>
      <c r="BB49" s="147">
        <f>IF(Prod[[#This Row],[S3Cycle]]&lt;&gt;0,1,0)</f>
        <v>1</v>
      </c>
      <c r="BC49" s="147">
        <f>MAX(Prod[[#This Row],[S1Cavity]],Prod[[#This Row],[S2Cavity]],Prod[[#This Row],[S3Cavity]])</f>
        <v>16</v>
      </c>
      <c r="BD49" s="147" t="b">
        <f>RegExpMatch(Prod[[#This Row],[MoldNo]], "^MEO-(B|C)")</f>
        <v>0</v>
      </c>
    </row>
    <row r="50" spans="1:56" x14ac:dyDescent="0.2">
      <c r="A50" s="117">
        <v>45420</v>
      </c>
      <c r="B50" s="131" t="s">
        <v>181</v>
      </c>
      <c r="C50" s="132" t="s">
        <v>182</v>
      </c>
      <c r="D50" s="119">
        <v>26680</v>
      </c>
      <c r="E50" s="132" t="s">
        <v>185</v>
      </c>
      <c r="F50" s="119">
        <v>6331</v>
      </c>
      <c r="G50" s="119" t="str">
        <f>IF(OR(Prod[[#This Row],[S1Hrs]]&gt;0,Prod[[#This Row],[S2Hrs]]&gt;0,Prod[[#This Row],[S3Hrs]]&gt;0),"Running","Down")</f>
        <v>Running</v>
      </c>
      <c r="H50" s="179">
        <v>34.299999999999997</v>
      </c>
      <c r="I50" s="180">
        <v>8</v>
      </c>
      <c r="J50" s="131">
        <v>841</v>
      </c>
      <c r="K50" s="131">
        <v>16</v>
      </c>
      <c r="L50" s="120">
        <f>Prod[[#This Row],[S1Shot]]*Prod[[#This Row],[S1Cavity]]-Prod[[#This Row],[S1Dft]]</f>
        <v>13446</v>
      </c>
      <c r="M50" s="137">
        <f>SUM(Prod[[#This Row],[S1Mold]],Prod[[#This Row],[S1Print]],Prod[[#This Row],[S1Ovlp]],Prod[[#This Row],[S1Seam]],Prod[[#This Row],[S1Dmg]])</f>
        <v>10</v>
      </c>
      <c r="N50" s="179">
        <v>34.4</v>
      </c>
      <c r="O50" s="180">
        <v>8</v>
      </c>
      <c r="P50" s="131">
        <v>835</v>
      </c>
      <c r="Q50" s="131">
        <v>16</v>
      </c>
      <c r="R50" s="120">
        <f>Prod[[#This Row],[S2Shot]]*Prod[[#This Row],[S2Cavity]]-Prod[[#This Row],[S2Dft]]</f>
        <v>13352</v>
      </c>
      <c r="S50" s="137">
        <f>SUM(Prod[[#This Row],[S2Mold]],Prod[[#This Row],[S2Print]],Prod[[#This Row],[S2Ovlp]],Prod[[#This Row],[S2Seam]],Prod[[#This Row],[S2Dmg]])</f>
        <v>8</v>
      </c>
      <c r="T50" s="179">
        <v>34.4</v>
      </c>
      <c r="U50" s="180">
        <v>8</v>
      </c>
      <c r="V50" s="131">
        <v>762</v>
      </c>
      <c r="W50" s="131">
        <v>16</v>
      </c>
      <c r="X50" s="120">
        <f>Prod[[#This Row],[S3Shot]]*Prod[[#This Row],[S3Cavity]]-Prod[[#This Row],[S3Dft]]</f>
        <v>12188</v>
      </c>
      <c r="Y50" s="120">
        <f>SUM(Prod[[#This Row],[S3Mold]],Prod[[#This Row],[S3Print]],Prod[[#This Row],[S3Ovlp]],Prod[[#This Row],[S3Seam]],Prod[[#This Row],[S3Dmg]])</f>
        <v>4</v>
      </c>
      <c r="Z50" s="120">
        <f>SUM(Prod[[#This Row],[S1Qty]],Prod[[#This Row],[S2Qty]],Prod[[#This Row],[S3Qty]])</f>
        <v>38986</v>
      </c>
      <c r="AA50" s="120">
        <f>SUM(Prod[[#This Row],[S1Dft]],Prod[[#This Row],[S2Dft]],Prod[[#This Row],[S3Dft]])</f>
        <v>22</v>
      </c>
      <c r="AB50" s="121">
        <f>IF(Prod[[#This Row],[Total]]=0,0,Prod[[#This Row],[TotalDft]]/Prod[[#This Row],[Total]])</f>
        <v>5.6430513517673013E-4</v>
      </c>
      <c r="AC50" s="118"/>
      <c r="AD50" s="120">
        <v>10</v>
      </c>
      <c r="AE50" s="120">
        <v>8</v>
      </c>
      <c r="AF50" s="120">
        <v>4</v>
      </c>
      <c r="AG50" s="120">
        <v>0</v>
      </c>
      <c r="AH50" s="120">
        <v>0</v>
      </c>
      <c r="AI50" s="120">
        <v>0</v>
      </c>
      <c r="AJ50" s="120">
        <v>0</v>
      </c>
      <c r="AK50" s="120">
        <v>0</v>
      </c>
      <c r="AL50" s="120">
        <v>0</v>
      </c>
      <c r="AM50" s="120">
        <v>0</v>
      </c>
      <c r="AN50" s="120">
        <v>0</v>
      </c>
      <c r="AO50" s="120">
        <v>0</v>
      </c>
      <c r="AP50" s="120">
        <v>0</v>
      </c>
      <c r="AQ50" s="120">
        <v>0</v>
      </c>
      <c r="AR50" s="120">
        <v>0</v>
      </c>
      <c r="AS50" s="133">
        <f>IF(Prod[[#This Row],[S1Hrs]]=0,0,Prod[[#This Row],[S1Shot]]*Prod[[#This Row],[S1Cycle]]/(Prod[[#This Row],[S1Hrs]]*60*60))</f>
        <v>1.0016076388888888</v>
      </c>
      <c r="AT50" s="133">
        <f>IF(Prod[[#This Row],[S2Hrs]]=0,0,Prod[[#This Row],[S2Shot]]*Prod[[#This Row],[S2Cycle]]/(Prod[[#This Row],[S2Hrs]]*60*60))</f>
        <v>0.99736111111111114</v>
      </c>
      <c r="AU50" s="133">
        <f>IF(Prod[[#This Row],[S3Hrs]]=0,0,Prod[[#This Row],[S3Shot]]*Prod[[#This Row],[S3Cycle]]/(Prod[[#This Row],[S3Hrs]]*60*60))</f>
        <v>0.91016666666666668</v>
      </c>
      <c r="AV50" s="133">
        <f>IFERROR(AVERAGEIF(Prod[[#This Row],[S1%]:[S3%]], "&lt;&gt;0"),0)</f>
        <v>0.96971180555555547</v>
      </c>
      <c r="AW50" s="133">
        <v>0</v>
      </c>
      <c r="AX50" s="133">
        <v>0</v>
      </c>
      <c r="AY50" s="133">
        <v>0</v>
      </c>
      <c r="AZ50" s="147">
        <f>IF(Prod[[#This Row],[S1Cycle]]&lt;&gt;0,1,0)</f>
        <v>1</v>
      </c>
      <c r="BA50" s="147">
        <f>IF(Prod[[#This Row],[S2Cycle]]&lt;&gt;0,1,0)</f>
        <v>1</v>
      </c>
      <c r="BB50" s="147">
        <f>IF(Prod[[#This Row],[S3Cycle]]&lt;&gt;0,1,0)</f>
        <v>1</v>
      </c>
      <c r="BC50" s="147">
        <f>MAX(Prod[[#This Row],[S1Cavity]],Prod[[#This Row],[S2Cavity]],Prod[[#This Row],[S3Cavity]])</f>
        <v>16</v>
      </c>
      <c r="BD50" s="147" t="b">
        <f>RegExpMatch(Prod[[#This Row],[MoldNo]], "^MEO-(B|C)")</f>
        <v>1</v>
      </c>
    </row>
    <row r="51" spans="1:56" x14ac:dyDescent="0.2">
      <c r="A51" s="117">
        <v>45420</v>
      </c>
      <c r="B51" s="131" t="s">
        <v>179</v>
      </c>
      <c r="C51" s="132" t="s">
        <v>180</v>
      </c>
      <c r="D51" s="119">
        <v>26680</v>
      </c>
      <c r="E51" s="132" t="s">
        <v>185</v>
      </c>
      <c r="F51" s="119">
        <v>6331</v>
      </c>
      <c r="G51" s="119" t="str">
        <f>IF(OR(Prod[[#This Row],[S1Hrs]]&gt;0,Prod[[#This Row],[S2Hrs]]&gt;0,Prod[[#This Row],[S3Hrs]]&gt;0),"Running","Down")</f>
        <v>Running</v>
      </c>
      <c r="H51" s="179">
        <v>18.37</v>
      </c>
      <c r="I51" s="180">
        <v>8</v>
      </c>
      <c r="J51" s="131">
        <v>1540</v>
      </c>
      <c r="K51" s="131">
        <v>15</v>
      </c>
      <c r="L51" s="120">
        <f>Prod[[#This Row],[S1Shot]]*Prod[[#This Row],[S1Cavity]]-Prod[[#This Row],[S1Dft]]</f>
        <v>23100</v>
      </c>
      <c r="M51" s="135"/>
      <c r="N51" s="179">
        <v>18.32</v>
      </c>
      <c r="O51" s="180">
        <v>8</v>
      </c>
      <c r="P51" s="131">
        <v>1506</v>
      </c>
      <c r="Q51" s="131">
        <v>15</v>
      </c>
      <c r="R51" s="120">
        <f>Prod[[#This Row],[S2Shot]]*Prod[[#This Row],[S2Cavity]]-Prod[[#This Row],[S2Dft]]</f>
        <v>22590</v>
      </c>
      <c r="S51" s="135"/>
      <c r="T51" s="179">
        <v>18.38</v>
      </c>
      <c r="U51" s="180">
        <v>8</v>
      </c>
      <c r="V51" s="131">
        <v>1274</v>
      </c>
      <c r="W51" s="131">
        <v>8</v>
      </c>
      <c r="X51" s="120">
        <f>Prod[[#This Row],[S3Shot]]*Prod[[#This Row],[S3Cavity]]-Prod[[#This Row],[S3Dft]]</f>
        <v>10192</v>
      </c>
      <c r="Y51" s="120">
        <f>SUM(Prod[[#This Row],[S3Mold]],Prod[[#This Row],[S3Print]],Prod[[#This Row],[S3Ovlp]],Prod[[#This Row],[S3Seam]],Prod[[#This Row],[S3Dmg]])</f>
        <v>0</v>
      </c>
      <c r="Z51" s="120">
        <f>SUM(Prod[[#This Row],[S1Qty]],Prod[[#This Row],[S2Qty]],Prod[[#This Row],[S3Qty]])</f>
        <v>55882</v>
      </c>
      <c r="AA51" s="120">
        <f>SUM(Prod[[#This Row],[S1Dft]],Prod[[#This Row],[S2Dft]],Prod[[#This Row],[S3Dft]])</f>
        <v>0</v>
      </c>
      <c r="AB51" s="121">
        <f>IF(Prod[[#This Row],[Total]]=0,0,Prod[[#This Row],[TotalDft]]/Prod[[#This Row],[Total]])</f>
        <v>0</v>
      </c>
      <c r="AC51" s="132"/>
      <c r="AD51" s="135"/>
      <c r="AE51" s="135"/>
      <c r="AF51" s="135"/>
      <c r="AG51" s="135"/>
      <c r="AH51" s="135"/>
      <c r="AI51" s="135"/>
      <c r="AJ51" s="135"/>
      <c r="AK51" s="135"/>
      <c r="AL51" s="135"/>
      <c r="AM51" s="135"/>
      <c r="AN51" s="135"/>
      <c r="AO51" s="135"/>
      <c r="AP51" s="135"/>
      <c r="AQ51" s="135"/>
      <c r="AR51" s="135"/>
      <c r="AS51" s="133">
        <f>IF(Prod[[#This Row],[S1Hrs]]=0,0,Prod[[#This Row],[S1Shot]]*Prod[[#This Row],[S1Cycle]]/(Prod[[#This Row],[S1Hrs]]*60*60))</f>
        <v>0.9822847222222223</v>
      </c>
      <c r="AT51" s="133">
        <f>IF(Prod[[#This Row],[S2Hrs]]=0,0,Prod[[#This Row],[S2Shot]]*Prod[[#This Row],[S2Cycle]]/(Prod[[#This Row],[S2Hrs]]*60*60))</f>
        <v>0.95798333333333341</v>
      </c>
      <c r="AU51" s="133">
        <f>IF(Prod[[#This Row],[S3Hrs]]=0,0,Prod[[#This Row],[S3Shot]]*Prod[[#This Row],[S3Cycle]]/(Prod[[#This Row],[S3Hrs]]*60*60))</f>
        <v>0.81305972222222223</v>
      </c>
      <c r="AV51" s="133">
        <f>IFERROR(AVERAGEIF(Prod[[#This Row],[S1%]:[S3%]], "&lt;&gt;0"),0)</f>
        <v>0.91777592592592594</v>
      </c>
      <c r="AW51" s="133">
        <v>0</v>
      </c>
      <c r="AX51" s="133">
        <v>0</v>
      </c>
      <c r="AY51" s="133">
        <v>0</v>
      </c>
      <c r="AZ51" s="147">
        <f>IF(Prod[[#This Row],[S1Cycle]]&lt;&gt;0,1,0)</f>
        <v>1</v>
      </c>
      <c r="BA51" s="147">
        <f>IF(Prod[[#This Row],[S2Cycle]]&lt;&gt;0,1,0)</f>
        <v>1</v>
      </c>
      <c r="BB51" s="147">
        <f>IF(Prod[[#This Row],[S3Cycle]]&lt;&gt;0,1,0)</f>
        <v>1</v>
      </c>
      <c r="BC51" s="147">
        <f>MAX(Prod[[#This Row],[S1Cavity]],Prod[[#This Row],[S2Cavity]],Prod[[#This Row],[S3Cavity]])</f>
        <v>15</v>
      </c>
      <c r="BD51" s="147" t="b">
        <f>RegExpMatch(Prod[[#This Row],[MoldNo]], "^MEO-(B|C)")</f>
        <v>0</v>
      </c>
    </row>
    <row r="52" spans="1:56" x14ac:dyDescent="0.2">
      <c r="A52" s="117">
        <v>45420</v>
      </c>
      <c r="B52" s="131" t="s">
        <v>183</v>
      </c>
      <c r="C52" s="132" t="s">
        <v>184</v>
      </c>
      <c r="D52" s="119"/>
      <c r="E52" s="132"/>
      <c r="F52" s="119"/>
      <c r="G52" s="119" t="str">
        <f>IF(OR(Prod[[#This Row],[S1Hrs]]&gt;0,Prod[[#This Row],[S2Hrs]]&gt;0,Prod[[#This Row],[S3Hrs]]&gt;0),"Running","Down")</f>
        <v>Down</v>
      </c>
      <c r="H52" s="179">
        <v>0</v>
      </c>
      <c r="I52" s="180">
        <v>0</v>
      </c>
      <c r="J52" s="131">
        <v>0</v>
      </c>
      <c r="K52" s="131">
        <v>0</v>
      </c>
      <c r="L52" s="120">
        <f>Prod[[#This Row],[S1Shot]]*Prod[[#This Row],[S1Cavity]]-Prod[[#This Row],[S1Dft]]</f>
        <v>0</v>
      </c>
      <c r="M52" s="137">
        <f>SUM(Prod[[#This Row],[S1Mold]],Prod[[#This Row],[S1Print]],Prod[[#This Row],[S1Ovlp]],Prod[[#This Row],[S1Seam]],Prod[[#This Row],[S1Dmg]])</f>
        <v>0</v>
      </c>
      <c r="N52" s="179">
        <v>0</v>
      </c>
      <c r="O52" s="180">
        <v>0</v>
      </c>
      <c r="P52" s="131">
        <v>0</v>
      </c>
      <c r="Q52" s="131">
        <v>0</v>
      </c>
      <c r="R52" s="120">
        <f>Prod[[#This Row],[S2Shot]]*Prod[[#This Row],[S2Cavity]]-Prod[[#This Row],[S2Dft]]</f>
        <v>0</v>
      </c>
      <c r="S52" s="137">
        <f>SUM(Prod[[#This Row],[S2Mold]],Prod[[#This Row],[S2Print]],Prod[[#This Row],[S2Ovlp]],Prod[[#This Row],[S2Seam]],Prod[[#This Row],[S2Dmg]])</f>
        <v>0</v>
      </c>
      <c r="T52" s="179">
        <v>0</v>
      </c>
      <c r="U52" s="180">
        <v>0</v>
      </c>
      <c r="V52" s="131">
        <v>0</v>
      </c>
      <c r="W52" s="131">
        <v>0</v>
      </c>
      <c r="X52" s="120">
        <f>Prod[[#This Row],[S3Shot]]*Prod[[#This Row],[S3Cavity]]-Prod[[#This Row],[S3Dft]]</f>
        <v>0</v>
      </c>
      <c r="Y52" s="120">
        <f>SUM(Prod[[#This Row],[S3Mold]],Prod[[#This Row],[S3Print]],Prod[[#This Row],[S3Ovlp]],Prod[[#This Row],[S3Seam]],Prod[[#This Row],[S3Dmg]])</f>
        <v>0</v>
      </c>
      <c r="Z52" s="120">
        <f>SUM(Prod[[#This Row],[S1Qty]],Prod[[#This Row],[S2Qty]],Prod[[#This Row],[S3Qty]])</f>
        <v>0</v>
      </c>
      <c r="AA52" s="120">
        <f>SUM(Prod[[#This Row],[S1Dft]],Prod[[#This Row],[S2Dft]],Prod[[#This Row],[S3Dft]])</f>
        <v>0</v>
      </c>
      <c r="AB52" s="121">
        <f>IF(Prod[[#This Row],[Total]]=0,0,Prod[[#This Row],[TotalDft]]/Prod[[#This Row],[Total]])</f>
        <v>0</v>
      </c>
      <c r="AC52" s="118"/>
      <c r="AD52" s="120">
        <v>0</v>
      </c>
      <c r="AE52" s="120">
        <v>0</v>
      </c>
      <c r="AF52" s="120">
        <v>0</v>
      </c>
      <c r="AG52" s="120">
        <v>0</v>
      </c>
      <c r="AH52" s="120">
        <v>0</v>
      </c>
      <c r="AI52" s="120">
        <v>0</v>
      </c>
      <c r="AJ52" s="120">
        <v>0</v>
      </c>
      <c r="AK52" s="120">
        <v>0</v>
      </c>
      <c r="AL52" s="120">
        <v>0</v>
      </c>
      <c r="AM52" s="120">
        <v>0</v>
      </c>
      <c r="AN52" s="120">
        <v>0</v>
      </c>
      <c r="AO52" s="120">
        <v>0</v>
      </c>
      <c r="AP52" s="120">
        <v>0</v>
      </c>
      <c r="AQ52" s="120">
        <v>0</v>
      </c>
      <c r="AR52" s="120">
        <v>0</v>
      </c>
      <c r="AS52" s="133">
        <f>IF(Prod[[#This Row],[S1Hrs]]=0,0,Prod[[#This Row],[S1Shot]]*Prod[[#This Row],[S1Cycle]]/(Prod[[#This Row],[S1Hrs]]*60*60))</f>
        <v>0</v>
      </c>
      <c r="AT52" s="133">
        <f>IF(Prod[[#This Row],[S2Hrs]]=0,0,Prod[[#This Row],[S2Shot]]*Prod[[#This Row],[S2Cycle]]/(Prod[[#This Row],[S2Hrs]]*60*60))</f>
        <v>0</v>
      </c>
      <c r="AU52" s="133">
        <f>IF(Prod[[#This Row],[S3Hrs]]=0,0,Prod[[#This Row],[S3Shot]]*Prod[[#This Row],[S3Cycle]]/(Prod[[#This Row],[S3Hrs]]*60*60))</f>
        <v>0</v>
      </c>
      <c r="AV52" s="133">
        <f>IFERROR(AVERAGEIF(Prod[[#This Row],[S1%]:[S3%]], "&lt;&gt;0"),0)</f>
        <v>0</v>
      </c>
      <c r="AW52" s="133">
        <v>0</v>
      </c>
      <c r="AX52" s="133">
        <v>0</v>
      </c>
      <c r="AY52" s="133">
        <v>0</v>
      </c>
      <c r="AZ52" s="147">
        <f>IF(Prod[[#This Row],[S1Cycle]]&lt;&gt;0,1,0)</f>
        <v>0</v>
      </c>
      <c r="BA52" s="147">
        <f>IF(Prod[[#This Row],[S2Cycle]]&lt;&gt;0,1,0)</f>
        <v>0</v>
      </c>
      <c r="BB52" s="147">
        <f>IF(Prod[[#This Row],[S3Cycle]]&lt;&gt;0,1,0)</f>
        <v>0</v>
      </c>
      <c r="BC52" s="147">
        <f>MAX(Prod[[#This Row],[S1Cavity]],Prod[[#This Row],[S2Cavity]],Prod[[#This Row],[S3Cavity]])</f>
        <v>0</v>
      </c>
      <c r="BD52" s="147" t="b">
        <f>RegExpMatch(Prod[[#This Row],[MoldNo]], "^MEO-(B|C)")</f>
        <v>1</v>
      </c>
    </row>
    <row r="53" spans="1:56" x14ac:dyDescent="0.2">
      <c r="A53" s="117">
        <v>45420</v>
      </c>
      <c r="B53" s="131" t="s">
        <v>177</v>
      </c>
      <c r="C53" s="132" t="s">
        <v>157</v>
      </c>
      <c r="D53" s="119"/>
      <c r="E53" s="132"/>
      <c r="F53" s="119"/>
      <c r="G53" s="119" t="str">
        <f>IF(OR(Prod[[#This Row],[S1Hrs]]&gt;0,Prod[[#This Row],[S2Hrs]]&gt;0,Prod[[#This Row],[S3Hrs]]&gt;0),"Running","Down")</f>
        <v>Down</v>
      </c>
      <c r="H53" s="179">
        <v>0</v>
      </c>
      <c r="I53" s="180">
        <v>0</v>
      </c>
      <c r="J53" s="131">
        <v>0</v>
      </c>
      <c r="K53" s="131">
        <v>0</v>
      </c>
      <c r="L53" s="120">
        <f>Prod[[#This Row],[S1Shot]]*Prod[[#This Row],[S1Cavity]]-Prod[[#This Row],[S1Dft]]</f>
        <v>0</v>
      </c>
      <c r="M53" s="137">
        <f>SUM(Prod[[#This Row],[S1Mold]],Prod[[#This Row],[S1Print]],Prod[[#This Row],[S1Ovlp]],Prod[[#This Row],[S1Seam]],Prod[[#This Row],[S1Dmg]])</f>
        <v>0</v>
      </c>
      <c r="N53" s="179">
        <v>0</v>
      </c>
      <c r="O53" s="180">
        <v>0</v>
      </c>
      <c r="P53" s="131">
        <v>0</v>
      </c>
      <c r="Q53" s="131">
        <v>0</v>
      </c>
      <c r="R53" s="120">
        <f>Prod[[#This Row],[S2Shot]]*Prod[[#This Row],[S2Cavity]]-Prod[[#This Row],[S2Dft]]</f>
        <v>0</v>
      </c>
      <c r="S53" s="137">
        <f>SUM(Prod[[#This Row],[S2Mold]],Prod[[#This Row],[S2Print]],Prod[[#This Row],[S2Ovlp]],Prod[[#This Row],[S2Seam]],Prod[[#This Row],[S2Dmg]])</f>
        <v>0</v>
      </c>
      <c r="T53" s="179">
        <v>0</v>
      </c>
      <c r="U53" s="180">
        <v>0</v>
      </c>
      <c r="V53" s="131">
        <v>0</v>
      </c>
      <c r="W53" s="131">
        <v>0</v>
      </c>
      <c r="X53" s="120">
        <f>Prod[[#This Row],[S3Shot]]*Prod[[#This Row],[S3Cavity]]-Prod[[#This Row],[S3Dft]]</f>
        <v>0</v>
      </c>
      <c r="Y53" s="120">
        <f>SUM(Prod[[#This Row],[S3Mold]],Prod[[#This Row],[S3Print]],Prod[[#This Row],[S3Ovlp]],Prod[[#This Row],[S3Seam]],Prod[[#This Row],[S3Dmg]])</f>
        <v>0</v>
      </c>
      <c r="Z53" s="120">
        <f>SUM(Prod[[#This Row],[S1Qty]],Prod[[#This Row],[S2Qty]],Prod[[#This Row],[S3Qty]])</f>
        <v>0</v>
      </c>
      <c r="AA53" s="120">
        <f>SUM(Prod[[#This Row],[S1Dft]],Prod[[#This Row],[S2Dft]],Prod[[#This Row],[S3Dft]])</f>
        <v>0</v>
      </c>
      <c r="AB53" s="121">
        <f>IF(Prod[[#This Row],[Total]]=0,0,Prod[[#This Row],[TotalDft]]/Prod[[#This Row],[Total]])</f>
        <v>0</v>
      </c>
      <c r="AC53" s="132"/>
      <c r="AD53" s="120">
        <v>0</v>
      </c>
      <c r="AE53" s="120">
        <v>0</v>
      </c>
      <c r="AF53" s="120">
        <v>0</v>
      </c>
      <c r="AG53" s="120">
        <v>0</v>
      </c>
      <c r="AH53" s="120">
        <v>0</v>
      </c>
      <c r="AI53" s="120">
        <v>0</v>
      </c>
      <c r="AJ53" s="120">
        <v>0</v>
      </c>
      <c r="AK53" s="120">
        <v>0</v>
      </c>
      <c r="AL53" s="120">
        <v>0</v>
      </c>
      <c r="AM53" s="120">
        <v>0</v>
      </c>
      <c r="AN53" s="120">
        <v>0</v>
      </c>
      <c r="AO53" s="120">
        <v>0</v>
      </c>
      <c r="AP53" s="120">
        <v>0</v>
      </c>
      <c r="AQ53" s="120">
        <v>0</v>
      </c>
      <c r="AR53" s="120">
        <v>0</v>
      </c>
      <c r="AS53" s="133">
        <f>IF(Prod[[#This Row],[S1Hrs]]=0,0,Prod[[#This Row],[S1Shot]]*Prod[[#This Row],[S1Cycle]]/(Prod[[#This Row],[S1Hrs]]*60*60))</f>
        <v>0</v>
      </c>
      <c r="AT53" s="133">
        <f>IF(Prod[[#This Row],[S2Hrs]]=0,0,Prod[[#This Row],[S2Shot]]*Prod[[#This Row],[S2Cycle]]/(Prod[[#This Row],[S2Hrs]]*60*60))</f>
        <v>0</v>
      </c>
      <c r="AU53" s="133">
        <f>IF(Prod[[#This Row],[S3Hrs]]=0,0,Prod[[#This Row],[S3Shot]]*Prod[[#This Row],[S3Cycle]]/(Prod[[#This Row],[S3Hrs]]*60*60))</f>
        <v>0</v>
      </c>
      <c r="AV53" s="133">
        <f>IFERROR(AVERAGEIF(Prod[[#This Row],[S1%]:[S3%]], "&lt;&gt;0"),0)</f>
        <v>0</v>
      </c>
      <c r="AW53" s="133">
        <v>0</v>
      </c>
      <c r="AX53" s="133">
        <v>0</v>
      </c>
      <c r="AY53" s="133">
        <v>0</v>
      </c>
      <c r="AZ53" s="147">
        <f>IF(Prod[[#This Row],[S1Cycle]]&lt;&gt;0,1,0)</f>
        <v>0</v>
      </c>
      <c r="BA53" s="147">
        <f>IF(Prod[[#This Row],[S2Cycle]]&lt;&gt;0,1,0)</f>
        <v>0</v>
      </c>
      <c r="BB53" s="147">
        <f>IF(Prod[[#This Row],[S3Cycle]]&lt;&gt;0,1,0)</f>
        <v>0</v>
      </c>
      <c r="BC53" s="147">
        <f>MAX(Prod[[#This Row],[S1Cavity]],Prod[[#This Row],[S2Cavity]],Prod[[#This Row],[S3Cavity]])</f>
        <v>0</v>
      </c>
      <c r="BD53" s="147" t="b">
        <f>RegExpMatch(Prod[[#This Row],[MoldNo]], "^MEO-(B|C)")</f>
        <v>1</v>
      </c>
    </row>
    <row r="54" spans="1:56" x14ac:dyDescent="0.2">
      <c r="A54" s="117">
        <v>45421</v>
      </c>
      <c r="B54" s="131" t="s">
        <v>158</v>
      </c>
      <c r="C54" s="132" t="s">
        <v>191</v>
      </c>
      <c r="D54" s="119"/>
      <c r="E54" s="132"/>
      <c r="F54" s="119"/>
      <c r="G54" s="119" t="str">
        <f>IF(OR(Prod[[#This Row],[S1Hrs]]&gt;0,Prod[[#This Row],[S2Hrs]]&gt;0,Prod[[#This Row],[S3Hrs]]&gt;0),"Running","Down")</f>
        <v>Down</v>
      </c>
      <c r="H54" s="179">
        <v>0</v>
      </c>
      <c r="I54" s="180">
        <v>0</v>
      </c>
      <c r="J54" s="131">
        <v>0</v>
      </c>
      <c r="K54" s="131">
        <v>0</v>
      </c>
      <c r="L54" s="120">
        <f>Prod[[#This Row],[S1Shot]]*Prod[[#This Row],[S1Cavity]]-Prod[[#This Row],[S1Dft]]</f>
        <v>0</v>
      </c>
      <c r="M54" s="137">
        <f>SUM(Prod[[#This Row],[S1Mold]],Prod[[#This Row],[S1Print]],Prod[[#This Row],[S1Ovlp]],Prod[[#This Row],[S1Seam]],Prod[[#This Row],[S1Dmg]])</f>
        <v>0</v>
      </c>
      <c r="N54" s="179">
        <v>0</v>
      </c>
      <c r="O54" s="180">
        <v>0</v>
      </c>
      <c r="P54" s="131">
        <v>0</v>
      </c>
      <c r="Q54" s="131">
        <v>0</v>
      </c>
      <c r="R54" s="120">
        <f>Prod[[#This Row],[S2Shot]]*Prod[[#This Row],[S2Cavity]]-Prod[[#This Row],[S2Dft]]</f>
        <v>0</v>
      </c>
      <c r="S54" s="137">
        <f>SUM(Prod[[#This Row],[S2Mold]],Prod[[#This Row],[S2Print]],Prod[[#This Row],[S2Ovlp]],Prod[[#This Row],[S2Seam]],Prod[[#This Row],[S2Dmg]])</f>
        <v>0</v>
      </c>
      <c r="T54" s="179">
        <v>0</v>
      </c>
      <c r="U54" s="180">
        <v>0</v>
      </c>
      <c r="V54" s="131">
        <v>0</v>
      </c>
      <c r="W54" s="131">
        <v>0</v>
      </c>
      <c r="X54" s="120">
        <f>Prod[[#This Row],[S3Shot]]*Prod[[#This Row],[S3Cavity]]-Prod[[#This Row],[S3Dft]]</f>
        <v>0</v>
      </c>
      <c r="Y54" s="120">
        <f>SUM(Prod[[#This Row],[S3Mold]],Prod[[#This Row],[S3Print]],Prod[[#This Row],[S3Ovlp]],Prod[[#This Row],[S3Seam]],Prod[[#This Row],[S3Dmg]])</f>
        <v>0</v>
      </c>
      <c r="Z54" s="120">
        <f>SUM(Prod[[#This Row],[S1Qty]],Prod[[#This Row],[S2Qty]],Prod[[#This Row],[S3Qty]])</f>
        <v>0</v>
      </c>
      <c r="AA54" s="120">
        <f>SUM(Prod[[#This Row],[S1Dft]],Prod[[#This Row],[S2Dft]],Prod[[#This Row],[S3Dft]])</f>
        <v>0</v>
      </c>
      <c r="AB54" s="121">
        <f>IF(Prod[[#This Row],[Total]]=0,0,Prod[[#This Row],[TotalDft]]/Prod[[#This Row],[Total]])</f>
        <v>0</v>
      </c>
      <c r="AC54" s="118"/>
      <c r="AD54" s="120">
        <v>0</v>
      </c>
      <c r="AE54" s="120">
        <v>0</v>
      </c>
      <c r="AF54" s="120">
        <v>0</v>
      </c>
      <c r="AG54" s="120">
        <v>0</v>
      </c>
      <c r="AH54" s="120">
        <v>0</v>
      </c>
      <c r="AI54" s="120">
        <v>0</v>
      </c>
      <c r="AJ54" s="120">
        <v>0</v>
      </c>
      <c r="AK54" s="120">
        <v>0</v>
      </c>
      <c r="AL54" s="120">
        <v>0</v>
      </c>
      <c r="AM54" s="120">
        <v>0</v>
      </c>
      <c r="AN54" s="120">
        <v>0</v>
      </c>
      <c r="AO54" s="120">
        <v>0</v>
      </c>
      <c r="AP54" s="120">
        <v>0</v>
      </c>
      <c r="AQ54" s="120">
        <v>0</v>
      </c>
      <c r="AR54" s="120">
        <v>0</v>
      </c>
      <c r="AS54" s="133">
        <f>IF(Prod[[#This Row],[S1Hrs]]=0,0,Prod[[#This Row],[S1Shot]]*Prod[[#This Row],[S1Cycle]]/(Prod[[#This Row],[S1Hrs]]*60*60))</f>
        <v>0</v>
      </c>
      <c r="AT54" s="133">
        <f>IF(Prod[[#This Row],[S2Hrs]]=0,0,Prod[[#This Row],[S2Shot]]*Prod[[#This Row],[S2Cycle]]/(Prod[[#This Row],[S2Hrs]]*60*60))</f>
        <v>0</v>
      </c>
      <c r="AU54" s="133">
        <f>IF(Prod[[#This Row],[S3Hrs]]=0,0,Prod[[#This Row],[S3Shot]]*Prod[[#This Row],[S3Cycle]]/(Prod[[#This Row],[S3Hrs]]*60*60))</f>
        <v>0</v>
      </c>
      <c r="AV54" s="133">
        <f>IFERROR(AVERAGEIF(Prod[[#This Row],[S1%]:[S3%]], "&lt;&gt;0"),0)</f>
        <v>0</v>
      </c>
      <c r="AW54" s="133">
        <v>0</v>
      </c>
      <c r="AX54" s="133">
        <v>0</v>
      </c>
      <c r="AY54" s="133">
        <v>0</v>
      </c>
      <c r="AZ54" s="147">
        <f>IF(Prod[[#This Row],[S1Cycle]]&lt;&gt;0,1,0)</f>
        <v>0</v>
      </c>
      <c r="BA54" s="147">
        <f>IF(Prod[[#This Row],[S2Cycle]]&lt;&gt;0,1,0)</f>
        <v>0</v>
      </c>
      <c r="BB54" s="147">
        <f>IF(Prod[[#This Row],[S3Cycle]]&lt;&gt;0,1,0)</f>
        <v>0</v>
      </c>
      <c r="BC54" s="147">
        <f>MAX(Prod[[#This Row],[S1Cavity]],Prod[[#This Row],[S2Cavity]],Prod[[#This Row],[S3Cavity]])</f>
        <v>0</v>
      </c>
      <c r="BD54" s="147" t="b">
        <f>RegExpMatch(Prod[[#This Row],[MoldNo]], "^MEO-(B|C)")</f>
        <v>1</v>
      </c>
    </row>
    <row r="55" spans="1:56" x14ac:dyDescent="0.2">
      <c r="A55" s="117">
        <v>45421</v>
      </c>
      <c r="B55" s="131" t="s">
        <v>187</v>
      </c>
      <c r="C55" s="132" t="s">
        <v>178</v>
      </c>
      <c r="D55" s="119">
        <v>27570</v>
      </c>
      <c r="E55" s="132" t="s">
        <v>92</v>
      </c>
      <c r="F55" s="119">
        <v>2304</v>
      </c>
      <c r="G55" s="119" t="str">
        <f>IF(OR(Prod[[#This Row],[S1Hrs]]&gt;0,Prod[[#This Row],[S2Hrs]]&gt;0,Prod[[#This Row],[S3Hrs]]&gt;0),"Running","Down")</f>
        <v>Running</v>
      </c>
      <c r="H55" s="179">
        <v>14.92</v>
      </c>
      <c r="I55" s="180">
        <v>8</v>
      </c>
      <c r="J55" s="131">
        <v>1928</v>
      </c>
      <c r="K55" s="131">
        <v>16</v>
      </c>
      <c r="L55" s="120">
        <f>Prod[[#This Row],[S1Shot]]*Prod[[#This Row],[S1Cavity]]-Prod[[#This Row],[S1Dft]]</f>
        <v>30848</v>
      </c>
      <c r="M55" s="135"/>
      <c r="N55" s="179">
        <v>14.92</v>
      </c>
      <c r="O55" s="180">
        <v>8</v>
      </c>
      <c r="P55" s="131">
        <v>1909</v>
      </c>
      <c r="Q55" s="131">
        <v>16</v>
      </c>
      <c r="R55" s="120">
        <f>Prod[[#This Row],[S2Shot]]*Prod[[#This Row],[S2Cavity]]-Prod[[#This Row],[S2Dft]]</f>
        <v>30544</v>
      </c>
      <c r="S55" s="135"/>
      <c r="T55" s="179">
        <v>14.92</v>
      </c>
      <c r="U55" s="180">
        <v>8</v>
      </c>
      <c r="V55" s="131">
        <v>1792</v>
      </c>
      <c r="W55" s="131">
        <v>16</v>
      </c>
      <c r="X55" s="120">
        <f>Prod[[#This Row],[S3Shot]]*Prod[[#This Row],[S3Cavity]]-Prod[[#This Row],[S3Dft]]</f>
        <v>28672</v>
      </c>
      <c r="Y55" s="135"/>
      <c r="Z55" s="120">
        <f>SUM(Prod[[#This Row],[S1Qty]],Prod[[#This Row],[S2Qty]],Prod[[#This Row],[S3Qty]])</f>
        <v>90064</v>
      </c>
      <c r="AA55" s="135"/>
      <c r="AB55" s="136"/>
      <c r="AC55" s="118"/>
      <c r="AD55" s="135"/>
      <c r="AE55" s="135"/>
      <c r="AF55" s="135"/>
      <c r="AG55" s="135"/>
      <c r="AH55" s="135"/>
      <c r="AI55" s="135"/>
      <c r="AJ55" s="135"/>
      <c r="AK55" s="135"/>
      <c r="AL55" s="135"/>
      <c r="AM55" s="135"/>
      <c r="AN55" s="135"/>
      <c r="AO55" s="135"/>
      <c r="AP55" s="135"/>
      <c r="AQ55" s="135"/>
      <c r="AR55" s="135"/>
      <c r="AS55" s="133">
        <f>IF(Prod[[#This Row],[S1Hrs]]=0,0,Prod[[#This Row],[S1Shot]]*Prod[[#This Row],[S1Cycle]]/(Prod[[#This Row],[S1Hrs]]*60*60))</f>
        <v>0.99881111111111109</v>
      </c>
      <c r="AT55" s="133">
        <f>IF(Prod[[#This Row],[S2Hrs]]=0,0,Prod[[#This Row],[S2Shot]]*Prod[[#This Row],[S2Cycle]]/(Prod[[#This Row],[S2Hrs]]*60*60))</f>
        <v>0.98896805555555556</v>
      </c>
      <c r="AU55" s="133">
        <f>IF(Prod[[#This Row],[S3Hrs]]=0,0,Prod[[#This Row],[S3Shot]]*Prod[[#This Row],[S3Cycle]]/(Prod[[#This Row],[S3Hrs]]*60*60))</f>
        <v>0.92835555555555549</v>
      </c>
      <c r="AV55" s="133">
        <f>IFERROR(AVERAGEIF(Prod[[#This Row],[S1%]:[S3%]], "&lt;&gt;0"),0)</f>
        <v>0.97204490740740734</v>
      </c>
      <c r="AW55" s="133">
        <v>0</v>
      </c>
      <c r="AX55" s="133">
        <v>0</v>
      </c>
      <c r="AY55" s="133">
        <v>0</v>
      </c>
      <c r="AZ55" s="147">
        <f>IF(Prod[[#This Row],[S1Cycle]]&lt;&gt;0,1,0)</f>
        <v>1</v>
      </c>
      <c r="BA55" s="147">
        <f>IF(Prod[[#This Row],[S2Cycle]]&lt;&gt;0,1,0)</f>
        <v>1</v>
      </c>
      <c r="BB55" s="147">
        <f>IF(Prod[[#This Row],[S3Cycle]]&lt;&gt;0,1,0)</f>
        <v>1</v>
      </c>
      <c r="BC55" s="147">
        <f>MAX(Prod[[#This Row],[S1Cavity]],Prod[[#This Row],[S2Cavity]],Prod[[#This Row],[S3Cavity]])</f>
        <v>16</v>
      </c>
      <c r="BD55" s="147" t="b">
        <f>RegExpMatch(Prod[[#This Row],[MoldNo]], "^MEO-(B|C)")</f>
        <v>0</v>
      </c>
    </row>
    <row r="56" spans="1:56" x14ac:dyDescent="0.2">
      <c r="A56" s="117">
        <v>45421</v>
      </c>
      <c r="B56" s="131" t="s">
        <v>181</v>
      </c>
      <c r="C56" s="132" t="s">
        <v>182</v>
      </c>
      <c r="D56" s="119">
        <v>26680</v>
      </c>
      <c r="E56" s="132" t="s">
        <v>185</v>
      </c>
      <c r="F56" s="119">
        <v>6331</v>
      </c>
      <c r="G56" s="119" t="str">
        <f>IF(OR(Prod[[#This Row],[S1Hrs]]&gt;0,Prod[[#This Row],[S2Hrs]]&gt;0,Prod[[#This Row],[S3Hrs]]&gt;0),"Running","Down")</f>
        <v>Running</v>
      </c>
      <c r="H56" s="179">
        <v>34.4</v>
      </c>
      <c r="I56" s="180">
        <v>8</v>
      </c>
      <c r="J56" s="131">
        <v>860</v>
      </c>
      <c r="K56" s="131">
        <v>16</v>
      </c>
      <c r="L56" s="120">
        <f>Prod[[#This Row],[S1Shot]]*Prod[[#This Row],[S1Cavity]]-Prod[[#This Row],[S1Dft]]</f>
        <v>13752</v>
      </c>
      <c r="M56" s="137">
        <f>SUM(Prod[[#This Row],[S1Mold]],Prod[[#This Row],[S1Print]],Prod[[#This Row],[S1Ovlp]],Prod[[#This Row],[S1Seam]],Prod[[#This Row],[S1Dmg]])</f>
        <v>8</v>
      </c>
      <c r="N56" s="179">
        <v>34.4</v>
      </c>
      <c r="O56" s="180">
        <v>8</v>
      </c>
      <c r="P56" s="131">
        <v>848</v>
      </c>
      <c r="Q56" s="131">
        <v>16</v>
      </c>
      <c r="R56" s="120">
        <f>Prod[[#This Row],[S2Shot]]*Prod[[#This Row],[S2Cavity]]-Prod[[#This Row],[S2Dft]]</f>
        <v>13564</v>
      </c>
      <c r="S56" s="137">
        <f>SUM(Prod[[#This Row],[S2Mold]],Prod[[#This Row],[S2Print]],Prod[[#This Row],[S2Ovlp]],Prod[[#This Row],[S2Seam]],Prod[[#This Row],[S2Dmg]])</f>
        <v>4</v>
      </c>
      <c r="T56" s="179">
        <v>34.4</v>
      </c>
      <c r="U56" s="180">
        <v>8</v>
      </c>
      <c r="V56" s="131">
        <v>807</v>
      </c>
      <c r="W56" s="131">
        <v>16</v>
      </c>
      <c r="X56" s="120">
        <f>Prod[[#This Row],[S3Shot]]*Prod[[#This Row],[S3Cavity]]-Prod[[#This Row],[S3Dft]]</f>
        <v>12904</v>
      </c>
      <c r="Y56" s="120">
        <f>SUM(Prod[[#This Row],[S3Mold]],Prod[[#This Row],[S3Print]],Prod[[#This Row],[S3Ovlp]],Prod[[#This Row],[S3Seam]],Prod[[#This Row],[S3Dmg]])</f>
        <v>8</v>
      </c>
      <c r="Z56" s="120">
        <f>SUM(Prod[[#This Row],[S1Qty]],Prod[[#This Row],[S2Qty]],Prod[[#This Row],[S3Qty]])</f>
        <v>40220</v>
      </c>
      <c r="AA56" s="120">
        <f>SUM(Prod[[#This Row],[S1Dft]],Prod[[#This Row],[S2Dft]],Prod[[#This Row],[S3Dft]])</f>
        <v>20</v>
      </c>
      <c r="AB56" s="121">
        <f>IF(Prod[[#This Row],[Total]]=0,0,Prod[[#This Row],[TotalDft]]/Prod[[#This Row],[Total]])</f>
        <v>4.9726504226752855E-4</v>
      </c>
      <c r="AC56" s="118"/>
      <c r="AD56" s="120">
        <v>8</v>
      </c>
      <c r="AE56" s="120">
        <v>4</v>
      </c>
      <c r="AF56" s="120">
        <v>8</v>
      </c>
      <c r="AG56" s="120">
        <v>0</v>
      </c>
      <c r="AH56" s="120">
        <v>0</v>
      </c>
      <c r="AI56" s="120">
        <v>0</v>
      </c>
      <c r="AJ56" s="120">
        <v>0</v>
      </c>
      <c r="AK56" s="120">
        <v>0</v>
      </c>
      <c r="AL56" s="120">
        <v>0</v>
      </c>
      <c r="AM56" s="120">
        <v>0</v>
      </c>
      <c r="AN56" s="120">
        <v>0</v>
      </c>
      <c r="AO56" s="120">
        <v>0</v>
      </c>
      <c r="AP56" s="120">
        <v>0</v>
      </c>
      <c r="AQ56" s="120">
        <v>0</v>
      </c>
      <c r="AR56" s="120">
        <v>0</v>
      </c>
      <c r="AS56" s="133">
        <f>IF(Prod[[#This Row],[S1Hrs]]=0,0,Prod[[#This Row],[S1Shot]]*Prod[[#This Row],[S1Cycle]]/(Prod[[#This Row],[S1Hrs]]*60*60))</f>
        <v>1.0272222222222223</v>
      </c>
      <c r="AT56" s="133">
        <f>IF(Prod[[#This Row],[S2Hrs]]=0,0,Prod[[#This Row],[S2Shot]]*Prod[[#This Row],[S2Cycle]]/(Prod[[#This Row],[S2Hrs]]*60*60))</f>
        <v>1.0128888888888887</v>
      </c>
      <c r="AU56" s="133">
        <f>IF(Prod[[#This Row],[S3Hrs]]=0,0,Prod[[#This Row],[S3Shot]]*Prod[[#This Row],[S3Cycle]]/(Prod[[#This Row],[S3Hrs]]*60*60))</f>
        <v>0.96391666666666664</v>
      </c>
      <c r="AV56" s="133">
        <f>IFERROR(AVERAGEIF(Prod[[#This Row],[S1%]:[S3%]], "&lt;&gt;0"),0)</f>
        <v>1.0013425925925925</v>
      </c>
      <c r="AW56" s="133">
        <v>0</v>
      </c>
      <c r="AX56" s="133">
        <v>0</v>
      </c>
      <c r="AY56" s="133">
        <v>0</v>
      </c>
      <c r="AZ56" s="147">
        <f>IF(Prod[[#This Row],[S1Cycle]]&lt;&gt;0,1,0)</f>
        <v>1</v>
      </c>
      <c r="BA56" s="147">
        <f>IF(Prod[[#This Row],[S2Cycle]]&lt;&gt;0,1,0)</f>
        <v>1</v>
      </c>
      <c r="BB56" s="147">
        <f>IF(Prod[[#This Row],[S3Cycle]]&lt;&gt;0,1,0)</f>
        <v>1</v>
      </c>
      <c r="BC56" s="147">
        <f>MAX(Prod[[#This Row],[S1Cavity]],Prod[[#This Row],[S2Cavity]],Prod[[#This Row],[S3Cavity]])</f>
        <v>16</v>
      </c>
      <c r="BD56" s="147" t="b">
        <f>RegExpMatch(Prod[[#This Row],[MoldNo]], "^MEO-(B|C)")</f>
        <v>1</v>
      </c>
    </row>
    <row r="57" spans="1:56" x14ac:dyDescent="0.2">
      <c r="A57" s="117">
        <v>45421</v>
      </c>
      <c r="B57" s="131" t="s">
        <v>179</v>
      </c>
      <c r="C57" s="132" t="s">
        <v>180</v>
      </c>
      <c r="D57" s="119">
        <v>26680</v>
      </c>
      <c r="E57" s="132" t="s">
        <v>185</v>
      </c>
      <c r="F57" s="119">
        <v>6331</v>
      </c>
      <c r="G57" s="119" t="str">
        <f>IF(OR(Prod[[#This Row],[S1Hrs]]&gt;0,Prod[[#This Row],[S2Hrs]]&gt;0,Prod[[#This Row],[S3Hrs]]&gt;0),"Running","Down")</f>
        <v>Running</v>
      </c>
      <c r="H57" s="179">
        <v>18.36</v>
      </c>
      <c r="I57" s="180">
        <v>8</v>
      </c>
      <c r="J57" s="131">
        <v>1685</v>
      </c>
      <c r="K57" s="131">
        <v>17</v>
      </c>
      <c r="L57" s="120">
        <f>Prod[[#This Row],[S1Shot]]*Prod[[#This Row],[S1Cavity]]-Prod[[#This Row],[S1Dft]]</f>
        <v>28645</v>
      </c>
      <c r="M57" s="135"/>
      <c r="N57" s="179">
        <v>18.36</v>
      </c>
      <c r="O57" s="180">
        <v>8</v>
      </c>
      <c r="P57" s="131">
        <v>1655</v>
      </c>
      <c r="Q57" s="131">
        <v>17</v>
      </c>
      <c r="R57" s="120">
        <f>Prod[[#This Row],[S2Shot]]*Prod[[#This Row],[S2Cavity]]-Prod[[#This Row],[S2Dft]]</f>
        <v>28135</v>
      </c>
      <c r="S57" s="135"/>
      <c r="T57" s="179">
        <v>18.37</v>
      </c>
      <c r="U57" s="180">
        <v>8</v>
      </c>
      <c r="V57" s="131">
        <v>1628</v>
      </c>
      <c r="W57" s="131">
        <v>15</v>
      </c>
      <c r="X57" s="120">
        <f>Prod[[#This Row],[S3Shot]]*Prod[[#This Row],[S3Cavity]]-Prod[[#This Row],[S3Dft]]</f>
        <v>24420</v>
      </c>
      <c r="Y57" s="120">
        <f>SUM(Prod[[#This Row],[S3Mold]],Prod[[#This Row],[S3Print]],Prod[[#This Row],[S3Ovlp]],Prod[[#This Row],[S3Seam]],Prod[[#This Row],[S3Dmg]])</f>
        <v>0</v>
      </c>
      <c r="Z57" s="120">
        <f>SUM(Prod[[#This Row],[S1Qty]],Prod[[#This Row],[S2Qty]],Prod[[#This Row],[S3Qty]])</f>
        <v>81200</v>
      </c>
      <c r="AA57" s="120">
        <f>SUM(Prod[[#This Row],[S1Dft]],Prod[[#This Row],[S2Dft]],Prod[[#This Row],[S3Dft]])</f>
        <v>0</v>
      </c>
      <c r="AB57" s="121">
        <f>IF(Prod[[#This Row],[Total]]=0,0,Prod[[#This Row],[TotalDft]]/Prod[[#This Row],[Total]])</f>
        <v>0</v>
      </c>
      <c r="AC57" s="132"/>
      <c r="AD57" s="135"/>
      <c r="AE57" s="135"/>
      <c r="AF57" s="135"/>
      <c r="AG57" s="135"/>
      <c r="AH57" s="135"/>
      <c r="AI57" s="135"/>
      <c r="AJ57" s="135"/>
      <c r="AK57" s="135"/>
      <c r="AL57" s="135"/>
      <c r="AM57" s="135"/>
      <c r="AN57" s="135"/>
      <c r="AO57" s="135"/>
      <c r="AP57" s="135"/>
      <c r="AQ57" s="135"/>
      <c r="AR57" s="135"/>
      <c r="AS57" s="133">
        <f>IF(Prod[[#This Row],[S1Hrs]]=0,0,Prod[[#This Row],[S1Shot]]*Prod[[#This Row],[S1Cycle]]/(Prod[[#This Row],[S1Hrs]]*60*60))</f>
        <v>1.0741874999999999</v>
      </c>
      <c r="AT57" s="133">
        <f>IF(Prod[[#This Row],[S2Hrs]]=0,0,Prod[[#This Row],[S2Shot]]*Prod[[#This Row],[S2Cycle]]/(Prod[[#This Row],[S2Hrs]]*60*60))</f>
        <v>1.0550625</v>
      </c>
      <c r="AU57" s="133">
        <f>IF(Prod[[#This Row],[S3Hrs]]=0,0,Prod[[#This Row],[S3Shot]]*Prod[[#This Row],[S3Cycle]]/(Prod[[#This Row],[S3Hrs]]*60*60))</f>
        <v>1.0384152777777778</v>
      </c>
      <c r="AV57" s="133">
        <f>IFERROR(AVERAGEIF(Prod[[#This Row],[S1%]:[S3%]], "&lt;&gt;0"),0)</f>
        <v>1.0558884259259258</v>
      </c>
      <c r="AW57" s="133">
        <v>0</v>
      </c>
      <c r="AX57" s="133">
        <v>0</v>
      </c>
      <c r="AY57" s="133">
        <v>0</v>
      </c>
      <c r="AZ57" s="147">
        <f>IF(Prod[[#This Row],[S1Cycle]]&lt;&gt;0,1,0)</f>
        <v>1</v>
      </c>
      <c r="BA57" s="147">
        <f>IF(Prod[[#This Row],[S2Cycle]]&lt;&gt;0,1,0)</f>
        <v>1</v>
      </c>
      <c r="BB57" s="147">
        <f>IF(Prod[[#This Row],[S3Cycle]]&lt;&gt;0,1,0)</f>
        <v>1</v>
      </c>
      <c r="BC57" s="147">
        <f>MAX(Prod[[#This Row],[S1Cavity]],Prod[[#This Row],[S2Cavity]],Prod[[#This Row],[S3Cavity]])</f>
        <v>17</v>
      </c>
      <c r="BD57" s="147" t="b">
        <f>RegExpMatch(Prod[[#This Row],[MoldNo]], "^MEO-(B|C)")</f>
        <v>0</v>
      </c>
    </row>
    <row r="58" spans="1:56" x14ac:dyDescent="0.2">
      <c r="A58" s="117">
        <v>45421</v>
      </c>
      <c r="B58" s="131" t="s">
        <v>183</v>
      </c>
      <c r="C58" s="132" t="s">
        <v>184</v>
      </c>
      <c r="D58" s="119"/>
      <c r="E58" s="132"/>
      <c r="F58" s="119"/>
      <c r="G58" s="119" t="str">
        <f>IF(OR(Prod[[#This Row],[S1Hrs]]&gt;0,Prod[[#This Row],[S2Hrs]]&gt;0,Prod[[#This Row],[S3Hrs]]&gt;0),"Running","Down")</f>
        <v>Down</v>
      </c>
      <c r="H58" s="179">
        <v>0</v>
      </c>
      <c r="I58" s="180">
        <v>0</v>
      </c>
      <c r="J58" s="131">
        <v>0</v>
      </c>
      <c r="K58" s="131">
        <v>0</v>
      </c>
      <c r="L58" s="120">
        <f>Prod[[#This Row],[S1Shot]]*Prod[[#This Row],[S1Cavity]]-Prod[[#This Row],[S1Dft]]</f>
        <v>0</v>
      </c>
      <c r="M58" s="137">
        <f>SUM(Prod[[#This Row],[S1Mold]],Prod[[#This Row],[S1Print]],Prod[[#This Row],[S1Ovlp]],Prod[[#This Row],[S1Seam]],Prod[[#This Row],[S1Dmg]])</f>
        <v>0</v>
      </c>
      <c r="N58" s="179">
        <v>0</v>
      </c>
      <c r="O58" s="180">
        <v>0</v>
      </c>
      <c r="P58" s="131">
        <v>0</v>
      </c>
      <c r="Q58" s="131">
        <v>0</v>
      </c>
      <c r="R58" s="120">
        <f>Prod[[#This Row],[S2Shot]]*Prod[[#This Row],[S2Cavity]]-Prod[[#This Row],[S2Dft]]</f>
        <v>0</v>
      </c>
      <c r="S58" s="137">
        <f>SUM(Prod[[#This Row],[S2Mold]],Prod[[#This Row],[S2Print]],Prod[[#This Row],[S2Ovlp]],Prod[[#This Row],[S2Seam]],Prod[[#This Row],[S2Dmg]])</f>
        <v>0</v>
      </c>
      <c r="T58" s="179">
        <v>0</v>
      </c>
      <c r="U58" s="180">
        <v>0</v>
      </c>
      <c r="V58" s="131">
        <v>0</v>
      </c>
      <c r="W58" s="131">
        <v>0</v>
      </c>
      <c r="X58" s="120">
        <f>Prod[[#This Row],[S3Shot]]*Prod[[#This Row],[S3Cavity]]-Prod[[#This Row],[S3Dft]]</f>
        <v>0</v>
      </c>
      <c r="Y58" s="120">
        <f>SUM(Prod[[#This Row],[S3Mold]],Prod[[#This Row],[S3Print]],Prod[[#This Row],[S3Ovlp]],Prod[[#This Row],[S3Seam]],Prod[[#This Row],[S3Dmg]])</f>
        <v>0</v>
      </c>
      <c r="Z58" s="120">
        <f>SUM(Prod[[#This Row],[S1Qty]],Prod[[#This Row],[S2Qty]],Prod[[#This Row],[S3Qty]])</f>
        <v>0</v>
      </c>
      <c r="AA58" s="120">
        <f>SUM(Prod[[#This Row],[S1Dft]],Prod[[#This Row],[S2Dft]],Prod[[#This Row],[S3Dft]])</f>
        <v>0</v>
      </c>
      <c r="AB58" s="121">
        <f>IF(Prod[[#This Row],[Total]]=0,0,Prod[[#This Row],[TotalDft]]/Prod[[#This Row],[Total]])</f>
        <v>0</v>
      </c>
      <c r="AC58" s="118"/>
      <c r="AD58" s="120">
        <v>0</v>
      </c>
      <c r="AE58" s="120">
        <v>0</v>
      </c>
      <c r="AF58" s="120">
        <v>0</v>
      </c>
      <c r="AG58" s="120">
        <v>0</v>
      </c>
      <c r="AH58" s="120">
        <v>0</v>
      </c>
      <c r="AI58" s="120">
        <v>0</v>
      </c>
      <c r="AJ58" s="120">
        <v>0</v>
      </c>
      <c r="AK58" s="120">
        <v>0</v>
      </c>
      <c r="AL58" s="120">
        <v>0</v>
      </c>
      <c r="AM58" s="120">
        <v>0</v>
      </c>
      <c r="AN58" s="120">
        <v>0</v>
      </c>
      <c r="AO58" s="120">
        <v>0</v>
      </c>
      <c r="AP58" s="120">
        <v>0</v>
      </c>
      <c r="AQ58" s="120">
        <v>0</v>
      </c>
      <c r="AR58" s="120">
        <v>0</v>
      </c>
      <c r="AS58" s="133">
        <f>IF(Prod[[#This Row],[S1Hrs]]=0,0,Prod[[#This Row],[S1Shot]]*Prod[[#This Row],[S1Cycle]]/(Prod[[#This Row],[S1Hrs]]*60*60))</f>
        <v>0</v>
      </c>
      <c r="AT58" s="133">
        <f>IF(Prod[[#This Row],[S2Hrs]]=0,0,Prod[[#This Row],[S2Shot]]*Prod[[#This Row],[S2Cycle]]/(Prod[[#This Row],[S2Hrs]]*60*60))</f>
        <v>0</v>
      </c>
      <c r="AU58" s="133">
        <f>IF(Prod[[#This Row],[S3Hrs]]=0,0,Prod[[#This Row],[S3Shot]]*Prod[[#This Row],[S3Cycle]]/(Prod[[#This Row],[S3Hrs]]*60*60))</f>
        <v>0</v>
      </c>
      <c r="AV58" s="133">
        <f>IFERROR(AVERAGEIF(Prod[[#This Row],[S1%]:[S3%]], "&lt;&gt;0"),0)</f>
        <v>0</v>
      </c>
      <c r="AW58" s="133">
        <v>0</v>
      </c>
      <c r="AX58" s="133">
        <v>0</v>
      </c>
      <c r="AY58" s="133">
        <v>0</v>
      </c>
      <c r="AZ58" s="147">
        <f>IF(Prod[[#This Row],[S1Cycle]]&lt;&gt;0,1,0)</f>
        <v>0</v>
      </c>
      <c r="BA58" s="147">
        <f>IF(Prod[[#This Row],[S2Cycle]]&lt;&gt;0,1,0)</f>
        <v>0</v>
      </c>
      <c r="BB58" s="147">
        <f>IF(Prod[[#This Row],[S3Cycle]]&lt;&gt;0,1,0)</f>
        <v>0</v>
      </c>
      <c r="BC58" s="147">
        <f>MAX(Prod[[#This Row],[S1Cavity]],Prod[[#This Row],[S2Cavity]],Prod[[#This Row],[S3Cavity]])</f>
        <v>0</v>
      </c>
      <c r="BD58" s="147" t="b">
        <f>RegExpMatch(Prod[[#This Row],[MoldNo]], "^MEO-(B|C)")</f>
        <v>1</v>
      </c>
    </row>
    <row r="59" spans="1:56" x14ac:dyDescent="0.2">
      <c r="A59" s="117">
        <v>45421</v>
      </c>
      <c r="B59" s="131" t="s">
        <v>177</v>
      </c>
      <c r="C59" s="132" t="s">
        <v>157</v>
      </c>
      <c r="D59" s="119"/>
      <c r="E59" s="132"/>
      <c r="F59" s="119"/>
      <c r="G59" s="119" t="str">
        <f>IF(OR(Prod[[#This Row],[S1Hrs]]&gt;0,Prod[[#This Row],[S2Hrs]]&gt;0,Prod[[#This Row],[S3Hrs]]&gt;0),"Running","Down")</f>
        <v>Down</v>
      </c>
      <c r="H59" s="179">
        <v>0</v>
      </c>
      <c r="I59" s="180">
        <v>0</v>
      </c>
      <c r="J59" s="131">
        <v>0</v>
      </c>
      <c r="K59" s="131">
        <v>0</v>
      </c>
      <c r="L59" s="120">
        <f>Prod[[#This Row],[S1Shot]]*Prod[[#This Row],[S1Cavity]]-Prod[[#This Row],[S1Dft]]</f>
        <v>0</v>
      </c>
      <c r="M59" s="137">
        <f>SUM(Prod[[#This Row],[S1Mold]],Prod[[#This Row],[S1Print]],Prod[[#This Row],[S1Ovlp]],Prod[[#This Row],[S1Seam]],Prod[[#This Row],[S1Dmg]])</f>
        <v>0</v>
      </c>
      <c r="N59" s="179">
        <v>0</v>
      </c>
      <c r="O59" s="180">
        <v>0</v>
      </c>
      <c r="P59" s="131">
        <v>0</v>
      </c>
      <c r="Q59" s="131">
        <v>0</v>
      </c>
      <c r="R59" s="120">
        <f>Prod[[#This Row],[S2Shot]]*Prod[[#This Row],[S2Cavity]]-Prod[[#This Row],[S2Dft]]</f>
        <v>0</v>
      </c>
      <c r="S59" s="137">
        <f>SUM(Prod[[#This Row],[S2Mold]],Prod[[#This Row],[S2Print]],Prod[[#This Row],[S2Ovlp]],Prod[[#This Row],[S2Seam]],Prod[[#This Row],[S2Dmg]])</f>
        <v>0</v>
      </c>
      <c r="T59" s="179">
        <v>0</v>
      </c>
      <c r="U59" s="180">
        <v>0</v>
      </c>
      <c r="V59" s="131">
        <v>0</v>
      </c>
      <c r="W59" s="131">
        <v>0</v>
      </c>
      <c r="X59" s="120">
        <f>Prod[[#This Row],[S3Shot]]*Prod[[#This Row],[S3Cavity]]-Prod[[#This Row],[S3Dft]]</f>
        <v>0</v>
      </c>
      <c r="Y59" s="120">
        <f>SUM(Prod[[#This Row],[S3Mold]],Prod[[#This Row],[S3Print]],Prod[[#This Row],[S3Ovlp]],Prod[[#This Row],[S3Seam]],Prod[[#This Row],[S3Dmg]])</f>
        <v>0</v>
      </c>
      <c r="Z59" s="120">
        <f>SUM(Prod[[#This Row],[S1Qty]],Prod[[#This Row],[S2Qty]],Prod[[#This Row],[S3Qty]])</f>
        <v>0</v>
      </c>
      <c r="AA59" s="120">
        <f>SUM(Prod[[#This Row],[S1Dft]],Prod[[#This Row],[S2Dft]],Prod[[#This Row],[S3Dft]])</f>
        <v>0</v>
      </c>
      <c r="AB59" s="121">
        <f>IF(Prod[[#This Row],[Total]]=0,0,Prod[[#This Row],[TotalDft]]/Prod[[#This Row],[Total]])</f>
        <v>0</v>
      </c>
      <c r="AC59" s="132"/>
      <c r="AD59" s="120">
        <v>0</v>
      </c>
      <c r="AE59" s="120">
        <v>0</v>
      </c>
      <c r="AF59" s="120">
        <v>0</v>
      </c>
      <c r="AG59" s="120">
        <v>0</v>
      </c>
      <c r="AH59" s="120">
        <v>0</v>
      </c>
      <c r="AI59" s="120">
        <v>0</v>
      </c>
      <c r="AJ59" s="120">
        <v>0</v>
      </c>
      <c r="AK59" s="120">
        <v>0</v>
      </c>
      <c r="AL59" s="120">
        <v>0</v>
      </c>
      <c r="AM59" s="120">
        <v>0</v>
      </c>
      <c r="AN59" s="120">
        <v>0</v>
      </c>
      <c r="AO59" s="120">
        <v>0</v>
      </c>
      <c r="AP59" s="120">
        <v>0</v>
      </c>
      <c r="AQ59" s="120">
        <v>0</v>
      </c>
      <c r="AR59" s="120">
        <v>0</v>
      </c>
      <c r="AS59" s="133">
        <f>IF(Prod[[#This Row],[S1Hrs]]=0,0,Prod[[#This Row],[S1Shot]]*Prod[[#This Row],[S1Cycle]]/(Prod[[#This Row],[S1Hrs]]*60*60))</f>
        <v>0</v>
      </c>
      <c r="AT59" s="133">
        <f>IF(Prod[[#This Row],[S2Hrs]]=0,0,Prod[[#This Row],[S2Shot]]*Prod[[#This Row],[S2Cycle]]/(Prod[[#This Row],[S2Hrs]]*60*60))</f>
        <v>0</v>
      </c>
      <c r="AU59" s="133">
        <f>IF(Prod[[#This Row],[S3Hrs]]=0,0,Prod[[#This Row],[S3Shot]]*Prod[[#This Row],[S3Cycle]]/(Prod[[#This Row],[S3Hrs]]*60*60))</f>
        <v>0</v>
      </c>
      <c r="AV59" s="133">
        <f>IFERROR(AVERAGEIF(Prod[[#This Row],[S1%]:[S3%]], "&lt;&gt;0"),0)</f>
        <v>0</v>
      </c>
      <c r="AW59" s="133">
        <v>0</v>
      </c>
      <c r="AX59" s="133">
        <v>0</v>
      </c>
      <c r="AY59" s="133">
        <v>0</v>
      </c>
      <c r="AZ59" s="147">
        <f>IF(Prod[[#This Row],[S1Cycle]]&lt;&gt;0,1,0)</f>
        <v>0</v>
      </c>
      <c r="BA59" s="147">
        <f>IF(Prod[[#This Row],[S2Cycle]]&lt;&gt;0,1,0)</f>
        <v>0</v>
      </c>
      <c r="BB59" s="147">
        <f>IF(Prod[[#This Row],[S3Cycle]]&lt;&gt;0,1,0)</f>
        <v>0</v>
      </c>
      <c r="BC59" s="147">
        <f>MAX(Prod[[#This Row],[S1Cavity]],Prod[[#This Row],[S2Cavity]],Prod[[#This Row],[S3Cavity]])</f>
        <v>0</v>
      </c>
      <c r="BD59" s="147" t="b">
        <f>RegExpMatch(Prod[[#This Row],[MoldNo]], "^MEO-(B|C)")</f>
        <v>1</v>
      </c>
    </row>
    <row r="60" spans="1:56" x14ac:dyDescent="0.2">
      <c r="A60" s="117">
        <v>45422</v>
      </c>
      <c r="B60" s="131" t="s">
        <v>158</v>
      </c>
      <c r="C60" s="132" t="s">
        <v>191</v>
      </c>
      <c r="D60" s="119"/>
      <c r="E60" s="132"/>
      <c r="F60" s="119"/>
      <c r="G60" s="119" t="str">
        <f>IF(OR(Prod[[#This Row],[S1Hrs]]&gt;0,Prod[[#This Row],[S2Hrs]]&gt;0,Prod[[#This Row],[S3Hrs]]&gt;0),"Running","Down")</f>
        <v>Down</v>
      </c>
      <c r="H60" s="157">
        <v>0</v>
      </c>
      <c r="I60" s="156">
        <v>0</v>
      </c>
      <c r="J60" s="120">
        <v>0</v>
      </c>
      <c r="K60" s="131">
        <v>0</v>
      </c>
      <c r="L60" s="120">
        <f>Prod[[#This Row],[S1Shot]]*Prod[[#This Row],[S1Cavity]]-Prod[[#This Row],[S1Dft]]</f>
        <v>0</v>
      </c>
      <c r="M60" s="137">
        <f>SUM(Prod[[#This Row],[S1Mold]],Prod[[#This Row],[S1Print]],Prod[[#This Row],[S1Ovlp]],Prod[[#This Row],[S1Seam]],Prod[[#This Row],[S1Dmg]])</f>
        <v>0</v>
      </c>
      <c r="N60" s="157">
        <v>0</v>
      </c>
      <c r="O60" s="156">
        <v>0</v>
      </c>
      <c r="P60" s="120">
        <v>0</v>
      </c>
      <c r="Q60" s="131">
        <v>0</v>
      </c>
      <c r="R60" s="120">
        <f>Prod[[#This Row],[S2Shot]]*Prod[[#This Row],[S2Cavity]]-Prod[[#This Row],[S2Dft]]</f>
        <v>0</v>
      </c>
      <c r="S60" s="137">
        <f>SUM(Prod[[#This Row],[S2Mold]],Prod[[#This Row],[S2Print]],Prod[[#This Row],[S2Ovlp]],Prod[[#This Row],[S2Seam]],Prod[[#This Row],[S2Dmg]])</f>
        <v>0</v>
      </c>
      <c r="T60" s="157">
        <v>0</v>
      </c>
      <c r="U60" s="156">
        <v>0</v>
      </c>
      <c r="V60" s="120">
        <v>0</v>
      </c>
      <c r="W60" s="131">
        <v>0</v>
      </c>
      <c r="X60" s="120">
        <f>Prod[[#This Row],[S3Shot]]*Prod[[#This Row],[S3Cavity]]-Prod[[#This Row],[S3Dft]]</f>
        <v>0</v>
      </c>
      <c r="Y60" s="120">
        <f>SUM(Prod[[#This Row],[S3Mold]],Prod[[#This Row],[S3Print]],Prod[[#This Row],[S3Ovlp]],Prod[[#This Row],[S3Seam]],Prod[[#This Row],[S3Dmg]])</f>
        <v>0</v>
      </c>
      <c r="Z60" s="120">
        <f>SUM(Prod[[#This Row],[S1Qty]],Prod[[#This Row],[S2Qty]],Prod[[#This Row],[S3Qty]])</f>
        <v>0</v>
      </c>
      <c r="AA60" s="120">
        <f>SUM(Prod[[#This Row],[S1Dft]],Prod[[#This Row],[S2Dft]],Prod[[#This Row],[S3Dft]])</f>
        <v>0</v>
      </c>
      <c r="AB60" s="121">
        <f>IF(Prod[[#This Row],[Total]]=0,0,Prod[[#This Row],[TotalDft]]/Prod[[#This Row],[Total]])</f>
        <v>0</v>
      </c>
      <c r="AC60" s="118"/>
      <c r="AD60" s="120">
        <v>0</v>
      </c>
      <c r="AE60" s="120">
        <v>0</v>
      </c>
      <c r="AF60" s="120">
        <v>0</v>
      </c>
      <c r="AG60" s="120">
        <v>0</v>
      </c>
      <c r="AH60" s="120">
        <v>0</v>
      </c>
      <c r="AI60" s="120">
        <v>0</v>
      </c>
      <c r="AJ60" s="120">
        <v>0</v>
      </c>
      <c r="AK60" s="120">
        <v>0</v>
      </c>
      <c r="AL60" s="120">
        <v>0</v>
      </c>
      <c r="AM60" s="120">
        <v>0</v>
      </c>
      <c r="AN60" s="120">
        <v>0</v>
      </c>
      <c r="AO60" s="120">
        <v>0</v>
      </c>
      <c r="AP60" s="120">
        <v>0</v>
      </c>
      <c r="AQ60" s="120">
        <v>0</v>
      </c>
      <c r="AR60" s="120">
        <v>0</v>
      </c>
      <c r="AS60" s="133">
        <f>IF(Prod[[#This Row],[S1Hrs]]=0,0,Prod[[#This Row],[S1Shot]]*Prod[[#This Row],[S1Cycle]]/(Prod[[#This Row],[S1Hrs]]*60*60))</f>
        <v>0</v>
      </c>
      <c r="AT60" s="133">
        <f>IF(Prod[[#This Row],[S2Hrs]]=0,0,Prod[[#This Row],[S2Shot]]*Prod[[#This Row],[S2Cycle]]/(Prod[[#This Row],[S2Hrs]]*60*60))</f>
        <v>0</v>
      </c>
      <c r="AU60" s="133">
        <f>IF(Prod[[#This Row],[S3Hrs]]=0,0,Prod[[#This Row],[S3Shot]]*Prod[[#This Row],[S3Cycle]]/(Prod[[#This Row],[S3Hrs]]*60*60))</f>
        <v>0</v>
      </c>
      <c r="AV60" s="133">
        <f>IFERROR(AVERAGEIF(Prod[[#This Row],[S1%]:[S3%]], "&lt;&gt;0"),0)</f>
        <v>0</v>
      </c>
      <c r="AW60" s="133">
        <v>0</v>
      </c>
      <c r="AX60" s="133">
        <v>0</v>
      </c>
      <c r="AY60" s="133">
        <v>0</v>
      </c>
      <c r="AZ60" s="147">
        <f>IF(Prod[[#This Row],[S1Cycle]]&lt;&gt;0,1,0)</f>
        <v>0</v>
      </c>
      <c r="BA60" s="147">
        <f>IF(Prod[[#This Row],[S2Cycle]]&lt;&gt;0,1,0)</f>
        <v>0</v>
      </c>
      <c r="BB60" s="147">
        <f>IF(Prod[[#This Row],[S3Cycle]]&lt;&gt;0,1,0)</f>
        <v>0</v>
      </c>
      <c r="BC60" s="147">
        <f>MAX(Prod[[#This Row],[S1Cavity]],Prod[[#This Row],[S2Cavity]],Prod[[#This Row],[S3Cavity]])</f>
        <v>0</v>
      </c>
      <c r="BD60" s="147" t="b">
        <f>RegExpMatch(Prod[[#This Row],[MoldNo]], "^MEO-(B|C)")</f>
        <v>1</v>
      </c>
    </row>
    <row r="61" spans="1:56" x14ac:dyDescent="0.2">
      <c r="A61" s="117">
        <v>45422</v>
      </c>
      <c r="B61" s="131" t="s">
        <v>187</v>
      </c>
      <c r="C61" s="132" t="s">
        <v>178</v>
      </c>
      <c r="D61" s="119">
        <v>27570</v>
      </c>
      <c r="E61" s="132" t="s">
        <v>92</v>
      </c>
      <c r="F61" s="119">
        <v>2304</v>
      </c>
      <c r="G61" s="119" t="str">
        <f>IF(OR(Prod[[#This Row],[S1Hrs]]&gt;0,Prod[[#This Row],[S2Hrs]]&gt;0,Prod[[#This Row],[S3Hrs]]&gt;0),"Running","Down")</f>
        <v>Running</v>
      </c>
      <c r="H61" s="157">
        <v>14.92</v>
      </c>
      <c r="I61" s="156">
        <v>8</v>
      </c>
      <c r="J61" s="120">
        <v>1872</v>
      </c>
      <c r="K61" s="131">
        <v>16</v>
      </c>
      <c r="L61" s="120">
        <f>Prod[[#This Row],[S1Shot]]*Prod[[#This Row],[S1Cavity]]-Prod[[#This Row],[S1Dft]]</f>
        <v>29952</v>
      </c>
      <c r="M61" s="135"/>
      <c r="N61" s="157">
        <v>14.92</v>
      </c>
      <c r="O61" s="156">
        <v>8</v>
      </c>
      <c r="P61" s="120">
        <v>2056</v>
      </c>
      <c r="Q61" s="131">
        <v>16</v>
      </c>
      <c r="R61" s="120">
        <f>Prod[[#This Row],[S2Shot]]*Prod[[#This Row],[S2Cavity]]-Prod[[#This Row],[S2Dft]]</f>
        <v>32896</v>
      </c>
      <c r="S61" s="135"/>
      <c r="T61" s="157">
        <v>14.92</v>
      </c>
      <c r="U61" s="156">
        <v>8</v>
      </c>
      <c r="V61" s="120">
        <v>1862</v>
      </c>
      <c r="W61" s="131">
        <v>16</v>
      </c>
      <c r="X61" s="120">
        <f>Prod[[#This Row],[S3Shot]]*Prod[[#This Row],[S3Cavity]]-Prod[[#This Row],[S3Dft]]</f>
        <v>29792</v>
      </c>
      <c r="Y61" s="135"/>
      <c r="Z61" s="120">
        <f>SUM(Prod[[#This Row],[S1Qty]],Prod[[#This Row],[S2Qty]],Prod[[#This Row],[S3Qty]])</f>
        <v>92640</v>
      </c>
      <c r="AA61" s="135"/>
      <c r="AB61" s="136"/>
      <c r="AC61" s="118"/>
      <c r="AD61" s="135"/>
      <c r="AE61" s="135"/>
      <c r="AF61" s="135"/>
      <c r="AG61" s="135"/>
      <c r="AH61" s="135"/>
      <c r="AI61" s="135"/>
      <c r="AJ61" s="135"/>
      <c r="AK61" s="135"/>
      <c r="AL61" s="135"/>
      <c r="AM61" s="135"/>
      <c r="AN61" s="135"/>
      <c r="AO61" s="135"/>
      <c r="AP61" s="135"/>
      <c r="AQ61" s="135"/>
      <c r="AR61" s="135"/>
      <c r="AS61" s="133">
        <f>IF(Prod[[#This Row],[S1Hrs]]=0,0,Prod[[#This Row],[S1Shot]]*Prod[[#This Row],[S1Cycle]]/(Prod[[#This Row],[S1Hrs]]*60*60))</f>
        <v>0.96980000000000011</v>
      </c>
      <c r="AT61" s="133">
        <f>IF(Prod[[#This Row],[S2Hrs]]=0,0,Prod[[#This Row],[S2Shot]]*Prod[[#This Row],[S2Cycle]]/(Prod[[#This Row],[S2Hrs]]*60*60))</f>
        <v>1.0651222222222223</v>
      </c>
      <c r="AU61" s="133">
        <f>IF(Prod[[#This Row],[S3Hrs]]=0,0,Prod[[#This Row],[S3Shot]]*Prod[[#This Row],[S3Cycle]]/(Prod[[#This Row],[S3Hrs]]*60*60))</f>
        <v>0.96461944444444447</v>
      </c>
      <c r="AV61" s="133">
        <f>IFERROR(AVERAGEIF(Prod[[#This Row],[S1%]:[S3%]], "&lt;&gt;0"),0)</f>
        <v>0.99984722222222222</v>
      </c>
      <c r="AW61" s="133">
        <v>0</v>
      </c>
      <c r="AX61" s="133">
        <v>0</v>
      </c>
      <c r="AY61" s="133">
        <v>0</v>
      </c>
      <c r="AZ61" s="147">
        <f>IF(Prod[[#This Row],[S1Cycle]]&lt;&gt;0,1,0)</f>
        <v>1</v>
      </c>
      <c r="BA61" s="147">
        <f>IF(Prod[[#This Row],[S2Cycle]]&lt;&gt;0,1,0)</f>
        <v>1</v>
      </c>
      <c r="BB61" s="147">
        <f>IF(Prod[[#This Row],[S3Cycle]]&lt;&gt;0,1,0)</f>
        <v>1</v>
      </c>
      <c r="BC61" s="147">
        <f>MAX(Prod[[#This Row],[S1Cavity]],Prod[[#This Row],[S2Cavity]],Prod[[#This Row],[S3Cavity]])</f>
        <v>16</v>
      </c>
      <c r="BD61" s="147" t="b">
        <f>RegExpMatch(Prod[[#This Row],[MoldNo]], "^MEO-(B|C)")</f>
        <v>0</v>
      </c>
    </row>
    <row r="62" spans="1:56" x14ac:dyDescent="0.2">
      <c r="A62" s="117">
        <v>45422</v>
      </c>
      <c r="B62" s="131" t="s">
        <v>181</v>
      </c>
      <c r="C62" s="132" t="s">
        <v>182</v>
      </c>
      <c r="D62" s="119">
        <v>26680</v>
      </c>
      <c r="E62" s="132" t="s">
        <v>185</v>
      </c>
      <c r="F62" s="119">
        <v>6331</v>
      </c>
      <c r="G62" s="119" t="str">
        <f>IF(OR(Prod[[#This Row],[S1Hrs]]&gt;0,Prod[[#This Row],[S2Hrs]]&gt;0,Prod[[#This Row],[S3Hrs]]&gt;0),"Running","Down")</f>
        <v>Running</v>
      </c>
      <c r="H62" s="157">
        <v>34.299999999999997</v>
      </c>
      <c r="I62" s="156">
        <v>8</v>
      </c>
      <c r="J62" s="120">
        <v>856</v>
      </c>
      <c r="K62" s="131">
        <v>16</v>
      </c>
      <c r="L62" s="120">
        <f>Prod[[#This Row],[S1Shot]]*Prod[[#This Row],[S1Cavity]]-Prod[[#This Row],[S1Dft]]</f>
        <v>13686</v>
      </c>
      <c r="M62" s="137">
        <f>SUM(Prod[[#This Row],[S1Mold]],Prod[[#This Row],[S1Print]],Prod[[#This Row],[S1Ovlp]],Prod[[#This Row],[S1Seam]],Prod[[#This Row],[S1Dmg]])</f>
        <v>10</v>
      </c>
      <c r="N62" s="157">
        <v>34.299999999999997</v>
      </c>
      <c r="O62" s="156">
        <v>8</v>
      </c>
      <c r="P62" s="120">
        <v>880</v>
      </c>
      <c r="Q62" s="131">
        <v>16</v>
      </c>
      <c r="R62" s="120">
        <f>Prod[[#This Row],[S2Shot]]*Prod[[#This Row],[S2Cavity]]-Prod[[#This Row],[S2Dft]]</f>
        <v>14073</v>
      </c>
      <c r="S62" s="137">
        <f>SUM(Prod[[#This Row],[S2Mold]],Prod[[#This Row],[S2Print]],Prod[[#This Row],[S2Ovlp]],Prod[[#This Row],[S2Seam]],Prod[[#This Row],[S2Dmg]])</f>
        <v>7</v>
      </c>
      <c r="T62" s="157">
        <v>34.4</v>
      </c>
      <c r="U62" s="156">
        <v>8</v>
      </c>
      <c r="V62" s="120">
        <v>766</v>
      </c>
      <c r="W62" s="131">
        <v>16</v>
      </c>
      <c r="X62" s="120">
        <f>Prod[[#This Row],[S3Shot]]*Prod[[#This Row],[S3Cavity]]-Prod[[#This Row],[S3Dft]]</f>
        <v>12251</v>
      </c>
      <c r="Y62" s="120">
        <f>SUM(Prod[[#This Row],[S3Mold]],Prod[[#This Row],[S3Print]],Prod[[#This Row],[S3Ovlp]],Prod[[#This Row],[S3Seam]],Prod[[#This Row],[S3Dmg]])</f>
        <v>5</v>
      </c>
      <c r="Z62" s="120">
        <f>SUM(Prod[[#This Row],[S1Qty]],Prod[[#This Row],[S2Qty]],Prod[[#This Row],[S3Qty]])</f>
        <v>40010</v>
      </c>
      <c r="AA62" s="120">
        <f>SUM(Prod[[#This Row],[S1Dft]],Prod[[#This Row],[S2Dft]],Prod[[#This Row],[S3Dft]])</f>
        <v>22</v>
      </c>
      <c r="AB62" s="121">
        <f>IF(Prod[[#This Row],[Total]]=0,0,Prod[[#This Row],[TotalDft]]/Prod[[#This Row],[Total]])</f>
        <v>5.4986253436640836E-4</v>
      </c>
      <c r="AC62" s="118"/>
      <c r="AD62" s="120">
        <v>10</v>
      </c>
      <c r="AE62" s="120">
        <v>7</v>
      </c>
      <c r="AF62" s="120">
        <v>5</v>
      </c>
      <c r="AG62" s="120">
        <v>0</v>
      </c>
      <c r="AH62" s="120">
        <v>0</v>
      </c>
      <c r="AI62" s="120">
        <v>0</v>
      </c>
      <c r="AJ62" s="120">
        <v>0</v>
      </c>
      <c r="AK62" s="120">
        <v>0</v>
      </c>
      <c r="AL62" s="120">
        <v>0</v>
      </c>
      <c r="AM62" s="120">
        <v>0</v>
      </c>
      <c r="AN62" s="120">
        <v>0</v>
      </c>
      <c r="AO62" s="120">
        <v>0</v>
      </c>
      <c r="AP62" s="120">
        <v>0</v>
      </c>
      <c r="AQ62" s="120">
        <v>0</v>
      </c>
      <c r="AR62" s="120">
        <v>0</v>
      </c>
      <c r="AS62" s="133">
        <f>IF(Prod[[#This Row],[S1Hrs]]=0,0,Prod[[#This Row],[S1Shot]]*Prod[[#This Row],[S1Cycle]]/(Prod[[#This Row],[S1Hrs]]*60*60))</f>
        <v>1.0194722222222221</v>
      </c>
      <c r="AT62" s="133">
        <f>IF(Prod[[#This Row],[S2Hrs]]=0,0,Prod[[#This Row],[S2Shot]]*Prod[[#This Row],[S2Cycle]]/(Prod[[#This Row],[S2Hrs]]*60*60))</f>
        <v>1.0480555555555555</v>
      </c>
      <c r="AU62" s="133">
        <f>IF(Prod[[#This Row],[S3Hrs]]=0,0,Prod[[#This Row],[S3Shot]]*Prod[[#This Row],[S3Cycle]]/(Prod[[#This Row],[S3Hrs]]*60*60))</f>
        <v>0.91494444444444434</v>
      </c>
      <c r="AV62" s="133">
        <f>IFERROR(AVERAGEIF(Prod[[#This Row],[S1%]:[S3%]], "&lt;&gt;0"),0)</f>
        <v>0.99415740740740721</v>
      </c>
      <c r="AW62" s="133">
        <v>0</v>
      </c>
      <c r="AX62" s="133">
        <v>0</v>
      </c>
      <c r="AY62" s="133">
        <v>0</v>
      </c>
      <c r="AZ62" s="147">
        <f>IF(Prod[[#This Row],[S1Cycle]]&lt;&gt;0,1,0)</f>
        <v>1</v>
      </c>
      <c r="BA62" s="147">
        <f>IF(Prod[[#This Row],[S2Cycle]]&lt;&gt;0,1,0)</f>
        <v>1</v>
      </c>
      <c r="BB62" s="147">
        <f>IF(Prod[[#This Row],[S3Cycle]]&lt;&gt;0,1,0)</f>
        <v>1</v>
      </c>
      <c r="BC62" s="147">
        <f>MAX(Prod[[#This Row],[S1Cavity]],Prod[[#This Row],[S2Cavity]],Prod[[#This Row],[S3Cavity]])</f>
        <v>16</v>
      </c>
      <c r="BD62" s="147" t="b">
        <f>RegExpMatch(Prod[[#This Row],[MoldNo]], "^MEO-(B|C)")</f>
        <v>1</v>
      </c>
    </row>
    <row r="63" spans="1:56" x14ac:dyDescent="0.2">
      <c r="A63" s="117">
        <v>45422</v>
      </c>
      <c r="B63" s="131" t="s">
        <v>179</v>
      </c>
      <c r="C63" s="132" t="s">
        <v>180</v>
      </c>
      <c r="D63" s="119">
        <v>26680</v>
      </c>
      <c r="E63" s="132" t="s">
        <v>185</v>
      </c>
      <c r="F63" s="119">
        <v>6331</v>
      </c>
      <c r="G63" s="119" t="str">
        <f>IF(OR(Prod[[#This Row],[S1Hrs]]&gt;0,Prod[[#This Row],[S2Hrs]]&gt;0,Prod[[#This Row],[S3Hrs]]&gt;0),"Running","Down")</f>
        <v>Running</v>
      </c>
      <c r="H63" s="157">
        <v>18.36</v>
      </c>
      <c r="I63" s="156">
        <v>8</v>
      </c>
      <c r="J63" s="120">
        <v>1504</v>
      </c>
      <c r="K63" s="131">
        <v>15</v>
      </c>
      <c r="L63" s="120">
        <f>Prod[[#This Row],[S1Shot]]*Prod[[#This Row],[S1Cavity]]-Prod[[#This Row],[S1Dft]]</f>
        <v>22560</v>
      </c>
      <c r="M63" s="135"/>
      <c r="N63" s="157">
        <v>18.37</v>
      </c>
      <c r="O63" s="156">
        <v>8</v>
      </c>
      <c r="P63" s="120">
        <v>1317</v>
      </c>
      <c r="Q63" s="131">
        <v>15</v>
      </c>
      <c r="R63" s="120">
        <f>Prod[[#This Row],[S2Shot]]*Prod[[#This Row],[S2Cavity]]-Prod[[#This Row],[S2Dft]]</f>
        <v>19755</v>
      </c>
      <c r="S63" s="135"/>
      <c r="T63" s="157">
        <v>18.36</v>
      </c>
      <c r="U63" s="156">
        <v>8</v>
      </c>
      <c r="V63" s="120">
        <v>1240</v>
      </c>
      <c r="W63" s="131">
        <v>15</v>
      </c>
      <c r="X63" s="120">
        <f>Prod[[#This Row],[S3Shot]]*Prod[[#This Row],[S3Cavity]]-Prod[[#This Row],[S3Dft]]</f>
        <v>18600</v>
      </c>
      <c r="Y63" s="120">
        <f>SUM(Prod[[#This Row],[S3Mold]],Prod[[#This Row],[S3Print]],Prod[[#This Row],[S3Ovlp]],Prod[[#This Row],[S3Seam]],Prod[[#This Row],[S3Dmg]])</f>
        <v>0</v>
      </c>
      <c r="Z63" s="120">
        <f>SUM(Prod[[#This Row],[S1Qty]],Prod[[#This Row],[S2Qty]],Prod[[#This Row],[S3Qty]])</f>
        <v>60915</v>
      </c>
      <c r="AA63" s="120">
        <f>SUM(Prod[[#This Row],[S1Dft]],Prod[[#This Row],[S2Dft]],Prod[[#This Row],[S3Dft]])</f>
        <v>0</v>
      </c>
      <c r="AB63" s="121">
        <f>IF(Prod[[#This Row],[Total]]=0,0,Prod[[#This Row],[TotalDft]]/Prod[[#This Row],[Total]])</f>
        <v>0</v>
      </c>
      <c r="AC63" s="132"/>
      <c r="AD63" s="135"/>
      <c r="AE63" s="135"/>
      <c r="AF63" s="135"/>
      <c r="AG63" s="135"/>
      <c r="AH63" s="135"/>
      <c r="AI63" s="135"/>
      <c r="AJ63" s="135"/>
      <c r="AK63" s="135"/>
      <c r="AL63" s="135"/>
      <c r="AM63" s="135"/>
      <c r="AN63" s="135"/>
      <c r="AO63" s="135"/>
      <c r="AP63" s="135"/>
      <c r="AQ63" s="135"/>
      <c r="AR63" s="135"/>
      <c r="AS63" s="133">
        <f>IF(Prod[[#This Row],[S1Hrs]]=0,0,Prod[[#This Row],[S1Shot]]*Prod[[#This Row],[S1Cycle]]/(Prod[[#This Row],[S1Hrs]]*60*60))</f>
        <v>0.95879999999999999</v>
      </c>
      <c r="AT63" s="133">
        <f>IF(Prod[[#This Row],[S2Hrs]]=0,0,Prod[[#This Row],[S2Shot]]*Prod[[#This Row],[S2Cycle]]/(Prod[[#This Row],[S2Hrs]]*60*60))</f>
        <v>0.84004479166666668</v>
      </c>
      <c r="AU63" s="133">
        <f>IF(Prod[[#This Row],[S3Hrs]]=0,0,Prod[[#This Row],[S3Shot]]*Prod[[#This Row],[S3Cycle]]/(Prod[[#This Row],[S3Hrs]]*60*60))</f>
        <v>0.79049999999999987</v>
      </c>
      <c r="AV63" s="133">
        <f>IFERROR(AVERAGEIF(Prod[[#This Row],[S1%]:[S3%]], "&lt;&gt;0"),0)</f>
        <v>0.86311493055555555</v>
      </c>
      <c r="AW63" s="133">
        <v>0</v>
      </c>
      <c r="AX63" s="133">
        <v>0</v>
      </c>
      <c r="AY63" s="133">
        <v>0</v>
      </c>
      <c r="AZ63" s="147">
        <f>IF(Prod[[#This Row],[S1Cycle]]&lt;&gt;0,1,0)</f>
        <v>1</v>
      </c>
      <c r="BA63" s="147">
        <f>IF(Prod[[#This Row],[S2Cycle]]&lt;&gt;0,1,0)</f>
        <v>1</v>
      </c>
      <c r="BB63" s="147">
        <f>IF(Prod[[#This Row],[S3Cycle]]&lt;&gt;0,1,0)</f>
        <v>1</v>
      </c>
      <c r="BC63" s="147">
        <f>MAX(Prod[[#This Row],[S1Cavity]],Prod[[#This Row],[S2Cavity]],Prod[[#This Row],[S3Cavity]])</f>
        <v>15</v>
      </c>
      <c r="BD63" s="147" t="b">
        <f>RegExpMatch(Prod[[#This Row],[MoldNo]], "^MEO-(B|C)")</f>
        <v>0</v>
      </c>
    </row>
    <row r="64" spans="1:56" x14ac:dyDescent="0.2">
      <c r="A64" s="117">
        <v>45422</v>
      </c>
      <c r="B64" s="131" t="s">
        <v>183</v>
      </c>
      <c r="C64" s="132" t="s">
        <v>184</v>
      </c>
      <c r="D64" s="119"/>
      <c r="E64" s="132"/>
      <c r="F64" s="119"/>
      <c r="G64" s="119" t="str">
        <f>IF(OR(Prod[[#This Row],[S1Hrs]]&gt;0,Prod[[#This Row],[S2Hrs]]&gt;0,Prod[[#This Row],[S3Hrs]]&gt;0),"Running","Down")</f>
        <v>Down</v>
      </c>
      <c r="H64" s="157">
        <v>0</v>
      </c>
      <c r="I64" s="156">
        <v>0</v>
      </c>
      <c r="J64" s="120">
        <v>0</v>
      </c>
      <c r="K64" s="131">
        <v>0</v>
      </c>
      <c r="L64" s="120">
        <f>Prod[[#This Row],[S1Shot]]*Prod[[#This Row],[S1Cavity]]-Prod[[#This Row],[S1Dft]]</f>
        <v>0</v>
      </c>
      <c r="M64" s="137">
        <f>SUM(Prod[[#This Row],[S1Mold]],Prod[[#This Row],[S1Print]],Prod[[#This Row],[S1Ovlp]],Prod[[#This Row],[S1Seam]],Prod[[#This Row],[S1Dmg]])</f>
        <v>0</v>
      </c>
      <c r="N64" s="157">
        <v>0</v>
      </c>
      <c r="O64" s="156">
        <v>0</v>
      </c>
      <c r="P64" s="120">
        <v>0</v>
      </c>
      <c r="Q64" s="131">
        <v>0</v>
      </c>
      <c r="R64" s="120">
        <f>Prod[[#This Row],[S2Shot]]*Prod[[#This Row],[S2Cavity]]-Prod[[#This Row],[S2Dft]]</f>
        <v>0</v>
      </c>
      <c r="S64" s="137">
        <f>SUM(Prod[[#This Row],[S2Mold]],Prod[[#This Row],[S2Print]],Prod[[#This Row],[S2Ovlp]],Prod[[#This Row],[S2Seam]],Prod[[#This Row],[S2Dmg]])</f>
        <v>0</v>
      </c>
      <c r="T64" s="157">
        <v>0</v>
      </c>
      <c r="U64" s="156">
        <v>0</v>
      </c>
      <c r="V64" s="120">
        <v>0</v>
      </c>
      <c r="W64" s="131">
        <v>0</v>
      </c>
      <c r="X64" s="120">
        <f>Prod[[#This Row],[S3Shot]]*Prod[[#This Row],[S3Cavity]]-Prod[[#This Row],[S3Dft]]</f>
        <v>0</v>
      </c>
      <c r="Y64" s="120">
        <f>SUM(Prod[[#This Row],[S3Mold]],Prod[[#This Row],[S3Print]],Prod[[#This Row],[S3Ovlp]],Prod[[#This Row],[S3Seam]],Prod[[#This Row],[S3Dmg]])</f>
        <v>0</v>
      </c>
      <c r="Z64" s="120">
        <f>SUM(Prod[[#This Row],[S1Qty]],Prod[[#This Row],[S2Qty]],Prod[[#This Row],[S3Qty]])</f>
        <v>0</v>
      </c>
      <c r="AA64" s="120">
        <f>SUM(Prod[[#This Row],[S1Dft]],Prod[[#This Row],[S2Dft]],Prod[[#This Row],[S3Dft]])</f>
        <v>0</v>
      </c>
      <c r="AB64" s="121">
        <f>IF(Prod[[#This Row],[Total]]=0,0,Prod[[#This Row],[TotalDft]]/Prod[[#This Row],[Total]])</f>
        <v>0</v>
      </c>
      <c r="AC64" s="118"/>
      <c r="AD64" s="120">
        <v>0</v>
      </c>
      <c r="AE64" s="120">
        <v>0</v>
      </c>
      <c r="AF64" s="120">
        <v>0</v>
      </c>
      <c r="AG64" s="120">
        <v>0</v>
      </c>
      <c r="AH64" s="120">
        <v>0</v>
      </c>
      <c r="AI64" s="120">
        <v>0</v>
      </c>
      <c r="AJ64" s="120">
        <v>0</v>
      </c>
      <c r="AK64" s="120">
        <v>0</v>
      </c>
      <c r="AL64" s="120">
        <v>0</v>
      </c>
      <c r="AM64" s="120">
        <v>0</v>
      </c>
      <c r="AN64" s="120">
        <v>0</v>
      </c>
      <c r="AO64" s="120">
        <v>0</v>
      </c>
      <c r="AP64" s="120">
        <v>0</v>
      </c>
      <c r="AQ64" s="120">
        <v>0</v>
      </c>
      <c r="AR64" s="120">
        <v>0</v>
      </c>
      <c r="AS64" s="133">
        <f>IF(Prod[[#This Row],[S1Hrs]]=0,0,Prod[[#This Row],[S1Shot]]*Prod[[#This Row],[S1Cycle]]/(Prod[[#This Row],[S1Hrs]]*60*60))</f>
        <v>0</v>
      </c>
      <c r="AT64" s="133">
        <f>IF(Prod[[#This Row],[S2Hrs]]=0,0,Prod[[#This Row],[S2Shot]]*Prod[[#This Row],[S2Cycle]]/(Prod[[#This Row],[S2Hrs]]*60*60))</f>
        <v>0</v>
      </c>
      <c r="AU64" s="133">
        <f>IF(Prod[[#This Row],[S3Hrs]]=0,0,Prod[[#This Row],[S3Shot]]*Prod[[#This Row],[S3Cycle]]/(Prod[[#This Row],[S3Hrs]]*60*60))</f>
        <v>0</v>
      </c>
      <c r="AV64" s="133">
        <f>IFERROR(AVERAGEIF(Prod[[#This Row],[S1%]:[S3%]], "&lt;&gt;0"),0)</f>
        <v>0</v>
      </c>
      <c r="AW64" s="133">
        <v>0</v>
      </c>
      <c r="AX64" s="133">
        <v>0</v>
      </c>
      <c r="AY64" s="133">
        <v>0</v>
      </c>
      <c r="AZ64" s="147">
        <f>IF(Prod[[#This Row],[S1Cycle]]&lt;&gt;0,1,0)</f>
        <v>0</v>
      </c>
      <c r="BA64" s="147">
        <f>IF(Prod[[#This Row],[S2Cycle]]&lt;&gt;0,1,0)</f>
        <v>0</v>
      </c>
      <c r="BB64" s="147">
        <f>IF(Prod[[#This Row],[S3Cycle]]&lt;&gt;0,1,0)</f>
        <v>0</v>
      </c>
      <c r="BC64" s="147">
        <f>MAX(Prod[[#This Row],[S1Cavity]],Prod[[#This Row],[S2Cavity]],Prod[[#This Row],[S3Cavity]])</f>
        <v>0</v>
      </c>
      <c r="BD64" s="147" t="b">
        <f>RegExpMatch(Prod[[#This Row],[MoldNo]], "^MEO-(B|C)")</f>
        <v>1</v>
      </c>
    </row>
    <row r="65" spans="1:56" x14ac:dyDescent="0.2">
      <c r="A65" s="117">
        <v>45422</v>
      </c>
      <c r="B65" s="131" t="s">
        <v>177</v>
      </c>
      <c r="C65" s="132" t="s">
        <v>157</v>
      </c>
      <c r="D65" s="119"/>
      <c r="E65" s="132"/>
      <c r="F65" s="119"/>
      <c r="G65" s="119" t="str">
        <f>IF(OR(Prod[[#This Row],[S1Hrs]]&gt;0,Prod[[#This Row],[S2Hrs]]&gt;0,Prod[[#This Row],[S3Hrs]]&gt;0),"Running","Down")</f>
        <v>Down</v>
      </c>
      <c r="H65" s="157">
        <v>0</v>
      </c>
      <c r="I65" s="156">
        <v>0</v>
      </c>
      <c r="J65" s="120">
        <v>0</v>
      </c>
      <c r="K65" s="131">
        <v>0</v>
      </c>
      <c r="L65" s="120">
        <f>Prod[[#This Row],[S1Shot]]*Prod[[#This Row],[S1Cavity]]-Prod[[#This Row],[S1Dft]]</f>
        <v>0</v>
      </c>
      <c r="M65" s="137">
        <f>SUM(Prod[[#This Row],[S1Mold]],Prod[[#This Row],[S1Print]],Prod[[#This Row],[S1Ovlp]],Prod[[#This Row],[S1Seam]],Prod[[#This Row],[S1Dmg]])</f>
        <v>0</v>
      </c>
      <c r="N65" s="157">
        <v>0</v>
      </c>
      <c r="O65" s="156">
        <v>0</v>
      </c>
      <c r="P65" s="120">
        <v>0</v>
      </c>
      <c r="Q65" s="131">
        <v>0</v>
      </c>
      <c r="R65" s="120">
        <f>Prod[[#This Row],[S2Shot]]*Prod[[#This Row],[S2Cavity]]-Prod[[#This Row],[S2Dft]]</f>
        <v>0</v>
      </c>
      <c r="S65" s="137">
        <f>SUM(Prod[[#This Row],[S2Mold]],Prod[[#This Row],[S2Print]],Prod[[#This Row],[S2Ovlp]],Prod[[#This Row],[S2Seam]],Prod[[#This Row],[S2Dmg]])</f>
        <v>0</v>
      </c>
      <c r="T65" s="157">
        <v>0</v>
      </c>
      <c r="U65" s="156">
        <v>0</v>
      </c>
      <c r="V65" s="120">
        <v>0</v>
      </c>
      <c r="W65" s="131">
        <v>0</v>
      </c>
      <c r="X65" s="120">
        <f>Prod[[#This Row],[S3Shot]]*Prod[[#This Row],[S3Cavity]]-Prod[[#This Row],[S3Dft]]</f>
        <v>0</v>
      </c>
      <c r="Y65" s="120">
        <f>SUM(Prod[[#This Row],[S3Mold]],Prod[[#This Row],[S3Print]],Prod[[#This Row],[S3Ovlp]],Prod[[#This Row],[S3Seam]],Prod[[#This Row],[S3Dmg]])</f>
        <v>0</v>
      </c>
      <c r="Z65" s="120">
        <f>SUM(Prod[[#This Row],[S1Qty]],Prod[[#This Row],[S2Qty]],Prod[[#This Row],[S3Qty]])</f>
        <v>0</v>
      </c>
      <c r="AA65" s="120">
        <f>SUM(Prod[[#This Row],[S1Dft]],Prod[[#This Row],[S2Dft]],Prod[[#This Row],[S3Dft]])</f>
        <v>0</v>
      </c>
      <c r="AB65" s="121">
        <f>IF(Prod[[#This Row],[Total]]=0,0,Prod[[#This Row],[TotalDft]]/Prod[[#This Row],[Total]])</f>
        <v>0</v>
      </c>
      <c r="AC65" s="132"/>
      <c r="AD65" s="120">
        <v>0</v>
      </c>
      <c r="AE65" s="120">
        <v>0</v>
      </c>
      <c r="AF65" s="120">
        <v>0</v>
      </c>
      <c r="AG65" s="120">
        <v>0</v>
      </c>
      <c r="AH65" s="120">
        <v>0</v>
      </c>
      <c r="AI65" s="120">
        <v>0</v>
      </c>
      <c r="AJ65" s="120">
        <v>0</v>
      </c>
      <c r="AK65" s="120">
        <v>0</v>
      </c>
      <c r="AL65" s="120">
        <v>0</v>
      </c>
      <c r="AM65" s="120">
        <v>0</v>
      </c>
      <c r="AN65" s="120">
        <v>0</v>
      </c>
      <c r="AO65" s="120">
        <v>0</v>
      </c>
      <c r="AP65" s="120">
        <v>0</v>
      </c>
      <c r="AQ65" s="120">
        <v>0</v>
      </c>
      <c r="AR65" s="120">
        <v>0</v>
      </c>
      <c r="AS65" s="133">
        <f>IF(Prod[[#This Row],[S1Hrs]]=0,0,Prod[[#This Row],[S1Shot]]*Prod[[#This Row],[S1Cycle]]/(Prod[[#This Row],[S1Hrs]]*60*60))</f>
        <v>0</v>
      </c>
      <c r="AT65" s="133">
        <f>IF(Prod[[#This Row],[S2Hrs]]=0,0,Prod[[#This Row],[S2Shot]]*Prod[[#This Row],[S2Cycle]]/(Prod[[#This Row],[S2Hrs]]*60*60))</f>
        <v>0</v>
      </c>
      <c r="AU65" s="133">
        <f>IF(Prod[[#This Row],[S3Hrs]]=0,0,Prod[[#This Row],[S3Shot]]*Prod[[#This Row],[S3Cycle]]/(Prod[[#This Row],[S3Hrs]]*60*60))</f>
        <v>0</v>
      </c>
      <c r="AV65" s="133">
        <f>IFERROR(AVERAGEIF(Prod[[#This Row],[S1%]:[S3%]], "&lt;&gt;0"),0)</f>
        <v>0</v>
      </c>
      <c r="AW65" s="133">
        <v>0</v>
      </c>
      <c r="AX65" s="133">
        <v>0</v>
      </c>
      <c r="AY65" s="133">
        <v>0</v>
      </c>
      <c r="AZ65" s="147">
        <f>IF(Prod[[#This Row],[S1Cycle]]&lt;&gt;0,1,0)</f>
        <v>0</v>
      </c>
      <c r="BA65" s="147">
        <f>IF(Prod[[#This Row],[S2Cycle]]&lt;&gt;0,1,0)</f>
        <v>0</v>
      </c>
      <c r="BB65" s="147">
        <f>IF(Prod[[#This Row],[S3Cycle]]&lt;&gt;0,1,0)</f>
        <v>0</v>
      </c>
      <c r="BC65" s="147">
        <f>MAX(Prod[[#This Row],[S1Cavity]],Prod[[#This Row],[S2Cavity]],Prod[[#This Row],[S3Cavity]])</f>
        <v>0</v>
      </c>
      <c r="BD65" s="147" t="b">
        <f>RegExpMatch(Prod[[#This Row],[MoldNo]], "^MEO-(B|C)")</f>
        <v>1</v>
      </c>
    </row>
    <row r="66" spans="1:56" hidden="1" x14ac:dyDescent="0.2">
      <c r="A66" s="117">
        <v>45423</v>
      </c>
      <c r="B66" s="131" t="s">
        <v>158</v>
      </c>
      <c r="C66" s="132" t="s">
        <v>191</v>
      </c>
      <c r="D66" s="119"/>
      <c r="E66" s="132"/>
      <c r="F66" s="119"/>
      <c r="G66" s="267" t="str">
        <f>IF(OR(Prod[[#This Row],[S1Hrs]]&gt;0,Prod[[#This Row],[S2Hrs]]&gt;0,Prod[[#This Row],[S3Hrs]]&gt;0),"Running","Down")</f>
        <v>Down</v>
      </c>
      <c r="H66" s="268">
        <v>0</v>
      </c>
      <c r="I66" s="156">
        <v>0</v>
      </c>
      <c r="J66" s="120">
        <v>0</v>
      </c>
      <c r="K66" s="131">
        <v>0</v>
      </c>
      <c r="L66" s="120">
        <f>Prod[[#This Row],[S1Shot]]*Prod[[#This Row],[S1Cavity]]-Prod[[#This Row],[S1Dft]]</f>
        <v>0</v>
      </c>
      <c r="M66" s="137">
        <f>SUM(Prod[[#This Row],[S1Mold]],Prod[[#This Row],[S1Print]],Prod[[#This Row],[S1Ovlp]],Prod[[#This Row],[S1Seam]],Prod[[#This Row],[S1Dmg]])</f>
        <v>0</v>
      </c>
      <c r="N66" s="268">
        <v>0</v>
      </c>
      <c r="O66" s="156">
        <v>0</v>
      </c>
      <c r="P66" s="120">
        <v>0</v>
      </c>
      <c r="Q66" s="131">
        <v>0</v>
      </c>
      <c r="R66" s="120">
        <f>Prod[[#This Row],[S2Shot]]*Prod[[#This Row],[S2Cavity]]-Prod[[#This Row],[S2Dft]]</f>
        <v>0</v>
      </c>
      <c r="S66" s="137">
        <f>SUM(Prod[[#This Row],[S2Mold]],Prod[[#This Row],[S2Print]],Prod[[#This Row],[S2Ovlp]],Prod[[#This Row],[S2Seam]],Prod[[#This Row],[S2Dmg]])</f>
        <v>0</v>
      </c>
      <c r="T66" s="268">
        <v>0</v>
      </c>
      <c r="U66" s="156">
        <v>0</v>
      </c>
      <c r="V66" s="120">
        <v>0</v>
      </c>
      <c r="W66" s="131">
        <v>0</v>
      </c>
      <c r="X66" s="120">
        <f>Prod[[#This Row],[S3Shot]]*Prod[[#This Row],[S3Cavity]]-Prod[[#This Row],[S3Dft]]</f>
        <v>0</v>
      </c>
      <c r="Y66" s="120">
        <f>SUM(Prod[[#This Row],[S3Mold]],Prod[[#This Row],[S3Print]],Prod[[#This Row],[S3Ovlp]],Prod[[#This Row],[S3Seam]],Prod[[#This Row],[S3Dmg]])</f>
        <v>0</v>
      </c>
      <c r="Z66" s="120">
        <f>SUM(Prod[[#This Row],[S1Qty]],Prod[[#This Row],[S2Qty]],Prod[[#This Row],[S3Qty]])</f>
        <v>0</v>
      </c>
      <c r="AA66" s="120">
        <f>SUM(Prod[[#This Row],[S1Dft]],Prod[[#This Row],[S2Dft]],Prod[[#This Row],[S3Dft]])</f>
        <v>0</v>
      </c>
      <c r="AB66" s="121">
        <f>IF(Prod[[#This Row],[Total]]=0,0,Prod[[#This Row],[TotalDft]]/Prod[[#This Row],[Total]])</f>
        <v>0</v>
      </c>
      <c r="AC66" s="118"/>
      <c r="AD66" s="120">
        <v>0</v>
      </c>
      <c r="AE66" s="120">
        <v>0</v>
      </c>
      <c r="AF66" s="120">
        <v>0</v>
      </c>
      <c r="AG66" s="120">
        <v>0</v>
      </c>
      <c r="AH66" s="120">
        <v>0</v>
      </c>
      <c r="AI66" s="120">
        <v>0</v>
      </c>
      <c r="AJ66" s="120">
        <v>0</v>
      </c>
      <c r="AK66" s="120">
        <v>0</v>
      </c>
      <c r="AL66" s="120">
        <v>0</v>
      </c>
      <c r="AM66" s="120">
        <v>0</v>
      </c>
      <c r="AN66" s="120">
        <v>0</v>
      </c>
      <c r="AO66" s="120">
        <v>0</v>
      </c>
      <c r="AP66" s="120">
        <v>0</v>
      </c>
      <c r="AQ66" s="120">
        <v>0</v>
      </c>
      <c r="AR66" s="120">
        <v>0</v>
      </c>
      <c r="AS66" s="133">
        <f>IF(Prod[[#This Row],[S1Hrs]]=0,0,Prod[[#This Row],[S1Shot]]*Prod[[#This Row],[S1Cycle]]/(Prod[[#This Row],[S1Hrs]]*60*60))</f>
        <v>0</v>
      </c>
      <c r="AT66" s="133">
        <f>IF(Prod[[#This Row],[S2Hrs]]=0,0,Prod[[#This Row],[S2Shot]]*Prod[[#This Row],[S2Cycle]]/(Prod[[#This Row],[S2Hrs]]*60*60))</f>
        <v>0</v>
      </c>
      <c r="AU66" s="133">
        <f>IF(Prod[[#This Row],[S3Hrs]]=0,0,Prod[[#This Row],[S3Shot]]*Prod[[#This Row],[S3Cycle]]/(Prod[[#This Row],[S3Hrs]]*60*60))</f>
        <v>0</v>
      </c>
      <c r="AV66" s="133">
        <f>IFERROR(AVERAGEIF(Prod[[#This Row],[S1%]:[S3%]], "&lt;&gt;0"),0)</f>
        <v>0</v>
      </c>
      <c r="AW66" s="133">
        <v>0</v>
      </c>
      <c r="AX66" s="133">
        <v>0</v>
      </c>
      <c r="AY66" s="133">
        <v>0</v>
      </c>
      <c r="AZ66" s="147">
        <f>IF(Prod[[#This Row],[S1Cycle]]&lt;&gt;0,1,0)</f>
        <v>0</v>
      </c>
      <c r="BA66" s="147">
        <f>IF(Prod[[#This Row],[S2Cycle]]&lt;&gt;0,1,0)</f>
        <v>0</v>
      </c>
      <c r="BB66" s="147">
        <f>IF(Prod[[#This Row],[S3Cycle]]&lt;&gt;0,1,0)</f>
        <v>0</v>
      </c>
      <c r="BC66" s="147">
        <f>MAX(Prod[[#This Row],[S1Cavity]],Prod[[#This Row],[S2Cavity]],Prod[[#This Row],[S3Cavity]])</f>
        <v>0</v>
      </c>
      <c r="BD66" s="147" t="b">
        <f>RegExpMatch(Prod[[#This Row],[MoldNo]], "^MEO-(B|C)")</f>
        <v>1</v>
      </c>
    </row>
    <row r="67" spans="1:56" hidden="1" x14ac:dyDescent="0.2">
      <c r="A67" s="117">
        <v>45423</v>
      </c>
      <c r="B67" s="131" t="s">
        <v>187</v>
      </c>
      <c r="C67" s="132" t="s">
        <v>178</v>
      </c>
      <c r="D67" s="119"/>
      <c r="E67" s="132"/>
      <c r="F67" s="119"/>
      <c r="G67" s="267" t="str">
        <f>IF(OR(Prod[[#This Row],[S1Hrs]]&gt;0,Prod[[#This Row],[S2Hrs]]&gt;0,Prod[[#This Row],[S3Hrs]]&gt;0),"Running","Down")</f>
        <v>Down</v>
      </c>
      <c r="H67" s="268">
        <v>0</v>
      </c>
      <c r="I67" s="156">
        <v>0</v>
      </c>
      <c r="J67" s="120">
        <v>0</v>
      </c>
      <c r="K67" s="131">
        <v>0</v>
      </c>
      <c r="L67" s="120">
        <f>Prod[[#This Row],[S1Shot]]*Prod[[#This Row],[S1Cavity]]-Prod[[#This Row],[S1Dft]]</f>
        <v>0</v>
      </c>
      <c r="M67" s="135"/>
      <c r="N67" s="268">
        <v>0</v>
      </c>
      <c r="O67" s="156">
        <v>0</v>
      </c>
      <c r="P67" s="120">
        <v>0</v>
      </c>
      <c r="Q67" s="131">
        <v>0</v>
      </c>
      <c r="R67" s="120">
        <f>Prod[[#This Row],[S2Shot]]*Prod[[#This Row],[S2Cavity]]-Prod[[#This Row],[S2Dft]]</f>
        <v>0</v>
      </c>
      <c r="S67" s="135"/>
      <c r="T67" s="268">
        <v>0</v>
      </c>
      <c r="U67" s="156">
        <v>0</v>
      </c>
      <c r="V67" s="120">
        <v>0</v>
      </c>
      <c r="W67" s="131">
        <v>0</v>
      </c>
      <c r="X67" s="120">
        <f>Prod[[#This Row],[S3Shot]]*Prod[[#This Row],[S3Cavity]]-Prod[[#This Row],[S3Dft]]</f>
        <v>0</v>
      </c>
      <c r="Y67" s="135"/>
      <c r="Z67" s="120">
        <f>SUM(Prod[[#This Row],[S1Qty]],Prod[[#This Row],[S2Qty]],Prod[[#This Row],[S3Qty]])</f>
        <v>0</v>
      </c>
      <c r="AA67" s="135"/>
      <c r="AB67" s="136"/>
      <c r="AC67" s="118"/>
      <c r="AD67" s="135"/>
      <c r="AE67" s="135"/>
      <c r="AF67" s="135"/>
      <c r="AG67" s="135"/>
      <c r="AH67" s="135"/>
      <c r="AI67" s="135"/>
      <c r="AJ67" s="135"/>
      <c r="AK67" s="135"/>
      <c r="AL67" s="135"/>
      <c r="AM67" s="135"/>
      <c r="AN67" s="135"/>
      <c r="AO67" s="135"/>
      <c r="AP67" s="135"/>
      <c r="AQ67" s="135"/>
      <c r="AR67" s="135"/>
      <c r="AS67" s="133">
        <f>IF(Prod[[#This Row],[S1Hrs]]=0,0,Prod[[#This Row],[S1Shot]]*Prod[[#This Row],[S1Cycle]]/(Prod[[#This Row],[S1Hrs]]*60*60))</f>
        <v>0</v>
      </c>
      <c r="AT67" s="133">
        <f>IF(Prod[[#This Row],[S2Hrs]]=0,0,Prod[[#This Row],[S2Shot]]*Prod[[#This Row],[S2Cycle]]/(Prod[[#This Row],[S2Hrs]]*60*60))</f>
        <v>0</v>
      </c>
      <c r="AU67" s="133">
        <f>IF(Prod[[#This Row],[S3Hrs]]=0,0,Prod[[#This Row],[S3Shot]]*Prod[[#This Row],[S3Cycle]]/(Prod[[#This Row],[S3Hrs]]*60*60))</f>
        <v>0</v>
      </c>
      <c r="AV67" s="133">
        <f>IFERROR(AVERAGEIF(Prod[[#This Row],[S1%]:[S3%]], "&lt;&gt;0"),0)</f>
        <v>0</v>
      </c>
      <c r="AW67" s="133">
        <v>0</v>
      </c>
      <c r="AX67" s="133">
        <v>0</v>
      </c>
      <c r="AY67" s="133">
        <v>0</v>
      </c>
      <c r="AZ67" s="147">
        <f>IF(Prod[[#This Row],[S1Cycle]]&lt;&gt;0,1,0)</f>
        <v>0</v>
      </c>
      <c r="BA67" s="147">
        <f>IF(Prod[[#This Row],[S2Cycle]]&lt;&gt;0,1,0)</f>
        <v>0</v>
      </c>
      <c r="BB67" s="147">
        <f>IF(Prod[[#This Row],[S3Cycle]]&lt;&gt;0,1,0)</f>
        <v>0</v>
      </c>
      <c r="BC67" s="147">
        <f>MAX(Prod[[#This Row],[S1Cavity]],Prod[[#This Row],[S2Cavity]],Prod[[#This Row],[S3Cavity]])</f>
        <v>0</v>
      </c>
      <c r="BD67" s="147" t="b">
        <f>RegExpMatch(Prod[[#This Row],[MoldNo]], "^MEO-(B|C)")</f>
        <v>0</v>
      </c>
    </row>
    <row r="68" spans="1:56" hidden="1" x14ac:dyDescent="0.2">
      <c r="A68" s="117">
        <v>45423</v>
      </c>
      <c r="B68" s="131" t="s">
        <v>181</v>
      </c>
      <c r="C68" s="132" t="s">
        <v>182</v>
      </c>
      <c r="D68" s="119"/>
      <c r="E68" s="132"/>
      <c r="F68" s="119"/>
      <c r="G68" s="267" t="str">
        <f>IF(OR(Prod[[#This Row],[S1Hrs]]&gt;0,Prod[[#This Row],[S2Hrs]]&gt;0,Prod[[#This Row],[S3Hrs]]&gt;0),"Running","Down")</f>
        <v>Down</v>
      </c>
      <c r="H68" s="268">
        <v>0</v>
      </c>
      <c r="I68" s="156">
        <v>0</v>
      </c>
      <c r="J68" s="120">
        <v>0</v>
      </c>
      <c r="K68" s="131">
        <v>0</v>
      </c>
      <c r="L68" s="120">
        <f>Prod[[#This Row],[S1Shot]]*Prod[[#This Row],[S1Cavity]]-Prod[[#This Row],[S1Dft]]</f>
        <v>0</v>
      </c>
      <c r="M68" s="137">
        <f>SUM(Prod[[#This Row],[S1Mold]],Prod[[#This Row],[S1Print]],Prod[[#This Row],[S1Ovlp]],Prod[[#This Row],[S1Seam]],Prod[[#This Row],[S1Dmg]])</f>
        <v>0</v>
      </c>
      <c r="N68" s="268">
        <v>0</v>
      </c>
      <c r="O68" s="156">
        <v>0</v>
      </c>
      <c r="P68" s="120">
        <v>0</v>
      </c>
      <c r="Q68" s="131">
        <v>0</v>
      </c>
      <c r="R68" s="120">
        <f>Prod[[#This Row],[S2Shot]]*Prod[[#This Row],[S2Cavity]]-Prod[[#This Row],[S2Dft]]</f>
        <v>0</v>
      </c>
      <c r="S68" s="137">
        <f>SUM(Prod[[#This Row],[S2Mold]],Prod[[#This Row],[S2Print]],Prod[[#This Row],[S2Ovlp]],Prod[[#This Row],[S2Seam]],Prod[[#This Row],[S2Dmg]])</f>
        <v>0</v>
      </c>
      <c r="T68" s="268">
        <v>0</v>
      </c>
      <c r="U68" s="156">
        <v>0</v>
      </c>
      <c r="V68" s="120">
        <v>0</v>
      </c>
      <c r="W68" s="131">
        <v>0</v>
      </c>
      <c r="X68" s="120">
        <f>Prod[[#This Row],[S3Shot]]*Prod[[#This Row],[S3Cavity]]-Prod[[#This Row],[S3Dft]]</f>
        <v>0</v>
      </c>
      <c r="Y68" s="120">
        <f>SUM(Prod[[#This Row],[S3Mold]],Prod[[#This Row],[S3Print]],Prod[[#This Row],[S3Ovlp]],Prod[[#This Row],[S3Seam]],Prod[[#This Row],[S3Dmg]])</f>
        <v>0</v>
      </c>
      <c r="Z68" s="120">
        <f>SUM(Prod[[#This Row],[S1Qty]],Prod[[#This Row],[S2Qty]],Prod[[#This Row],[S3Qty]])</f>
        <v>0</v>
      </c>
      <c r="AA68" s="120">
        <f>SUM(Prod[[#This Row],[S1Dft]],Prod[[#This Row],[S2Dft]],Prod[[#This Row],[S3Dft]])</f>
        <v>0</v>
      </c>
      <c r="AB68" s="121">
        <f>IF(Prod[[#This Row],[Total]]=0,0,Prod[[#This Row],[TotalDft]]/Prod[[#This Row],[Total]])</f>
        <v>0</v>
      </c>
      <c r="AC68" s="118"/>
      <c r="AD68" s="120">
        <v>0</v>
      </c>
      <c r="AE68" s="120">
        <v>0</v>
      </c>
      <c r="AF68" s="120">
        <v>0</v>
      </c>
      <c r="AG68" s="120">
        <v>0</v>
      </c>
      <c r="AH68" s="120">
        <v>0</v>
      </c>
      <c r="AI68" s="120">
        <v>0</v>
      </c>
      <c r="AJ68" s="120">
        <v>0</v>
      </c>
      <c r="AK68" s="120">
        <v>0</v>
      </c>
      <c r="AL68" s="120">
        <v>0</v>
      </c>
      <c r="AM68" s="120">
        <v>0</v>
      </c>
      <c r="AN68" s="120">
        <v>0</v>
      </c>
      <c r="AO68" s="120">
        <v>0</v>
      </c>
      <c r="AP68" s="120">
        <v>0</v>
      </c>
      <c r="AQ68" s="120">
        <v>0</v>
      </c>
      <c r="AR68" s="120">
        <v>0</v>
      </c>
      <c r="AS68" s="133">
        <f>IF(Prod[[#This Row],[S1Hrs]]=0,0,Prod[[#This Row],[S1Shot]]*Prod[[#This Row],[S1Cycle]]/(Prod[[#This Row],[S1Hrs]]*60*60))</f>
        <v>0</v>
      </c>
      <c r="AT68" s="133">
        <f>IF(Prod[[#This Row],[S2Hrs]]=0,0,Prod[[#This Row],[S2Shot]]*Prod[[#This Row],[S2Cycle]]/(Prod[[#This Row],[S2Hrs]]*60*60))</f>
        <v>0</v>
      </c>
      <c r="AU68" s="133">
        <f>IF(Prod[[#This Row],[S3Hrs]]=0,0,Prod[[#This Row],[S3Shot]]*Prod[[#This Row],[S3Cycle]]/(Prod[[#This Row],[S3Hrs]]*60*60))</f>
        <v>0</v>
      </c>
      <c r="AV68" s="133">
        <f>IFERROR(AVERAGEIF(Prod[[#This Row],[S1%]:[S3%]], "&lt;&gt;0"),0)</f>
        <v>0</v>
      </c>
      <c r="AW68" s="133">
        <v>0</v>
      </c>
      <c r="AX68" s="133">
        <v>0</v>
      </c>
      <c r="AY68" s="133">
        <v>0</v>
      </c>
      <c r="AZ68" s="147">
        <f>IF(Prod[[#This Row],[S1Cycle]]&lt;&gt;0,1,0)</f>
        <v>0</v>
      </c>
      <c r="BA68" s="147">
        <f>IF(Prod[[#This Row],[S2Cycle]]&lt;&gt;0,1,0)</f>
        <v>0</v>
      </c>
      <c r="BB68" s="147">
        <f>IF(Prod[[#This Row],[S3Cycle]]&lt;&gt;0,1,0)</f>
        <v>0</v>
      </c>
      <c r="BC68" s="147">
        <f>MAX(Prod[[#This Row],[S1Cavity]],Prod[[#This Row],[S2Cavity]],Prod[[#This Row],[S3Cavity]])</f>
        <v>0</v>
      </c>
      <c r="BD68" s="147" t="b">
        <f>RegExpMatch(Prod[[#This Row],[MoldNo]], "^MEO-(B|C)")</f>
        <v>1</v>
      </c>
    </row>
    <row r="69" spans="1:56" hidden="1" x14ac:dyDescent="0.2">
      <c r="A69" s="117">
        <v>45423</v>
      </c>
      <c r="B69" s="131" t="s">
        <v>179</v>
      </c>
      <c r="C69" s="132" t="s">
        <v>180</v>
      </c>
      <c r="D69" s="119"/>
      <c r="E69" s="132"/>
      <c r="F69" s="119"/>
      <c r="G69" s="267" t="str">
        <f>IF(OR(Prod[[#This Row],[S1Hrs]]&gt;0,Prod[[#This Row],[S2Hrs]]&gt;0,Prod[[#This Row],[S3Hrs]]&gt;0),"Running","Down")</f>
        <v>Down</v>
      </c>
      <c r="H69" s="268">
        <v>0</v>
      </c>
      <c r="I69" s="156">
        <v>0</v>
      </c>
      <c r="J69" s="120">
        <v>0</v>
      </c>
      <c r="K69" s="131">
        <v>0</v>
      </c>
      <c r="L69" s="120">
        <f>Prod[[#This Row],[S1Shot]]*Prod[[#This Row],[S1Cavity]]-Prod[[#This Row],[S1Dft]]</f>
        <v>0</v>
      </c>
      <c r="M69" s="135"/>
      <c r="N69" s="268">
        <v>0</v>
      </c>
      <c r="O69" s="156">
        <v>0</v>
      </c>
      <c r="P69" s="120">
        <v>0</v>
      </c>
      <c r="Q69" s="131">
        <v>0</v>
      </c>
      <c r="R69" s="120">
        <f>Prod[[#This Row],[S2Shot]]*Prod[[#This Row],[S2Cavity]]-Prod[[#This Row],[S2Dft]]</f>
        <v>0</v>
      </c>
      <c r="S69" s="135"/>
      <c r="T69" s="268">
        <v>0</v>
      </c>
      <c r="U69" s="156">
        <v>0</v>
      </c>
      <c r="V69" s="120">
        <v>0</v>
      </c>
      <c r="W69" s="131">
        <v>0</v>
      </c>
      <c r="X69" s="120">
        <f>Prod[[#This Row],[S3Shot]]*Prod[[#This Row],[S3Cavity]]-Prod[[#This Row],[S3Dft]]</f>
        <v>0</v>
      </c>
      <c r="Y69" s="120">
        <f>SUM(Prod[[#This Row],[S3Mold]],Prod[[#This Row],[S3Print]],Prod[[#This Row],[S3Ovlp]],Prod[[#This Row],[S3Seam]],Prod[[#This Row],[S3Dmg]])</f>
        <v>0</v>
      </c>
      <c r="Z69" s="120">
        <f>SUM(Prod[[#This Row],[S1Qty]],Prod[[#This Row],[S2Qty]],Prod[[#This Row],[S3Qty]])</f>
        <v>0</v>
      </c>
      <c r="AA69" s="120">
        <f>SUM(Prod[[#This Row],[S1Dft]],Prod[[#This Row],[S2Dft]],Prod[[#This Row],[S3Dft]])</f>
        <v>0</v>
      </c>
      <c r="AB69" s="121">
        <f>IF(Prod[[#This Row],[Total]]=0,0,Prod[[#This Row],[TotalDft]]/Prod[[#This Row],[Total]])</f>
        <v>0</v>
      </c>
      <c r="AC69" s="132"/>
      <c r="AD69" s="135"/>
      <c r="AE69" s="135"/>
      <c r="AF69" s="135"/>
      <c r="AG69" s="135"/>
      <c r="AH69" s="135"/>
      <c r="AI69" s="135"/>
      <c r="AJ69" s="135"/>
      <c r="AK69" s="135"/>
      <c r="AL69" s="135"/>
      <c r="AM69" s="135"/>
      <c r="AN69" s="135"/>
      <c r="AO69" s="135"/>
      <c r="AP69" s="135"/>
      <c r="AQ69" s="135"/>
      <c r="AR69" s="135"/>
      <c r="AS69" s="133">
        <f>IF(Prod[[#This Row],[S1Hrs]]=0,0,Prod[[#This Row],[S1Shot]]*Prod[[#This Row],[S1Cycle]]/(Prod[[#This Row],[S1Hrs]]*60*60))</f>
        <v>0</v>
      </c>
      <c r="AT69" s="133">
        <f>IF(Prod[[#This Row],[S2Hrs]]=0,0,Prod[[#This Row],[S2Shot]]*Prod[[#This Row],[S2Cycle]]/(Prod[[#This Row],[S2Hrs]]*60*60))</f>
        <v>0</v>
      </c>
      <c r="AU69" s="133">
        <f>IF(Prod[[#This Row],[S3Hrs]]=0,0,Prod[[#This Row],[S3Shot]]*Prod[[#This Row],[S3Cycle]]/(Prod[[#This Row],[S3Hrs]]*60*60))</f>
        <v>0</v>
      </c>
      <c r="AV69" s="133">
        <f>IFERROR(AVERAGEIF(Prod[[#This Row],[S1%]:[S3%]], "&lt;&gt;0"),0)</f>
        <v>0</v>
      </c>
      <c r="AW69" s="133">
        <v>0</v>
      </c>
      <c r="AX69" s="133">
        <v>0</v>
      </c>
      <c r="AY69" s="133">
        <v>0</v>
      </c>
      <c r="AZ69" s="147">
        <f>IF(Prod[[#This Row],[S1Cycle]]&lt;&gt;0,1,0)</f>
        <v>0</v>
      </c>
      <c r="BA69" s="147">
        <f>IF(Prod[[#This Row],[S2Cycle]]&lt;&gt;0,1,0)</f>
        <v>0</v>
      </c>
      <c r="BB69" s="147">
        <f>IF(Prod[[#This Row],[S3Cycle]]&lt;&gt;0,1,0)</f>
        <v>0</v>
      </c>
      <c r="BC69" s="147">
        <f>MAX(Prod[[#This Row],[S1Cavity]],Prod[[#This Row],[S2Cavity]],Prod[[#This Row],[S3Cavity]])</f>
        <v>0</v>
      </c>
      <c r="BD69" s="147" t="b">
        <f>RegExpMatch(Prod[[#This Row],[MoldNo]], "^MEO-(B|C)")</f>
        <v>0</v>
      </c>
    </row>
    <row r="70" spans="1:56" hidden="1" x14ac:dyDescent="0.2">
      <c r="A70" s="117">
        <v>45423</v>
      </c>
      <c r="B70" s="131" t="s">
        <v>183</v>
      </c>
      <c r="C70" s="132" t="s">
        <v>184</v>
      </c>
      <c r="D70" s="119"/>
      <c r="E70" s="132"/>
      <c r="F70" s="119"/>
      <c r="G70" s="267" t="str">
        <f>IF(OR(Prod[[#This Row],[S1Hrs]]&gt;0,Prod[[#This Row],[S2Hrs]]&gt;0,Prod[[#This Row],[S3Hrs]]&gt;0),"Running","Down")</f>
        <v>Down</v>
      </c>
      <c r="H70" s="268">
        <v>0</v>
      </c>
      <c r="I70" s="156">
        <v>0</v>
      </c>
      <c r="J70" s="120">
        <v>0</v>
      </c>
      <c r="K70" s="131">
        <v>0</v>
      </c>
      <c r="L70" s="120">
        <f>Prod[[#This Row],[S1Shot]]*Prod[[#This Row],[S1Cavity]]-Prod[[#This Row],[S1Dft]]</f>
        <v>0</v>
      </c>
      <c r="M70" s="137">
        <f>SUM(Prod[[#This Row],[S1Mold]],Prod[[#This Row],[S1Print]],Prod[[#This Row],[S1Ovlp]],Prod[[#This Row],[S1Seam]],Prod[[#This Row],[S1Dmg]])</f>
        <v>0</v>
      </c>
      <c r="N70" s="268">
        <v>0</v>
      </c>
      <c r="O70" s="156">
        <v>0</v>
      </c>
      <c r="P70" s="120">
        <v>0</v>
      </c>
      <c r="Q70" s="131">
        <v>0</v>
      </c>
      <c r="R70" s="120">
        <f>Prod[[#This Row],[S2Shot]]*Prod[[#This Row],[S2Cavity]]-Prod[[#This Row],[S2Dft]]</f>
        <v>0</v>
      </c>
      <c r="S70" s="137">
        <f>SUM(Prod[[#This Row],[S2Mold]],Prod[[#This Row],[S2Print]],Prod[[#This Row],[S2Ovlp]],Prod[[#This Row],[S2Seam]],Prod[[#This Row],[S2Dmg]])</f>
        <v>0</v>
      </c>
      <c r="T70" s="268">
        <v>0</v>
      </c>
      <c r="U70" s="156">
        <v>0</v>
      </c>
      <c r="V70" s="120">
        <v>0</v>
      </c>
      <c r="W70" s="131">
        <v>0</v>
      </c>
      <c r="X70" s="120">
        <f>Prod[[#This Row],[S3Shot]]*Prod[[#This Row],[S3Cavity]]-Prod[[#This Row],[S3Dft]]</f>
        <v>0</v>
      </c>
      <c r="Y70" s="120">
        <f>SUM(Prod[[#This Row],[S3Mold]],Prod[[#This Row],[S3Print]],Prod[[#This Row],[S3Ovlp]],Prod[[#This Row],[S3Seam]],Prod[[#This Row],[S3Dmg]])</f>
        <v>0</v>
      </c>
      <c r="Z70" s="120">
        <f>SUM(Prod[[#This Row],[S1Qty]],Prod[[#This Row],[S2Qty]],Prod[[#This Row],[S3Qty]])</f>
        <v>0</v>
      </c>
      <c r="AA70" s="120">
        <f>SUM(Prod[[#This Row],[S1Dft]],Prod[[#This Row],[S2Dft]],Prod[[#This Row],[S3Dft]])</f>
        <v>0</v>
      </c>
      <c r="AB70" s="121">
        <f>IF(Prod[[#This Row],[Total]]=0,0,Prod[[#This Row],[TotalDft]]/Prod[[#This Row],[Total]])</f>
        <v>0</v>
      </c>
      <c r="AC70" s="118"/>
      <c r="AD70" s="120">
        <v>0</v>
      </c>
      <c r="AE70" s="120">
        <v>0</v>
      </c>
      <c r="AF70" s="120">
        <v>0</v>
      </c>
      <c r="AG70" s="120">
        <v>0</v>
      </c>
      <c r="AH70" s="120">
        <v>0</v>
      </c>
      <c r="AI70" s="120">
        <v>0</v>
      </c>
      <c r="AJ70" s="120">
        <v>0</v>
      </c>
      <c r="AK70" s="120">
        <v>0</v>
      </c>
      <c r="AL70" s="120">
        <v>0</v>
      </c>
      <c r="AM70" s="120">
        <v>0</v>
      </c>
      <c r="AN70" s="120">
        <v>0</v>
      </c>
      <c r="AO70" s="120">
        <v>0</v>
      </c>
      <c r="AP70" s="120">
        <v>0</v>
      </c>
      <c r="AQ70" s="120">
        <v>0</v>
      </c>
      <c r="AR70" s="120">
        <v>0</v>
      </c>
      <c r="AS70" s="133">
        <f>IF(Prod[[#This Row],[S1Hrs]]=0,0,Prod[[#This Row],[S1Shot]]*Prod[[#This Row],[S1Cycle]]/(Prod[[#This Row],[S1Hrs]]*60*60))</f>
        <v>0</v>
      </c>
      <c r="AT70" s="133">
        <f>IF(Prod[[#This Row],[S2Hrs]]=0,0,Prod[[#This Row],[S2Shot]]*Prod[[#This Row],[S2Cycle]]/(Prod[[#This Row],[S2Hrs]]*60*60))</f>
        <v>0</v>
      </c>
      <c r="AU70" s="133">
        <f>IF(Prod[[#This Row],[S3Hrs]]=0,0,Prod[[#This Row],[S3Shot]]*Prod[[#This Row],[S3Cycle]]/(Prod[[#This Row],[S3Hrs]]*60*60))</f>
        <v>0</v>
      </c>
      <c r="AV70" s="133">
        <f>IFERROR(AVERAGEIF(Prod[[#This Row],[S1%]:[S3%]], "&lt;&gt;0"),0)</f>
        <v>0</v>
      </c>
      <c r="AW70" s="133">
        <v>0</v>
      </c>
      <c r="AX70" s="133">
        <v>0</v>
      </c>
      <c r="AY70" s="133">
        <v>0</v>
      </c>
      <c r="AZ70" s="147">
        <f>IF(Prod[[#This Row],[S1Cycle]]&lt;&gt;0,1,0)</f>
        <v>0</v>
      </c>
      <c r="BA70" s="147">
        <f>IF(Prod[[#This Row],[S2Cycle]]&lt;&gt;0,1,0)</f>
        <v>0</v>
      </c>
      <c r="BB70" s="147">
        <f>IF(Prod[[#This Row],[S3Cycle]]&lt;&gt;0,1,0)</f>
        <v>0</v>
      </c>
      <c r="BC70" s="147">
        <f>MAX(Prod[[#This Row],[S1Cavity]],Prod[[#This Row],[S2Cavity]],Prod[[#This Row],[S3Cavity]])</f>
        <v>0</v>
      </c>
      <c r="BD70" s="147" t="b">
        <f>RegExpMatch(Prod[[#This Row],[MoldNo]], "^MEO-(B|C)")</f>
        <v>1</v>
      </c>
    </row>
    <row r="71" spans="1:56" hidden="1" x14ac:dyDescent="0.2">
      <c r="A71" s="117">
        <v>45423</v>
      </c>
      <c r="B71" s="131" t="s">
        <v>177</v>
      </c>
      <c r="C71" s="132" t="s">
        <v>157</v>
      </c>
      <c r="D71" s="119"/>
      <c r="E71" s="132"/>
      <c r="F71" s="119"/>
      <c r="G71" s="267" t="str">
        <f>IF(OR(Prod[[#This Row],[S1Hrs]]&gt;0,Prod[[#This Row],[S2Hrs]]&gt;0,Prod[[#This Row],[S3Hrs]]&gt;0),"Running","Down")</f>
        <v>Down</v>
      </c>
      <c r="H71" s="268">
        <v>0</v>
      </c>
      <c r="I71" s="156">
        <v>0</v>
      </c>
      <c r="J71" s="120">
        <v>0</v>
      </c>
      <c r="K71" s="131">
        <v>0</v>
      </c>
      <c r="L71" s="120">
        <f>Prod[[#This Row],[S1Shot]]*Prod[[#This Row],[S1Cavity]]-Prod[[#This Row],[S1Dft]]</f>
        <v>0</v>
      </c>
      <c r="M71" s="137">
        <f>SUM(Prod[[#This Row],[S1Mold]],Prod[[#This Row],[S1Print]],Prod[[#This Row],[S1Ovlp]],Prod[[#This Row],[S1Seam]],Prod[[#This Row],[S1Dmg]])</f>
        <v>0</v>
      </c>
      <c r="N71" s="268">
        <v>0</v>
      </c>
      <c r="O71" s="156">
        <v>0</v>
      </c>
      <c r="P71" s="120">
        <v>0</v>
      </c>
      <c r="Q71" s="131">
        <v>0</v>
      </c>
      <c r="R71" s="120">
        <f>Prod[[#This Row],[S2Shot]]*Prod[[#This Row],[S2Cavity]]-Prod[[#This Row],[S2Dft]]</f>
        <v>0</v>
      </c>
      <c r="S71" s="137">
        <f>SUM(Prod[[#This Row],[S2Mold]],Prod[[#This Row],[S2Print]],Prod[[#This Row],[S2Ovlp]],Prod[[#This Row],[S2Seam]],Prod[[#This Row],[S2Dmg]])</f>
        <v>0</v>
      </c>
      <c r="T71" s="268">
        <v>0</v>
      </c>
      <c r="U71" s="156">
        <v>0</v>
      </c>
      <c r="V71" s="120">
        <v>0</v>
      </c>
      <c r="W71" s="131">
        <v>0</v>
      </c>
      <c r="X71" s="120">
        <f>Prod[[#This Row],[S3Shot]]*Prod[[#This Row],[S3Cavity]]-Prod[[#This Row],[S3Dft]]</f>
        <v>0</v>
      </c>
      <c r="Y71" s="120">
        <f>SUM(Prod[[#This Row],[S3Mold]],Prod[[#This Row],[S3Print]],Prod[[#This Row],[S3Ovlp]],Prod[[#This Row],[S3Seam]],Prod[[#This Row],[S3Dmg]])</f>
        <v>0</v>
      </c>
      <c r="Z71" s="120">
        <f>SUM(Prod[[#This Row],[S1Qty]],Prod[[#This Row],[S2Qty]],Prod[[#This Row],[S3Qty]])</f>
        <v>0</v>
      </c>
      <c r="AA71" s="120">
        <f>SUM(Prod[[#This Row],[S1Dft]],Prod[[#This Row],[S2Dft]],Prod[[#This Row],[S3Dft]])</f>
        <v>0</v>
      </c>
      <c r="AB71" s="121">
        <f>IF(Prod[[#This Row],[Total]]=0,0,Prod[[#This Row],[TotalDft]]/Prod[[#This Row],[Total]])</f>
        <v>0</v>
      </c>
      <c r="AC71" s="132"/>
      <c r="AD71" s="120">
        <v>0</v>
      </c>
      <c r="AE71" s="120">
        <v>0</v>
      </c>
      <c r="AF71" s="120">
        <v>0</v>
      </c>
      <c r="AG71" s="120">
        <v>0</v>
      </c>
      <c r="AH71" s="120">
        <v>0</v>
      </c>
      <c r="AI71" s="120">
        <v>0</v>
      </c>
      <c r="AJ71" s="120">
        <v>0</v>
      </c>
      <c r="AK71" s="120">
        <v>0</v>
      </c>
      <c r="AL71" s="120">
        <v>0</v>
      </c>
      <c r="AM71" s="120">
        <v>0</v>
      </c>
      <c r="AN71" s="120">
        <v>0</v>
      </c>
      <c r="AO71" s="120">
        <v>0</v>
      </c>
      <c r="AP71" s="120">
        <v>0</v>
      </c>
      <c r="AQ71" s="120">
        <v>0</v>
      </c>
      <c r="AR71" s="120">
        <v>0</v>
      </c>
      <c r="AS71" s="133">
        <f>IF(Prod[[#This Row],[S1Hrs]]=0,0,Prod[[#This Row],[S1Shot]]*Prod[[#This Row],[S1Cycle]]/(Prod[[#This Row],[S1Hrs]]*60*60))</f>
        <v>0</v>
      </c>
      <c r="AT71" s="133">
        <f>IF(Prod[[#This Row],[S2Hrs]]=0,0,Prod[[#This Row],[S2Shot]]*Prod[[#This Row],[S2Cycle]]/(Prod[[#This Row],[S2Hrs]]*60*60))</f>
        <v>0</v>
      </c>
      <c r="AU71" s="133">
        <f>IF(Prod[[#This Row],[S3Hrs]]=0,0,Prod[[#This Row],[S3Shot]]*Prod[[#This Row],[S3Cycle]]/(Prod[[#This Row],[S3Hrs]]*60*60))</f>
        <v>0</v>
      </c>
      <c r="AV71" s="133">
        <f>IFERROR(AVERAGEIF(Prod[[#This Row],[S1%]:[S3%]], "&lt;&gt;0"),0)</f>
        <v>0</v>
      </c>
      <c r="AW71" s="133">
        <v>0</v>
      </c>
      <c r="AX71" s="133">
        <v>0</v>
      </c>
      <c r="AY71" s="133">
        <v>0</v>
      </c>
      <c r="AZ71" s="147">
        <f>IF(Prod[[#This Row],[S1Cycle]]&lt;&gt;0,1,0)</f>
        <v>0</v>
      </c>
      <c r="BA71" s="147">
        <f>IF(Prod[[#This Row],[S2Cycle]]&lt;&gt;0,1,0)</f>
        <v>0</v>
      </c>
      <c r="BB71" s="147">
        <f>IF(Prod[[#This Row],[S3Cycle]]&lt;&gt;0,1,0)</f>
        <v>0</v>
      </c>
      <c r="BC71" s="147">
        <f>MAX(Prod[[#This Row],[S1Cavity]],Prod[[#This Row],[S2Cavity]],Prod[[#This Row],[S3Cavity]])</f>
        <v>0</v>
      </c>
      <c r="BD71" s="147" t="b">
        <f>RegExpMatch(Prod[[#This Row],[MoldNo]], "^MEO-(B|C)")</f>
        <v>1</v>
      </c>
    </row>
    <row r="198" hidden="1" x14ac:dyDescent="0.2"/>
    <row r="199" hidden="1" x14ac:dyDescent="0.2"/>
    <row r="200" hidden="1" x14ac:dyDescent="0.2"/>
    <row r="201" hidden="1" x14ac:dyDescent="0.2"/>
    <row r="202" hidden="1" x14ac:dyDescent="0.2"/>
    <row r="203" hidden="1" x14ac:dyDescent="0.2"/>
  </sheetData>
  <mergeCells count="2">
    <mergeCell ref="M2:R2"/>
    <mergeCell ref="A2:H2"/>
  </mergeCells>
  <conditionalFormatting sqref="A5:BD71">
    <cfRule type="expression" dxfId="68" priority="1" stopIfTrue="1">
      <formula>INDIRECT("Prod[@Date]")=MAX(INDIRECT("Prod[Date]"))-1</formula>
    </cfRule>
  </conditionalFormatting>
  <pageMargins left="0.75" right="0.75" top="1" bottom="1" header="0.5" footer="0.5"/>
  <pageSetup scale="47" fitToHeight="0" orientation="landscape" horizontalDpi="4294967295" verticalDpi="4294967295" r:id="rId1"/>
  <headerFooter alignWithMargins="0"/>
  <legacyDrawing r:id="rId2"/>
  <tableParts count="1">
    <tablePart r:id="rId3"/>
  </tableParts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>
    <pageSetUpPr fitToPage="1"/>
  </sheetPr>
  <dimension ref="A1:AA69"/>
  <sheetViews>
    <sheetView zoomScaleNormal="100" workbookViewId="0">
      <pane xSplit="1" ySplit="5" topLeftCell="B6" activePane="bottomRight" state="frozen"/>
      <selection pane="topRight" activeCell="B1" sqref="B1"/>
      <selection pane="bottomLeft" activeCell="A6" sqref="A6"/>
      <selection pane="bottomRight" activeCell="H38" sqref="H38"/>
    </sheetView>
  </sheetViews>
  <sheetFormatPr defaultRowHeight="12.75" x14ac:dyDescent="0.2"/>
  <cols>
    <col min="1" max="1" width="7.5703125" customWidth="1"/>
    <col min="2" max="2" width="10.85546875" customWidth="1"/>
    <col min="3" max="3" width="9.140625" bestFit="1" customWidth="1"/>
    <col min="4" max="4" width="15.42578125" customWidth="1"/>
    <col min="5" max="5" width="10.140625" customWidth="1"/>
    <col min="6" max="6" width="10.42578125" customWidth="1"/>
    <col min="7" max="7" width="11.7109375" customWidth="1"/>
    <col min="8" max="8" width="11.42578125" customWidth="1"/>
    <col min="9" max="9" width="16.28515625" customWidth="1"/>
    <col min="10" max="10" width="42.85546875" customWidth="1"/>
    <col min="11" max="11" width="11.42578125" customWidth="1"/>
    <col min="12" max="12" width="10.7109375" customWidth="1"/>
    <col min="13" max="13" width="12.28515625" customWidth="1"/>
    <col min="14" max="14" width="11.5703125" customWidth="1"/>
    <col min="15" max="15" width="12.28515625" customWidth="1"/>
    <col min="16" max="16" width="12.7109375" customWidth="1"/>
    <col min="17" max="17" width="12.42578125" customWidth="1"/>
    <col min="18" max="18" width="11.42578125" customWidth="1"/>
    <col min="19" max="19" width="12.28515625" customWidth="1"/>
    <col min="20" max="20" width="12.42578125" customWidth="1"/>
    <col min="21" max="21" width="11.42578125" customWidth="1"/>
    <col min="22" max="22" width="13.140625" customWidth="1"/>
    <col min="23" max="23" width="15.5703125" customWidth="1"/>
    <col min="24" max="24" width="12.5703125" customWidth="1"/>
    <col min="25" max="25" width="11.28515625" customWidth="1"/>
    <col min="26" max="26" width="17.28515625" customWidth="1"/>
    <col min="27" max="27" width="17.7109375" customWidth="1"/>
    <col min="28" max="28" width="43.42578125" customWidth="1"/>
    <col min="31" max="31" width="11.85546875" customWidth="1"/>
  </cols>
  <sheetData>
    <row r="1" spans="1:27" x14ac:dyDescent="0.2"/>
    <row r="2" spans="1:27" ht="27" thickBot="1" x14ac:dyDescent="0.45">
      <c r="A2" s="100" t="s">
        <v>23</v>
      </c>
      <c r="B2" s="101"/>
      <c r="C2" s="102"/>
      <c r="D2" s="103"/>
      <c r="E2" s="105"/>
      <c r="F2" s="106"/>
      <c r="G2" s="5"/>
      <c r="H2" s="5"/>
      <c r="I2" s="104" t="s">
        <v>40</v>
      </c>
      <c r="J2" s="264">
        <f>$A$6</f>
        <v>45413</v>
      </c>
      <c r="K2" s="264"/>
      <c r="L2" s="264"/>
      <c r="M2" s="264"/>
      <c r="N2" s="22"/>
      <c r="O2" s="6"/>
      <c r="P2" s="6"/>
      <c r="Q2" s="6"/>
      <c r="R2" s="5"/>
      <c r="S2" s="22"/>
      <c r="T2" s="7"/>
      <c r="U2" s="7"/>
      <c r="V2" s="6"/>
      <c r="W2" s="6"/>
    </row>
    <row r="3" spans="1:27" ht="18.75" thickTop="1" x14ac:dyDescent="0.25">
      <c r="B3" s="1"/>
      <c r="C3" s="2"/>
      <c r="D3" s="3"/>
      <c r="E3" s="4"/>
      <c r="F3" s="5"/>
      <c r="G3" s="5"/>
      <c r="H3" s="5"/>
      <c r="I3" s="8"/>
      <c r="J3" s="8"/>
      <c r="K3" s="8"/>
      <c r="L3" s="8"/>
      <c r="M3" s="5"/>
      <c r="N3" s="8"/>
      <c r="O3" s="8"/>
      <c r="P3" s="8"/>
      <c r="Q3" s="8"/>
      <c r="R3" s="5"/>
      <c r="S3" s="8"/>
      <c r="T3" s="8"/>
      <c r="U3" s="8"/>
      <c r="V3" s="8"/>
      <c r="W3" s="8"/>
      <c r="X3" s="8"/>
      <c r="Y3" s="8"/>
      <c r="Z3" s="8"/>
      <c r="AA3" s="8"/>
    </row>
    <row r="4" spans="1:27" ht="12.75" customHeight="1" x14ac:dyDescent="0.25">
      <c r="B4" s="1"/>
      <c r="E4" s="4"/>
      <c r="F4" s="5"/>
      <c r="G4" s="5"/>
      <c r="H4" s="5"/>
      <c r="I4" s="8"/>
      <c r="J4" s="8"/>
      <c r="K4" s="8"/>
      <c r="L4" s="8"/>
      <c r="M4" s="5"/>
      <c r="N4" s="8"/>
      <c r="O4" s="8"/>
      <c r="P4" s="8"/>
      <c r="Q4" s="8"/>
      <c r="R4" s="5"/>
      <c r="S4" s="8"/>
      <c r="T4" s="8"/>
      <c r="U4" s="8"/>
      <c r="V4" s="8"/>
      <c r="W4" s="8"/>
      <c r="X4" s="8"/>
      <c r="Y4" s="8"/>
      <c r="Z4" s="8"/>
      <c r="AA4" s="8"/>
    </row>
    <row r="5" spans="1:27" s="126" customFormat="1" ht="12.75" customHeight="1" x14ac:dyDescent="0.2">
      <c r="A5" s="126" t="s">
        <v>107</v>
      </c>
      <c r="B5" s="127" t="s">
        <v>108</v>
      </c>
      <c r="C5" s="126" t="s">
        <v>25</v>
      </c>
      <c r="D5" s="126" t="s">
        <v>28</v>
      </c>
      <c r="E5" s="128" t="s">
        <v>12</v>
      </c>
      <c r="F5" s="122" t="s">
        <v>113</v>
      </c>
      <c r="G5" s="122" t="s">
        <v>119</v>
      </c>
      <c r="H5" s="122" t="s">
        <v>125</v>
      </c>
      <c r="I5" s="129" t="s">
        <v>59</v>
      </c>
      <c r="J5" s="129" t="s">
        <v>144</v>
      </c>
    </row>
    <row r="6" spans="1:27" x14ac:dyDescent="0.2">
      <c r="A6" s="130">
        <v>45413</v>
      </c>
      <c r="B6" s="163" t="s">
        <v>17</v>
      </c>
      <c r="C6" s="164">
        <v>27121</v>
      </c>
      <c r="D6" s="123" t="s">
        <v>190</v>
      </c>
      <c r="E6" s="165" t="str">
        <f>IF(Assem[[#This Row],[Total]]&gt;0,"Running","Down")</f>
        <v>Running</v>
      </c>
      <c r="F6" s="166">
        <f>1203*4</f>
        <v>4812</v>
      </c>
      <c r="G6" s="166">
        <f>956*4</f>
        <v>3824</v>
      </c>
      <c r="H6" s="166">
        <f>1010*4</f>
        <v>4040</v>
      </c>
      <c r="I6" s="166">
        <f>SUM(Assem[[#This Row],[S1Qty]],Assem[[#This Row],[S2Qty]],Assem[[#This Row],[S3Qty]])</f>
        <v>12676</v>
      </c>
      <c r="J6" s="142" t="s">
        <v>195</v>
      </c>
    </row>
    <row r="7" spans="1:27" x14ac:dyDescent="0.2">
      <c r="A7" s="130">
        <v>45413</v>
      </c>
      <c r="B7" s="163" t="s">
        <v>18</v>
      </c>
      <c r="C7" s="164">
        <v>27121</v>
      </c>
      <c r="D7" s="123" t="s">
        <v>190</v>
      </c>
      <c r="E7" s="165" t="str">
        <f>IF(Assem[[#This Row],[Total]]&gt;0,"Running","Down")</f>
        <v>Running</v>
      </c>
      <c r="F7" s="166">
        <f>1206*4</f>
        <v>4824</v>
      </c>
      <c r="G7" s="166">
        <f>1017*4</f>
        <v>4068</v>
      </c>
      <c r="H7" s="166">
        <f>1039*4</f>
        <v>4156</v>
      </c>
      <c r="I7" s="166">
        <f>SUM(Assem[[#This Row],[S1Qty]],Assem[[#This Row],[S2Qty]],Assem[[#This Row],[S3Qty]])</f>
        <v>13048</v>
      </c>
      <c r="J7" s="142" t="s">
        <v>196</v>
      </c>
    </row>
    <row r="8" spans="1:27" x14ac:dyDescent="0.2">
      <c r="A8" s="130">
        <v>45414</v>
      </c>
      <c r="B8" s="170" t="s">
        <v>17</v>
      </c>
      <c r="C8" s="171">
        <v>27121</v>
      </c>
      <c r="D8" s="123" t="s">
        <v>190</v>
      </c>
      <c r="E8" s="172" t="str">
        <f>IF(Assem[[#This Row],[Total]]&gt;0,"Running","Down")</f>
        <v>Running</v>
      </c>
      <c r="F8" s="173">
        <f>637*4</f>
        <v>2548</v>
      </c>
      <c r="G8" s="173">
        <v>0</v>
      </c>
      <c r="H8" s="173">
        <v>0</v>
      </c>
      <c r="I8" s="173">
        <f>SUM(Assem[[#This Row],[S1Qty]],Assem[[#This Row],[S2Qty]],Assem[[#This Row],[S3Qty]])</f>
        <v>2548</v>
      </c>
      <c r="J8" s="142" t="s">
        <v>195</v>
      </c>
    </row>
    <row r="9" spans="1:27" x14ac:dyDescent="0.2">
      <c r="A9" s="130">
        <v>45414</v>
      </c>
      <c r="B9" s="170" t="s">
        <v>18</v>
      </c>
      <c r="C9" s="171">
        <v>27121</v>
      </c>
      <c r="D9" s="123" t="s">
        <v>190</v>
      </c>
      <c r="E9" s="172" t="str">
        <f>IF(Assem[[#This Row],[Total]]&gt;0,"Running","Down")</f>
        <v>Running</v>
      </c>
      <c r="F9" s="173">
        <f>636*4</f>
        <v>2544</v>
      </c>
      <c r="G9" s="173">
        <v>0</v>
      </c>
      <c r="H9" s="173">
        <v>0</v>
      </c>
      <c r="I9" s="173">
        <f>SUM(Assem[[#This Row],[S1Qty]],Assem[[#This Row],[S2Qty]],Assem[[#This Row],[S3Qty]])</f>
        <v>2544</v>
      </c>
      <c r="J9" s="142" t="s">
        <v>198</v>
      </c>
    </row>
    <row r="10" spans="1:27" x14ac:dyDescent="0.2">
      <c r="A10" s="130">
        <v>45414</v>
      </c>
      <c r="B10" s="178" t="s">
        <v>17</v>
      </c>
      <c r="C10" s="171">
        <v>25987</v>
      </c>
      <c r="D10" s="123" t="s">
        <v>186</v>
      </c>
      <c r="E10" s="172" t="str">
        <f>IF(Assem[[#This Row],[Total]]&gt;0,"Running","Down")</f>
        <v>Running</v>
      </c>
      <c r="F10" s="173">
        <f>637*4</f>
        <v>2548</v>
      </c>
      <c r="G10" s="173">
        <f>1026*4</f>
        <v>4104</v>
      </c>
      <c r="H10" s="173">
        <f>1071*4</f>
        <v>4284</v>
      </c>
      <c r="I10" s="173">
        <f>SUM(Assem[[#This Row],[S1Qty]],Assem[[#This Row],[S2Qty]],Assem[[#This Row],[S3Qty]])</f>
        <v>10936</v>
      </c>
      <c r="J10" s="142" t="s">
        <v>200</v>
      </c>
    </row>
    <row r="11" spans="1:27" x14ac:dyDescent="0.2">
      <c r="A11" s="130">
        <v>45414</v>
      </c>
      <c r="B11" s="170" t="s">
        <v>18</v>
      </c>
      <c r="C11" s="171">
        <v>25987</v>
      </c>
      <c r="D11" s="123" t="s">
        <v>186</v>
      </c>
      <c r="E11" s="172" t="str">
        <f>IF(Assem[[#This Row],[Total]]&gt;0,"Running","Down")</f>
        <v>Running</v>
      </c>
      <c r="F11" s="173">
        <f>637*4</f>
        <v>2548</v>
      </c>
      <c r="G11" s="173">
        <f>1020*4</f>
        <v>4080</v>
      </c>
      <c r="H11" s="173">
        <f>705*4</f>
        <v>2820</v>
      </c>
      <c r="I11" s="173">
        <f>SUM(Assem[[#This Row],[S1Qty]],Assem[[#This Row],[S2Qty]],Assem[[#This Row],[S3Qty]])</f>
        <v>9448</v>
      </c>
      <c r="J11" s="142" t="s">
        <v>199</v>
      </c>
    </row>
    <row r="12" spans="1:27" x14ac:dyDescent="0.2">
      <c r="A12" s="130">
        <v>45415</v>
      </c>
      <c r="B12" s="174" t="s">
        <v>17</v>
      </c>
      <c r="C12" s="175">
        <v>26680</v>
      </c>
      <c r="D12" s="123" t="s">
        <v>186</v>
      </c>
      <c r="E12" s="176" t="str">
        <f>IF(Assem[[#This Row],[Total]]&gt;0,"Running","Down")</f>
        <v>Running</v>
      </c>
      <c r="F12" s="177">
        <v>4480</v>
      </c>
      <c r="G12" s="177">
        <v>4100</v>
      </c>
      <c r="H12" s="177">
        <f>1113*4</f>
        <v>4452</v>
      </c>
      <c r="I12" s="177">
        <f>SUM(Assem[[#This Row],[S1Qty]],Assem[[#This Row],[S2Qty]],Assem[[#This Row],[S3Qty]])</f>
        <v>13032</v>
      </c>
      <c r="J12" s="142" t="s">
        <v>208</v>
      </c>
    </row>
    <row r="13" spans="1:27" x14ac:dyDescent="0.2">
      <c r="A13" s="130">
        <v>45415</v>
      </c>
      <c r="B13" s="174" t="s">
        <v>18</v>
      </c>
      <c r="C13" s="175">
        <v>26680</v>
      </c>
      <c r="D13" s="123" t="s">
        <v>186</v>
      </c>
      <c r="E13" s="176" t="str">
        <f>IF(Assem[[#This Row],[Total]]&gt;0,"Running","Down")</f>
        <v>Running</v>
      </c>
      <c r="F13" s="177">
        <v>4484</v>
      </c>
      <c r="G13" s="177">
        <v>4000</v>
      </c>
      <c r="H13" s="177">
        <f>996*4</f>
        <v>3984</v>
      </c>
      <c r="I13" s="177">
        <f>SUM(Assem[[#This Row],[S1Qty]],Assem[[#This Row],[S2Qty]],Assem[[#This Row],[S3Qty]])</f>
        <v>12468</v>
      </c>
      <c r="J13" s="142" t="s">
        <v>205</v>
      </c>
    </row>
    <row r="14" spans="1:27" x14ac:dyDescent="0.2">
      <c r="A14" s="130">
        <v>45416</v>
      </c>
      <c r="B14" s="178" t="s">
        <v>17</v>
      </c>
      <c r="C14" s="175">
        <v>26680</v>
      </c>
      <c r="D14" s="123" t="s">
        <v>186</v>
      </c>
      <c r="E14" s="181" t="str">
        <f>IF(Assem[[#This Row],[Total]]&gt;0,"Running","Down")</f>
        <v>Running</v>
      </c>
      <c r="F14" s="182">
        <v>4404</v>
      </c>
      <c r="G14" s="182">
        <f>1018*4</f>
        <v>4072</v>
      </c>
      <c r="H14" s="182">
        <f>1093*4</f>
        <v>4372</v>
      </c>
      <c r="I14" s="182">
        <f>SUM(Assem[[#This Row],[S1Qty]],Assem[[#This Row],[S2Qty]],Assem[[#This Row],[S3Qty]])</f>
        <v>12848</v>
      </c>
      <c r="J14" s="142" t="s">
        <v>208</v>
      </c>
    </row>
    <row r="15" spans="1:27" x14ac:dyDescent="0.2">
      <c r="A15" s="130">
        <v>45416</v>
      </c>
      <c r="B15" s="178" t="s">
        <v>18</v>
      </c>
      <c r="C15" s="175">
        <v>26680</v>
      </c>
      <c r="D15" s="123" t="s">
        <v>186</v>
      </c>
      <c r="E15" s="181" t="str">
        <f>IF(Assem[[#This Row],[Total]]&gt;0,"Running","Down")</f>
        <v>Running</v>
      </c>
      <c r="F15" s="182">
        <v>4452</v>
      </c>
      <c r="G15" s="182">
        <f>1051*4</f>
        <v>4204</v>
      </c>
      <c r="H15" s="182">
        <f>343*4</f>
        <v>1372</v>
      </c>
      <c r="I15" s="182">
        <f>SUM(Assem[[#This Row],[S1Qty]],Assem[[#This Row],[S2Qty]],Assem[[#This Row],[S3Qty]])</f>
        <v>10028</v>
      </c>
      <c r="J15" s="142" t="s">
        <v>207</v>
      </c>
    </row>
    <row r="16" spans="1:27" x14ac:dyDescent="0.2">
      <c r="A16" s="130">
        <v>45417</v>
      </c>
      <c r="B16" s="178" t="s">
        <v>17</v>
      </c>
      <c r="C16" s="175">
        <v>26680</v>
      </c>
      <c r="D16" s="123" t="s">
        <v>186</v>
      </c>
      <c r="E16" s="181" t="str">
        <f>IF(Assem[[#This Row],[Total]]&gt;0,"Running","Down")</f>
        <v>Running</v>
      </c>
      <c r="F16" s="182">
        <f>1271*4</f>
        <v>5084</v>
      </c>
      <c r="G16" s="182">
        <f>1037*4</f>
        <v>4148</v>
      </c>
      <c r="H16" s="182">
        <f>1110*4</f>
        <v>4440</v>
      </c>
      <c r="I16" s="182">
        <f>SUM(Assem[[#This Row],[S1Qty]],Assem[[#This Row],[S2Qty]],Assem[[#This Row],[S3Qty]])</f>
        <v>13672</v>
      </c>
      <c r="J16" s="142" t="s">
        <v>208</v>
      </c>
    </row>
    <row r="17" spans="1:10" x14ac:dyDescent="0.2">
      <c r="A17" s="130">
        <v>45417</v>
      </c>
      <c r="B17" s="178" t="s">
        <v>18</v>
      </c>
      <c r="C17" s="175">
        <v>26680</v>
      </c>
      <c r="D17" s="123" t="s">
        <v>186</v>
      </c>
      <c r="E17" s="181" t="str">
        <f>IF(Assem[[#This Row],[Total]]&gt;0,"Running","Down")</f>
        <v>Running</v>
      </c>
      <c r="F17" s="182">
        <f>1240*4</f>
        <v>4960</v>
      </c>
      <c r="G17" s="182">
        <f>1023*4</f>
        <v>4092</v>
      </c>
      <c r="H17" s="182">
        <f>515*4</f>
        <v>2060</v>
      </c>
      <c r="I17" s="182">
        <f>SUM(Assem[[#This Row],[S1Qty]],Assem[[#This Row],[S2Qty]],Assem[[#This Row],[S3Qty]])</f>
        <v>11112</v>
      </c>
      <c r="J17" s="142" t="s">
        <v>210</v>
      </c>
    </row>
    <row r="18" spans="1:10" x14ac:dyDescent="0.2">
      <c r="A18" s="130">
        <v>45418</v>
      </c>
      <c r="B18" s="178" t="s">
        <v>17</v>
      </c>
      <c r="C18" s="175">
        <v>26680</v>
      </c>
      <c r="D18" s="123" t="s">
        <v>186</v>
      </c>
      <c r="E18" s="181" t="str">
        <f>IF(Assem[[#This Row],[Total]]&gt;0,"Running","Down")</f>
        <v>Running</v>
      </c>
      <c r="F18" s="182">
        <f>1115*4</f>
        <v>4460</v>
      </c>
      <c r="G18" s="182">
        <f>909*4</f>
        <v>3636</v>
      </c>
      <c r="H18" s="182">
        <v>0</v>
      </c>
      <c r="I18" s="182">
        <f>SUM(Assem[[#This Row],[S1Qty]],Assem[[#This Row],[S2Qty]],Assem[[#This Row],[S3Qty]])</f>
        <v>8096</v>
      </c>
      <c r="J18" s="142" t="s">
        <v>208</v>
      </c>
    </row>
    <row r="19" spans="1:10" x14ac:dyDescent="0.2">
      <c r="A19" s="130">
        <v>45418</v>
      </c>
      <c r="B19" s="178" t="s">
        <v>18</v>
      </c>
      <c r="C19" s="175">
        <v>26680</v>
      </c>
      <c r="D19" s="123" t="s">
        <v>186</v>
      </c>
      <c r="E19" s="181" t="str">
        <f>IF(Assem[[#This Row],[Total]]&gt;0,"Running","Down")</f>
        <v>Running</v>
      </c>
      <c r="F19" s="182">
        <f>1125*4</f>
        <v>4500</v>
      </c>
      <c r="G19" s="182">
        <f>930*4</f>
        <v>3720</v>
      </c>
      <c r="H19" s="182">
        <v>0</v>
      </c>
      <c r="I19" s="182">
        <f>SUM(Assem[[#This Row],[S1Qty]],Assem[[#This Row],[S2Qty]],Assem[[#This Row],[S3Qty]])</f>
        <v>8220</v>
      </c>
      <c r="J19" s="142" t="s">
        <v>212</v>
      </c>
    </row>
    <row r="20" spans="1:10" x14ac:dyDescent="0.2">
      <c r="A20" s="130">
        <v>45419</v>
      </c>
      <c r="B20" s="178" t="s">
        <v>17</v>
      </c>
      <c r="C20" s="175">
        <v>26680</v>
      </c>
      <c r="D20" s="123" t="s">
        <v>186</v>
      </c>
      <c r="E20" s="181" t="str">
        <f>IF(Assem[[#This Row],[Total]]&gt;0,"Running","Down")</f>
        <v>Running</v>
      </c>
      <c r="F20" s="182">
        <f>833*4</f>
        <v>3332</v>
      </c>
      <c r="G20" s="182">
        <v>0</v>
      </c>
      <c r="H20" s="182">
        <v>0</v>
      </c>
      <c r="I20" s="182">
        <f>SUM(Assem[[#This Row],[S1Qty]],Assem[[#This Row],[S2Qty]],Assem[[#This Row],[S3Qty]])</f>
        <v>3332</v>
      </c>
      <c r="J20" s="142" t="s">
        <v>208</v>
      </c>
    </row>
    <row r="21" spans="1:10" x14ac:dyDescent="0.2">
      <c r="A21" s="130">
        <v>45419</v>
      </c>
      <c r="B21" s="178" t="s">
        <v>18</v>
      </c>
      <c r="C21" s="175">
        <v>26680</v>
      </c>
      <c r="D21" s="123" t="s">
        <v>186</v>
      </c>
      <c r="E21" s="181" t="str">
        <f>IF(Assem[[#This Row],[Total]]&gt;0,"Running","Down")</f>
        <v>Down</v>
      </c>
      <c r="F21" s="182">
        <v>0</v>
      </c>
      <c r="G21" s="182">
        <v>0</v>
      </c>
      <c r="H21" s="182">
        <v>0</v>
      </c>
      <c r="I21" s="182">
        <f>SUM(Assem[[#This Row],[S1Qty]],Assem[[#This Row],[S2Qty]],Assem[[#This Row],[S3Qty]])</f>
        <v>0</v>
      </c>
      <c r="J21" s="142" t="s">
        <v>214</v>
      </c>
    </row>
    <row r="22" spans="1:10" x14ac:dyDescent="0.2">
      <c r="A22" s="130">
        <v>45420</v>
      </c>
      <c r="B22" s="178" t="s">
        <v>17</v>
      </c>
      <c r="C22" s="175">
        <v>26680</v>
      </c>
      <c r="D22" s="123" t="s">
        <v>186</v>
      </c>
      <c r="E22" s="181" t="str">
        <f>IF(Assem[[#This Row],[Total]]&gt;0,"Running","Down")</f>
        <v>Down</v>
      </c>
      <c r="F22" s="182">
        <v>0</v>
      </c>
      <c r="G22" s="182">
        <v>0</v>
      </c>
      <c r="H22" s="182">
        <v>0</v>
      </c>
      <c r="I22" s="182">
        <f>SUM(Assem[[#This Row],[S1Qty]],Assem[[#This Row],[S2Qty]],Assem[[#This Row],[S3Qty]])</f>
        <v>0</v>
      </c>
      <c r="J22" s="142" t="s">
        <v>208</v>
      </c>
    </row>
    <row r="23" spans="1:10" x14ac:dyDescent="0.2">
      <c r="A23" s="130">
        <v>45420</v>
      </c>
      <c r="B23" s="178" t="s">
        <v>18</v>
      </c>
      <c r="C23" s="175">
        <v>26680</v>
      </c>
      <c r="D23" s="123" t="s">
        <v>186</v>
      </c>
      <c r="E23" s="181" t="str">
        <f>IF(Assem[[#This Row],[Total]]&gt;0,"Running","Down")</f>
        <v>Down</v>
      </c>
      <c r="F23" s="182">
        <v>0</v>
      </c>
      <c r="G23" s="182">
        <v>0</v>
      </c>
      <c r="H23" s="182">
        <v>0</v>
      </c>
      <c r="I23" s="182">
        <f>SUM(Assem[[#This Row],[S1Qty]],Assem[[#This Row],[S2Qty]],Assem[[#This Row],[S3Qty]])</f>
        <v>0</v>
      </c>
      <c r="J23" s="142"/>
    </row>
    <row r="24" spans="1:10" x14ac:dyDescent="0.2">
      <c r="A24" s="130">
        <v>45421</v>
      </c>
      <c r="B24" s="178" t="s">
        <v>17</v>
      </c>
      <c r="C24" s="123">
        <v>26680</v>
      </c>
      <c r="D24" s="123" t="s">
        <v>186</v>
      </c>
      <c r="E24" s="181" t="str">
        <f>IF(Assem[[#This Row],[Total]]&gt;0,"Running","Down")</f>
        <v>Running</v>
      </c>
      <c r="F24" s="182">
        <v>0</v>
      </c>
      <c r="G24" s="182">
        <f>550*4</f>
        <v>2200</v>
      </c>
      <c r="H24" s="182">
        <f>4*1254</f>
        <v>5016</v>
      </c>
      <c r="I24" s="182">
        <f>SUM(Assem[[#This Row],[S1Qty]],Assem[[#This Row],[S2Qty]],Assem[[#This Row],[S3Qty]])</f>
        <v>7216</v>
      </c>
      <c r="J24" s="142" t="s">
        <v>218</v>
      </c>
    </row>
    <row r="25" spans="1:10" x14ac:dyDescent="0.2">
      <c r="A25" s="130">
        <v>45421</v>
      </c>
      <c r="B25" s="178" t="s">
        <v>18</v>
      </c>
      <c r="C25" s="123">
        <v>26680</v>
      </c>
      <c r="D25" s="123" t="s">
        <v>186</v>
      </c>
      <c r="E25" s="181" t="str">
        <f>IF(Assem[[#This Row],[Total]]&gt;0,"Running","Down")</f>
        <v>Running</v>
      </c>
      <c r="F25" s="182">
        <v>0</v>
      </c>
      <c r="G25" s="182">
        <f>4*413</f>
        <v>1652</v>
      </c>
      <c r="H25" s="182">
        <f>4*1302</f>
        <v>5208</v>
      </c>
      <c r="I25" s="182">
        <f>SUM(Assem[[#This Row],[S1Qty]],Assem[[#This Row],[S2Qty]],Assem[[#This Row],[S3Qty]])</f>
        <v>6860</v>
      </c>
      <c r="J25" s="142" t="s">
        <v>220</v>
      </c>
    </row>
    <row r="26" spans="1:10" x14ac:dyDescent="0.2">
      <c r="A26" s="130">
        <v>45422</v>
      </c>
      <c r="B26" s="183" t="s">
        <v>17</v>
      </c>
      <c r="C26" s="184">
        <v>26680</v>
      </c>
      <c r="D26" s="123" t="s">
        <v>186</v>
      </c>
      <c r="E26" s="185" t="str">
        <f>IF(Assem[[#This Row],[Total]]&gt;0,"Running","Down")</f>
        <v>Running</v>
      </c>
      <c r="F26" s="186">
        <v>4648</v>
      </c>
      <c r="G26" s="186">
        <f>1024*4</f>
        <v>4096</v>
      </c>
      <c r="H26" s="186">
        <f>992*4</f>
        <v>3968</v>
      </c>
      <c r="I26" s="186">
        <f>SUM(Assem[[#This Row],[S1Qty]],Assem[[#This Row],[S2Qty]],Assem[[#This Row],[S3Qty]])</f>
        <v>12712</v>
      </c>
      <c r="J26" s="142" t="s">
        <v>208</v>
      </c>
    </row>
    <row r="27" spans="1:10" x14ac:dyDescent="0.2">
      <c r="A27" s="130">
        <v>45422</v>
      </c>
      <c r="B27" s="183" t="s">
        <v>18</v>
      </c>
      <c r="C27" s="184">
        <v>26680</v>
      </c>
      <c r="D27" s="123" t="s">
        <v>186</v>
      </c>
      <c r="E27" s="185" t="str">
        <f>IF(Assem[[#This Row],[Total]]&gt;0,"Running","Down")</f>
        <v>Running</v>
      </c>
      <c r="F27" s="186">
        <v>4592</v>
      </c>
      <c r="G27" s="186">
        <f>750*4</f>
        <v>3000</v>
      </c>
      <c r="H27" s="186">
        <f>357*4</f>
        <v>1428</v>
      </c>
      <c r="I27" s="186">
        <f>SUM(Assem[[#This Row],[S1Qty]],Assem[[#This Row],[S2Qty]],Assem[[#This Row],[S3Qty]])</f>
        <v>9020</v>
      </c>
      <c r="J27" s="142" t="s">
        <v>222</v>
      </c>
    </row>
    <row r="28" spans="1:10" hidden="1" x14ac:dyDescent="0.2">
      <c r="A28" s="130">
        <v>45423</v>
      </c>
      <c r="B28" s="269" t="s">
        <v>17</v>
      </c>
      <c r="C28" s="270"/>
      <c r="D28" s="270"/>
      <c r="E28" s="271" t="str">
        <f>IF(Assem[[#This Row],[Total]]&gt;0,"Running","Down")</f>
        <v>Down</v>
      </c>
      <c r="F28" s="272">
        <v>0</v>
      </c>
      <c r="G28" s="272">
        <v>0</v>
      </c>
      <c r="H28" s="272">
        <v>0</v>
      </c>
      <c r="I28" s="272">
        <f>SUM(Assem[[#This Row],[S1Qty]],Assem[[#This Row],[S2Qty]],Assem[[#This Row],[S3Qty]])</f>
        <v>0</v>
      </c>
      <c r="J28" s="273"/>
    </row>
    <row r="29" spans="1:10" hidden="1" x14ac:dyDescent="0.2">
      <c r="A29" s="130">
        <v>45423</v>
      </c>
      <c r="B29" s="269" t="s">
        <v>18</v>
      </c>
      <c r="C29" s="270"/>
      <c r="D29" s="270"/>
      <c r="E29" s="271" t="str">
        <f>IF(Assem[[#This Row],[Total]]&gt;0,"Running","Down")</f>
        <v>Down</v>
      </c>
      <c r="F29" s="272">
        <v>0</v>
      </c>
      <c r="G29" s="272">
        <v>0</v>
      </c>
      <c r="H29" s="272">
        <v>0</v>
      </c>
      <c r="I29" s="272">
        <f>SUM(Assem[[#This Row],[S1Qty]],Assem[[#This Row],[S2Qty]],Assem[[#This Row],[S3Qty]])</f>
        <v>0</v>
      </c>
      <c r="J29" s="273"/>
    </row>
    <row r="68" hidden="1" x14ac:dyDescent="0.2"/>
    <row r="69" hidden="1" x14ac:dyDescent="0.2"/>
  </sheetData>
  <mergeCells count="1">
    <mergeCell ref="J2:M2"/>
  </mergeCells>
  <conditionalFormatting sqref="A5:J29">
    <cfRule type="expression" dxfId="66" priority="1" stopIfTrue="1">
      <formula>INDIRECT("Assem[@Date]")=MAX(INDIRECT("Assem[Date]"))-1</formula>
    </cfRule>
  </conditionalFormatting>
  <pageMargins left="0.75" right="0.75" top="1" bottom="1" header="0.5" footer="0.5"/>
  <pageSetup scale="49" fitToHeight="0" orientation="landscape" r:id="rId1"/>
  <headerFooter alignWithMargins="0"/>
  <ignoredErrors>
    <ignoredError sqref="F9" formula="1"/>
  </ignoredErrors>
  <legacyDrawing r:id="rId2"/>
  <tableParts count="1">
    <tablePart r:id="rId3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>
    <pageSetUpPr fitToPage="1"/>
  </sheetPr>
  <dimension ref="A2:AA40"/>
  <sheetViews>
    <sheetView zoomScaleNormal="100" workbookViewId="0">
      <pane xSplit="1" ySplit="5" topLeftCell="B6" activePane="bottomRight" state="frozen"/>
      <selection pane="topRight" activeCell="B1" sqref="B1"/>
      <selection pane="bottomLeft" activeCell="A6" sqref="A6"/>
      <selection pane="bottomRight" activeCell="Q20" sqref="Q20"/>
    </sheetView>
  </sheetViews>
  <sheetFormatPr defaultRowHeight="12.75" x14ac:dyDescent="0.2"/>
  <cols>
    <col min="1" max="1" width="8.140625" customWidth="1"/>
    <col min="2" max="2" width="10.85546875" customWidth="1"/>
    <col min="3" max="3" width="9.140625" bestFit="1" customWidth="1"/>
    <col min="4" max="4" width="15.42578125" customWidth="1"/>
    <col min="5" max="5" width="10.140625" customWidth="1"/>
    <col min="6" max="6" width="10.42578125" customWidth="1"/>
    <col min="7" max="7" width="11.7109375" customWidth="1"/>
    <col min="8" max="8" width="11.42578125" customWidth="1"/>
    <col min="9" max="9" width="14.28515625" customWidth="1"/>
    <col min="10" max="10" width="9.140625" bestFit="1" customWidth="1"/>
    <col min="11" max="11" width="41.28515625" customWidth="1"/>
    <col min="12" max="12" width="9.42578125" bestFit="1" customWidth="1"/>
    <col min="13" max="13" width="9" hidden="1" customWidth="1"/>
    <col min="14" max="14" width="10.28515625" bestFit="1" customWidth="1"/>
    <col min="15" max="15" width="8.7109375" bestFit="1" customWidth="1"/>
    <col min="16" max="16" width="10.140625" bestFit="1" customWidth="1"/>
    <col min="17" max="17" width="11.28515625" bestFit="1" customWidth="1"/>
    <col min="18" max="18" width="8.7109375" bestFit="1" customWidth="1"/>
    <col min="19" max="19" width="9.85546875" bestFit="1" customWidth="1"/>
    <col min="20" max="20" width="10.140625" bestFit="1" customWidth="1"/>
    <col min="21" max="21" width="8.5703125" bestFit="1" customWidth="1"/>
    <col min="22" max="22" width="9.42578125" bestFit="1" customWidth="1"/>
    <col min="23" max="23" width="9" bestFit="1" customWidth="1"/>
    <col min="24" max="24" width="8.140625" bestFit="1" customWidth="1"/>
    <col min="25" max="25" width="9.42578125" bestFit="1" customWidth="1"/>
    <col min="26" max="26" width="8" bestFit="1" customWidth="1"/>
    <col min="27" max="27" width="8.85546875" bestFit="1" customWidth="1"/>
    <col min="28" max="28" width="8.42578125" bestFit="1" customWidth="1"/>
    <col min="29" max="29" width="9.28515625" bestFit="1" customWidth="1"/>
    <col min="30" max="30" width="9.42578125" bestFit="1" customWidth="1"/>
    <col min="31" max="31" width="9" bestFit="1" customWidth="1"/>
    <col min="32" max="32" width="10.28515625" bestFit="1" customWidth="1"/>
    <col min="33" max="33" width="8.7109375" bestFit="1" customWidth="1"/>
    <col min="34" max="34" width="9.85546875" bestFit="1" customWidth="1"/>
    <col min="35" max="35" width="11.28515625" bestFit="1" customWidth="1"/>
    <col min="36" max="36" width="8.7109375" bestFit="1" customWidth="1"/>
    <col min="37" max="37" width="9.85546875" bestFit="1" customWidth="1"/>
    <col min="38" max="38" width="9.28515625" bestFit="1" customWidth="1"/>
    <col min="39" max="39" width="8.5703125" bestFit="1" customWidth="1"/>
    <col min="40" max="40" width="9.42578125" bestFit="1" customWidth="1"/>
    <col min="41" max="41" width="9" bestFit="1" customWidth="1"/>
    <col min="42" max="42" width="8.140625" bestFit="1" customWidth="1"/>
    <col min="43" max="43" width="9.42578125" bestFit="1" customWidth="1"/>
    <col min="44" max="44" width="8" bestFit="1" customWidth="1"/>
    <col min="45" max="45" width="8.85546875" bestFit="1" customWidth="1"/>
    <col min="46" max="46" width="8.42578125" bestFit="1" customWidth="1"/>
    <col min="47" max="47" width="8.85546875" bestFit="1" customWidth="1"/>
    <col min="48" max="48" width="8.42578125" bestFit="1" customWidth="1"/>
    <col min="49" max="49" width="7.85546875" bestFit="1" customWidth="1"/>
  </cols>
  <sheetData>
    <row r="2" spans="1:27" ht="27" thickBot="1" x14ac:dyDescent="0.45">
      <c r="A2" s="100" t="s">
        <v>23</v>
      </c>
      <c r="B2" s="101"/>
      <c r="C2" s="102"/>
      <c r="D2" s="103"/>
      <c r="E2" s="105"/>
      <c r="F2" s="106"/>
      <c r="G2" s="5"/>
      <c r="H2" s="5"/>
      <c r="I2" s="104" t="s">
        <v>40</v>
      </c>
      <c r="J2" s="264">
        <f>$A$6</f>
        <v>45413</v>
      </c>
      <c r="K2" s="264"/>
      <c r="L2" s="22"/>
      <c r="M2" s="6"/>
      <c r="N2" s="6"/>
      <c r="O2" s="6"/>
      <c r="P2" s="5"/>
      <c r="Q2" s="22"/>
      <c r="R2" s="7"/>
      <c r="S2" s="7"/>
      <c r="T2" s="6"/>
      <c r="U2" s="6"/>
    </row>
    <row r="3" spans="1:27" ht="18.75" thickTop="1" x14ac:dyDescent="0.25">
      <c r="B3" s="1"/>
      <c r="C3" s="2"/>
      <c r="D3" s="3"/>
      <c r="E3" s="4"/>
      <c r="F3" s="5"/>
      <c r="G3" s="5"/>
      <c r="H3" s="5"/>
      <c r="I3" s="8"/>
      <c r="J3" s="8"/>
      <c r="K3" s="8"/>
      <c r="L3" s="8"/>
      <c r="M3" s="5"/>
      <c r="N3" s="8"/>
      <c r="O3" s="8"/>
      <c r="P3" s="8"/>
      <c r="Q3" s="8"/>
      <c r="R3" s="5"/>
      <c r="S3" s="8"/>
      <c r="T3" s="8"/>
      <c r="U3" s="8"/>
      <c r="V3" s="8"/>
      <c r="W3" s="8"/>
      <c r="X3" s="8"/>
      <c r="Y3" s="8"/>
      <c r="Z3" s="8"/>
      <c r="AA3" s="8"/>
    </row>
    <row r="4" spans="1:27" ht="12.75" customHeight="1" x14ac:dyDescent="0.25">
      <c r="B4" s="1"/>
      <c r="E4" s="4"/>
      <c r="F4" s="5"/>
      <c r="G4" s="5"/>
      <c r="H4" s="5"/>
      <c r="I4" s="8"/>
      <c r="J4" s="8"/>
      <c r="K4" s="8"/>
      <c r="L4" s="8"/>
      <c r="M4" s="5"/>
      <c r="N4" s="8"/>
      <c r="O4" s="8"/>
      <c r="P4" s="8"/>
      <c r="Q4" s="8"/>
      <c r="R4" s="5"/>
      <c r="S4" s="8"/>
      <c r="T4" s="8"/>
      <c r="U4" s="8"/>
      <c r="V4" s="8"/>
      <c r="W4" s="8"/>
      <c r="X4" s="8"/>
      <c r="Y4" s="8"/>
      <c r="Z4" s="8"/>
      <c r="AA4" s="8"/>
    </row>
    <row r="5" spans="1:27" s="125" customFormat="1" ht="12.75" customHeight="1" x14ac:dyDescent="0.2">
      <c r="A5" s="125" t="s">
        <v>107</v>
      </c>
      <c r="B5" s="125" t="s">
        <v>35</v>
      </c>
      <c r="C5" s="125" t="s">
        <v>25</v>
      </c>
      <c r="D5" s="125" t="s">
        <v>28</v>
      </c>
      <c r="E5" s="125" t="s">
        <v>12</v>
      </c>
      <c r="F5" s="125" t="s">
        <v>113</v>
      </c>
      <c r="G5" s="125" t="s">
        <v>119</v>
      </c>
      <c r="H5" s="125" t="s">
        <v>125</v>
      </c>
      <c r="I5" s="125" t="s">
        <v>59</v>
      </c>
      <c r="J5" s="125" t="s">
        <v>151</v>
      </c>
      <c r="K5" s="125" t="s">
        <v>144</v>
      </c>
      <c r="L5" s="125" t="s">
        <v>163</v>
      </c>
      <c r="M5" s="125" t="s">
        <v>160</v>
      </c>
    </row>
    <row r="6" spans="1:27" x14ac:dyDescent="0.2">
      <c r="A6" s="162">
        <v>45413</v>
      </c>
      <c r="B6" s="164" t="s">
        <v>36</v>
      </c>
      <c r="C6" s="164">
        <v>27121</v>
      </c>
      <c r="D6" s="123" t="s">
        <v>190</v>
      </c>
      <c r="E6" s="164" t="str">
        <f>IF(FnlAssem[[#This Row],[Total]]&gt;0,"Running","Down")</f>
        <v>Running</v>
      </c>
      <c r="F6" s="167">
        <v>20</v>
      </c>
      <c r="G6" s="167">
        <v>8</v>
      </c>
      <c r="H6" s="167">
        <v>17</v>
      </c>
      <c r="I6" s="167">
        <f>SUM(FnlAssem[[#This Row],[S1Qty]],FnlAssem[[#This Row],[S2Qty]],FnlAssem[[#This Row],[S3Qty]])*FnlAssem[[#This Row],[Pcs/Tray]]-FnlAssem[[#This Row],[Defects]]</f>
        <v>21593</v>
      </c>
      <c r="J6" s="167">
        <v>7</v>
      </c>
      <c r="K6" s="168"/>
      <c r="L6" s="123">
        <v>480</v>
      </c>
      <c r="M6" s="169">
        <v>30000</v>
      </c>
    </row>
    <row r="7" spans="1:27" x14ac:dyDescent="0.2">
      <c r="A7" s="162">
        <v>45413</v>
      </c>
      <c r="B7" s="164" t="s">
        <v>36</v>
      </c>
      <c r="C7" s="164">
        <v>25987</v>
      </c>
      <c r="D7" s="123" t="s">
        <v>186</v>
      </c>
      <c r="E7" s="164" t="str">
        <f>IF(FnlAssem[[#This Row],[Total]]&gt;0,"Running","Down")</f>
        <v>Running</v>
      </c>
      <c r="F7" s="167">
        <v>20</v>
      </c>
      <c r="G7" s="167">
        <f>7+18</f>
        <v>25</v>
      </c>
      <c r="H7" s="167">
        <f>1+18</f>
        <v>19</v>
      </c>
      <c r="I7" s="167">
        <f>SUM(FnlAssem[[#This Row],[S1Qty]],FnlAssem[[#This Row],[S2Qty]],FnlAssem[[#This Row],[S3Qty]])*FnlAssem[[#This Row],[Pcs/Tray]]-FnlAssem[[#This Row],[Defects]]</f>
        <v>30711</v>
      </c>
      <c r="J7" s="167">
        <v>9</v>
      </c>
      <c r="K7" s="124" t="s">
        <v>197</v>
      </c>
      <c r="L7" s="123">
        <v>480</v>
      </c>
      <c r="M7" s="169">
        <v>30000</v>
      </c>
    </row>
    <row r="8" spans="1:27" x14ac:dyDescent="0.2">
      <c r="A8" s="162">
        <v>45414</v>
      </c>
      <c r="B8" s="164" t="s">
        <v>36</v>
      </c>
      <c r="C8" s="164">
        <v>27121</v>
      </c>
      <c r="D8" s="123" t="s">
        <v>190</v>
      </c>
      <c r="E8" s="164" t="str">
        <f>IF(FnlAssem[[#This Row],[Total]]&gt;0,"Running","Down")</f>
        <v>Running</v>
      </c>
      <c r="F8" s="167">
        <v>10</v>
      </c>
      <c r="G8" s="167">
        <v>0</v>
      </c>
      <c r="H8" s="167">
        <v>0</v>
      </c>
      <c r="I8" s="167">
        <f>SUM(FnlAssem[[#This Row],[S1Qty]],FnlAssem[[#This Row],[S2Qty]],FnlAssem[[#This Row],[S3Qty]])*FnlAssem[[#This Row],[Pcs/Tray]]-FnlAssem[[#This Row],[Defects]]</f>
        <v>4799</v>
      </c>
      <c r="J8" s="167">
        <v>1</v>
      </c>
      <c r="K8" s="124" t="s">
        <v>201</v>
      </c>
      <c r="L8" s="123">
        <v>480</v>
      </c>
      <c r="M8" s="169">
        <v>30000</v>
      </c>
    </row>
    <row r="9" spans="1:27" x14ac:dyDescent="0.2">
      <c r="A9" s="162">
        <v>45414</v>
      </c>
      <c r="B9" s="164" t="s">
        <v>36</v>
      </c>
      <c r="C9" s="164">
        <v>25987</v>
      </c>
      <c r="D9" s="123" t="s">
        <v>186</v>
      </c>
      <c r="E9" s="164" t="str">
        <f>IF(FnlAssem[[#This Row],[Total]]&gt;0,"Running","Down")</f>
        <v>Running</v>
      </c>
      <c r="F9" s="167">
        <f>11+24</f>
        <v>35</v>
      </c>
      <c r="G9" s="167">
        <f>16+23</f>
        <v>39</v>
      </c>
      <c r="H9" s="167">
        <f>2+12</f>
        <v>14</v>
      </c>
      <c r="I9" s="167">
        <f>SUM(FnlAssem[[#This Row],[S1Qty]],FnlAssem[[#This Row],[S2Qty]],FnlAssem[[#This Row],[S3Qty]])*FnlAssem[[#This Row],[Pcs/Tray]]-FnlAssem[[#This Row],[Defects]]</f>
        <v>42229</v>
      </c>
      <c r="J9" s="167">
        <v>11</v>
      </c>
      <c r="K9" s="124" t="s">
        <v>202</v>
      </c>
      <c r="L9" s="123">
        <v>480</v>
      </c>
      <c r="M9" s="169">
        <v>30000</v>
      </c>
    </row>
    <row r="10" spans="1:27" x14ac:dyDescent="0.2">
      <c r="A10" s="162">
        <v>45414</v>
      </c>
      <c r="B10" s="164" t="s">
        <v>36</v>
      </c>
      <c r="C10" s="164">
        <v>26680</v>
      </c>
      <c r="D10" s="123" t="s">
        <v>186</v>
      </c>
      <c r="E10" s="164" t="str">
        <f>IF(FnlAssem[[#This Row],[Total]]&gt;0,"Running","Down")</f>
        <v>Running</v>
      </c>
      <c r="F10" s="167">
        <v>0</v>
      </c>
      <c r="G10" s="167">
        <v>0</v>
      </c>
      <c r="H10" s="167">
        <f>9+12</f>
        <v>21</v>
      </c>
      <c r="I10" s="167">
        <f>SUM(FnlAssem[[#This Row],[S1Qty]],FnlAssem[[#This Row],[S2Qty]],FnlAssem[[#This Row],[S3Qty]])*FnlAssem[[#This Row],[Pcs/Tray]]-FnlAssem[[#This Row],[Defects]]</f>
        <v>10077</v>
      </c>
      <c r="J10" s="167">
        <v>3</v>
      </c>
      <c r="K10" s="168"/>
      <c r="L10" s="123">
        <v>480</v>
      </c>
      <c r="M10" s="169">
        <v>30000</v>
      </c>
    </row>
    <row r="11" spans="1:27" x14ac:dyDescent="0.2">
      <c r="A11" s="162">
        <v>45415</v>
      </c>
      <c r="B11" s="164" t="s">
        <v>36</v>
      </c>
      <c r="C11" s="164">
        <v>27121</v>
      </c>
      <c r="D11" s="123" t="s">
        <v>190</v>
      </c>
      <c r="E11" s="164" t="str">
        <f>IF(FnlAssem[[#This Row],[Total]]&gt;0,"Running","Down")</f>
        <v>Running</v>
      </c>
      <c r="F11" s="167">
        <v>2</v>
      </c>
      <c r="G11" s="167">
        <v>0</v>
      </c>
      <c r="H11" s="167">
        <v>0</v>
      </c>
      <c r="I11" s="167">
        <f>SUM(FnlAssem[[#This Row],[S1Qty]],FnlAssem[[#This Row],[S2Qty]],FnlAssem[[#This Row],[S3Qty]])*FnlAssem[[#This Row],[Pcs/Tray]]-FnlAssem[[#This Row],[Defects]]</f>
        <v>958</v>
      </c>
      <c r="J11" s="167">
        <v>2</v>
      </c>
      <c r="K11" s="168"/>
      <c r="L11" s="123">
        <v>480</v>
      </c>
      <c r="M11" s="169">
        <v>30000</v>
      </c>
    </row>
    <row r="12" spans="1:27" x14ac:dyDescent="0.2">
      <c r="A12" s="162">
        <v>45415</v>
      </c>
      <c r="B12" s="164" t="s">
        <v>36</v>
      </c>
      <c r="C12" s="164">
        <v>26680</v>
      </c>
      <c r="D12" s="123" t="s">
        <v>186</v>
      </c>
      <c r="E12" s="164" t="str">
        <f>IF(FnlAssem[[#This Row],[Total]]&gt;0,"Running","Down")</f>
        <v>Running</v>
      </c>
      <c r="F12" s="167">
        <v>35</v>
      </c>
      <c r="G12" s="167">
        <v>41</v>
      </c>
      <c r="H12" s="167">
        <v>41</v>
      </c>
      <c r="I12" s="167">
        <f>SUM(FnlAssem[[#This Row],[S1Qty]],FnlAssem[[#This Row],[S2Qty]],FnlAssem[[#This Row],[S3Qty]])*FnlAssem[[#This Row],[Pcs/Tray]]-FnlAssem[[#This Row],[Defects]]</f>
        <v>56149</v>
      </c>
      <c r="J12" s="167">
        <v>11</v>
      </c>
      <c r="K12" s="124" t="s">
        <v>206</v>
      </c>
      <c r="L12" s="123">
        <v>480</v>
      </c>
      <c r="M12" s="169">
        <v>30000</v>
      </c>
    </row>
    <row r="13" spans="1:27" x14ac:dyDescent="0.2">
      <c r="A13" s="162">
        <v>45416</v>
      </c>
      <c r="B13" s="164" t="s">
        <v>36</v>
      </c>
      <c r="C13" s="164">
        <v>26680</v>
      </c>
      <c r="D13" s="123" t="s">
        <v>186</v>
      </c>
      <c r="E13" s="164" t="str">
        <f>IF(FnlAssem[[#This Row],[Total]]&gt;0,"Running","Down")</f>
        <v>Running</v>
      </c>
      <c r="F13" s="167">
        <v>42</v>
      </c>
      <c r="G13" s="167">
        <v>41</v>
      </c>
      <c r="H13" s="167">
        <v>34</v>
      </c>
      <c r="I13" s="167">
        <f>SUM(FnlAssem[[#This Row],[S1Qty]],FnlAssem[[#This Row],[S2Qty]],FnlAssem[[#This Row],[S3Qty]])*FnlAssem[[#This Row],[Pcs/Tray]]-FnlAssem[[#This Row],[Defects]]</f>
        <v>56151</v>
      </c>
      <c r="J13" s="167">
        <v>9</v>
      </c>
      <c r="K13" s="124" t="s">
        <v>209</v>
      </c>
      <c r="L13" s="123">
        <v>480</v>
      </c>
      <c r="M13" s="169">
        <v>30000</v>
      </c>
    </row>
    <row r="14" spans="1:27" x14ac:dyDescent="0.2">
      <c r="A14" s="162">
        <v>45417</v>
      </c>
      <c r="B14" s="164" t="s">
        <v>36</v>
      </c>
      <c r="C14" s="164">
        <v>26680</v>
      </c>
      <c r="D14" s="123" t="s">
        <v>186</v>
      </c>
      <c r="E14" s="164" t="str">
        <f>IF(FnlAssem[[#This Row],[Total]]&gt;0,"Running","Down")</f>
        <v>Running</v>
      </c>
      <c r="F14" s="167">
        <v>44</v>
      </c>
      <c r="G14" s="167">
        <v>40</v>
      </c>
      <c r="H14" s="167">
        <v>39</v>
      </c>
      <c r="I14" s="167">
        <f>SUM(FnlAssem[[#This Row],[S1Qty]],FnlAssem[[#This Row],[S2Qty]],FnlAssem[[#This Row],[S3Qty]])*FnlAssem[[#This Row],[Pcs/Tray]]-FnlAssem[[#This Row],[Defects]]</f>
        <v>59034</v>
      </c>
      <c r="J14" s="167">
        <v>6</v>
      </c>
      <c r="K14" s="124" t="s">
        <v>211</v>
      </c>
      <c r="L14" s="123">
        <v>480</v>
      </c>
      <c r="M14" s="169">
        <v>30000</v>
      </c>
    </row>
    <row r="15" spans="1:27" x14ac:dyDescent="0.2">
      <c r="A15" s="162">
        <v>45418</v>
      </c>
      <c r="B15" s="164" t="s">
        <v>36</v>
      </c>
      <c r="C15" s="164">
        <v>26680</v>
      </c>
      <c r="D15" s="123" t="s">
        <v>186</v>
      </c>
      <c r="E15" s="164" t="str">
        <f>IF(FnlAssem[[#This Row],[Total]]&gt;0,"Running","Down")</f>
        <v>Running</v>
      </c>
      <c r="F15" s="167">
        <v>43</v>
      </c>
      <c r="G15" s="167">
        <v>39</v>
      </c>
      <c r="H15" s="167">
        <v>24</v>
      </c>
      <c r="I15" s="167">
        <f>SUM(FnlAssem[[#This Row],[S1Qty]],FnlAssem[[#This Row],[S2Qty]],FnlAssem[[#This Row],[S3Qty]])*FnlAssem[[#This Row],[Pcs/Tray]]-FnlAssem[[#This Row],[Defects]]</f>
        <v>50867</v>
      </c>
      <c r="J15" s="167">
        <v>13</v>
      </c>
      <c r="K15" s="168"/>
      <c r="L15" s="123">
        <v>480</v>
      </c>
      <c r="M15" s="169">
        <v>30000</v>
      </c>
    </row>
    <row r="16" spans="1:27" x14ac:dyDescent="0.2">
      <c r="A16" s="162">
        <v>45419</v>
      </c>
      <c r="B16" s="164" t="s">
        <v>36</v>
      </c>
      <c r="C16" s="164">
        <v>26680</v>
      </c>
      <c r="D16" s="123" t="s">
        <v>186</v>
      </c>
      <c r="E16" s="164" t="str">
        <f>IF(FnlAssem[[#This Row],[Total]]&gt;0,"Running","Down")</f>
        <v>Running</v>
      </c>
      <c r="F16" s="167">
        <v>25</v>
      </c>
      <c r="G16" s="167">
        <v>25</v>
      </c>
      <c r="H16" s="167">
        <v>27</v>
      </c>
      <c r="I16" s="167">
        <f>SUM(FnlAssem[[#This Row],[S1Qty]],FnlAssem[[#This Row],[S2Qty]],FnlAssem[[#This Row],[S3Qty]])*FnlAssem[[#This Row],[Pcs/Tray]]-FnlAssem[[#This Row],[Defects]]</f>
        <v>36945</v>
      </c>
      <c r="J16" s="167">
        <v>15</v>
      </c>
      <c r="K16" s="168"/>
      <c r="L16" s="123">
        <v>480</v>
      </c>
      <c r="M16" s="169">
        <v>30000</v>
      </c>
    </row>
    <row r="17" spans="1:13" x14ac:dyDescent="0.2">
      <c r="A17" s="162">
        <v>45420</v>
      </c>
      <c r="B17" s="164" t="s">
        <v>36</v>
      </c>
      <c r="C17" s="164">
        <v>26680</v>
      </c>
      <c r="D17" s="123" t="s">
        <v>186</v>
      </c>
      <c r="E17" s="164" t="str">
        <f>IF(FnlAssem[[#This Row],[Total]]&gt;0,"Running","Down")</f>
        <v>Running</v>
      </c>
      <c r="F17" s="167">
        <v>23</v>
      </c>
      <c r="G17" s="167">
        <v>25</v>
      </c>
      <c r="H17" s="167">
        <v>26</v>
      </c>
      <c r="I17" s="167">
        <f>SUM(FnlAssem[[#This Row],[S1Qty]],FnlAssem[[#This Row],[S2Qty]],FnlAssem[[#This Row],[S3Qty]])*FnlAssem[[#This Row],[Pcs/Tray]]-FnlAssem[[#This Row],[Defects]]</f>
        <v>35503</v>
      </c>
      <c r="J17" s="167">
        <v>17</v>
      </c>
      <c r="K17" s="124" t="s">
        <v>217</v>
      </c>
      <c r="L17" s="123">
        <v>480</v>
      </c>
      <c r="M17" s="169">
        <v>30000</v>
      </c>
    </row>
    <row r="18" spans="1:13" x14ac:dyDescent="0.2">
      <c r="A18" s="162">
        <v>45421</v>
      </c>
      <c r="B18" s="164" t="s">
        <v>36</v>
      </c>
      <c r="C18" s="164">
        <v>26680</v>
      </c>
      <c r="D18" s="123" t="s">
        <v>186</v>
      </c>
      <c r="E18" s="164" t="str">
        <f>IF(FnlAssem[[#This Row],[Total]]&gt;0,"Running","Down")</f>
        <v>Running</v>
      </c>
      <c r="F18" s="167">
        <v>25</v>
      </c>
      <c r="G18" s="167">
        <v>16</v>
      </c>
      <c r="H18" s="167">
        <v>23</v>
      </c>
      <c r="I18" s="167">
        <f>SUM(FnlAssem[[#This Row],[S1Qty]],FnlAssem[[#This Row],[S2Qty]],FnlAssem[[#This Row],[S3Qty]])*FnlAssem[[#This Row],[Pcs/Tray]]-FnlAssem[[#This Row],[Defects]]</f>
        <v>30711</v>
      </c>
      <c r="J18" s="167">
        <v>9</v>
      </c>
      <c r="K18" s="124" t="s">
        <v>219</v>
      </c>
      <c r="L18" s="123">
        <v>480</v>
      </c>
      <c r="M18" s="169">
        <v>30000</v>
      </c>
    </row>
    <row r="19" spans="1:13" x14ac:dyDescent="0.2">
      <c r="A19" s="162">
        <v>45422</v>
      </c>
      <c r="B19" s="164" t="s">
        <v>36</v>
      </c>
      <c r="C19" s="164">
        <v>26680</v>
      </c>
      <c r="D19" s="123" t="s">
        <v>186</v>
      </c>
      <c r="E19" s="164" t="str">
        <f>IF(FnlAssem[[#This Row],[Total]]&gt;0,"Running","Down")</f>
        <v>Running</v>
      </c>
      <c r="F19" s="167">
        <f>15+20</f>
        <v>35</v>
      </c>
      <c r="G19" s="167">
        <f>15+26</f>
        <v>41</v>
      </c>
      <c r="H19" s="167">
        <f>4</f>
        <v>4</v>
      </c>
      <c r="I19" s="167">
        <f>SUM(FnlAssem[[#This Row],[S1Qty]],FnlAssem[[#This Row],[S2Qty]],FnlAssem[[#This Row],[S3Qty]])*FnlAssem[[#This Row],[Pcs/Tray]]-FnlAssem[[#This Row],[Defects]]</f>
        <v>38389</v>
      </c>
      <c r="J19" s="167">
        <v>11</v>
      </c>
      <c r="K19" s="124" t="s">
        <v>223</v>
      </c>
      <c r="L19" s="123">
        <v>480</v>
      </c>
      <c r="M19" s="169">
        <v>30000</v>
      </c>
    </row>
    <row r="20" spans="1:13" x14ac:dyDescent="0.2">
      <c r="A20" s="162">
        <v>45423</v>
      </c>
      <c r="B20" s="164" t="s">
        <v>36</v>
      </c>
      <c r="C20" s="164"/>
      <c r="D20" s="164"/>
      <c r="E20" s="164" t="str">
        <f>IF(FnlAssem[[#This Row],[Total]]&gt;0,"Running","Down")</f>
        <v>Down</v>
      </c>
      <c r="F20" s="167">
        <v>0</v>
      </c>
      <c r="G20" s="167">
        <v>0</v>
      </c>
      <c r="H20" s="167">
        <v>0</v>
      </c>
      <c r="I20" s="167">
        <f>SUM(FnlAssem[[#This Row],[S1Qty]],FnlAssem[[#This Row],[S2Qty]],FnlAssem[[#This Row],[S3Qty]])*FnlAssem[[#This Row],[Pcs/Tray]]-FnlAssem[[#This Row],[Defects]]</f>
        <v>0</v>
      </c>
      <c r="J20" s="167">
        <v>0</v>
      </c>
      <c r="K20" s="168"/>
      <c r="L20" s="123">
        <v>480</v>
      </c>
      <c r="M20" s="169">
        <v>30000</v>
      </c>
    </row>
    <row r="21" spans="1:13" x14ac:dyDescent="0.2">
      <c r="A21" s="162">
        <v>45424</v>
      </c>
      <c r="B21" s="164" t="s">
        <v>36</v>
      </c>
      <c r="C21" s="164"/>
      <c r="D21" s="164"/>
      <c r="E21" s="164" t="str">
        <f>IF(FnlAssem[[#This Row],[Total]]&gt;0,"Running","Down")</f>
        <v>Down</v>
      </c>
      <c r="F21" s="167">
        <v>0</v>
      </c>
      <c r="G21" s="167">
        <v>0</v>
      </c>
      <c r="H21" s="167">
        <v>0</v>
      </c>
      <c r="I21" s="167">
        <f>SUM(FnlAssem[[#This Row],[S1Qty]],FnlAssem[[#This Row],[S2Qty]],FnlAssem[[#This Row],[S3Qty]])*FnlAssem[[#This Row],[Pcs/Tray]]-FnlAssem[[#This Row],[Defects]]</f>
        <v>0</v>
      </c>
      <c r="J21" s="167">
        <v>0</v>
      </c>
      <c r="K21" s="168"/>
      <c r="L21" s="123">
        <v>480</v>
      </c>
      <c r="M21" s="169">
        <v>30000</v>
      </c>
    </row>
    <row r="22" spans="1:13" x14ac:dyDescent="0.2">
      <c r="A22" s="162">
        <v>45425</v>
      </c>
      <c r="B22" s="164" t="s">
        <v>36</v>
      </c>
      <c r="C22" s="164"/>
      <c r="D22" s="164"/>
      <c r="E22" s="164" t="str">
        <f>IF(FnlAssem[[#This Row],[Total]]&gt;0,"Running","Down")</f>
        <v>Down</v>
      </c>
      <c r="F22" s="167">
        <v>0</v>
      </c>
      <c r="G22" s="167">
        <v>0</v>
      </c>
      <c r="H22" s="167">
        <v>0</v>
      </c>
      <c r="I22" s="167">
        <f>SUM(FnlAssem[[#This Row],[S1Qty]],FnlAssem[[#This Row],[S2Qty]],FnlAssem[[#This Row],[S3Qty]])*FnlAssem[[#This Row],[Pcs/Tray]]-FnlAssem[[#This Row],[Defects]]</f>
        <v>0</v>
      </c>
      <c r="J22" s="167">
        <v>0</v>
      </c>
      <c r="K22" s="168"/>
      <c r="L22" s="123">
        <v>480</v>
      </c>
      <c r="M22" s="169">
        <v>30000</v>
      </c>
    </row>
    <row r="23" spans="1:13" x14ac:dyDescent="0.2">
      <c r="A23" s="162">
        <v>45426</v>
      </c>
      <c r="B23" s="164" t="s">
        <v>36</v>
      </c>
      <c r="C23" s="164"/>
      <c r="D23" s="164"/>
      <c r="E23" s="164" t="str">
        <f>IF(FnlAssem[[#This Row],[Total]]&gt;0,"Running","Down")</f>
        <v>Down</v>
      </c>
      <c r="F23" s="167">
        <v>0</v>
      </c>
      <c r="G23" s="167">
        <v>0</v>
      </c>
      <c r="H23" s="167">
        <v>0</v>
      </c>
      <c r="I23" s="167">
        <f>SUM(FnlAssem[[#This Row],[S1Qty]],FnlAssem[[#This Row],[S2Qty]],FnlAssem[[#This Row],[S3Qty]])*FnlAssem[[#This Row],[Pcs/Tray]]-FnlAssem[[#This Row],[Defects]]</f>
        <v>0</v>
      </c>
      <c r="J23" s="167">
        <v>0</v>
      </c>
      <c r="K23" s="168"/>
      <c r="L23" s="123">
        <v>480</v>
      </c>
      <c r="M23" s="169">
        <v>30000</v>
      </c>
    </row>
    <row r="24" spans="1:13" x14ac:dyDescent="0.2">
      <c r="A24" s="162">
        <v>45427</v>
      </c>
      <c r="B24" s="164" t="s">
        <v>36</v>
      </c>
      <c r="C24" s="164"/>
      <c r="D24" s="164"/>
      <c r="E24" s="164" t="str">
        <f>IF(FnlAssem[[#This Row],[Total]]&gt;0,"Running","Down")</f>
        <v>Down</v>
      </c>
      <c r="F24" s="167">
        <v>0</v>
      </c>
      <c r="G24" s="167">
        <v>0</v>
      </c>
      <c r="H24" s="167">
        <v>0</v>
      </c>
      <c r="I24" s="167">
        <f>SUM(FnlAssem[[#This Row],[S1Qty]],FnlAssem[[#This Row],[S2Qty]],FnlAssem[[#This Row],[S3Qty]])*FnlAssem[[#This Row],[Pcs/Tray]]-FnlAssem[[#This Row],[Defects]]</f>
        <v>0</v>
      </c>
      <c r="J24" s="167">
        <v>0</v>
      </c>
      <c r="K24" s="168"/>
      <c r="L24" s="123">
        <v>480</v>
      </c>
      <c r="M24" s="169">
        <v>30000</v>
      </c>
    </row>
    <row r="25" spans="1:13" x14ac:dyDescent="0.2">
      <c r="A25" s="162">
        <v>45428</v>
      </c>
      <c r="B25" s="164" t="s">
        <v>36</v>
      </c>
      <c r="C25" s="164"/>
      <c r="D25" s="164"/>
      <c r="E25" s="164" t="str">
        <f>IF(FnlAssem[[#This Row],[Total]]&gt;0,"Running","Down")</f>
        <v>Down</v>
      </c>
      <c r="F25" s="167">
        <v>0</v>
      </c>
      <c r="G25" s="167">
        <v>0</v>
      </c>
      <c r="H25" s="167">
        <v>0</v>
      </c>
      <c r="I25" s="167">
        <f>SUM(FnlAssem[[#This Row],[S1Qty]],FnlAssem[[#This Row],[S2Qty]],FnlAssem[[#This Row],[S3Qty]])*FnlAssem[[#This Row],[Pcs/Tray]]-FnlAssem[[#This Row],[Defects]]</f>
        <v>0</v>
      </c>
      <c r="J25" s="167">
        <v>0</v>
      </c>
      <c r="K25" s="168"/>
      <c r="L25" s="123">
        <v>480</v>
      </c>
      <c r="M25" s="169">
        <v>30000</v>
      </c>
    </row>
    <row r="26" spans="1:13" x14ac:dyDescent="0.2">
      <c r="A26" s="162">
        <v>45429</v>
      </c>
      <c r="B26" s="164" t="s">
        <v>36</v>
      </c>
      <c r="C26" s="164"/>
      <c r="D26" s="164"/>
      <c r="E26" s="164" t="str">
        <f>IF(FnlAssem[[#This Row],[Total]]&gt;0,"Running","Down")</f>
        <v>Down</v>
      </c>
      <c r="F26" s="167">
        <v>0</v>
      </c>
      <c r="G26" s="167">
        <v>0</v>
      </c>
      <c r="H26" s="167">
        <v>0</v>
      </c>
      <c r="I26" s="167">
        <f>SUM(FnlAssem[[#This Row],[S1Qty]],FnlAssem[[#This Row],[S2Qty]],FnlAssem[[#This Row],[S3Qty]])*FnlAssem[[#This Row],[Pcs/Tray]]-FnlAssem[[#This Row],[Defects]]</f>
        <v>0</v>
      </c>
      <c r="J26" s="167">
        <v>0</v>
      </c>
      <c r="K26" s="168"/>
      <c r="L26" s="123">
        <v>480</v>
      </c>
      <c r="M26" s="169">
        <v>30000</v>
      </c>
    </row>
    <row r="27" spans="1:13" x14ac:dyDescent="0.2">
      <c r="A27" s="162">
        <v>45430</v>
      </c>
      <c r="B27" s="164" t="s">
        <v>36</v>
      </c>
      <c r="C27" s="164"/>
      <c r="D27" s="164"/>
      <c r="E27" s="164" t="str">
        <f>IF(FnlAssem[[#This Row],[Total]]&gt;0,"Running","Down")</f>
        <v>Down</v>
      </c>
      <c r="F27" s="167">
        <v>0</v>
      </c>
      <c r="G27" s="167">
        <v>0</v>
      </c>
      <c r="H27" s="167">
        <v>0</v>
      </c>
      <c r="I27" s="167">
        <f>SUM(FnlAssem[[#This Row],[S1Qty]],FnlAssem[[#This Row],[S2Qty]],FnlAssem[[#This Row],[S3Qty]])*FnlAssem[[#This Row],[Pcs/Tray]]-FnlAssem[[#This Row],[Defects]]</f>
        <v>0</v>
      </c>
      <c r="J27" s="167">
        <v>0</v>
      </c>
      <c r="K27" s="168"/>
      <c r="L27" s="123">
        <v>480</v>
      </c>
      <c r="M27" s="169">
        <v>30000</v>
      </c>
    </row>
    <row r="28" spans="1:13" x14ac:dyDescent="0.2">
      <c r="A28" s="162">
        <v>45431</v>
      </c>
      <c r="B28" s="164" t="s">
        <v>36</v>
      </c>
      <c r="C28" s="164"/>
      <c r="D28" s="164"/>
      <c r="E28" s="164" t="str">
        <f>IF(FnlAssem[[#This Row],[Total]]&gt;0,"Running","Down")</f>
        <v>Down</v>
      </c>
      <c r="F28" s="167">
        <v>0</v>
      </c>
      <c r="G28" s="167">
        <v>0</v>
      </c>
      <c r="H28" s="167">
        <v>0</v>
      </c>
      <c r="I28" s="167">
        <f>SUM(FnlAssem[[#This Row],[S1Qty]],FnlAssem[[#This Row],[S2Qty]],FnlAssem[[#This Row],[S3Qty]])*FnlAssem[[#This Row],[Pcs/Tray]]-FnlAssem[[#This Row],[Defects]]</f>
        <v>0</v>
      </c>
      <c r="J28" s="167">
        <v>0</v>
      </c>
      <c r="K28" s="168"/>
      <c r="L28" s="123">
        <v>480</v>
      </c>
      <c r="M28" s="169">
        <v>30000</v>
      </c>
    </row>
    <row r="29" spans="1:13" x14ac:dyDescent="0.2">
      <c r="A29" s="162">
        <v>45432</v>
      </c>
      <c r="B29" s="164" t="s">
        <v>36</v>
      </c>
      <c r="C29" s="164"/>
      <c r="D29" s="164"/>
      <c r="E29" s="164" t="str">
        <f>IF(FnlAssem[[#This Row],[Total]]&gt;0,"Running","Down")</f>
        <v>Down</v>
      </c>
      <c r="F29" s="167">
        <v>0</v>
      </c>
      <c r="G29" s="167">
        <v>0</v>
      </c>
      <c r="H29" s="167">
        <v>0</v>
      </c>
      <c r="I29" s="167">
        <f>SUM(FnlAssem[[#This Row],[S1Qty]],FnlAssem[[#This Row],[S2Qty]],FnlAssem[[#This Row],[S3Qty]])*FnlAssem[[#This Row],[Pcs/Tray]]-FnlAssem[[#This Row],[Defects]]</f>
        <v>0</v>
      </c>
      <c r="J29" s="167">
        <v>0</v>
      </c>
      <c r="K29" s="168"/>
      <c r="L29" s="123">
        <v>480</v>
      </c>
      <c r="M29" s="169">
        <v>30000</v>
      </c>
    </row>
    <row r="30" spans="1:13" x14ac:dyDescent="0.2">
      <c r="A30" s="162">
        <v>45433</v>
      </c>
      <c r="B30" s="164" t="s">
        <v>36</v>
      </c>
      <c r="C30" s="164"/>
      <c r="D30" s="164"/>
      <c r="E30" s="164" t="str">
        <f>IF(FnlAssem[[#This Row],[Total]]&gt;0,"Running","Down")</f>
        <v>Down</v>
      </c>
      <c r="F30" s="167">
        <v>0</v>
      </c>
      <c r="G30" s="167">
        <v>0</v>
      </c>
      <c r="H30" s="167">
        <v>0</v>
      </c>
      <c r="I30" s="167">
        <f>SUM(FnlAssem[[#This Row],[S1Qty]],FnlAssem[[#This Row],[S2Qty]],FnlAssem[[#This Row],[S3Qty]])*FnlAssem[[#This Row],[Pcs/Tray]]-FnlAssem[[#This Row],[Defects]]</f>
        <v>0</v>
      </c>
      <c r="J30" s="167">
        <v>0</v>
      </c>
      <c r="K30" s="168"/>
      <c r="L30" s="123">
        <v>480</v>
      </c>
      <c r="M30" s="169">
        <v>30000</v>
      </c>
    </row>
    <row r="31" spans="1:13" x14ac:dyDescent="0.2">
      <c r="A31" s="162">
        <v>45434</v>
      </c>
      <c r="B31" s="164" t="s">
        <v>36</v>
      </c>
      <c r="C31" s="164"/>
      <c r="D31" s="164"/>
      <c r="E31" s="164" t="str">
        <f>IF(FnlAssem[[#This Row],[Total]]&gt;0,"Running","Down")</f>
        <v>Down</v>
      </c>
      <c r="F31" s="167">
        <v>0</v>
      </c>
      <c r="G31" s="167">
        <v>0</v>
      </c>
      <c r="H31" s="167">
        <v>0</v>
      </c>
      <c r="I31" s="167">
        <f>SUM(FnlAssem[[#This Row],[S1Qty]],FnlAssem[[#This Row],[S2Qty]],FnlAssem[[#This Row],[S3Qty]])*FnlAssem[[#This Row],[Pcs/Tray]]-FnlAssem[[#This Row],[Defects]]</f>
        <v>0</v>
      </c>
      <c r="J31" s="167">
        <v>0</v>
      </c>
      <c r="K31" s="168"/>
      <c r="L31" s="123">
        <v>480</v>
      </c>
      <c r="M31" s="169">
        <v>30000</v>
      </c>
    </row>
    <row r="32" spans="1:13" x14ac:dyDescent="0.2">
      <c r="A32" s="162">
        <v>45435</v>
      </c>
      <c r="B32" s="164" t="s">
        <v>36</v>
      </c>
      <c r="C32" s="164"/>
      <c r="D32" s="164"/>
      <c r="E32" s="164" t="str">
        <f>IF(FnlAssem[[#This Row],[Total]]&gt;0,"Running","Down")</f>
        <v>Down</v>
      </c>
      <c r="F32" s="167">
        <v>0</v>
      </c>
      <c r="G32" s="167">
        <v>0</v>
      </c>
      <c r="H32" s="167">
        <v>0</v>
      </c>
      <c r="I32" s="167">
        <f>SUM(FnlAssem[[#This Row],[S1Qty]],FnlAssem[[#This Row],[S2Qty]],FnlAssem[[#This Row],[S3Qty]])*FnlAssem[[#This Row],[Pcs/Tray]]-FnlAssem[[#This Row],[Defects]]</f>
        <v>0</v>
      </c>
      <c r="J32" s="167">
        <v>0</v>
      </c>
      <c r="K32" s="168"/>
      <c r="L32" s="123">
        <v>480</v>
      </c>
      <c r="M32" s="169">
        <v>30000</v>
      </c>
    </row>
    <row r="33" spans="1:13" x14ac:dyDescent="0.2">
      <c r="A33" s="162">
        <v>45436</v>
      </c>
      <c r="B33" s="164" t="s">
        <v>36</v>
      </c>
      <c r="C33" s="164"/>
      <c r="D33" s="164"/>
      <c r="E33" s="164" t="str">
        <f>IF(FnlAssem[[#This Row],[Total]]&gt;0,"Running","Down")</f>
        <v>Down</v>
      </c>
      <c r="F33" s="167">
        <v>0</v>
      </c>
      <c r="G33" s="167">
        <v>0</v>
      </c>
      <c r="H33" s="167">
        <v>0</v>
      </c>
      <c r="I33" s="167">
        <f>SUM(FnlAssem[[#This Row],[S1Qty]],FnlAssem[[#This Row],[S2Qty]],FnlAssem[[#This Row],[S3Qty]])*FnlAssem[[#This Row],[Pcs/Tray]]-FnlAssem[[#This Row],[Defects]]</f>
        <v>0</v>
      </c>
      <c r="J33" s="167">
        <v>0</v>
      </c>
      <c r="K33" s="168"/>
      <c r="L33" s="123">
        <v>480</v>
      </c>
      <c r="M33" s="169">
        <v>30000</v>
      </c>
    </row>
    <row r="34" spans="1:13" x14ac:dyDescent="0.2">
      <c r="A34" s="162">
        <v>45437</v>
      </c>
      <c r="B34" s="164" t="s">
        <v>36</v>
      </c>
      <c r="C34" s="164"/>
      <c r="D34" s="164"/>
      <c r="E34" s="164" t="str">
        <f>IF(FnlAssem[[#This Row],[Total]]&gt;0,"Running","Down")</f>
        <v>Down</v>
      </c>
      <c r="F34" s="167">
        <v>0</v>
      </c>
      <c r="G34" s="167">
        <v>0</v>
      </c>
      <c r="H34" s="167">
        <v>0</v>
      </c>
      <c r="I34" s="167">
        <f>SUM(FnlAssem[[#This Row],[S1Qty]],FnlAssem[[#This Row],[S2Qty]],FnlAssem[[#This Row],[S3Qty]])*FnlAssem[[#This Row],[Pcs/Tray]]-FnlAssem[[#This Row],[Defects]]</f>
        <v>0</v>
      </c>
      <c r="J34" s="167">
        <v>0</v>
      </c>
      <c r="K34" s="168"/>
      <c r="L34" s="123">
        <v>480</v>
      </c>
      <c r="M34" s="169">
        <v>30000</v>
      </c>
    </row>
    <row r="35" spans="1:13" x14ac:dyDescent="0.2">
      <c r="A35" s="162">
        <v>45438</v>
      </c>
      <c r="B35" s="164" t="s">
        <v>36</v>
      </c>
      <c r="C35" s="164"/>
      <c r="D35" s="164"/>
      <c r="E35" s="164" t="str">
        <f>IF(FnlAssem[[#This Row],[Total]]&gt;0,"Running","Down")</f>
        <v>Down</v>
      </c>
      <c r="F35" s="167">
        <v>0</v>
      </c>
      <c r="G35" s="167">
        <v>0</v>
      </c>
      <c r="H35" s="167">
        <v>0</v>
      </c>
      <c r="I35" s="167">
        <f>SUM(FnlAssem[[#This Row],[S1Qty]],FnlAssem[[#This Row],[S2Qty]],FnlAssem[[#This Row],[S3Qty]])*FnlAssem[[#This Row],[Pcs/Tray]]-FnlAssem[[#This Row],[Defects]]</f>
        <v>0</v>
      </c>
      <c r="J35" s="167">
        <v>0</v>
      </c>
      <c r="K35" s="168"/>
      <c r="L35" s="123">
        <v>480</v>
      </c>
      <c r="M35" s="169">
        <v>30000</v>
      </c>
    </row>
    <row r="36" spans="1:13" x14ac:dyDescent="0.2">
      <c r="A36" s="162">
        <v>45439</v>
      </c>
      <c r="B36" s="164" t="s">
        <v>36</v>
      </c>
      <c r="C36" s="164"/>
      <c r="D36" s="164"/>
      <c r="E36" s="164" t="str">
        <f>IF(FnlAssem[[#This Row],[Total]]&gt;0,"Running","Down")</f>
        <v>Down</v>
      </c>
      <c r="F36" s="167">
        <v>0</v>
      </c>
      <c r="G36" s="167">
        <v>0</v>
      </c>
      <c r="H36" s="167">
        <v>0</v>
      </c>
      <c r="I36" s="167">
        <f>SUM(FnlAssem[[#This Row],[S1Qty]],FnlAssem[[#This Row],[S2Qty]],FnlAssem[[#This Row],[S3Qty]])*FnlAssem[[#This Row],[Pcs/Tray]]-FnlAssem[[#This Row],[Defects]]</f>
        <v>0</v>
      </c>
      <c r="J36" s="167">
        <v>0</v>
      </c>
      <c r="K36" s="168"/>
      <c r="L36" s="123">
        <v>480</v>
      </c>
      <c r="M36" s="169">
        <v>30000</v>
      </c>
    </row>
    <row r="37" spans="1:13" x14ac:dyDescent="0.2">
      <c r="A37" s="162">
        <v>45440</v>
      </c>
      <c r="B37" s="164" t="s">
        <v>36</v>
      </c>
      <c r="C37" s="164"/>
      <c r="D37" s="164"/>
      <c r="E37" s="164" t="str">
        <f>IF(FnlAssem[[#This Row],[Total]]&gt;0,"Running","Down")</f>
        <v>Down</v>
      </c>
      <c r="F37" s="167">
        <v>0</v>
      </c>
      <c r="G37" s="167">
        <v>0</v>
      </c>
      <c r="H37" s="167">
        <v>0</v>
      </c>
      <c r="I37" s="167">
        <f>SUM(FnlAssem[[#This Row],[S1Qty]],FnlAssem[[#This Row],[S2Qty]],FnlAssem[[#This Row],[S3Qty]])*FnlAssem[[#This Row],[Pcs/Tray]]-FnlAssem[[#This Row],[Defects]]</f>
        <v>0</v>
      </c>
      <c r="J37" s="167">
        <v>0</v>
      </c>
      <c r="K37" s="168"/>
      <c r="L37" s="123">
        <v>480</v>
      </c>
      <c r="M37" s="169">
        <v>30000</v>
      </c>
    </row>
    <row r="38" spans="1:13" x14ac:dyDescent="0.2">
      <c r="A38" s="162">
        <v>45441</v>
      </c>
      <c r="B38" s="164" t="s">
        <v>36</v>
      </c>
      <c r="C38" s="164"/>
      <c r="D38" s="164"/>
      <c r="E38" s="164" t="str">
        <f>IF(FnlAssem[[#This Row],[Total]]&gt;0,"Running","Down")</f>
        <v>Down</v>
      </c>
      <c r="F38" s="167">
        <v>0</v>
      </c>
      <c r="G38" s="167">
        <v>0</v>
      </c>
      <c r="H38" s="167">
        <v>0</v>
      </c>
      <c r="I38" s="167">
        <f>SUM(FnlAssem[[#This Row],[S1Qty]],FnlAssem[[#This Row],[S2Qty]],FnlAssem[[#This Row],[S3Qty]])*FnlAssem[[#This Row],[Pcs/Tray]]-FnlAssem[[#This Row],[Defects]]</f>
        <v>0</v>
      </c>
      <c r="J38" s="167">
        <v>0</v>
      </c>
      <c r="K38" s="168"/>
      <c r="L38" s="123">
        <v>480</v>
      </c>
      <c r="M38" s="169">
        <v>30000</v>
      </c>
    </row>
    <row r="39" spans="1:13" x14ac:dyDescent="0.2">
      <c r="A39" s="162">
        <v>45442</v>
      </c>
      <c r="B39" s="164" t="s">
        <v>36</v>
      </c>
      <c r="C39" s="164"/>
      <c r="D39" s="164"/>
      <c r="E39" s="164" t="str">
        <f>IF(FnlAssem[[#This Row],[Total]]&gt;0,"Running","Down")</f>
        <v>Down</v>
      </c>
      <c r="F39" s="167">
        <v>0</v>
      </c>
      <c r="G39" s="167">
        <v>0</v>
      </c>
      <c r="H39" s="167">
        <v>0</v>
      </c>
      <c r="I39" s="167">
        <f>SUM(FnlAssem[[#This Row],[S1Qty]],FnlAssem[[#This Row],[S2Qty]],FnlAssem[[#This Row],[S3Qty]])*FnlAssem[[#This Row],[Pcs/Tray]]-FnlAssem[[#This Row],[Defects]]</f>
        <v>0</v>
      </c>
      <c r="J39" s="167">
        <v>0</v>
      </c>
      <c r="K39" s="168"/>
      <c r="L39" s="123">
        <v>480</v>
      </c>
      <c r="M39" s="169">
        <v>30000</v>
      </c>
    </row>
    <row r="40" spans="1:13" x14ac:dyDescent="0.2">
      <c r="A40" s="162">
        <v>45443</v>
      </c>
      <c r="B40" s="164" t="s">
        <v>36</v>
      </c>
      <c r="C40" s="164"/>
      <c r="D40" s="164"/>
      <c r="E40" s="164" t="str">
        <f>IF(FnlAssem[[#This Row],[Total]]&gt;0,"Running","Down")</f>
        <v>Down</v>
      </c>
      <c r="F40" s="167">
        <v>0</v>
      </c>
      <c r="G40" s="167">
        <v>0</v>
      </c>
      <c r="H40" s="167">
        <v>0</v>
      </c>
      <c r="I40" s="167">
        <f>SUM(FnlAssem[[#This Row],[S1Qty]],FnlAssem[[#This Row],[S2Qty]],FnlAssem[[#This Row],[S3Qty]])*FnlAssem[[#This Row],[Pcs/Tray]]-FnlAssem[[#This Row],[Defects]]</f>
        <v>0</v>
      </c>
      <c r="J40" s="167">
        <v>0</v>
      </c>
      <c r="K40" s="168"/>
      <c r="L40" s="123">
        <v>480</v>
      </c>
      <c r="M40" s="169">
        <v>30000</v>
      </c>
    </row>
  </sheetData>
  <mergeCells count="1">
    <mergeCell ref="J2:K2"/>
  </mergeCells>
  <conditionalFormatting sqref="L41:M211">
    <cfRule type="expression" dxfId="65" priority="90">
      <formula>$A87=TODAY()-1</formula>
    </cfRule>
  </conditionalFormatting>
  <conditionalFormatting sqref="AU69:AU229">
    <cfRule type="expression" dxfId="64" priority="114">
      <formula>$A97=TODAY()-1</formula>
    </cfRule>
  </conditionalFormatting>
  <conditionalFormatting sqref="AW30:AW31 N69:AT237">
    <cfRule type="expression" dxfId="63" priority="4216">
      <formula>$A50=TODAY()-1</formula>
    </cfRule>
  </conditionalFormatting>
  <conditionalFormatting sqref="AW21:AW24">
    <cfRule type="expression" dxfId="62" priority="4532">
      <formula>$A49=TODAY()-1</formula>
    </cfRule>
  </conditionalFormatting>
  <conditionalFormatting sqref="N58:AV58">
    <cfRule type="expression" dxfId="61" priority="79">
      <formula>$A49=TODAY()-1</formula>
    </cfRule>
  </conditionalFormatting>
  <conditionalFormatting sqref="AW57:AW58">
    <cfRule type="expression" dxfId="60" priority="4646">
      <formula>$A56=TODAY()-1</formula>
    </cfRule>
  </conditionalFormatting>
  <conditionalFormatting sqref="AW63:AW64">
    <cfRule type="expression" dxfId="59" priority="4723">
      <formula>$A56=TODAY()-1</formula>
    </cfRule>
  </conditionalFormatting>
  <conditionalFormatting sqref="AW53:AW54">
    <cfRule type="expression" dxfId="58" priority="76">
      <formula>$A55=TODAY()-1</formula>
    </cfRule>
  </conditionalFormatting>
  <conditionalFormatting sqref="AW25:AW27">
    <cfRule type="expression" dxfId="57" priority="5841">
      <formula>$A50=TODAY()-1</formula>
    </cfRule>
  </conditionalFormatting>
  <conditionalFormatting sqref="AW34:AW35">
    <cfRule type="expression" dxfId="56" priority="5843">
      <formula>$A52=TODAY()-1</formula>
    </cfRule>
  </conditionalFormatting>
  <conditionalFormatting sqref="N28:AV29 AW37:AW38">
    <cfRule type="expression" dxfId="55" priority="53">
      <formula>$A44=TODAY()-1</formula>
    </cfRule>
  </conditionalFormatting>
  <conditionalFormatting sqref="AW28:AW29">
    <cfRule type="expression" dxfId="54" priority="5883">
      <formula>$A52=TODAY()-1</formula>
    </cfRule>
  </conditionalFormatting>
  <conditionalFormatting sqref="N24:AV24">
    <cfRule type="expression" dxfId="53" priority="5885">
      <formula>$A44=TODAY()-1</formula>
    </cfRule>
  </conditionalFormatting>
  <conditionalFormatting sqref="AW41:AW42">
    <cfRule type="expression" dxfId="52" priority="5887">
      <formula>$A54=TODAY()-1</formula>
    </cfRule>
  </conditionalFormatting>
  <conditionalFormatting sqref="N34:AV35">
    <cfRule type="expression" dxfId="51" priority="51">
      <formula>$A44=TODAY()-1</formula>
    </cfRule>
  </conditionalFormatting>
  <conditionalFormatting sqref="N27:AV27 AW36">
    <cfRule type="expression" dxfId="50" priority="5924">
      <formula>$A44=TODAY()-1</formula>
    </cfRule>
  </conditionalFormatting>
  <conditionalFormatting sqref="N38:AV38 AW43:AW44">
    <cfRule type="expression" dxfId="49" priority="50">
      <formula>$A46=TODAY()-1</formula>
    </cfRule>
  </conditionalFormatting>
  <conditionalFormatting sqref="AW67:AW68">
    <cfRule type="expression" dxfId="48" priority="48">
      <formula>$A56=TODAY()-1</formula>
    </cfRule>
  </conditionalFormatting>
  <conditionalFormatting sqref="AW49:AW50">
    <cfRule type="expression" dxfId="47" priority="6035">
      <formula>$A54=TODAY()-1</formula>
    </cfRule>
  </conditionalFormatting>
  <conditionalFormatting sqref="N54:AV54 AW61:AW62">
    <cfRule type="expression" dxfId="46" priority="47">
      <formula>$A48=TODAY()-1</formula>
    </cfRule>
  </conditionalFormatting>
  <conditionalFormatting sqref="N56:AV56">
    <cfRule type="expression" dxfId="45" priority="46">
      <formula>$A48=TODAY()-1</formula>
    </cfRule>
  </conditionalFormatting>
  <conditionalFormatting sqref="N42:AV42">
    <cfRule type="expression" dxfId="44" priority="6110">
      <formula>$A47=TODAY()-1</formula>
    </cfRule>
  </conditionalFormatting>
  <conditionalFormatting sqref="N59:AV60">
    <cfRule type="expression" dxfId="43" priority="45">
      <formula>$A47=TODAY()-1</formula>
    </cfRule>
  </conditionalFormatting>
  <conditionalFormatting sqref="AW59:AW60">
    <cfRule type="expression" dxfId="42" priority="6149">
      <formula>$A55=TODAY()-1</formula>
    </cfRule>
  </conditionalFormatting>
  <conditionalFormatting sqref="N64:AV64">
    <cfRule type="expression" dxfId="41" priority="44">
      <formula>$A49=TODAY()-1</formula>
    </cfRule>
  </conditionalFormatting>
  <conditionalFormatting sqref="N68:AV68">
    <cfRule type="expression" dxfId="40" priority="43">
      <formula>$A49=TODAY()-1</formula>
    </cfRule>
  </conditionalFormatting>
  <conditionalFormatting sqref="N6:AV8 N9:Q9 T9:AV9 R9:S10">
    <cfRule type="expression" dxfId="39" priority="7170">
      <formula>$A42=TODAY()-1</formula>
    </cfRule>
  </conditionalFormatting>
  <conditionalFormatting sqref="AW6:AW9">
    <cfRule type="expression" dxfId="38" priority="7173">
      <formula>$A50=TODAY()-1</formula>
    </cfRule>
  </conditionalFormatting>
  <conditionalFormatting sqref="AW11:AW13">
    <cfRule type="expression" dxfId="37" priority="7251">
      <formula>$A49=TODAY()-1</formula>
    </cfRule>
  </conditionalFormatting>
  <conditionalFormatting sqref="N14:AV16">
    <cfRule type="expression" dxfId="36" priority="23">
      <formula>$A42=TODAY()-1</formula>
    </cfRule>
  </conditionalFormatting>
  <conditionalFormatting sqref="AW14:AW16">
    <cfRule type="expression" dxfId="35" priority="7285">
      <formula>$A50=TODAY()-1</formula>
    </cfRule>
  </conditionalFormatting>
  <conditionalFormatting sqref="AW17:AW18">
    <cfRule type="expression" dxfId="34" priority="7286">
      <formula>$A49=TODAY()-1</formula>
    </cfRule>
  </conditionalFormatting>
  <conditionalFormatting sqref="N12:AV13">
    <cfRule type="expression" dxfId="33" priority="7369">
      <formula>$A42=TODAY()-1</formula>
    </cfRule>
  </conditionalFormatting>
  <conditionalFormatting sqref="N17:AV18">
    <cfRule type="expression" dxfId="32" priority="7372">
      <formula>$A41=TODAY()-1</formula>
    </cfRule>
  </conditionalFormatting>
  <conditionalFormatting sqref="AW19:AW20 T10:AV10 N10:Q10">
    <cfRule type="expression" dxfId="31" priority="7374">
      <formula>$A41=TODAY()-1</formula>
    </cfRule>
  </conditionalFormatting>
  <conditionalFormatting sqref="N21:AV23">
    <cfRule type="expression" dxfId="30" priority="21">
      <formula>$A41=TODAY()-1</formula>
    </cfRule>
  </conditionalFormatting>
  <conditionalFormatting sqref="N19:AV20">
    <cfRule type="expression" dxfId="29" priority="7454">
      <formula>$A42=TODAY()-1</formula>
    </cfRule>
  </conditionalFormatting>
  <conditionalFormatting sqref="N26:AV26">
    <cfRule type="expression" dxfId="28" priority="20">
      <formula>$A43=TODAY()-1</formula>
    </cfRule>
  </conditionalFormatting>
  <conditionalFormatting sqref="N25:AV25">
    <cfRule type="expression" dxfId="27" priority="19">
      <formula>$A42=TODAY()-1</formula>
    </cfRule>
  </conditionalFormatting>
  <conditionalFormatting sqref="N30:AV31">
    <cfRule type="expression" dxfId="26" priority="18">
      <formula>$A42=TODAY()-1</formula>
    </cfRule>
  </conditionalFormatting>
  <conditionalFormatting sqref="AW32:AW33">
    <cfRule type="expression" dxfId="25" priority="7746">
      <formula>$A51=TODAY()-1</formula>
    </cfRule>
  </conditionalFormatting>
  <conditionalFormatting sqref="N32:AV33">
    <cfRule type="expression" dxfId="24" priority="17">
      <formula>$A43=TODAY()-1</formula>
    </cfRule>
  </conditionalFormatting>
  <conditionalFormatting sqref="N37:AV37">
    <cfRule type="expression" dxfId="23" priority="16">
      <formula>$A45=TODAY()-1</formula>
    </cfRule>
  </conditionalFormatting>
  <conditionalFormatting sqref="N39:AV40 AW47:AW48">
    <cfRule type="expression" dxfId="22" priority="15">
      <formula>$A45=TODAY()-1</formula>
    </cfRule>
  </conditionalFormatting>
  <conditionalFormatting sqref="AW39:AW40">
    <cfRule type="expression" dxfId="21" priority="7995">
      <formula>$A53=TODAY()-1</formula>
    </cfRule>
  </conditionalFormatting>
  <conditionalFormatting sqref="N41:AV41">
    <cfRule type="expression" dxfId="20" priority="14">
      <formula>$A46=TODAY()-1</formula>
    </cfRule>
  </conditionalFormatting>
  <conditionalFormatting sqref="N36:AV36">
    <cfRule type="expression" dxfId="19" priority="8037">
      <formula>$A45=TODAY()-1</formula>
    </cfRule>
  </conditionalFormatting>
  <conditionalFormatting sqref="N43:AV44 AW55:AW56">
    <cfRule type="expression" dxfId="18" priority="13">
      <formula>$A43=TODAY()-1</formula>
    </cfRule>
  </conditionalFormatting>
  <conditionalFormatting sqref="N45:AV46">
    <cfRule type="expression" dxfId="17" priority="12">
      <formula>$A44=TODAY()-1</formula>
    </cfRule>
  </conditionalFormatting>
  <conditionalFormatting sqref="AW45:AW46">
    <cfRule type="expression" dxfId="16" priority="8124">
      <formula>$A52=TODAY()-1</formula>
    </cfRule>
  </conditionalFormatting>
  <conditionalFormatting sqref="N47:AV48">
    <cfRule type="expression" dxfId="15" priority="11">
      <formula>$A45=TODAY()-1</formula>
    </cfRule>
  </conditionalFormatting>
  <conditionalFormatting sqref="N49:AV50">
    <cfRule type="expression" dxfId="14" priority="10">
      <formula>$A46=TODAY()-1</formula>
    </cfRule>
  </conditionalFormatting>
  <conditionalFormatting sqref="N51:AV52">
    <cfRule type="expression" dxfId="13" priority="9">
      <formula>$A46=TODAY()-1</formula>
    </cfRule>
  </conditionalFormatting>
  <conditionalFormatting sqref="AW51:AW52">
    <cfRule type="expression" dxfId="12" priority="8358">
      <formula>$A54=TODAY()-1</formula>
    </cfRule>
  </conditionalFormatting>
  <conditionalFormatting sqref="N53:AV53">
    <cfRule type="expression" dxfId="11" priority="8">
      <formula>$A47=TODAY()-1</formula>
    </cfRule>
  </conditionalFormatting>
  <conditionalFormatting sqref="N55:AV55">
    <cfRule type="expression" dxfId="10" priority="7">
      <formula>$A47=TODAY()-1</formula>
    </cfRule>
  </conditionalFormatting>
  <conditionalFormatting sqref="N57:AV57">
    <cfRule type="expression" dxfId="9" priority="6">
      <formula>$A48=TODAY()-1</formula>
    </cfRule>
  </conditionalFormatting>
  <conditionalFormatting sqref="N61:AV62">
    <cfRule type="expression" dxfId="8" priority="5">
      <formula>$A47=TODAY()-1</formula>
    </cfRule>
  </conditionalFormatting>
  <conditionalFormatting sqref="N63:AV63">
    <cfRule type="expression" dxfId="7" priority="4">
      <formula>$A48=TODAY()-1</formula>
    </cfRule>
  </conditionalFormatting>
  <conditionalFormatting sqref="N65:AV66">
    <cfRule type="expression" dxfId="6" priority="3">
      <formula>$A47=TODAY()-1</formula>
    </cfRule>
  </conditionalFormatting>
  <conditionalFormatting sqref="AW65:AW66">
    <cfRule type="expression" dxfId="5" priority="8363">
      <formula>$A55=TODAY()-1</formula>
    </cfRule>
  </conditionalFormatting>
  <conditionalFormatting sqref="N67:AV67">
    <cfRule type="expression" dxfId="4" priority="2">
      <formula>$A48=TODAY()-1</formula>
    </cfRule>
  </conditionalFormatting>
  <conditionalFormatting sqref="A6:M40">
    <cfRule type="expression" dxfId="3" priority="83">
      <formula>INDIRECT("FnlAssem[@Date]")=TODAY()-1</formula>
    </cfRule>
    <cfRule type="expression" dxfId="2" priority="86">
      <formula>AND(WEEKDAY(TODAY())=2, OR(INDIRECT("FnlAssem[@Date]") = TODAY()-3, INDIRECT("FnlAssem[@Date]") = TODAY()-2))</formula>
    </cfRule>
  </conditionalFormatting>
  <conditionalFormatting sqref="AW10">
    <cfRule type="expression" dxfId="1" priority="8367">
      <formula>$A49=TODAY()-1</formula>
    </cfRule>
  </conditionalFormatting>
  <conditionalFormatting sqref="N11:AV11">
    <cfRule type="expression" dxfId="0" priority="1">
      <formula>$A41=TODAY()-1</formula>
    </cfRule>
  </conditionalFormatting>
  <pageMargins left="0.75" right="0.75" top="1" bottom="1" header="0.5" footer="0.5"/>
  <pageSetup scale="49" fitToHeight="0" orientation="landscape" r:id="rId1"/>
  <headerFooter alignWithMargins="0"/>
  <tableParts count="1">
    <tablePart r:id="rId2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J57"/>
  <sheetViews>
    <sheetView topLeftCell="A4" workbookViewId="0">
      <selection activeCell="O41" sqref="O41"/>
    </sheetView>
  </sheetViews>
  <sheetFormatPr defaultRowHeight="12.75" x14ac:dyDescent="0.2"/>
  <cols>
    <col min="1" max="1" width="11.7109375" bestFit="1" customWidth="1"/>
    <col min="2" max="2" width="12.140625" bestFit="1" customWidth="1"/>
    <col min="3" max="3" width="12" customWidth="1"/>
    <col min="5" max="5" width="9.140625" customWidth="1"/>
    <col min="6" max="6" width="10.140625" bestFit="1" customWidth="1"/>
    <col min="10" max="10" width="21.85546875" bestFit="1" customWidth="1"/>
  </cols>
  <sheetData>
    <row r="1" spans="1:2" x14ac:dyDescent="0.2">
      <c r="A1" s="143" t="s">
        <v>107</v>
      </c>
      <c r="B1" t="s">
        <v>162</v>
      </c>
    </row>
    <row r="2" spans="1:2" x14ac:dyDescent="0.2">
      <c r="A2" s="144">
        <v>45413</v>
      </c>
      <c r="B2" s="145">
        <v>52304</v>
      </c>
    </row>
    <row r="3" spans="1:2" x14ac:dyDescent="0.2">
      <c r="A3" s="144">
        <v>45414</v>
      </c>
      <c r="B3" s="145">
        <v>57105</v>
      </c>
    </row>
    <row r="4" spans="1:2" x14ac:dyDescent="0.2">
      <c r="A4" s="144">
        <v>45415</v>
      </c>
      <c r="B4" s="145">
        <v>57107</v>
      </c>
    </row>
    <row r="5" spans="1:2" x14ac:dyDescent="0.2">
      <c r="A5" s="144">
        <v>45416</v>
      </c>
      <c r="B5" s="145">
        <v>56151</v>
      </c>
    </row>
    <row r="6" spans="1:2" x14ac:dyDescent="0.2">
      <c r="A6" s="144">
        <v>45417</v>
      </c>
      <c r="B6" s="145">
        <v>59034</v>
      </c>
    </row>
    <row r="7" spans="1:2" x14ac:dyDescent="0.2">
      <c r="A7" s="144">
        <v>45418</v>
      </c>
      <c r="B7" s="145">
        <v>50867</v>
      </c>
    </row>
    <row r="8" spans="1:2" x14ac:dyDescent="0.2">
      <c r="A8" s="144">
        <v>45419</v>
      </c>
      <c r="B8" s="145">
        <v>36945</v>
      </c>
    </row>
    <row r="9" spans="1:2" x14ac:dyDescent="0.2">
      <c r="A9" s="144">
        <v>45420</v>
      </c>
      <c r="B9" s="145">
        <v>35503</v>
      </c>
    </row>
    <row r="10" spans="1:2" x14ac:dyDescent="0.2">
      <c r="A10" s="144">
        <v>45421</v>
      </c>
      <c r="B10" s="145">
        <v>30711</v>
      </c>
    </row>
    <row r="11" spans="1:2" x14ac:dyDescent="0.2">
      <c r="A11" s="144">
        <v>45422</v>
      </c>
      <c r="B11" s="145">
        <v>38389</v>
      </c>
    </row>
    <row r="12" spans="1:2" x14ac:dyDescent="0.2">
      <c r="A12" s="144" t="s">
        <v>161</v>
      </c>
      <c r="B12" s="145">
        <v>474116</v>
      </c>
    </row>
    <row r="34" spans="1:10" x14ac:dyDescent="0.2">
      <c r="A34" s="144"/>
      <c r="B34" s="145"/>
    </row>
    <row r="35" spans="1:10" x14ac:dyDescent="0.2">
      <c r="F35" s="281" t="s">
        <v>107</v>
      </c>
      <c r="G35" s="278" t="s">
        <v>162</v>
      </c>
      <c r="H35" s="279"/>
      <c r="I35" s="280"/>
      <c r="J35" s="281" t="s">
        <v>144</v>
      </c>
    </row>
    <row r="36" spans="1:10" x14ac:dyDescent="0.2">
      <c r="A36" s="281" t="s">
        <v>107</v>
      </c>
      <c r="B36" s="187" t="s">
        <v>162</v>
      </c>
      <c r="C36" s="187"/>
      <c r="F36" s="282"/>
      <c r="G36" s="274" t="s">
        <v>78</v>
      </c>
      <c r="H36" s="276" t="s">
        <v>188</v>
      </c>
      <c r="I36" s="277"/>
      <c r="J36" s="282"/>
    </row>
    <row r="37" spans="1:10" x14ac:dyDescent="0.2">
      <c r="A37" s="283"/>
      <c r="B37" s="188" t="s">
        <v>78</v>
      </c>
      <c r="C37" s="188" t="s">
        <v>188</v>
      </c>
      <c r="F37" s="283"/>
      <c r="G37" s="275"/>
      <c r="H37" s="158" t="s">
        <v>192</v>
      </c>
      <c r="I37" s="158" t="s">
        <v>193</v>
      </c>
      <c r="J37" s="283"/>
    </row>
    <row r="38" spans="1:10" x14ac:dyDescent="0.2">
      <c r="A38" s="154">
        <v>45413</v>
      </c>
      <c r="B38" s="155">
        <v>0</v>
      </c>
      <c r="C38" s="155">
        <v>52304</v>
      </c>
      <c r="F38" s="160">
        <v>45413</v>
      </c>
      <c r="G38" s="159" t="s">
        <v>194</v>
      </c>
      <c r="H38" s="155">
        <f>480*(20+8+7+17+1)-7</f>
        <v>25433</v>
      </c>
      <c r="I38" s="155">
        <f>480*(20+18+18)-9</f>
        <v>26871</v>
      </c>
      <c r="J38" s="161"/>
    </row>
    <row r="39" spans="1:10" x14ac:dyDescent="0.2">
      <c r="A39" s="154">
        <v>45414</v>
      </c>
      <c r="B39" s="155">
        <v>0</v>
      </c>
      <c r="C39" s="155">
        <v>57105</v>
      </c>
      <c r="F39" s="160">
        <v>45414</v>
      </c>
      <c r="G39" s="159" t="s">
        <v>194</v>
      </c>
      <c r="H39" s="155">
        <f>480*(10+11+16+2+9)-7</f>
        <v>23033</v>
      </c>
      <c r="I39" s="155">
        <f>480*(24+23+12+12)-8</f>
        <v>34072</v>
      </c>
      <c r="J39" s="161"/>
    </row>
    <row r="40" spans="1:10" x14ac:dyDescent="0.2">
      <c r="A40" s="154">
        <v>45415</v>
      </c>
      <c r="B40" s="155">
        <v>0</v>
      </c>
      <c r="C40" s="155">
        <v>57107</v>
      </c>
      <c r="F40" s="160">
        <v>45415</v>
      </c>
      <c r="G40" s="159" t="s">
        <v>194</v>
      </c>
      <c r="H40" s="155">
        <f>480*(17+15+16)-2</f>
        <v>23038</v>
      </c>
      <c r="I40" s="155">
        <f>480*(20+26+25)-11</f>
        <v>34069</v>
      </c>
      <c r="J40" s="161"/>
    </row>
    <row r="41" spans="1:10" x14ac:dyDescent="0.2">
      <c r="A41" s="154">
        <v>45416</v>
      </c>
      <c r="B41" s="155">
        <v>0</v>
      </c>
      <c r="C41" s="155">
        <v>56151</v>
      </c>
      <c r="F41" s="160">
        <v>45416</v>
      </c>
      <c r="G41" s="159" t="s">
        <v>194</v>
      </c>
      <c r="H41" s="155">
        <f>480*(20+17+11)-3</f>
        <v>23037</v>
      </c>
      <c r="I41" s="155">
        <f>480*(22+24+23)-6</f>
        <v>33114</v>
      </c>
      <c r="J41" s="161"/>
    </row>
    <row r="42" spans="1:10" x14ac:dyDescent="0.2">
      <c r="A42" s="154">
        <v>45417</v>
      </c>
      <c r="B42" s="155">
        <v>0</v>
      </c>
      <c r="C42" s="155">
        <v>59034</v>
      </c>
      <c r="F42" s="160">
        <v>45417</v>
      </c>
      <c r="G42" s="159" t="s">
        <v>194</v>
      </c>
      <c r="H42" s="155">
        <f>480*(20+15+15)-2</f>
        <v>23998</v>
      </c>
      <c r="I42" s="155">
        <f>480*(24+25+24)-4</f>
        <v>35036</v>
      </c>
      <c r="J42" s="161"/>
    </row>
    <row r="43" spans="1:10" x14ac:dyDescent="0.2">
      <c r="A43" s="154">
        <v>45418</v>
      </c>
      <c r="B43" s="155">
        <v>0</v>
      </c>
      <c r="C43" s="155">
        <v>50867</v>
      </c>
      <c r="F43" s="160">
        <v>45418</v>
      </c>
      <c r="G43" s="159" t="s">
        <v>194</v>
      </c>
      <c r="H43" s="155">
        <f>480*(16+15)-5</f>
        <v>14875</v>
      </c>
      <c r="I43" s="155">
        <f>480*(24+27+24)-8</f>
        <v>35992</v>
      </c>
      <c r="J43" s="161" t="s">
        <v>213</v>
      </c>
    </row>
    <row r="44" spans="1:10" x14ac:dyDescent="0.2">
      <c r="A44" s="154">
        <v>45419</v>
      </c>
      <c r="B44" s="155">
        <v>0</v>
      </c>
      <c r="C44" s="155">
        <v>36945</v>
      </c>
      <c r="F44" s="160">
        <v>45419</v>
      </c>
      <c r="G44" s="159" t="s">
        <v>194</v>
      </c>
      <c r="H44" s="155">
        <f>480*7-1</f>
        <v>3359</v>
      </c>
      <c r="I44" s="155">
        <f>480*(25+27+25)-14</f>
        <v>36946</v>
      </c>
      <c r="J44" s="161" t="s">
        <v>215</v>
      </c>
    </row>
    <row r="45" spans="1:10" x14ac:dyDescent="0.2">
      <c r="A45" s="154">
        <v>45420</v>
      </c>
      <c r="B45" s="155">
        <v>0</v>
      </c>
      <c r="C45" s="155">
        <v>35503</v>
      </c>
      <c r="F45" s="160">
        <v>45420</v>
      </c>
      <c r="G45" s="159" t="s">
        <v>194</v>
      </c>
      <c r="H45" s="155">
        <v>0</v>
      </c>
      <c r="I45" s="155">
        <v>35503</v>
      </c>
      <c r="J45" s="161" t="s">
        <v>216</v>
      </c>
    </row>
    <row r="46" spans="1:10" x14ac:dyDescent="0.2">
      <c r="A46" s="154">
        <v>45421</v>
      </c>
      <c r="B46" s="155">
        <v>0</v>
      </c>
      <c r="C46" s="155">
        <v>30720</v>
      </c>
      <c r="F46" s="160">
        <v>45421</v>
      </c>
      <c r="G46" s="159" t="s">
        <v>194</v>
      </c>
      <c r="H46" s="155">
        <f>480*(8+23)-5</f>
        <v>14875</v>
      </c>
      <c r="I46" s="155">
        <f>480*(25+8)-4</f>
        <v>15836</v>
      </c>
      <c r="J46" s="161" t="s">
        <v>221</v>
      </c>
    </row>
    <row r="47" spans="1:10" x14ac:dyDescent="0.2">
      <c r="A47" s="154">
        <v>45422</v>
      </c>
      <c r="B47" s="155">
        <v>0</v>
      </c>
      <c r="C47" s="155">
        <v>38400</v>
      </c>
      <c r="F47" s="160">
        <v>45422</v>
      </c>
      <c r="G47" s="159" t="s">
        <v>194</v>
      </c>
      <c r="H47" s="155">
        <f>480*(15+15+1)-4</f>
        <v>14876</v>
      </c>
      <c r="I47" s="155">
        <f>480*(20+26+3)-7</f>
        <v>23513</v>
      </c>
      <c r="J47" s="161" t="s">
        <v>224</v>
      </c>
    </row>
    <row r="52" spans="6:6" x14ac:dyDescent="0.2">
      <c r="F52" s="145"/>
    </row>
    <row r="53" spans="6:6" x14ac:dyDescent="0.2">
      <c r="F53" s="145"/>
    </row>
    <row r="54" spans="6:6" x14ac:dyDescent="0.2">
      <c r="F54" s="145"/>
    </row>
    <row r="55" spans="6:6" x14ac:dyDescent="0.2">
      <c r="F55" s="145"/>
    </row>
    <row r="56" spans="6:6" x14ac:dyDescent="0.2">
      <c r="F56" s="145"/>
    </row>
    <row r="57" spans="6:6" x14ac:dyDescent="0.2">
      <c r="F57" s="145"/>
    </row>
  </sheetData>
  <mergeCells count="6">
    <mergeCell ref="A36:A37"/>
    <mergeCell ref="J35:J37"/>
    <mergeCell ref="F35:F37"/>
    <mergeCell ref="G35:I35"/>
    <mergeCell ref="H36:I36"/>
    <mergeCell ref="G36:G37"/>
  </mergeCells>
  <pageMargins left="0.7" right="0.7" top="0.75" bottom="0.75" header="0.3" footer="0.3"/>
  <pageSetup orientation="portrait" r:id="rId2"/>
  <drawing r:id="rId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L6"/>
  <sheetViews>
    <sheetView zoomScale="145" zoomScaleNormal="145" workbookViewId="0">
      <selection activeCell="G19" sqref="G19"/>
    </sheetView>
  </sheetViews>
  <sheetFormatPr defaultRowHeight="12.75" x14ac:dyDescent="0.2"/>
  <cols>
    <col min="2" max="2" width="10.85546875" customWidth="1"/>
    <col min="3" max="3" width="7.85546875" customWidth="1"/>
  </cols>
  <sheetData>
    <row r="1" spans="1:12" ht="27.75" thickBot="1" x14ac:dyDescent="0.4">
      <c r="A1" s="263" t="s">
        <v>159</v>
      </c>
      <c r="B1" s="263"/>
      <c r="C1" s="263"/>
      <c r="D1" s="263"/>
      <c r="E1" s="263"/>
      <c r="F1" s="263"/>
      <c r="G1" s="263"/>
      <c r="H1" s="263"/>
      <c r="I1" s="109"/>
      <c r="J1" s="109"/>
      <c r="K1" s="262" t="e">
        <f>Production!#REF!</f>
        <v>#REF!</v>
      </c>
      <c r="L1" s="262"/>
    </row>
    <row r="2" spans="1:12" ht="13.5" thickTop="1" x14ac:dyDescent="0.2"/>
    <row r="3" spans="1:12" ht="13.5" thickBot="1" x14ac:dyDescent="0.25"/>
    <row r="4" spans="1:12" ht="13.5" thickBot="1" x14ac:dyDescent="0.25">
      <c r="B4" s="265" t="s">
        <v>150</v>
      </c>
      <c r="C4" s="266"/>
    </row>
    <row r="5" spans="1:12" x14ac:dyDescent="0.2">
      <c r="B5" s="138" t="s">
        <v>155</v>
      </c>
      <c r="C5" s="139" t="s">
        <v>151</v>
      </c>
    </row>
    <row r="6" spans="1:12" ht="13.5" thickBot="1" x14ac:dyDescent="0.25">
      <c r="B6" s="140">
        <v>2057057</v>
      </c>
      <c r="C6" s="141">
        <v>252</v>
      </c>
    </row>
  </sheetData>
  <mergeCells count="3">
    <mergeCell ref="K1:L1"/>
    <mergeCell ref="B4:C4"/>
    <mergeCell ref="A1:H1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8</vt:i4>
      </vt:variant>
      <vt:variant>
        <vt:lpstr>Named Ranges</vt:lpstr>
      </vt:variant>
      <vt:variant>
        <vt:i4>5</vt:i4>
      </vt:variant>
    </vt:vector>
  </HeadingPairs>
  <TitlesOfParts>
    <vt:vector size="13" baseType="lpstr">
      <vt:lpstr>prod old</vt:lpstr>
      <vt:lpstr>ASS old</vt:lpstr>
      <vt:lpstr>Productivity</vt:lpstr>
      <vt:lpstr>Production</vt:lpstr>
      <vt:lpstr>Assembly (MEO)</vt:lpstr>
      <vt:lpstr>Final Assem (MEO)</vt:lpstr>
      <vt:lpstr>Graph Summary</vt:lpstr>
      <vt:lpstr>Defects</vt:lpstr>
      <vt:lpstr>'ASS old'!Print_Area</vt:lpstr>
      <vt:lpstr>'Assembly (MEO)'!Print_Area</vt:lpstr>
      <vt:lpstr>'Final Assem (MEO)'!Print_Area</vt:lpstr>
      <vt:lpstr>'prod old'!Print_Area</vt:lpstr>
      <vt:lpstr>Production!Print_Area</vt:lpstr>
    </vt:vector>
  </TitlesOfParts>
  <Company>Viva Magnetics (Canada) Ltd.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WendyY</dc:creator>
  <cp:lastModifiedBy>User</cp:lastModifiedBy>
  <cp:lastPrinted>2021-09-13T17:05:27Z</cp:lastPrinted>
  <dcterms:created xsi:type="dcterms:W3CDTF">2021-09-10T14:50:31Z</dcterms:created>
  <dcterms:modified xsi:type="dcterms:W3CDTF">2024-05-11T14:40:26Z</dcterms:modified>
</cp:coreProperties>
</file>